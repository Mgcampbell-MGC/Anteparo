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CALL SHEET" sheetId="2" state="visible" r:id="rId2"/>
    <sheet name="FINANCIAL CREDITORS" sheetId="3" state="visible" r:id="rId3"/>
    <sheet name="STATE-OWNED CREDITORS" sheetId="4" state="visible" r:id="rId4"/>
    <sheet name="EXCLUDED (review)" sheetId="5" state="visible" r:id="rId5"/>
    <sheet name="_BOOK" sheetId="6" state="hidden" r:id="rId6"/>
    <sheet name="Assumptions" sheetId="7" state="visible" r:id="rId7"/>
  </sheets>
  <definedNames>
    <definedName name="_xlnm._FilterDatabase" localSheetId="1" hidden="1">'CALL SHEET'!$A$1:$BF$563</definedName>
    <definedName name="_xlnm._FilterDatabase" localSheetId="2" hidden="1">'FINANCIAL CREDITORS'!$A$1:$BF$346</definedName>
    <definedName name="_xlnm._FilterDatabase" localSheetId="3" hidden="1">'STATE-OWNED CREDITORS'!$A$1:$BF$84</definedName>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8">
    <font>
      <name val="Calibri"/>
      <family val="2"/>
      <color theme="1"/>
      <sz val="11"/>
      <scheme val="minor"/>
    </font>
    <font>
      <b val="1"/>
      <color rgb="00FFFFFF"/>
    </font>
    <font>
      <b val="1"/>
    </font>
    <font>
      <color rgb="000563C1"/>
      <u val="single"/>
    </font>
    <font>
      <i val="1"/>
      <color rgb="009C0006"/>
    </font>
    <font>
      <b val="1"/>
      <color rgb="001F3A5F"/>
      <sz val="16"/>
    </font>
    <font>
      <i val="1"/>
      <color rgb="00666666"/>
    </font>
    <font>
      <b val="1"/>
      <sz val="12"/>
    </font>
  </fonts>
  <fills count="16">
    <fill>
      <patternFill/>
    </fill>
    <fill>
      <patternFill patternType="gray125"/>
    </fill>
    <fill>
      <patternFill patternType="solid">
        <fgColor rgb="001F3A5F"/>
      </patternFill>
    </fill>
    <fill>
      <patternFill patternType="solid">
        <fgColor rgb="00FFF4D6"/>
      </patternFill>
    </fill>
    <fill>
      <patternFill patternType="solid">
        <fgColor rgb="00F6F0FA"/>
      </patternFill>
    </fill>
    <fill>
      <patternFill patternType="solid">
        <fgColor rgb="00E6EEF8"/>
      </patternFill>
    </fill>
    <fill>
      <patternFill patternType="solid">
        <fgColor rgb="00E8F1E8"/>
      </patternFill>
    </fill>
    <fill>
      <patternFill patternType="solid">
        <fgColor rgb="00F3F3F3"/>
      </patternFill>
    </fill>
    <fill>
      <patternFill patternType="solid">
        <fgColor rgb="00E2EFDA"/>
      </patternFill>
    </fill>
    <fill>
      <patternFill patternType="solid">
        <fgColor rgb="00EDEDED"/>
      </patternFill>
    </fill>
    <fill>
      <patternFill patternType="solid">
        <fgColor rgb="00FFEB9C"/>
      </patternFill>
    </fill>
    <fill>
      <patternFill patternType="solid">
        <fgColor rgb="00F8CBAD"/>
      </patternFill>
    </fill>
    <fill>
      <patternFill patternType="solid">
        <fgColor rgb="00FF9999"/>
      </patternFill>
    </fill>
    <fill>
      <patternFill patternType="solid">
        <fgColor rgb="00FFC7CE"/>
      </patternFill>
    </fill>
    <fill>
      <patternFill patternType="solid">
        <fgColor rgb="00C6EFCE"/>
      </patternFill>
    </fill>
    <fill>
      <patternFill patternType="solid">
        <fgColor rgb="00FFF2CC"/>
      </patternFill>
    </fill>
  </fills>
  <borders count="2">
    <border>
      <left/>
      <right/>
      <top/>
      <bottom/>
      <diagonal/>
    </border>
    <border>
      <bottom style="thin">
        <color rgb="00D9D9D9"/>
      </bottom>
    </border>
  </borders>
  <cellStyleXfs count="1">
    <xf numFmtId="0" fontId="0" fillId="0" borderId="0"/>
  </cellStyleXfs>
  <cellXfs count="46">
    <xf numFmtId="0" fontId="0" fillId="0" borderId="0" pivotButton="0" quotePrefix="0" xfId="0"/>
    <xf numFmtId="0" fontId="5" fillId="0" borderId="0" pivotButton="0" quotePrefix="0" xfId="0"/>
    <xf numFmtId="0" fontId="6" fillId="0" borderId="0" pivotButton="0" quotePrefix="0" xfId="0"/>
    <xf numFmtId="0" fontId="4" fillId="0" borderId="0" pivotButton="0" quotePrefix="0" xfId="0"/>
    <xf numFmtId="0" fontId="1" fillId="2" borderId="0" pivotButton="0" quotePrefix="0" xfId="0"/>
    <xf numFmtId="1" fontId="7" fillId="0" borderId="0" pivotButton="0" quotePrefix="0" xfId="0"/>
    <xf numFmtId="3" fontId="0" fillId="0" borderId="0" pivotButton="0" quotePrefix="0" xfId="0"/>
    <xf numFmtId="165" fontId="0" fillId="0" borderId="0" pivotButton="0" quotePrefix="0" xfId="0"/>
    <xf numFmtId="3" fontId="7" fillId="0" borderId="0" pivotButton="0" quotePrefix="0" xfId="0"/>
    <xf numFmtId="0" fontId="2" fillId="0" borderId="0" pivotButton="0" quotePrefix="0" xfId="0"/>
    <xf numFmtId="3" fontId="2" fillId="0" borderId="0" pivotButton="0" quotePrefix="0" xfId="0"/>
    <xf numFmtId="0" fontId="0" fillId="14" borderId="0" pivotButton="0" quotePrefix="0" xfId="0"/>
    <xf numFmtId="0" fontId="0" fillId="8" borderId="0" pivotButton="0" quotePrefix="0" xfId="0"/>
    <xf numFmtId="0" fontId="0" fillId="10" borderId="0" pivotButton="0" quotePrefix="0" xfId="0"/>
    <xf numFmtId="0" fontId="0" fillId="13" borderId="0" pivotButton="0" quotePrefix="0" xfId="0"/>
    <xf numFmtId="0" fontId="0" fillId="9" borderId="0" pivotButton="0" quotePrefix="0" xfId="0"/>
    <xf numFmtId="0" fontId="1" fillId="2" borderId="0" applyAlignment="1" pivotButton="0" quotePrefix="0" xfId="0">
      <alignment vertical="center" wrapText="1"/>
    </xf>
    <xf numFmtId="0" fontId="2" fillId="0" borderId="1" pivotButton="0" quotePrefix="0" xfId="0"/>
    <xf numFmtId="3" fontId="0" fillId="0" borderId="1" pivotButton="0" quotePrefix="0" xfId="0"/>
    <xf numFmtId="0" fontId="0" fillId="0" borderId="1" pivotButton="0" quotePrefix="0" xfId="0"/>
    <xf numFmtId="0" fontId="0" fillId="3" borderId="1" pivotButton="0" quotePrefix="0" xfId="0"/>
    <xf numFmtId="165" fontId="0" fillId="3" borderId="1" pivotButton="0" quotePrefix="0" xfId="0"/>
    <xf numFmtId="0" fontId="0" fillId="4" borderId="1" pivotButton="0" quotePrefix="0" xfId="0"/>
    <xf numFmtId="0" fontId="0" fillId="9" borderId="1" pivotButton="0" quotePrefix="0" xfId="0"/>
    <xf numFmtId="3" fontId="0" fillId="5" borderId="1" pivotButton="0" quotePrefix="0" xfId="0"/>
    <xf numFmtId="0" fontId="2" fillId="8" borderId="1" applyAlignment="1" pivotButton="0" quotePrefix="0" xfId="0">
      <alignment horizontal="center"/>
    </xf>
    <xf numFmtId="9" fontId="0" fillId="5" borderId="1" pivotButton="0" quotePrefix="0" xfId="0"/>
    <xf numFmtId="0" fontId="0" fillId="5" borderId="1" pivotButton="0" quotePrefix="0" xfId="0"/>
    <xf numFmtId="164" fontId="0" fillId="5" borderId="1" pivotButton="0" quotePrefix="0" xfId="0"/>
    <xf numFmtId="3" fontId="2" fillId="5" borderId="1" pivotButton="0" quotePrefix="0" xfId="0"/>
    <xf numFmtId="0" fontId="0" fillId="6" borderId="1" pivotButton="0" quotePrefix="0" xfId="0"/>
    <xf numFmtId="0" fontId="3" fillId="6" borderId="1" pivotButton="0" quotePrefix="0" xfId="0"/>
    <xf numFmtId="0" fontId="0" fillId="7" borderId="1" pivotButton="0" quotePrefix="0" xfId="0"/>
    <xf numFmtId="3" fontId="0" fillId="7" borderId="1" pivotButton="0" quotePrefix="0" xfId="0"/>
    <xf numFmtId="0" fontId="0" fillId="10" borderId="1" pivotButton="0" quotePrefix="0" xfId="0"/>
    <xf numFmtId="0" fontId="0" fillId="11" borderId="1" pivotButton="0" quotePrefix="0" xfId="0"/>
    <xf numFmtId="0" fontId="0" fillId="12" borderId="1" pivotButton="0" quotePrefix="0" xfId="0"/>
    <xf numFmtId="0" fontId="4" fillId="0" borderId="1" pivotButton="0" quotePrefix="0" xfId="0"/>
    <xf numFmtId="0" fontId="2" fillId="9" borderId="1" applyAlignment="1" pivotButton="0" quotePrefix="0" xfId="0">
      <alignment horizontal="center"/>
    </xf>
    <xf numFmtId="0" fontId="2" fillId="10" borderId="1" applyAlignment="1" pivotButton="0" quotePrefix="0" xfId="0">
      <alignment horizontal="center"/>
    </xf>
    <xf numFmtId="0" fontId="2" fillId="13" borderId="1" applyAlignment="1" pivotButton="0" quotePrefix="0" xfId="0">
      <alignment horizontal="center"/>
    </xf>
    <xf numFmtId="0" fontId="3" fillId="0" borderId="0" pivotButton="0" quotePrefix="0" xfId="0"/>
    <xf numFmtId="0" fontId="7" fillId="0" borderId="0" pivotButton="0" quotePrefix="0" xfId="0"/>
    <xf numFmtId="9" fontId="0" fillId="15" borderId="0" pivotButton="0" quotePrefix="0" xfId="0"/>
    <xf numFmtId="2" fontId="0" fillId="15" borderId="0" pivotButton="0" quotePrefix="0" xfId="0"/>
    <xf numFmtId="0" fontId="0" fillId="15" borderId="0" pivotButton="0" quotePrefix="0" xfId="0"/>
  </cellXfs>
  <cellStyles count="1">
    <cellStyle name="Normal" xfId="0" builtinId="0" hidden="0"/>
  </cellStyles>
  <dxfs count="4">
    <dxf>
      <fill>
        <patternFill patternType="solid">
          <fgColor rgb="00C6EFCE"/>
        </patternFill>
      </fill>
    </dxf>
    <dxf>
      <fill>
        <patternFill patternType="solid">
          <fgColor rgb="00E2EFDA"/>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marquesadmjudicial.com.br/sgc/download.php?file=files/processo_documento/processo_documento19270817122025_1_.pdf&amp;nome=Rela&#231;&#227;o Nominal de Credores AJ" TargetMode="External" Id="rId1" /><Relationship Type="http://schemas.openxmlformats.org/officeDocument/2006/relationships/hyperlink" Target="https://assistjud.com.br/wp-content/uploads/elementor/forms/65098c80a5824.pdf" TargetMode="External" Id="rId2" /><Relationship Type="http://schemas.openxmlformats.org/officeDocument/2006/relationships/hyperlink" Target="https://scalzilliaj.com.br/sgc/download.php?file=files/processo_documento/processo_documento09514021082025_1_.pdf&amp;nome=04 - Rela&#231;&#227;o de credores das Recuperandas" TargetMode="External" Id="rId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5" /><Relationship Type="http://schemas.openxmlformats.org/officeDocument/2006/relationships/hyperlink" Target="https://lrflideres.com.br/wp-content/plugins/download-attachments/includes/download.php?id=6051" TargetMode="External" Id="rId6" /><Relationship Type="http://schemas.openxmlformats.org/officeDocument/2006/relationships/hyperlink" Target="https://credibilita.com.br/wp-content/uploads/2025/09/Relacao-Credores-29.04.2026.pdf" TargetMode="External" Id="rId7" /><Relationship Type="http://schemas.openxmlformats.org/officeDocument/2006/relationships/hyperlink" Target="https://recuperasolucoes.com/wp-content/plugins/download-attachments/includes/download.php?id=1597" TargetMode="External" Id="rId8"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9" /><Relationship Type="http://schemas.openxmlformats.org/officeDocument/2006/relationships/hyperlink" Target="https://scalzilliaj.com.br/sgc/download.php?file=files/processo_documento/processo_documento09514021082025_1_.pdf&amp;nome=04 - Rela&#231;&#227;o de credores das Recuperandas" TargetMode="External" Id="rId10" /><Relationship Type="http://schemas.openxmlformats.org/officeDocument/2006/relationships/hyperlink" Target="https://lrflideres.com.br/wp-content/plugins/download-attachments/includes/download.php?id=6051" TargetMode="External" Id="rId11" /><Relationship Type="http://schemas.openxmlformats.org/officeDocument/2006/relationships/hyperlink" Target="https://inova-aj.com.br/wp-content/uploads/2026/08/1a-Relacao-de-Credores-Real.pdf" TargetMode="External" Id="rId12" /><Relationship Type="http://schemas.openxmlformats.org/officeDocument/2006/relationships/hyperlink" Target="https://violet-wolf-754008.hostingersite.com/wp-content/uploads/2022/10/Primeiro-Edital-de-Credores-Integral-com-creditos.pdf" TargetMode="External" Id="rId13" /><Relationship Type="http://schemas.openxmlformats.org/officeDocument/2006/relationships/hyperlink" Target="https://recuperasolucoes.com/wp-content/plugins/download-attachments/includes/download.php?id=1597" TargetMode="External" Id="rId14" /><Relationship Type="http://schemas.openxmlformats.org/officeDocument/2006/relationships/hyperlink" Target="https://scalzilliaj.com.br/sgc/download.php?file=files/processo_documento/processo_documento09514021082025_1_.pdf&amp;nome=04 - Rela&#231;&#227;o de credores das Recuperandas" TargetMode="External" Id="rId15" /><Relationship Type="http://schemas.openxmlformats.org/officeDocument/2006/relationships/hyperlink" Target="https://lrflideres.com.br/wp-content/plugins/download-attachments/includes/download.php?id=4023" TargetMode="External" Id="rId1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7"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8" /><Relationship Type="http://schemas.openxmlformats.org/officeDocument/2006/relationships/hyperlink" Target="https://scalzilliaj.com.br/sgc/download.php?file=files/processo_documento/processo_documento09514021082025_1_.pdf&amp;nome=04 - Rela&#231;&#227;o de credores das Recuperandas" TargetMode="External" Id="rId1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0" /><Relationship Type="http://schemas.openxmlformats.org/officeDocument/2006/relationships/hyperlink" Target="https://recuperasolucoes.com/wp-content/plugins/download-attachments/includes/download.php?id=1597" TargetMode="External" Id="rId21" /><Relationship Type="http://schemas.openxmlformats.org/officeDocument/2006/relationships/hyperlink" Target="https://credibilita.com.br/wp-content/uploads/2025/09/Relacao-Credores-29.04.2026.pdf" TargetMode="External" Id="rId22" /><Relationship Type="http://schemas.openxmlformats.org/officeDocument/2006/relationships/hyperlink" Target="https://credibilita.com.br/wp-content/uploads/2025/09/Relacao-Credores-29.04.2026.pdf" TargetMode="External" Id="rId23" /><Relationship Type="http://schemas.openxmlformats.org/officeDocument/2006/relationships/hyperlink" Target="https://inova-aj.com.br/wp-content/uploads/2026/08/1a-Relacao-de-Credores-Real.pdf" TargetMode="External" Id="rId24" /><Relationship Type="http://schemas.openxmlformats.org/officeDocument/2006/relationships/hyperlink" Target="http://bernardobicalho.com.br/login/app/documents/Rela%C3%A7%C3%A3o%20de%20Credores/6.%20RVC-%20Nutricium%20-%20simplificada.pdf" TargetMode="External" Id="rId2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6" /><Relationship Type="http://schemas.openxmlformats.org/officeDocument/2006/relationships/hyperlink" Target="https://credibilita.com.br/wp-content/uploads/2025/09/Relacao-Credores-29.04.2026.pdf" TargetMode="External" Id="rId27" /><Relationship Type="http://schemas.openxmlformats.org/officeDocument/2006/relationships/hyperlink" Target="https://lrflideres.com.br/wp-content/plugins/download-attachments/includes/download.php?id=5589" TargetMode="External" Id="rId28" /><Relationship Type="http://schemas.openxmlformats.org/officeDocument/2006/relationships/hyperlink" Target="https://lrflideres.com.br/wp-content/plugins/download-attachments/includes/download.php?id=6879" TargetMode="External" Id="rId29" /><Relationship Type="http://schemas.openxmlformats.org/officeDocument/2006/relationships/hyperlink" Target="https://scalzilliaj.com.br/sgc/download.php?file=files/processo_documento/processo_documento09514021082025_1_.pdf&amp;nome=04 - Rela&#231;&#227;o de credores das Recuperandas" TargetMode="External" Id="rId30" /><Relationship Type="http://schemas.openxmlformats.org/officeDocument/2006/relationships/hyperlink" Target="https://scalzilliaj.com.br/sgc/download.php?file=files/processo_documento/processo_documento09514021082025_1_.pdf&amp;nome=04 - Rela&#231;&#227;o de credores das Recuperandas" TargetMode="External" Id="rId31" /><Relationship Type="http://schemas.openxmlformats.org/officeDocument/2006/relationships/hyperlink" Target="https://scalzilliaj.com.br/sgc/download.php?file=files/processo_documento/processo_documento13183320052026_1_.pdf&amp;nome=10 - QGC Provis&#243;rio - atualizado at&#233; Maio de 2026" TargetMode="External" Id="rId3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3" /><Relationship Type="http://schemas.openxmlformats.org/officeDocument/2006/relationships/hyperlink" Target="https://credibilita.com.br/wp-content/uploads/2025/09/Relacao-Credores-29.04.2026.pdf" TargetMode="External" Id="rId34" /><Relationship Type="http://schemas.openxmlformats.org/officeDocument/2006/relationships/hyperlink" Target="https://lrflideres.com.br/wp-content/plugins/download-attachments/includes/download.php?id=4023" TargetMode="External" Id="rId35" /><Relationship Type="http://schemas.openxmlformats.org/officeDocument/2006/relationships/hyperlink" Target="https://lrflideres.com.br/wp-content/plugins/download-attachments/includes/download.php?id=4023" TargetMode="External" Id="rId36" /><Relationship Type="http://schemas.openxmlformats.org/officeDocument/2006/relationships/hyperlink" Target="https://inova-aj.com.br/wp-content/uploads/2026/08/1a-Relacao-de-Credores-Real.pdf" TargetMode="External" Id="rId37" /><Relationship Type="http://schemas.openxmlformats.org/officeDocument/2006/relationships/hyperlink" Target="https://scalzilliaj.com.br/sgc/download.php?file=files/processo_documento/processo_documento09514021082025_1_.pdf&amp;nome=04 - Rela&#231;&#227;o de credores das Recuperandas" TargetMode="External" Id="rId38" /><Relationship Type="http://schemas.openxmlformats.org/officeDocument/2006/relationships/hyperlink" Target="https://assistjud.com.br/wp-content/uploads/elementor/forms/65098c80a5824.pdf" TargetMode="External" Id="rId39" /><Relationship Type="http://schemas.openxmlformats.org/officeDocument/2006/relationships/hyperlink" Target="https://scalzilliaj.com.br/sgc/download.php?file=files/processo_documento/processo_documento09514021082025_1_.pdf&amp;nome=04 - Rela&#231;&#227;o de credores das Recuperandas" TargetMode="External" Id="rId40"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1" /><Relationship Type="http://schemas.openxmlformats.org/officeDocument/2006/relationships/hyperlink" Target="https://credibilita.com.br/wp-content/uploads/2025/09/Relacao-Credores-29.04.2026.pdf" TargetMode="External" Id="rId42" /><Relationship Type="http://schemas.openxmlformats.org/officeDocument/2006/relationships/hyperlink" Target="https://cataliseaj.com.br/sgc/download.php?file=files/processo_documento/processo_documento15092204102024_1_.pdf&amp;nome=02. RELA&#199;&#195;O DE CREDORES" TargetMode="External" Id="rId43" /><Relationship Type="http://schemas.openxmlformats.org/officeDocument/2006/relationships/hyperlink" Target="https://ajruiz.com.br/sites/default/files/public/arquivos-processos/2026-06/alto_uruguai_qgc_junho.2026.pdf" TargetMode="External" Id="rId44"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45" /><Relationship Type="http://schemas.openxmlformats.org/officeDocument/2006/relationships/hyperlink" Target="https://scalzilliaj.com.br/sgc/download.php?file=files/processo_documento/processo_documento09514021082025_1_.pdf&amp;nome=04 - Rela&#231;&#227;o de credores das Recuperandas" TargetMode="External" Id="rId46"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47"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48"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9" /><Relationship Type="http://schemas.openxmlformats.org/officeDocument/2006/relationships/hyperlink" Target="https://credibilita.com.br/wp-content/uploads/2025/09/Relacao-Credores-29.04.2026.pdf" TargetMode="External" Id="rId50" /><Relationship Type="http://schemas.openxmlformats.org/officeDocument/2006/relationships/hyperlink" Target="https://ajruiz.com.br/sites/default/files/public/arquivos-processos/2026-06/alto_uruguai_qgc_junho.2026.pdf" TargetMode="External" Id="rId51" /><Relationship Type="http://schemas.openxmlformats.org/officeDocument/2006/relationships/hyperlink" Target="https://scalzilliaj.com.br/sgc/download.php?file=files/processo_documento/processo_documento09514021082025_1_.pdf&amp;nome=04 - Rela&#231;&#227;o de credores das Recuperandas" TargetMode="External" Id="rId52" /><Relationship Type="http://schemas.openxmlformats.org/officeDocument/2006/relationships/hyperlink" Target="https://credibilita.com.br/wp-content/uploads/2025/09/Relacao-Credores-29.04.2026.pdf" TargetMode="External" Id="rId53" /><Relationship Type="http://schemas.openxmlformats.org/officeDocument/2006/relationships/hyperlink" Target="https://marquesadmjudicial.com.br/sgc/download.php?file=files/processo_documento/processo_documento15232121112024_1_.pdf&amp;nome=Rela&#231;&#227;o de Credores" TargetMode="External" Id="rId54" /><Relationship Type="http://schemas.openxmlformats.org/officeDocument/2006/relationships/hyperlink" Target="https://lrflideres.com.br/wp-content/plugins/download-attachments/includes/download.php?id=4023" TargetMode="External" Id="rId55" /><Relationship Type="http://schemas.openxmlformats.org/officeDocument/2006/relationships/hyperlink" Target="https://lrflideres.com.br/wp-content/plugins/download-attachments/includes/download.php?id=4023" TargetMode="External" Id="rId56" /><Relationship Type="http://schemas.openxmlformats.org/officeDocument/2006/relationships/hyperlink" Target="https://ajruiz.com.br/sites/default/files/public/arquivos-processos/2023-11/4_relacao_de_credores_analitica_art._51_iii_da_lre.pdf" TargetMode="External" Id="rId57" /><Relationship Type="http://schemas.openxmlformats.org/officeDocument/2006/relationships/hyperlink" Target="https://lrflideres.com.br/wp-content/plugins/download-attachments/includes/download.php?id=6879" TargetMode="External" Id="rId58" /><Relationship Type="http://schemas.openxmlformats.org/officeDocument/2006/relationships/hyperlink" Target="https://marquesadmjudicial.com.br/sgc/download.php?file=files/processo_documento/processo_documento18581929042026_1_.pdf&amp;nome=3&#186; Edital - Rela&#231;&#227;o de Credores e PRJ" TargetMode="External" Id="rId59"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60" /><Relationship Type="http://schemas.openxmlformats.org/officeDocument/2006/relationships/hyperlink" Target="https://lrflideres.com.br/wp-content/plugins/download-attachments/includes/download.php?id=5589" TargetMode="External" Id="rId61" /><Relationship Type="http://schemas.openxmlformats.org/officeDocument/2006/relationships/hyperlink" Target="https://stenius.com.br/wp-content/uploads/2026/07/EDITAL-1-RELACAO-DE-CREDORES-GRUPO-GE.pdf" TargetMode="External" Id="rId62" /><Relationship Type="http://schemas.openxmlformats.org/officeDocument/2006/relationships/hyperlink" Target="https://scalzilliaj.com.br/sgc/download.php?file=files/processo_documento/processo_documento09514021082025_1_.pdf&amp;nome=04 - Rela&#231;&#227;o de credores das Recuperandas" TargetMode="External" Id="rId63" /><Relationship Type="http://schemas.openxmlformats.org/officeDocument/2006/relationships/hyperlink" Target="https://scalzilliaj.com.br/sgc/download.php?file=files/processo_documento/processo_documento09514021082025_1_.pdf&amp;nome=04 - Rela&#231;&#227;o de credores das Recuperandas" TargetMode="External" Id="rId64" /><Relationship Type="http://schemas.openxmlformats.org/officeDocument/2006/relationships/hyperlink" Target="https://ajruiz.com.br/sites/default/files/public/arquivos-processos/2023-11/4_relacao_de_credores_analitica_art._51_iii_da_lre.pdf" TargetMode="External" Id="rId65" /><Relationship Type="http://schemas.openxmlformats.org/officeDocument/2006/relationships/hyperlink" Target="https://rlg-aj.com.br/wp-content/uploads/2024/11/07.-Rela&#231;&#227;o-de-credores.pdf" TargetMode="External" Id="rId66" /><Relationship Type="http://schemas.openxmlformats.org/officeDocument/2006/relationships/hyperlink" Target="https://credibilita.com.br/wp-content/uploads/2025/09/Relacao-Credores-29.04.2026.pdf" TargetMode="External" Id="rId6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68" /><Relationship Type="http://schemas.openxmlformats.org/officeDocument/2006/relationships/hyperlink" Target="https://marquesadmjudicial.com.br/sgc/download.php?file=files/processo_documento/processo_documento19270817122025_1_.pdf&amp;nome=Rela&#231;&#227;o Nominal de Credores AJ" TargetMode="External" Id="rId6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70" /><Relationship Type="http://schemas.openxmlformats.org/officeDocument/2006/relationships/hyperlink" Target="https://diligence.adm.br/wp-content/plugins/download-attachments/includes/download.php?id=4599" TargetMode="External" Id="rId71" /><Relationship Type="http://schemas.openxmlformats.org/officeDocument/2006/relationships/hyperlink" Target="https://inova-aj.com.br/wp-content/uploads/2026/08/1a-Relacao-de-Credores-Real.pdf" TargetMode="External" Id="rId72" /><Relationship Type="http://schemas.openxmlformats.org/officeDocument/2006/relationships/hyperlink" Target="https://lrflideres.com.br/wp-content/plugins/download-attachments/includes/download.php?id=4023" TargetMode="External" Id="rId73" /><Relationship Type="http://schemas.openxmlformats.org/officeDocument/2006/relationships/hyperlink" Target="https://rlg-aj.com.br/wp-content/uploads/2024/11/07.-Rela&#231;&#227;o-de-credores.pdf" TargetMode="External" Id="rId74" /><Relationship Type="http://schemas.openxmlformats.org/officeDocument/2006/relationships/hyperlink" Target="https://rlg-aj.com.br/wp-content/uploads/2024/11/07.-Rela&#231;&#227;o-de-credores.pdf" TargetMode="External" Id="rId75" /><Relationship Type="http://schemas.openxmlformats.org/officeDocument/2006/relationships/hyperlink" Target="https://lrflideres.com.br/wp-content/plugins/download-attachments/includes/download.php?id=6879" TargetMode="External" Id="rId76" /><Relationship Type="http://schemas.openxmlformats.org/officeDocument/2006/relationships/hyperlink" Target="https://lrflideres.com.br/wp-content/plugins/download-attachments/includes/download.php?id=6879" TargetMode="External" Id="rId77" /><Relationship Type="http://schemas.openxmlformats.org/officeDocument/2006/relationships/hyperlink" Target="https://scalzilliaj.com.br/sgc/download.php?file=files/processo_documento/processo_documento09514021082025_1_.pdf&amp;nome=04 - Rela&#231;&#227;o de credores das Recuperandas" TargetMode="External" Id="rId78" /><Relationship Type="http://schemas.openxmlformats.org/officeDocument/2006/relationships/hyperlink" Target="https://assistjud.com.br/wp-content/uploads/elementor/forms/65098c80a5824.pdf" TargetMode="External" Id="rId79" /><Relationship Type="http://schemas.openxmlformats.org/officeDocument/2006/relationships/hyperlink" Target="https://ajruiz.com.br/sites/default/files/public/arquivos-processos/2026-06/alto_uruguai_qgc_junho.2026.pdf" TargetMode="External" Id="rId80" /><Relationship Type="http://schemas.openxmlformats.org/officeDocument/2006/relationships/hyperlink" Target="https://diligence.adm.br/wp-content/plugins/download-attachments/includes/download.php?id=4599" TargetMode="External" Id="rId81" /><Relationship Type="http://schemas.openxmlformats.org/officeDocument/2006/relationships/hyperlink" Target="https://scalzilliaj.com.br/sgc/download.php?file=files/processo_documento/processo_documento09514021082025_1_.pdf&amp;nome=04 - Rela&#231;&#227;o de credores das Recuperandas" TargetMode="External" Id="rId8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83" /><Relationship Type="http://schemas.openxmlformats.org/officeDocument/2006/relationships/hyperlink" Target="https://scalzilliaj.com.br/sgc/download.php?file=files/processo_documento/processo_documento09514021082025_1_.pdf&amp;nome=04 - Rela&#231;&#227;o de credores das Recuperandas" TargetMode="External" Id="rId84" /><Relationship Type="http://schemas.openxmlformats.org/officeDocument/2006/relationships/hyperlink" Target="https://lrflideres.com.br/wp-content/plugins/download-attachments/includes/download.php?id=5589" TargetMode="External" Id="rId8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86" /><Relationship Type="http://schemas.openxmlformats.org/officeDocument/2006/relationships/hyperlink" Target="https://administradorajudicialgs.com.br/wp-content/uploads/2024/12/relacao-de-credores-da-falida.pdf" TargetMode="External" Id="rId87"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88" /><Relationship Type="http://schemas.openxmlformats.org/officeDocument/2006/relationships/hyperlink" Target="https://lrflideres.com.br/wp-content/plugins/download-attachments/includes/download.php?id=5589" TargetMode="External" Id="rId89" /><Relationship Type="http://schemas.openxmlformats.org/officeDocument/2006/relationships/hyperlink" Target="https://rlg-aj.com.br/wp-content/uploads/2024/11/07.-Rela&#231;&#227;o-de-credores.pdf" TargetMode="External" Id="rId90"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1" /><Relationship Type="http://schemas.openxmlformats.org/officeDocument/2006/relationships/hyperlink" Target="https://credibilita.com.br/wp-content/uploads/2025/09/Relacao-Credores-29.04.2026.pdf" TargetMode="External" Id="rId92"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93" /><Relationship Type="http://schemas.openxmlformats.org/officeDocument/2006/relationships/hyperlink" Target="https://scalzilliaj.com.br/sgc/download.php?file=files/processo_documento/processo_documento09514021082025_1_.pdf&amp;nome=04 - Rela&#231;&#227;o de credores das Recuperandas" TargetMode="External" Id="rId94" /><Relationship Type="http://schemas.openxmlformats.org/officeDocument/2006/relationships/hyperlink" Target="https://assistjud.com.br/wp-content/uploads/elementor/forms/65098c80a5824.pdf" TargetMode="External" Id="rId9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97" /><Relationship Type="http://schemas.openxmlformats.org/officeDocument/2006/relationships/hyperlink" Target="https://ajruiz.com.br/sites/default/files/public/arquivos-processos/2023-11/4_relacao_de_credores_analitica_art._51_iii_da_lre.pdf" TargetMode="External" Id="rId98" /><Relationship Type="http://schemas.openxmlformats.org/officeDocument/2006/relationships/hyperlink" Target="https://assistjud.com.br/wp-content/uploads/elementor/forms/65098c80a5824.pdf" TargetMode="External" Id="rId99" /><Relationship Type="http://schemas.openxmlformats.org/officeDocument/2006/relationships/hyperlink" Target="https://cataliseaj.com.br/sgc/download.php?file=files/processo_documento/processo_documento15092204102024_1_.pdf&amp;nome=02. RELA&#199;&#195;O DE CREDORES" TargetMode="External" Id="rId100"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01" /><Relationship Type="http://schemas.openxmlformats.org/officeDocument/2006/relationships/hyperlink" Target="https://bugarimecoelho.com.br/ws/media-library/b6b7ea42b9fa2afe30bc728fe00cd5c6/07---edital-do-processamento-da-recuperacao-judicial.pdf" TargetMode="External" Id="rId102" /><Relationship Type="http://schemas.openxmlformats.org/officeDocument/2006/relationships/hyperlink" Target="https://stenius.com.br/wp-content/uploads/2026/06/EDITAL-GRUPO-3E.pdf" TargetMode="External" Id="rId103" /><Relationship Type="http://schemas.openxmlformats.org/officeDocument/2006/relationships/hyperlink" Target="https://credibilita.com.br/wp-content/uploads/2025/09/Relacao-Credores-29.04.2026.pdf" TargetMode="External" Id="rId104"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05" /><Relationship Type="http://schemas.openxmlformats.org/officeDocument/2006/relationships/hyperlink" Target="https://marquesadmjudicial.com.br/sgc/download.php?file=files/processo_documento/processo_documento17040729052024_1_.pdf&amp;nome=Rela&#231;&#227;o Nominal de Credores AJ-Sint&#233;tica" TargetMode="External" Id="rId106"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07" /><Relationship Type="http://schemas.openxmlformats.org/officeDocument/2006/relationships/hyperlink" Target="https://lrflideres.com.br/wp-content/plugins/download-attachments/includes/download.php?id=6879" TargetMode="External" Id="rId108" /><Relationship Type="http://schemas.openxmlformats.org/officeDocument/2006/relationships/hyperlink" Target="https://assistjud.com.br/wp-content/uploads/elementor/forms/65098c80a5824.pdf" TargetMode="External" Id="rId10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10"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11"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12" /><Relationship Type="http://schemas.openxmlformats.org/officeDocument/2006/relationships/hyperlink" Target="https://scalzilliaj.com.br/sgc/download.php?file=files/processo_documento/processo_documento09514021082025_1_.pdf&amp;nome=04 - Rela&#231;&#227;o de credores das Recuperandas" TargetMode="External" Id="rId113" /><Relationship Type="http://schemas.openxmlformats.org/officeDocument/2006/relationships/hyperlink" Target="https://rlg-aj.com.br/wp-content/uploads/2024/11/07.-Rela&#231;&#227;o-de-credores.pdf" TargetMode="External" Id="rId114" /><Relationship Type="http://schemas.openxmlformats.org/officeDocument/2006/relationships/hyperlink" Target="https://scalzilliaj.com.br/sgc/download.php?file=files/processo_documento/processo_documento09514021082025_1_.pdf&amp;nome=04 - Rela&#231;&#227;o de credores das Recuperandas" TargetMode="External" Id="rId115" /><Relationship Type="http://schemas.openxmlformats.org/officeDocument/2006/relationships/hyperlink" Target="https://marquesadmjudicial.com.br/sgc/download.php?file=files/processo_documento/processo_documento17040729052024_1_.pdf&amp;nome=Rela&#231;&#227;o Nominal de Credores AJ-Sint&#233;tica" TargetMode="External" Id="rId116"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17" /><Relationship Type="http://schemas.openxmlformats.org/officeDocument/2006/relationships/hyperlink" Target="https://marquesadmjudicial.com.br/sgc/download.php?file=files/processo_documento/processo_documento17040729052024_1_.pdf&amp;nome=Rela&#231;&#227;o Nominal de Credores AJ-Sint&#233;tica" TargetMode="External" Id="rId118" /><Relationship Type="http://schemas.openxmlformats.org/officeDocument/2006/relationships/hyperlink" Target="https://ajruiz.com.br/sites/default/files/public/arquivos-processos/2023-11/4_relacao_de_credores_analitica_art._51_iii_da_lre.pdf" TargetMode="External" Id="rId119" /><Relationship Type="http://schemas.openxmlformats.org/officeDocument/2006/relationships/hyperlink" Target="https://cataliseaj.com.br/sgc/download.php?file=files/processo_documento/processo_documento15092204102024_1_.pdf&amp;nome=02. RELA&#199;&#195;O DE CREDORES" TargetMode="External" Id="rId120" /><Relationship Type="http://schemas.openxmlformats.org/officeDocument/2006/relationships/hyperlink" Target="https://scalzilliaj.com.br/sgc/download.php?file=files/processo_documento/processo_documento09514021082025_1_.pdf&amp;nome=04 - Rela&#231;&#227;o de credores das Recuperandas" TargetMode="External" Id="rId121" /><Relationship Type="http://schemas.openxmlformats.org/officeDocument/2006/relationships/hyperlink" Target="https://scalzilliaj.com.br/sgc/download.php?file=files/processo_documento/processo_documento09514021082025_1_.pdf&amp;nome=04 - Rela&#231;&#227;o de credores das Recuperandas" TargetMode="External" Id="rId122" /><Relationship Type="http://schemas.openxmlformats.org/officeDocument/2006/relationships/hyperlink" Target="https://stenius.com.br/wp-content/uploads/2026/08/1&#176;-EDITAL-GRUPO-TENDAS.pdf" TargetMode="External" Id="rId123" /><Relationship Type="http://schemas.openxmlformats.org/officeDocument/2006/relationships/hyperlink" Target="https://stenius.com.br/wp-content/uploads/2026/08/1&#176;-EDITAL-GRUPO-TENDAS.pdf" TargetMode="External" Id="rId124" /><Relationship Type="http://schemas.openxmlformats.org/officeDocument/2006/relationships/hyperlink" Target="https://ajruiz.com.br/sites/default/files/public/arquivos-processos/2026-06/alto_uruguai_qgc_junho.2026.pdf" TargetMode="External" Id="rId125" /><Relationship Type="http://schemas.openxmlformats.org/officeDocument/2006/relationships/hyperlink" Target="https://cataliseaj.com.br/sgc/download.php?file=files/processo_documento/processo_documento15092204102024_1_.pdf&amp;nome=02. RELA&#199;&#195;O DE CREDORES" TargetMode="External" Id="rId126" /><Relationship Type="http://schemas.openxmlformats.org/officeDocument/2006/relationships/hyperlink" Target="https://marquesadmjudicial.com.br/sgc/download.php?file=files/processo_documento/processo_documento17040729052024_1_.pdf&amp;nome=Rela&#231;&#227;o Nominal de Credores AJ-Sint&#233;tica" TargetMode="External" Id="rId12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28" /><Relationship Type="http://schemas.openxmlformats.org/officeDocument/2006/relationships/hyperlink" Target="https://scalzilliaj.com.br/sgc/download.php?file=files/processo_documento/processo_documento09514021082025_1_.pdf&amp;nome=04 - Rela&#231;&#227;o de credores das Recuperandas" TargetMode="External" Id="rId129" /><Relationship Type="http://schemas.openxmlformats.org/officeDocument/2006/relationships/hyperlink" Target="https://inova-aj.com.br/wp-content/uploads/2026/08/1a-Relacao-de-Credores-Real.pdf" TargetMode="External" Id="rId130" /><Relationship Type="http://schemas.openxmlformats.org/officeDocument/2006/relationships/hyperlink" Target="https://vivanteaj.com.br/wp-content/uploads/2024/11/1a-lista-de-credores-JA-Santos.pdf" TargetMode="External" Id="rId13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32" /><Relationship Type="http://schemas.openxmlformats.org/officeDocument/2006/relationships/hyperlink" Target="https://lrflideres.com.br/wp-content/plugins/download-attachments/includes/download.php?id=5589" TargetMode="External" Id="rId13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34" /><Relationship Type="http://schemas.openxmlformats.org/officeDocument/2006/relationships/hyperlink" Target="https://ajruiz.com.br/sites/default/files/public/arquivos-processos/2026-08/qgc_azeplast_julho_2026.pdf" TargetMode="External" Id="rId135"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36" /><Relationship Type="http://schemas.openxmlformats.org/officeDocument/2006/relationships/hyperlink" Target="https://rlg-aj.com.br/wp-content/uploads/2024/11/07.-Rela&#231;&#227;o-de-credores.pdf" TargetMode="External" Id="rId137" /><Relationship Type="http://schemas.openxmlformats.org/officeDocument/2006/relationships/hyperlink" Target="https://stenius.com.br/wp-content/uploads/2026/06/EDITAL-GRUPO-3E.pdf" TargetMode="External" Id="rId138" /><Relationship Type="http://schemas.openxmlformats.org/officeDocument/2006/relationships/hyperlink" Target="https://rlg-aj.com.br/wp-content/uploads/2024/11/07.-Rela&#231;&#227;o-de-credores.pdf" TargetMode="External" Id="rId139" /><Relationship Type="http://schemas.openxmlformats.org/officeDocument/2006/relationships/hyperlink" Target="https://marquesadmjudicial.com.br/sgc/download.php?file=files/processo_documento/processo_documento20014127022025_1_.pdf&amp;nome=Rela&#231;&#227;o Nominal de Credores" TargetMode="External" Id="rId140" /><Relationship Type="http://schemas.openxmlformats.org/officeDocument/2006/relationships/hyperlink" Target="https://scalzilliaj.com.br/sgc/download.php?file=files/processo_documento/processo_documento09514021082025_1_.pdf&amp;nome=04 - Rela&#231;&#227;o de credores das Recuperandas" TargetMode="External" Id="rId141" /><Relationship Type="http://schemas.openxmlformats.org/officeDocument/2006/relationships/hyperlink" Target="https://marquesadmjudicial.com.br/sgc/download.php?file=files/processo_documento/processo_documento11370527032026_1_.pdf&amp;nome=Quadro Geral de Credores (QGC) -AJ Anterior" TargetMode="External" Id="rId14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43" /><Relationship Type="http://schemas.openxmlformats.org/officeDocument/2006/relationships/hyperlink" Target="https://diligence.adm.br/wp-content/plugins/download-attachments/includes/download.php?id=4599" TargetMode="External" Id="rId144" /><Relationship Type="http://schemas.openxmlformats.org/officeDocument/2006/relationships/hyperlink" Target="https://recuperacaojudicial.squarespace.com/s/RJ-Grupo-Arnon-de-Melo-Lista-de-Credores-Consolidada-abril-2022.pdf" TargetMode="External" Id="rId145" /><Relationship Type="http://schemas.openxmlformats.org/officeDocument/2006/relationships/hyperlink" Target="https://scalzilliaj.com.br/sgc/download.php?file=files/processo_documento/processo_documento09514021082025_1_.pdf&amp;nome=04 - Rela&#231;&#227;o de credores das Recuperandas" TargetMode="External" Id="rId146" /><Relationship Type="http://schemas.openxmlformats.org/officeDocument/2006/relationships/hyperlink" Target="https://rlg-aj.com.br/wp-content/uploads/2024/11/07.-Rela&#231;&#227;o-de-credores.pdf" TargetMode="External" Id="rId147" /><Relationship Type="http://schemas.openxmlformats.org/officeDocument/2006/relationships/hyperlink" Target="https://lrflideres.com.br/wp-content/plugins/download-attachments/includes/download.php?id=6879" TargetMode="External" Id="rId148"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149"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50" /><Relationship Type="http://schemas.openxmlformats.org/officeDocument/2006/relationships/hyperlink" Target="https://lrflideres.com.br/wp-content/plugins/download-attachments/includes/download.php?id=5589" TargetMode="External" Id="rId151" /><Relationship Type="http://schemas.openxmlformats.org/officeDocument/2006/relationships/hyperlink" Target="https://lrflideres.com.br/wp-content/plugins/download-attachments/includes/download.php?id=4023" TargetMode="External" Id="rId15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53" /><Relationship Type="http://schemas.openxmlformats.org/officeDocument/2006/relationships/hyperlink" Target="https://lrflideres.com.br/wp-content/plugins/download-attachments/includes/download.php?id=4023" TargetMode="External" Id="rId154" /><Relationship Type="http://schemas.openxmlformats.org/officeDocument/2006/relationships/hyperlink" Target="https://diligence.adm.br/wp-content/plugins/download-attachments/includes/download.php?id=4579" TargetMode="External" Id="rId155" /><Relationship Type="http://schemas.openxmlformats.org/officeDocument/2006/relationships/hyperlink" Target="https://assistjud.com.br/wp-content/uploads/elementor/forms/65098c80a5824.pdf" TargetMode="External" Id="rId156" /><Relationship Type="http://schemas.openxmlformats.org/officeDocument/2006/relationships/hyperlink" Target="https://ajruiz.com.br/sites/default/files/public/arquivos-processos/2023-11/4_relacao_de_credores_analitica_art._51_iii_da_lre.pdf" TargetMode="External" Id="rId157"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58" /><Relationship Type="http://schemas.openxmlformats.org/officeDocument/2006/relationships/hyperlink" Target="https://ajruiz.com.br/sites/default/files/public/arquivos-processos/2026-01/safrasul_relacao_de_credores_recuperanda.pdf" TargetMode="External" Id="rId159" /><Relationship Type="http://schemas.openxmlformats.org/officeDocument/2006/relationships/hyperlink" Target="https://marquesadmjudicial.com.br/sgc/download.php?file=files/processo_documento/processo_documento20014127022025_1_.pdf&amp;nome=Rela&#231;&#227;o Nominal de Credores" TargetMode="External" Id="rId160" /><Relationship Type="http://schemas.openxmlformats.org/officeDocument/2006/relationships/hyperlink" Target="https://cataliseaj.com.br/sgc/download.php?file=files/processo_documento/processo_documento15092204102024_1_.pdf&amp;nome=02. RELA&#199;&#195;O DE CREDORES" TargetMode="External" Id="rId161" /><Relationship Type="http://schemas.openxmlformats.org/officeDocument/2006/relationships/hyperlink" Target="https://ajruiz.com.br/sites/default/files/public/arquivos-processos/2026-08/qgc_azeplast_julho_2026.pdf" TargetMode="External" Id="rId162"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16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64" /><Relationship Type="http://schemas.openxmlformats.org/officeDocument/2006/relationships/hyperlink" Target="https://credibilita.com.br/wp-content/uploads/2025/09/Relacao-Credores-29.04.2026.pdf" TargetMode="External" Id="rId165" /><Relationship Type="http://schemas.openxmlformats.org/officeDocument/2006/relationships/hyperlink" Target="https://marquesadmjudicial.com.br/sgc/download.php?file=files/processo_documento/processo_documento17040729052024_1_.pdf&amp;nome=Rela&#231;&#227;o Nominal de Credores AJ-Sint&#233;tica" TargetMode="External" Id="rId166" /><Relationship Type="http://schemas.openxmlformats.org/officeDocument/2006/relationships/hyperlink" Target="https://scalzilliaj.com.br/sgc/download.php?file=files/processo_documento/processo_documento09514021082025_1_.pdf&amp;nome=04 - Rela&#231;&#227;o de credores das Recuperandas" TargetMode="External" Id="rId167"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68" /><Relationship Type="http://schemas.openxmlformats.org/officeDocument/2006/relationships/hyperlink" Target="https://marquesadmjudicial.com.br/sgc/download.php?file=files/processo_documento/processo_documento20014127022025_1_.pdf&amp;nome=Rela&#231;&#227;o Nominal de Credores" TargetMode="External" Id="rId169" /><Relationship Type="http://schemas.openxmlformats.org/officeDocument/2006/relationships/hyperlink" Target="https://lrflideres.com.br/wp-content/plugins/download-attachments/includes/download.php?id=4023" TargetMode="External" Id="rId170" /><Relationship Type="http://schemas.openxmlformats.org/officeDocument/2006/relationships/hyperlink" Target="https://scalzilliaj.com.br/sgc/download.php?file=files/processo_documento/processo_documento10141405032024_1_.pdf&amp;nome=10 - Edital do art. 7&#186;, &#167;2&#186; da Lei 11.101/2005 (segunda lista de credores)" TargetMode="External" Id="rId171" /><Relationship Type="http://schemas.openxmlformats.org/officeDocument/2006/relationships/hyperlink" Target="https://scalzilliaj.com.br/sgc/download.php?file=files/processo_documento/processo_documento15542620022025_1_.pdf&amp;nome=11 - Rela&#231;&#227;o de credores - art. 7&#186;, &#167;2&#186;, da LREF" TargetMode="External" Id="rId172" /><Relationship Type="http://schemas.openxmlformats.org/officeDocument/2006/relationships/hyperlink" Target="https://ajruiz.com.br/sites/default/files/public/arquivos-processos/2023-11/4_relacao_de_credores_analitica_art._51_iii_da_lre.pdf" TargetMode="External" Id="rId17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74" /><Relationship Type="http://schemas.openxmlformats.org/officeDocument/2006/relationships/hyperlink" Target="https://lrflideres.com.br/wp-content/plugins/download-attachments/includes/download.php?id=4023" TargetMode="External" Id="rId175" /><Relationship Type="http://schemas.openxmlformats.org/officeDocument/2006/relationships/hyperlink" Target="https://stenius.com.br/wp-content/uploads/2026/06/EDITAL-GRUPO-3E.pdf" TargetMode="External" Id="rId176" /><Relationship Type="http://schemas.openxmlformats.org/officeDocument/2006/relationships/hyperlink" Target="https://scalzilliaj.com.br/sgc/download.php?file=files/processo_documento/processo_documento09514021082025_1_.pdf&amp;nome=04 - Rela&#231;&#227;o de credores das Recuperandas" TargetMode="External" Id="rId177" /><Relationship Type="http://schemas.openxmlformats.org/officeDocument/2006/relationships/hyperlink" Target="https://credibilita.com.br/wp-content/uploads/2025/09/Relacao-Credores-29.04.2026.pdf" TargetMode="External" Id="rId178"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79"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180" /><Relationship Type="http://schemas.openxmlformats.org/officeDocument/2006/relationships/hyperlink" Target="https://stenius.com.br/wp-content/uploads/2026/06/EDITAL-GRUPO-3E.pdf" TargetMode="External" Id="rId181"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82" /><Relationship Type="http://schemas.openxmlformats.org/officeDocument/2006/relationships/hyperlink" Target="https://lrflideres.com.br/wp-content/plugins/download-attachments/includes/download.php?id=5589" TargetMode="External" Id="rId183" /><Relationship Type="http://schemas.openxmlformats.org/officeDocument/2006/relationships/hyperlink" Target="https://lrflideres.com.br/wp-content/plugins/download-attachments/includes/download.php?id=4023" TargetMode="External" Id="rId184" /><Relationship Type="http://schemas.openxmlformats.org/officeDocument/2006/relationships/hyperlink" Target="https://scalzilliaj.com.br/sgc/download.php?file=files/processo_documento/processo_documento09514021082025_1_.pdf&amp;nome=04 - Rela&#231;&#227;o de credores das Recuperandas" TargetMode="External" Id="rId18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86" /><Relationship Type="http://schemas.openxmlformats.org/officeDocument/2006/relationships/hyperlink" Target="https://credibilita.com.br/wp-content/uploads/2025/09/Relacao-Credores-29.04.2026.pdf" TargetMode="External" Id="rId187" /><Relationship Type="http://schemas.openxmlformats.org/officeDocument/2006/relationships/hyperlink" Target="https://credibilita.com.br/wp-content/uploads/2025/09/Relacao-Credores-29.04.2026.pdf" TargetMode="External" Id="rId18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89" /><Relationship Type="http://schemas.openxmlformats.org/officeDocument/2006/relationships/hyperlink" Target="https://lrflideres.com.br/wp-content/uploads/2022/08/4.-EDITAL-2a-LISTA-DE-CREDORES.pdf" TargetMode="External" Id="rId190" /><Relationship Type="http://schemas.openxmlformats.org/officeDocument/2006/relationships/hyperlink" Target="https://lrflideres.com.br/wp-content/plugins/download-attachments/includes/download.php?id=6252" TargetMode="External" Id="rId191" /><Relationship Type="http://schemas.openxmlformats.org/officeDocument/2006/relationships/hyperlink" Target="https://scalzilliaj.com.br/sgc/download.php?file=files/processo_documento/processo_documento09514021082025_1_.pdf&amp;nome=04 - Rela&#231;&#227;o de credores das Recuperandas" TargetMode="External" Id="rId192" /><Relationship Type="http://schemas.openxmlformats.org/officeDocument/2006/relationships/hyperlink" Target="https://lrflideres.com.br/wp-content/plugins/download-attachments/includes/download.php?id=4023" TargetMode="External" Id="rId19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94"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195" /><Relationship Type="http://schemas.openxmlformats.org/officeDocument/2006/relationships/hyperlink" Target="https://marquesadmjudicial.com.br/sgc/download.php?file=files/processo_documento/processo_documento20014127022025_1_.pdf&amp;nome=Rela&#231;&#227;o Nominal de Credores" TargetMode="External" Id="rId196" /><Relationship Type="http://schemas.openxmlformats.org/officeDocument/2006/relationships/hyperlink" Target="https://ajruiz.com.br/sites/default/files/public/arquivos-processos/2026-01/safrasul_relacao_de_credores_recuperanda.pdf" TargetMode="External" Id="rId197" /><Relationship Type="http://schemas.openxmlformats.org/officeDocument/2006/relationships/hyperlink" Target="https://lrflideres.com.br/wp-content/uploads/2022/08/4.-EDITAL-2a-LISTA-DE-CREDORES.pdf" TargetMode="External" Id="rId198" /><Relationship Type="http://schemas.openxmlformats.org/officeDocument/2006/relationships/hyperlink" Target="https://assistjud.com.br/wp-content/uploads/elementor/forms/65098c80a5824.pdf" TargetMode="External" Id="rId199" /><Relationship Type="http://schemas.openxmlformats.org/officeDocument/2006/relationships/hyperlink" Target="https://credibilita.com.br/wp-content/uploads/2025/09/Relacao-Credores-29.04.2026.pdf" TargetMode="External" Id="rId200" /><Relationship Type="http://schemas.openxmlformats.org/officeDocument/2006/relationships/hyperlink" Target="https://marquesadmjudicial.com.br/sgc/download.php?file=files/processo_documento/processo_documento20014127022025_1_.pdf&amp;nome=Rela&#231;&#227;o Nominal de Credores" TargetMode="External" Id="rId201"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202" /><Relationship Type="http://schemas.openxmlformats.org/officeDocument/2006/relationships/hyperlink" Target="https://cataliseaj.com.br/sgc/download.php?file=files/processo_documento/processo_documento15092204102024_1_.pdf&amp;nome=02. RELA&#199;&#195;O DE CREDORES" TargetMode="External" Id="rId203" /><Relationship Type="http://schemas.openxmlformats.org/officeDocument/2006/relationships/hyperlink" Target="https://inova-aj.com.br/wp-content/uploads/2026/08/1a-Relacao-de-Credores-Real.pdf" TargetMode="External" Id="rId204" /><Relationship Type="http://schemas.openxmlformats.org/officeDocument/2006/relationships/hyperlink" Target="https://ajruiz.com.br/sites/default/files/public/arquivos-processos/2024-04/relacao_de_credores_recuperanda_1.pdf" TargetMode="External" Id="rId205" /><Relationship Type="http://schemas.openxmlformats.org/officeDocument/2006/relationships/hyperlink" Target="https://credibilita.com.br/wp-content/uploads/2025/09/Relacao-Credores-29.04.2026.pdf" TargetMode="External" Id="rId206" /><Relationship Type="http://schemas.openxmlformats.org/officeDocument/2006/relationships/hyperlink" Target="https://marquesadmjudicial.com.br/sgc/download.php?file=files/processo_documento/processo_documento15232121112024_1_.pdf&amp;nome=Rela&#231;&#227;o de Credores" TargetMode="External" Id="rId207"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208" /><Relationship Type="http://schemas.openxmlformats.org/officeDocument/2006/relationships/hyperlink" Target="https://lrflideres.com.br/wp-content/plugins/download-attachments/includes/download.php?id=4023" TargetMode="External" Id="rId209" /><Relationship Type="http://schemas.openxmlformats.org/officeDocument/2006/relationships/hyperlink" Target="https://recuperacaojudicial.squarespace.com/s/RJ-Credimoveis-QGC-01082025.pdf" TargetMode="External" Id="rId210" /><Relationship Type="http://schemas.openxmlformats.org/officeDocument/2006/relationships/hyperlink" Target="https://scalzilliaj.com.br/sgc/download.php?file=files/processo_documento/processo_documento09514021082025_1_.pdf&amp;nome=04 - Rela&#231;&#227;o de credores das Recuperandas" TargetMode="External" Id="rId211" /><Relationship Type="http://schemas.openxmlformats.org/officeDocument/2006/relationships/hyperlink" Target="https://diligence.adm.br/wp-content/plugins/download-attachments/includes/download.php?id=4599" TargetMode="External" Id="rId212" /><Relationship Type="http://schemas.openxmlformats.org/officeDocument/2006/relationships/hyperlink" Target="https://credibilita.com.br/wp-content/uploads/2025/09/Relacao-Credores-29.04.2026.pdf" TargetMode="External" Id="rId213" /><Relationship Type="http://schemas.openxmlformats.org/officeDocument/2006/relationships/hyperlink" Target="https://lrflideres.com.br/wp-content/plugins/download-attachments/includes/download.php?id=4023" TargetMode="External" Id="rId214" /><Relationship Type="http://schemas.openxmlformats.org/officeDocument/2006/relationships/hyperlink" Target="https://bugarimecoelho.com.br/ws/media-library/b6b7ea42b9fa2afe30bc728fe00cd5c6/07---edital-do-processamento-da-recuperacao-judicial.pdf" TargetMode="External" Id="rId215" /><Relationship Type="http://schemas.openxmlformats.org/officeDocument/2006/relationships/hyperlink" Target="https://lrflideres.com.br/wp-content/plugins/download-attachments/includes/download.php?id=4023" TargetMode="External" Id="rId216" /><Relationship Type="http://schemas.openxmlformats.org/officeDocument/2006/relationships/hyperlink" Target="https://credibilita.com.br/wp-content/uploads/2025/09/Relacao-Credores-29.04.2026.pdf" TargetMode="External" Id="rId217" /><Relationship Type="http://schemas.openxmlformats.org/officeDocument/2006/relationships/hyperlink" Target="https://ajruiz.com.br/sites/default/files/public/arquivos-processos/2023-11/4_relacao_de_credores_analitica_art._51_iii_da_lre.pdf" TargetMode="External" Id="rId218" /><Relationship Type="http://schemas.openxmlformats.org/officeDocument/2006/relationships/hyperlink" Target="https://ajruiz.com.br/sites/default/files/public/arquivos-processos/2023-11/4_relacao_de_credores_analitica_art._51_iii_da_lre.pdf" TargetMode="External" Id="rId219" /><Relationship Type="http://schemas.openxmlformats.org/officeDocument/2006/relationships/hyperlink" Target="https://marquesadmjudicial.com.br/sgc/download.php?file=files/processo_documento/processo_documento17040729052024_1_.pdf&amp;nome=Rela&#231;&#227;o Nominal de Credores AJ-Sint&#233;tica" TargetMode="External" Id="rId220" /><Relationship Type="http://schemas.openxmlformats.org/officeDocument/2006/relationships/hyperlink" Target="https://ajruiz.com.br/sites/default/files/public/arquivos-processos/2026-01/safrasul_relacao_de_credores_recuperanda.pdf" TargetMode="External" Id="rId221" /><Relationship Type="http://schemas.openxmlformats.org/officeDocument/2006/relationships/hyperlink" Target="https://scalzilliaj.com.br/sgc/download.php?file=files/processo_documento/processo_documento09514021082025_1_.pdf&amp;nome=04 - Rela&#231;&#227;o de credores das Recuperandas" TargetMode="External" Id="rId222" /><Relationship Type="http://schemas.openxmlformats.org/officeDocument/2006/relationships/hyperlink" Target="https://lrflideres.com.br/wp-content/plugins/download-attachments/includes/download.php?id=6879" TargetMode="External" Id="rId223" /><Relationship Type="http://schemas.openxmlformats.org/officeDocument/2006/relationships/hyperlink" Target="https://rlg-aj.com.br/wp-content/uploads/2024/11/07.-Rela&#231;&#227;o-de-credores.pdf" TargetMode="External" Id="rId224" /><Relationship Type="http://schemas.openxmlformats.org/officeDocument/2006/relationships/hyperlink" Target="https://scalzilliaj.com.br/sgc/download.php?file=files/processo_documento/processo_documento09514021082025_1_.pdf&amp;nome=04 - Rela&#231;&#227;o de credores das Recuperandas" TargetMode="External" Id="rId225"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226"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227" /><Relationship Type="http://schemas.openxmlformats.org/officeDocument/2006/relationships/hyperlink" Target="https://credibilita.com.br/wp-content/uploads/2025/09/Relacao-Credores-29.04.2026.pdf" TargetMode="External" Id="rId228" /><Relationship Type="http://schemas.openxmlformats.org/officeDocument/2006/relationships/hyperlink" Target="https://marquesadmjudicial.com.br/sgc/download.php?file=files/processo_documento/processo_documento19270817122025_1_.pdf&amp;nome=Rela&#231;&#227;o Nominal de Credores AJ" TargetMode="External" Id="rId229"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230" /><Relationship Type="http://schemas.openxmlformats.org/officeDocument/2006/relationships/hyperlink" Target="https://credibilita.com.br/wp-content/uploads/2025/09/Relacao-Credores-29.04.2026.pdf" TargetMode="External" Id="rId231" /><Relationship Type="http://schemas.openxmlformats.org/officeDocument/2006/relationships/hyperlink" Target="https://scalzilliaj.com.br/sgc/download.php?file=files/processo_documento/processo_documento15542620022025_1_.pdf&amp;nome=11 - Rela&#231;&#227;o de credores - art. 7&#186;, &#167;2&#186;, da LREF" TargetMode="External" Id="rId232" /><Relationship Type="http://schemas.openxmlformats.org/officeDocument/2006/relationships/hyperlink" Target="https://lrflideres.com.br/wp-content/plugins/download-attachments/includes/download.php?id=4023" TargetMode="External" Id="rId23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34" /><Relationship Type="http://schemas.openxmlformats.org/officeDocument/2006/relationships/hyperlink" Target="https://lrflideres.com.br/wp-content/plugins/download-attachments/includes/download.php?id=4023" TargetMode="External" Id="rId235" /><Relationship Type="http://schemas.openxmlformats.org/officeDocument/2006/relationships/hyperlink" Target="https://scalzilliaj.com.br/sgc/download.php?file=files/processo_documento/processo_documento09514021082025_1_.pdf&amp;nome=04 - Rela&#231;&#227;o de credores das Recuperandas" TargetMode="External" Id="rId236" /><Relationship Type="http://schemas.openxmlformats.org/officeDocument/2006/relationships/hyperlink" Target="https://marquesadmjudicial.com.br/sgc/download.php?file=files/processo_documento/processo_documento17040729052024_1_.pdf&amp;nome=Rela&#231;&#227;o Nominal de Credores AJ-Sint&#233;tica" TargetMode="External" Id="rId237"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238" /><Relationship Type="http://schemas.openxmlformats.org/officeDocument/2006/relationships/hyperlink" Target="https://recuperacaojudicial.squarespace.com/s/RJ-Credimoveis-QGC-01082025.pdf" TargetMode="External" Id="rId239" /><Relationship Type="http://schemas.openxmlformats.org/officeDocument/2006/relationships/hyperlink" Target="https://stenius.com.br/wp-content/uploads/2026/06/EDITAL-GRUPO-3E.pdf" TargetMode="External" Id="rId240" /><Relationship Type="http://schemas.openxmlformats.org/officeDocument/2006/relationships/hyperlink" Target="https://marquesadmjudicial.com.br/sgc/download.php?file=files/processo_documento/processo_documento17040729052024_1_.pdf&amp;nome=Rela&#231;&#227;o Nominal de Credores AJ-Sint&#233;tica" TargetMode="External" Id="rId241" /><Relationship Type="http://schemas.openxmlformats.org/officeDocument/2006/relationships/hyperlink" Target="http://recuperacaojudicial.squarespace.com/s/LISTA-DE-CREDORES-CONSOLIDADA-ATE-04102024.pdf" TargetMode="External" Id="rId242" /><Relationship Type="http://schemas.openxmlformats.org/officeDocument/2006/relationships/hyperlink" Target="https://scalzilliaj.com.br/sgc/download.php?file=files/processo_documento/processo_documento09514021082025_1_.pdf&amp;nome=04 - Rela&#231;&#227;o de credores das Recuperandas" TargetMode="External" Id="rId243" /><Relationship Type="http://schemas.openxmlformats.org/officeDocument/2006/relationships/hyperlink" Target="https://scalzilliaj.com.br/sgc/download.php?file=files/processo_documento/processo_documento15542620022025_1_.pdf&amp;nome=11 - Rela&#231;&#227;o de credores - art. 7&#186;, &#167;2&#186;, da LREF" TargetMode="External" Id="rId244" /><Relationship Type="http://schemas.openxmlformats.org/officeDocument/2006/relationships/hyperlink" Target="https://rlg-aj.com.br/wp-content/uploads/2024/11/07.-Rela&#231;&#227;o-de-credores.pdf" TargetMode="External" Id="rId245" /><Relationship Type="http://schemas.openxmlformats.org/officeDocument/2006/relationships/hyperlink" Target="https://scalzilliaj.com.br/sgc/download.php?file=files/processo_documento/processo_documento09514021082025_1_.pdf&amp;nome=04 - Rela&#231;&#227;o de credores das Recuperandas" TargetMode="External" Id="rId246" /><Relationship Type="http://schemas.openxmlformats.org/officeDocument/2006/relationships/hyperlink" Target="https://lrflideres.com.br/wp-content/plugins/download-attachments/includes/download.php?id=6051" TargetMode="External" Id="rId247" /><Relationship Type="http://schemas.openxmlformats.org/officeDocument/2006/relationships/hyperlink" Target="https://ajruiz.com.br/sites/default/files/public/arquivos-processos/2024-04/relacao_de_credores_recuperanda_1.pdf" TargetMode="External" Id="rId248" /><Relationship Type="http://schemas.openxmlformats.org/officeDocument/2006/relationships/hyperlink" Target="https://lrflideres.com.br/wp-content/plugins/download-attachments/includes/download.php?id=6879" TargetMode="External" Id="rId249" /><Relationship Type="http://schemas.openxmlformats.org/officeDocument/2006/relationships/hyperlink" Target="https://scalzilliaj.com.br/sgc/download.php?file=files/processo_documento/processo_documento09514021082025_1_.pdf&amp;nome=04 - Rela&#231;&#227;o de credores das Recuperandas" TargetMode="External" Id="rId250" /><Relationship Type="http://schemas.openxmlformats.org/officeDocument/2006/relationships/hyperlink" Target="https://lrflideres.com.br/wp-content/plugins/download-attachments/includes/download.php?id=4023" TargetMode="External" Id="rId251"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52" /><Relationship Type="http://schemas.openxmlformats.org/officeDocument/2006/relationships/hyperlink" Target="https://scalzilliaj.com.br/sgc/download.php?file=files/processo_documento/processo_documento09514021082025_1_.pdf&amp;nome=04 - Rela&#231;&#227;o de credores das Recuperandas" TargetMode="External" Id="rId253" /><Relationship Type="http://schemas.openxmlformats.org/officeDocument/2006/relationships/hyperlink" Target="https://scalzilliaj.com.br/sgc/download.php?file=files/processo_documento/processo_documento09514021082025_1_.pdf&amp;nome=04 - Rela&#231;&#227;o de credores das Recuperandas" TargetMode="External" Id="rId254" /><Relationship Type="http://schemas.openxmlformats.org/officeDocument/2006/relationships/hyperlink" Target="https://ajruiz.com.br/sites/default/files/public/arquivos-processos/2024-04/relacao_de_credores_recuperanda_1.pdf" TargetMode="External" Id="rId255" /><Relationship Type="http://schemas.openxmlformats.org/officeDocument/2006/relationships/hyperlink" Target="https://marquesadmjudicial.com.br/sgc/download.php?file=files/processo_documento/processo_documento17040729052024_1_.pdf&amp;nome=Rela&#231;&#227;o Nominal de Credores AJ-Sint&#233;tica" TargetMode="External" Id="rId256"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25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58" /><Relationship Type="http://schemas.openxmlformats.org/officeDocument/2006/relationships/hyperlink" Target="https://marquesadmjudicial.com.br/sgc/download.php?file=files/processo_documento/processo_documento17040729052024_1_.pdf&amp;nome=Rela&#231;&#227;o Nominal de Credores AJ-Sint&#233;tica" TargetMode="External" Id="rId259" /><Relationship Type="http://schemas.openxmlformats.org/officeDocument/2006/relationships/hyperlink" Target="https://rlg-aj.com.br/wp-content/uploads/2024/11/07.-Rela&#231;&#227;o-de-credores.pdf" TargetMode="External" Id="rId260" /><Relationship Type="http://schemas.openxmlformats.org/officeDocument/2006/relationships/hyperlink" Target="https://ajruiz.com.br/sites/default/files/public/arquivos-processos/2026-08/qgc_azeplast_julho_2026.pdf" TargetMode="External" Id="rId261" /><Relationship Type="http://schemas.openxmlformats.org/officeDocument/2006/relationships/hyperlink" Target="https://recuperacaojudicial.squarespace.com/s/EDITAL-COM-A-2-LISTA-DE-CREDORES-E-INFORMANDO-A-APRESENTACO-DO-PRJ_1532.pdf" TargetMode="External" Id="rId262" /><Relationship Type="http://schemas.openxmlformats.org/officeDocument/2006/relationships/hyperlink" Target="https://rlg-aj.com.br/wp-content/uploads/2024/11/07.-Rela&#231;&#227;o-de-credores.pdf" TargetMode="External" Id="rId263" /><Relationship Type="http://schemas.openxmlformats.org/officeDocument/2006/relationships/hyperlink" Target="https://cataliseaj.com.br/sgc/download.php?file=files/processo_documento/processo_documento15092204102024_1_.pdf&amp;nome=02. RELA&#199;&#195;O DE CREDORES" TargetMode="External" Id="rId264" /><Relationship Type="http://schemas.openxmlformats.org/officeDocument/2006/relationships/hyperlink" Target="https://recuperacaojudicial.squarespace.com/s/RJ-Credimoveis-QGC-01082025.pdf" TargetMode="External" Id="rId265" /><Relationship Type="http://schemas.openxmlformats.org/officeDocument/2006/relationships/hyperlink" Target="https://scalzilliaj.com.br/sgc/download.php?file=files/processo_documento/processo_documento09514021082025_1_.pdf&amp;nome=04 - Rela&#231;&#227;o de credores das Recuperandas" TargetMode="External" Id="rId266"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267" /><Relationship Type="http://schemas.openxmlformats.org/officeDocument/2006/relationships/hyperlink" Target="https://ajruiz.com.br/sites/default/files/public/arquivos-processos/2024-04/relacao_de_credores_recuperanda_1.pdf" TargetMode="External" Id="rId268" /><Relationship Type="http://schemas.openxmlformats.org/officeDocument/2006/relationships/hyperlink" Target="https://diligence.adm.br/wp-content/uploads/2025/06/Edital-1a-Lista-de-Credores.pdf" TargetMode="External" Id="rId269" /><Relationship Type="http://schemas.openxmlformats.org/officeDocument/2006/relationships/hyperlink" Target="https://marquesadmjudicial.com.br/sgc/download.php?file=files/processo_documento/processo_documento11370527032026_1_.pdf&amp;nome=Quadro Geral de Credores (QGC) -AJ Anterior" TargetMode="External" Id="rId270" /><Relationship Type="http://schemas.openxmlformats.org/officeDocument/2006/relationships/hyperlink" Target="https://lrflideres.com.br/wp-content/plugins/download-attachments/includes/download.php?id=6252" TargetMode="External" Id="rId271" /><Relationship Type="http://schemas.openxmlformats.org/officeDocument/2006/relationships/hyperlink" Target="https://ajruiz.com.br/sites/default/files/public/arquivos-processos/2026-08/qgc_azeplast_julho_2026.pdf" TargetMode="External" Id="rId272" /><Relationship Type="http://schemas.openxmlformats.org/officeDocument/2006/relationships/hyperlink" Target="https://rlg-aj.com.br/wp-content/uploads/2024/11/07.-Rela&#231;&#227;o-de-credores.pdf" TargetMode="External" Id="rId273" /><Relationship Type="http://schemas.openxmlformats.org/officeDocument/2006/relationships/hyperlink" Target="https://lrflideres.com.br/wp-content/plugins/download-attachments/includes/download.php?id=4023" TargetMode="External" Id="rId274" /><Relationship Type="http://schemas.openxmlformats.org/officeDocument/2006/relationships/hyperlink" Target="https://scalzilliaj.com.br/sgc/download.php?file=files/processo_documento/processo_documento09514021082025_1_.pdf&amp;nome=04 - Rela&#231;&#227;o de credores das Recuperandas" TargetMode="External" Id="rId275"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276" /><Relationship Type="http://schemas.openxmlformats.org/officeDocument/2006/relationships/hyperlink" Target="https://ajruiz.com.br/sites/default/files/public/arquivos-processos/2023-11/4_relacao_de_credores_analitica_art._51_iii_da_lre.pdf" TargetMode="External" Id="rId277" /><Relationship Type="http://schemas.openxmlformats.org/officeDocument/2006/relationships/hyperlink" Target="https://vtladm.com.br/wp-content/uploads/2024/04/09-&#8211;-EDITAL-DE-CONVOCACAO-DE-CREDORES-&#8211;-Frigorifico-Alfa-Industria-e-Comercio-de-Carnes-e-Derivados-Ltda.-e-Ctx-Logistica-Transporte-E-Locacoes-Ltda.pdf" TargetMode="External" Id="rId278" /><Relationship Type="http://schemas.openxmlformats.org/officeDocument/2006/relationships/hyperlink" Target="https://stenius.com.br/wp-content/uploads/2026/06/EDITAL-GRUPO-3E.pdf" TargetMode="External" Id="rId279" /><Relationship Type="http://schemas.openxmlformats.org/officeDocument/2006/relationships/hyperlink" Target="https://marquesadmjudicial.com.br/sgc/download.php?file=files/processo_documento/processo_documento18581929042026_1_.pdf&amp;nome=3&#186; Edital - Rela&#231;&#227;o de Credores e PRJ" TargetMode="External" Id="rId280" /><Relationship Type="http://schemas.openxmlformats.org/officeDocument/2006/relationships/hyperlink" Target="https://ajruiz.com.br/sites/default/files/public/arquivos-processos/2024-04/relacao_de_credores_recuperanda_1.pdf" TargetMode="External" Id="rId281" /><Relationship Type="http://schemas.openxmlformats.org/officeDocument/2006/relationships/hyperlink" Target="https://scalzilliaj.com.br/sgc/download.php?file=files/processo_documento/processo_documento09514021082025_1_.pdf&amp;nome=04 - Rela&#231;&#227;o de credores das Recuperandas" TargetMode="External" Id="rId282" /><Relationship Type="http://schemas.openxmlformats.org/officeDocument/2006/relationships/hyperlink" Target="https://bbsadvogados.com.br/wp-content/uploads/2025/04/Equipseg-Edital-Relacao-de-Credores-da-Administradora-Judicial-art.-7o2o-da-LRF.pdf" TargetMode="External" Id="rId283" /><Relationship Type="http://schemas.openxmlformats.org/officeDocument/2006/relationships/hyperlink" Target="https://scalzilliaj.com.br/sgc/download.php?file=files/processo_documento/processo_documento09514021082025_1_.pdf&amp;nome=04 - Rela&#231;&#227;o de credores das Recuperandas" TargetMode="External" Id="rId284" /><Relationship Type="http://schemas.openxmlformats.org/officeDocument/2006/relationships/hyperlink" Target="https://credibilita.com.br/wp-content/uploads/2025/09/Relacao-Credores-29.04.2026.pdf" TargetMode="External" Id="rId285" /><Relationship Type="http://schemas.openxmlformats.org/officeDocument/2006/relationships/hyperlink" Target="https://lrflideres.com.br/wp-content/plugins/download-attachments/includes/download.php?id=4023" TargetMode="External" Id="rId286" /><Relationship Type="http://schemas.openxmlformats.org/officeDocument/2006/relationships/hyperlink" Target="https://marquesadmjudicial.com.br/sgc/download.php?file=files/processo_documento/processo_documento17040729052024_1_.pdf&amp;nome=Rela&#231;&#227;o Nominal de Credores AJ-Sint&#233;tica" TargetMode="External" Id="rId287" /><Relationship Type="http://schemas.openxmlformats.org/officeDocument/2006/relationships/hyperlink" Target="https://realbrasil.com.br/wp-content/uploads/2018/06/2_LISTA-DE-CREDORES-DA-RECUPERANDA_ROQUE.pdf" TargetMode="External" Id="rId288" /><Relationship Type="http://schemas.openxmlformats.org/officeDocument/2006/relationships/hyperlink" Target="https://scalzilliaj.com.br/sgc/download.php?file=files/processo_documento/processo_documento09514021082025_1_.pdf&amp;nome=04 - Rela&#231;&#227;o de credores das Recuperandas" TargetMode="External" Id="rId289" /><Relationship Type="http://schemas.openxmlformats.org/officeDocument/2006/relationships/hyperlink" Target="https://scalzilliaj.com.br/sgc/download.php?file=files/processo_documento/processo_documento09514021082025_1_.pdf&amp;nome=04 - Rela&#231;&#227;o de credores das Recuperandas" TargetMode="External" Id="rId290" /><Relationship Type="http://schemas.openxmlformats.org/officeDocument/2006/relationships/hyperlink" Target="https://ajruiz.com.br/sites/default/files/public/arquivos-processos/2024-04/relacao_de_credores_recuperanda_1.pdf" TargetMode="External" Id="rId291" /><Relationship Type="http://schemas.openxmlformats.org/officeDocument/2006/relationships/hyperlink" Target="https://ajruiz.com.br/sites/default/files/public/arquivos-processos/2024-04/relacao_de_credores_recuperanda_1.pdf" TargetMode="External" Id="rId29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93" /><Relationship Type="http://schemas.openxmlformats.org/officeDocument/2006/relationships/hyperlink" Target="https://credibilita.com.br/wp-content/uploads/2025/09/Relacao-Credores-29.04.2026.pdf" TargetMode="External" Id="rId294" /><Relationship Type="http://schemas.openxmlformats.org/officeDocument/2006/relationships/hyperlink" Target="https://marquesadmjudicial.com.br/sgc/download.php?file=files/processo_documento/processo_documento20014127022025_1_.pdf&amp;nome=Rela&#231;&#227;o Nominal de Credores" TargetMode="External" Id="rId295" /><Relationship Type="http://schemas.openxmlformats.org/officeDocument/2006/relationships/hyperlink" Target="https://administradorajudicialgs.com.br/wp-content/uploads/2024/12/relacao-de-credores-da-falida.pdf" TargetMode="External" Id="rId296" /><Relationship Type="http://schemas.openxmlformats.org/officeDocument/2006/relationships/hyperlink" Target="https://marquesadmjudicial.com.br/sgc/download.php?file=files/processo_documento/processo_documento20014127022025_1_.pdf&amp;nome=Rela&#231;&#227;o Nominal de Credores" TargetMode="External" Id="rId297" /><Relationship Type="http://schemas.openxmlformats.org/officeDocument/2006/relationships/hyperlink" Target="https://lrflideres.com.br/wp-content/plugins/download-attachments/includes/download.php?id=5589" TargetMode="External" Id="rId298" /><Relationship Type="http://schemas.openxmlformats.org/officeDocument/2006/relationships/hyperlink" Target="https://lrflideres.com.br/wp-content/plugins/download-attachments/includes/download.php?id=5589" TargetMode="External" Id="rId299" /><Relationship Type="http://schemas.openxmlformats.org/officeDocument/2006/relationships/hyperlink" Target="https://marquesadmjudicial.com.br/sgc/download.php?file=files/processo_documento/processo_documento11370527032026_1_.pdf&amp;nome=Quadro Geral de Credores (QGC) -AJ Anterior" TargetMode="External" Id="rId300"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01" /><Relationship Type="http://schemas.openxmlformats.org/officeDocument/2006/relationships/hyperlink" Target="https://violet-wolf-754008.hostingersite.com/wp-content/uploads/recuperacoes-judiciais/Ebramec/2o-Edital-de-Credores.pdf" TargetMode="External" Id="rId302" /><Relationship Type="http://schemas.openxmlformats.org/officeDocument/2006/relationships/hyperlink" Target="https://lrflideres.com.br/wp-content/plugins/download-attachments/includes/download.php?id=7418" TargetMode="External" Id="rId303" /><Relationship Type="http://schemas.openxmlformats.org/officeDocument/2006/relationships/hyperlink" Target="https://assistjud.com.br/wp-content/uploads/elementor/forms/65098c80a5824.pdf" TargetMode="External" Id="rId304"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305" /><Relationship Type="http://schemas.openxmlformats.org/officeDocument/2006/relationships/hyperlink" Target="https://marquesadmjudicial.com.br/sgc/download.php?file=files/processo_documento/processo_documento17040729052024_1_.pdf&amp;nome=Rela&#231;&#227;o Nominal de Credores AJ-Sint&#233;tica" TargetMode="External" Id="rId306" /><Relationship Type="http://schemas.openxmlformats.org/officeDocument/2006/relationships/hyperlink" Target="https://inova-aj.com.br/wp-content/uploads/2026/08/1a-Relacao-de-Credores-Real.pdf" TargetMode="External" Id="rId307" /><Relationship Type="http://schemas.openxmlformats.org/officeDocument/2006/relationships/hyperlink" Target="https://lrflideres.com.br/wp-content/plugins/download-attachments/includes/download.php?id=6252" TargetMode="External" Id="rId308"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30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10" /><Relationship Type="http://schemas.openxmlformats.org/officeDocument/2006/relationships/hyperlink" Target="https://stenius.com.br/wp-content/uploads/2026/06/EDITAL-GRUPO-3E.pdf" TargetMode="External" Id="rId311"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1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13" /><Relationship Type="http://schemas.openxmlformats.org/officeDocument/2006/relationships/hyperlink" Target="https://lrflideres.com.br/wp-content/plugins/download-attachments/includes/download.php?id=4023" TargetMode="External" Id="rId314" /><Relationship Type="http://schemas.openxmlformats.org/officeDocument/2006/relationships/hyperlink" Target="https://scalzilliaj.com.br/sgc/download.php?file=files/processo_documento/processo_documento15542620022025_1_.pdf&amp;nome=11 - Rela&#231;&#227;o de credores - art. 7&#186;, &#167;2&#186;, da LREF" TargetMode="External" Id="rId315"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316" /><Relationship Type="http://schemas.openxmlformats.org/officeDocument/2006/relationships/hyperlink" Target="https://scalzilliaj.com.br/sgc/download.php?file=files/processo_documento/processo_documento09514021082025_1_.pdf&amp;nome=04 - Rela&#231;&#227;o de credores das Recuperandas" TargetMode="External" Id="rId317" /><Relationship Type="http://schemas.openxmlformats.org/officeDocument/2006/relationships/hyperlink" Target="https://ajruiz.com.br/sites/default/files/public/arquivos-processos/2026-08/qgc_azeplast_julho_2026.pdf" TargetMode="External" Id="rId318" /><Relationship Type="http://schemas.openxmlformats.org/officeDocument/2006/relationships/hyperlink" Target="https://lrflideres.com.br/wp-content/plugins/download-attachments/includes/download.php?id=4023" TargetMode="External" Id="rId319" /><Relationship Type="http://schemas.openxmlformats.org/officeDocument/2006/relationships/hyperlink" Target="https://scalzilliaj.com.br/sgc/download.php?file=files/processo_documento/processo_documento09514021082025_1_.pdf&amp;nome=04 - Rela&#231;&#227;o de credores das Recuperandas" TargetMode="External" Id="rId320" /><Relationship Type="http://schemas.openxmlformats.org/officeDocument/2006/relationships/hyperlink" Target="https://scalzilliaj.com.br/sgc/download.php?file=files/processo_documento/processo_documento09514021082025_1_.pdf&amp;nome=04 - Rela&#231;&#227;o de credores das Recuperandas" TargetMode="External" Id="rId321" /><Relationship Type="http://schemas.openxmlformats.org/officeDocument/2006/relationships/hyperlink" Target="https://lrflideres.com.br/wp-content/plugins/download-attachments/includes/download.php?id=4023" TargetMode="External" Id="rId322" /><Relationship Type="http://schemas.openxmlformats.org/officeDocument/2006/relationships/hyperlink" Target="https://credibilita.com.br/wp-content/uploads/2025/09/Relacao-Credores-29.04.2026.pdf" TargetMode="External" Id="rId323" /><Relationship Type="http://schemas.openxmlformats.org/officeDocument/2006/relationships/hyperlink" Target="https://cataliseaj.com.br/sgc/download.php?file=files/processo_documento/processo_documento15092204102024_1_.pdf&amp;nome=02. RELA&#199;&#195;O DE CREDORES" TargetMode="External" Id="rId324" /><Relationship Type="http://schemas.openxmlformats.org/officeDocument/2006/relationships/hyperlink" Target="https://credibilita.com.br/wp-content/uploads/2025/09/Relacao-Credores-29.04.2026.pdf" TargetMode="External" Id="rId325" /><Relationship Type="http://schemas.openxmlformats.org/officeDocument/2006/relationships/hyperlink" Target="https://credibilita.com.br/wp-content/uploads/2025/09/Relacao-Credores-29.04.2026.pdf" TargetMode="External" Id="rId326" /><Relationship Type="http://schemas.openxmlformats.org/officeDocument/2006/relationships/hyperlink" Target="https://scalzilliaj.com.br/sgc/download.php?file=files/processo_documento/processo_documento09514021082025_1_.pdf&amp;nome=04 - Rela&#231;&#227;o de credores das Recuperandas" TargetMode="External" Id="rId327"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328" /><Relationship Type="http://schemas.openxmlformats.org/officeDocument/2006/relationships/hyperlink" Target="https://administradorajudicialgs.com.br/wp-content/uploads/2023/08/advogados-sgrott-doc-22-relacao-de-credores-do-administrador-judicial-classe-iii-05-02-14.pdf" TargetMode="External" Id="rId329" /><Relationship Type="http://schemas.openxmlformats.org/officeDocument/2006/relationships/hyperlink" Target="https://rlg-aj.com.br/wp-content/uploads/2024/11/07.-Rela&#231;&#227;o-de-credores.pdf" TargetMode="External" Id="rId330" /><Relationship Type="http://schemas.openxmlformats.org/officeDocument/2006/relationships/hyperlink" Target="https://lrflideres.com.br/wp-content/plugins/download-attachments/includes/download.php?id=5589" TargetMode="External" Id="rId331" /><Relationship Type="http://schemas.openxmlformats.org/officeDocument/2006/relationships/hyperlink" Target="https://cdn.dol.com.br/img/attachmentinline/940000/6publicacao-2-edital-art-7-parag-2-da-lei-11101-20009467060.pdf?xid=3272528" TargetMode="External" Id="rId332" /><Relationship Type="http://schemas.openxmlformats.org/officeDocument/2006/relationships/hyperlink" Target="https://lrflideres.com.br/wp-content/plugins/download-attachments/includes/download.php?id=5589" TargetMode="External" Id="rId333" /><Relationship Type="http://schemas.openxmlformats.org/officeDocument/2006/relationships/hyperlink" Target="http://bernardobicalho.com.br/login/app/documents/Rela%C3%A7%C3%A3o%20de%20Credores/6.%20RVC-%20Nutricium%20-%20simplificada.pdf" TargetMode="External" Id="rId334" /><Relationship Type="http://schemas.openxmlformats.org/officeDocument/2006/relationships/hyperlink" Target="https://stenius.com.br/wp-content/uploads/2026/06/EDITAL-GRUPO-3E.pdf" TargetMode="External" Id="rId335" /><Relationship Type="http://schemas.openxmlformats.org/officeDocument/2006/relationships/hyperlink" Target="https://credibilita.com.br/wp-content/uploads/2025/09/Relacao-Credores-29.04.2026.pdf" TargetMode="External" Id="rId336" /><Relationship Type="http://schemas.openxmlformats.org/officeDocument/2006/relationships/hyperlink" Target="https://lrflideres.com.br/wp-content/plugins/download-attachments/includes/download.php?id=4023" TargetMode="External" Id="rId337" /><Relationship Type="http://schemas.openxmlformats.org/officeDocument/2006/relationships/hyperlink" Target="https://cataliseaj.com.br/sgc/download.php?file=files/processo_documento/processo_documento15092204102024_1_.pdf&amp;nome=02. RELA&#199;&#195;O DE CREDORES" TargetMode="External" Id="rId338" /><Relationship Type="http://schemas.openxmlformats.org/officeDocument/2006/relationships/hyperlink" Target="https://recuperacaojudicial.squarespace.com/s/RJ-Credimoveis-QGC-01082025.pdf" TargetMode="External" Id="rId339" /><Relationship Type="http://schemas.openxmlformats.org/officeDocument/2006/relationships/hyperlink" Target="http://recuperacaojudicial.squarespace.com/s/LISTA-DE-CREDORES-CONSOLIDADA-ATE-04102024.pdf" TargetMode="External" Id="rId340" /><Relationship Type="http://schemas.openxmlformats.org/officeDocument/2006/relationships/hyperlink" Target="https://scalzilliaj.com.br/sgc/download.php?file=files/processo_documento/processo_documento09514021082025_1_.pdf&amp;nome=04 - Rela&#231;&#227;o de credores das Recuperandas" TargetMode="External" Id="rId341" /><Relationship Type="http://schemas.openxmlformats.org/officeDocument/2006/relationships/hyperlink" Target="https://administradorajudicialgs.com.br/wp-content/uploads/2023/08/advogados-sgrott-doc-22-relacao-de-credores-do-administrador-judicial-classe-iii-05-02-14.pdf" TargetMode="External" Id="rId342" /><Relationship Type="http://schemas.openxmlformats.org/officeDocument/2006/relationships/hyperlink" Target="https://scalzilliaj.com.br/sgc/download.php?file=files/processo_documento/processo_documento09514021082025_1_.pdf&amp;nome=04 - Rela&#231;&#227;o de credores das Recuperandas" TargetMode="External" Id="rId343" /><Relationship Type="http://schemas.openxmlformats.org/officeDocument/2006/relationships/hyperlink" Target="https://lrflideres.com.br/wp-content/plugins/download-attachments/includes/download.php?id=4023" TargetMode="External" Id="rId344" /><Relationship Type="http://schemas.openxmlformats.org/officeDocument/2006/relationships/hyperlink" Target="https://lrflideres.com.br/wp-content/plugins/download-attachments/includes/download.php?id=4023" TargetMode="External" Id="rId345"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346" /><Relationship Type="http://schemas.openxmlformats.org/officeDocument/2006/relationships/hyperlink" Target="https://lrflideres.com.br/wp-content/plugins/download-attachments/includes/download.php?id=4023" TargetMode="External" Id="rId34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48" /><Relationship Type="http://schemas.openxmlformats.org/officeDocument/2006/relationships/hyperlink" Target="https://lrflideres.com.br/wp-content/plugins/download-attachments/includes/download.php?id=6879" TargetMode="External" Id="rId349" /><Relationship Type="http://schemas.openxmlformats.org/officeDocument/2006/relationships/hyperlink" Target="https://stenius.com.br/wp-content/uploads/2026/06/EDITAL-GRUPO-3E.pdf" TargetMode="External" Id="rId350" /><Relationship Type="http://schemas.openxmlformats.org/officeDocument/2006/relationships/hyperlink" Target="https://scalzilliaj.com.br/sgc/download.php?file=files/processo_documento/processo_documento09514021082025_1_.pdf&amp;nome=04 - Rela&#231;&#227;o de credores das Recuperandas" TargetMode="External" Id="rId351" /><Relationship Type="http://schemas.openxmlformats.org/officeDocument/2006/relationships/hyperlink" Target="https://lrflideres.com.br/wp-content/plugins/download-attachments/includes/download.php?id=4023" TargetMode="External" Id="rId35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53" /><Relationship Type="http://schemas.openxmlformats.org/officeDocument/2006/relationships/hyperlink" Target="https://administradorajudicialgs.com.br/wp-content/uploads/2023/08/advogados-sgrott-doc-22-relacao-de-credores-do-administrador-judicial-classe-iii-05-02-14.pdf" TargetMode="External" Id="rId354"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355" /><Relationship Type="http://schemas.openxmlformats.org/officeDocument/2006/relationships/hyperlink" Target="https://lrflideres.com.br/wp-content/plugins/download-attachments/includes/download.php?id=5828" TargetMode="External" Id="rId356" /><Relationship Type="http://schemas.openxmlformats.org/officeDocument/2006/relationships/hyperlink" Target="https://recuperacaojudicial.squarespace.com/s/RJ-Credimoveis-QGC-01082025.pdf" TargetMode="External" Id="rId357" /><Relationship Type="http://schemas.openxmlformats.org/officeDocument/2006/relationships/hyperlink" Target="https://scalzilliaj.com.br/sgc/download.php?file=files/processo_documento/processo_documento09514021082025_1_.pdf&amp;nome=04 - Rela&#231;&#227;o de credores das Recuperandas" TargetMode="External" Id="rId358"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359"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60" /><Relationship Type="http://schemas.openxmlformats.org/officeDocument/2006/relationships/hyperlink" Target="https://marquesadmjudicial.com.br/sgc/download.php?file=files/processo_documento/processo_documento17040729052024_1_.pdf&amp;nome=Rela&#231;&#227;o Nominal de Credores AJ-Sint&#233;tica" TargetMode="External" Id="rId361" /><Relationship Type="http://schemas.openxmlformats.org/officeDocument/2006/relationships/hyperlink" Target="https://lrflideres.com.br/wp-content/plugins/download-attachments/includes/download.php?id=4023" TargetMode="External" Id="rId362"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363" /><Relationship Type="http://schemas.openxmlformats.org/officeDocument/2006/relationships/hyperlink" Target="https://marquesadmjudicial.com.br/sgc/download.php?file=files/processo_documento/processo_documento17040729052024_1_.pdf&amp;nome=Rela&#231;&#227;o Nominal de Credores AJ-Sint&#233;tica" TargetMode="External" Id="rId364" /><Relationship Type="http://schemas.openxmlformats.org/officeDocument/2006/relationships/hyperlink" Target="https://ajruiz.com.br/sites/default/files/public/arquivos-processos/2024-04/relacao_de_credores_recuperanda_1.pdf" TargetMode="External" Id="rId365" /><Relationship Type="http://schemas.openxmlformats.org/officeDocument/2006/relationships/hyperlink" Target="https://ajruiz.com.br/sites/default/files/public/arquivos-processos/2024-04/relacao_de_credores_recuperanda_1.pdf" TargetMode="External" Id="rId366" /><Relationship Type="http://schemas.openxmlformats.org/officeDocument/2006/relationships/hyperlink" Target="https://ajruiz.com.br/sites/default/files/public/arquivos-processos/2026-08/qgc_azeplast_julho_2026.pdf" TargetMode="External" Id="rId367" /><Relationship Type="http://schemas.openxmlformats.org/officeDocument/2006/relationships/hyperlink" Target="https://administradorajudicialgs.com.br/wp-content/uploads/2024/12/relacao-de-credores-da-falida.pdf" TargetMode="External" Id="rId368" /><Relationship Type="http://schemas.openxmlformats.org/officeDocument/2006/relationships/hyperlink" Target="https://lrflideres.com.br/wp-content/plugins/download-attachments/includes/download.php?id=6273" TargetMode="External" Id="rId369" /><Relationship Type="http://schemas.openxmlformats.org/officeDocument/2006/relationships/hyperlink" Target="https://credibilita.com.br/wp-content/uploads/2025/09/Relacao-Credores-29.04.2026.pdf" TargetMode="External" Id="rId370"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7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72" /><Relationship Type="http://schemas.openxmlformats.org/officeDocument/2006/relationships/hyperlink" Target="https://lrflideres.com.br/wp-content/plugins/download-attachments/includes/download.php?id=4023" TargetMode="External" Id="rId373" /><Relationship Type="http://schemas.openxmlformats.org/officeDocument/2006/relationships/hyperlink" Target="https://marquesadmjudicial.com.br/sgc/download.php?file=files/processo_documento/processo_documento17040729052024_1_.pdf&amp;nome=Rela&#231;&#227;o Nominal de Credores AJ-Sint&#233;tica" TargetMode="External" Id="rId374" /><Relationship Type="http://schemas.openxmlformats.org/officeDocument/2006/relationships/hyperlink" Target="https://stenius.com.br/wp-content/uploads/2026/06/EDITAL-GRUPO-3E.pdf" TargetMode="External" Id="rId375" /><Relationship Type="http://schemas.openxmlformats.org/officeDocument/2006/relationships/hyperlink" Target="https://ajruiz.com.br/sites/default/files/public/arquivos-processos/2024-04/relacao_de_credores_recuperanda_1.pdf" TargetMode="External" Id="rId376" /><Relationship Type="http://schemas.openxmlformats.org/officeDocument/2006/relationships/hyperlink" Target="https://cataliseaj.com.br/sgc/download.php?file=files/processo_documento/processo_documento15092204102024_1_.pdf&amp;nome=02. RELA&#199;&#195;O DE CREDORES" TargetMode="External" Id="rId377"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78" /><Relationship Type="http://schemas.openxmlformats.org/officeDocument/2006/relationships/hyperlink" Target="https://ajruiz.com.br/sites/default/files/public/arquivos-processos/2026-08/qgc_azeplast_julho_2026.pdf" TargetMode="External" Id="rId379"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380"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81" /><Relationship Type="http://schemas.openxmlformats.org/officeDocument/2006/relationships/hyperlink" Target="https://ajruiz.com.br/sites/default/files/public/arquivos-processos/2023-11/4_relacao_de_credores_analitica_art._51_iii_da_lre.pdf" TargetMode="External" Id="rId382" /><Relationship Type="http://schemas.openxmlformats.org/officeDocument/2006/relationships/hyperlink" Target="https://recuperacaojudicial.squarespace.com/s/4-RJCTREditalda2ListadeCredoresnovembro2019.pdf" TargetMode="External" Id="rId383"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384" /><Relationship Type="http://schemas.openxmlformats.org/officeDocument/2006/relationships/hyperlink" Target="https://credibilita.com.br/wp-content/uploads/2025/09/Relacao-Credores-29.04.2026.pdf" TargetMode="External" Id="rId385" /><Relationship Type="http://schemas.openxmlformats.org/officeDocument/2006/relationships/hyperlink" Target="https://lrflideres.com.br/wp-content/plugins/download-attachments/includes/download.php?id=6252" TargetMode="External" Id="rId386" /><Relationship Type="http://schemas.openxmlformats.org/officeDocument/2006/relationships/hyperlink" Target="https://stenius.com.br/wp-content/uploads/2026/06/EDITAL-GRUPO-3E.pdf" TargetMode="External" Id="rId38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88" /><Relationship Type="http://schemas.openxmlformats.org/officeDocument/2006/relationships/hyperlink" Target="https://scalzilliaj.com.br/sgc/download.php?file=files/processo_documento/processo_documento09514021082025_1_.pdf&amp;nome=04 - Rela&#231;&#227;o de credores das Recuperandas" TargetMode="External" Id="rId38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90" /><Relationship Type="http://schemas.openxmlformats.org/officeDocument/2006/relationships/hyperlink" Target="https://acfb.com.br/wp-content/uploads/2026/06/Relacao_de_Credores_Pneus_-_SITE.pdf" TargetMode="External" Id="rId391" /><Relationship Type="http://schemas.openxmlformats.org/officeDocument/2006/relationships/hyperlink" Target="https://lrflideres.com.br/wp-content/plugins/download-attachments/includes/download.php?id=7418" TargetMode="External" Id="rId392" /><Relationship Type="http://schemas.openxmlformats.org/officeDocument/2006/relationships/hyperlink" Target="http://recuperacaojudicial.squarespace.com/s/LISTA-DE-CREDORES-CONSOLIDADA-ATE-04102024.pdf" TargetMode="External" Id="rId393"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394" /><Relationship Type="http://schemas.openxmlformats.org/officeDocument/2006/relationships/hyperlink" Target="https://ajruiz.com.br/sites/default/files/public/arquivos-processos/2026-06/alto_uruguai_qgc_junho.2026.pdf" TargetMode="External" Id="rId395" /><Relationship Type="http://schemas.openxmlformats.org/officeDocument/2006/relationships/hyperlink" Target="https://scalzilliaj.com.br/sgc/download.php?file=files/processo_documento/processo_documento09514021082025_1_.pdf&amp;nome=04 - Rela&#231;&#227;o de credores das Recuperandas" TargetMode="External" Id="rId396" /><Relationship Type="http://schemas.openxmlformats.org/officeDocument/2006/relationships/hyperlink" Target="https://ricardobiancardi.com.br/wp-content/uploads/2024/12/Edital-1-relacao-de-credores-pub.-02.12.24-.pdf" TargetMode="External" Id="rId397" /><Relationship Type="http://schemas.openxmlformats.org/officeDocument/2006/relationships/hyperlink" Target="https://assistjud.com.br/wp-content/uploads/elementor/forms/65098c80a5824.pdf" TargetMode="External" Id="rId398" /><Relationship Type="http://schemas.openxmlformats.org/officeDocument/2006/relationships/hyperlink" Target="https://administradorajudicialgs.com.br/wp-content/uploads/2024/12/relacao-de-credores-da-falida.pdf" TargetMode="External" Id="rId399" /><Relationship Type="http://schemas.openxmlformats.org/officeDocument/2006/relationships/hyperlink" Target="https://ricardobiancardi.com.br/wp-content/uploads/2024/12/Edital-1-relacao-de-credores-pub.-02.12.24-.pdf" TargetMode="External" Id="rId400" /><Relationship Type="http://schemas.openxmlformats.org/officeDocument/2006/relationships/hyperlink" Target="https://lrflideres.com.br/wp-content/plugins/download-attachments/includes/download.php?id=7418" TargetMode="External" Id="rId401" /><Relationship Type="http://schemas.openxmlformats.org/officeDocument/2006/relationships/hyperlink" Target="http://recuperacaojudicial.squarespace.com/s/LISTA-DE-CREDORES-CONSOLIDADA-ATE-04102024.pdf" TargetMode="External" Id="rId40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03" /><Relationship Type="http://schemas.openxmlformats.org/officeDocument/2006/relationships/hyperlink" Target="https://lrflideres.com.br/wp-content/plugins/download-attachments/includes/download.php?id=4023" TargetMode="External" Id="rId404" /><Relationship Type="http://schemas.openxmlformats.org/officeDocument/2006/relationships/hyperlink" Target="https://inova-aj.com.br/wp-content/uploads/2026/08/1a-Relacao-de-Credores-Real.pdf" TargetMode="External" Id="rId405" /><Relationship Type="http://schemas.openxmlformats.org/officeDocument/2006/relationships/hyperlink" Target="https://diligence.adm.br/wp-content/plugins/download-attachments/includes/download.php?id=4599" TargetMode="External" Id="rId406"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407" /><Relationship Type="http://schemas.openxmlformats.org/officeDocument/2006/relationships/hyperlink" Target="https://scalzilliaj.com.br/sgc/download.php?file=files/processo_documento/processo_documento09514021082025_1_.pdf&amp;nome=04 - Rela&#231;&#227;o de credores das Recuperandas" TargetMode="External" Id="rId408" /><Relationship Type="http://schemas.openxmlformats.org/officeDocument/2006/relationships/hyperlink" Target="https://ajruiz.com.br/sites/default/files/public/arquivos-processos/2024-04/relacao_de_credores_recuperanda_1.pdf" TargetMode="External" Id="rId409" /><Relationship Type="http://schemas.openxmlformats.org/officeDocument/2006/relationships/hyperlink" Target="https://lrflideres.com.br/wp-content/plugins/download-attachments/includes/download.php?id=4023" TargetMode="External" Id="rId410" /><Relationship Type="http://schemas.openxmlformats.org/officeDocument/2006/relationships/hyperlink" Target="https://marquesadmjudicial.com.br/sgc/download.php?file=files/processo_documento/processo_documento09444722082025_1_.pdf&amp;nome=2&#176; Edital - Rela&#231;&#227;o de Credores AJ e PRJ" TargetMode="External" Id="rId411" /><Relationship Type="http://schemas.openxmlformats.org/officeDocument/2006/relationships/hyperlink" Target="https://scalzilliaj.com.br/sgc/download.php?file=files/processo_documento/processo_documento09514021082025_1_.pdf&amp;nome=04 - Rela&#231;&#227;o de credores das Recuperandas" TargetMode="External" Id="rId412" /><Relationship Type="http://schemas.openxmlformats.org/officeDocument/2006/relationships/hyperlink" Target="https://recuperacaojudicial.squarespace.com/s/RJ-Credimoveis-QGC-01082025.pdf" TargetMode="External" Id="rId413" /><Relationship Type="http://schemas.openxmlformats.org/officeDocument/2006/relationships/hyperlink" Target="https://administradorajudicialgs.com.br/wp-content/uploads/2024/12/relacao-de-credores-da-falida.pdf" TargetMode="External" Id="rId414" /><Relationship Type="http://schemas.openxmlformats.org/officeDocument/2006/relationships/hyperlink" Target="https://scalzilliaj.com.br/sgc/download.php?file=files/processo_documento/processo_documento15542620022025_1_.pdf&amp;nome=11 - Rela&#231;&#227;o de credores - art. 7&#186;, &#167;2&#186;, da LREF" TargetMode="External" Id="rId415" /><Relationship Type="http://schemas.openxmlformats.org/officeDocument/2006/relationships/hyperlink" Target="https://recuperacaojudicial.squarespace.com/s/RJ-Credimoveis-QGC-01082025.pdf" TargetMode="External" Id="rId416" /><Relationship Type="http://schemas.openxmlformats.org/officeDocument/2006/relationships/hyperlink" Target="https://recuperacaojudicial.squarespace.com/s/RJ-Credimoveis-QGC-01082025.pdf" TargetMode="External" Id="rId417" /><Relationship Type="http://schemas.openxmlformats.org/officeDocument/2006/relationships/hyperlink" Target="https://recuperacaojudicial.squarespace.com/s/RJ-Credimoveis-QGC-01082025.pdf" TargetMode="External" Id="rId418" /><Relationship Type="http://schemas.openxmlformats.org/officeDocument/2006/relationships/hyperlink" Target="https://stenius.com.br/wp-content/uploads/2026/06/EDITAL-GRUPO-3E.pdf" TargetMode="External" Id="rId419" /><Relationship Type="http://schemas.openxmlformats.org/officeDocument/2006/relationships/hyperlink" Target="https://recuperacaojudicial.squarespace.com/s/RJ-Credimoveis-QGC-01082025.pdf" TargetMode="External" Id="rId420"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21" /><Relationship Type="http://schemas.openxmlformats.org/officeDocument/2006/relationships/hyperlink" Target="https://stenius.com.br/wp-content/uploads/2026/06/EDITAL-GRUPO-3E.pdf" TargetMode="External" Id="rId422" /><Relationship Type="http://schemas.openxmlformats.org/officeDocument/2006/relationships/hyperlink" Target="https://recuperacaojudicial.squarespace.com/s/RJ-Credimoveis-QGC-01082025.pdf" TargetMode="External" Id="rId423" /><Relationship Type="http://schemas.openxmlformats.org/officeDocument/2006/relationships/hyperlink" Target="https://realbrasil.com.br/wp-content/uploads/2018/06/2_LISTA-DE-CREDORES-DA-RECUPERANDA_ROQUE.pdf" TargetMode="External" Id="rId424" /><Relationship Type="http://schemas.openxmlformats.org/officeDocument/2006/relationships/hyperlink" Target="https://stenius.com.br/wp-content/uploads/2026/06/EDITAL-GRUPO-3E.pdf" TargetMode="External" Id="rId425" /><Relationship Type="http://schemas.openxmlformats.org/officeDocument/2006/relationships/hyperlink" Target="https://ajruiz.com.br/sites/default/files/public/arquivos-processos/2023-11/4_relacao_de_credores_analitica_art._51_iii_da_lre.pdf" TargetMode="External" Id="rId426" /><Relationship Type="http://schemas.openxmlformats.org/officeDocument/2006/relationships/hyperlink" Target="https://recuperacaojudicial.squarespace.com/s/RJ-Credimoveis-QGC-01082025.pdf" TargetMode="External" Id="rId427" /><Relationship Type="http://schemas.openxmlformats.org/officeDocument/2006/relationships/hyperlink" Target="https://violet-wolf-754008.hostingersite.com/wp-content/uploads/recuperacoes-judiciais/ever-ton/1&#186;-edital.pdf" TargetMode="External" Id="rId428" /><Relationship Type="http://schemas.openxmlformats.org/officeDocument/2006/relationships/hyperlink" Target="https://stenius.com.br/wp-content/uploads/2026/06/EDITAL-GRUPO-3E.pdf" TargetMode="External" Id="rId429" /><Relationship Type="http://schemas.openxmlformats.org/officeDocument/2006/relationships/hyperlink" Target="https://administradorajudicialgs.com.br/wp-content/uploads/2023/08/advogados-sgrott-doc-22-relacao-de-credores-do-administrador-judicial-classe-iii-05-02-14.pdf" TargetMode="External" Id="rId430" /><Relationship Type="http://schemas.openxmlformats.org/officeDocument/2006/relationships/hyperlink" Target="https://recuperacaojudicial.squarespace.com/s/RJ-Grupo-Arnon-de-Melo-Lista-de-Credores-Consolidada-abril-2022.pdf" TargetMode="External" Id="rId431" /><Relationship Type="http://schemas.openxmlformats.org/officeDocument/2006/relationships/hyperlink" Target="https://administradorajudicialgs.com.br/wp-content/uploads/2023/08/advogados-sgrott-doc-22-relacao-de-credores-do-administrador-judicial-classe-iii-05-02-14.pdf" TargetMode="External" Id="rId432" /><Relationship Type="http://schemas.openxmlformats.org/officeDocument/2006/relationships/hyperlink" Target="https://administradorajudicialgs.com.br/wp-content/uploads/2024/12/relacao-de-credores-da-falida.pdf" TargetMode="External" Id="rId433" /><Relationship Type="http://schemas.openxmlformats.org/officeDocument/2006/relationships/hyperlink" Target="https://stenius.com.br/wp-content/uploads/2026/06/EDITAL-GRUPO-3E.pdf" TargetMode="External" Id="rId434" /><Relationship Type="http://schemas.openxmlformats.org/officeDocument/2006/relationships/hyperlink" Target="https://recuperacaojudicial.squarespace.com/s/RJ-Grupo-Arnon-de-Melo-Lista-de-Credores-Consolidada-abril-2022.pdf" TargetMode="External" Id="rId435" /><Relationship Type="http://schemas.openxmlformats.org/officeDocument/2006/relationships/hyperlink" Target="https://administradorajudicialgs.com.br/wp-content/uploads/2024/12/relacao-de-credores-da-falida.pdf" TargetMode="External" Id="rId436" /><Relationship Type="http://schemas.openxmlformats.org/officeDocument/2006/relationships/hyperlink" Target="https://realbrasil.com.br/wp-content/uploads/2018/06/2_LISTA-DE-CREDORES-DA-RECUPERANDA_ROQUE.pdf" TargetMode="External" Id="rId437" /><Relationship Type="http://schemas.openxmlformats.org/officeDocument/2006/relationships/hyperlink" Target="https://recuperacaojudicial.squarespace.com/s/RJ-Credimoveis-QGC-01082025.pdf" TargetMode="External" Id="rId438" /><Relationship Type="http://schemas.openxmlformats.org/officeDocument/2006/relationships/hyperlink" Target="https://recuperacaojudicial.squarespace.com/s/RJ-Credimoveis-QGC-01082025.pdf" TargetMode="External" Id="rId439" /><Relationship Type="http://schemas.openxmlformats.org/officeDocument/2006/relationships/hyperlink" Target="https://stenius.com.br/wp-content/uploads/2026/06/EDITAL-GRUPO-3E.pdf" TargetMode="External" Id="rId440" /><Relationship Type="http://schemas.openxmlformats.org/officeDocument/2006/relationships/hyperlink" Target="https://administradorajudicialgs.com.br/wp-content/uploads/2023/08/doc-06-relacao-credores-do-administrador-judicial-10-02-2015.pdf" TargetMode="External" Id="rId441" /><Relationship Type="http://schemas.openxmlformats.org/officeDocument/2006/relationships/hyperlink" Target="https://lrflideres.com.br/wp-content/plugins/download-attachments/includes/download.php?id=5001" TargetMode="External" Id="rId442" /><Relationship Type="http://schemas.openxmlformats.org/officeDocument/2006/relationships/hyperlink" Target="http://bernardobicalho.com.br/login/app/documents/Rela%C3%A7%C3%A3o%20de%20Credores/6.%20RVC-%20Nutricium%20-%20simplificada.pdf" TargetMode="External" Id="rId443" /><Relationship Type="http://schemas.openxmlformats.org/officeDocument/2006/relationships/hyperlink" Target="https://recuperacaojudicial.squarespace.com/s/RJ-Credimoveis-QGC-01082025.pdf" TargetMode="External" Id="rId444" /><Relationship Type="http://schemas.openxmlformats.org/officeDocument/2006/relationships/hyperlink" Target="https://recuperacaojudicial.squarespace.com/s/RJ-Credimoveis-QGC-01082025.pdf" TargetMode="External" Id="rId445" /><Relationship Type="http://schemas.openxmlformats.org/officeDocument/2006/relationships/hyperlink" Target="https://stenius.com.br/wp-content/uploads/2026/06/EDITAL-GRUPO-3E.pdf" TargetMode="External" Id="rId446" /><Relationship Type="http://schemas.openxmlformats.org/officeDocument/2006/relationships/hyperlink" Target="https://recuperacaojudicial.squarespace.com/s/RJ-Credimoveis-QGC-01082025.pdf" TargetMode="External" Id="rId447" /><Relationship Type="http://schemas.openxmlformats.org/officeDocument/2006/relationships/hyperlink" Target="https://stenius.com.br/wp-content/uploads/2026/06/EDITAL-GRUPO-3E.pdf" TargetMode="External" Id="rId448" /><Relationship Type="http://schemas.openxmlformats.org/officeDocument/2006/relationships/hyperlink" Target="https://recuperacaojudicial.squarespace.com/s/RJ-Grupo-Arnon-de-Melo-Lista-de-Credores-Consolidada-abril-2022.pdf" TargetMode="External" Id="rId449" /><Relationship Type="http://schemas.openxmlformats.org/officeDocument/2006/relationships/hyperlink" Target="https://administradorajudicialgs.com.br/wp-content/uploads/2024/12/relacao-de-credores-da-falida.pdf" TargetMode="External" Id="rId450" /><Relationship Type="http://schemas.openxmlformats.org/officeDocument/2006/relationships/hyperlink" Target="https://recuperacaojudicial.squarespace.com/s/RJ-Credimoveis-QGC-01082025.pdf" TargetMode="External" Id="rId451" /><Relationship Type="http://schemas.openxmlformats.org/officeDocument/2006/relationships/hyperlink" Target="https://recuperacaojudicial.squarespace.com/s/RJ-Credimoveis-QGC-01082025.pdf" TargetMode="External" Id="rId452" /><Relationship Type="http://schemas.openxmlformats.org/officeDocument/2006/relationships/hyperlink" Target="https://stenius.com.br/wp-content/uploads/2026/06/EDITAL-GRUPO-3E.pdf" TargetMode="External" Id="rId453" /><Relationship Type="http://schemas.openxmlformats.org/officeDocument/2006/relationships/hyperlink" Target="https://stenius.com.br/wp-content/uploads/2026/06/EDITAL-GRUPO-3E.pdf" TargetMode="External" Id="rId454" /><Relationship Type="http://schemas.openxmlformats.org/officeDocument/2006/relationships/hyperlink" Target="https://diligence.adm.br/wp-content/plugins/download-attachments/includes/download.php?id=4599" TargetMode="External" Id="rId455" /><Relationship Type="http://schemas.openxmlformats.org/officeDocument/2006/relationships/hyperlink" Target="https://diligence.adm.br/wp-content/plugins/download-attachments/includes/download.php?id=4599" TargetMode="External" Id="rId456" /><Relationship Type="http://schemas.openxmlformats.org/officeDocument/2006/relationships/hyperlink" Target="https://recuperacaojudicial.squarespace.com/s/LISTA-DE-CREDORES-CONSOLIDADA-EM-11072025_6419.pdf" TargetMode="External" Id="rId457" /><Relationship Type="http://schemas.openxmlformats.org/officeDocument/2006/relationships/hyperlink" Target="https://recuperacaojudicial.squarespace.com/s/RJ-Credimoveis-QGC-01082025.pdf" TargetMode="External" Id="rId458" /><Relationship Type="http://schemas.openxmlformats.org/officeDocument/2006/relationships/hyperlink" Target="https://recuperacaojudicial.squarespace.com/s/RJ-Credimoveis-QGC-01082025.pdf" TargetMode="External" Id="rId459" /><Relationship Type="http://schemas.openxmlformats.org/officeDocument/2006/relationships/hyperlink" Target="https://lrflideres.com.br/wp-content/plugins/download-attachments/includes/download.php?id=5001" TargetMode="External" Id="rId460" /><Relationship Type="http://schemas.openxmlformats.org/officeDocument/2006/relationships/hyperlink" Target="https://recuperacaojudicial.squarespace.com/s/4-RJCTREditalda2ListadeCredoresnovembro2019.pdf" TargetMode="External" Id="rId461" /><Relationship Type="http://schemas.openxmlformats.org/officeDocument/2006/relationships/hyperlink" Target="https://lrflideres.com.br/wp-content/plugins/download-attachments/includes/download.php?id=5001" TargetMode="External" Id="rId462" /><Relationship Type="http://schemas.openxmlformats.org/officeDocument/2006/relationships/hyperlink" Target="https://recuperacaojudicial.squarespace.com/s/RJ-Credimoveis-QGC-01082025.pdf" TargetMode="External" Id="rId463" /><Relationship Type="http://schemas.openxmlformats.org/officeDocument/2006/relationships/hyperlink" Target="https://stenius.com.br/wp-content/uploads/2026/06/EDITAL-GRUPO-3E.pdf" TargetMode="External" Id="rId464" /><Relationship Type="http://schemas.openxmlformats.org/officeDocument/2006/relationships/hyperlink" Target="https://administradorajudicialgs.com.br/wp-content/uploads/2023/08/relacao-de-credores-empresa.pdf" TargetMode="External" Id="rId465" /><Relationship Type="http://schemas.openxmlformats.org/officeDocument/2006/relationships/hyperlink" Target="https://recuperacaojudicial.squarespace.com/s/RJ-Credimoveis-QGC-01082025.pdf" TargetMode="External" Id="rId466" /><Relationship Type="http://schemas.openxmlformats.org/officeDocument/2006/relationships/hyperlink" Target="https://administradorajudicialgs.com.br/wp-content/uploads/2024/12/relacao-de-credores-da-falida.pdf" TargetMode="External" Id="rId467" /><Relationship Type="http://schemas.openxmlformats.org/officeDocument/2006/relationships/hyperlink" Target="https://stenius.com.br/wp-content/uploads/2026/06/EDITAL-GRUPO-3E.pdf" TargetMode="External" Id="rId468" /><Relationship Type="http://schemas.openxmlformats.org/officeDocument/2006/relationships/hyperlink" Target="https://stenius.com.br/wp-content/uploads/2026/06/EDITAL-GRUPO-3E.pdf" TargetMode="External" Id="rId469" /><Relationship Type="http://schemas.openxmlformats.org/officeDocument/2006/relationships/hyperlink" Target="https://stenius.com.br/wp-content/uploads/2026/06/EDITAL-GRUPO-3E.pdf" TargetMode="External" Id="rId470" /><Relationship Type="http://schemas.openxmlformats.org/officeDocument/2006/relationships/hyperlink" Target="https://diligence.adm.br/wp-content/plugins/download-attachments/includes/download.php?id=4579" TargetMode="External" Id="rId471" /><Relationship Type="http://schemas.openxmlformats.org/officeDocument/2006/relationships/hyperlink" Target="https://ativosajce.com.br/admin/download.php?file=files/processo_documento/processo_documento18430011062025_1_.pdf&amp;nome=Rela&#231;&#227;o de Credores - Art. 52&#186; &#167; 1&#186;, da Lei n&#186; 11.101/2005 - 13/08/2020" TargetMode="External" Id="rId472" /><Relationship Type="http://schemas.openxmlformats.org/officeDocument/2006/relationships/hyperlink" Target="https://recuperacaojudicial.squarespace.com/s/RJ-Credimoveis-QGC-01082025.pdf" TargetMode="External" Id="rId473" /><Relationship Type="http://schemas.openxmlformats.org/officeDocument/2006/relationships/hyperlink" Target="https://administradorajudicialgs.com.br/wp-content/uploads/2023/08/doc-06-relacao-credores-do-administrador-judicial-10-02-2015.pdf" TargetMode="External" Id="rId474" /><Relationship Type="http://schemas.openxmlformats.org/officeDocument/2006/relationships/hyperlink" Target="https://ricardobiancardi.com.br/wp-content/uploads/2024/12/Edital-1-relacao-de-credores-pub.-02.12.24-.pdf" TargetMode="External" Id="rId475" /><Relationship Type="http://schemas.openxmlformats.org/officeDocument/2006/relationships/hyperlink" Target="https://recuperacaojudicial.squarespace.com/s/4-RJCTREditalda2ListadeCredoresnovembro2019.pdf" TargetMode="External" Id="rId476" /><Relationship Type="http://schemas.openxmlformats.org/officeDocument/2006/relationships/hyperlink" Target="https://recuperacaojudicial.squarespace.com/s/RJ-Credimoveis-QGC-01082025.pdf" TargetMode="External" Id="rId477"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78" /><Relationship Type="http://schemas.openxmlformats.org/officeDocument/2006/relationships/hyperlink" Target="https://recuperacaojudicial.squarespace.com/s/RJ-Credimoveis-QGC-01082025.pdf" TargetMode="External" Id="rId479" /><Relationship Type="http://schemas.openxmlformats.org/officeDocument/2006/relationships/hyperlink" Target="https://ricardobiancardi.com.br/wp-content/uploads/2024/12/Edital-1-relacao-de-credores-pub.-02.12.24-.pdf" TargetMode="External" Id="rId480" /><Relationship Type="http://schemas.openxmlformats.org/officeDocument/2006/relationships/hyperlink" Target="https://stenius.com.br/wp-content/uploads/2026/06/EDITAL-GRUPO-3E.pdf" TargetMode="External" Id="rId481"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482" /><Relationship Type="http://schemas.openxmlformats.org/officeDocument/2006/relationships/hyperlink" Target="https://administradorajudicialgs.com.br/wp-content/uploads/2024/12/relacao-de-credores-da-falida.pdf" TargetMode="External" Id="rId483" /><Relationship Type="http://schemas.openxmlformats.org/officeDocument/2006/relationships/hyperlink" Target="https://recuperacaojudicial.squarespace.com/s/RJ-Credimoveis-QGC-01082025.pdf" TargetMode="External" Id="rId484" /><Relationship Type="http://schemas.openxmlformats.org/officeDocument/2006/relationships/hyperlink" Target="https://recuperacaojudicial.squarespace.com/s/RJ-Credimoveis-QGC-01082025.pdf" TargetMode="External" Id="rId485" /><Relationship Type="http://schemas.openxmlformats.org/officeDocument/2006/relationships/hyperlink" Target="https://realbrasil.com.br/wp-content/uploads/2017/05/Rela&#231;&#227;o-de-Credores_-Mastter-1.pdf" TargetMode="External" Id="rId486" /><Relationship Type="http://schemas.openxmlformats.org/officeDocument/2006/relationships/hyperlink" Target="https://stenius.com.br/wp-content/uploads/2026/06/EDITAL-GRUPO-3E.pdf" TargetMode="External" Id="rId487" /><Relationship Type="http://schemas.openxmlformats.org/officeDocument/2006/relationships/hyperlink" Target="https://stenius.com.br/wp-content/uploads/2026/06/EDITAL-GRUPO-3E.pdf" TargetMode="External" Id="rId488" /><Relationship Type="http://schemas.openxmlformats.org/officeDocument/2006/relationships/hyperlink" Target="https://stenius.com.br/wp-content/uploads/2026/06/EDITAL-GRUPO-3E.pdf" TargetMode="External" Id="rId489" /><Relationship Type="http://schemas.openxmlformats.org/officeDocument/2006/relationships/hyperlink" Target="https://ricardobiancardi.com.br/wp-content/uploads/2024/12/Edital-1-relacao-de-credores-pub.-02.12.24-.pdf" TargetMode="External" Id="rId490" /><Relationship Type="http://schemas.openxmlformats.org/officeDocument/2006/relationships/hyperlink" Target="https://recuperacaojudicial.squarespace.com/s/RJ-Credimoveis-QGC-01082025.pdf" TargetMode="External" Id="rId491" /><Relationship Type="http://schemas.openxmlformats.org/officeDocument/2006/relationships/hyperlink" Target="https://lrflideres.com.br/wp-content/plugins/download-attachments/includes/download.php?id=5001" TargetMode="External" Id="rId492" /><Relationship Type="http://schemas.openxmlformats.org/officeDocument/2006/relationships/hyperlink" Target="https://stenius.com.br/wp-content/uploads/2026/06/EDITAL-GRUPO-3E.pdf" TargetMode="External" Id="rId493" /><Relationship Type="http://schemas.openxmlformats.org/officeDocument/2006/relationships/hyperlink" Target="https://stenius.com.br/wp-content/uploads/2026/06/EDITAL-GRUPO-3E.pdf" TargetMode="External" Id="rId494" /><Relationship Type="http://schemas.openxmlformats.org/officeDocument/2006/relationships/hyperlink" Target="https://recuperacaojudicial.squarespace.com/s/RJ-Credimoveis-QGC-01082025.pdf" TargetMode="External" Id="rId495" /><Relationship Type="http://schemas.openxmlformats.org/officeDocument/2006/relationships/hyperlink" Target="https://stenius.com.br/wp-content/uploads/2026/06/EDITAL-GRUPO-3E.pdf" TargetMode="External" Id="rId496" /><Relationship Type="http://schemas.openxmlformats.org/officeDocument/2006/relationships/hyperlink" Target="https://recuperacaojudicial.squarespace.com/s/RJ-Credimoveis-QGC-01082025.pdf" TargetMode="External" Id="rId497" /><Relationship Type="http://schemas.openxmlformats.org/officeDocument/2006/relationships/hyperlink" Target="https://stenius.com.br/wp-content/uploads/2026/06/EDITAL-GRUPO-3E.pdf" TargetMode="External" Id="rId498" /><Relationship Type="http://schemas.openxmlformats.org/officeDocument/2006/relationships/hyperlink" Target="https://administradorajudicialgs.com.br/wp-content/uploads/2024/12/relacao-de-credores-da-falida.pdf" TargetMode="External" Id="rId499" /><Relationship Type="http://schemas.openxmlformats.org/officeDocument/2006/relationships/hyperlink" Target="https://recuperacaojudicial.squarespace.com/s/RJ-Credimoveis-QGC-01082025.pdf" TargetMode="External" Id="rId500" /><Relationship Type="http://schemas.openxmlformats.org/officeDocument/2006/relationships/hyperlink" Target="https://recuperacaojudicial.squarespace.com/s/RJ-Credimoveis-QGC-01082025.pdf" TargetMode="External" Id="rId501" /><Relationship Type="http://schemas.openxmlformats.org/officeDocument/2006/relationships/hyperlink" Target="https://administradorajudicialgs.com.br/wp-content/uploads/2024/12/relacao-de-credores-da-falida.pdf" TargetMode="External" Id="rId502" /><Relationship Type="http://schemas.openxmlformats.org/officeDocument/2006/relationships/hyperlink" Target="https://recuperacaojudicial.squarespace.com/s/RJ-Credimoveis-QGC-01082025.pdf" TargetMode="External" Id="rId503" /><Relationship Type="http://schemas.openxmlformats.org/officeDocument/2006/relationships/hyperlink" Target="https://administradorajudicialgs.com.br/wp-content/uploads/2024/12/relacao-de-credores-da-falida.pdf" TargetMode="External" Id="rId504" /><Relationship Type="http://schemas.openxmlformats.org/officeDocument/2006/relationships/hyperlink" Target="https://administradorajudicialgs.com.br/wp-content/uploads/2024/12/relacao-de-credores-da-falida.pdf" TargetMode="External" Id="rId505" /><Relationship Type="http://schemas.openxmlformats.org/officeDocument/2006/relationships/hyperlink" Target="https://administradorajudicialgs.com.br/wp-content/uploads/2023/08/doc-06-relacao-credores-do-administrador-judicial-10-02-2015.pdf" TargetMode="External" Id="rId506" /><Relationship Type="http://schemas.openxmlformats.org/officeDocument/2006/relationships/hyperlink" Target="https://stenius.com.br/wp-content/uploads/2026/06/EDITAL-GRUPO-3E.pdf" TargetMode="External" Id="rId507" /><Relationship Type="http://schemas.openxmlformats.org/officeDocument/2006/relationships/hyperlink" Target="https://ativosajce.com.br/admin/download.php?file=files/processo_documento/processo_documento18430011062025_1_.pdf&amp;nome=Rela&#231;&#227;o de Credores - Art. 52&#186; &#167; 1&#186;, da Lei n&#186; 11.101/2005 - 13/08/2020" TargetMode="External" Id="rId508" /><Relationship Type="http://schemas.openxmlformats.org/officeDocument/2006/relationships/hyperlink" Target="https://recuperacaojudicial.squarespace.com/s/RJ-Grupo-Arnon-de-Melo-Lista-de-Credores-Consolidada-abril-2022.pdf" TargetMode="External" Id="rId509" /><Relationship Type="http://schemas.openxmlformats.org/officeDocument/2006/relationships/hyperlink" Target="https://recuperacaojudicial.squarespace.com/s/RJ-Grupo-Arnon-de-Melo-Lista-de-Credores-Consolidada-abril-2022.pdf" TargetMode="External" Id="rId510" /><Relationship Type="http://schemas.openxmlformats.org/officeDocument/2006/relationships/hyperlink" Target="https://administradorajudicialgs.com.br/wp-content/uploads/2024/12/relacao-de-credores-da-falida.pdf" TargetMode="External" Id="rId511" /><Relationship Type="http://schemas.openxmlformats.org/officeDocument/2006/relationships/hyperlink" Target="https://administradorajudicialgs.com.br/wp-content/uploads/2023/08/doc-06-relacao-credores-do-administrador-judicial-10-02-2015.pdf" TargetMode="External" Id="rId512" /><Relationship Type="http://schemas.openxmlformats.org/officeDocument/2006/relationships/hyperlink" Target="https://administradorajudicialgs.com.br/wp-content/uploads/2024/12/relacao-de-credores-da-falida.pdf" TargetMode="External" Id="rId513" /><Relationship Type="http://schemas.openxmlformats.org/officeDocument/2006/relationships/hyperlink" Target="https://stenius.com.br/wp-content/uploads/2026/06/EDITAL-GRUPO-3E.pdf" TargetMode="External" Id="rId514" /><Relationship Type="http://schemas.openxmlformats.org/officeDocument/2006/relationships/hyperlink" Target="https://administradorajudicialgs.com.br/wp-content/uploads/2024/12/relacao-de-credores-da-falida.pdf" TargetMode="External" Id="rId515" /><Relationship Type="http://schemas.openxmlformats.org/officeDocument/2006/relationships/hyperlink" Target="https://recuperacaojudicial.squarespace.com/s/RJ-Grupo-Arnon-de-Melo-Lista-de-Credores-Consolidada-abril-2022.pdf" TargetMode="External" Id="rId516" /><Relationship Type="http://schemas.openxmlformats.org/officeDocument/2006/relationships/hyperlink" Target="https://administradorajudicialgs.com.br/wp-content/uploads/2023/08/edital-quadro-geral-de-credores.pdf" TargetMode="External" Id="rId517" /><Relationship Type="http://schemas.openxmlformats.org/officeDocument/2006/relationships/hyperlink" Target="https://recuperacaojudicial.squarespace.com/s/RJ-Credimoveis-QGC-01082025.pdf" TargetMode="External" Id="rId518" /><Relationship Type="http://schemas.openxmlformats.org/officeDocument/2006/relationships/hyperlink" Target="https://recuperacaojudicial.squarespace.com/s/RJ-Credimoveis-QGC-01082025.pdf" TargetMode="External" Id="rId519" /><Relationship Type="http://schemas.openxmlformats.org/officeDocument/2006/relationships/hyperlink" Target="https://stenius.com.br/wp-content/uploads/2026/06/EDITAL-GRUPO-3E.pdf" TargetMode="External" Id="rId520" /><Relationship Type="http://schemas.openxmlformats.org/officeDocument/2006/relationships/hyperlink" Target="https://stenius.com.br/wp-content/uploads/2026/06/EDITAL-GRUPO-3E.pdf" TargetMode="External" Id="rId521" /><Relationship Type="http://schemas.openxmlformats.org/officeDocument/2006/relationships/hyperlink" Target="https://stenius.com.br/wp-content/uploads/2026/06/EDITAL-GRUPO-3E.pdf" TargetMode="External" Id="rId522" /><Relationship Type="http://schemas.openxmlformats.org/officeDocument/2006/relationships/hyperlink" Target="https://stenius.com.br/wp-content/uploads/2026/06/EDITAL-GRUPO-3E.pdf" TargetMode="External" Id="rId523" /><Relationship Type="http://schemas.openxmlformats.org/officeDocument/2006/relationships/hyperlink" Target="https://recuperacaojudicial.squarespace.com/s/RJ-Credimoveis-QGC-01082025.pdf" TargetMode="External" Id="rId524" /><Relationship Type="http://schemas.openxmlformats.org/officeDocument/2006/relationships/hyperlink" Target="https://administradorajudicialgs.com.br/wp-content/uploads/2024/12/relacao-de-credores-da-falida.pdf" TargetMode="External" Id="rId525" /><Relationship Type="http://schemas.openxmlformats.org/officeDocument/2006/relationships/hyperlink" Target="https://recuperacaojudicial.squarespace.com/s/RJ-Credimoveis-QGC-01082025.pdf" TargetMode="External" Id="rId526" /><Relationship Type="http://schemas.openxmlformats.org/officeDocument/2006/relationships/hyperlink" Target="https://recuperacaojudicial.squarespace.com/s/RJ-Credimoveis-QGC-01082025.pdf" TargetMode="External" Id="rId527" /><Relationship Type="http://schemas.openxmlformats.org/officeDocument/2006/relationships/hyperlink" Target="https://realbrasil.com.br/wp-content/uploads/2018/06/2_LISTA-DE-CREDORES-DA-RECUPERANDA_ROQUE.pdf" TargetMode="External" Id="rId528" /><Relationship Type="http://schemas.openxmlformats.org/officeDocument/2006/relationships/hyperlink" Target="https://recuperacaojudicial.squarespace.com/s/RJ-Grupo-Arnon-de-Melo-Lista-de-Credores-Consolidada-abril-2022.pdf" TargetMode="External" Id="rId529" /><Relationship Type="http://schemas.openxmlformats.org/officeDocument/2006/relationships/hyperlink" Target="https://stenius.com.br/wp-content/uploads/2026/06/EDITAL-GRUPO-3E.pdf" TargetMode="External" Id="rId530" /><Relationship Type="http://schemas.openxmlformats.org/officeDocument/2006/relationships/hyperlink" Target="https://stenius.com.br/wp-content/uploads/2026/06/EDITAL-GRUPO-3E.pdf" TargetMode="External" Id="rId531" /><Relationship Type="http://schemas.openxmlformats.org/officeDocument/2006/relationships/hyperlink" Target="https://recuperacaojudicial.squarespace.com/s/RJ-Credimoveis-QGC-01082025.pdf" TargetMode="External" Id="rId532"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33" /><Relationship Type="http://schemas.openxmlformats.org/officeDocument/2006/relationships/hyperlink" Target="https://recuperacaojudicial.squarespace.com/s/RJ-Grupo-Arnon-de-Melo-Lista-de-Credores-Consolidada-abril-2022.pdf" TargetMode="External" Id="rId534" /><Relationship Type="http://schemas.openxmlformats.org/officeDocument/2006/relationships/hyperlink" Target="https://recuperacaojudicial.squarespace.com/s/RJ-Credimoveis-QGC-01082025.pdf" TargetMode="External" Id="rId535" /><Relationship Type="http://schemas.openxmlformats.org/officeDocument/2006/relationships/hyperlink" Target="https://stenius.com.br/wp-content/uploads/2026/06/EDITAL-GRUPO-3E.pdf" TargetMode="External" Id="rId536" /><Relationship Type="http://schemas.openxmlformats.org/officeDocument/2006/relationships/hyperlink" Target="https://diligence.adm.br/wp-content/plugins/download-attachments/includes/download.php?id=4579" TargetMode="External" Id="rId537" /><Relationship Type="http://schemas.openxmlformats.org/officeDocument/2006/relationships/hyperlink" Target="https://recuperacaojudicial.squarespace.com/s/RJ-Credimoveis-QGC-01082025.pdf" TargetMode="External" Id="rId538" /><Relationship Type="http://schemas.openxmlformats.org/officeDocument/2006/relationships/hyperlink" Target="https://recuperacaojudicial.squarespace.com/s/RJ-Credimoveis-QGC-01082025.pdf" TargetMode="External" Id="rId539" /><Relationship Type="http://schemas.openxmlformats.org/officeDocument/2006/relationships/hyperlink" Target="https://recuperacaojudicial.squarespace.com/s/RJ-Grupo-Arnon-de-Melo-Lista-de-Credores-Consolidada-abril-2022.pdf" TargetMode="External" Id="rId540" /><Relationship Type="http://schemas.openxmlformats.org/officeDocument/2006/relationships/hyperlink" Target="https://recuperacaojudicial.squarespace.com/s/RJ-Credimoveis-QGC-01082025.pdf" TargetMode="External" Id="rId541"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42" /><Relationship Type="http://schemas.openxmlformats.org/officeDocument/2006/relationships/hyperlink" Target="https://recuperacaojudicial.squarespace.com/s/RJ-Grupo-Arnon-de-Melo-Lista-de-Credores-Consolidada-abril-2022.pdf" TargetMode="External" Id="rId543" /><Relationship Type="http://schemas.openxmlformats.org/officeDocument/2006/relationships/hyperlink" Target="https://lrflideres.com.br/wp-content/plugins/download-attachments/includes/download.php?id=5001" TargetMode="External" Id="rId544"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545" /><Relationship Type="http://schemas.openxmlformats.org/officeDocument/2006/relationships/hyperlink" Target="https://stenius.com.br/wp-content/uploads/2026/06/EDITAL-GRUPO-3E.pdf" TargetMode="External" Id="rId546" /><Relationship Type="http://schemas.openxmlformats.org/officeDocument/2006/relationships/hyperlink" Target="https://stenius.com.br/wp-content/uploads/2026/06/EDITAL-GRUPO-3E.pdf" TargetMode="External" Id="rId547" /><Relationship Type="http://schemas.openxmlformats.org/officeDocument/2006/relationships/hyperlink" Target="https://stenius.com.br/wp-content/uploads/2026/06/EDITAL-GRUPO-3E.pdf" TargetMode="External" Id="rId548" /><Relationship Type="http://schemas.openxmlformats.org/officeDocument/2006/relationships/hyperlink" Target="https://stenius.com.br/wp-content/uploads/2026/06/EDITAL-GRUPO-3E.pdf" TargetMode="External" Id="rId549" /><Relationship Type="http://schemas.openxmlformats.org/officeDocument/2006/relationships/hyperlink" Target="https://stenius.com.br/wp-content/uploads/2026/06/EDITAL-GRUPO-3E.pdf" TargetMode="External" Id="rId550" /><Relationship Type="http://schemas.openxmlformats.org/officeDocument/2006/relationships/hyperlink" Target="https://stenius.com.br/wp-content/uploads/2026/06/EDITAL-GRUPO-3E.pdf" TargetMode="External" Id="rId551" /><Relationship Type="http://schemas.openxmlformats.org/officeDocument/2006/relationships/hyperlink" Target="https://stenius.com.br/wp-content/uploads/2026/06/EDITAL-GRUPO-3E.pdf" TargetMode="External" Id="rId552" /><Relationship Type="http://schemas.openxmlformats.org/officeDocument/2006/relationships/hyperlink" Target="https://administradorajudicialgs.com.br/wp-content/uploads/2024/12/relacao-de-credores-da-falida.pdf" TargetMode="External" Id="rId553" /><Relationship Type="http://schemas.openxmlformats.org/officeDocument/2006/relationships/hyperlink" Target="https://administradorajudicialgs.com.br/wp-content/uploads/2024/12/relacao-de-credores-da-falida.pdf" TargetMode="External" Id="rId554" /><Relationship Type="http://schemas.openxmlformats.org/officeDocument/2006/relationships/hyperlink" Target="https://administradorajudicialgs.com.br/wp-content/uploads/2024/12/relacao-de-credores-da-falida.pdf" TargetMode="External" Id="rId555" /><Relationship Type="http://schemas.openxmlformats.org/officeDocument/2006/relationships/hyperlink" Target="https://administradorajudicialgs.com.br/wp-content/uploads/2024/12/relacao-de-credores-da-falida.pdf" TargetMode="External" Id="rId556" /><Relationship Type="http://schemas.openxmlformats.org/officeDocument/2006/relationships/hyperlink" Target="https://diligence.adm.br/wp-content/plugins/download-attachments/includes/download.php?id=4579" TargetMode="External" Id="rId557" /><Relationship Type="http://schemas.openxmlformats.org/officeDocument/2006/relationships/hyperlink" Target="https://administradorajudicialgs.com.br/wp-content/uploads/2024/12/relacao-de-credores-da-falida.pdf" TargetMode="External" Id="rId558" /><Relationship Type="http://schemas.openxmlformats.org/officeDocument/2006/relationships/hyperlink" Target="https://administradorajudicialgs.com.br/wp-content/uploads/2024/12/relacao-de-credores-da-falida.pdf" TargetMode="External" Id="rId559" /><Relationship Type="http://schemas.openxmlformats.org/officeDocument/2006/relationships/hyperlink" Target="https://administradorajudicialgs.com.br/wp-content/uploads/2024/12/relacao-de-credores-da-falida.pdf" TargetMode="External" Id="rId560" /><Relationship Type="http://schemas.openxmlformats.org/officeDocument/2006/relationships/hyperlink" Target="https://administradorajudicialgs.com.br/wp-content/uploads/2024/12/relacao-de-credores-da-falida.pdf" TargetMode="External" Id="rId561" /><Relationship Type="http://schemas.openxmlformats.org/officeDocument/2006/relationships/hyperlink" Target="https://administradorajudicialgs.com.br/wp-content/uploads/2024/12/relacao-de-credores-da-falida.pdf" TargetMode="External" Id="rId562" /></Relationships>
</file>

<file path=xl/worksheets/_rels/sheet3.xml.rels><Relationships xmlns="http://schemas.openxmlformats.org/package/2006/relationships"><Relationship Type="http://schemas.openxmlformats.org/officeDocument/2006/relationships/hyperlink" Target="https://scalzilliaj.com.br/sgc/download.php?file=files/processo_documento/processo_documento09514021082025_1_.pdf&amp;nome=04 - Rela&#231;&#227;o de credores das Recuperandas" TargetMode="External" Id="rId1" /><Relationship Type="http://schemas.openxmlformats.org/officeDocument/2006/relationships/hyperlink" Target="https://scalzilliaj.com.br/sgc/download.php?file=files/processo_documento/processo_documento09514021082025_1_.pdf&amp;nome=04 - Rela&#231;&#227;o de credores das Recuperandas" TargetMode="External" Id="rId2" /><Relationship Type="http://schemas.openxmlformats.org/officeDocument/2006/relationships/hyperlink" Target="https://scalzilliaj.com.br/sgc/download.php?file=files/processo_documento/processo_documento09514021082025_1_.pdf&amp;nome=04 - Rela&#231;&#227;o de credores das Recuperandas" TargetMode="External" Id="rId3" /><Relationship Type="http://schemas.openxmlformats.org/officeDocument/2006/relationships/hyperlink" Target="https://scalzilliaj.com.br/sgc/download.php?file=files/processo_documento/processo_documento09514021082025_1_.pdf&amp;nome=04 - Rela&#231;&#227;o de credores das Recuperandas" TargetMode="External" Id="rId4" /><Relationship Type="http://schemas.openxmlformats.org/officeDocument/2006/relationships/hyperlink" Target="https://scalzilliaj.com.br/sgc/download.php?file=files/processo_documento/processo_documento09514021082025_1_.pdf&amp;nome=04 - Rela&#231;&#227;o de credores das Recuperandas" TargetMode="External" Id="rId5" /><Relationship Type="http://schemas.openxmlformats.org/officeDocument/2006/relationships/hyperlink" Target="https://scalzilliaj.com.br/sgc/download.php?file=files/processo_documento/processo_documento09514021082025_1_.pdf&amp;nome=04 - Rela&#231;&#227;o de credores das Recuperandas" TargetMode="External" Id="rId6" /><Relationship Type="http://schemas.openxmlformats.org/officeDocument/2006/relationships/hyperlink" Target="https://credibilita.com.br/wp-content/uploads/2025/09/Relacao-Credores-29.04.2026.pdf" TargetMode="External" Id="rId7" /><Relationship Type="http://schemas.openxmlformats.org/officeDocument/2006/relationships/hyperlink" Target="https://credibilita.com.br/wp-content/uploads/2025/09/Relacao-Credores-29.04.2026.pdf" TargetMode="External" Id="rId8" /><Relationship Type="http://schemas.openxmlformats.org/officeDocument/2006/relationships/hyperlink" Target="https://scalzilliaj.com.br/sgc/download.php?file=files/processo_documento/processo_documento09514021082025_1_.pdf&amp;nome=04 - Rela&#231;&#227;o de credores das Recuperandas" TargetMode="External" Id="rId9" /><Relationship Type="http://schemas.openxmlformats.org/officeDocument/2006/relationships/hyperlink" Target="https://recuperasolucoes.com/wp-content/plugins/download-attachments/includes/download.php?id=1597" TargetMode="External" Id="rId10" /><Relationship Type="http://schemas.openxmlformats.org/officeDocument/2006/relationships/hyperlink" Target="https://credibilita.com.br/wp-content/uploads/2025/09/Relacao-Credores-29.04.2026.pdf" TargetMode="External" Id="rId11" /><Relationship Type="http://schemas.openxmlformats.org/officeDocument/2006/relationships/hyperlink" Target="https://scalzilliaj.com.br/sgc/download.php?file=files/processo_documento/processo_documento09514021082025_1_.pdf&amp;nome=04 - Rela&#231;&#227;o de credores das Recuperandas" TargetMode="External" Id="rId12" /><Relationship Type="http://schemas.openxmlformats.org/officeDocument/2006/relationships/hyperlink" Target="https://assistjud.com.br/wp-content/uploads/elementor/forms/65098c80a5824.pdf" TargetMode="External" Id="rId13" /><Relationship Type="http://schemas.openxmlformats.org/officeDocument/2006/relationships/hyperlink" Target="https://credibilita.com.br/wp-content/uploads/2025/09/Relacao-Credores-29.04.2026.pdf" TargetMode="External" Id="rId14" /><Relationship Type="http://schemas.openxmlformats.org/officeDocument/2006/relationships/hyperlink" Target="https://lrflideres.com.br/wp-content/plugins/download-attachments/includes/download.php?id=6273" TargetMode="External" Id="rId15" /><Relationship Type="http://schemas.openxmlformats.org/officeDocument/2006/relationships/hyperlink" Target="https://credibilita.com.br/wp-content/uploads/2025/09/Relacao-Credores-29.04.2026.pdf" TargetMode="External" Id="rId16" /><Relationship Type="http://schemas.openxmlformats.org/officeDocument/2006/relationships/hyperlink" Target="https://credibilita.com.br/wp-content/uploads/2025/09/Relacao-Credores-29.04.2026.pdf" TargetMode="External" Id="rId17" /><Relationship Type="http://schemas.openxmlformats.org/officeDocument/2006/relationships/hyperlink" Target="https://ajruiz.com.br/sites/default/files/public/arquivos-processos/2026-01/safrasul_relacao_de_credores_recuperanda.pdf" TargetMode="External" Id="rId18" /><Relationship Type="http://schemas.openxmlformats.org/officeDocument/2006/relationships/hyperlink" Target="https://inova-aj.com.br/wp-content/uploads/2026/08/1a-Relacao-de-Credores-Real.pdf" TargetMode="External" Id="rId19" /><Relationship Type="http://schemas.openxmlformats.org/officeDocument/2006/relationships/hyperlink" Target="https://recuperasolucoes.com/wp-content/plugins/download-attachments/includes/download.php?id=1597" TargetMode="External" Id="rId20" /><Relationship Type="http://schemas.openxmlformats.org/officeDocument/2006/relationships/hyperlink" Target="https://lrflideres.com.br/wp-content/plugins/download-attachments/includes/download.php?id=4023" TargetMode="External" Id="rId21" /><Relationship Type="http://schemas.openxmlformats.org/officeDocument/2006/relationships/hyperlink" Target="https://lrflideres.com.br/wp-content/plugins/download-attachments/includes/download.php?id=6051" TargetMode="External" Id="rId2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3" /><Relationship Type="http://schemas.openxmlformats.org/officeDocument/2006/relationships/hyperlink" Target="https://recuperasolucoes.com/wp-content/plugins/download-attachments/includes/download.php?id=1597" TargetMode="External" Id="rId24" /><Relationship Type="http://schemas.openxmlformats.org/officeDocument/2006/relationships/hyperlink" Target="https://stenius.com.br/wp-content/uploads/2026/07/EDITAL-1-RELACAO-DE-CREDORES-GRUPO-GE.pdf" TargetMode="External" Id="rId25" /><Relationship Type="http://schemas.openxmlformats.org/officeDocument/2006/relationships/hyperlink" Target="https://lrflideres.com.br/wp-content/plugins/download-attachments/includes/download.php?id=7418" TargetMode="External" Id="rId26" /><Relationship Type="http://schemas.openxmlformats.org/officeDocument/2006/relationships/hyperlink" Target="https://ajruiz.com.br/sites/default/files/public/arquivos-processos/2026-01/safrasul_relacao_de_credores_recuperanda.pdf" TargetMode="External" Id="rId27" /><Relationship Type="http://schemas.openxmlformats.org/officeDocument/2006/relationships/hyperlink" Target="https://lrflideres.com.br/wp-content/plugins/download-attachments/includes/download.php?id=6252" TargetMode="External" Id="rId2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9" /><Relationship Type="http://schemas.openxmlformats.org/officeDocument/2006/relationships/hyperlink" Target="https://marquesadmjudicial.com.br/sgc/download.php?file=files/processo_documento/processo_documento09444722082025_1_.pdf&amp;nome=2&#176; Edital - Rela&#231;&#227;o de Credores AJ e PRJ" TargetMode="External" Id="rId30" /><Relationship Type="http://schemas.openxmlformats.org/officeDocument/2006/relationships/hyperlink" Target="https://recuperasolucoes.com/wp-content/plugins/download-attachments/includes/download.php?id=1597" TargetMode="External" Id="rId31" /><Relationship Type="http://schemas.openxmlformats.org/officeDocument/2006/relationships/hyperlink" Target="https://ajruiz.com.br/sites/default/files/public/arquivos-processos/2026-08/qgc_azeplast_julho_2026.pdf" TargetMode="External" Id="rId32" /><Relationship Type="http://schemas.openxmlformats.org/officeDocument/2006/relationships/hyperlink" Target="https://stenius.com.br/wp-content/uploads/2026/06/EDITAL-GRUPO-3E.pdf" TargetMode="External" Id="rId33" /><Relationship Type="http://schemas.openxmlformats.org/officeDocument/2006/relationships/hyperlink" Target="https://ajruiz.com.br/sites/default/files/public/arquivos-processos/2026-01/safrasul_relacao_de_credores_recuperanda.pdf" TargetMode="External" Id="rId34" /><Relationship Type="http://schemas.openxmlformats.org/officeDocument/2006/relationships/hyperlink" Target="https://assistjud.com.br/wp-content/uploads/elementor/forms/65098c80a5824.pdf" TargetMode="External" Id="rId35" /><Relationship Type="http://schemas.openxmlformats.org/officeDocument/2006/relationships/hyperlink" Target="https://lrflideres.com.br/wp-content/plugins/download-attachments/includes/download.php?id=6051" TargetMode="External" Id="rId3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7" /><Relationship Type="http://schemas.openxmlformats.org/officeDocument/2006/relationships/hyperlink" Target="https://diligence.adm.br/wp-content/uploads/2025/06/Edital-1a-Lista-de-Credores.pdf" TargetMode="External" Id="rId38" /><Relationship Type="http://schemas.openxmlformats.org/officeDocument/2006/relationships/hyperlink" Target="https://stenius.com.br/wp-content/uploads/2026/06/EDITAL-GRUPO-FAEL.pdf" TargetMode="External" Id="rId39" /><Relationship Type="http://schemas.openxmlformats.org/officeDocument/2006/relationships/hyperlink" Target="https://stenius.com.br/wp-content/uploads/2026/06/EDITAL-GRUPO-3E.pdf" TargetMode="External" Id="rId40" /><Relationship Type="http://schemas.openxmlformats.org/officeDocument/2006/relationships/hyperlink" Target="https://lrflideres.com.br/wp-content/plugins/download-attachments/includes/download.php?id=4023" TargetMode="External" Id="rId41" /><Relationship Type="http://schemas.openxmlformats.org/officeDocument/2006/relationships/hyperlink" Target="https://lrflideres.com.br/wp-content/plugins/download-attachments/includes/download.php?id=6051" TargetMode="External" Id="rId42" /><Relationship Type="http://schemas.openxmlformats.org/officeDocument/2006/relationships/hyperlink" Target="https://inova-aj.com.br/wp-content/uploads/2026/08/1a-Relacao-de-Credores-Real.pdf" TargetMode="External" Id="rId4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4" /><Relationship Type="http://schemas.openxmlformats.org/officeDocument/2006/relationships/hyperlink" Target="https://inova-aj.com.br/wp-content/uploads/2026/08/1a-Relacao-de-Credores-Real.pdf" TargetMode="External" Id="rId45" /><Relationship Type="http://schemas.openxmlformats.org/officeDocument/2006/relationships/hyperlink" Target="https://rlg-aj.com.br/wp-content/uploads/2024/11/07.-Rela&#231;&#227;o-de-credores.pdf" TargetMode="External" Id="rId46" /><Relationship Type="http://schemas.openxmlformats.org/officeDocument/2006/relationships/hyperlink" Target="https://lrflideres.com.br/wp-content/plugins/download-attachments/includes/download.php?id=6252" TargetMode="External" Id="rId47" /><Relationship Type="http://schemas.openxmlformats.org/officeDocument/2006/relationships/hyperlink" Target="https://ajruiz.com.br/sites/default/files/public/arquivos-processos/2023-11/4_relacao_de_credores_analitica_art._51_iii_da_lre.pdf" TargetMode="External" Id="rId48" /><Relationship Type="http://schemas.openxmlformats.org/officeDocument/2006/relationships/hyperlink" Target="https://recuperasolucoes.com/wp-content/plugins/download-attachments/includes/download.php?id=1492" TargetMode="External" Id="rId49" /><Relationship Type="http://schemas.openxmlformats.org/officeDocument/2006/relationships/hyperlink" Target="https://marquesadmjudicial.com.br/sgc/download.php?file=files/processo_documento/processo_documento17040729052024_1_.pdf&amp;nome=Rela&#231;&#227;o Nominal de Credores AJ-Sint&#233;tica" TargetMode="External" Id="rId50" /><Relationship Type="http://schemas.openxmlformats.org/officeDocument/2006/relationships/hyperlink" Target="https://recuperacaojudicial.squarespace.com/s/RJ-Grupo-Arnon-de-Melo-Lista-de-Credores-Consolidada-abril-2022.pdf" TargetMode="External" Id="rId51" /><Relationship Type="http://schemas.openxmlformats.org/officeDocument/2006/relationships/hyperlink" Target="https://marquesadmjudicial.com.br/sgc/download.php?file=files/processo_documento/processo_documento15232121112024_1_.pdf&amp;nome=Rela&#231;&#227;o de Credores" TargetMode="External" Id="rId52" /><Relationship Type="http://schemas.openxmlformats.org/officeDocument/2006/relationships/hyperlink" Target="https://stenius.com.br/wp-content/uploads/2026/06/EDITAL-GRUPO-3E.pdf" TargetMode="External" Id="rId5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54" /><Relationship Type="http://schemas.openxmlformats.org/officeDocument/2006/relationships/hyperlink" Target="https://ajruiz.com.br/sites/default/files/public/arquivos-processos/2026-08/qgc_azeplast_julho_2026.pdf" TargetMode="External" Id="rId55" /><Relationship Type="http://schemas.openxmlformats.org/officeDocument/2006/relationships/hyperlink" Target="https://assistjud.com.br/wp-content/uploads/elementor/forms/65098c80a5824.pdf" TargetMode="External" Id="rId5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57" /><Relationship Type="http://schemas.openxmlformats.org/officeDocument/2006/relationships/hyperlink" Target="https://lrflideres.com.br/wp-content/plugins/download-attachments/includes/download.php?id=4023" TargetMode="External" Id="rId58" /><Relationship Type="http://schemas.openxmlformats.org/officeDocument/2006/relationships/hyperlink" Target="https://ajruiz.com.br/sites/default/files/public/arquivos-processos/2023-11/4_relacao_de_credores_analitica_art._51_iii_da_lre.pdf" TargetMode="External" Id="rId59" /><Relationship Type="http://schemas.openxmlformats.org/officeDocument/2006/relationships/hyperlink" Target="https://ajruiz.com.br/sites/default/files/public/arquivos-processos/2026-01/safrasul_relacao_de_credores_recuperanda.pdf" TargetMode="External" Id="rId60" /><Relationship Type="http://schemas.openxmlformats.org/officeDocument/2006/relationships/hyperlink" Target="https://recuperasolucoes.com/wp-content/plugins/download-attachments/includes/download.php?id=1597" TargetMode="External" Id="rId61" /><Relationship Type="http://schemas.openxmlformats.org/officeDocument/2006/relationships/hyperlink" Target="https://assistjud.com.br/wp-content/uploads/elementor/forms/65098c80a5824.pdf" TargetMode="External" Id="rId62" /><Relationship Type="http://schemas.openxmlformats.org/officeDocument/2006/relationships/hyperlink" Target="https://assistjud.com.br/wp-content/uploads/elementor/forms/65098c80a5824.pdf" TargetMode="External" Id="rId63"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64" /><Relationship Type="http://schemas.openxmlformats.org/officeDocument/2006/relationships/hyperlink" Target="https://cataliseaj.com.br/sgc/download.php?file=files/processo_documento/processo_documento15092204102024_1_.pdf&amp;nome=02. RELA&#199;&#195;O DE CREDORES" TargetMode="External" Id="rId65" /><Relationship Type="http://schemas.openxmlformats.org/officeDocument/2006/relationships/hyperlink" Target="https://assistjud.com.br/wp-content/uploads/elementor/forms/65098c80a5824.pdf" TargetMode="External" Id="rId66" /><Relationship Type="http://schemas.openxmlformats.org/officeDocument/2006/relationships/hyperlink" Target="https://ajruiz.com.br/sites/default/files/public/arquivos-processos/2026-06/alto_uruguai_qgc_junho.2026.pdf" TargetMode="External" Id="rId67" /><Relationship Type="http://schemas.openxmlformats.org/officeDocument/2006/relationships/hyperlink" Target="https://stenius.com.br/wp-content/uploads/2026/06/EDITAL-GRUPO-3E.pdf" TargetMode="External" Id="rId68" /><Relationship Type="http://schemas.openxmlformats.org/officeDocument/2006/relationships/hyperlink" Target="https://diligence.adm.br/wp-content/uploads/2025/06/Edital-1a-Lista-de-Credores.pdf" TargetMode="External" Id="rId69" /><Relationship Type="http://schemas.openxmlformats.org/officeDocument/2006/relationships/hyperlink" Target="https://lrflideres.com.br/wp-content/plugins/download-attachments/includes/download.php?id=4023" TargetMode="External" Id="rId70"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71" /><Relationship Type="http://schemas.openxmlformats.org/officeDocument/2006/relationships/hyperlink" Target="https://recuperasolucoes.com/wp-content/plugins/download-attachments/includes/download.php?id=1597" TargetMode="External" Id="rId72" /><Relationship Type="http://schemas.openxmlformats.org/officeDocument/2006/relationships/hyperlink" Target="https://lrflideres.com.br/wp-content/plugins/download-attachments/includes/download.php?id=6051" TargetMode="External" Id="rId73" /><Relationship Type="http://schemas.openxmlformats.org/officeDocument/2006/relationships/hyperlink" Target="https://diligence.adm.br/wp-content/uploads/2025/06/Edital-1a-Lista-de-Credores.pdf" TargetMode="External" Id="rId74" /><Relationship Type="http://schemas.openxmlformats.org/officeDocument/2006/relationships/hyperlink" Target="https://ajruiz.com.br/sites/default/files/public/arquivos-processos/2023-11/4_relacao_de_credores_analitica_art._51_iii_da_lre.pdf" TargetMode="External" Id="rId75" /><Relationship Type="http://schemas.openxmlformats.org/officeDocument/2006/relationships/hyperlink" Target="https://ativosajce.com.br/admin/download.php?file=files/processo_documento/processo_documento14170815062026_1_.pdf&amp;nome=Rela&#231;&#227;o de Credores - Art. 52&#186; &#167; 1&#186;, da Lei n&#186; 11.101/2005 - 20/05/2026" TargetMode="External" Id="rId76" /><Relationship Type="http://schemas.openxmlformats.org/officeDocument/2006/relationships/hyperlink" Target="https://marquesadmjudicial.com.br/sgc/download.php?file=files/processo_documento/processo_documento18581929042026_1_.pdf&amp;nome=3&#186; Edital - Rela&#231;&#227;o de Credores e PRJ" TargetMode="External" Id="rId77" /><Relationship Type="http://schemas.openxmlformats.org/officeDocument/2006/relationships/hyperlink" Target="https://stenius.com.br/wp-content/uploads/2026/06/EDITAL-GRUPO-3E.pdf" TargetMode="External" Id="rId78" /><Relationship Type="http://schemas.openxmlformats.org/officeDocument/2006/relationships/hyperlink" Target="https://ajruiz.com.br/sites/default/files/public/arquivos-processos/2026-01/safrasul_relacao_de_credores_recuperanda.pdf" TargetMode="External" Id="rId79" /><Relationship Type="http://schemas.openxmlformats.org/officeDocument/2006/relationships/hyperlink" Target="https://rlg-aj.com.br/wp-content/uploads/2024/11/07.-Rela&#231;&#227;o-de-credores.pdf" TargetMode="External" Id="rId80" /><Relationship Type="http://schemas.openxmlformats.org/officeDocument/2006/relationships/hyperlink" Target="https://ajruiz.com.br/sites/default/files/public/arquivos-processos/2026-08/qgc_azeplast_julho_2026.pdf" TargetMode="External" Id="rId81" /><Relationship Type="http://schemas.openxmlformats.org/officeDocument/2006/relationships/hyperlink" Target="https://bugarimecoelho.com.br/ws/media-library/b6b7ea42b9fa2afe30bc728fe00cd5c6/07---edital-do-processamento-da-recuperacao-judicial.pdf" TargetMode="External" Id="rId82" /><Relationship Type="http://schemas.openxmlformats.org/officeDocument/2006/relationships/hyperlink" Target="https://credibilita.com.br/wp-content/uploads/2025/09/Relacao-Credores-29.04.2026.pdf" TargetMode="External" Id="rId83" /><Relationship Type="http://schemas.openxmlformats.org/officeDocument/2006/relationships/hyperlink" Target="https://recuperasolucoes.com/wp-content/plugins/download-attachments/includes/download.php?id=1597" TargetMode="External" Id="rId84" /><Relationship Type="http://schemas.openxmlformats.org/officeDocument/2006/relationships/hyperlink" Target="https://assistjud.com.br/wp-content/uploads/elementor/forms/65098c80a5824.pdf" TargetMode="External" Id="rId85" /><Relationship Type="http://schemas.openxmlformats.org/officeDocument/2006/relationships/hyperlink" Target="https://recuperasolucoes.com/wp-content/plugins/download-attachments/includes/download.php?id=1597" TargetMode="External" Id="rId86" /><Relationship Type="http://schemas.openxmlformats.org/officeDocument/2006/relationships/hyperlink" Target="https://recuperasolucoes.com/wp-content/plugins/download-attachments/includes/download.php?id=1492" TargetMode="External" Id="rId87" /><Relationship Type="http://schemas.openxmlformats.org/officeDocument/2006/relationships/hyperlink" Target="https://recuperasolucoes.com/wp-content/plugins/download-attachments/includes/download.php?id=1597" TargetMode="External" Id="rId88" /><Relationship Type="http://schemas.openxmlformats.org/officeDocument/2006/relationships/hyperlink" Target="https://assistjud.com.br/wp-content/uploads/elementor/forms/65098c80a5824.pdf" TargetMode="External" Id="rId89" /><Relationship Type="http://schemas.openxmlformats.org/officeDocument/2006/relationships/hyperlink" Target="https://cataliseaj.com.br/sgc/download.php?file=files/processo_documento/processo_documento15092204102024_1_.pdf&amp;nome=02. RELA&#199;&#195;O DE CREDORES" TargetMode="External" Id="rId90" /><Relationship Type="http://schemas.openxmlformats.org/officeDocument/2006/relationships/hyperlink" Target="https://stenius.com.br/wp-content/uploads/2026/07/EDITAL-1-RELACAO-DE-CREDORES-GRUPO-GE.pdf" TargetMode="External" Id="rId91" /><Relationship Type="http://schemas.openxmlformats.org/officeDocument/2006/relationships/hyperlink" Target="https://lrflideres.com.br/wp-content/plugins/download-attachments/includes/download.php?id=6273" TargetMode="External" Id="rId92" /><Relationship Type="http://schemas.openxmlformats.org/officeDocument/2006/relationships/hyperlink" Target="https://assistjud.com.br/wp-content/uploads/elementor/forms/65098c80a5824.pdf" TargetMode="External" Id="rId93" /><Relationship Type="http://schemas.openxmlformats.org/officeDocument/2006/relationships/hyperlink" Target="https://marquesadmjudicial.com.br/sgc/download.php?file=files/processo_documento/processo_documento17040729052024_1_.pdf&amp;nome=Rela&#231;&#227;o Nominal de Credores AJ-Sint&#233;tica" TargetMode="External" Id="rId94" /><Relationship Type="http://schemas.openxmlformats.org/officeDocument/2006/relationships/hyperlink" Target="https://recuperasolucoes.com/wp-content/plugins/download-attachments/includes/download.php?id=1597" TargetMode="External" Id="rId95" /><Relationship Type="http://schemas.openxmlformats.org/officeDocument/2006/relationships/hyperlink" Target="http://recuperacaojudicial.squarespace.com/s/LISTA-DE-CREDORES-CONSOLIDADA-ATE-04102024.pdf" TargetMode="External" Id="rId96" /><Relationship Type="http://schemas.openxmlformats.org/officeDocument/2006/relationships/hyperlink" Target="https://stenius.com.br/wp-content/uploads/2026/06/EDITAL-GRUPO-FAEL.pdf" TargetMode="External" Id="rId97" /><Relationship Type="http://schemas.openxmlformats.org/officeDocument/2006/relationships/hyperlink" Target="https://recuperasolucoes.com/wp-content/plugins/download-attachments/includes/download.php?id=1597" TargetMode="External" Id="rId98" /><Relationship Type="http://schemas.openxmlformats.org/officeDocument/2006/relationships/hyperlink" Target="https://assistjud.com.br/wp-content/uploads/elementor/forms/65098c80a5824.pdf" TargetMode="External" Id="rId99" /><Relationship Type="http://schemas.openxmlformats.org/officeDocument/2006/relationships/hyperlink" Target="https://ajruiz.com.br/sites/default/files/public/arquivos-processos/2026-01/safrasul_relacao_de_credores_recuperanda.pdf" TargetMode="External" Id="rId100" /><Relationship Type="http://schemas.openxmlformats.org/officeDocument/2006/relationships/hyperlink" Target="https://ajruiz.com.br/sites/default/files/public/arquivos-processos/2026-08/qgc_azeplast_julho_2026.pdf" TargetMode="External" Id="rId101" /><Relationship Type="http://schemas.openxmlformats.org/officeDocument/2006/relationships/hyperlink" Target="https://recuperasolucoes.com/wp-content/plugins/download-attachments/includes/download.php?id=1597" TargetMode="External" Id="rId102" /><Relationship Type="http://schemas.openxmlformats.org/officeDocument/2006/relationships/hyperlink" Target="https://stenius.com.br/wp-content/uploads/2026/06/EDITAL-GRUPO-3E.pdf" TargetMode="External" Id="rId103" /><Relationship Type="http://schemas.openxmlformats.org/officeDocument/2006/relationships/hyperlink" Target="https://lrflideres.com.br/wp-content/plugins/download-attachments/includes/download.php?id=7418" TargetMode="External" Id="rId104" /><Relationship Type="http://schemas.openxmlformats.org/officeDocument/2006/relationships/hyperlink" Target="https://marquesadmjudicial.com.br/sgc/download.php?file=files/processo_documento/processo_documento17040729052024_1_.pdf&amp;nome=Rela&#231;&#227;o Nominal de Credores AJ-Sint&#233;tica" TargetMode="External" Id="rId105"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106" /><Relationship Type="http://schemas.openxmlformats.org/officeDocument/2006/relationships/hyperlink" Target="https://administradorajudicialgs.com.br/wp-content/uploads/2025/09/relacao-de-credores-forest-sa.pdf" TargetMode="External" Id="rId107" /><Relationship Type="http://schemas.openxmlformats.org/officeDocument/2006/relationships/hyperlink" Target="https://lrflideres.com.br/wp-content/plugins/download-attachments/includes/download.php?id=6879" TargetMode="External" Id="rId108" /><Relationship Type="http://schemas.openxmlformats.org/officeDocument/2006/relationships/hyperlink" Target="https://assistjud.com.br/wp-content/uploads/elementor/forms/65098c80a5824.pdf" TargetMode="External" Id="rId109" /><Relationship Type="http://schemas.openxmlformats.org/officeDocument/2006/relationships/hyperlink" Target="https://marquesadmjudicial.com.br/sgc/download.php?file=files/processo_documento/processo_documento17040729052024_1_.pdf&amp;nome=Rela&#231;&#227;o Nominal de Credores AJ-Sint&#233;tica" TargetMode="External" Id="rId110" /><Relationship Type="http://schemas.openxmlformats.org/officeDocument/2006/relationships/hyperlink" Target="https://stenius.com.br/wp-content/uploads/2026/06/EDITAL-GRUPO-3E.pdf" TargetMode="External" Id="rId111" /><Relationship Type="http://schemas.openxmlformats.org/officeDocument/2006/relationships/hyperlink" Target="https://recuperasolucoes.com/wp-content/plugins/download-attachments/includes/download.php?id=1597" TargetMode="External" Id="rId112" /><Relationship Type="http://schemas.openxmlformats.org/officeDocument/2006/relationships/hyperlink" Target="https://marquesadmjudicial.com.br/sgc/download.php?file=files/processo_documento/processo_documento15232121112024_1_.pdf&amp;nome=Rela&#231;&#227;o de Credores" TargetMode="External" Id="rId113" /><Relationship Type="http://schemas.openxmlformats.org/officeDocument/2006/relationships/hyperlink" Target="http://bernardobicalho.com.br/login/app/documents/Rela%C3%A7%C3%A3o%20de%20Credores/6.%20RVC-%20Nutricium%20-%20simplificada.pdf" TargetMode="External" Id="rId114" /><Relationship Type="http://schemas.openxmlformats.org/officeDocument/2006/relationships/hyperlink" Target="https://ajruiz.com.br/sites/default/files/public/arquivos-processos/2026-06/alto_uruguai_qgc_junho.2026.pdf" TargetMode="External" Id="rId115" /><Relationship Type="http://schemas.openxmlformats.org/officeDocument/2006/relationships/hyperlink" Target="https://marquesadmjudicial.com.br/sgc/download.php?file=files/processo_documento/processo_documento17040729052024_1_.pdf&amp;nome=Rela&#231;&#227;o Nominal de Credores AJ-Sint&#233;tica" TargetMode="External" Id="rId116" /><Relationship Type="http://schemas.openxmlformats.org/officeDocument/2006/relationships/hyperlink" Target="https://marquesadmjudicial.com.br/sgc/download.php?file=files/processo_documento/processo_documento17040729052024_1_.pdf&amp;nome=Rela&#231;&#227;o Nominal de Credores AJ-Sint&#233;tica" TargetMode="External" Id="rId117" /><Relationship Type="http://schemas.openxmlformats.org/officeDocument/2006/relationships/hyperlink" Target="https://marquesadmjudicial.com.br/sgc/download.php?file=files/processo_documento/processo_documento09444722082025_1_.pdf&amp;nome=2&#176; Edital - Rela&#231;&#227;o de Credores AJ e PRJ" TargetMode="External" Id="rId118" /><Relationship Type="http://schemas.openxmlformats.org/officeDocument/2006/relationships/hyperlink" Target="https://recuperasolucoes.com/wp-content/plugins/download-attachments/includes/download.php?id=1492" TargetMode="External" Id="rId119" /><Relationship Type="http://schemas.openxmlformats.org/officeDocument/2006/relationships/hyperlink" Target="http://recuperacaojudicial.squarespace.com/s/LISTA-DE-CREDORES-CONSOLIDADA-ATE-04102024.pdf" TargetMode="External" Id="rId120"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121" /><Relationship Type="http://schemas.openxmlformats.org/officeDocument/2006/relationships/hyperlink" Target="https://ajruiz.com.br/sites/default/files/public/arquivos-processos/2026-01/safrasul_relacao_de_credores_recuperanda.pdf" TargetMode="External" Id="rId122" /><Relationship Type="http://schemas.openxmlformats.org/officeDocument/2006/relationships/hyperlink" Target="https://stenius.com.br/wp-content/uploads/2026/08/1&#176;-EDITAL-GRUPO-TENDAS.pdf" TargetMode="External" Id="rId123"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24" /><Relationship Type="http://schemas.openxmlformats.org/officeDocument/2006/relationships/hyperlink" Target="https://stenius.com.br/wp-content/uploads/2026/06/EDITAL-GRUPO-3E.pdf" TargetMode="External" Id="rId125" /><Relationship Type="http://schemas.openxmlformats.org/officeDocument/2006/relationships/hyperlink" Target="https://diligence.adm.br/wp-content/uploads/2025/06/Edital-1a-Lista-de-Credores.pdf" TargetMode="External" Id="rId126" /><Relationship Type="http://schemas.openxmlformats.org/officeDocument/2006/relationships/hyperlink" Target="https://assistjud.com.br/wp-content/uploads/elementor/forms/65098c80a5824.pdf" TargetMode="External" Id="rId127" /><Relationship Type="http://schemas.openxmlformats.org/officeDocument/2006/relationships/hyperlink" Target="https://credibilita.com.br/wp-content/uploads/2025/09/Relacao-Credores-29.04.2026.pdf" TargetMode="External" Id="rId128" /><Relationship Type="http://schemas.openxmlformats.org/officeDocument/2006/relationships/hyperlink" Target="https://marquesadmjudicial.com.br/sgc/download.php?file=files/processo_documento/processo_documento17040729052024_1_.pdf&amp;nome=Rela&#231;&#227;o Nominal de Credores AJ-Sint&#233;tica" TargetMode="External" Id="rId129" /><Relationship Type="http://schemas.openxmlformats.org/officeDocument/2006/relationships/hyperlink" Target="https://bugarimecoelho.com.br/ws/media-library/b6b7ea42b9fa2afe30bc728fe00cd5c6/07---edital-do-processamento-da-recuperacao-judicial.pdf" TargetMode="External" Id="rId130"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131" /><Relationship Type="http://schemas.openxmlformats.org/officeDocument/2006/relationships/hyperlink" Target="https://marquesadmjudicial.com.br/sgc/download.php?file=files/processo_documento/processo_documento17040729052024_1_.pdf&amp;nome=Rela&#231;&#227;o Nominal de Credores AJ-Sint&#233;tica" TargetMode="External" Id="rId132" /><Relationship Type="http://schemas.openxmlformats.org/officeDocument/2006/relationships/hyperlink" Target="https://stenius.com.br/wp-content/uploads/2026/06/EDITAL-GRUPO-3E.pdf" TargetMode="External" Id="rId133" /><Relationship Type="http://schemas.openxmlformats.org/officeDocument/2006/relationships/hyperlink" Target="https://cataliseaj.com.br/sgc/download.php?file=files/processo_documento/processo_documento15092204102024_1_.pdf&amp;nome=02. RELA&#199;&#195;O DE CREDORES" TargetMode="External" Id="rId134" /><Relationship Type="http://schemas.openxmlformats.org/officeDocument/2006/relationships/hyperlink" Target="https://ajruiz.com.br/sites/default/files/public/arquivos-processos/2026-01/safrasul_relacao_de_credores_recuperanda.pdf" TargetMode="External" Id="rId135"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136" /><Relationship Type="http://schemas.openxmlformats.org/officeDocument/2006/relationships/hyperlink" Target="https://diligence.adm.br/wp-content/uploads/2025/06/Edital-1a-Lista-de-Credores.pdf" TargetMode="External" Id="rId137" /><Relationship Type="http://schemas.openxmlformats.org/officeDocument/2006/relationships/hyperlink" Target="https://lrflideres.com.br/wp-content/plugins/download-attachments/includes/download.php?id=6252" TargetMode="External" Id="rId138"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139" /><Relationship Type="http://schemas.openxmlformats.org/officeDocument/2006/relationships/hyperlink" Target="https://marquesadmjudicial.com.br/sgc/download.php?file=files/processo_documento/processo_documento17040729052024_1_.pdf&amp;nome=Rela&#231;&#227;o Nominal de Credores AJ-Sint&#233;tica" TargetMode="External" Id="rId140" /><Relationship Type="http://schemas.openxmlformats.org/officeDocument/2006/relationships/hyperlink" Target="https://bugarimecoelho.com.br/ws/media-library/b6b7ea42b9fa2afe30bc728fe00cd5c6/07---edital-do-processamento-da-recuperacao-judicial.pdf" TargetMode="External" Id="rId141"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142" /><Relationship Type="http://schemas.openxmlformats.org/officeDocument/2006/relationships/hyperlink" Target="https://recuperasolucoes.com/wp-content/plugins/download-attachments/includes/download.php?id=1597" TargetMode="External" Id="rId143" /><Relationship Type="http://schemas.openxmlformats.org/officeDocument/2006/relationships/hyperlink" Target="https://ajruiz.com.br/sites/default/files/public/arquivos-processos/2023-11/4_relacao_de_credores_analitica_art._51_iii_da_lre.pdf" TargetMode="External" Id="rId144" /><Relationship Type="http://schemas.openxmlformats.org/officeDocument/2006/relationships/hyperlink" Target="https://ajruiz.com.br/sites/default/files/public/arquivos-processos/2026-08/qgc_azeplast_julho_2026.pdf" TargetMode="External" Id="rId145" /><Relationship Type="http://schemas.openxmlformats.org/officeDocument/2006/relationships/hyperlink" Target="https://credibilita.com.br/wp-content/uploads/2025/09/Relacao-Credores-29.04.2026.pdf" TargetMode="External" Id="rId14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47" /><Relationship Type="http://schemas.openxmlformats.org/officeDocument/2006/relationships/hyperlink" Target="https://vivanteaj.com.br/wp-content/uploads/2024/11/1a-lista-de-credores-JA-Santos.pdf" TargetMode="External" Id="rId148" /><Relationship Type="http://schemas.openxmlformats.org/officeDocument/2006/relationships/hyperlink" Target="https://recuperasolucoes.com/wp-content/plugins/download-attachments/includes/download.php?id=1597" TargetMode="External" Id="rId14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50" /><Relationship Type="http://schemas.openxmlformats.org/officeDocument/2006/relationships/hyperlink" Target="https://ajruiz.com.br/sites/default/files/public/arquivos-processos/2026-06/alto_uruguai_qgc_junho.2026.pdf" TargetMode="External" Id="rId151" /><Relationship Type="http://schemas.openxmlformats.org/officeDocument/2006/relationships/hyperlink" Target="https://diligence.adm.br/wp-content/uploads/2025/06/Edital-1a-Lista-de-Credores.pdf" TargetMode="External" Id="rId15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53"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154" /><Relationship Type="http://schemas.openxmlformats.org/officeDocument/2006/relationships/hyperlink" Target="https://assistjud.com.br/wp-content/uploads/elementor/forms/65098c80a5824.pdf" TargetMode="External" Id="rId155"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156" /><Relationship Type="http://schemas.openxmlformats.org/officeDocument/2006/relationships/hyperlink" Target="https://marquesadmjudicial.com.br/sgc/download.php?file=files/processo_documento/processo_documento17040729052024_1_.pdf&amp;nome=Rela&#231;&#227;o Nominal de Credores AJ-Sint&#233;tica" TargetMode="External" Id="rId157"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158" /><Relationship Type="http://schemas.openxmlformats.org/officeDocument/2006/relationships/hyperlink" Target="https://stenius.com.br/wp-content/uploads/2026/06/EDITAL-GRUPO-3E.pdf" TargetMode="External" Id="rId159" /><Relationship Type="http://schemas.openxmlformats.org/officeDocument/2006/relationships/hyperlink" Target="https://assistjud.com.br/wp-content/uploads/elementor/forms/65098c80a5824.pdf" TargetMode="External" Id="rId160" /><Relationship Type="http://schemas.openxmlformats.org/officeDocument/2006/relationships/hyperlink" Target="https://marquesadmjudicial.com.br/sgc/download.php?file=files/processo_documento/processo_documento15232121112024_1_.pdf&amp;nome=Rela&#231;&#227;o de Credores" TargetMode="External" Id="rId161" /><Relationship Type="http://schemas.openxmlformats.org/officeDocument/2006/relationships/hyperlink" Target="https://credibilita.com.br/wp-content/uploads/2025/09/Relacao-Credores-29.04.2026.pdf" TargetMode="External" Id="rId162" /><Relationship Type="http://schemas.openxmlformats.org/officeDocument/2006/relationships/hyperlink" Target="https://vivanteaj.com.br/wp-content/uploads/2024/11/1a-lista-de-credores-JA-Santos.pdf" TargetMode="External" Id="rId163" /><Relationship Type="http://schemas.openxmlformats.org/officeDocument/2006/relationships/hyperlink" Target="https://lrflideres.com.br/wp-content/plugins/download-attachments/includes/download.php?id=7418" TargetMode="External" Id="rId164" /><Relationship Type="http://schemas.openxmlformats.org/officeDocument/2006/relationships/hyperlink" Target="https://lrflideres.com.br/wp-content/plugins/download-attachments/includes/download.php?id=6252" TargetMode="External" Id="rId165" /><Relationship Type="http://schemas.openxmlformats.org/officeDocument/2006/relationships/hyperlink" Target="https://lrflideres.com.br/wp-content/plugins/download-attachments/includes/download.php?id=6252" TargetMode="External" Id="rId166"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167" /><Relationship Type="http://schemas.openxmlformats.org/officeDocument/2006/relationships/hyperlink" Target="https://bugarimecoelho.com.br/ws/media-library/b6b7ea42b9fa2afe30bc728fe00cd5c6/07---edital-do-processamento-da-recuperacao-judicial.pdf" TargetMode="External" Id="rId168" /><Relationship Type="http://schemas.openxmlformats.org/officeDocument/2006/relationships/hyperlink" Target="https://bugarimecoelho.com.br/ws/media-library/b6b7ea42b9fa2afe30bc728fe00cd5c6/07---edital-do-processamento-da-recuperacao-judicial.pdf" TargetMode="External" Id="rId169" /><Relationship Type="http://schemas.openxmlformats.org/officeDocument/2006/relationships/hyperlink" Target="https://vtladm.com.br/wp-content/uploads/2024/04/09-&#8211;-EDITAL-DE-CONVOCACAO-DE-CREDORES-&#8211;-Frigorifico-Alfa-Industria-e-Comercio-de-Carnes-e-Derivados-Ltda.-e-Ctx-Logistica-Transporte-E-Locacoes-Ltda.pdf" TargetMode="External" Id="rId170" /><Relationship Type="http://schemas.openxmlformats.org/officeDocument/2006/relationships/hyperlink" Target="https://stenius.com.br/wp-content/uploads/2026/06/EDITAL-GRUPO-3E.pdf" TargetMode="External" Id="rId17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72" /><Relationship Type="http://schemas.openxmlformats.org/officeDocument/2006/relationships/hyperlink" Target="https://lrflideres.com.br/wp-content/plugins/download-attachments/includes/download.php?id=6273" TargetMode="External" Id="rId173" /><Relationship Type="http://schemas.openxmlformats.org/officeDocument/2006/relationships/hyperlink" Target="https://assistjud.com.br/wp-content/uploads/elementor/forms/65098c80a5824.pdf" TargetMode="External" Id="rId174" /><Relationship Type="http://schemas.openxmlformats.org/officeDocument/2006/relationships/hyperlink" Target="https://diligence.adm.br/wp-content/plugins/download-attachments/includes/download.php?id=4599" TargetMode="External" Id="rId175" /><Relationship Type="http://schemas.openxmlformats.org/officeDocument/2006/relationships/hyperlink" Target="https://administradorajudicialgs.com.br/wp-content/uploads/2024/12/relacao-de-credores-da-falida.pdf" TargetMode="External" Id="rId176"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77" /><Relationship Type="http://schemas.openxmlformats.org/officeDocument/2006/relationships/hyperlink" Target="https://assistjud.com.br/wp-content/uploads/elementor/forms/65098c80a5824.pdf" TargetMode="External" Id="rId178" /><Relationship Type="http://schemas.openxmlformats.org/officeDocument/2006/relationships/hyperlink" Target="https://marquesadmjudicial.com.br/sgc/download.php?file=files/processo_documento/processo_documento17040729052024_1_.pdf&amp;nome=Rela&#231;&#227;o Nominal de Credores AJ-Sint&#233;tica" TargetMode="External" Id="rId179" /><Relationship Type="http://schemas.openxmlformats.org/officeDocument/2006/relationships/hyperlink" Target="https://ajruiz.com.br/sites/default/files/public/arquivos-processos/2026-06/alto_uruguai_qgc_junho.2026.pdf" TargetMode="External" Id="rId180" /><Relationship Type="http://schemas.openxmlformats.org/officeDocument/2006/relationships/hyperlink" Target="https://marquesadmjudicial.com.br/sgc/download.php?file=files/processo_documento/processo_documento17040729052024_1_.pdf&amp;nome=Rela&#231;&#227;o Nominal de Credores AJ-Sint&#233;tica" TargetMode="External" Id="rId18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82" /><Relationship Type="http://schemas.openxmlformats.org/officeDocument/2006/relationships/hyperlink" Target="https://lrflideres.com.br/wp-content/plugins/download-attachments/includes/download.php?id=6252" TargetMode="External" Id="rId183" /><Relationship Type="http://schemas.openxmlformats.org/officeDocument/2006/relationships/hyperlink" Target="https://marquesadmjudicial.com.br/sgc/download.php?file=files/processo_documento/processo_documento10074612042024_1_.pdf&amp;nome=2&#186; Edital-Rela&#231;&#227;o de Credores AJ e PRJ" TargetMode="External" Id="rId184" /><Relationship Type="http://schemas.openxmlformats.org/officeDocument/2006/relationships/hyperlink" Target="https://ajruiz.com.br/sites/default/files/public/arquivos-processos/2026-08/qgc_azeplast_julho_2026.pdf" TargetMode="External" Id="rId185" /><Relationship Type="http://schemas.openxmlformats.org/officeDocument/2006/relationships/hyperlink" Target="https://credibilita.com.br/wp-content/uploads/2025/09/Relacao-Credores-29.04.2026.pdf" TargetMode="External" Id="rId186" /><Relationship Type="http://schemas.openxmlformats.org/officeDocument/2006/relationships/hyperlink" Target="https://marquesadmjudicial.com.br/sgc/download.php?file=files/processo_documento/processo_documento17040729052024_1_.pdf&amp;nome=Rela&#231;&#227;o Nominal de Credores AJ-Sint&#233;tica" TargetMode="External" Id="rId187" /><Relationship Type="http://schemas.openxmlformats.org/officeDocument/2006/relationships/hyperlink" Target="https://administradorajudicialgs.com.br/wp-content/uploads/2023/08/advogados-sgrott-doc-22-relacao-de-credores-do-administrador-judicial-classe-iii-05-02-14.pdf" TargetMode="External" Id="rId188"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189" /><Relationship Type="http://schemas.openxmlformats.org/officeDocument/2006/relationships/hyperlink" Target="https://stenius.com.br/wp-content/uploads/2026/07/EDITAL-1-RELACAO-DE-CREDORES-GRUPO-GE.pdf" TargetMode="External" Id="rId190" /><Relationship Type="http://schemas.openxmlformats.org/officeDocument/2006/relationships/hyperlink" Target="https://marquesadmjudicial.com.br/sgc/download.php?file=files/processo_documento/processo_documento20014127022025_1_.pdf&amp;nome=Rela&#231;&#227;o Nominal de Credores" TargetMode="External" Id="rId191" /><Relationship Type="http://schemas.openxmlformats.org/officeDocument/2006/relationships/hyperlink" Target="https://administradorajudicialgs.com.br/wp-content/uploads/2024/12/relacao-de-credores-da-falida.pdf" TargetMode="External" Id="rId192" /><Relationship Type="http://schemas.openxmlformats.org/officeDocument/2006/relationships/hyperlink" Target="https://assistjud.com.br/wp-content/uploads/elementor/forms/65098c80a5824.pdf" TargetMode="External" Id="rId193" /><Relationship Type="http://schemas.openxmlformats.org/officeDocument/2006/relationships/hyperlink" Target="https://assistjud.com.br/wp-content/uploads/elementor/forms/65098c80a5824.pdf" TargetMode="External" Id="rId194" /><Relationship Type="http://schemas.openxmlformats.org/officeDocument/2006/relationships/hyperlink" Target="https://marquesadmjudicial.com.br/sgc/download.php?file=files/processo_documento/processo_documento15232121112024_1_.pdf&amp;nome=Rela&#231;&#227;o de Credores" TargetMode="External" Id="rId195"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196" /><Relationship Type="http://schemas.openxmlformats.org/officeDocument/2006/relationships/hyperlink" Target="https://marquesadmjudicial.com.br/sgc/download.php?file=files/processo_documento/processo_documento09391327032025_1_.pdf&amp;nome=Rela&#231;&#227;o Nominal de Credores AJ" TargetMode="External" Id="rId197" /><Relationship Type="http://schemas.openxmlformats.org/officeDocument/2006/relationships/hyperlink" Target="https://administradorajudicialgs.com.br/wp-content/uploads/2024/12/relacao-de-credores-da-falida.pdf" TargetMode="External" Id="rId198" /><Relationship Type="http://schemas.openxmlformats.org/officeDocument/2006/relationships/hyperlink" Target="https://marquesadmjudicial.com.br/sgc/download.php?file=files/processo_documento/processo_documento20014127022025_1_.pdf&amp;nome=Rela&#231;&#227;o Nominal de Credores" TargetMode="External" Id="rId199" /><Relationship Type="http://schemas.openxmlformats.org/officeDocument/2006/relationships/hyperlink" Target="https://cataliseaj.com.br/sgc/download.php?file=files/processo_documento/processo_documento15092204102024_1_.pdf&amp;nome=02. RELA&#199;&#195;O DE CREDORES" TargetMode="External" Id="rId200"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01" /><Relationship Type="http://schemas.openxmlformats.org/officeDocument/2006/relationships/hyperlink" Target="https://recuperacaojudicial.squarespace.com/s/RJ-Credimoveis-QGC-01082025.pdf" TargetMode="External" Id="rId202" /><Relationship Type="http://schemas.openxmlformats.org/officeDocument/2006/relationships/hyperlink" Target="https://marquesadmjudicial.com.br/sgc/download.php?file=files/processo_documento/processo_documento17040729052024_1_.pdf&amp;nome=Rela&#231;&#227;o Nominal de Credores AJ-Sint&#233;tica" TargetMode="External" Id="rId203" /><Relationship Type="http://schemas.openxmlformats.org/officeDocument/2006/relationships/hyperlink" Target="https://stenius.com.br/wp-content/uploads/2026/08/1&#176;-EDITAL-GRUPO-TENDAS.pdf" TargetMode="External" Id="rId204" /><Relationship Type="http://schemas.openxmlformats.org/officeDocument/2006/relationships/hyperlink" Target="http://bernardobicalho.com.br/login/app/documents/Rela%C3%A7%C3%A3o%20de%20Credores/6.%20RVC-%20Nutricium%20-%20simplificada.pdf" TargetMode="External" Id="rId205"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06" /><Relationship Type="http://schemas.openxmlformats.org/officeDocument/2006/relationships/hyperlink" Target="https://lrflideres.com.br/wp-content/uploads/2022/08/4.-EDITAL-2a-LISTA-DE-CREDORES.pdf" TargetMode="External" Id="rId207" /><Relationship Type="http://schemas.openxmlformats.org/officeDocument/2006/relationships/hyperlink" Target="https://lrflideres.com.br/wp-content/plugins/download-attachments/includes/download.php?id=7418" TargetMode="External" Id="rId208" /><Relationship Type="http://schemas.openxmlformats.org/officeDocument/2006/relationships/hyperlink" Target="https://stenius.com.br/wp-content/uploads/2026/06/EDITAL-GRUPO-3E.pdf" TargetMode="External" Id="rId209" /><Relationship Type="http://schemas.openxmlformats.org/officeDocument/2006/relationships/hyperlink" Target="https://assistjud.com.br/wp-content/uploads/elementor/forms/65098c80a5824.pdf" TargetMode="External" Id="rId210" /><Relationship Type="http://schemas.openxmlformats.org/officeDocument/2006/relationships/hyperlink" Target="https://stenius.com.br/wp-content/uploads/2026/06/EDITAL-GRUPO-3E.pdf" TargetMode="External" Id="rId211" /><Relationship Type="http://schemas.openxmlformats.org/officeDocument/2006/relationships/hyperlink" Target="https://stenius.com.br/wp-content/uploads/2026/06/EDITAL-GRUPO-3E.pdf" TargetMode="External" Id="rId212" /><Relationship Type="http://schemas.openxmlformats.org/officeDocument/2006/relationships/hyperlink" Target="https://scalzilliaj.com.br/sgc/download.php?file=files/processo_documento/processo_documento09514021082025_1_.pdf&amp;nome=04 - Rela&#231;&#227;o de credores das Recuperandas" TargetMode="External" Id="rId213" /><Relationship Type="http://schemas.openxmlformats.org/officeDocument/2006/relationships/hyperlink" Target="https://administradorajudicialgs.com.br/wp-content/uploads/2024/12/relacao-de-credores-da-falida.pdf" TargetMode="External" Id="rId214" /><Relationship Type="http://schemas.openxmlformats.org/officeDocument/2006/relationships/hyperlink" Target="https://vivanteaj.com.br/wp-content/uploads/2024/11/1a-lista-de-credores-JA-Santos.pdf" TargetMode="External" Id="rId215" /><Relationship Type="http://schemas.openxmlformats.org/officeDocument/2006/relationships/hyperlink" Target="https://stenius.com.br/wp-content/uploads/2026/06/EDITAL-GRUPO-3E.pdf" TargetMode="External" Id="rId216" /><Relationship Type="http://schemas.openxmlformats.org/officeDocument/2006/relationships/hyperlink" Target="https://recuperacaojudicial.squarespace.com/s/RJ-Credimoveis-QGC-01082025.pdf" TargetMode="External" Id="rId217"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18" /><Relationship Type="http://schemas.openxmlformats.org/officeDocument/2006/relationships/hyperlink" Target="https://lrflideres.com.br/wp-content/plugins/download-attachments/includes/download.php?id=6252" TargetMode="External" Id="rId219"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220" /><Relationship Type="http://schemas.openxmlformats.org/officeDocument/2006/relationships/hyperlink" Target="https://stenius.com.br/wp-content/uploads/2026/06/EDITAL-GRUPO-FAEL.pdf" TargetMode="External" Id="rId221" /><Relationship Type="http://schemas.openxmlformats.org/officeDocument/2006/relationships/hyperlink" Target="https://lrflideres.com.br/wp-content/plugins/download-attachments/includes/download.php?id=6273" TargetMode="External" Id="rId222"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223" /><Relationship Type="http://schemas.openxmlformats.org/officeDocument/2006/relationships/hyperlink" Target="https://lrflideres.com.br/wp-content/plugins/download-attachments/includes/download.php?id=6252" TargetMode="External" Id="rId224" /><Relationship Type="http://schemas.openxmlformats.org/officeDocument/2006/relationships/hyperlink" Target="https://lrflideres.com.br/wp-content/plugins/download-attachments/includes/download.php?id=6252" TargetMode="External" Id="rId225" /><Relationship Type="http://schemas.openxmlformats.org/officeDocument/2006/relationships/hyperlink" Target="https://diligence.adm.br/wp-content/uploads/2025/06/Edital-1a-Lista-de-Credores.pdf" TargetMode="External" Id="rId226" /><Relationship Type="http://schemas.openxmlformats.org/officeDocument/2006/relationships/hyperlink" Target="https://marquesadmjudicial.com.br/sgc/download.php?file=files/processo_documento/processo_documento17040729052024_1_.pdf&amp;nome=Rela&#231;&#227;o Nominal de Credores AJ-Sint&#233;tica" TargetMode="External" Id="rId227" /><Relationship Type="http://schemas.openxmlformats.org/officeDocument/2006/relationships/hyperlink" Target="https://stenius.com.br/wp-content/uploads/2026/06/EDITAL-GRUPO-3E.pdf" TargetMode="External" Id="rId228" /><Relationship Type="http://schemas.openxmlformats.org/officeDocument/2006/relationships/hyperlink" Target="https://ajruiz.com.br/sites/default/files/public/arquivos-processos/2026-06/alto_uruguai_qgc_junho.2026.pdf" TargetMode="External" Id="rId229" /><Relationship Type="http://schemas.openxmlformats.org/officeDocument/2006/relationships/hyperlink" Target="https://lrflideres.com.br/wp-content/plugins/download-attachments/includes/download.php?id=6252" TargetMode="External" Id="rId230"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231" /><Relationship Type="http://schemas.openxmlformats.org/officeDocument/2006/relationships/hyperlink" Target="https://diligence.adm.br/wp-content/plugins/download-attachments/includes/download.php?id=4579" TargetMode="External" Id="rId232"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33" /><Relationship Type="http://schemas.openxmlformats.org/officeDocument/2006/relationships/hyperlink" Target="https://lrflideres.com.br/wp-content/plugins/download-attachments/includes/download.php?id=6252" TargetMode="External" Id="rId234" /><Relationship Type="http://schemas.openxmlformats.org/officeDocument/2006/relationships/hyperlink" Target="https://administradorajudicialgs.com.br/wp-content/uploads/2024/12/relacao-de-credores-da-falida.pdf" TargetMode="External" Id="rId235" /><Relationship Type="http://schemas.openxmlformats.org/officeDocument/2006/relationships/hyperlink" Target="https://lrflideres.com.br/wp-content/plugins/download-attachments/includes/download.php?id=6252" TargetMode="External" Id="rId236"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237"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38" /><Relationship Type="http://schemas.openxmlformats.org/officeDocument/2006/relationships/hyperlink" Target="https://stenius.com.br/wp-content/uploads/2026/06/EDITAL-GRUPO-3E.pdf" TargetMode="External" Id="rId239" /><Relationship Type="http://schemas.openxmlformats.org/officeDocument/2006/relationships/hyperlink" Target="https://ajruiz.com.br/sites/default/files/public/arquivos-processos/2026-06/alto_uruguai_qgc_junho.2026.pdf" TargetMode="External" Id="rId240" /><Relationship Type="http://schemas.openxmlformats.org/officeDocument/2006/relationships/hyperlink" Target="https://stenius.com.br/wp-content/uploads/2026/06/EDITAL-GRUPO-3E.pdf" TargetMode="External" Id="rId241" /><Relationship Type="http://schemas.openxmlformats.org/officeDocument/2006/relationships/hyperlink" Target="https://stenius.com.br/wp-content/uploads/2026/06/EDITAL-GRUPO-3E.pdf" TargetMode="External" Id="rId242" /><Relationship Type="http://schemas.openxmlformats.org/officeDocument/2006/relationships/hyperlink" Target="https://ajruiz.com.br/sites/default/files/public/arquivos-processos/2026-06/alto_uruguai_qgc_junho.2026.pdf" TargetMode="External" Id="rId243" /><Relationship Type="http://schemas.openxmlformats.org/officeDocument/2006/relationships/hyperlink" Target="https://marquesadmjudicial.com.br/sgc/download.php?file=files/processo_documento/processo_documento18581929042026_1_.pdf&amp;nome=3&#186; Edital - Rela&#231;&#227;o de Credores e PRJ" TargetMode="External" Id="rId244" /><Relationship Type="http://schemas.openxmlformats.org/officeDocument/2006/relationships/hyperlink" Target="https://ajruiz.com.br/sites/default/files/public/arquivos-processos/2026-08/qgc_azeplast_julho_2026.pdf" TargetMode="External" Id="rId245" /><Relationship Type="http://schemas.openxmlformats.org/officeDocument/2006/relationships/hyperlink" Target="https://administradorajudicialgs.com.br/wp-content/uploads/2024/12/relacao-de-credores-da-falida.pdf" TargetMode="External" Id="rId246" /><Relationship Type="http://schemas.openxmlformats.org/officeDocument/2006/relationships/hyperlink" Target="https://lrflideres.com.br/wp-content/plugins/download-attachments/includes/download.php?id=6252" TargetMode="External" Id="rId247" /><Relationship Type="http://schemas.openxmlformats.org/officeDocument/2006/relationships/hyperlink" Target="https://diligence.adm.br/wp-content/plugins/download-attachments/includes/download.php?id=4599" TargetMode="External" Id="rId248" /><Relationship Type="http://schemas.openxmlformats.org/officeDocument/2006/relationships/hyperlink" Target="https://marquesadmjudicial.com.br/sgc/download.php?file=files/processo_documento/processo_documento17040729052024_1_.pdf&amp;nome=Rela&#231;&#227;o Nominal de Credores AJ-Sint&#233;tica" TargetMode="External" Id="rId249" /><Relationship Type="http://schemas.openxmlformats.org/officeDocument/2006/relationships/hyperlink" Target="https://assistjud.com.br/wp-content/uploads/elementor/forms/65098c80a5824.pdf" TargetMode="External" Id="rId250" /><Relationship Type="http://schemas.openxmlformats.org/officeDocument/2006/relationships/hyperlink" Target="https://lrflideres.com.br/wp-content/plugins/download-attachments/includes/download.php?id=6252" TargetMode="External" Id="rId251" /><Relationship Type="http://schemas.openxmlformats.org/officeDocument/2006/relationships/hyperlink" Target="https://lrflideres.com.br/wp-content/plugins/download-attachments/includes/download.php?id=6252" TargetMode="External" Id="rId252" /><Relationship Type="http://schemas.openxmlformats.org/officeDocument/2006/relationships/hyperlink" Target="https://lrflideres.com.br/wp-content/plugins/download-attachments/includes/download.php?id=6252" TargetMode="External" Id="rId253" /><Relationship Type="http://schemas.openxmlformats.org/officeDocument/2006/relationships/hyperlink" Target="https://lrflideres.com.br/wp-content/plugins/download-attachments/includes/download.php?id=6252" TargetMode="External" Id="rId254" /><Relationship Type="http://schemas.openxmlformats.org/officeDocument/2006/relationships/hyperlink" Target="https://marquesadmjudicial.com.br/sgc/download.php?file=files/processo_documento/processo_documento11370527032026_1_.pdf&amp;nome=Quadro Geral de Credores (QGC) -AJ Anterior" TargetMode="External" Id="rId255" /><Relationship Type="http://schemas.openxmlformats.org/officeDocument/2006/relationships/hyperlink" Target="https://lrflideres.com.br/wp-content/plugins/download-attachments/includes/download.php?id=4023" TargetMode="External" Id="rId256" /><Relationship Type="http://schemas.openxmlformats.org/officeDocument/2006/relationships/hyperlink" Target="https://marquesadmjudicial.com.br/sgc/download.php?file=files/processo_documento/processo_documento17040729052024_1_.pdf&amp;nome=Rela&#231;&#227;o Nominal de Credores AJ-Sint&#233;tica" TargetMode="External" Id="rId257" /><Relationship Type="http://schemas.openxmlformats.org/officeDocument/2006/relationships/hyperlink" Target="https://lrflideres.com.br/wp-content/plugins/download-attachments/includes/download.php?id=7418" TargetMode="External" Id="rId258" /><Relationship Type="http://schemas.openxmlformats.org/officeDocument/2006/relationships/hyperlink" Target="https://marquesadmjudicial.com.br/sgc/download.php?file=files/processo_documento/processo_documento17040729052024_1_.pdf&amp;nome=Rela&#231;&#227;o Nominal de Credores AJ-Sint&#233;tica" TargetMode="External" Id="rId259"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60"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61" /><Relationship Type="http://schemas.openxmlformats.org/officeDocument/2006/relationships/hyperlink" Target="https://bbsadvogados.com.br/wp-content/uploads/2025/04/Equipseg-Edital-Relacao-de-Credores-da-Administradora-Judicial-art.-7o2o-da-LRF.pdf" TargetMode="External" Id="rId262" /><Relationship Type="http://schemas.openxmlformats.org/officeDocument/2006/relationships/hyperlink" Target="https://scalzilliaj.com.br/sgc/download.php?file=files/processo_documento/processo_documento10141405032024_1_.pdf&amp;nome=10 - Edital do art. 7&#186;, &#167;2&#186; da Lei 11.101/2005 (segunda lista de credores)" TargetMode="External" Id="rId263"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64" /><Relationship Type="http://schemas.openxmlformats.org/officeDocument/2006/relationships/hyperlink" Target="https://lrflideres.com.br/wp-content/plugins/download-attachments/includes/download.php?id=6252" TargetMode="External" Id="rId265" /><Relationship Type="http://schemas.openxmlformats.org/officeDocument/2006/relationships/hyperlink" Target="https://lrflideres.com.br/wp-content/plugins/download-attachments/includes/download.php?id=6252" TargetMode="External" Id="rId266" /><Relationship Type="http://schemas.openxmlformats.org/officeDocument/2006/relationships/hyperlink" Target="https://vtladm.com.br/wp-content/uploads/2024/04/09-&#8211;-EDITAL-DE-CONVOCACAO-DE-CREDORES-&#8211;-Frigorifico-Alfa-Industria-e-Comercio-de-Carnes-e-Derivados-Ltda.-e-Ctx-Logistica-Transporte-E-Locacoes-Ltda.pdf" TargetMode="External" Id="rId267"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268" /><Relationship Type="http://schemas.openxmlformats.org/officeDocument/2006/relationships/hyperlink" Target="https://diligence.adm.br/wp-content/uploads/2025/06/Edital-1a-Lista-de-Credores.pdf" TargetMode="External" Id="rId269" /><Relationship Type="http://schemas.openxmlformats.org/officeDocument/2006/relationships/hyperlink" Target="https://lrflideres.com.br/wp-content/plugins/download-attachments/includes/download.php?id=6252" TargetMode="External" Id="rId270" /><Relationship Type="http://schemas.openxmlformats.org/officeDocument/2006/relationships/hyperlink" Target="https://administradorajudicialgs.com.br/wp-content/uploads/2023/08/advogados-sgrott-doc-22-relacao-de-credores-do-administrador-judicial-classe-iii-05-02-14.pdf" TargetMode="External" Id="rId271" /><Relationship Type="http://schemas.openxmlformats.org/officeDocument/2006/relationships/hyperlink" Target="https://lrflideres.com.br/wp-content/plugins/download-attachments/includes/download.php?id=6252" TargetMode="External" Id="rId272"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73" /><Relationship Type="http://schemas.openxmlformats.org/officeDocument/2006/relationships/hyperlink" Target="https://lrflideres.com.br/wp-content/plugins/download-attachments/includes/download.php?id=6879" TargetMode="External" Id="rId274" /><Relationship Type="http://schemas.openxmlformats.org/officeDocument/2006/relationships/hyperlink" Target="https://lrflideres.com.br/wp-content/plugins/download-attachments/includes/download.php?id=6252" TargetMode="External" Id="rId275" /><Relationship Type="http://schemas.openxmlformats.org/officeDocument/2006/relationships/hyperlink" Target="https://diligence.adm.br/wp-content/plugins/download-attachments/includes/download.php?id=4579" TargetMode="External" Id="rId276" /><Relationship Type="http://schemas.openxmlformats.org/officeDocument/2006/relationships/hyperlink" Target="https://ajruiz.com.br/sites/default/files/public/arquivos-processos/2026-06/alto_uruguai_qgc_junho.2026.pdf" TargetMode="External" Id="rId277" /><Relationship Type="http://schemas.openxmlformats.org/officeDocument/2006/relationships/hyperlink" Target="https://administradorajudicialgs.com.br/wp-content/uploads/2023/08/advogados-sgrott-doc-22-relacao-de-credores-do-administrador-judicial-classe-iii-05-02-14.pdf" TargetMode="External" Id="rId278" /><Relationship Type="http://schemas.openxmlformats.org/officeDocument/2006/relationships/hyperlink" Target="https://marquesadmjudicial.com.br/sgc/download.php?file=files/processo_documento/processo_documento17040729052024_1_.pdf&amp;nome=Rela&#231;&#227;o Nominal de Credores AJ-Sint&#233;tica" TargetMode="External" Id="rId279"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80" /><Relationship Type="http://schemas.openxmlformats.org/officeDocument/2006/relationships/hyperlink" Target="https://lrflideres.com.br/wp-content/plugins/download-attachments/includes/download.php?id=6252" TargetMode="External" Id="rId281"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282"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283" /><Relationship Type="http://schemas.openxmlformats.org/officeDocument/2006/relationships/hyperlink" Target="http://recuperacaojudicial.squarespace.com/s/LISTA-DE-CREDORES-CONSOLIDADA-ATE-04102024.pdf" TargetMode="External" Id="rId284" /><Relationship Type="http://schemas.openxmlformats.org/officeDocument/2006/relationships/hyperlink" Target="https://ajruiz.com.br/sites/default/files/public/arquivos-processos/2026-06/alto_uruguai_qgc_junho.2026.pdf" TargetMode="External" Id="rId285"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286" /><Relationship Type="http://schemas.openxmlformats.org/officeDocument/2006/relationships/hyperlink" Target="https://lrflideres.com.br/wp-content/plugins/download-attachments/includes/download.php?id=6252" TargetMode="External" Id="rId287" /><Relationship Type="http://schemas.openxmlformats.org/officeDocument/2006/relationships/hyperlink" Target="https://credibilita.com.br/wp-content/uploads/2025/09/Relacao-Credores-29.04.2026.pdf" TargetMode="External" Id="rId288"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289"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290" /><Relationship Type="http://schemas.openxmlformats.org/officeDocument/2006/relationships/hyperlink" Target="https://marquesadmjudicial.com.br/sgc/download.php?file=files/processo_documento/processo_documento20014127022025_1_.pdf&amp;nome=Rela&#231;&#227;o Nominal de Credores" TargetMode="External" Id="rId291" /><Relationship Type="http://schemas.openxmlformats.org/officeDocument/2006/relationships/hyperlink" Target="https://bbsadvogados.com.br/wp-content/uploads/2025/04/Equipseg-Edital-Relacao-de-Credores-da-Administradora-Judicial-art.-7o2o-da-LRF.pdf" TargetMode="External" Id="rId292" /><Relationship Type="http://schemas.openxmlformats.org/officeDocument/2006/relationships/hyperlink" Target="http://recuperacaojudicial.squarespace.com/s/LISTA-DE-CREDORES-CONSOLIDADA-ATE-04102024.pdf" TargetMode="External" Id="rId293" /><Relationship Type="http://schemas.openxmlformats.org/officeDocument/2006/relationships/hyperlink" Target="https://lrflideres.com.br/wp-content/plugins/download-attachments/includes/download.php?id=6252" TargetMode="External" Id="rId294" /><Relationship Type="http://schemas.openxmlformats.org/officeDocument/2006/relationships/hyperlink" Target="https://recuperacaojudicial.squarespace.com/s/RJ-Grupo-Arnon-de-Melo-Lista-de-Credores-Consolidada-abril-2022.pdf" TargetMode="External" Id="rId295" /><Relationship Type="http://schemas.openxmlformats.org/officeDocument/2006/relationships/hyperlink" Target="https://diligence.adm.br/wp-content/plugins/download-attachments/includes/download.php?id=6284" TargetMode="External" Id="rId296" /><Relationship Type="http://schemas.openxmlformats.org/officeDocument/2006/relationships/hyperlink" Target="https://lrflideres.com.br/wp-content/uploads/2023/01/4.-EDITAL-2a-LISTA-DE-CREDORES-1.pdf" TargetMode="External" Id="rId297" /><Relationship Type="http://schemas.openxmlformats.org/officeDocument/2006/relationships/hyperlink" Target="https://lrflideres.com.br/wp-content/plugins/download-attachments/includes/download.php?id=6252" TargetMode="External" Id="rId298" /><Relationship Type="http://schemas.openxmlformats.org/officeDocument/2006/relationships/hyperlink" Target="http://recuperacaojudicial.squarespace.com/s/LISTA-DE-CREDORES-CONSOLIDADA-ATE-04102024.pdf" TargetMode="External" Id="rId299" /><Relationship Type="http://schemas.openxmlformats.org/officeDocument/2006/relationships/hyperlink" Target="https://bbsadvogados.com.br/wp-content/uploads/2025/04/Equipseg-Edital-Relacao-de-Credores-da-Administradora-Judicial-art.-7o2o-da-LRF.pdf" TargetMode="External" Id="rId300" /><Relationship Type="http://schemas.openxmlformats.org/officeDocument/2006/relationships/hyperlink" Target="https://ajruiz.com.br/sites/default/files/public/arquivos-processos/2026-06/alto_uruguai_qgc_junho.2026.pdf" TargetMode="External" Id="rId301"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02" /><Relationship Type="http://schemas.openxmlformats.org/officeDocument/2006/relationships/hyperlink" Target="https://bbsadvogados.com.br/wp-content/uploads/2025/04/Equipseg-Edital-Relacao-de-Credores-da-Administradora-Judicial-art.-7o2o-da-LRF.pdf" TargetMode="External" Id="rId303" /><Relationship Type="http://schemas.openxmlformats.org/officeDocument/2006/relationships/hyperlink" Target="https://administradorajudicialgs.com.br/wp-content/uploads/2024/10/relacao-de-credores-e-verificacao-de-credito-2025.pdf" TargetMode="External" Id="rId304"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05" /><Relationship Type="http://schemas.openxmlformats.org/officeDocument/2006/relationships/hyperlink" Target="https://administradorajudicialgs.com.br/wp-content/uploads/2023/08/doc-06-relacao-credores-do-administrador-judicial-10-02-2015.pdf" TargetMode="External" Id="rId306" /><Relationship Type="http://schemas.openxmlformats.org/officeDocument/2006/relationships/hyperlink" Target="https://administradorajudicialgs.com.br/wp-content/uploads/2023/08/advogados-sgrott-doc-22-relacao-de-credores-do-administrador-judicial-classe-iii-05-02-14.pdf" TargetMode="External" Id="rId307" /><Relationship Type="http://schemas.openxmlformats.org/officeDocument/2006/relationships/hyperlink" Target="https://administradorajudicialgs.com.br/wp-content/uploads/2023/08/doc-06-relacao-credores-do-administrador-judicial-10-02-2015.pdf" TargetMode="External" Id="rId308" /><Relationship Type="http://schemas.openxmlformats.org/officeDocument/2006/relationships/hyperlink" Target="https://administradorajudicialgs.com.br/wp-content/uploads/2023/08/edital-quadro-geral-de-credores.pdf" TargetMode="External" Id="rId309"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10" /><Relationship Type="http://schemas.openxmlformats.org/officeDocument/2006/relationships/hyperlink" Target="https://stenius.com.br/wp-content/uploads/2026/06/EDITAL-GRUPO-3E.pdf" TargetMode="External" Id="rId311" /><Relationship Type="http://schemas.openxmlformats.org/officeDocument/2006/relationships/hyperlink" Target="https://stenius.com.br/wp-content/uploads/2026/06/EDITAL-GRUPO-3E.pdf" TargetMode="External" Id="rId312" /><Relationship Type="http://schemas.openxmlformats.org/officeDocument/2006/relationships/hyperlink" Target="https://administradorajudicialgs.com.br/wp-content/uploads/2023/08/advogados-sgrott-doc-22-relacao-de-credores-do-administrador-judicial-classe-iii-05-02-14.pdf" TargetMode="External" Id="rId313" /><Relationship Type="http://schemas.openxmlformats.org/officeDocument/2006/relationships/hyperlink" Target="https://administradorajudicialgs.com.br/wp-content/uploads/2023/08/advogados-sgrott-doc-22-relacao-de-credores-do-administrador-judicial-classe-iii-05-02-14.pdf" TargetMode="External" Id="rId314" /><Relationship Type="http://schemas.openxmlformats.org/officeDocument/2006/relationships/hyperlink" Target="https://administradorajudicialgs.com.br/wp-content/uploads/2023/08/advogados-sgrott-doc-22-relacao-de-credores-do-administrador-judicial-classe-iii-05-02-14.pdf" TargetMode="External" Id="rId315"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16" /><Relationship Type="http://schemas.openxmlformats.org/officeDocument/2006/relationships/hyperlink" Target="https://realbrasil.com.br/wp-content/uploads/2018/06/2_LISTA-DE-CREDORES-DA-RECUPERANDA_ROQUE.pdf" TargetMode="External" Id="rId317"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18" /><Relationship Type="http://schemas.openxmlformats.org/officeDocument/2006/relationships/hyperlink" Target="https://diligence.adm.br/wp-content/plugins/download-attachments/includes/download.php?id=4579" TargetMode="External" Id="rId319" /><Relationship Type="http://schemas.openxmlformats.org/officeDocument/2006/relationships/hyperlink" Target="https://marquesadmjudicial.com.br/sgc/download.php?file=files/processo_documento/processo_documento15232121112024_1_.pdf&amp;nome=Rela&#231;&#227;o de Credores" TargetMode="External" Id="rId320" /><Relationship Type="http://schemas.openxmlformats.org/officeDocument/2006/relationships/hyperlink" Target="https://administradorajudicialgs.com.br/wp-content/uploads/2024/10/relacao-de-credores-e-verificacao-de-credito-2025.pdf" TargetMode="External" Id="rId321" /><Relationship Type="http://schemas.openxmlformats.org/officeDocument/2006/relationships/hyperlink" Target="https://stenius.com.br/wp-content/uploads/2026/06/EDITAL-GRUPO-3E.pdf" TargetMode="External" Id="rId322"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23" /><Relationship Type="http://schemas.openxmlformats.org/officeDocument/2006/relationships/hyperlink" Target="https://administradorajudicialgs.com.br/wp-content/uploads/2024/12/relacao-de-credores-da-falida.pdf" TargetMode="External" Id="rId324" /><Relationship Type="http://schemas.openxmlformats.org/officeDocument/2006/relationships/hyperlink" Target="https://recuperacaojudicial.squarespace.com/s/RJ-Grupo-Arnon-de-Melo-Lista-de-Credores-Consolidada-abril-2022.pdf" TargetMode="External" Id="rId325" /><Relationship Type="http://schemas.openxmlformats.org/officeDocument/2006/relationships/hyperlink" Target="https://administradorajudicialgs.com.br/wp-content/uploads/2024/12/relacao-de-credores-da-falida.pdf" TargetMode="External" Id="rId326" /><Relationship Type="http://schemas.openxmlformats.org/officeDocument/2006/relationships/hyperlink" Target="https://lrflideres.com.br/wp-content/plugins/download-attachments/includes/download.php?id=5001" TargetMode="External" Id="rId327" /><Relationship Type="http://schemas.openxmlformats.org/officeDocument/2006/relationships/hyperlink" Target="https://bbsadvogados.com.br/wp-content/uploads/2025/09/Edital-Relacao-de-Credores-da-Administradora-Judicial-art.-7o2o-da-LRF.-Visao-14-02-2025.pdf" TargetMode="External" Id="rId328"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29"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30" /><Relationship Type="http://schemas.openxmlformats.org/officeDocument/2006/relationships/hyperlink" Target="https://realbrasil.com.br/wp-content/uploads/2017/05/Rela&#231;&#227;o-de-Credores_-Mastter-1.pdf" TargetMode="External" Id="rId331"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32" /><Relationship Type="http://schemas.openxmlformats.org/officeDocument/2006/relationships/hyperlink" Target="https://administradorajudicialgs.com.br/wp-content/uploads/2023/08/relacao-de-credores-da-recuperanda-2.pdf" TargetMode="External" Id="rId333"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34" /><Relationship Type="http://schemas.openxmlformats.org/officeDocument/2006/relationships/hyperlink" Target="https://administradorajudicialgs.com.br/wp-content/uploads/2024/12/relacao-de-credores-da-falida.pdf" TargetMode="External" Id="rId335" /><Relationship Type="http://schemas.openxmlformats.org/officeDocument/2006/relationships/hyperlink" Target="https://administradorajudicialgs.com.br/wp-content/uploads/2023/08/doc-06-relacao-credores-do-administrador-judicial-10-02-2015.pdf" TargetMode="External" Id="rId336" /><Relationship Type="http://schemas.openxmlformats.org/officeDocument/2006/relationships/hyperlink" Target="https://ricardobiancardi.com.br/wp-content/uploads/2024/12/Edital-1-relacao-de-credores-pub.-02.12.24-.pdf" TargetMode="External" Id="rId337"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38" /><Relationship Type="http://schemas.openxmlformats.org/officeDocument/2006/relationships/hyperlink" Target="https://administradorajudicialgs.com.br/wp-content/uploads/2024/10/relacao-de-credores-e-verificacao-de-credito-2025.pdf" TargetMode="External" Id="rId339" /><Relationship Type="http://schemas.openxmlformats.org/officeDocument/2006/relationships/hyperlink" Target="https://realbrasil.com.br/wp-content/uploads/2018/06/2_LISTA-DE-CREDORES-DA-RECUPERANDA_ROQUE.pdf" TargetMode="External" Id="rId340"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41" /><Relationship Type="http://schemas.openxmlformats.org/officeDocument/2006/relationships/hyperlink" Target="https://ativosajce.com.br/admin/download.php?file=files/processo_documento/processo_documento18430011062025_1_.pdf&amp;nome=Rela&#231;&#227;o de Credores - Art. 52&#186; &#167; 1&#186;, da Lei n&#186; 11.101/2005 - 13/08/2020" TargetMode="External" Id="rId342" /><Relationship Type="http://schemas.openxmlformats.org/officeDocument/2006/relationships/hyperlink" Target="https://administradorajudicialgs.com.br/wp-content/uploads/2024/12/relacao-de-credores-da-falida.pdf" TargetMode="External" Id="rId343"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344" /><Relationship Type="http://schemas.openxmlformats.org/officeDocument/2006/relationships/hyperlink" Target="https://administradorajudicialgs.com.br/wp-content/uploads/2024/12/relacao-de-credores-da-falida.pdf" TargetMode="External" Id="rId345" /></Relationships>
</file>

<file path=xl/worksheets/_rels/sheet4.xml.rels><Relationships xmlns="http://schemas.openxmlformats.org/package/2006/relationships"><Relationship Type="http://schemas.openxmlformats.org/officeDocument/2006/relationships/hyperlink" Target="https://scalzilliaj.com.br/sgc/download.php?file=files/processo_documento/processo_documento09514021082025_1_.pdf&amp;nome=04 - Rela&#231;&#227;o de credores das Recuperandas" TargetMode="External" Id="rId1" /><Relationship Type="http://schemas.openxmlformats.org/officeDocument/2006/relationships/hyperlink" Target="https://scalzilliaj.com.br/sgc/download.php?file=files/processo_documento/processo_documento09514021082025_1_.pdf&amp;nome=04 - Rela&#231;&#227;o de credores das Recuperandas" TargetMode="External" Id="rId2"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3" /><Relationship Type="http://schemas.openxmlformats.org/officeDocument/2006/relationships/hyperlink" Target="https://credibilita.com.br/wp-content/uploads/2025/09/Relacao-Credores-29.04.2026.pdf" TargetMode="External" Id="rId4" /><Relationship Type="http://schemas.openxmlformats.org/officeDocument/2006/relationships/hyperlink" Target="https://assistjud.com.br/wp-content/uploads/elementor/forms/65098c80a5824.pdf" TargetMode="External" Id="rId5" /><Relationship Type="http://schemas.openxmlformats.org/officeDocument/2006/relationships/hyperlink" Target="https://credibilita.com.br/wp-content/uploads/2025/09/Relacao-Credores-29.04.2026.pdf" TargetMode="External" Id="rId6" /><Relationship Type="http://schemas.openxmlformats.org/officeDocument/2006/relationships/hyperlink" Target="https://recuperasolucoes.com/wp-content/plugins/download-attachments/includes/download.php?id=1597" TargetMode="External" Id="rId7" /><Relationship Type="http://schemas.openxmlformats.org/officeDocument/2006/relationships/hyperlink" Target="https://scalzilliaj.com.br/sgc/download.php?file=files/processo_documento/processo_documento09120721032023_1_.pdf&amp;nome=15 - Edital do art. 7&#186;, &#167;2&#186; e 53 da Lei 11.101/2005 (segunda lista de credores e recebimento do plano))" TargetMode="External" Id="rId8" /><Relationship Type="http://schemas.openxmlformats.org/officeDocument/2006/relationships/hyperlink" Target="https://lrflideres.com.br/wp-content/plugins/download-attachments/includes/download.php?id=6051" TargetMode="External" Id="rId9"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0" /><Relationship Type="http://schemas.openxmlformats.org/officeDocument/2006/relationships/hyperlink" Target="https://ativosajce.com.br/admin/download.php?file=files/processo_documento/processo_documento16022716122025_1_.pdf&amp;nome=Rela&#231;&#227;o de credores - art. 52, &#167;1&#186; da Lei 11.101/05 - 15/12/2025" TargetMode="External" Id="rId11" /><Relationship Type="http://schemas.openxmlformats.org/officeDocument/2006/relationships/hyperlink" Target="https://marquesadmjudicial.com.br/sgc/download.php?file=files/processo_documento/processo_documento09391327032025_1_.pdf&amp;nome=Rela&#231;&#227;o Nominal de Credores AJ" TargetMode="External" Id="rId12" /><Relationship Type="http://schemas.openxmlformats.org/officeDocument/2006/relationships/hyperlink" Target="https://stenius.com.br/wp-content/uploads/2026/06/EDITAL-GRUPO-3E.pdf" TargetMode="External" Id="rId13" /><Relationship Type="http://schemas.openxmlformats.org/officeDocument/2006/relationships/hyperlink" Target="https://lrflideres.com.br/wp-content/plugins/download-attachments/includes/download.php?id=4023" TargetMode="External" Id="rId14" /><Relationship Type="http://schemas.openxmlformats.org/officeDocument/2006/relationships/hyperlink" Target="https://ajruiz.com.br/sites/default/files/public/arquivos-processos/2023-11/4_relacao_de_credores_analitica_art._51_iii_da_lre.pdf" TargetMode="External" Id="rId15" /><Relationship Type="http://schemas.openxmlformats.org/officeDocument/2006/relationships/hyperlink" Target="https://marquesadmjudicial.com.br/sgc/download.php?file=files/processo_documento/processo_documento17040729052024_1_.pdf&amp;nome=Rela&#231;&#227;o Nominal de Credores AJ-Sint&#233;tica" TargetMode="External" Id="rId16" /><Relationship Type="http://schemas.openxmlformats.org/officeDocument/2006/relationships/hyperlink" Target="https://diligence.adm.br/wp-content/uploads/2025/06/Edital-1a-Lista-de-Credores.pdf" TargetMode="External" Id="rId17" /><Relationship Type="http://schemas.openxmlformats.org/officeDocument/2006/relationships/hyperlink" Target="https://lrflideres.com.br/wp-content/plugins/download-attachments/includes/download.php?id=7418" TargetMode="External" Id="rId18" /><Relationship Type="http://schemas.openxmlformats.org/officeDocument/2006/relationships/hyperlink" Target="http://recuperacaojudicial.squarespace.com/s/LISTA-DE-CREDORES-CONSOLIDADA-ATE-04102024.pdf" TargetMode="External" Id="rId19" /><Relationship Type="http://schemas.openxmlformats.org/officeDocument/2006/relationships/hyperlink" Target="http://recuperacaojudicial.squarespace.com/s/LISTA-DE-CREDORES-CONSOLIDADA-ATE-04102024.pdf" TargetMode="External" Id="rId20" /><Relationship Type="http://schemas.openxmlformats.org/officeDocument/2006/relationships/hyperlink" Target="https://marquesadmjudicial.com.br/sgc/download.php?file=files/processo_documento/processo_documento20014127022025_1_.pdf&amp;nome=Rela&#231;&#227;o Nominal de Credores" TargetMode="External" Id="rId21" /><Relationship Type="http://schemas.openxmlformats.org/officeDocument/2006/relationships/hyperlink" Target="https://assistjud.com.br/wp-content/uploads/elementor/forms/65098c80a5824.pdf" TargetMode="External" Id="rId22" /><Relationship Type="http://schemas.openxmlformats.org/officeDocument/2006/relationships/hyperlink" Target="https://lrflideres.com.br/wp-content/plugins/download-attachments/includes/download.php?id=6252" TargetMode="External" Id="rId23" /><Relationship Type="http://schemas.openxmlformats.org/officeDocument/2006/relationships/hyperlink" Target="https://inova-aj.com.br/wp-content/uploads/2026/08/1a-Relacao-de-Credores-Real.pdf" TargetMode="External" Id="rId24" /><Relationship Type="http://schemas.openxmlformats.org/officeDocument/2006/relationships/hyperlink" Target="https://ajruiz.com.br/sites/default/files/public/arquivos-processos/2026-01/safrasul_relacao_de_credores_recuperanda.pdf" TargetMode="External" Id="rId25" /><Relationship Type="http://schemas.openxmlformats.org/officeDocument/2006/relationships/hyperlink" Target="https://lrflideres.com.br/wp-content/plugins/download-attachments/includes/download.php?id=5828" TargetMode="External" Id="rId26"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27" /><Relationship Type="http://schemas.openxmlformats.org/officeDocument/2006/relationships/hyperlink" Target="https://recuperasolucoes.com/wp-content/plugins/download-attachments/includes/download.php?id=1597" TargetMode="External" Id="rId28" /><Relationship Type="http://schemas.openxmlformats.org/officeDocument/2006/relationships/hyperlink" Target="https://vivanteaj.com.br/wp-content/uploads/2024/11/1a-lista-de-credores-JA-Santos.pdf" TargetMode="External" Id="rId29" /><Relationship Type="http://schemas.openxmlformats.org/officeDocument/2006/relationships/hyperlink" Target="https://recuperacaojudicial.squarespace.com/s/EDITAL-COM-A-2-LISTA-DE-CREDORES-E-INFORMANDO-A-APRESENTACO-DO-PRJ_1532.pdf" TargetMode="External" Id="rId30" /><Relationship Type="http://schemas.openxmlformats.org/officeDocument/2006/relationships/hyperlink" Target="https://diligence.adm.br/wp-content/uploads/2025/06/Edital-1a-Lista-de-Credores.pdf" TargetMode="External" Id="rId3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2" /><Relationship Type="http://schemas.openxmlformats.org/officeDocument/2006/relationships/hyperlink" Target="https://stenius.com.br/wp-content/uploads/2026/06/EDITAL-GRUPO-3E.pdf" TargetMode="External" Id="rId33" /><Relationship Type="http://schemas.openxmlformats.org/officeDocument/2006/relationships/hyperlink" Target="https://ativosajce.com.br/admin/download.php?file=files/processo_documento/processo_documento13422625032025_1_.pdf&amp;nome=Rela&#231;&#227;o de Credores - Art. 52&#186; &#167; 1&#186;, da Lei n&#186; 11.101/2005 - 25/02/2025" TargetMode="External" Id="rId34" /><Relationship Type="http://schemas.openxmlformats.org/officeDocument/2006/relationships/hyperlink" Target="https://ajruiz.com.br/sites/default/files/public/arquivos-processos/2026-01/safrasul_relacao_de_credores_recuperanda.pdf" TargetMode="External" Id="rId35" /><Relationship Type="http://schemas.openxmlformats.org/officeDocument/2006/relationships/hyperlink" Target="https://lrflideres.com.br/wp-content/plugins/download-attachments/includes/download.php?id=7418" TargetMode="External" Id="rId36" /><Relationship Type="http://schemas.openxmlformats.org/officeDocument/2006/relationships/hyperlink" Target="https://lrflideres.com.br/wp-content/plugins/download-attachments/includes/download.php?id=7418" TargetMode="External" Id="rId37" /><Relationship Type="http://schemas.openxmlformats.org/officeDocument/2006/relationships/hyperlink" Target="https://marquesadmjudicial.com.br/sgc/download.php?file=files/processo_documento/processo_documento18581929042026_1_.pdf&amp;nome=3&#186; Edital - Rela&#231;&#227;o de Credores e PRJ" TargetMode="External" Id="rId3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39" /><Relationship Type="http://schemas.openxmlformats.org/officeDocument/2006/relationships/hyperlink" Target="https://ajruiz.com.br/sites/default/files/public/arquivos-processos/2023-11/4_relacao_de_credores_analitica_art._51_iii_da_lre.pdf" TargetMode="External" Id="rId40" /><Relationship Type="http://schemas.openxmlformats.org/officeDocument/2006/relationships/hyperlink" Target="https://marquesadmjudicial.com.br/sgc/download.php?file=files/processo_documento/processo_documento09444722082025_1_.pdf&amp;nome=2&#176; Edital - Rela&#231;&#227;o de Credores AJ e PRJ" TargetMode="External" Id="rId4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42" /><Relationship Type="http://schemas.openxmlformats.org/officeDocument/2006/relationships/hyperlink" Target="https://stenius.com.br/wp-content/uploads/2026/08/1&#176;-EDITAL-GRUPO-TENDAS.pdf" TargetMode="External" Id="rId43" /><Relationship Type="http://schemas.openxmlformats.org/officeDocument/2006/relationships/hyperlink" Target="https://assistjud.com.br/wp-content/uploads/elementor/forms/65098c80a5824.pdf" TargetMode="External" Id="rId44" /><Relationship Type="http://schemas.openxmlformats.org/officeDocument/2006/relationships/hyperlink" Target="https://bugarimecoelho.com.br/ws/media-library/b6b7ea42b9fa2afe30bc728fe00cd5c6/07---edital-do-processamento-da-recuperacao-judicial.pdf" TargetMode="External" Id="rId45" /><Relationship Type="http://schemas.openxmlformats.org/officeDocument/2006/relationships/hyperlink" Target="https://stenius.com.br/wp-content/uploads/2026/06/EDITAL-GRUPO-FAEL.pdf" TargetMode="External" Id="rId46" /><Relationship Type="http://schemas.openxmlformats.org/officeDocument/2006/relationships/hyperlink" Target="http://bernardobicalho.com.br/login/app/documents/Rela%C3%A7%C3%A3o%20de%20Credores/6.%20RVC-%20Nutricium%20-%20simplificada.pdf" TargetMode="External" Id="rId47" /><Relationship Type="http://schemas.openxmlformats.org/officeDocument/2006/relationships/hyperlink" Target="https://recuperacaojudicial.squarespace.com/s/RJ-Credimoveis-QGC-01082025.pdf" TargetMode="External" Id="rId48" /><Relationship Type="http://schemas.openxmlformats.org/officeDocument/2006/relationships/hyperlink" Target="https://realbrasil.com.br/wp-content/uploads/2018/06/2_LISTA-DE-CREDORES-DA-RECUPERANDA_ROQUE.pdf" TargetMode="External" Id="rId49" /><Relationship Type="http://schemas.openxmlformats.org/officeDocument/2006/relationships/hyperlink" Target="https://scalzilliaj.com.br/sgc/download.php?file=files/processo_documento/processo_documento10141405032024_1_.pdf&amp;nome=10 - Edital do art. 7&#186;, &#167;2&#186; da Lei 11.101/2005 (segunda lista de credores)" TargetMode="External" Id="rId50" /><Relationship Type="http://schemas.openxmlformats.org/officeDocument/2006/relationships/hyperlink" Target="https://lrflideres.com.br/wp-content/plugins/download-attachments/includes/download.php?id=4023" TargetMode="External" Id="rId51" /><Relationship Type="http://schemas.openxmlformats.org/officeDocument/2006/relationships/hyperlink" Target="https://lrflideres.com.br/wp-content/plugins/download-attachments/includes/download.php?id=6051" TargetMode="External" Id="rId52" /><Relationship Type="http://schemas.openxmlformats.org/officeDocument/2006/relationships/hyperlink" Target="https://vtladm.com.br/wp-content/uploads/2024/04/09-&#8211;-EDITAL-DE-CONVOCACAO-DE-CREDORES-&#8211;-Frigorifico-Alfa-Industria-e-Comercio-de-Carnes-e-Derivados-Ltda.-e-Ctx-Logistica-Transporte-E-Locacoes-Ltda.pdf" TargetMode="External" Id="rId53" /><Relationship Type="http://schemas.openxmlformats.org/officeDocument/2006/relationships/hyperlink" Target="http://bernardobicalho.com.br/login/app/documents/Rela%C3%A7%C3%A3o%20de%20Credores/6.%20RVC-%20Nutricium%20-%20simplificada.pdf" TargetMode="External" Id="rId54" /><Relationship Type="http://schemas.openxmlformats.org/officeDocument/2006/relationships/hyperlink" Target="https://administradorajudicialgs.com.br/wp-content/uploads/2024/12/relacao-de-credores-da-falida.pdf" TargetMode="External" Id="rId55"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56" /><Relationship Type="http://schemas.openxmlformats.org/officeDocument/2006/relationships/hyperlink" Target="https://realbrasil.com.br/wp-content/uploads/2018/06/2_LISTA-DE-CREDORES-DA-RECUPERANDA_ROQUE.pdf" TargetMode="External" Id="rId57" /><Relationship Type="http://schemas.openxmlformats.org/officeDocument/2006/relationships/hyperlink" Target="http://recuperacaojudicial.squarespace.com/s/LISTA-DE-CREDORES-CONSOLIDADA-ATE-04102024.pdf" TargetMode="External" Id="rId58" /><Relationship Type="http://schemas.openxmlformats.org/officeDocument/2006/relationships/hyperlink" Target="https://bbsadvogados.com.br/wp-content/uploads/2025/04/Equipseg-Edital-Relacao-de-Credores-da-Administradora-Judicial-art.-7o2o-da-LRF.pdf" TargetMode="External" Id="rId59" /><Relationship Type="http://schemas.openxmlformats.org/officeDocument/2006/relationships/hyperlink" Target="https://bugarimecoelho.com.br/ws/media-library/b6b7ea42b9fa2afe30bc728fe00cd5c6/07---edital-do-processamento-da-recuperacao-judicial.pdf" TargetMode="External" Id="rId60" /><Relationship Type="http://schemas.openxmlformats.org/officeDocument/2006/relationships/hyperlink" Target="https://realbrasil.com.br/wp-content/uploads/2017/05/Rela&#231;&#227;o-de-Credores_-Mastter-1.pdf" TargetMode="External" Id="rId61" /><Relationship Type="http://schemas.openxmlformats.org/officeDocument/2006/relationships/hyperlink" Target="https://administradorajudicialgs.com.br/wp-content/uploads/2024/10/relacao-de-credores-e-verificacao-de-credito-2025.pdf" TargetMode="External" Id="rId62" /><Relationship Type="http://schemas.openxmlformats.org/officeDocument/2006/relationships/hyperlink" Target="https://administradorajudicialgs.com.br/wp-content/uploads/2023/08/edital-quadro-geral-de-credores.pdf" TargetMode="External" Id="rId63"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64" /><Relationship Type="http://schemas.openxmlformats.org/officeDocument/2006/relationships/hyperlink" Target="https://marquesadmjudicial.com.br/sgc/download.php?file=files/processo_documento/processo_documento19270817122025_1_.pdf&amp;nome=Rela&#231;&#227;o Nominal de Credores AJ" TargetMode="External" Id="rId65" /><Relationship Type="http://schemas.openxmlformats.org/officeDocument/2006/relationships/hyperlink" Target="https://administradorajudicialgs.com.br/wp-content/uploads/2024/12/relacao-de-credores-da-falida.pdf" TargetMode="External" Id="rId66" /><Relationship Type="http://schemas.openxmlformats.org/officeDocument/2006/relationships/hyperlink" Target="https://vtladm.com.br/wp-content/uploads/2024/04/09-&#8211;-EDITAL-DE-CONVOCACAO-DE-CREDORES-&#8211;-Frigorifico-Alfa-Industria-e-Comercio-de-Carnes-e-Derivados-Ltda.-e-Ctx-Logistica-Transporte-E-Locacoes-Ltda.pdf" TargetMode="External" Id="rId67" /><Relationship Type="http://schemas.openxmlformats.org/officeDocument/2006/relationships/hyperlink" Target="https://scalzilliaj.com.br/sgc/download.php?file=files/processo_documento/processo_documento15513401112022_1_.pdf&amp;nome=15 - Edital do art. 7&#186;, &#167;2&#186; (segunda lista de credores) e do art. 53 da Lei 11.101/2005 (recebimento do plano)" TargetMode="External" Id="rId68" /><Relationship Type="http://schemas.openxmlformats.org/officeDocument/2006/relationships/hyperlink" Target="https://realbrasil.com.br/wp-content/uploads/2017/05/Rela&#231;&#227;o-de-Credores_-Mastter-1.pdf" TargetMode="External" Id="rId69" /><Relationship Type="http://schemas.openxmlformats.org/officeDocument/2006/relationships/hyperlink" Target="https://bbsadvogados.com.br/wp-content/uploads/2025/04/Equipseg-Edital-Relacao-de-Credores-da-Administradora-Judicial-art.-7o2o-da-LRF.pdf" TargetMode="External" Id="rId70" /><Relationship Type="http://schemas.openxmlformats.org/officeDocument/2006/relationships/hyperlink" Target="https://marquesadmjudicial.com.br/sgc/download.php?file=files/processo_documento/processo_documento09391327032025_1_.pdf&amp;nome=Rela&#231;&#227;o Nominal de Credores AJ" TargetMode="External" Id="rId71" /><Relationship Type="http://schemas.openxmlformats.org/officeDocument/2006/relationships/hyperlink" Target="https://recuperasolucoes.com/wp-content/plugins/download-attachments/includes/download.php?id=1492" TargetMode="External" Id="rId72" /><Relationship Type="http://schemas.openxmlformats.org/officeDocument/2006/relationships/hyperlink" Target="https://realbrasil.com.br/wp-content/uploads/2018/06/2_LISTA-DE-CREDORES-DA-RECUPERANDA_ROQUE.pdf" TargetMode="External" Id="rId73" /><Relationship Type="http://schemas.openxmlformats.org/officeDocument/2006/relationships/hyperlink" Target="https://administradorajudicialgs.com.br/wp-content/uploads/2024/10/relacao-de-credores-e-verificacao-de-credito-2025.pdf" TargetMode="External" Id="rId74" /><Relationship Type="http://schemas.openxmlformats.org/officeDocument/2006/relationships/hyperlink" Target="https://administradorajudicialgs.com.br/wp-content/uploads/2024/12/relacao-de-credores-da-falida.pdf" TargetMode="External" Id="rId75" /><Relationship Type="http://schemas.openxmlformats.org/officeDocument/2006/relationships/hyperlink" Target="https://administradorajudicialgs.com.br/wp-content/uploads/2023/08/edital-quadro-geral-de-credores.pdf" TargetMode="External" Id="rId76" /><Relationship Type="http://schemas.openxmlformats.org/officeDocument/2006/relationships/hyperlink" Target="https://recuperacaojudicial.squarespace.com/s/LISTA-DE-CREDORES-CONSOLIDADA-EM-11072025_6419.pdf" TargetMode="External" Id="rId77" /><Relationship Type="http://schemas.openxmlformats.org/officeDocument/2006/relationships/hyperlink" Target="https://realbrasil.com.br/wp-content/uploads/2017/05/Rela&#231;&#227;o-de-Credores_-Mastter-1.pdf" TargetMode="External" Id="rId78" /><Relationship Type="http://schemas.openxmlformats.org/officeDocument/2006/relationships/hyperlink" Target="https://recuperacaojudicial.squarespace.com/s/LISTA-DE-CREDORES-CONSOLIDADA-EM-11072025_6419.pdf" TargetMode="External" Id="rId79" /><Relationship Type="http://schemas.openxmlformats.org/officeDocument/2006/relationships/hyperlink" Target="https://ricardobiancardi.com.br/wp-content/uploads/2024/12/Edital-1-relacao-de-credores-pub.-02.12.24-.pdf" TargetMode="External" Id="rId80" /><Relationship Type="http://schemas.openxmlformats.org/officeDocument/2006/relationships/hyperlink" Target="https://lrflideres.com.br/wp-content/plugins/download-attachments/includes/download.php?id=5001" TargetMode="External" Id="rId81" /><Relationship Type="http://schemas.openxmlformats.org/officeDocument/2006/relationships/hyperlink" Target="https://diligence.adm.br/wp-content/plugins/download-attachments/includes/download.php?id=4579" TargetMode="External" Id="rId82" /><Relationship Type="http://schemas.openxmlformats.org/officeDocument/2006/relationships/hyperlink" Target="https://recuperacaojudicial.squarespace.com/s/4-RJCTREditalda2ListadeCredoresnovembro2019.pdf" TargetMode="External" Id="rId83" /></Relationships>
</file>

<file path=xl/worksheets/_rels/sheet5.xml.rels><Relationships xmlns="http://schemas.openxmlformats.org/package/2006/relationships"><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1"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2" /><Relationship Type="http://schemas.openxmlformats.org/officeDocument/2006/relationships/hyperlink" Target="https://scalzilliaj.com.br/sgc/download.php?file=files/processo_documento/processo_documento09514021082025_1_.pdf&amp;nome=04 - Rela&#231;&#227;o de credores das Recuperandas" TargetMode="External" Id="rId3" /><Relationship Type="http://schemas.openxmlformats.org/officeDocument/2006/relationships/hyperlink" Target="https://scalzilliaj.com.br/sgc/download.php?file=files/processo_documento/processo_documento13183320052026_1_.pdf&amp;nome=10 - QGC Provis&#243;rio - atualizado at&#233; Maio de 2026" TargetMode="External" Id="rId4" /><Relationship Type="http://schemas.openxmlformats.org/officeDocument/2006/relationships/hyperlink" Target="https://diligence.adm.br/wp-content/uploads/2025/06/Edital-1a-Lista-de-Credores.pdf" TargetMode="External" Id="rId5" /><Relationship Type="http://schemas.openxmlformats.org/officeDocument/2006/relationships/hyperlink" Target="https://lrflideres.com.br/wp-content/plugins/download-attachments/includes/download.php?id=6252" TargetMode="External" Id="rId6" /><Relationship Type="http://schemas.openxmlformats.org/officeDocument/2006/relationships/hyperlink" Target="https://lrflideres.com.br/wp-content/plugins/download-attachments/includes/download.php?id=6879" TargetMode="External" Id="rId7" /><Relationship Type="http://schemas.openxmlformats.org/officeDocument/2006/relationships/hyperlink" Target="https://ativosajce.com.br/admin/download.php?file=files/processo_documento/processo_documento18430011062025_1_.pdf&amp;nome=Rela&#231;&#227;o de Credores - Art. 52&#186; &#167; 1&#186;, da Lei n&#186; 11.101/2005 - 13/08/2020" TargetMode="External" Id="rId8" /><Relationship Type="http://schemas.openxmlformats.org/officeDocument/2006/relationships/hyperlink" Target="https://vtladm.com.br/wp-content/uploads/2026/06/02-&#8211;-Relacao-de-Credores-&#8211;-NAIR-AKICO-KAWAKAMI-MORIOKA-E-OUTROS.pdf" TargetMode="External" Id="rId9" /><Relationship Type="http://schemas.openxmlformats.org/officeDocument/2006/relationships/hyperlink" Target="https://lrflideres.com.br/wp-content/plugins/download-attachments/includes/download.php?id=6879" TargetMode="External" Id="rId10" /><Relationship Type="http://schemas.openxmlformats.org/officeDocument/2006/relationships/hyperlink" Target="https://lrflideres.com.br/wp-content/plugins/download-attachments/includes/download.php?id=6879" TargetMode="External" Id="rId11" /><Relationship Type="http://schemas.openxmlformats.org/officeDocument/2006/relationships/hyperlink" Target="https://lrflideres.com.br/wp-content/plugins/download-attachments/includes/download.php?id=6879" TargetMode="External" Id="rId12" /><Relationship Type="http://schemas.openxmlformats.org/officeDocument/2006/relationships/hyperlink" Target="https://administradorajudicialgs.com.br/wp-content/uploads/2025/09/relacao-de-credores-forest-sa.pdf" TargetMode="External" Id="rId13" /><Relationship Type="http://schemas.openxmlformats.org/officeDocument/2006/relationships/hyperlink" Target="https://scalzilliaj.com.br/sgc/download.php?file=files/processo_documento/processo_documento09514021082025_1_.pdf&amp;nome=04 - Rela&#231;&#227;o de credores das Recuperandas" TargetMode="External" Id="rId14" /><Relationship Type="http://schemas.openxmlformats.org/officeDocument/2006/relationships/hyperlink" Target="https://assistjud.com.br/wp-content/uploads/elementor/forms/65098c80a5824.pdf" TargetMode="External" Id="rId15" /><Relationship Type="http://schemas.openxmlformats.org/officeDocument/2006/relationships/hyperlink" Target="https://administradorajudicialgs.com.br/wp-content/uploads/2023/11/relacao-credores-recuperanda.pdf" TargetMode="External" Id="rId16" /><Relationship Type="http://schemas.openxmlformats.org/officeDocument/2006/relationships/hyperlink" Target="https://lrflideres.com.br/wp-content/plugins/download-attachments/includes/download.php?id=6252" TargetMode="External" Id="rId17" /><Relationship Type="http://schemas.openxmlformats.org/officeDocument/2006/relationships/hyperlink" Target="https://marquesadmjudicial.com.br/sgc/download.php?file=files/processo_documento/processo_documento16562707032024_1_.pdf&amp;nome=2&#186; Edital-Rela&#231;&#227;o de Credores do art. 7, &#167;2 da LREF e do Plano de Recupera&#231;&#227;o Judicial" TargetMode="External" Id="rId1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19" /><Relationship Type="http://schemas.openxmlformats.org/officeDocument/2006/relationships/hyperlink" Target="https://lrflideres.com.br/wp-content/plugins/download-attachments/includes/download.php?id=6879" TargetMode="External" Id="rId20" /><Relationship Type="http://schemas.openxmlformats.org/officeDocument/2006/relationships/hyperlink" Target="https://scalzilliaj.com.br/sgc/download.php?file=files/processo_documento/processo_documento09514021082025_1_.pdf&amp;nome=04 - Rela&#231;&#227;o de credores das Recuperandas" TargetMode="External" Id="rId21" /><Relationship Type="http://schemas.openxmlformats.org/officeDocument/2006/relationships/hyperlink" Target="https://stenius.com.br/wp-content/uploads/2026/03/EDITAL-1-UNIBRAS.pdf" TargetMode="External" Id="rId22" /><Relationship Type="http://schemas.openxmlformats.org/officeDocument/2006/relationships/hyperlink" Target="https://ajruiz.com.br/sites/default/files/public/arquivos-processos/2023-11/4_relacao_de_credores_analitica_art._51_iii_da_lre.pdf" TargetMode="External" Id="rId23" /><Relationship Type="http://schemas.openxmlformats.org/officeDocument/2006/relationships/hyperlink" Target="https://scalzilliaj.com.br/sgc/download.php?file=files/processo_documento/processo_documento09514021082025_1_.pdf&amp;nome=04 - Rela&#231;&#227;o de credores das Recuperandas" TargetMode="External" Id="rId24" /><Relationship Type="http://schemas.openxmlformats.org/officeDocument/2006/relationships/hyperlink" Target="https://vivanteaj.com.br/wp-content/uploads/2025/02/2a-lista-de-credores-Agro-Safra-e-outros.pdf" TargetMode="External" Id="rId25" /><Relationship Type="http://schemas.openxmlformats.org/officeDocument/2006/relationships/hyperlink" Target="https://scalzilliaj.com.br/sgc/download.php?file=files/processo_documento/processo_documento09514021082025_1_.pdf&amp;nome=04 - Rela&#231;&#227;o de credores das Recuperandas" TargetMode="External" Id="rId26" /><Relationship Type="http://schemas.openxmlformats.org/officeDocument/2006/relationships/hyperlink" Target="https://scalzilliaj.com.br/sgc/download.php?file=files/processo_documento/processo_documento09514021082025_1_.pdf&amp;nome=04 - Rela&#231;&#227;o de credores das Recuperandas" TargetMode="External" Id="rId27" /><Relationship Type="http://schemas.openxmlformats.org/officeDocument/2006/relationships/hyperlink" Target="https://scalzilliaj.com.br/sgc/download.php?file=files/processo_documento/processo_documento09514021082025_1_.pdf&amp;nome=04 - Rela&#231;&#227;o de credores das Recuperandas" TargetMode="External" Id="rId28" /><Relationship Type="http://schemas.openxmlformats.org/officeDocument/2006/relationships/hyperlink" Target="https://scalzilliaj.com.br/sgc/download.php?file=files/processo_documento/processo_documento11421222052026_1_.pdf&amp;nome=08. Lista de credores do edital do art. 52, &#167;1&#186; da LREF" TargetMode="External" Id="rId29" /><Relationship Type="http://schemas.openxmlformats.org/officeDocument/2006/relationships/hyperlink" Target="https://scalzilliaj.com.br/sgc/download.php?file=files/processo_documento/processo_documento09514021082025_1_.pdf&amp;nome=04 - Rela&#231;&#227;o de credores das Recuperandas" TargetMode="External" Id="rId30" /><Relationship Type="http://schemas.openxmlformats.org/officeDocument/2006/relationships/hyperlink" Target="https://diligence.adm.br/wp-content/uploads/2025/06/Edital-1a-Lista-de-Credores.pdf" TargetMode="External" Id="rId31" /><Relationship Type="http://schemas.openxmlformats.org/officeDocument/2006/relationships/hyperlink" Target="https://scalzilliaj.com.br/sgc/download.php?file=files/processo_documento/processo_documento09514021082025_1_.pdf&amp;nome=04 - Rela&#231;&#227;o de credores das Recuperandas" TargetMode="External" Id="rId32" /><Relationship Type="http://schemas.openxmlformats.org/officeDocument/2006/relationships/hyperlink" Target="https://marquesadmjudicial.com.br/sgc/download.php?file=files/processo_documento/processo_documento17040729052024_1_.pdf&amp;nome=Rela&#231;&#227;o Nominal de Credores AJ-Sint&#233;tica" TargetMode="External" Id="rId33" /><Relationship Type="http://schemas.openxmlformats.org/officeDocument/2006/relationships/hyperlink" Target="https://marquesadmjudicial.com.br/sgc/download.php?file=files/processo_documento/processo_documento10074612042024_1_.pdf&amp;nome=2&#186; Edital-Rela&#231;&#227;o de Credores AJ e PRJ" TargetMode="External" Id="rId34" /><Relationship Type="http://schemas.openxmlformats.org/officeDocument/2006/relationships/hyperlink" Target="https://recuperacaojudicial.squarespace.com/s/RJ-Credimoveis-QGC-01082025.pdf" TargetMode="External" Id="rId35" /><Relationship Type="http://schemas.openxmlformats.org/officeDocument/2006/relationships/hyperlink" Target="https://marquesadmjudicial.com.br/sgc/download.php?file=files/processo_documento/processo_documento10074612042024_1_.pdf&amp;nome=2&#186; Edital-Rela&#231;&#227;o de Credores AJ e PRJ" TargetMode="External" Id="rId36" /><Relationship Type="http://schemas.openxmlformats.org/officeDocument/2006/relationships/hyperlink" Target="https://rlg-aj.com.br/wp-content/uploads/2024/01/Quadro-Geral-de-Credores-Refrigerantes-Polo-Sul.pdf" TargetMode="External" Id="rId37" /><Relationship Type="http://schemas.openxmlformats.org/officeDocument/2006/relationships/hyperlink" Target="https://bugarimecoelho.com.br/ws/media-library/b6b7ea42b9fa2afe30bc728fe00cd5c6/07---edital-do-processamento-da-recuperacao-judicial.pdf" TargetMode="External" Id="rId38" /><Relationship Type="http://schemas.openxmlformats.org/officeDocument/2006/relationships/hyperlink" Target="https://ajruiz.com.br/sites/default/files/public/arquivos-processos/2023-11/4_relacao_de_credores_analitica_art._51_iii_da_lre.pdf" TargetMode="External" Id="rId39" /><Relationship Type="http://schemas.openxmlformats.org/officeDocument/2006/relationships/hyperlink" Target="https://lrflideres.com.br/wp-content/plugins/download-attachments/includes/download.php?id=4023" TargetMode="External" Id="rId40" /><Relationship Type="http://schemas.openxmlformats.org/officeDocument/2006/relationships/hyperlink" Target="https://scalzilliaj.com.br/sgc/download.php?file=files/processo_documento/processo_documento09514021082025_1_.pdf&amp;nome=04 - Rela&#231;&#227;o de credores das Recuperandas" TargetMode="External" Id="rId41"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42"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43" /><Relationship Type="http://schemas.openxmlformats.org/officeDocument/2006/relationships/hyperlink" Target="https://ajruiz.com.br/sites/default/files/public/arquivos-processos/2024-04/relacao_de_credores_recuperanda_1.pdf" TargetMode="External" Id="rId44" /><Relationship Type="http://schemas.openxmlformats.org/officeDocument/2006/relationships/hyperlink" Target="https://realbrasil.com.br/wp-content/uploads/2019/02/LISTA-DE-CREDORES-DA-RECUPERANDA.pdf" TargetMode="External" Id="rId45" /><Relationship Type="http://schemas.openxmlformats.org/officeDocument/2006/relationships/hyperlink" Target="https://lrflideres.com.br/wp-content/plugins/download-attachments/includes/download.php?id=6273" TargetMode="External" Id="rId46" /><Relationship Type="http://schemas.openxmlformats.org/officeDocument/2006/relationships/hyperlink" Target="https://lrflideres.com.br/wp-content/plugins/download-attachments/includes/download.php?id=4023" TargetMode="External" Id="rId47"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48" /><Relationship Type="http://schemas.openxmlformats.org/officeDocument/2006/relationships/hyperlink" Target="https://recuperacaojudicial.squarespace.com/s/RJ-Credimoveis-QGC-01082025.pdf" TargetMode="External" Id="rId49"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50" /><Relationship Type="http://schemas.openxmlformats.org/officeDocument/2006/relationships/hyperlink" Target="https://lrflideres.com.br/wp-content/plugins/download-attachments/includes/download.php?id=5589" TargetMode="External" Id="rId51" /><Relationship Type="http://schemas.openxmlformats.org/officeDocument/2006/relationships/hyperlink" Target="https://scalzilliaj.com.br/sgc/download.php?file=files/processo_documento/processo_documento09514021082025_1_.pdf&amp;nome=04 - Rela&#231;&#227;o de credores das Recuperandas" TargetMode="External" Id="rId52" /><Relationship Type="http://schemas.openxmlformats.org/officeDocument/2006/relationships/hyperlink" Target="https://ajruiz.com.br/sites/default/files/public/arquivos-processos/2024-04/relacao_de_credores_recuperanda_1.pdf" TargetMode="External" Id="rId53" /><Relationship Type="http://schemas.openxmlformats.org/officeDocument/2006/relationships/hyperlink" Target="https://diligence.adm.br/wp-content/plugins/download-attachments/includes/download.php?id=4579" TargetMode="External" Id="rId54" /><Relationship Type="http://schemas.openxmlformats.org/officeDocument/2006/relationships/hyperlink" Target="https://cdn.dol.com.br/img/attachmentinline/940000/6publicacao-2-edital-art-7-parag-2-da-lei-11101-20009467060.pdf?xid=3272528" TargetMode="External" Id="rId55" /><Relationship Type="http://schemas.openxmlformats.org/officeDocument/2006/relationships/hyperlink" Target="https://recuperacaojudicial.squarespace.com/s/RJ-Grupo-Arnon-de-Melo-Lista-de-Credores-Consolidada-abril-2022.pdf" TargetMode="External" Id="rId56" /><Relationship Type="http://schemas.openxmlformats.org/officeDocument/2006/relationships/hyperlink" Target="https://diligence.adm.br/wp-content/uploads/2025/06/Edital-1a-Lista-de-Credores.pdf" TargetMode="External" Id="rId57" /><Relationship Type="http://schemas.openxmlformats.org/officeDocument/2006/relationships/hyperlink" Target="https://scalzilliaj.com.br/sgc/download.php?file=files/processo_documento/processo_documento09514021082025_1_.pdf&amp;nome=04 - Rela&#231;&#227;o de credores das Recuperandas" TargetMode="External" Id="rId58" /><Relationship Type="http://schemas.openxmlformats.org/officeDocument/2006/relationships/hyperlink" Target="https://marquesadmjudicial.com.br/sgc/download.php?file=files/processo_documento/processo_documento15232121112024_1_.pdf&amp;nome=Rela&#231;&#227;o de Credores" TargetMode="External" Id="rId59"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60"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61" /><Relationship Type="http://schemas.openxmlformats.org/officeDocument/2006/relationships/hyperlink" Target="https://scalzilliaj.com.br/sgc/download.php?file=files/processo_documento/processo_documento09514021082025_1_.pdf&amp;nome=04 - Rela&#231;&#227;o de credores das Recuperandas" TargetMode="External" Id="rId62" /><Relationship Type="http://schemas.openxmlformats.org/officeDocument/2006/relationships/hyperlink" Target="https://marquesadmjudicial.com.br/sgc/download.php?file=files/processo_documento/processo_documento11370527032026_1_.pdf&amp;nome=Quadro Geral de Credores (QGC) -AJ Anterior" TargetMode="External" Id="rId63" /><Relationship Type="http://schemas.openxmlformats.org/officeDocument/2006/relationships/hyperlink" Target="https://scalzilliaj.com.br/sgc/download.php?file=files/processo_documento/processo_documento09514021082025_1_.pdf&amp;nome=04 - Rela&#231;&#227;o de credores das Recuperandas" TargetMode="External" Id="rId64" /><Relationship Type="http://schemas.openxmlformats.org/officeDocument/2006/relationships/hyperlink" Target="https://scalzilliaj.com.br/sgc/download.php?file=files/processo_documento/processo_documento09514021082025_1_.pdf&amp;nome=04 - Rela&#231;&#227;o de credores das Recuperandas" TargetMode="External" Id="rId65" /><Relationship Type="http://schemas.openxmlformats.org/officeDocument/2006/relationships/hyperlink" Target="https://ativosajce.com.br/admin/download.php?file=files/processo_documento/processo_documento18560022042026_1_.pdf&amp;nome=Rela&#231;&#227;o de Credores - art. 52, &#167;1&#186; da Lei 11.101/05 - 22/04/2026" TargetMode="External" Id="rId66" /><Relationship Type="http://schemas.openxmlformats.org/officeDocument/2006/relationships/hyperlink" Target="https://marquesadmjudicial.com.br/sgc/download.php?file=files/processo_documento/processo_documento15232121112024_1_.pdf&amp;nome=Rela&#231;&#227;o de Credores" TargetMode="External" Id="rId67" /><Relationship Type="http://schemas.openxmlformats.org/officeDocument/2006/relationships/hyperlink" Target="https://ativosajce.com.br/admin/download.php?file=files/processo_documento/processo_documento18543908052025_1_.pdf&amp;nome=Rela&#231;&#227;o de Credores - art. 52, &#167;1&#186; da Lei 11.101/05 - 27/01/2025" TargetMode="External" Id="rId68" /><Relationship Type="http://schemas.openxmlformats.org/officeDocument/2006/relationships/hyperlink" Target="https://marquesadmjudicial.com.br/sgc/download.php?file=files/processo_documento/processo_documento15293208032024_1_.pdf&amp;nome=Rela&#231;&#227;o Nominal de Credores da AJ-Sint&#233;tica" TargetMode="External" Id="rId69" /><Relationship Type="http://schemas.openxmlformats.org/officeDocument/2006/relationships/hyperlink" Target="https://scalzilliaj.com.br/sgc/download.php?file=files/processo_documento/processo_documento09514021082025_1_.pdf&amp;nome=04 - Rela&#231;&#227;o de credores das Recuperandas" TargetMode="External" Id="rId70" /><Relationship Type="http://schemas.openxmlformats.org/officeDocument/2006/relationships/hyperlink" Target="https://administradorajudicialgs.com.br/wp-content/uploads/2024/12/relacao-de-credores-da-falida.pdf" TargetMode="External" Id="rId71" /><Relationship Type="http://schemas.openxmlformats.org/officeDocument/2006/relationships/hyperlink" Target="https://stenius.com.br/wp-content/uploads/2026/06/EDITAL-GRUPO-3E.pdf" TargetMode="External" Id="rId72" /><Relationship Type="http://schemas.openxmlformats.org/officeDocument/2006/relationships/hyperlink" Target="https://scalzilliaj.com.br/sgc/download.php?file=files/processo_documento/processo_documento09514021082025_1_.pdf&amp;nome=04 - Rela&#231;&#227;o de credores das Recuperandas" TargetMode="External" Id="rId73" /><Relationship Type="http://schemas.openxmlformats.org/officeDocument/2006/relationships/hyperlink" Target="https://scalzilliaj.com.br/sgc/download.php?file=files/processo_documento/processo_documento09514021082025_1_.pdf&amp;nome=04 - Rela&#231;&#227;o de credores das Recuperandas" TargetMode="External" Id="rId74" /><Relationship Type="http://schemas.openxmlformats.org/officeDocument/2006/relationships/hyperlink" Target="https://scalzilliaj.com.br/sgc/download.php?file=files/processo_documento/processo_documento09514021082025_1_.pdf&amp;nome=04 - Rela&#231;&#227;o de credores das Recuperandas" TargetMode="External" Id="rId75" /><Relationship Type="http://schemas.openxmlformats.org/officeDocument/2006/relationships/hyperlink" Target="https://scalzilliaj.com.br/sgc/download.php?file=files/processo_documento/processo_documento15180810062026_1_.pdf&amp;nome=10 - Rela&#231;&#227;o de credores do art. 7&#186;, &#167;2&#186;, da Lei 11.101/2005" TargetMode="External" Id="rId76" /><Relationship Type="http://schemas.openxmlformats.org/officeDocument/2006/relationships/hyperlink" Target="https://marquesadmjudicial.com.br/sgc/download.php?file=files/processo_documento/processo_documento10074612042024_1_.pdf&amp;nome=2&#186; Edital-Rela&#231;&#227;o de Credores AJ e PRJ" TargetMode="External" Id="rId77" /></Relationships>
</file>

<file path=xl/worksheets/sheet1.xml><?xml version="1.0" encoding="utf-8"?>
<worksheet xmlns="http://schemas.openxmlformats.org/spreadsheetml/2006/main">
  <sheetPr>
    <outlinePr summaryBelow="1" summaryRight="1"/>
    <pageSetUpPr/>
  </sheetPr>
  <dimension ref="A1:K67"/>
  <sheetViews>
    <sheetView workbookViewId="0">
      <selection activeCell="A1" sqref="A1"/>
    </sheetView>
  </sheetViews>
  <sheetFormatPr baseColWidth="8" defaultRowHeight="15"/>
  <cols>
    <col width="40" customWidth="1" min="1" max="1"/>
    <col width="16" customWidth="1" min="2" max="2"/>
    <col width="16" customWidth="1" min="3" max="3"/>
    <col width="4" customWidth="1" min="4" max="4"/>
    <col width="36" customWidth="1" min="5" max="5"/>
    <col width="30" customWidth="1" min="6" max="6"/>
    <col width="15" customWidth="1" min="7" max="7"/>
    <col width="7" customWidth="1" min="8" max="8"/>
    <col width="16" customWidth="1" min="9" max="9"/>
    <col width="12" customWidth="1" min="10" max="10"/>
    <col width="28" customWidth="1" min="11" max="11"/>
  </cols>
  <sheetData>
    <row r="1">
      <c r="A1" s="1" t="inlineStr">
        <is>
          <t>ANTEPARO — CALL DASHBOARD</t>
        </is>
      </c>
    </row>
    <row r="2">
      <c r="A2" s="2" t="inlineStr">
        <is>
          <t>All call tabs counted together · run 20260903T230425Z-e7c9a7 · build a91ec45 · 2026-09-04 20:36Z</t>
        </is>
      </c>
    </row>
    <row r="3">
      <c r="A3" s="3" t="inlineStr">
        <is>
          <t>Fund price, quote and ágio are a MODEL off the Assumptions tab (IRR, band recovery, plan clock). Face value, page/row and the proof link are court data.</t>
        </is>
      </c>
    </row>
    <row r="5">
      <c r="A5" s="4" t="inlineStr">
        <is>
          <t>PIPELINE</t>
        </is>
      </c>
      <c r="B5" s="4" t="inlineStr"/>
      <c r="C5" s="4" t="inlineStr"/>
      <c r="E5" s="4" t="inlineStr">
        <is>
          <t>TOP 15 BY MODEL ÁGIO</t>
        </is>
      </c>
      <c r="F5" s="4" t="inlineStr">
        <is>
          <t>Debtor</t>
        </is>
      </c>
      <c r="G5" s="4" t="inlineStr">
        <is>
          <t>Ágio (R$)</t>
        </is>
      </c>
      <c r="H5" s="4" t="inlineStr">
        <is>
          <t>Band</t>
        </is>
      </c>
      <c r="I5" s="4" t="inlineStr">
        <is>
          <t>Status</t>
        </is>
      </c>
      <c r="J5" s="4" t="inlineStr">
        <is>
          <t>Next date</t>
        </is>
      </c>
      <c r="K5" s="4" t="inlineStr">
        <is>
          <t>Where to find it</t>
        </is>
      </c>
    </row>
    <row r="6">
      <c r="A6" t="inlineStr">
        <is>
          <t>Leads in book (all tabs)</t>
        </is>
      </c>
      <c r="B6" s="5">
        <f>SUMPRODUCT(--(_BOOK!$A$2:$A$991&lt;&gt;""))</f>
        <v/>
      </c>
      <c r="E6">
        <f>IFERROR(INDEX(_BOOK!$A$2:$A$991,MATCH(IFERROR(LARGE(_BOOK!$Q$2:$Q$991,1),""),_BOOK!$Q$2:$Q$991,0)),"")</f>
        <v/>
      </c>
      <c r="F6">
        <f>IFERROR(INDEX(_BOOK!$B$2:$B$991,MATCH(IFERROR(LARGE(_BOOK!$Q$2:$Q$991,1),""),_BOOK!$Q$2:$Q$991,0)),"")</f>
        <v/>
      </c>
      <c r="G6" s="6">
        <f>IFERROR(INDEX(_BOOK!$E$2:$E$991,MATCH(IFERROR(LARGE(_BOOK!$Q$2:$Q$991,1),""),_BOOK!$Q$2:$Q$991,0)),"")</f>
        <v/>
      </c>
      <c r="H6">
        <f>IFERROR(INDEX(_BOOK!$F$2:$F$991,MATCH(IFERROR(LARGE(_BOOK!$Q$2:$Q$991,1),""),_BOOK!$Q$2:$Q$991,0)),"")</f>
        <v/>
      </c>
      <c r="I6">
        <f>IFERROR(INDEX(_BOOK!$G$2:$G$991,MATCH(IFERROR(LARGE(_BOOK!$Q$2:$Q$991,1),""),_BOOK!$Q$2:$Q$991,0)),"")</f>
        <v/>
      </c>
      <c r="J6" s="7">
        <f>IFERROR(INDEX(_BOOK!$H$2:$H$991,MATCH(IFERROR(LARGE(_BOOK!$Q$2:$Q$991,1),""),_BOOK!$Q$2:$Q$991,0)),"")</f>
        <v/>
      </c>
      <c r="K6">
        <f>IFERROR(INDEX(_BOOK!$P$2:$P$991,MATCH(IFERROR(LARGE(_BOOK!$Q$2:$Q$991,1),""),_BOOK!$Q$2:$Q$991,0)),"")</f>
        <v/>
      </c>
    </row>
    <row r="7">
      <c r="A7" t="inlineStr">
        <is>
          <t>Total face (R$)</t>
        </is>
      </c>
      <c r="B7" s="8">
        <f>SUM(_BOOK!$C$2:$C$991)</f>
        <v/>
      </c>
      <c r="E7">
        <f>IFERROR(INDEX(_BOOK!$A$2:$A$991,MATCH(IFERROR(LARGE(_BOOK!$Q$2:$Q$991,2),""),_BOOK!$Q$2:$Q$991,0)),"")</f>
        <v/>
      </c>
      <c r="F7">
        <f>IFERROR(INDEX(_BOOK!$B$2:$B$991,MATCH(IFERROR(LARGE(_BOOK!$Q$2:$Q$991,2),""),_BOOK!$Q$2:$Q$991,0)),"")</f>
        <v/>
      </c>
      <c r="G7" s="6">
        <f>IFERROR(INDEX(_BOOK!$E$2:$E$991,MATCH(IFERROR(LARGE(_BOOK!$Q$2:$Q$991,2),""),_BOOK!$Q$2:$Q$991,0)),"")</f>
        <v/>
      </c>
      <c r="H7">
        <f>IFERROR(INDEX(_BOOK!$F$2:$F$991,MATCH(IFERROR(LARGE(_BOOK!$Q$2:$Q$991,2),""),_BOOK!$Q$2:$Q$991,0)),"")</f>
        <v/>
      </c>
      <c r="I7">
        <f>IFERROR(INDEX(_BOOK!$G$2:$G$991,MATCH(IFERROR(LARGE(_BOOK!$Q$2:$Q$991,2),""),_BOOK!$Q$2:$Q$991,0)),"")</f>
        <v/>
      </c>
      <c r="J7" s="7">
        <f>IFERROR(INDEX(_BOOK!$H$2:$H$991,MATCH(IFERROR(LARGE(_BOOK!$Q$2:$Q$991,2),""),_BOOK!$Q$2:$Q$991,0)),"")</f>
        <v/>
      </c>
      <c r="K7">
        <f>IFERROR(INDEX(_BOOK!$P$2:$P$991,MATCH(IFERROR(LARGE(_BOOK!$Q$2:$Q$991,2),""),_BOOK!$Q$2:$Q$991,0)),"")</f>
        <v/>
      </c>
    </row>
    <row r="8">
      <c r="A8" t="inlineStr">
        <is>
          <t>Model fund price pipeline (R$)</t>
        </is>
      </c>
      <c r="B8" s="8">
        <f>SUM(_BOOK!$D$2:$D$991)</f>
        <v/>
      </c>
      <c r="E8">
        <f>IFERROR(INDEX(_BOOK!$A$2:$A$991,MATCH(IFERROR(LARGE(_BOOK!$Q$2:$Q$991,3),""),_BOOK!$Q$2:$Q$991,0)),"")</f>
        <v/>
      </c>
      <c r="F8">
        <f>IFERROR(INDEX(_BOOK!$B$2:$B$991,MATCH(IFERROR(LARGE(_BOOK!$Q$2:$Q$991,3),""),_BOOK!$Q$2:$Q$991,0)),"")</f>
        <v/>
      </c>
      <c r="G8" s="6">
        <f>IFERROR(INDEX(_BOOK!$E$2:$E$991,MATCH(IFERROR(LARGE(_BOOK!$Q$2:$Q$991,3),""),_BOOK!$Q$2:$Q$991,0)),"")</f>
        <v/>
      </c>
      <c r="H8">
        <f>IFERROR(INDEX(_BOOK!$F$2:$F$991,MATCH(IFERROR(LARGE(_BOOK!$Q$2:$Q$991,3),""),_BOOK!$Q$2:$Q$991,0)),"")</f>
        <v/>
      </c>
      <c r="I8">
        <f>IFERROR(INDEX(_BOOK!$G$2:$G$991,MATCH(IFERROR(LARGE(_BOOK!$Q$2:$Q$991,3),""),_BOOK!$Q$2:$Q$991,0)),"")</f>
        <v/>
      </c>
      <c r="J8" s="7">
        <f>IFERROR(INDEX(_BOOK!$H$2:$H$991,MATCH(IFERROR(LARGE(_BOOK!$Q$2:$Q$991,3),""),_BOOK!$Q$2:$Q$991,0)),"")</f>
        <v/>
      </c>
      <c r="K8">
        <f>IFERROR(INDEX(_BOOK!$P$2:$P$991,MATCH(IFERROR(LARGE(_BOOK!$Q$2:$Q$991,3),""),_BOOK!$Q$2:$Q$991,0)),"")</f>
        <v/>
      </c>
    </row>
    <row r="9">
      <c r="A9" t="inlineStr">
        <is>
          <t>Model ÁGIO pipeline (R$)</t>
        </is>
      </c>
      <c r="B9" s="8">
        <f>SUM(_BOOK!$E$2:$E$991)</f>
        <v/>
      </c>
      <c r="E9">
        <f>IFERROR(INDEX(_BOOK!$A$2:$A$991,MATCH(IFERROR(LARGE(_BOOK!$Q$2:$Q$991,4),""),_BOOK!$Q$2:$Q$991,0)),"")</f>
        <v/>
      </c>
      <c r="F9">
        <f>IFERROR(INDEX(_BOOK!$B$2:$B$991,MATCH(IFERROR(LARGE(_BOOK!$Q$2:$Q$991,4),""),_BOOK!$Q$2:$Q$991,0)),"")</f>
        <v/>
      </c>
      <c r="G9" s="6">
        <f>IFERROR(INDEX(_BOOK!$E$2:$E$991,MATCH(IFERROR(LARGE(_BOOK!$Q$2:$Q$991,4),""),_BOOK!$Q$2:$Q$991,0)),"")</f>
        <v/>
      </c>
      <c r="H9">
        <f>IFERROR(INDEX(_BOOK!$F$2:$F$991,MATCH(IFERROR(LARGE(_BOOK!$Q$2:$Q$991,4),""),_BOOK!$Q$2:$Q$991,0)),"")</f>
        <v/>
      </c>
      <c r="I9">
        <f>IFERROR(INDEX(_BOOK!$G$2:$G$991,MATCH(IFERROR(LARGE(_BOOK!$Q$2:$Q$991,4),""),_BOOK!$Q$2:$Q$991,0)),"")</f>
        <v/>
      </c>
      <c r="J9" s="7">
        <f>IFERROR(INDEX(_BOOK!$H$2:$H$991,MATCH(IFERROR(LARGE(_BOOK!$Q$2:$Q$991,4),""),_BOOK!$Q$2:$Q$991,0)),"")</f>
        <v/>
      </c>
      <c r="K9">
        <f>IFERROR(INDEX(_BOOK!$P$2:$P$991,MATCH(IFERROR(LARGE(_BOOK!$Q$2:$Q$991,4),""),_BOOK!$Q$2:$Q$991,0)),"")</f>
        <v/>
      </c>
    </row>
    <row r="10">
      <c r="A10" t="inlineStr">
        <is>
          <t>Untouched (NEW)</t>
        </is>
      </c>
      <c r="B10" s="5">
        <f>COUNTIF(_BOOK!$G$2:$G$991,"NEW")</f>
        <v/>
      </c>
      <c r="E10">
        <f>IFERROR(INDEX(_BOOK!$A$2:$A$991,MATCH(IFERROR(LARGE(_BOOK!$Q$2:$Q$991,5),""),_BOOK!$Q$2:$Q$991,0)),"")</f>
        <v/>
      </c>
      <c r="F10">
        <f>IFERROR(INDEX(_BOOK!$B$2:$B$991,MATCH(IFERROR(LARGE(_BOOK!$Q$2:$Q$991,5),""),_BOOK!$Q$2:$Q$991,0)),"")</f>
        <v/>
      </c>
      <c r="G10" s="6">
        <f>IFERROR(INDEX(_BOOK!$E$2:$E$991,MATCH(IFERROR(LARGE(_BOOK!$Q$2:$Q$991,5),""),_BOOK!$Q$2:$Q$991,0)),"")</f>
        <v/>
      </c>
      <c r="H10">
        <f>IFERROR(INDEX(_BOOK!$F$2:$F$991,MATCH(IFERROR(LARGE(_BOOK!$Q$2:$Q$991,5),""),_BOOK!$Q$2:$Q$991,0)),"")</f>
        <v/>
      </c>
      <c r="I10">
        <f>IFERROR(INDEX(_BOOK!$G$2:$G$991,MATCH(IFERROR(LARGE(_BOOK!$Q$2:$Q$991,5),""),_BOOK!$Q$2:$Q$991,0)),"")</f>
        <v/>
      </c>
      <c r="J10" s="7">
        <f>IFERROR(INDEX(_BOOK!$H$2:$H$991,MATCH(IFERROR(LARGE(_BOOK!$Q$2:$Q$991,5),""),_BOOK!$Q$2:$Q$991,0)),"")</f>
        <v/>
      </c>
      <c r="K10">
        <f>IFERROR(INDEX(_BOOK!$P$2:$P$991,MATCH(IFERROR(LARGE(_BOOK!$Q$2:$Q$991,5),""),_BOOK!$Q$2:$Q$991,0)),"")</f>
        <v/>
      </c>
    </row>
    <row r="11">
      <c r="A11" t="inlineStr">
        <is>
          <t>Calls due today</t>
        </is>
      </c>
      <c r="B11" s="5">
        <f>COUNTIF(_BOOK!$H$2:$H$991,TODAY())</f>
        <v/>
      </c>
      <c r="E11">
        <f>IFERROR(INDEX(_BOOK!$A$2:$A$991,MATCH(IFERROR(LARGE(_BOOK!$Q$2:$Q$991,6),""),_BOOK!$Q$2:$Q$991,0)),"")</f>
        <v/>
      </c>
      <c r="F11">
        <f>IFERROR(INDEX(_BOOK!$B$2:$B$991,MATCH(IFERROR(LARGE(_BOOK!$Q$2:$Q$991,6),""),_BOOK!$Q$2:$Q$991,0)),"")</f>
        <v/>
      </c>
      <c r="G11" s="6">
        <f>IFERROR(INDEX(_BOOK!$E$2:$E$991,MATCH(IFERROR(LARGE(_BOOK!$Q$2:$Q$991,6),""),_BOOK!$Q$2:$Q$991,0)),"")</f>
        <v/>
      </c>
      <c r="H11">
        <f>IFERROR(INDEX(_BOOK!$F$2:$F$991,MATCH(IFERROR(LARGE(_BOOK!$Q$2:$Q$991,6),""),_BOOK!$Q$2:$Q$991,0)),"")</f>
        <v/>
      </c>
      <c r="I11">
        <f>IFERROR(INDEX(_BOOK!$G$2:$G$991,MATCH(IFERROR(LARGE(_BOOK!$Q$2:$Q$991,6),""),_BOOK!$Q$2:$Q$991,0)),"")</f>
        <v/>
      </c>
      <c r="J11" s="7">
        <f>IFERROR(INDEX(_BOOK!$H$2:$H$991,MATCH(IFERROR(LARGE(_BOOK!$Q$2:$Q$991,6),""),_BOOK!$Q$2:$Q$991,0)),"")</f>
        <v/>
      </c>
      <c r="K11">
        <f>IFERROR(INDEX(_BOOK!$P$2:$P$991,MATCH(IFERROR(LARGE(_BOOK!$Q$2:$Q$991,6),""),_BOOK!$Q$2:$Q$991,0)),"")</f>
        <v/>
      </c>
    </row>
    <row r="12">
      <c r="A12" t="inlineStr">
        <is>
          <t>Overdue follow-ups</t>
        </is>
      </c>
      <c r="B12" s="5">
        <f>COUNTIFS(_BOOK!$H$2:$H$991,"&lt;"&amp;TODAY(),_BOOK!$H$2:$H$991,"&lt;&gt;",_BOOK!$G$2:$G$991,"&lt;&gt;DEAD",_BOOK!$G$2:$G$991,"&lt;&gt;SETTLED")</f>
        <v/>
      </c>
      <c r="E12">
        <f>IFERROR(INDEX(_BOOK!$A$2:$A$991,MATCH(IFERROR(LARGE(_BOOK!$Q$2:$Q$991,7),""),_BOOK!$Q$2:$Q$991,0)),"")</f>
        <v/>
      </c>
      <c r="F12">
        <f>IFERROR(INDEX(_BOOK!$B$2:$B$991,MATCH(IFERROR(LARGE(_BOOK!$Q$2:$Q$991,7),""),_BOOK!$Q$2:$Q$991,0)),"")</f>
        <v/>
      </c>
      <c r="G12" s="6">
        <f>IFERROR(INDEX(_BOOK!$E$2:$E$991,MATCH(IFERROR(LARGE(_BOOK!$Q$2:$Q$991,7),""),_BOOK!$Q$2:$Q$991,0)),"")</f>
        <v/>
      </c>
      <c r="H12">
        <f>IFERROR(INDEX(_BOOK!$F$2:$F$991,MATCH(IFERROR(LARGE(_BOOK!$Q$2:$Q$991,7),""),_BOOK!$Q$2:$Q$991,0)),"")</f>
        <v/>
      </c>
      <c r="I12">
        <f>IFERROR(INDEX(_BOOK!$G$2:$G$991,MATCH(IFERROR(LARGE(_BOOK!$Q$2:$Q$991,7),""),_BOOK!$Q$2:$Q$991,0)),"")</f>
        <v/>
      </c>
      <c r="J12" s="7">
        <f>IFERROR(INDEX(_BOOK!$H$2:$H$991,MATCH(IFERROR(LARGE(_BOOK!$Q$2:$Q$991,7),""),_BOOK!$Q$2:$Q$991,0)),"")</f>
        <v/>
      </c>
      <c r="K12">
        <f>IFERROR(INDEX(_BOOK!$P$2:$P$991,MATCH(IFERROR(LARGE(_BOOK!$Q$2:$Q$991,7),""),_BOOK!$Q$2:$Q$991,0)),"")</f>
        <v/>
      </c>
    </row>
    <row r="13">
      <c r="A13" t="inlineStr">
        <is>
          <t>Ágio in progress (INTERESTED → SUBSTITUTED)</t>
        </is>
      </c>
      <c r="B13" s="8">
        <f>SUMIF(_BOOK!$G$2:$G$991,"INTERESTED",_BOOK!$E$2:$E$991)+SUMIF(_BOOK!$G$2:$G$991,"TERMS AGREED",_BOOK!$E$2:$E$991)+SUMIF(_BOOK!$G$2:$G$991,"CESSÃO SIGNED",_BOOK!$E$2:$E$991)+SUMIF(_BOOK!$G$2:$G$991,"SUBSTITUTED IN LIST",_BOOK!$E$2:$E$991)</f>
        <v/>
      </c>
      <c r="E13">
        <f>IFERROR(INDEX(_BOOK!$A$2:$A$991,MATCH(IFERROR(LARGE(_BOOK!$Q$2:$Q$991,8),""),_BOOK!$Q$2:$Q$991,0)),"")</f>
        <v/>
      </c>
      <c r="F13">
        <f>IFERROR(INDEX(_BOOK!$B$2:$B$991,MATCH(IFERROR(LARGE(_BOOK!$Q$2:$Q$991,8),""),_BOOK!$Q$2:$Q$991,0)),"")</f>
        <v/>
      </c>
      <c r="G13" s="6">
        <f>IFERROR(INDEX(_BOOK!$E$2:$E$991,MATCH(IFERROR(LARGE(_BOOK!$Q$2:$Q$991,8),""),_BOOK!$Q$2:$Q$991,0)),"")</f>
        <v/>
      </c>
      <c r="H13">
        <f>IFERROR(INDEX(_BOOK!$F$2:$F$991,MATCH(IFERROR(LARGE(_BOOK!$Q$2:$Q$991,8),""),_BOOK!$Q$2:$Q$991,0)),"")</f>
        <v/>
      </c>
      <c r="I13">
        <f>IFERROR(INDEX(_BOOK!$G$2:$G$991,MATCH(IFERROR(LARGE(_BOOK!$Q$2:$Q$991,8),""),_BOOK!$Q$2:$Q$991,0)),"")</f>
        <v/>
      </c>
      <c r="J13" s="7">
        <f>IFERROR(INDEX(_BOOK!$H$2:$H$991,MATCH(IFERROR(LARGE(_BOOK!$Q$2:$Q$991,8),""),_BOOK!$Q$2:$Q$991,0)),"")</f>
        <v/>
      </c>
      <c r="K13">
        <f>IFERROR(INDEX(_BOOK!$P$2:$P$991,MATCH(IFERROR(LARGE(_BOOK!$Q$2:$Q$991,8),""),_BOOK!$Q$2:$Q$991,0)),"")</f>
        <v/>
      </c>
    </row>
    <row r="14">
      <c r="A14" t="inlineStr">
        <is>
          <t>Ágio realised (SETTLED)</t>
        </is>
      </c>
      <c r="B14" s="8">
        <f>SUMIF(_BOOK!$G$2:$G$991,"SETTLED",_BOOK!$E$2:$E$991)</f>
        <v/>
      </c>
      <c r="E14">
        <f>IFERROR(INDEX(_BOOK!$A$2:$A$991,MATCH(IFERROR(LARGE(_BOOK!$Q$2:$Q$991,9),""),_BOOK!$Q$2:$Q$991,0)),"")</f>
        <v/>
      </c>
      <c r="F14">
        <f>IFERROR(INDEX(_BOOK!$B$2:$B$991,MATCH(IFERROR(LARGE(_BOOK!$Q$2:$Q$991,9),""),_BOOK!$Q$2:$Q$991,0)),"")</f>
        <v/>
      </c>
      <c r="G14" s="6">
        <f>IFERROR(INDEX(_BOOK!$E$2:$E$991,MATCH(IFERROR(LARGE(_BOOK!$Q$2:$Q$991,9),""),_BOOK!$Q$2:$Q$991,0)),"")</f>
        <v/>
      </c>
      <c r="H14">
        <f>IFERROR(INDEX(_BOOK!$F$2:$F$991,MATCH(IFERROR(LARGE(_BOOK!$Q$2:$Q$991,9),""),_BOOK!$Q$2:$Q$991,0)),"")</f>
        <v/>
      </c>
      <c r="I14">
        <f>IFERROR(INDEX(_BOOK!$G$2:$G$991,MATCH(IFERROR(LARGE(_BOOK!$Q$2:$Q$991,9),""),_BOOK!$Q$2:$Q$991,0)),"")</f>
        <v/>
      </c>
      <c r="J14" s="7">
        <f>IFERROR(INDEX(_BOOK!$H$2:$H$991,MATCH(IFERROR(LARGE(_BOOK!$Q$2:$Q$991,9),""),_BOOK!$Q$2:$Q$991,0)),"")</f>
        <v/>
      </c>
      <c r="K14">
        <f>IFERROR(INDEX(_BOOK!$P$2:$P$991,MATCH(IFERROR(LARGE(_BOOK!$Q$2:$Q$991,9),""),_BOOK!$Q$2:$Q$991,0)),"")</f>
        <v/>
      </c>
    </row>
    <row r="15">
      <c r="A15" t="inlineStr">
        <is>
          <t>Rows with a decision-maker email</t>
        </is>
      </c>
      <c r="B15" s="5">
        <f>SUMPRODUCT(--(_BOOK!$K$2:$K$991&lt;&gt;""))</f>
        <v/>
      </c>
      <c r="E15">
        <f>IFERROR(INDEX(_BOOK!$A$2:$A$991,MATCH(IFERROR(LARGE(_BOOK!$Q$2:$Q$991,10),""),_BOOK!$Q$2:$Q$991,0)),"")</f>
        <v/>
      </c>
      <c r="F15">
        <f>IFERROR(INDEX(_BOOK!$B$2:$B$991,MATCH(IFERROR(LARGE(_BOOK!$Q$2:$Q$991,10),""),_BOOK!$Q$2:$Q$991,0)),"")</f>
        <v/>
      </c>
      <c r="G15" s="6">
        <f>IFERROR(INDEX(_BOOK!$E$2:$E$991,MATCH(IFERROR(LARGE(_BOOK!$Q$2:$Q$991,10),""),_BOOK!$Q$2:$Q$991,0)),"")</f>
        <v/>
      </c>
      <c r="H15">
        <f>IFERROR(INDEX(_BOOK!$F$2:$F$991,MATCH(IFERROR(LARGE(_BOOK!$Q$2:$Q$991,10),""),_BOOK!$Q$2:$Q$991,0)),"")</f>
        <v/>
      </c>
      <c r="I15">
        <f>IFERROR(INDEX(_BOOK!$G$2:$G$991,MATCH(IFERROR(LARGE(_BOOK!$Q$2:$Q$991,10),""),_BOOK!$Q$2:$Q$991,0)),"")</f>
        <v/>
      </c>
      <c r="J15" s="7">
        <f>IFERROR(INDEX(_BOOK!$H$2:$H$991,MATCH(IFERROR(LARGE(_BOOK!$Q$2:$Q$991,10),""),_BOOK!$Q$2:$Q$991,0)),"")</f>
        <v/>
      </c>
      <c r="K15">
        <f>IFERROR(INDEX(_BOOK!$P$2:$P$991,MATCH(IFERROR(LARGE(_BOOK!$Q$2:$Q$991,10),""),_BOOK!$Q$2:$Q$991,0)),"")</f>
        <v/>
      </c>
    </row>
    <row r="16">
      <c r="A16" t="inlineStr">
        <is>
          <t>Rows with no route in (no phone/email)</t>
        </is>
      </c>
      <c r="B16" s="5">
        <f>COUNTIF(_BOOK!$N$2:$N$991,"*no route*")</f>
        <v/>
      </c>
      <c r="E16">
        <f>IFERROR(INDEX(_BOOK!$A$2:$A$991,MATCH(IFERROR(LARGE(_BOOK!$Q$2:$Q$991,11),""),_BOOK!$Q$2:$Q$991,0)),"")</f>
        <v/>
      </c>
      <c r="F16">
        <f>IFERROR(INDEX(_BOOK!$B$2:$B$991,MATCH(IFERROR(LARGE(_BOOK!$Q$2:$Q$991,11),""),_BOOK!$Q$2:$Q$991,0)),"")</f>
        <v/>
      </c>
      <c r="G16" s="6">
        <f>IFERROR(INDEX(_BOOK!$E$2:$E$991,MATCH(IFERROR(LARGE(_BOOK!$Q$2:$Q$991,11),""),_BOOK!$Q$2:$Q$991,0)),"")</f>
        <v/>
      </c>
      <c r="H16">
        <f>IFERROR(INDEX(_BOOK!$F$2:$F$991,MATCH(IFERROR(LARGE(_BOOK!$Q$2:$Q$991,11),""),_BOOK!$Q$2:$Q$991,0)),"")</f>
        <v/>
      </c>
      <c r="I16">
        <f>IFERROR(INDEX(_BOOK!$G$2:$G$991,MATCH(IFERROR(LARGE(_BOOK!$Q$2:$Q$991,11),""),_BOOK!$Q$2:$Q$991,0)),"")</f>
        <v/>
      </c>
      <c r="J16" s="7">
        <f>IFERROR(INDEX(_BOOK!$H$2:$H$991,MATCH(IFERROR(LARGE(_BOOK!$Q$2:$Q$991,11),""),_BOOK!$Q$2:$Q$991,0)),"")</f>
        <v/>
      </c>
      <c r="K16">
        <f>IFERROR(INDEX(_BOOK!$P$2:$P$991,MATCH(IFERROR(LARGE(_BOOK!$Q$2:$Q$991,11),""),_BOOK!$Q$2:$Q$991,0)),"")</f>
        <v/>
      </c>
    </row>
    <row r="17">
      <c r="A17" t="inlineStr">
        <is>
          <t>Rows needing a proof check</t>
        </is>
      </c>
      <c r="B17" s="5">
        <f>COUNTIF(_BOOK!$L$2:$L$991,"NO TOTALS*")+COUNTIF(_BOOK!$L$2:$L$991,"PARTIAL*")+COUNTIF(_BOOK!$L$2:$L$991,"CHECK*")</f>
        <v/>
      </c>
      <c r="E17">
        <f>IFERROR(INDEX(_BOOK!$A$2:$A$991,MATCH(IFERROR(LARGE(_BOOK!$Q$2:$Q$991,12),""),_BOOK!$Q$2:$Q$991,0)),"")</f>
        <v/>
      </c>
      <c r="F17">
        <f>IFERROR(INDEX(_BOOK!$B$2:$B$991,MATCH(IFERROR(LARGE(_BOOK!$Q$2:$Q$991,12),""),_BOOK!$Q$2:$Q$991,0)),"")</f>
        <v/>
      </c>
      <c r="G17" s="6">
        <f>IFERROR(INDEX(_BOOK!$E$2:$E$991,MATCH(IFERROR(LARGE(_BOOK!$Q$2:$Q$991,12),""),_BOOK!$Q$2:$Q$991,0)),"")</f>
        <v/>
      </c>
      <c r="H17">
        <f>IFERROR(INDEX(_BOOK!$F$2:$F$991,MATCH(IFERROR(LARGE(_BOOK!$Q$2:$Q$991,12),""),_BOOK!$Q$2:$Q$991,0)),"")</f>
        <v/>
      </c>
      <c r="I17">
        <f>IFERROR(INDEX(_BOOK!$G$2:$G$991,MATCH(IFERROR(LARGE(_BOOK!$Q$2:$Q$991,12),""),_BOOK!$Q$2:$Q$991,0)),"")</f>
        <v/>
      </c>
      <c r="J17" s="7">
        <f>IFERROR(INDEX(_BOOK!$H$2:$H$991,MATCH(IFERROR(LARGE(_BOOK!$Q$2:$Q$991,12),""),_BOOK!$Q$2:$Q$991,0)),"")</f>
        <v/>
      </c>
      <c r="K17">
        <f>IFERROR(INDEX(_BOOK!$P$2:$P$991,MATCH(IFERROR(LARGE(_BOOK!$Q$2:$Q$991,12),""),_BOOK!$Q$2:$Q$991,0)),"")</f>
        <v/>
      </c>
    </row>
    <row r="18">
      <c r="A18" t="inlineStr">
        <is>
          <t>Ágio on rows needing a proof check (R$)</t>
        </is>
      </c>
      <c r="B18" s="8">
        <f>SUMIF(_BOOK!$L$2:$L$991,"NO TOTALS*",_BOOK!$E$2:$E$991)+SUMIF(_BOOK!$L$2:$L$991,"PARTIAL*",_BOOK!$E$2:$E$991)+SUMIF(_BOOK!$L$2:$L$991,"CHECK*",_BOOK!$E$2:$E$991)</f>
        <v/>
      </c>
      <c r="E18">
        <f>IFERROR(INDEX(_BOOK!$A$2:$A$991,MATCH(IFERROR(LARGE(_BOOK!$Q$2:$Q$991,13),""),_BOOK!$Q$2:$Q$991,0)),"")</f>
        <v/>
      </c>
      <c r="F18">
        <f>IFERROR(INDEX(_BOOK!$B$2:$B$991,MATCH(IFERROR(LARGE(_BOOK!$Q$2:$Q$991,13),""),_BOOK!$Q$2:$Q$991,0)),"")</f>
        <v/>
      </c>
      <c r="G18" s="6">
        <f>IFERROR(INDEX(_BOOK!$E$2:$E$991,MATCH(IFERROR(LARGE(_BOOK!$Q$2:$Q$991,13),""),_BOOK!$Q$2:$Q$991,0)),"")</f>
        <v/>
      </c>
      <c r="H18">
        <f>IFERROR(INDEX(_BOOK!$F$2:$F$991,MATCH(IFERROR(LARGE(_BOOK!$Q$2:$Q$991,13),""),_BOOK!$Q$2:$Q$991,0)),"")</f>
        <v/>
      </c>
      <c r="I18">
        <f>IFERROR(INDEX(_BOOK!$G$2:$G$991,MATCH(IFERROR(LARGE(_BOOK!$Q$2:$Q$991,13),""),_BOOK!$Q$2:$Q$991,0)),"")</f>
        <v/>
      </c>
      <c r="J18" s="7">
        <f>IFERROR(INDEX(_BOOK!$H$2:$H$991,MATCH(IFERROR(LARGE(_BOOK!$Q$2:$Q$991,13),""),_BOOK!$Q$2:$Q$991,0)),"")</f>
        <v/>
      </c>
      <c r="K18">
        <f>IFERROR(INDEX(_BOOK!$P$2:$P$991,MATCH(IFERROR(LARGE(_BOOK!$Q$2:$Q$991,13),""),_BOOK!$Q$2:$Q$991,0)),"")</f>
        <v/>
      </c>
    </row>
    <row r="19">
      <c r="E19">
        <f>IFERROR(INDEX(_BOOK!$A$2:$A$991,MATCH(IFERROR(LARGE(_BOOK!$Q$2:$Q$991,14),""),_BOOK!$Q$2:$Q$991,0)),"")</f>
        <v/>
      </c>
      <c r="F19">
        <f>IFERROR(INDEX(_BOOK!$B$2:$B$991,MATCH(IFERROR(LARGE(_BOOK!$Q$2:$Q$991,14),""),_BOOK!$Q$2:$Q$991,0)),"")</f>
        <v/>
      </c>
      <c r="G19" s="6">
        <f>IFERROR(INDEX(_BOOK!$E$2:$E$991,MATCH(IFERROR(LARGE(_BOOK!$Q$2:$Q$991,14),""),_BOOK!$Q$2:$Q$991,0)),"")</f>
        <v/>
      </c>
      <c r="H19">
        <f>IFERROR(INDEX(_BOOK!$F$2:$F$991,MATCH(IFERROR(LARGE(_BOOK!$Q$2:$Q$991,14),""),_BOOK!$Q$2:$Q$991,0)),"")</f>
        <v/>
      </c>
      <c r="I19">
        <f>IFERROR(INDEX(_BOOK!$G$2:$G$991,MATCH(IFERROR(LARGE(_BOOK!$Q$2:$Q$991,14),""),_BOOK!$Q$2:$Q$991,0)),"")</f>
        <v/>
      </c>
      <c r="J19" s="7">
        <f>IFERROR(INDEX(_BOOK!$H$2:$H$991,MATCH(IFERROR(LARGE(_BOOK!$Q$2:$Q$991,14),""),_BOOK!$Q$2:$Q$991,0)),"")</f>
        <v/>
      </c>
      <c r="K19">
        <f>IFERROR(INDEX(_BOOK!$P$2:$P$991,MATCH(IFERROR(LARGE(_BOOK!$Q$2:$Q$991,14),""),_BOOK!$Q$2:$Q$991,0)),"")</f>
        <v/>
      </c>
    </row>
    <row r="20">
      <c r="A20" s="4" t="inlineStr">
        <is>
          <t>BOOK</t>
        </is>
      </c>
      <c r="B20" s="4" t="inlineStr">
        <is>
          <t>leads</t>
        </is>
      </c>
      <c r="C20" s="4" t="inlineStr">
        <is>
          <t>ágio (R$)</t>
        </is>
      </c>
      <c r="E20">
        <f>IFERROR(INDEX(_BOOK!$A$2:$A$991,MATCH(IFERROR(LARGE(_BOOK!$Q$2:$Q$991,15),""),_BOOK!$Q$2:$Q$991,0)),"")</f>
        <v/>
      </c>
      <c r="F20">
        <f>IFERROR(INDEX(_BOOK!$B$2:$B$991,MATCH(IFERROR(LARGE(_BOOK!$Q$2:$Q$991,15),""),_BOOK!$Q$2:$Q$991,0)),"")</f>
        <v/>
      </c>
      <c r="G20" s="6">
        <f>IFERROR(INDEX(_BOOK!$E$2:$E$991,MATCH(IFERROR(LARGE(_BOOK!$Q$2:$Q$991,15),""),_BOOK!$Q$2:$Q$991,0)),"")</f>
        <v/>
      </c>
      <c r="H20">
        <f>IFERROR(INDEX(_BOOK!$F$2:$F$991,MATCH(IFERROR(LARGE(_BOOK!$Q$2:$Q$991,15),""),_BOOK!$Q$2:$Q$991,0)),"")</f>
        <v/>
      </c>
      <c r="I20">
        <f>IFERROR(INDEX(_BOOK!$G$2:$G$991,MATCH(IFERROR(LARGE(_BOOK!$Q$2:$Q$991,15),""),_BOOK!$Q$2:$Q$991,0)),"")</f>
        <v/>
      </c>
      <c r="J20" s="7">
        <f>IFERROR(INDEX(_BOOK!$H$2:$H$991,MATCH(IFERROR(LARGE(_BOOK!$Q$2:$Q$991,15),""),_BOOK!$Q$2:$Q$991,0)),"")</f>
        <v/>
      </c>
      <c r="K20">
        <f>IFERROR(INDEX(_BOOK!$P$2:$P$991,MATCH(IFERROR(LARGE(_BOOK!$Q$2:$Q$991,15),""),_BOOK!$Q$2:$Q$991,0)),"")</f>
        <v/>
      </c>
    </row>
    <row r="21">
      <c r="A21" t="inlineStr">
        <is>
          <t>TRADE — CALL SHEET tab</t>
        </is>
      </c>
      <c r="B21">
        <f>COUNTIF(_BOOK!$O$2:$O$991,"TRADE")</f>
        <v/>
      </c>
      <c r="C21" s="6">
        <f>SUMIF(_BOOK!$O$2:$O$991,"TRADE",_BOOK!$E$2:$E$991)</f>
        <v/>
      </c>
    </row>
    <row r="22">
      <c r="A22" t="inlineStr">
        <is>
          <t>FINANCIAL — banks, FIDCs, co-ops</t>
        </is>
      </c>
      <c r="B22">
        <f>COUNTIF(_BOOK!$O$2:$O$991,"FINANCIAL")</f>
        <v/>
      </c>
      <c r="C22" s="6">
        <f>SUMIF(_BOOK!$O$2:$O$991,"FINANCIAL",_BOOK!$E$2:$E$991)</f>
        <v/>
      </c>
      <c r="E22" s="4" t="inlineStr">
        <is>
          <t>CASE OWNERSHIP — deepest cases</t>
        </is>
      </c>
      <c r="F22" s="4" t="inlineStr">
        <is>
          <t>case</t>
        </is>
      </c>
      <c r="G22" s="4" t="inlineStr">
        <is>
          <t>leads</t>
        </is>
      </c>
      <c r="H22" s="4" t="inlineStr"/>
      <c r="I22" s="4" t="inlineStr">
        <is>
          <t>ágio (R$)</t>
        </is>
      </c>
      <c r="J22" s="4" t="inlineStr">
        <is>
          <t>called</t>
        </is>
      </c>
      <c r="K22" s="4" t="inlineStr">
        <is>
          <t>in progress</t>
        </is>
      </c>
    </row>
    <row r="23">
      <c r="A23" t="inlineStr">
        <is>
          <t>STATE-OWNED — public banks &amp; companies</t>
        </is>
      </c>
      <c r="B23">
        <f>COUNTIF(_BOOK!$O$2:$O$991,"STATE-OWNED")</f>
        <v/>
      </c>
      <c r="C23" s="6">
        <f>SUMIF(_BOOK!$O$2:$O$991,"STATE-OWNED",_BOOK!$E$2:$E$991)</f>
        <v/>
      </c>
      <c r="E23" t="inlineStr">
        <is>
          <t>GRUPO 3E</t>
        </is>
      </c>
      <c r="F23" t="inlineStr">
        <is>
          <t>5341375-33.2026.8.09.0049</t>
        </is>
      </c>
      <c r="G23">
        <f>COUNTIF(_BOOK!$M$2:$M$991,"5341375-33.2026.8.09.0049")</f>
        <v/>
      </c>
      <c r="I23" s="6">
        <f>SUMIF(_BOOK!$M$2:$M$991,"5341375-33.2026.8.09.0049",_BOOK!$E$2:$E$991)</f>
        <v/>
      </c>
      <c r="J23">
        <f>COUNTIFS(_BOOK!$M$2:$M$991,"5341375-33.2026.8.09.0049",_BOOK!$G$2:$G$991,"&lt;&gt;NEW")</f>
        <v/>
      </c>
      <c r="K23">
        <f>COUNTIFS(_BOOK!$M$2:$M$991,"5341375-33.2026.8.09.0049",_BOOK!$G$2:$G$991,"INTERESTED")+COUNTIFS(_BOOK!$M$2:$M$991,"5341375-33.2026.8.09.0049",_BOOK!$G$2:$G$991,"TERMS AGREED")+COUNTIFS(_BOOK!$M$2:$M$991,"5341375-33.2026.8.09.0049",_BOOK!$G$2:$G$991,"CESSÃO SIGNED")+COUNTIFS(_BOOK!$M$2:$M$991,"5341375-33.2026.8.09.0049",_BOOK!$G$2:$G$991,"SUBSTITUTED IN LIST")</f>
        <v/>
      </c>
    </row>
    <row r="24">
      <c r="A24" s="9" t="inlineStr">
        <is>
          <t>All books</t>
        </is>
      </c>
      <c r="B24" s="9">
        <f>SUMPRODUCT(--(_BOOK!$O$2:$O$991&lt;&gt;""))</f>
        <v/>
      </c>
      <c r="C24" s="10">
        <f>SUM(_BOOK!$E$2:$E$991)</f>
        <v/>
      </c>
      <c r="E24" t="inlineStr">
        <is>
          <t>GRUPO EGESA (Egesa Engenharia S.A. + 9 group companies; see group members)</t>
        </is>
      </c>
      <c r="F24" t="inlineStr">
        <is>
          <t>5088952-81.2025.8.13.0024</t>
        </is>
      </c>
      <c r="G24">
        <f>COUNTIF(_BOOK!$M$2:$M$991,"5088952-81.2025.8.13.0024")</f>
        <v/>
      </c>
      <c r="I24" s="6">
        <f>SUMIF(_BOOK!$M$2:$M$991,"5088952-81.2025.8.13.0024",_BOOK!$E$2:$E$991)</f>
        <v/>
      </c>
      <c r="J24">
        <f>COUNTIFS(_BOOK!$M$2:$M$991,"5088952-81.2025.8.13.0024",_BOOK!$G$2:$G$991,"&lt;&gt;NEW")</f>
        <v/>
      </c>
      <c r="K24">
        <f>COUNTIFS(_BOOK!$M$2:$M$991,"5088952-81.2025.8.13.0024",_BOOK!$G$2:$G$991,"INTERESTED")+COUNTIFS(_BOOK!$M$2:$M$991,"5088952-81.2025.8.13.0024",_BOOK!$G$2:$G$991,"TERMS AGREED")+COUNTIFS(_BOOK!$M$2:$M$991,"5088952-81.2025.8.13.0024",_BOOK!$G$2:$G$991,"CESSÃO SIGNED")+COUNTIFS(_BOOK!$M$2:$M$991,"5088952-81.2025.8.13.0024",_BOOK!$G$2:$G$991,"SUBSTITUTED IN LIST")</f>
        <v/>
      </c>
    </row>
    <row r="25">
      <c r="E25" t="inlineStr">
        <is>
          <t>GRUPO DP4</t>
        </is>
      </c>
      <c r="F25" t="inlineStr">
        <is>
          <t>0005010-98.2023.8.16.0001</t>
        </is>
      </c>
      <c r="G25">
        <f>COUNTIF(_BOOK!$M$2:$M$991,"0005010-98.2023.8.16.0001")</f>
        <v/>
      </c>
      <c r="I25" s="6">
        <f>SUMIF(_BOOK!$M$2:$M$991,"0005010-98.2023.8.16.0001",_BOOK!$E$2:$E$991)</f>
        <v/>
      </c>
      <c r="J25">
        <f>COUNTIFS(_BOOK!$M$2:$M$991,"0005010-98.2023.8.16.0001",_BOOK!$G$2:$G$991,"&lt;&gt;NEW")</f>
        <v/>
      </c>
      <c r="K25">
        <f>COUNTIFS(_BOOK!$M$2:$M$991,"0005010-98.2023.8.16.0001",_BOOK!$G$2:$G$991,"INTERESTED")+COUNTIFS(_BOOK!$M$2:$M$991,"0005010-98.2023.8.16.0001",_BOOK!$G$2:$G$991,"TERMS AGREED")+COUNTIFS(_BOOK!$M$2:$M$991,"0005010-98.2023.8.16.0001",_BOOK!$G$2:$G$991,"CESSÃO SIGNED")+COUNTIFS(_BOOK!$M$2:$M$991,"0005010-98.2023.8.16.0001",_BOOK!$G$2:$G$991,"SUBSTITUTED IN LIST")</f>
        <v/>
      </c>
    </row>
    <row r="26">
      <c r="A26" s="4" t="inlineStr">
        <is>
          <t>FUNNEL</t>
        </is>
      </c>
      <c r="B26" s="4" t="inlineStr">
        <is>
          <t>leads</t>
        </is>
      </c>
      <c r="C26" s="4" t="inlineStr">
        <is>
          <t>ágio (R$)</t>
        </is>
      </c>
      <c r="E26" t="inlineStr">
        <is>
          <t>CREDIMÓVEIS NOVOLAR LTDA.</t>
        </is>
      </c>
      <c r="F26" t="inlineStr">
        <is>
          <t>0007565-40.2020.8.17.2370</t>
        </is>
      </c>
      <c r="G26">
        <f>COUNTIF(_BOOK!$M$2:$M$991,"0007565-40.2020.8.17.2370")</f>
        <v/>
      </c>
      <c r="I26" s="6">
        <f>SUMIF(_BOOK!$M$2:$M$991,"0007565-40.2020.8.17.2370",_BOOK!$E$2:$E$991)</f>
        <v/>
      </c>
      <c r="J26">
        <f>COUNTIFS(_BOOK!$M$2:$M$991,"0007565-40.2020.8.17.2370",_BOOK!$G$2:$G$991,"&lt;&gt;NEW")</f>
        <v/>
      </c>
      <c r="K26">
        <f>COUNTIFS(_BOOK!$M$2:$M$991,"0007565-40.2020.8.17.2370",_BOOK!$G$2:$G$991,"INTERESTED")+COUNTIFS(_BOOK!$M$2:$M$991,"0007565-40.2020.8.17.2370",_BOOK!$G$2:$G$991,"TERMS AGREED")+COUNTIFS(_BOOK!$M$2:$M$991,"0007565-40.2020.8.17.2370",_BOOK!$G$2:$G$991,"CESSÃO SIGNED")+COUNTIFS(_BOOK!$M$2:$M$991,"0007565-40.2020.8.17.2370",_BOOK!$G$2:$G$991,"SUBSTITUTED IN LIST")</f>
        <v/>
      </c>
    </row>
    <row r="27">
      <c r="A27" t="inlineStr">
        <is>
          <t>NEW</t>
        </is>
      </c>
      <c r="B27">
        <f>COUNTIF(_BOOK!$G$2:$G$991,"NEW")</f>
        <v/>
      </c>
      <c r="C27" s="6">
        <f>SUMIF(_BOOK!$G$2:$G$991,"NEW",_BOOK!$E$2:$E$991)</f>
        <v/>
      </c>
      <c r="E27" t="inlineStr">
        <is>
          <t>Grupo Rech</t>
        </is>
      </c>
      <c r="F27" t="inlineStr">
        <is>
          <t>5057720-48.2025.8.24.0023</t>
        </is>
      </c>
      <c r="G27">
        <f>COUNTIF(_BOOK!$M$2:$M$991,"5057720-48.2025.8.24.0023")</f>
        <v/>
      </c>
      <c r="I27" s="6">
        <f>SUMIF(_BOOK!$M$2:$M$991,"5057720-48.2025.8.24.0023",_BOOK!$E$2:$E$991)</f>
        <v/>
      </c>
      <c r="J27">
        <f>COUNTIFS(_BOOK!$M$2:$M$991,"5057720-48.2025.8.24.0023",_BOOK!$G$2:$G$991,"&lt;&gt;NEW")</f>
        <v/>
      </c>
      <c r="K27">
        <f>COUNTIFS(_BOOK!$M$2:$M$991,"5057720-48.2025.8.24.0023",_BOOK!$G$2:$G$991,"INTERESTED")+COUNTIFS(_BOOK!$M$2:$M$991,"5057720-48.2025.8.24.0023",_BOOK!$G$2:$G$991,"TERMS AGREED")+COUNTIFS(_BOOK!$M$2:$M$991,"5057720-48.2025.8.24.0023",_BOOK!$G$2:$G$991,"CESSÃO SIGNED")+COUNTIFS(_BOOK!$M$2:$M$991,"5057720-48.2025.8.24.0023",_BOOK!$G$2:$G$991,"SUBSTITUTED IN LIST")</f>
        <v/>
      </c>
    </row>
    <row r="28">
      <c r="A28" t="inlineStr">
        <is>
          <t>QUEUED</t>
        </is>
      </c>
      <c r="B28">
        <f>COUNTIF(_BOOK!$G$2:$G$991,"QUEUED")</f>
        <v/>
      </c>
      <c r="C28" s="6">
        <f>SUMIF(_BOOK!$G$2:$G$991,"QUEUED",_BOOK!$E$2:$E$991)</f>
        <v/>
      </c>
      <c r="E28" t="inlineStr">
        <is>
          <t>Mannes</t>
        </is>
      </c>
      <c r="F28" t="inlineStr">
        <is>
          <t>0005010-50.2013.8.24.0026</t>
        </is>
      </c>
      <c r="G28">
        <f>COUNTIF(_BOOK!$M$2:$M$991,"0005010-50.2013.8.24.0026")</f>
        <v/>
      </c>
      <c r="I28" s="6">
        <f>SUMIF(_BOOK!$M$2:$M$991,"0005010-50.2013.8.24.0026",_BOOK!$E$2:$E$991)</f>
        <v/>
      </c>
      <c r="J28">
        <f>COUNTIFS(_BOOK!$M$2:$M$991,"0005010-50.2013.8.24.0026",_BOOK!$G$2:$G$991,"&lt;&gt;NEW")</f>
        <v/>
      </c>
      <c r="K28">
        <f>COUNTIFS(_BOOK!$M$2:$M$991,"0005010-50.2013.8.24.0026",_BOOK!$G$2:$G$991,"INTERESTED")+COUNTIFS(_BOOK!$M$2:$M$991,"0005010-50.2013.8.24.0026",_BOOK!$G$2:$G$991,"TERMS AGREED")+COUNTIFS(_BOOK!$M$2:$M$991,"0005010-50.2013.8.24.0026",_BOOK!$G$2:$G$991,"CESSÃO SIGNED")+COUNTIFS(_BOOK!$M$2:$M$991,"0005010-50.2013.8.24.0026",_BOOK!$G$2:$G$991,"SUBSTITUTED IN LIST")</f>
        <v/>
      </c>
    </row>
    <row r="29">
      <c r="A29" t="inlineStr">
        <is>
          <t>EMAILED</t>
        </is>
      </c>
      <c r="B29">
        <f>COUNTIF(_BOOK!$G$2:$G$991,"EMAILED")</f>
        <v/>
      </c>
      <c r="C29" s="6">
        <f>SUMIF(_BOOK!$G$2:$G$991,"EMAILED",_BOOK!$E$2:$E$991)</f>
        <v/>
      </c>
      <c r="E29" t="inlineStr">
        <is>
          <t>GRUPO CATTAN</t>
        </is>
      </c>
      <c r="F29" t="inlineStr">
        <is>
          <t>0002484-82.2022.8.17.2001</t>
        </is>
      </c>
      <c r="G29">
        <f>COUNTIF(_BOOK!$M$2:$M$991,"0002484-82.2022.8.17.2001")</f>
        <v/>
      </c>
      <c r="I29" s="6">
        <f>SUMIF(_BOOK!$M$2:$M$991,"0002484-82.2022.8.17.2001",_BOOK!$E$2:$E$991)</f>
        <v/>
      </c>
      <c r="J29">
        <f>COUNTIFS(_BOOK!$M$2:$M$991,"0002484-82.2022.8.17.2001",_BOOK!$G$2:$G$991,"&lt;&gt;NEW")</f>
        <v/>
      </c>
      <c r="K29">
        <f>COUNTIFS(_BOOK!$M$2:$M$991,"0002484-82.2022.8.17.2001",_BOOK!$G$2:$G$991,"INTERESTED")+COUNTIFS(_BOOK!$M$2:$M$991,"0002484-82.2022.8.17.2001",_BOOK!$G$2:$G$991,"TERMS AGREED")+COUNTIFS(_BOOK!$M$2:$M$991,"0002484-82.2022.8.17.2001",_BOOK!$G$2:$G$991,"CESSÃO SIGNED")+COUNTIFS(_BOOK!$M$2:$M$991,"0002484-82.2022.8.17.2001",_BOOK!$G$2:$G$991,"SUBSTITUTED IN LIST")</f>
        <v/>
      </c>
    </row>
    <row r="30">
      <c r="A30" t="inlineStr">
        <is>
          <t>CALLED</t>
        </is>
      </c>
      <c r="B30">
        <f>COUNTIF(_BOOK!$G$2:$G$991,"CALLED")</f>
        <v/>
      </c>
      <c r="C30" s="6">
        <f>SUMIF(_BOOK!$G$2:$G$991,"CALLED",_BOOK!$E$2:$E$991)</f>
        <v/>
      </c>
      <c r="E30" t="inlineStr">
        <is>
          <t>Grupo Agromeal</t>
        </is>
      </c>
      <c r="F30" t="inlineStr">
        <is>
          <t>0003971-03.2023.8.16.0119</t>
        </is>
      </c>
      <c r="G30">
        <f>COUNTIF(_BOOK!$M$2:$M$991,"0003971-03.2023.8.16.0119")</f>
        <v/>
      </c>
      <c r="I30" s="6">
        <f>SUMIF(_BOOK!$M$2:$M$991,"0003971-03.2023.8.16.0119",_BOOK!$E$2:$E$991)</f>
        <v/>
      </c>
      <c r="J30">
        <f>COUNTIFS(_BOOK!$M$2:$M$991,"0003971-03.2023.8.16.0119",_BOOK!$G$2:$G$991,"&lt;&gt;NEW")</f>
        <v/>
      </c>
      <c r="K30">
        <f>COUNTIFS(_BOOK!$M$2:$M$991,"0003971-03.2023.8.16.0119",_BOOK!$G$2:$G$991,"INTERESTED")+COUNTIFS(_BOOK!$M$2:$M$991,"0003971-03.2023.8.16.0119",_BOOK!$G$2:$G$991,"TERMS AGREED")+COUNTIFS(_BOOK!$M$2:$M$991,"0003971-03.2023.8.16.0119",_BOOK!$G$2:$G$991,"CESSÃO SIGNED")+COUNTIFS(_BOOK!$M$2:$M$991,"0003971-03.2023.8.16.0119",_BOOK!$G$2:$G$991,"SUBSTITUTED IN LIST")</f>
        <v/>
      </c>
    </row>
    <row r="31">
      <c r="A31" t="inlineStr">
        <is>
          <t>VOICEMAIL</t>
        </is>
      </c>
      <c r="B31">
        <f>COUNTIF(_BOOK!$G$2:$G$991,"VOICEMAIL")</f>
        <v/>
      </c>
      <c r="C31" s="6">
        <f>SUMIF(_BOOK!$G$2:$G$991,"VOICEMAIL",_BOOK!$E$2:$E$991)</f>
        <v/>
      </c>
      <c r="E31" t="inlineStr">
        <is>
          <t>Grupo Conduscabos</t>
        </is>
      </c>
      <c r="F31" t="inlineStr">
        <is>
          <t>8005129-09.2023.8.05.0039</t>
        </is>
      </c>
      <c r="G31">
        <f>COUNTIF(_BOOK!$M$2:$M$991,"8005129-09.2023.8.05.0039")</f>
        <v/>
      </c>
      <c r="I31" s="6">
        <f>SUMIF(_BOOK!$M$2:$M$991,"8005129-09.2023.8.05.0039",_BOOK!$E$2:$E$991)</f>
        <v/>
      </c>
      <c r="J31">
        <f>COUNTIFS(_BOOK!$M$2:$M$991,"8005129-09.2023.8.05.0039",_BOOK!$G$2:$G$991,"&lt;&gt;NEW")</f>
        <v/>
      </c>
      <c r="K31">
        <f>COUNTIFS(_BOOK!$M$2:$M$991,"8005129-09.2023.8.05.0039",_BOOK!$G$2:$G$991,"INTERESTED")+COUNTIFS(_BOOK!$M$2:$M$991,"8005129-09.2023.8.05.0039",_BOOK!$G$2:$G$991,"TERMS AGREED")+COUNTIFS(_BOOK!$M$2:$M$991,"8005129-09.2023.8.05.0039",_BOOK!$G$2:$G$991,"CESSÃO SIGNED")+COUNTIFS(_BOOK!$M$2:$M$991,"8005129-09.2023.8.05.0039",_BOOK!$G$2:$G$991,"SUBSTITUTED IN LIST")</f>
        <v/>
      </c>
    </row>
    <row r="32">
      <c r="A32" t="inlineStr">
        <is>
          <t>CONNECTED</t>
        </is>
      </c>
      <c r="B32">
        <f>COUNTIF(_BOOK!$G$2:$G$991,"CONNECTED")</f>
        <v/>
      </c>
      <c r="C32" s="6">
        <f>SUMIF(_BOOK!$G$2:$G$991,"CONNECTED",_BOOK!$E$2:$E$991)</f>
        <v/>
      </c>
      <c r="E32" t="inlineStr">
        <is>
          <t>GRUPO DIVINA</t>
        </is>
      </c>
      <c r="F32" t="inlineStr">
        <is>
          <t>0000721-61.2024.8.17.2620</t>
        </is>
      </c>
      <c r="G32">
        <f>COUNTIF(_BOOK!$M$2:$M$991,"0000721-61.2024.8.17.2620")</f>
        <v/>
      </c>
      <c r="I32" s="6">
        <f>SUMIF(_BOOK!$M$2:$M$991,"0000721-61.2024.8.17.2620",_BOOK!$E$2:$E$991)</f>
        <v/>
      </c>
      <c r="J32">
        <f>COUNTIFS(_BOOK!$M$2:$M$991,"0000721-61.2024.8.17.2620",_BOOK!$G$2:$G$991,"&lt;&gt;NEW")</f>
        <v/>
      </c>
      <c r="K32">
        <f>COUNTIFS(_BOOK!$M$2:$M$991,"0000721-61.2024.8.17.2620",_BOOK!$G$2:$G$991,"INTERESTED")+COUNTIFS(_BOOK!$M$2:$M$991,"0000721-61.2024.8.17.2620",_BOOK!$G$2:$G$991,"TERMS AGREED")+COUNTIFS(_BOOK!$M$2:$M$991,"0000721-61.2024.8.17.2620",_BOOK!$G$2:$G$991,"CESSÃO SIGNED")+COUNTIFS(_BOOK!$M$2:$M$991,"0000721-61.2024.8.17.2620",_BOOK!$G$2:$G$991,"SUBSTITUTED IN LIST")</f>
        <v/>
      </c>
    </row>
    <row r="33">
      <c r="A33" t="inlineStr">
        <is>
          <t>INTERESTED</t>
        </is>
      </c>
      <c r="B33">
        <f>COUNTIF(_BOOK!$G$2:$G$991,"INTERESTED")</f>
        <v/>
      </c>
      <c r="C33" s="6">
        <f>SUMIF(_BOOK!$G$2:$G$991,"INTERESTED",_BOOK!$E$2:$E$991)</f>
        <v/>
      </c>
      <c r="E33" t="inlineStr">
        <is>
          <t>ASSOCIAÇÃO DE CARIDADE SANTA CASA DO RIO GRANDE</t>
        </is>
      </c>
      <c r="F33" t="inlineStr">
        <is>
          <t>5012306-16.2022.8.21.0023</t>
        </is>
      </c>
      <c r="G33">
        <f>COUNTIF(_BOOK!$M$2:$M$991,"5012306-16.2022.8.21.0023")</f>
        <v/>
      </c>
      <c r="I33" s="6">
        <f>SUMIF(_BOOK!$M$2:$M$991,"5012306-16.2022.8.21.0023",_BOOK!$E$2:$E$991)</f>
        <v/>
      </c>
      <c r="J33">
        <f>COUNTIFS(_BOOK!$M$2:$M$991,"5012306-16.2022.8.21.0023",_BOOK!$G$2:$G$991,"&lt;&gt;NEW")</f>
        <v/>
      </c>
      <c r="K33">
        <f>COUNTIFS(_BOOK!$M$2:$M$991,"5012306-16.2022.8.21.0023",_BOOK!$G$2:$G$991,"INTERESTED")+COUNTIFS(_BOOK!$M$2:$M$991,"5012306-16.2022.8.21.0023",_BOOK!$G$2:$G$991,"TERMS AGREED")+COUNTIFS(_BOOK!$M$2:$M$991,"5012306-16.2022.8.21.0023",_BOOK!$G$2:$G$991,"CESSÃO SIGNED")+COUNTIFS(_BOOK!$M$2:$M$991,"5012306-16.2022.8.21.0023",_BOOK!$G$2:$G$991,"SUBSTITUTED IN LIST")</f>
        <v/>
      </c>
    </row>
    <row r="34">
      <c r="A34" t="inlineStr">
        <is>
          <t>NOT INTERESTED</t>
        </is>
      </c>
      <c r="B34">
        <f>COUNTIF(_BOOK!$G$2:$G$991,"NOT INTERESTED")</f>
        <v/>
      </c>
      <c r="C34" s="6">
        <f>SUMIF(_BOOK!$G$2:$G$991,"NOT INTERESTED",_BOOK!$E$2:$E$991)</f>
        <v/>
      </c>
      <c r="E34" t="inlineStr">
        <is>
          <t>VECTOR INDÚSTRIA DE PRODUTOS METALÚRGICOS LTDA.</t>
        </is>
      </c>
      <c r="F34" t="inlineStr">
        <is>
          <t>5014104-85.2021.8.21.0010</t>
        </is>
      </c>
      <c r="G34">
        <f>COUNTIF(_BOOK!$M$2:$M$991,"5014104-85.2021.8.21.0010")</f>
        <v/>
      </c>
      <c r="I34" s="6">
        <f>SUMIF(_BOOK!$M$2:$M$991,"5014104-85.2021.8.21.0010",_BOOK!$E$2:$E$991)</f>
        <v/>
      </c>
      <c r="J34">
        <f>COUNTIFS(_BOOK!$M$2:$M$991,"5014104-85.2021.8.21.0010",_BOOK!$G$2:$G$991,"&lt;&gt;NEW")</f>
        <v/>
      </c>
      <c r="K34">
        <f>COUNTIFS(_BOOK!$M$2:$M$991,"5014104-85.2021.8.21.0010",_BOOK!$G$2:$G$991,"INTERESTED")+COUNTIFS(_BOOK!$M$2:$M$991,"5014104-85.2021.8.21.0010",_BOOK!$G$2:$G$991,"TERMS AGREED")+COUNTIFS(_BOOK!$M$2:$M$991,"5014104-85.2021.8.21.0010",_BOOK!$G$2:$G$991,"CESSÃO SIGNED")+COUNTIFS(_BOOK!$M$2:$M$991,"5014104-85.2021.8.21.0010",_BOOK!$G$2:$G$991,"SUBSTITUTED IN LIST")</f>
        <v/>
      </c>
    </row>
    <row r="35">
      <c r="A35" t="inlineStr">
        <is>
          <t>CALL BACK</t>
        </is>
      </c>
      <c r="B35">
        <f>COUNTIF(_BOOK!$G$2:$G$991,"CALL BACK")</f>
        <v/>
      </c>
      <c r="C35" s="6">
        <f>SUMIF(_BOOK!$G$2:$G$991,"CALL BACK",_BOOK!$E$2:$E$991)</f>
        <v/>
      </c>
    </row>
    <row r="36">
      <c r="A36" t="inlineStr">
        <is>
          <t>DEAD</t>
        </is>
      </c>
      <c r="B36">
        <f>COUNTIF(_BOOK!$G$2:$G$991,"DEAD")</f>
        <v/>
      </c>
      <c r="C36" s="6">
        <f>SUMIF(_BOOK!$G$2:$G$991,"DEAD",_BOOK!$E$2:$E$991)</f>
        <v/>
      </c>
      <c r="E36" s="4" t="inlineStr">
        <is>
          <t>BY CREDITOR STATE (RFB seat)</t>
        </is>
      </c>
      <c r="F36" s="4" t="inlineStr">
        <is>
          <t>leads</t>
        </is>
      </c>
      <c r="G36" s="4" t="inlineStr">
        <is>
          <t>ágio (R$)</t>
        </is>
      </c>
    </row>
    <row r="37">
      <c r="A37" t="inlineStr">
        <is>
          <t>TERMS AGREED</t>
        </is>
      </c>
      <c r="B37">
        <f>COUNTIF(_BOOK!$G$2:$G$991,"TERMS AGREED")</f>
        <v/>
      </c>
      <c r="C37" s="6">
        <f>SUMIF(_BOOK!$G$2:$G$991,"TERMS AGREED",_BOOK!$E$2:$E$991)</f>
        <v/>
      </c>
      <c r="E37" t="inlineStr">
        <is>
          <t>SP</t>
        </is>
      </c>
      <c r="F37">
        <f>COUNTIF(_BOOK!$I$2:$I$991,"SP")</f>
        <v/>
      </c>
      <c r="G37" s="6">
        <f>SUMIF(_BOOK!$I$2:$I$991,"SP",_BOOK!$E$2:$E$991)</f>
        <v/>
      </c>
    </row>
    <row r="38">
      <c r="A38" t="inlineStr">
        <is>
          <t>CESSÃO SIGNED</t>
        </is>
      </c>
      <c r="B38">
        <f>COUNTIF(_BOOK!$G$2:$G$991,"CESSÃO SIGNED")</f>
        <v/>
      </c>
      <c r="C38" s="6">
        <f>SUMIF(_BOOK!$G$2:$G$991,"CESSÃO SIGNED",_BOOK!$E$2:$E$991)</f>
        <v/>
      </c>
      <c r="E38" t="inlineStr">
        <is>
          <t>DF</t>
        </is>
      </c>
      <c r="F38">
        <f>COUNTIF(_BOOK!$I$2:$I$991,"DF")</f>
        <v/>
      </c>
      <c r="G38" s="6">
        <f>SUMIF(_BOOK!$I$2:$I$991,"DF",_BOOK!$E$2:$E$991)</f>
        <v/>
      </c>
    </row>
    <row r="39">
      <c r="A39" t="inlineStr">
        <is>
          <t>SUBSTITUTED IN LIST</t>
        </is>
      </c>
      <c r="B39">
        <f>COUNTIF(_BOOK!$G$2:$G$991,"SUBSTITUTED IN LIST")</f>
        <v/>
      </c>
      <c r="C39" s="6">
        <f>SUMIF(_BOOK!$G$2:$G$991,"SUBSTITUTED IN LIST",_BOOK!$E$2:$E$991)</f>
        <v/>
      </c>
      <c r="E39" t="inlineStr">
        <is>
          <t>PR</t>
        </is>
      </c>
      <c r="F39">
        <f>COUNTIF(_BOOK!$I$2:$I$991,"PR")</f>
        <v/>
      </c>
      <c r="G39" s="6">
        <f>SUMIF(_BOOK!$I$2:$I$991,"PR",_BOOK!$E$2:$E$991)</f>
        <v/>
      </c>
    </row>
    <row r="40">
      <c r="A40" t="inlineStr">
        <is>
          <t>SETTLED</t>
        </is>
      </c>
      <c r="B40">
        <f>COUNTIF(_BOOK!$G$2:$G$991,"SETTLED")</f>
        <v/>
      </c>
      <c r="C40" s="6">
        <f>SUMIF(_BOOK!$G$2:$G$991,"SETTLED",_BOOK!$E$2:$E$991)</f>
        <v/>
      </c>
      <c r="E40" t="inlineStr">
        <is>
          <t>SC</t>
        </is>
      </c>
      <c r="F40">
        <f>COUNTIF(_BOOK!$I$2:$I$991,"SC")</f>
        <v/>
      </c>
      <c r="G40" s="6">
        <f>SUMIF(_BOOK!$I$2:$I$991,"SC",_BOOK!$E$2:$E$991)</f>
        <v/>
      </c>
    </row>
    <row r="41">
      <c r="E41" t="inlineStr">
        <is>
          <t>RS</t>
        </is>
      </c>
      <c r="F41">
        <f>COUNTIF(_BOOK!$I$2:$I$991,"RS")</f>
        <v/>
      </c>
      <c r="G41" s="6">
        <f>SUMIF(_BOOK!$I$2:$I$991,"RS",_BOOK!$E$2:$E$991)</f>
        <v/>
      </c>
    </row>
    <row r="42">
      <c r="A42" s="4" t="inlineStr">
        <is>
          <t>DEBTOR BAND</t>
        </is>
      </c>
      <c r="B42" s="4" t="inlineStr">
        <is>
          <t>leads</t>
        </is>
      </c>
      <c r="C42" s="4" t="inlineStr">
        <is>
          <t>ágio (R$)</t>
        </is>
      </c>
      <c r="E42" t="inlineStr">
        <is>
          <t>MG</t>
        </is>
      </c>
      <c r="F42">
        <f>COUNTIF(_BOOK!$I$2:$I$991,"MG")</f>
        <v/>
      </c>
      <c r="G42" s="6">
        <f>SUMIF(_BOOK!$I$2:$I$991,"MG",_BOOK!$E$2:$E$991)</f>
        <v/>
      </c>
    </row>
    <row r="43">
      <c r="A43" s="11" t="inlineStr">
        <is>
          <t>A — recovery granted</t>
        </is>
      </c>
      <c r="B43">
        <f>COUNTIF(_BOOK!$F$2:$F$991,"A")</f>
        <v/>
      </c>
      <c r="C43" s="6">
        <f>SUMIF(_BOOK!$F$2:$F$991,"A",_BOOK!$E$2:$E$991)</f>
        <v/>
      </c>
      <c r="E43" t="inlineStr">
        <is>
          <t>GO</t>
        </is>
      </c>
      <c r="F43">
        <f>COUNTIF(_BOOK!$I$2:$I$991,"GO")</f>
        <v/>
      </c>
      <c r="G43" s="6">
        <f>SUMIF(_BOOK!$I$2:$I$991,"GO",_BOOK!$E$2:$E$991)</f>
        <v/>
      </c>
    </row>
    <row r="44">
      <c r="A44" s="12" t="inlineStr">
        <is>
          <t>B — live, plan pending</t>
        </is>
      </c>
      <c r="B44">
        <f>COUNTIF(_BOOK!$F$2:$F$991,"B")</f>
        <v/>
      </c>
      <c r="C44" s="6">
        <f>SUMIF(_BOOK!$F$2:$F$991,"B",_BOOK!$E$2:$E$991)</f>
        <v/>
      </c>
      <c r="E44" t="inlineStr">
        <is>
          <t>PE</t>
        </is>
      </c>
      <c r="F44">
        <f>COUNTIF(_BOOK!$I$2:$I$991,"PE")</f>
        <v/>
      </c>
      <c r="G44" s="6">
        <f>SUMIF(_BOOK!$I$2:$I$991,"PE",_BOOK!$E$2:$E$991)</f>
        <v/>
      </c>
    </row>
    <row r="45">
      <c r="A45" s="13" t="inlineStr">
        <is>
          <t>C — older, plan not seen</t>
        </is>
      </c>
      <c r="B45">
        <f>COUNTIF(_BOOK!$F$2:$F$991,"C")</f>
        <v/>
      </c>
      <c r="C45" s="6">
        <f>SUMIF(_BOOK!$F$2:$F$991,"C",_BOOK!$E$2:$E$991)</f>
        <v/>
      </c>
      <c r="E45" t="inlineStr">
        <is>
          <t>RJ</t>
        </is>
      </c>
      <c r="F45">
        <f>COUNTIF(_BOOK!$I$2:$I$991,"RJ")</f>
        <v/>
      </c>
      <c r="G45" s="6">
        <f>SUMIF(_BOOK!$I$2:$I$991,"RJ",_BOOK!$E$2:$E$991)</f>
        <v/>
      </c>
    </row>
    <row r="46">
      <c r="A46" s="14" t="inlineStr">
        <is>
          <t>D — avoid (falência/closed)</t>
        </is>
      </c>
      <c r="B46">
        <f>COUNTIF(_BOOK!$F$2:$F$991,"D")</f>
        <v/>
      </c>
      <c r="C46" s="6">
        <f>SUMIF(_BOOK!$F$2:$F$991,"D",_BOOK!$E$2:$E$991)</f>
        <v/>
      </c>
      <c r="E46" t="inlineStr">
        <is>
          <t>BA</t>
        </is>
      </c>
      <c r="F46">
        <f>COUNTIF(_BOOK!$I$2:$I$991,"BA")</f>
        <v/>
      </c>
      <c r="G46" s="6">
        <f>SUMIF(_BOOK!$I$2:$I$991,"BA",_BOOK!$E$2:$E$991)</f>
        <v/>
      </c>
    </row>
    <row r="47">
      <c r="A47" s="15" t="inlineStr">
        <is>
          <t>U — unresolved</t>
        </is>
      </c>
      <c r="B47">
        <f>COUNTIF(_BOOK!$F$2:$F$991,"U")</f>
        <v/>
      </c>
      <c r="C47" s="6">
        <f>SUMIF(_BOOK!$F$2:$F$991,"U",_BOOK!$E$2:$E$991)</f>
        <v/>
      </c>
    </row>
    <row r="49">
      <c r="A49" s="4" t="inlineStr">
        <is>
          <t>SELLER FIT</t>
        </is>
      </c>
      <c r="B49" s="4" t="inlineStr">
        <is>
          <t>leads</t>
        </is>
      </c>
      <c r="C49" s="4" t="inlineStr">
        <is>
          <t>ágio (R$)</t>
        </is>
      </c>
    </row>
    <row r="50">
      <c r="A50" t="inlineStr">
        <is>
          <t>MID-MARKET</t>
        </is>
      </c>
      <c r="B50">
        <f>COUNTIF(_BOOK!$J$2:$J$991,"MID-MARKET")</f>
        <v/>
      </c>
      <c r="C50" s="6">
        <f>SUMIF(_BOOK!$J$2:$J$991,"MID-MARKET",_BOOK!$E$2:$E$991)</f>
        <v/>
      </c>
    </row>
    <row r="51">
      <c r="A51" t="inlineStr">
        <is>
          <t>SMALL</t>
        </is>
      </c>
      <c r="B51">
        <f>COUNTIF(_BOOK!$J$2:$J$991,"SMALL")</f>
        <v/>
      </c>
      <c r="C51" s="6">
        <f>SUMIF(_BOOK!$J$2:$J$991,"SMALL",_BOOK!$E$2:$E$991)</f>
        <v/>
      </c>
    </row>
    <row r="52">
      <c r="A52" t="inlineStr">
        <is>
          <t>LARGE CORP — sells through a desk, if at all</t>
        </is>
      </c>
      <c r="B52">
        <f>COUNTIF(_BOOK!$J$2:$J$991,"LARGE CORP")</f>
        <v/>
      </c>
      <c r="C52" s="6">
        <f>SUMIF(_BOOK!$J$2:$J$991,"LARGE CORP",_BOOK!$E$2:$E$991)</f>
        <v/>
      </c>
    </row>
    <row r="53">
      <c r="A53" t="inlineStr">
        <is>
          <t>UNKNOWN — no RFB record</t>
        </is>
      </c>
      <c r="B53">
        <f>COUNTIF(_BOOK!$J$2:$J$991,"UNKNOWN")</f>
        <v/>
      </c>
      <c r="C53" s="6">
        <f>SUMIF(_BOOK!$J$2:$J$991,"UNKNOWN",_BOOK!$E$2:$E$991)</f>
        <v/>
      </c>
    </row>
    <row r="55">
      <c r="A55" s="4" t="inlineStr">
        <is>
          <t>PROOF QUALITY</t>
        </is>
      </c>
      <c r="B55" s="4" t="inlineStr">
        <is>
          <t>leads</t>
        </is>
      </c>
      <c r="C55" s="4" t="inlineStr">
        <is>
          <t>ágio (R$)</t>
        </is>
      </c>
    </row>
    <row r="56">
      <c r="A56" t="inlineStr">
        <is>
          <t>OK — reconciled against printed totals</t>
        </is>
      </c>
      <c r="B56">
        <f>COUNTIF(_BOOK!$L$2:$L$991,"OK*")</f>
        <v/>
      </c>
      <c r="C56" s="6">
        <f>SUMIF(_BOOK!$L$2:$L$991,"OK*",_BOOK!$E$2:$E$991)</f>
        <v/>
      </c>
    </row>
    <row r="57">
      <c r="A57" t="inlineStr">
        <is>
          <t>NO TOTALS — list prints none</t>
        </is>
      </c>
      <c r="B57">
        <f>COUNTIF(_BOOK!$L$2:$L$991,"NO TOTALS*")</f>
        <v/>
      </c>
      <c r="C57" s="6">
        <f>SUMIF(_BOOK!$L$2:$L$991,"NO TOTALS*",_BOOK!$E$2:$E$991)</f>
        <v/>
      </c>
    </row>
    <row r="58">
      <c r="A58" t="inlineStr">
        <is>
          <t>PARTIAL — class III reconciled only</t>
        </is>
      </c>
      <c r="B58">
        <f>COUNTIF(_BOOK!$L$2:$L$991,"PARTIAL*")</f>
        <v/>
      </c>
      <c r="C58" s="6">
        <f>SUMIF(_BOOK!$L$2:$L$991,"PARTIAL*",_BOOK!$E$2:$E$991)</f>
        <v/>
      </c>
    </row>
    <row r="59">
      <c r="A59" t="inlineStr">
        <is>
          <t>CHECK — not a statutory creditor list</t>
        </is>
      </c>
      <c r="B59">
        <f>COUNTIF(_BOOK!$L$2:$L$991,"CHECK*")</f>
        <v/>
      </c>
      <c r="C59" s="6">
        <f>SUMIF(_BOOK!$L$2:$L$991,"CHECK*",_BOOK!$E$2:$E$991)</f>
        <v/>
      </c>
    </row>
    <row r="61">
      <c r="A61" t="inlineStr">
        <is>
          <t>How to use: work each call tab top-down (sorted by model ágio). Set STATUS and NEXT DATE on every touch; this tab updates itself. Do not delete rows (mark DEAD); sorting and filtering are fine.</t>
        </is>
      </c>
    </row>
    <row r="62">
      <c r="A62" t="inlineStr">
        <is>
          <t>STATUS chain after a yes: TERMS AGREED → CESSÃO SIGNED (written instrument) → SUBSTITUTED IN LIST (AJ updates the QGC) → SETTLED (fund pays). Ágio counts as in-progress until then.</t>
        </is>
      </c>
    </row>
    <row r="63">
      <c r="A63" t="inlineStr">
        <is>
          <t>Bands: A recovery granted (art. 58) · B live, plan pending · C older case, plan not in our documents · D avoid (falência / company closed) · U unresolved. Band C/U rows: check the docket before quoting.</t>
        </is>
      </c>
    </row>
    <row r="64">
      <c r="A64" t="inlineStr">
        <is>
          <t>PROOF QUALITY: OK = the list's own printed totals reconcile; NO TOTALS = the list prints none, so the value stands on its row alone; PARTIAL = class III reconciled but another class did not; CHECK = the source is not an art. 7/51 list.</t>
        </is>
      </c>
    </row>
    <row r="65">
      <c r="A65" t="inlineStr">
        <is>
          <t>FINANCIAL CREDITORS = banks, FIDCs, securitizers, credit co-ops: same class III paper, sold through a desk; plans usually give them worse terms (Assumptions B5). STATE-OWNED = public banks and state companies: sell by auction/desk only, if at all.</t>
        </is>
      </c>
    </row>
    <row r="66">
      <c r="A66" t="inlineStr">
        <is>
          <t>EXCLUDED (review) lists rows kept out of the book and why (intercompany, class II/IV heading, multi-CNPJ prose, public bodies, inactive creditors).</t>
        </is>
      </c>
    </row>
    <row r="67">
      <c r="A67" t="inlineStr">
        <is>
          <t>Mobile numbers are empty: Apollo direct-dial credits reset on 21 Sep 2026; company switchboards and work emails are filled where found. 'Debtor source' says whether the debtor name was printed on the list (read twice) or taken from the portal page.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56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0" customWidth="1" min="1" max="1"/>
    <col width="17" customWidth="1" min="2" max="2"/>
    <col width="36" customWidth="1" min="3" max="3"/>
    <col width="18" customWidth="1" min="4" max="4"/>
    <col width="11" customWidth="1" min="5" max="5"/>
    <col width="22" customWidth="1" min="6" max="6"/>
    <col width="11" customWidth="1" min="7" max="7"/>
    <col width="38" customWidth="1" min="8" max="8"/>
    <col width="30" customWidth="1" min="9" max="9"/>
    <col width="26" customWidth="1" min="10" max="10"/>
    <col width="16" customWidth="1" min="11" max="11"/>
    <col width="16" customWidth="1" min="12" max="12"/>
    <col width="16" customWidth="1" min="13" max="13"/>
    <col width="30" customWidth="1" min="14" max="14"/>
    <col width="12" customWidth="1" min="15" max="15"/>
    <col width="28" customWidth="1" min="16" max="16"/>
    <col width="24" customWidth="1" min="17" max="17"/>
    <col width="16" customWidth="1" min="18" max="18"/>
    <col width="28" customWidth="1" min="19" max="19"/>
    <col width="40" customWidth="1" min="20" max="20"/>
    <col width="17" customWidth="1" min="21" max="21"/>
    <col width="8" customWidth="1" min="22" max="22"/>
    <col width="10" customWidth="1" min="23" max="23"/>
    <col width="8" customWidth="1" min="24" max="24"/>
    <col width="8" customWidth="1" min="25" max="25"/>
    <col width="9" customWidth="1" min="26" max="26"/>
    <col width="8" customWidth="1" min="27" max="27"/>
    <col width="17" customWidth="1" min="28" max="28"/>
    <col width="7" customWidth="1" min="29" max="29"/>
    <col width="17" customWidth="1" min="30" max="30"/>
    <col width="7" customWidth="1" min="31" max="31"/>
    <col width="16" customWidth="1" min="32" max="32"/>
    <col width="8" customWidth="1" min="33" max="33"/>
    <col width="26" customWidth="1" min="34" max="34"/>
    <col width="50" customWidth="1" min="35" max="35"/>
    <col width="16" customWidth="1" min="36" max="36"/>
    <col width="30" customWidth="1" min="37" max="37"/>
    <col width="22" customWidth="1" min="38" max="38"/>
    <col width="11" customWidth="1" min="39" max="39"/>
    <col width="20" customWidth="1" min="40" max="40"/>
    <col width="26" customWidth="1" min="41" max="41"/>
    <col width="7" customWidth="1" min="42" max="42"/>
    <col width="18" customWidth="1" min="43" max="43"/>
    <col width="20" customWidth="1" min="44" max="44"/>
    <col width="7" customWidth="1" min="45" max="45"/>
    <col width="44" customWidth="1" min="46" max="46"/>
    <col width="19" customWidth="1" min="47" max="47"/>
    <col width="30" customWidth="1" min="48" max="48"/>
    <col width="30" customWidth="1" min="49" max="49"/>
    <col width="18" customWidth="1" min="50" max="50"/>
    <col width="5" customWidth="1" min="51" max="51"/>
    <col width="34" customWidth="1" min="52" max="52"/>
    <col width="10" customWidth="1" min="53" max="53"/>
    <col width="15" customWidth="1" min="54" max="54"/>
    <col width="13" customWidth="1" min="55" max="55"/>
    <col width="10" customWidth="1" min="56" max="56"/>
    <col width="6" customWidth="1" min="57" max="57"/>
    <col width="34" customWidth="1" min="58" max="58"/>
  </cols>
  <sheetData>
    <row r="1" ht="34" customHeight="1">
      <c r="A1" s="16" t="inlineStr">
        <is>
          <t>CREDITOR — company owed money</t>
        </is>
      </c>
      <c r="B1" s="16" t="inlineStr">
        <is>
          <t>AMOUNT OWED (R$)</t>
        </is>
      </c>
      <c r="C1" s="16" t="inlineStr">
        <is>
          <t>DEBTOR — company in RJ</t>
        </is>
      </c>
      <c r="D1" s="16" t="inlineStr">
        <is>
          <t>STATUS</t>
        </is>
      </c>
      <c r="E1" s="16" t="inlineStr">
        <is>
          <t>LAST TOUCH</t>
        </is>
      </c>
      <c r="F1" s="16" t="inlineStr">
        <is>
          <t>NEXT ACTION</t>
        </is>
      </c>
      <c r="G1" s="16" t="inlineStr">
        <is>
          <t>NEXT DATE</t>
        </is>
      </c>
      <c r="H1" s="16" t="inlineStr">
        <is>
          <t>NOTES</t>
        </is>
      </c>
      <c r="I1" s="16" t="inlineStr">
        <is>
          <t>DECISION MAKER</t>
        </is>
      </c>
      <c r="J1" s="16" t="inlineStr">
        <is>
          <t>Role</t>
        </is>
      </c>
      <c r="K1" s="16" t="inlineStr">
        <is>
          <t>Company phone 1</t>
        </is>
      </c>
      <c r="L1" s="16" t="inlineStr">
        <is>
          <t>Company phone 2</t>
        </is>
      </c>
      <c r="M1" s="16" t="inlineStr">
        <is>
          <t>Mobile (Apollo; reveal pending)</t>
        </is>
      </c>
      <c r="N1" s="16" t="inlineStr">
        <is>
          <t>Email</t>
        </is>
      </c>
      <c r="O1" s="16" t="inlineStr">
        <is>
          <t>Email status</t>
        </is>
      </c>
      <c r="P1" s="16" t="inlineStr">
        <is>
          <t>BACKUP CONTACT</t>
        </is>
      </c>
      <c r="Q1" s="16" t="inlineStr">
        <is>
          <t>Backup role</t>
        </is>
      </c>
      <c r="R1" s="16" t="inlineStr">
        <is>
          <t>Backup phone</t>
        </is>
      </c>
      <c r="S1" s="16" t="inlineStr">
        <is>
          <t>Backup email</t>
        </is>
      </c>
      <c r="T1" s="16" t="inlineStr">
        <is>
          <t>Contact note</t>
        </is>
      </c>
      <c r="U1" s="16" t="inlineStr">
        <is>
          <t>FACE VALUE (as printed)</t>
        </is>
      </c>
      <c r="V1" s="16" t="inlineStr">
        <is>
          <t>DEBTOR BAND</t>
        </is>
      </c>
      <c r="W1" s="16" t="inlineStr">
        <is>
          <t>Plan: class III recovery</t>
        </is>
      </c>
      <c r="X1" s="16" t="inlineStr">
        <is>
          <t>Plan: grace (y)</t>
        </is>
      </c>
      <c r="Y1" s="16" t="inlineStr">
        <is>
          <t>Plan: term (y)</t>
        </is>
      </c>
      <c r="Z1" s="16" t="inlineStr">
        <is>
          <t>Exp. recovery %</t>
        </is>
      </c>
      <c r="AA1" s="16" t="inlineStr">
        <is>
          <t>Years to payment</t>
        </is>
      </c>
      <c r="AB1" s="16" t="inlineStr">
        <is>
          <t>FUND PRICE @ IRR (model, R$)</t>
        </is>
      </c>
      <c r="AC1" s="16" t="inlineStr">
        <is>
          <t>Fund ¢/R$</t>
        </is>
      </c>
      <c r="AD1" s="16" t="inlineStr">
        <is>
          <t>OUR QUOTE (model, R$)</t>
        </is>
      </c>
      <c r="AE1" s="16" t="inlineStr">
        <is>
          <t>Quote ¢/R$</t>
        </is>
      </c>
      <c r="AF1" s="16" t="inlineStr">
        <is>
          <t>OUR ÁGIO (model, R$)</t>
        </is>
      </c>
      <c r="AG1" s="16" t="inlineStr">
        <is>
          <t>Ágio pts of face</t>
        </is>
      </c>
      <c r="AH1" s="16" t="inlineStr">
        <is>
          <t>PROOF QUALITY</t>
        </is>
      </c>
      <c r="AI1" s="16" t="inlineStr">
        <is>
          <t>PROOF: source document</t>
        </is>
      </c>
      <c r="AJ1" s="16" t="inlineStr">
        <is>
          <t>Page / row (extractor index)</t>
        </is>
      </c>
      <c r="AK1" s="16" t="inlineStr">
        <is>
          <t>Value as printed</t>
        </is>
      </c>
      <c r="AL1" s="16" t="inlineStr">
        <is>
          <t>Which list</t>
        </is>
      </c>
      <c r="AM1" s="16" t="inlineStr">
        <is>
          <t>List date</t>
        </is>
      </c>
      <c r="AN1" s="16" t="inlineStr">
        <is>
          <t>Plan evidence</t>
        </is>
      </c>
      <c r="AO1" s="16" t="inlineStr">
        <is>
          <t>Case number</t>
        </is>
      </c>
      <c r="AP1" s="16" t="inlineStr">
        <is>
          <t>Court</t>
        </is>
      </c>
      <c r="AQ1" s="16" t="inlineStr">
        <is>
          <t>Proceeding</t>
        </is>
      </c>
      <c r="AR1" s="16" t="inlineStr">
        <is>
          <t>Stage (DataJud)</t>
        </is>
      </c>
      <c r="AS1" s="16" t="inlineStr">
        <is>
          <t>Filed</t>
        </is>
      </c>
      <c r="AT1" s="16" t="inlineStr">
        <is>
          <t>Band reason</t>
        </is>
      </c>
      <c r="AU1" s="16" t="inlineStr">
        <is>
          <t>Debtor CNPJ (lead entity)</t>
        </is>
      </c>
      <c r="AV1" s="16" t="inlineStr">
        <is>
          <t>Debtor source</t>
        </is>
      </c>
      <c r="AW1" s="16" t="inlineStr">
        <is>
          <t>Plan terms source</t>
        </is>
      </c>
      <c r="AX1" s="16" t="inlineStr">
        <is>
          <t>City</t>
        </is>
      </c>
      <c r="AY1" s="16" t="inlineStr">
        <is>
          <t>UF</t>
        </is>
      </c>
      <c r="AZ1" s="16" t="inlineStr">
        <is>
          <t>Sector</t>
        </is>
      </c>
      <c r="BA1" s="16" t="inlineStr">
        <is>
          <t>Size</t>
        </is>
      </c>
      <c r="BB1" s="16" t="inlineStr">
        <is>
          <t>Capital (R$)</t>
        </is>
      </c>
      <c r="BC1" s="16" t="inlineStr">
        <is>
          <t>Seller fit</t>
        </is>
      </c>
      <c r="BD1" s="16" t="inlineStr">
        <is>
          <t>CNPJ root</t>
        </is>
      </c>
      <c r="BE1" s="16" t="inlineStr">
        <is>
          <t>Claims</t>
        </is>
      </c>
      <c r="BF1" s="16" t="inlineStr">
        <is>
          <t>Flags</t>
        </is>
      </c>
    </row>
    <row r="2">
      <c r="A2" s="17" t="inlineStr">
        <is>
          <t>DM CONSTRUTORA DE OBRAS LTDA</t>
        </is>
      </c>
      <c r="B2" s="18" t="n">
        <v>178052183.86</v>
      </c>
      <c r="C2" s="19" t="inlineStr">
        <is>
          <t>GRUPO MARINGÁ PARK</t>
        </is>
      </c>
      <c r="D2" s="20" t="inlineStr">
        <is>
          <t>NEW</t>
        </is>
      </c>
      <c r="E2" s="21" t="inlineStr"/>
      <c r="F2" s="20" t="inlineStr"/>
      <c r="G2" s="21" t="inlineStr"/>
      <c r="H2" s="20" t="inlineStr"/>
      <c r="I2" s="22" t="inlineStr">
        <is>
          <t>DENIZ ALBINO FANTIN</t>
        </is>
      </c>
      <c r="J2" s="23" t="inlineStr">
        <is>
          <t>Sócio-Administrador (RFB partner)</t>
        </is>
      </c>
      <c r="K2" s="22" t="inlineStr">
        <is>
          <t>(41) 3313-8000</t>
        </is>
      </c>
      <c r="L2" s="22" t="inlineStr">
        <is>
          <t>(41) 3313-8090</t>
        </is>
      </c>
      <c r="M2" s="22" t="inlineStr"/>
      <c r="N2" s="22" t="inlineStr"/>
      <c r="O2" s="22" t="inlineStr"/>
      <c r="P2" s="22" t="inlineStr">
        <is>
          <t>Giovano Fantin</t>
        </is>
      </c>
      <c r="Q2" s="22" t="inlineStr">
        <is>
          <t>VP</t>
        </is>
      </c>
      <c r="R2" s="22" t="inlineStr"/>
      <c r="S2" s="22" t="inlineStr">
        <is>
          <t>giovano@dmconstrutora.com.br</t>
        </is>
      </c>
      <c r="T2" s="22" t="inlineStr">
        <is>
          <t>DM = registered partner (RFB QSA); Apollo pick demoted to backup (non-finance role); BACKUP: has_email, direct phone</t>
        </is>
      </c>
      <c r="U2" s="24" t="n">
        <v>178052183.86</v>
      </c>
      <c r="V2" s="25" t="inlineStr">
        <is>
          <t>B</t>
        </is>
      </c>
      <c r="W2" s="26" t="inlineStr"/>
      <c r="X2" s="27" t="inlineStr"/>
      <c r="Y2" s="27" t="inlineStr"/>
      <c r="Z2" s="26">
        <f>IF(W2&lt;&gt;"",W2,IFERROR(VLOOKUP(V2,Assumptions!$A$8:$F$12,2,FALSE),0))</f>
        <v/>
      </c>
      <c r="AA2" s="28">
        <f>IF(V2="A",MAX(1,IF(X2&lt;&gt;"",X2,IFERROR(VLOOKUP(V2,Assumptions!$A$8:$F$12,3,FALSE),3))+IF(Y2&lt;&gt;"",Y2,IFERROR(VLOOKUP(V2,Assumptions!$A$8:$F$12,4,FALSE),8))/2-MAX(0,IF(AS2="",0,YEAR(TODAY())-AS2)-IFERROR(VLOOKUP(V2,Assumptions!$A$8:$F$12,5,FALSE),1.5))),IFERROR(VLOOKUP(V2,Assumptions!$A$8:$F$12,5,FALSE),2.5)+IF(X2&lt;&gt;"",X2,IFERROR(VLOOKUP(V2,Assumptions!$A$8:$F$12,3,FALSE),3))+IF(Y2&lt;&gt;"",Y2,IFERROR(VLOOKUP(V2,Assumptions!$A$8:$F$12,4,FALSE),8))/2)</f>
        <v/>
      </c>
      <c r="AB2" s="24">
        <f>U2*Z2/(1+Assumptions!$B$3)^AA2</f>
        <v/>
      </c>
      <c r="AC2" s="27">
        <f>IF(U2=0,"",ROUND(AB2/U2*100,1))</f>
        <v/>
      </c>
      <c r="AD2" s="29">
        <f>AB2*Assumptions!$B$4</f>
        <v/>
      </c>
      <c r="AE2" s="27">
        <f>IF(U2=0,"",ROUND(AD2/U2*100,1))</f>
        <v/>
      </c>
      <c r="AF2" s="29">
        <f>AB2-AD2</f>
        <v/>
      </c>
      <c r="AG2" s="27">
        <f>IF(U2=0,"",ROUND((AB2-AD2)/U2*100,1))</f>
        <v/>
      </c>
      <c r="AH2" s="30" t="inlineStr">
        <is>
          <t>OK — totals reconciled</t>
        </is>
      </c>
      <c r="AI2" s="31" t="inlineStr">
        <is>
          <t>https://marquesadmjudicial.com.br/sgc/download.php?file=files/processo_documento/processo_documento19270817122025_1_.pdf&amp;nome=Relação Nominal de Credores AJ</t>
        </is>
      </c>
      <c r="AJ2" s="30" t="inlineStr">
        <is>
          <t>p4 r8</t>
        </is>
      </c>
      <c r="AK2" s="30" t="inlineStr">
        <is>
          <t>p4: R$ 178.052.183,86</t>
        </is>
      </c>
      <c r="AL2" s="30" t="inlineStr">
        <is>
          <t>AJ list (art. 7 §2)</t>
        </is>
      </c>
      <c r="AM2" s="30" t="inlineStr">
        <is>
          <t>2025-12-17</t>
        </is>
      </c>
      <c r="AN2" s="30" t="inlineStr">
        <is>
          <t>NONE FOUND</t>
        </is>
      </c>
      <c r="AO2" s="32" t="inlineStr">
        <is>
          <t>0016033-22.2025.8.16.0017</t>
        </is>
      </c>
      <c r="AP2" s="32" t="inlineStr">
        <is>
          <t>TJPR</t>
        </is>
      </c>
      <c r="AQ2" s="32" t="inlineStr">
        <is>
          <t>Recuperação judicial</t>
        </is>
      </c>
      <c r="AR2" s="32" t="inlineStr">
        <is>
          <t>DataJud: no closure/falência movement</t>
        </is>
      </c>
      <c r="AS2" s="32" t="n">
        <v>2025</v>
      </c>
      <c r="AT2" s="32" t="inlineStr">
        <is>
          <t>live case, no plan document yet</t>
        </is>
      </c>
      <c r="AU2" s="32" t="inlineStr">
        <is>
          <t>00.073.485/0001-43</t>
        </is>
      </c>
      <c r="AV2" s="32" t="inlineStr">
        <is>
          <t>printed on the list (read twice)</t>
        </is>
      </c>
      <c r="AW2" s="32" t="inlineStr"/>
      <c r="AX2" s="32" t="inlineStr">
        <is>
          <t>CURITIBA</t>
        </is>
      </c>
      <c r="AY2" s="32" t="inlineStr">
        <is>
          <t>PR</t>
        </is>
      </c>
      <c r="AZ2" s="32" t="inlineStr">
        <is>
          <t>Construção de rodovias e ferrovias</t>
        </is>
      </c>
      <c r="BA2" s="32" t="inlineStr">
        <is>
          <t>não ME/EPP</t>
        </is>
      </c>
      <c r="BB2" s="33" t="n">
        <v>90000000</v>
      </c>
      <c r="BC2" s="32" t="inlineStr">
        <is>
          <t>MID-MARKET</t>
        </is>
      </c>
      <c r="BD2" s="32" t="inlineStr">
        <is>
          <t>76483726</t>
        </is>
      </c>
      <c r="BE2" s="32" t="n">
        <v>1</v>
      </c>
      <c r="BF2" s="32" t="inlineStr"/>
    </row>
    <row r="3">
      <c r="A3" s="17" t="inlineStr">
        <is>
          <t>TAG INDUSTRIA E LAMINACAO LTDA</t>
        </is>
      </c>
      <c r="B3" s="18" t="n">
        <v>64713515.06</v>
      </c>
      <c r="C3" s="19" t="inlineStr">
        <is>
          <t>Grupo Conduscabos</t>
        </is>
      </c>
      <c r="D3" s="20" t="inlineStr">
        <is>
          <t>NEW</t>
        </is>
      </c>
      <c r="E3" s="21" t="inlineStr"/>
      <c r="F3" s="20" t="inlineStr"/>
      <c r="G3" s="21" t="inlineStr"/>
      <c r="H3" s="20" t="inlineStr"/>
      <c r="I3" s="22" t="inlineStr">
        <is>
          <t>TIAGO RODRIGO DETTILIO</t>
        </is>
      </c>
      <c r="J3" s="23" t="inlineStr">
        <is>
          <t>Administrador (RFB partner)</t>
        </is>
      </c>
      <c r="K3" s="22" t="inlineStr">
        <is>
          <t>(11) 4463-4833</t>
        </is>
      </c>
      <c r="L3" s="22" t="inlineStr"/>
      <c r="M3" s="22" t="inlineStr"/>
      <c r="N3" s="22" t="inlineStr"/>
      <c r="O3" s="22" t="inlineStr"/>
      <c r="P3" s="22" t="inlineStr">
        <is>
          <t>WEBER MICAEL DA SILVA</t>
        </is>
      </c>
      <c r="Q3" s="22" t="inlineStr">
        <is>
          <t>Administrador (RFB partner)</t>
        </is>
      </c>
      <c r="R3" s="22" t="inlineStr"/>
      <c r="S3" s="22" t="inlineStr"/>
      <c r="T3" s="22" t="inlineStr">
        <is>
          <t>DM = registered partner (RFB QSA); no Apollo match</t>
        </is>
      </c>
      <c r="U3" s="24" t="n">
        <v>64713515.06</v>
      </c>
      <c r="V3" s="25" t="inlineStr">
        <is>
          <t>B</t>
        </is>
      </c>
      <c r="W3" s="26" t="inlineStr"/>
      <c r="X3" s="27" t="inlineStr"/>
      <c r="Y3" s="27" t="inlineStr"/>
      <c r="Z3" s="26">
        <f>IF(W3&lt;&gt;"",W3,IFERROR(VLOOKUP(V3,Assumptions!$A$8:$F$12,2,FALSE),0))</f>
        <v/>
      </c>
      <c r="AA3" s="28">
        <f>IF(V3="A",MAX(1,IF(X3&lt;&gt;"",X3,IFERROR(VLOOKUP(V3,Assumptions!$A$8:$F$12,3,FALSE),3))+IF(Y3&lt;&gt;"",Y3,IFERROR(VLOOKUP(V3,Assumptions!$A$8:$F$12,4,FALSE),8))/2-MAX(0,IF(AS3="",0,YEAR(TODAY())-AS3)-IFERROR(VLOOKUP(V3,Assumptions!$A$8:$F$12,5,FALSE),1.5))),IFERROR(VLOOKUP(V3,Assumptions!$A$8:$F$12,5,FALSE),2.5)+IF(X3&lt;&gt;"",X3,IFERROR(VLOOKUP(V3,Assumptions!$A$8:$F$12,3,FALSE),3))+IF(Y3&lt;&gt;"",Y3,IFERROR(VLOOKUP(V3,Assumptions!$A$8:$F$12,4,FALSE),8))/2)</f>
        <v/>
      </c>
      <c r="AB3" s="24">
        <f>U3*Z3/(1+Assumptions!$B$3)^AA3</f>
        <v/>
      </c>
      <c r="AC3" s="27">
        <f>IF(U3=0,"",ROUND(AB3/U3*100,1))</f>
        <v/>
      </c>
      <c r="AD3" s="29">
        <f>AB3*Assumptions!$B$4</f>
        <v/>
      </c>
      <c r="AE3" s="27">
        <f>IF(U3=0,"",ROUND(AD3/U3*100,1))</f>
        <v/>
      </c>
      <c r="AF3" s="29">
        <f>AB3-AD3</f>
        <v/>
      </c>
      <c r="AG3" s="27">
        <f>IF(U3=0,"",ROUND((AB3-AD3)/U3*100,1))</f>
        <v/>
      </c>
      <c r="AH3" s="34" t="inlineStr">
        <is>
          <t>NO TOTALS — list prints none; check page</t>
        </is>
      </c>
      <c r="AI3" s="31" t="inlineStr">
        <is>
          <t>https://assistjud.com.br/wp-content/uploads/elementor/forms/65098c80a5824.pdf</t>
        </is>
      </c>
      <c r="AJ3" s="30" t="inlineStr">
        <is>
          <t>p10 r4; p19 r8</t>
        </is>
      </c>
      <c r="AK3" s="30" t="inlineStr">
        <is>
          <t>p10: R$ 32.731.819,08; p19: R$ 31.981.695,98</t>
        </is>
      </c>
      <c r="AL3" s="30" t="inlineStr">
        <is>
          <t>AJ list (art. 7 §2)</t>
        </is>
      </c>
      <c r="AM3" s="30" t="inlineStr">
        <is>
          <t>2023-09-18</t>
        </is>
      </c>
      <c r="AN3" s="30" t="inlineStr">
        <is>
          <t>NONE FOUND</t>
        </is>
      </c>
      <c r="AO3" s="32" t="inlineStr">
        <is>
          <t>8005129-09.2023.8.05.0039</t>
        </is>
      </c>
      <c r="AP3" s="32" t="inlineStr">
        <is>
          <t>TJBA</t>
        </is>
      </c>
      <c r="AQ3" s="32" t="inlineStr">
        <is>
          <t>Recuperação judicial</t>
        </is>
      </c>
      <c r="AR3" s="32" t="inlineStr">
        <is>
          <t>DataJud: no closure/falência movement</t>
        </is>
      </c>
      <c r="AS3" s="32" t="n">
        <v>2023</v>
      </c>
      <c r="AT3" s="32" t="inlineStr">
        <is>
          <t>live case, no plan document yet</t>
        </is>
      </c>
      <c r="AU3" s="32" t="inlineStr"/>
      <c r="AV3" s="32" t="inlineStr">
        <is>
          <t>printed on the list (read twice)</t>
        </is>
      </c>
      <c r="AW3" s="32" t="inlineStr"/>
      <c r="AX3" s="32" t="inlineStr">
        <is>
          <t>SAO PAULO</t>
        </is>
      </c>
      <c r="AY3" s="32" t="inlineStr">
        <is>
          <t>SP</t>
        </is>
      </c>
      <c r="AZ3" s="32" t="inlineStr">
        <is>
          <t>Outras atividades profissionais, científicas e técnicas não especificadas anteriormente</t>
        </is>
      </c>
      <c r="BA3" s="32" t="inlineStr">
        <is>
          <t>não ME/EPP</t>
        </is>
      </c>
      <c r="BB3" s="33" t="n">
        <v>10000000</v>
      </c>
      <c r="BC3" s="32" t="inlineStr">
        <is>
          <t>MID-MARKET</t>
        </is>
      </c>
      <c r="BD3" s="32" t="inlineStr">
        <is>
          <t>33233778</t>
        </is>
      </c>
      <c r="BE3" s="32" t="n">
        <v>2</v>
      </c>
      <c r="BF3" s="32" t="inlineStr">
        <is>
          <t>list prints no totals</t>
        </is>
      </c>
    </row>
    <row r="4">
      <c r="A4" s="17" t="inlineStr">
        <is>
          <t>IBIPORA NEGOCIOS IMOBILIARIOS S.A.</t>
        </is>
      </c>
      <c r="B4" s="18" t="n">
        <v>45075482.57</v>
      </c>
      <c r="C4" s="19" t="inlineStr">
        <is>
          <t>GRUPO EGESA (Egesa Engenharia S.A. + 9 group companies; see group members)</t>
        </is>
      </c>
      <c r="D4" s="20" t="inlineStr">
        <is>
          <t>NEW</t>
        </is>
      </c>
      <c r="E4" s="21" t="inlineStr"/>
      <c r="F4" s="20" t="inlineStr"/>
      <c r="G4" s="21" t="inlineStr"/>
      <c r="H4" s="20" t="inlineStr"/>
      <c r="I4" s="22" t="inlineStr">
        <is>
          <t>JOSE JULIO COSTA NETO</t>
        </is>
      </c>
      <c r="J4" s="23" t="inlineStr">
        <is>
          <t>Presidente (RFB partner)</t>
        </is>
      </c>
      <c r="K4" s="22" t="inlineStr">
        <is>
          <t>(31) 3586-9418</t>
        </is>
      </c>
      <c r="L4" s="22" t="inlineStr"/>
      <c r="M4" s="22" t="inlineStr"/>
      <c r="N4" s="22" t="inlineStr"/>
      <c r="O4" s="22" t="inlineStr"/>
      <c r="P4" s="22" t="inlineStr">
        <is>
          <t>BRUNA GODINHO RESENDE FERREIRA</t>
        </is>
      </c>
      <c r="Q4" s="22" t="inlineStr">
        <is>
          <t>Diretor (RFB partner)</t>
        </is>
      </c>
      <c r="R4" s="22" t="inlineStr"/>
      <c r="S4" s="22" t="inlineStr"/>
      <c r="T4" s="22" t="inlineStr">
        <is>
          <t>DM = registered partner (RFB QSA); no Apollo match</t>
        </is>
      </c>
      <c r="U4" s="24" t="n">
        <v>45075482.57</v>
      </c>
      <c r="V4" s="25" t="inlineStr">
        <is>
          <t>B</t>
        </is>
      </c>
      <c r="W4" s="26" t="inlineStr"/>
      <c r="X4" s="27" t="inlineStr"/>
      <c r="Y4" s="27" t="inlineStr"/>
      <c r="Z4" s="26">
        <f>IF(W4&lt;&gt;"",W4,IFERROR(VLOOKUP(V4,Assumptions!$A$8:$F$12,2,FALSE),0))</f>
        <v/>
      </c>
      <c r="AA4" s="28">
        <f>IF(V4="A",MAX(1,IF(X4&lt;&gt;"",X4,IFERROR(VLOOKUP(V4,Assumptions!$A$8:$F$12,3,FALSE),3))+IF(Y4&lt;&gt;"",Y4,IFERROR(VLOOKUP(V4,Assumptions!$A$8:$F$12,4,FALSE),8))/2-MAX(0,IF(AS4="",0,YEAR(TODAY())-AS4)-IFERROR(VLOOKUP(V4,Assumptions!$A$8:$F$12,5,FALSE),1.5))),IFERROR(VLOOKUP(V4,Assumptions!$A$8:$F$12,5,FALSE),2.5)+IF(X4&lt;&gt;"",X4,IFERROR(VLOOKUP(V4,Assumptions!$A$8:$F$12,3,FALSE),3))+IF(Y4&lt;&gt;"",Y4,IFERROR(VLOOKUP(V4,Assumptions!$A$8:$F$12,4,FALSE),8))/2)</f>
        <v/>
      </c>
      <c r="AB4" s="24">
        <f>U4*Z4/(1+Assumptions!$B$3)^AA4</f>
        <v/>
      </c>
      <c r="AC4" s="27">
        <f>IF(U4=0,"",ROUND(AB4/U4*100,1))</f>
        <v/>
      </c>
      <c r="AD4" s="29">
        <f>AB4*Assumptions!$B$4</f>
        <v/>
      </c>
      <c r="AE4" s="27">
        <f>IF(U4=0,"",ROUND(AD4/U4*100,1))</f>
        <v/>
      </c>
      <c r="AF4" s="29">
        <f>AB4-AD4</f>
        <v/>
      </c>
      <c r="AG4" s="27">
        <f>IF(U4=0,"",ROUND((AB4-AD4)/U4*100,1))</f>
        <v/>
      </c>
      <c r="AH4" s="30" t="inlineStr">
        <is>
          <t>OK — totals reconciled</t>
        </is>
      </c>
      <c r="AI4" s="31" t="inlineStr">
        <is>
          <t>https://scalzilliaj.com.br/sgc/download.php?file=files/processo_documento/processo_documento09514021082025_1_.pdf&amp;nome=04 - Relação de credores das Recuperandas</t>
        </is>
      </c>
      <c r="AJ4" s="30" t="inlineStr">
        <is>
          <t>p68 r4</t>
        </is>
      </c>
      <c r="AK4" s="30" t="inlineStr">
        <is>
          <t>p68: R$ 45.075.482,57</t>
        </is>
      </c>
      <c r="AL4" s="30" t="inlineStr">
        <is>
          <t>Debtor list (art. 51)</t>
        </is>
      </c>
      <c r="AM4" s="30" t="inlineStr"/>
      <c r="AN4" s="30" t="inlineStr">
        <is>
          <t>NONE FOUND</t>
        </is>
      </c>
      <c r="AO4" s="32" t="inlineStr">
        <is>
          <t>5088952-81.2025.8.13.0024</t>
        </is>
      </c>
      <c r="AP4" s="32" t="inlineStr">
        <is>
          <t>TJMG</t>
        </is>
      </c>
      <c r="AQ4" s="32" t="inlineStr"/>
      <c r="AR4" s="32" t="inlineStr">
        <is>
          <t>DataJud: no closure/falência movement</t>
        </is>
      </c>
      <c r="AS4" s="32" t="n">
        <v>2025</v>
      </c>
      <c r="AT4" s="32" t="inlineStr">
        <is>
          <t>live case, no plan document yet; case no. from the portal record, not printed on the list</t>
        </is>
      </c>
      <c r="AU4" s="32" t="inlineStr"/>
      <c r="AV4" s="32" t="inlineStr">
        <is>
          <t>portal page title / URL — not printed on the list</t>
        </is>
      </c>
      <c r="AW4" s="32" t="inlineStr"/>
      <c r="AX4" s="32" t="inlineStr">
        <is>
          <t>NOVA LIMA</t>
        </is>
      </c>
      <c r="AY4" s="32" t="inlineStr">
        <is>
          <t>MG</t>
        </is>
      </c>
      <c r="AZ4" s="32" t="inlineStr">
        <is>
          <t>Compra e venda de imóveis próprios</t>
        </is>
      </c>
      <c r="BA4" s="32" t="inlineStr">
        <is>
          <t>não ME/EPP</t>
        </is>
      </c>
      <c r="BB4" s="33" t="n">
        <v>531905</v>
      </c>
      <c r="BC4" s="32" t="inlineStr">
        <is>
          <t>MID-MARKET</t>
        </is>
      </c>
      <c r="BD4" s="32" t="inlineStr">
        <is>
          <t>19256534</t>
        </is>
      </c>
      <c r="BE4" s="32" t="n">
        <v>1</v>
      </c>
      <c r="BF4" s="32" t="inlineStr">
        <is>
          <t>case no. corrected by reader case no. from portal record</t>
        </is>
      </c>
    </row>
    <row r="5">
      <c r="A5" s="17" t="inlineStr">
        <is>
          <t>COMPANHIA ESTADUAL DE DISTRIBUICAO DE ENERGIA ELETRICA - CEEE-D</t>
        </is>
      </c>
      <c r="B5" s="18" t="n">
        <v>31446843.91</v>
      </c>
      <c r="C5" s="19" t="inlineStr">
        <is>
          <t>ASSOCIAÇÃO DE CARIDADE SANTA CASA DO RIO GRANDE</t>
        </is>
      </c>
      <c r="D5" s="20" t="inlineStr">
        <is>
          <t>NEW</t>
        </is>
      </c>
      <c r="E5" s="21" t="inlineStr"/>
      <c r="F5" s="20" t="inlineStr"/>
      <c r="G5" s="21" t="inlineStr"/>
      <c r="H5" s="20" t="inlineStr"/>
      <c r="I5" s="22" t="inlineStr">
        <is>
          <t>Willian Maeda</t>
        </is>
      </c>
      <c r="J5" s="22" t="inlineStr">
        <is>
          <t>Gerente de Planejamento e Controle Financeiro - CEEE Equatorial</t>
        </is>
      </c>
      <c r="K5" s="22" t="inlineStr">
        <is>
          <t>(98) 3217-8000</t>
        </is>
      </c>
      <c r="L5" s="22" t="inlineStr"/>
      <c r="M5" s="22" t="inlineStr"/>
      <c r="N5" s="22" t="inlineStr">
        <is>
          <t>willian.maeda@equatorialenergia.com.br</t>
        </is>
      </c>
      <c r="O5" s="22" t="inlineStr">
        <is>
          <t>verified</t>
        </is>
      </c>
      <c r="P5" s="22" t="inlineStr">
        <is>
          <t>RIBERTO JOSE BARBANERA</t>
        </is>
      </c>
      <c r="Q5" s="22" t="inlineStr">
        <is>
          <t>Presidente (RFB partner)</t>
        </is>
      </c>
      <c r="R5" s="22" t="inlineStr"/>
      <c r="S5" s="22" t="inlineStr"/>
      <c r="T5" s="22" t="inlineStr">
        <is>
          <t>DM: has_email, phone Yes; large corp/utility; only technicians in plain search — needs seniority pass; VERIFY org: Apollo has this person at 'Grupo Equatorial'</t>
        </is>
      </c>
      <c r="U5" s="24" t="n">
        <v>31446843.91</v>
      </c>
      <c r="V5" s="25" t="inlineStr">
        <is>
          <t>B</t>
        </is>
      </c>
      <c r="W5" s="26" t="inlineStr"/>
      <c r="X5" s="27" t="inlineStr"/>
      <c r="Y5" s="27" t="inlineStr"/>
      <c r="Z5" s="26">
        <f>IF(W5&lt;&gt;"",W5,IFERROR(VLOOKUP(V5,Assumptions!$A$8:$F$12,2,FALSE),0))</f>
        <v/>
      </c>
      <c r="AA5" s="28">
        <f>IF(V5="A",MAX(1,IF(X5&lt;&gt;"",X5,IFERROR(VLOOKUP(V5,Assumptions!$A$8:$F$12,3,FALSE),3))+IF(Y5&lt;&gt;"",Y5,IFERROR(VLOOKUP(V5,Assumptions!$A$8:$F$12,4,FALSE),8))/2-MAX(0,IF(AS5="",0,YEAR(TODAY())-AS5)-IFERROR(VLOOKUP(V5,Assumptions!$A$8:$F$12,5,FALSE),1.5))),IFERROR(VLOOKUP(V5,Assumptions!$A$8:$F$12,5,FALSE),2.5)+IF(X5&lt;&gt;"",X5,IFERROR(VLOOKUP(V5,Assumptions!$A$8:$F$12,3,FALSE),3))+IF(Y5&lt;&gt;"",Y5,IFERROR(VLOOKUP(V5,Assumptions!$A$8:$F$12,4,FALSE),8))/2)</f>
        <v/>
      </c>
      <c r="AB5" s="24">
        <f>U5*Z5/(1+Assumptions!$B$3)^AA5</f>
        <v/>
      </c>
      <c r="AC5" s="27">
        <f>IF(U5=0,"",ROUND(AB5/U5*100,1))</f>
        <v/>
      </c>
      <c r="AD5" s="29">
        <f>AB5*Assumptions!$B$4</f>
        <v/>
      </c>
      <c r="AE5" s="27">
        <f>IF(U5=0,"",ROUND(AD5/U5*100,1))</f>
        <v/>
      </c>
      <c r="AF5" s="29">
        <f>AB5-AD5</f>
        <v/>
      </c>
      <c r="AG5" s="27">
        <f>IF(U5=0,"",ROUND((AB5-AD5)/U5*100,1))</f>
        <v/>
      </c>
      <c r="AH5" s="34" t="inlineStr">
        <is>
          <t>NO TOTALS — list prints none; check page</t>
        </is>
      </c>
      <c r="AI5" s="31" t="inlineStr">
        <is>
          <t>https://scalzilliaj.com.br/sgc/download.php?file=files/processo_documento/processo_documento09120721032023_1_.pdf&amp;nome=15 - Edital do art. 7º, §2º e 53 da Lei 11.101/2005 (segunda lista de credores e recebimento do plano))</t>
        </is>
      </c>
      <c r="AJ5" s="30" t="inlineStr">
        <is>
          <t>p26 r26</t>
        </is>
      </c>
      <c r="AK5" s="30" t="inlineStr">
        <is>
          <t>p26: R$ 31.446.843,91</t>
        </is>
      </c>
      <c r="AL5" s="30" t="inlineStr">
        <is>
          <t>AJ list (art. 7 §2)</t>
        </is>
      </c>
      <c r="AM5" s="30" t="inlineStr">
        <is>
          <t>2023-03-21</t>
        </is>
      </c>
      <c r="AN5" s="30" t="inlineStr">
        <is>
          <t>NONE FOUND</t>
        </is>
      </c>
      <c r="AO5" s="32" t="inlineStr">
        <is>
          <t>5012306-16.2022.8.21.0023</t>
        </is>
      </c>
      <c r="AP5" s="32" t="inlineStr">
        <is>
          <t>TJRS</t>
        </is>
      </c>
      <c r="AQ5" s="32" t="inlineStr">
        <is>
          <t>Recuperação judicial</t>
        </is>
      </c>
      <c r="AR5" s="32" t="inlineStr">
        <is>
          <t>DataJud: no closure/falência movement</t>
        </is>
      </c>
      <c r="AS5" s="32" t="n">
        <v>2022</v>
      </c>
      <c r="AT5" s="32" t="inlineStr">
        <is>
          <t>live case, no plan document yet; atypical debtor (associação/clube/hospital/produtor rural): admissibility or claim subjection may be contested</t>
        </is>
      </c>
      <c r="AU5" s="32" t="inlineStr"/>
      <c r="AV5" s="32" t="inlineStr">
        <is>
          <t>printed on the list (read twice)</t>
        </is>
      </c>
      <c r="AW5" s="32" t="inlineStr"/>
      <c r="AX5" s="32" t="inlineStr">
        <is>
          <t>PORTO ALEGRE</t>
        </is>
      </c>
      <c r="AY5" s="32" t="inlineStr">
        <is>
          <t>RS</t>
        </is>
      </c>
      <c r="AZ5" s="32" t="inlineStr">
        <is>
          <t>Distribuição de energia elétrica</t>
        </is>
      </c>
      <c r="BA5" s="32" t="inlineStr">
        <is>
          <t>não ME/EPP</t>
        </is>
      </c>
      <c r="BB5" s="33" t="n">
        <v>3385861000</v>
      </c>
      <c r="BC5" s="32" t="inlineStr">
        <is>
          <t>LARGE CORP</t>
        </is>
      </c>
      <c r="BD5" s="32" t="inlineStr">
        <is>
          <t>08467115</t>
        </is>
      </c>
      <c r="BE5" s="32" t="n">
        <v>1</v>
      </c>
      <c r="BF5" s="32" t="inlineStr">
        <is>
          <t>list prints no totals</t>
        </is>
      </c>
    </row>
    <row r="6">
      <c r="A6" s="17" t="inlineStr">
        <is>
          <t>HYPERA S.A.</t>
        </is>
      </c>
      <c r="B6" s="18" t="n">
        <v>25912507.68</v>
      </c>
      <c r="C6" s="19" t="inlineStr">
        <is>
          <t>GRUPO DP4</t>
        </is>
      </c>
      <c r="D6" s="20" t="inlineStr">
        <is>
          <t>NEW</t>
        </is>
      </c>
      <c r="E6" s="21" t="inlineStr"/>
      <c r="F6" s="20" t="inlineStr"/>
      <c r="G6" s="21" t="inlineStr"/>
      <c r="H6" s="20" t="inlineStr"/>
      <c r="I6" s="22" t="inlineStr">
        <is>
          <t>BRENO TOLEDO PIRES DE OLIVEIRA</t>
        </is>
      </c>
      <c r="J6" s="23" t="inlineStr">
        <is>
          <t>Presidente (RFB partner)</t>
        </is>
      </c>
      <c r="K6" s="22" t="inlineStr">
        <is>
          <t>(62) 3878-8150</t>
        </is>
      </c>
      <c r="L6" s="22" t="inlineStr"/>
      <c r="M6" s="22" t="inlineStr"/>
      <c r="N6" s="22" t="inlineStr"/>
      <c r="O6" s="22" t="inlineStr"/>
      <c r="P6" s="22" t="inlineStr">
        <is>
          <t>ADALMARIO GHOVATTO SATHELER DO COUTO</t>
        </is>
      </c>
      <c r="Q6" s="22" t="inlineStr">
        <is>
          <t>Diretor (RFB partner)</t>
        </is>
      </c>
      <c r="R6" s="22" t="inlineStr"/>
      <c r="S6" s="22" t="inlineStr"/>
      <c r="T6" s="22" t="inlineStr">
        <is>
          <t>DM = registered partner (RFB QSA); no Apollo match</t>
        </is>
      </c>
      <c r="U6" s="24" t="n">
        <v>25912507.68</v>
      </c>
      <c r="V6" s="25" t="inlineStr">
        <is>
          <t>B</t>
        </is>
      </c>
      <c r="W6" s="26" t="inlineStr"/>
      <c r="X6" s="27" t="inlineStr"/>
      <c r="Y6" s="27" t="inlineStr"/>
      <c r="Z6" s="26">
        <f>IF(W6&lt;&gt;"",W6,IFERROR(VLOOKUP(V6,Assumptions!$A$8:$F$12,2,FALSE),0))</f>
        <v/>
      </c>
      <c r="AA6" s="28">
        <f>IF(V6="A",MAX(1,IF(X6&lt;&gt;"",X6,IFERROR(VLOOKUP(V6,Assumptions!$A$8:$F$12,3,FALSE),3))+IF(Y6&lt;&gt;"",Y6,IFERROR(VLOOKUP(V6,Assumptions!$A$8:$F$12,4,FALSE),8))/2-MAX(0,IF(AS6="",0,YEAR(TODAY())-AS6)-IFERROR(VLOOKUP(V6,Assumptions!$A$8:$F$12,5,FALSE),1.5))),IFERROR(VLOOKUP(V6,Assumptions!$A$8:$F$12,5,FALSE),2.5)+IF(X6&lt;&gt;"",X6,IFERROR(VLOOKUP(V6,Assumptions!$A$8:$F$12,3,FALSE),3))+IF(Y6&lt;&gt;"",Y6,IFERROR(VLOOKUP(V6,Assumptions!$A$8:$F$12,4,FALSE),8))/2)</f>
        <v/>
      </c>
      <c r="AB6" s="24">
        <f>U6*Z6/(1+Assumptions!$B$3)^AA6</f>
        <v/>
      </c>
      <c r="AC6" s="27">
        <f>IF(U6=0,"",ROUND(AB6/U6*100,1))</f>
        <v/>
      </c>
      <c r="AD6" s="29">
        <f>AB6*Assumptions!$B$4</f>
        <v/>
      </c>
      <c r="AE6" s="27">
        <f>IF(U6=0,"",ROUND(AD6/U6*100,1))</f>
        <v/>
      </c>
      <c r="AF6" s="29">
        <f>AB6-AD6</f>
        <v/>
      </c>
      <c r="AG6" s="27">
        <f>IF(U6=0,"",ROUND((AB6-AD6)/U6*100,1))</f>
        <v/>
      </c>
      <c r="AH6" s="35" t="inlineStr">
        <is>
          <t>PARTIAL — class III reconciled, other classes not</t>
        </is>
      </c>
      <c r="AI6" s="31" t="inlineStr">
        <is>
          <t>https://marquesadmjudicial.com.br/sgc/download.php?file=files/processo_documento/processo_documento15293208032024_1_.pdf&amp;nome=Relação Nominal de Credores da AJ-Sintética</t>
        </is>
      </c>
      <c r="AJ6" s="30" t="inlineStr">
        <is>
          <t>p26 r9</t>
        </is>
      </c>
      <c r="AK6" s="30" t="inlineStr">
        <is>
          <t>p26: R$ 25.912.507,68</t>
        </is>
      </c>
      <c r="AL6" s="30" t="inlineStr">
        <is>
          <t>AJ list (art. 7 §2)</t>
        </is>
      </c>
      <c r="AM6" s="30" t="inlineStr">
        <is>
          <t>2023-03-02</t>
        </is>
      </c>
      <c r="AN6" s="30" t="inlineStr">
        <is>
          <t>NONE FOUND</t>
        </is>
      </c>
      <c r="AO6" s="32" t="inlineStr">
        <is>
          <t>0005010-98.2023.8.16.0001</t>
        </is>
      </c>
      <c r="AP6" s="32" t="inlineStr">
        <is>
          <t>TJPR</t>
        </is>
      </c>
      <c r="AQ6" s="32" t="inlineStr">
        <is>
          <t>Recuperação judicial</t>
        </is>
      </c>
      <c r="AR6" s="32" t="inlineStr">
        <is>
          <t>DataJud: no closure/falência movement</t>
        </is>
      </c>
      <c r="AS6" s="32" t="n">
        <v>2023</v>
      </c>
      <c r="AT6" s="32" t="inlineStr">
        <is>
          <t>live case, no plan document yet</t>
        </is>
      </c>
      <c r="AU6" s="32" t="inlineStr"/>
      <c r="AV6" s="32" t="inlineStr">
        <is>
          <t>printed on the list (read twice)</t>
        </is>
      </c>
      <c r="AW6" s="32" t="inlineStr"/>
      <c r="AX6" s="32" t="inlineStr">
        <is>
          <t>SAO PAULO</t>
        </is>
      </c>
      <c r="AY6" s="32" t="inlineStr">
        <is>
          <t>SP</t>
        </is>
      </c>
      <c r="AZ6" s="32" t="inlineStr">
        <is>
          <t>Comércio atacadista de medicamentos e drogas de uso humano</t>
        </is>
      </c>
      <c r="BA6" s="32" t="inlineStr">
        <is>
          <t>não ME/EPP</t>
        </is>
      </c>
      <c r="BB6" s="33" t="n">
        <v>11205886000</v>
      </c>
      <c r="BC6" s="32" t="inlineStr">
        <is>
          <t>LARGE CORP</t>
        </is>
      </c>
      <c r="BD6" s="32" t="inlineStr">
        <is>
          <t>02932074</t>
        </is>
      </c>
      <c r="BE6" s="32" t="n">
        <v>1</v>
      </c>
      <c r="BF6" s="32" t="inlineStr">
        <is>
          <t>class III reconciled (doc partial)</t>
        </is>
      </c>
    </row>
    <row r="7">
      <c r="A7" s="17" t="inlineStr">
        <is>
          <t>ADLIM-TERCEIRIZACAO EM SERVICOS LTDA - EM RECUPERACAO JUDICIAL</t>
        </is>
      </c>
      <c r="B7" s="18" t="n">
        <v>20647588.14</v>
      </c>
      <c r="C7" s="19" t="inlineStr">
        <is>
          <t>GRUPO ADLIM</t>
        </is>
      </c>
      <c r="D7" s="20" t="inlineStr">
        <is>
          <t>NEW</t>
        </is>
      </c>
      <c r="E7" s="21" t="inlineStr"/>
      <c r="F7" s="20" t="inlineStr"/>
      <c r="G7" s="21" t="inlineStr"/>
      <c r="H7" s="20" t="inlineStr"/>
      <c r="I7" s="22" t="inlineStr">
        <is>
          <t>JONAS ALVARENGA DA SILVA</t>
        </is>
      </c>
      <c r="J7" s="23" t="inlineStr">
        <is>
          <t>Sócio-Administrador (RFB partner)</t>
        </is>
      </c>
      <c r="K7" s="22" t="inlineStr"/>
      <c r="L7" s="22" t="inlineStr"/>
      <c r="M7" s="22" t="inlineStr"/>
      <c r="N7" s="22" t="inlineStr"/>
      <c r="O7" s="22" t="inlineStr"/>
      <c r="P7" s="22" t="inlineStr">
        <is>
          <t>Santana Leoterio</t>
        </is>
      </c>
      <c r="Q7" s="22" t="inlineStr">
        <is>
          <t>Analyst</t>
        </is>
      </c>
      <c r="R7" s="22" t="inlineStr"/>
      <c r="S7" s="22" t="inlineStr">
        <is>
          <t>santana.leoterio@adlim.com.br</t>
        </is>
      </c>
      <c r="T7" s="22" t="inlineStr">
        <is>
          <t>DM = registered partner (RFB QSA); Apollo pick demoted to backup (non-finance role); BACKUP: weak, has_email</t>
        </is>
      </c>
      <c r="U7" s="24" t="n">
        <v>20647588.14</v>
      </c>
      <c r="V7" s="25" t="inlineStr">
        <is>
          <t>B</t>
        </is>
      </c>
      <c r="W7" s="26" t="inlineStr"/>
      <c r="X7" s="27" t="inlineStr"/>
      <c r="Y7" s="27" t="inlineStr"/>
      <c r="Z7" s="26">
        <f>IF(W7&lt;&gt;"",W7,IFERROR(VLOOKUP(V7,Assumptions!$A$8:$F$12,2,FALSE),0))</f>
        <v/>
      </c>
      <c r="AA7" s="28">
        <f>IF(V7="A",MAX(1,IF(X7&lt;&gt;"",X7,IFERROR(VLOOKUP(V7,Assumptions!$A$8:$F$12,3,FALSE),3))+IF(Y7&lt;&gt;"",Y7,IFERROR(VLOOKUP(V7,Assumptions!$A$8:$F$12,4,FALSE),8))/2-MAX(0,IF(AS7="",0,YEAR(TODAY())-AS7)-IFERROR(VLOOKUP(V7,Assumptions!$A$8:$F$12,5,FALSE),1.5))),IFERROR(VLOOKUP(V7,Assumptions!$A$8:$F$12,5,FALSE),2.5)+IF(X7&lt;&gt;"",X7,IFERROR(VLOOKUP(V7,Assumptions!$A$8:$F$12,3,FALSE),3))+IF(Y7&lt;&gt;"",Y7,IFERROR(VLOOKUP(V7,Assumptions!$A$8:$F$12,4,FALSE),8))/2)</f>
        <v/>
      </c>
      <c r="AB7" s="24">
        <f>U7*Z7/(1+Assumptions!$B$3)^AA7</f>
        <v/>
      </c>
      <c r="AC7" s="27">
        <f>IF(U7=0,"",ROUND(AB7/U7*100,1))</f>
        <v/>
      </c>
      <c r="AD7" s="29">
        <f>AB7*Assumptions!$B$4</f>
        <v/>
      </c>
      <c r="AE7" s="27">
        <f>IF(U7=0,"",ROUND(AD7/U7*100,1))</f>
        <v/>
      </c>
      <c r="AF7" s="29">
        <f>AB7-AD7</f>
        <v/>
      </c>
      <c r="AG7" s="27">
        <f>IF(U7=0,"",ROUND((AB7-AD7)/U7*100,1))</f>
        <v/>
      </c>
      <c r="AH7" s="35" t="inlineStr">
        <is>
          <t>PARTIAL — class III reconciled, other classes not</t>
        </is>
      </c>
      <c r="AI7" s="31" t="inlineStr">
        <is>
          <t>https://lrflideres.com.br/wp-content/plugins/download-attachments/includes/download.php?id=6051</t>
        </is>
      </c>
      <c r="AJ7" s="30" t="inlineStr">
        <is>
          <t>p85 r37; p97 r26</t>
        </is>
      </c>
      <c r="AK7" s="30" t="inlineStr">
        <is>
          <t>p85: R$ 13674501,07; p97: R$ 6973087,07</t>
        </is>
      </c>
      <c r="AL7" s="30" t="inlineStr">
        <is>
          <t>AJ list (art. 7 §2)</t>
        </is>
      </c>
      <c r="AM7" s="30" t="inlineStr">
        <is>
          <t>2024-08-12</t>
        </is>
      </c>
      <c r="AN7" s="30" t="inlineStr">
        <is>
          <t>NONE FOUND</t>
        </is>
      </c>
      <c r="AO7" s="32" t="inlineStr">
        <is>
          <t>0019761-43.2024.8.17.2001</t>
        </is>
      </c>
      <c r="AP7" s="32" t="inlineStr">
        <is>
          <t>TJPE</t>
        </is>
      </c>
      <c r="AQ7" s="32" t="inlineStr">
        <is>
          <t>Recuperação judicial</t>
        </is>
      </c>
      <c r="AR7" s="32" t="inlineStr">
        <is>
          <t>DataJud: no closure/falência movement</t>
        </is>
      </c>
      <c r="AS7" s="32" t="n">
        <v>2024</v>
      </c>
      <c r="AT7" s="32" t="inlineStr">
        <is>
          <t>live case, no plan document yet</t>
        </is>
      </c>
      <c r="AU7" s="32" t="inlineStr"/>
      <c r="AV7" s="32" t="inlineStr">
        <is>
          <t>printed on the list (read twice)</t>
        </is>
      </c>
      <c r="AW7" s="32" t="inlineStr"/>
      <c r="AX7" s="32" t="inlineStr">
        <is>
          <t>BEZERROS</t>
        </is>
      </c>
      <c r="AY7" s="32" t="inlineStr">
        <is>
          <t>PE</t>
        </is>
      </c>
      <c r="AZ7" s="32" t="inlineStr">
        <is>
          <t>Fornecimento e gestão de recursos humanos para terceiros</t>
        </is>
      </c>
      <c r="BA7" s="32" t="inlineStr">
        <is>
          <t>não ME/EPP</t>
        </is>
      </c>
      <c r="BB7" s="33" t="n">
        <v>5000000</v>
      </c>
      <c r="BC7" s="32" t="inlineStr">
        <is>
          <t>MID-MARKET</t>
        </is>
      </c>
      <c r="BD7" s="32" t="inlineStr">
        <is>
          <t>11436813</t>
        </is>
      </c>
      <c r="BE7" s="32" t="n">
        <v>2</v>
      </c>
      <c r="BF7" s="32" t="inlineStr">
        <is>
          <t>class III reconciled (doc partial)</t>
        </is>
      </c>
    </row>
    <row r="8">
      <c r="A8" s="17" t="inlineStr">
        <is>
          <t>KLT PARTICIPACOES SA</t>
        </is>
      </c>
      <c r="B8" s="18" t="n">
        <v>20417361.13</v>
      </c>
      <c r="C8" s="19" t="inlineStr">
        <is>
          <t>Grupo Rech</t>
        </is>
      </c>
      <c r="D8" s="20" t="inlineStr">
        <is>
          <t>NEW</t>
        </is>
      </c>
      <c r="E8" s="21" t="inlineStr"/>
      <c r="F8" s="20" t="inlineStr"/>
      <c r="G8" s="21" t="inlineStr"/>
      <c r="H8" s="20" t="inlineStr"/>
      <c r="I8" s="22" t="inlineStr">
        <is>
          <t>GILBERTO RECH</t>
        </is>
      </c>
      <c r="J8" s="23" t="inlineStr">
        <is>
          <t>Presidente (RFB partner)</t>
        </is>
      </c>
      <c r="K8" s="22" t="inlineStr">
        <is>
          <t>(47) 3062-8301</t>
        </is>
      </c>
      <c r="L8" s="22" t="inlineStr"/>
      <c r="M8" s="22" t="inlineStr"/>
      <c r="N8" s="22" t="inlineStr"/>
      <c r="O8" s="22" t="inlineStr"/>
      <c r="P8" s="22" t="inlineStr">
        <is>
          <t>DENIZE CRISTINA MARTINS RECH</t>
        </is>
      </c>
      <c r="Q8" s="22" t="inlineStr">
        <is>
          <t>Diretor (RFB partner)</t>
        </is>
      </c>
      <c r="R8" s="22" t="inlineStr"/>
      <c r="S8" s="22" t="inlineStr"/>
      <c r="T8" s="22" t="inlineStr">
        <is>
          <t>DM = registered partner (RFB QSA); no Apollo match</t>
        </is>
      </c>
      <c r="U8" s="24" t="n">
        <v>20417361.13</v>
      </c>
      <c r="V8" s="25" t="inlineStr">
        <is>
          <t>B</t>
        </is>
      </c>
      <c r="W8" s="26" t="inlineStr"/>
      <c r="X8" s="27" t="inlineStr"/>
      <c r="Y8" s="27" t="inlineStr"/>
      <c r="Z8" s="26">
        <f>IF(W8&lt;&gt;"",W8,IFERROR(VLOOKUP(V8,Assumptions!$A$8:$F$12,2,FALSE),0))</f>
        <v/>
      </c>
      <c r="AA8" s="28">
        <f>IF(V8="A",MAX(1,IF(X8&lt;&gt;"",X8,IFERROR(VLOOKUP(V8,Assumptions!$A$8:$F$12,3,FALSE),3))+IF(Y8&lt;&gt;"",Y8,IFERROR(VLOOKUP(V8,Assumptions!$A$8:$F$12,4,FALSE),8))/2-MAX(0,IF(AS8="",0,YEAR(TODAY())-AS8)-IFERROR(VLOOKUP(V8,Assumptions!$A$8:$F$12,5,FALSE),1.5))),IFERROR(VLOOKUP(V8,Assumptions!$A$8:$F$12,5,FALSE),2.5)+IF(X8&lt;&gt;"",X8,IFERROR(VLOOKUP(V8,Assumptions!$A$8:$F$12,3,FALSE),3))+IF(Y8&lt;&gt;"",Y8,IFERROR(VLOOKUP(V8,Assumptions!$A$8:$F$12,4,FALSE),8))/2)</f>
        <v/>
      </c>
      <c r="AB8" s="24">
        <f>U8*Z8/(1+Assumptions!$B$3)^AA8</f>
        <v/>
      </c>
      <c r="AC8" s="27">
        <f>IF(U8=0,"",ROUND(AB8/U8*100,1))</f>
        <v/>
      </c>
      <c r="AD8" s="29">
        <f>AB8*Assumptions!$B$4</f>
        <v/>
      </c>
      <c r="AE8" s="27">
        <f>IF(U8=0,"",ROUND(AD8/U8*100,1))</f>
        <v/>
      </c>
      <c r="AF8" s="29">
        <f>AB8-AD8</f>
        <v/>
      </c>
      <c r="AG8" s="27">
        <f>IF(U8=0,"",ROUND((AB8-AD8)/U8*100,1))</f>
        <v/>
      </c>
      <c r="AH8" s="36" t="inlineStr">
        <is>
          <t>CHECK — source is not a statutory creditor list</t>
        </is>
      </c>
      <c r="AI8" s="31" t="inlineStr">
        <is>
          <t>https://credibilita.com.br/wp-content/uploads/2025/09/Relacao-Credores-29.04.2026.pdf</t>
        </is>
      </c>
      <c r="AJ8" s="30" t="inlineStr">
        <is>
          <t>p1 r31</t>
        </is>
      </c>
      <c r="AK8" s="30" t="inlineStr">
        <is>
          <t>p1: R$ 20.417.361,13</t>
        </is>
      </c>
      <c r="AL8" s="30" t="inlineStr">
        <is>
          <t>Quorum list — NOT an art. 7/51 list</t>
        </is>
      </c>
      <c r="AM8" s="30" t="inlineStr"/>
      <c r="AN8" s="30" t="inlineStr">
        <is>
          <t>NONE FOUND</t>
        </is>
      </c>
      <c r="AO8" s="32" t="inlineStr">
        <is>
          <t>5057720-48.2025.8.24.0023</t>
        </is>
      </c>
      <c r="AP8" s="32" t="inlineStr">
        <is>
          <t>TJSC</t>
        </is>
      </c>
      <c r="AQ8" s="32" t="inlineStr"/>
      <c r="AR8" s="32" t="inlineStr">
        <is>
          <t>not in DataJud</t>
        </is>
      </c>
      <c r="AS8" s="32" t="n">
        <v>2025</v>
      </c>
      <c r="AT8" s="32" t="inlineStr">
        <is>
          <t>live case, no plan document yet; case no. from the portal record, not printed on the list</t>
        </is>
      </c>
      <c r="AU8" s="32" t="inlineStr"/>
      <c r="AV8" s="32" t="inlineStr">
        <is>
          <t>portal page title / URL — not printed on the list</t>
        </is>
      </c>
      <c r="AW8" s="32" t="inlineStr"/>
      <c r="AX8" s="32" t="inlineStr">
        <is>
          <t>ITAJAI</t>
        </is>
      </c>
      <c r="AY8" s="32" t="inlineStr">
        <is>
          <t>SC</t>
        </is>
      </c>
      <c r="AZ8" s="32" t="inlineStr">
        <is>
          <t>Holdings de instituições não-financeiras</t>
        </is>
      </c>
      <c r="BA8" s="32" t="inlineStr">
        <is>
          <t>não ME/EPP</t>
        </is>
      </c>
      <c r="BB8" s="33" t="n">
        <v>21290322</v>
      </c>
      <c r="BC8" s="32" t="inlineStr">
        <is>
          <t>MID-MARKET</t>
        </is>
      </c>
      <c r="BD8" s="32" t="inlineStr">
        <is>
          <t>11303092</t>
        </is>
      </c>
      <c r="BE8" s="32" t="n">
        <v>1</v>
      </c>
      <c r="BF8" s="32" t="inlineStr">
        <is>
          <t>list prints no totals case no. corrected by reader</t>
        </is>
      </c>
    </row>
    <row r="9">
      <c r="A9" s="17" t="inlineStr">
        <is>
          <t>SPC BRASIL S.A.</t>
        </is>
      </c>
      <c r="B9" s="18" t="n">
        <v>18875473.82</v>
      </c>
      <c r="C9" s="19" t="inlineStr">
        <is>
          <t>GRUPO GLP</t>
        </is>
      </c>
      <c r="D9" s="20" t="inlineStr">
        <is>
          <t>NEW</t>
        </is>
      </c>
      <c r="E9" s="21" t="inlineStr"/>
      <c r="F9" s="20" t="inlineStr"/>
      <c r="G9" s="21" t="inlineStr"/>
      <c r="H9" s="20" t="inlineStr"/>
      <c r="I9" s="22" t="inlineStr">
        <is>
          <t>Yago Nunes</t>
        </is>
      </c>
      <c r="J9" s="22" t="inlineStr">
        <is>
          <t>Analista de Controladoria e Pricing Sênior</t>
        </is>
      </c>
      <c r="K9" s="22" t="inlineStr">
        <is>
          <t>(11) 3549-6800</t>
        </is>
      </c>
      <c r="L9" s="22" t="inlineStr"/>
      <c r="M9" s="22" t="inlineStr"/>
      <c r="N9" s="22" t="inlineStr">
        <is>
          <t>yago.nunes@spcbrasil.com.br</t>
        </is>
      </c>
      <c r="O9" s="22" t="inlineStr">
        <is>
          <t>verified</t>
        </is>
      </c>
      <c r="P9" s="22" t="inlineStr">
        <is>
          <t>Marcio Bauer</t>
        </is>
      </c>
      <c r="Q9" s="22" t="inlineStr">
        <is>
          <t>Head Comercial Sul no SPC Brasil</t>
        </is>
      </c>
      <c r="R9" s="22" t="inlineStr"/>
      <c r="S9" s="22" t="inlineStr">
        <is>
          <t>marcio.bauer@spcbrasil.com.br</t>
        </is>
      </c>
      <c r="T9" s="22" t="inlineStr">
        <is>
          <t>DM: has_email; BACKUP: backup</t>
        </is>
      </c>
      <c r="U9" s="24" t="n">
        <v>18875473.82</v>
      </c>
      <c r="V9" s="25" t="inlineStr">
        <is>
          <t>B</t>
        </is>
      </c>
      <c r="W9" s="26" t="inlineStr"/>
      <c r="X9" s="27" t="inlineStr"/>
      <c r="Y9" s="27" t="inlineStr"/>
      <c r="Z9" s="26">
        <f>IF(W9&lt;&gt;"",W9,IFERROR(VLOOKUP(V9,Assumptions!$A$8:$F$12,2,FALSE),0))</f>
        <v/>
      </c>
      <c r="AA9" s="28">
        <f>IF(V9="A",MAX(1,IF(X9&lt;&gt;"",X9,IFERROR(VLOOKUP(V9,Assumptions!$A$8:$F$12,3,FALSE),3))+IF(Y9&lt;&gt;"",Y9,IFERROR(VLOOKUP(V9,Assumptions!$A$8:$F$12,4,FALSE),8))/2-MAX(0,IF(AS9="",0,YEAR(TODAY())-AS9)-IFERROR(VLOOKUP(V9,Assumptions!$A$8:$F$12,5,FALSE),1.5))),IFERROR(VLOOKUP(V9,Assumptions!$A$8:$F$12,5,FALSE),2.5)+IF(X9&lt;&gt;"",X9,IFERROR(VLOOKUP(V9,Assumptions!$A$8:$F$12,3,FALSE),3))+IF(Y9&lt;&gt;"",Y9,IFERROR(VLOOKUP(V9,Assumptions!$A$8:$F$12,4,FALSE),8))/2)</f>
        <v/>
      </c>
      <c r="AB9" s="24">
        <f>U9*Z9/(1+Assumptions!$B$3)^AA9</f>
        <v/>
      </c>
      <c r="AC9" s="27">
        <f>IF(U9=0,"",ROUND(AB9/U9*100,1))</f>
        <v/>
      </c>
      <c r="AD9" s="29">
        <f>AB9*Assumptions!$B$4</f>
        <v/>
      </c>
      <c r="AE9" s="27">
        <f>IF(U9=0,"",ROUND(AD9/U9*100,1))</f>
        <v/>
      </c>
      <c r="AF9" s="29">
        <f>AB9-AD9</f>
        <v/>
      </c>
      <c r="AG9" s="27">
        <f>IF(U9=0,"",ROUND((AB9-AD9)/U9*100,1))</f>
        <v/>
      </c>
      <c r="AH9" s="30" t="inlineStr">
        <is>
          <t>OK — totals reconciled</t>
        </is>
      </c>
      <c r="AI9" s="31" t="inlineStr">
        <is>
          <t>https://recuperasolucoes.com/wp-content/plugins/download-attachments/includes/download.php?id=1597</t>
        </is>
      </c>
      <c r="AJ9" s="30" t="inlineStr">
        <is>
          <t>p13 r8</t>
        </is>
      </c>
      <c r="AK9" s="30" t="inlineStr">
        <is>
          <t>p13: R$ 18.875.473,82</t>
        </is>
      </c>
      <c r="AL9" s="30" t="inlineStr">
        <is>
          <t>Debtor list (art. 51)</t>
        </is>
      </c>
      <c r="AM9" s="30" t="inlineStr">
        <is>
          <t>2026-05-21</t>
        </is>
      </c>
      <c r="AN9" s="30" t="inlineStr">
        <is>
          <t>NONE FOUND</t>
        </is>
      </c>
      <c r="AO9" s="32" t="inlineStr">
        <is>
          <t>0001639-09.2026.8.17.2810</t>
        </is>
      </c>
      <c r="AP9" s="32" t="inlineStr">
        <is>
          <t>TJPE</t>
        </is>
      </c>
      <c r="AQ9" s="32" t="inlineStr">
        <is>
          <t>Recuperação judicial</t>
        </is>
      </c>
      <c r="AR9" s="32" t="inlineStr">
        <is>
          <t>DataJud: no closure/falência movement</t>
        </is>
      </c>
      <c r="AS9" s="32" t="n">
        <v>2026</v>
      </c>
      <c r="AT9" s="32" t="inlineStr">
        <is>
          <t>live case, no plan document yet</t>
        </is>
      </c>
      <c r="AU9" s="32" t="inlineStr"/>
      <c r="AV9" s="32" t="inlineStr">
        <is>
          <t>printed on the list (read twice)</t>
        </is>
      </c>
      <c r="AW9" s="32" t="inlineStr"/>
      <c r="AX9" s="32" t="inlineStr">
        <is>
          <t>BARUERI</t>
        </is>
      </c>
      <c r="AY9" s="32" t="inlineStr">
        <is>
          <t>SP</t>
        </is>
      </c>
      <c r="AZ9" s="32" t="inlineStr">
        <is>
          <t>Portais, provedores de conteúdo e outros serviços de informação na internet</t>
        </is>
      </c>
      <c r="BA9" s="32" t="inlineStr">
        <is>
          <t>não ME/EPP</t>
        </is>
      </c>
      <c r="BB9" s="33" t="n">
        <v>2942921</v>
      </c>
      <c r="BC9" s="32" t="inlineStr">
        <is>
          <t>MID-MARKET</t>
        </is>
      </c>
      <c r="BD9" s="32" t="inlineStr">
        <is>
          <t>29341643</t>
        </is>
      </c>
      <c r="BE9" s="32" t="n">
        <v>1</v>
      </c>
      <c r="BF9" s="32" t="inlineStr"/>
    </row>
    <row r="10">
      <c r="A10" s="17" t="inlineStr">
        <is>
          <t>COMPANHIA RIOGRANDENSE DE SANEAMENTO - CORSAN</t>
        </is>
      </c>
      <c r="B10" s="18" t="n">
        <v>18555954.55</v>
      </c>
      <c r="C10" s="19" t="inlineStr">
        <is>
          <t>ASSOCIAÇÃO DE CARIDADE SANTA CASA DO RIO GRANDE</t>
        </is>
      </c>
      <c r="D10" s="20" t="inlineStr">
        <is>
          <t>NEW</t>
        </is>
      </c>
      <c r="E10" s="21" t="inlineStr"/>
      <c r="F10" s="20" t="inlineStr"/>
      <c r="G10" s="21" t="inlineStr"/>
      <c r="H10" s="20" t="inlineStr"/>
      <c r="I10" s="22" t="inlineStr">
        <is>
          <t>Luiz Pereira</t>
        </is>
      </c>
      <c r="J10" s="22" t="inlineStr">
        <is>
          <t>Financial Planning Manager</t>
        </is>
      </c>
      <c r="K10" s="22" t="inlineStr">
        <is>
          <t>(05) 1215-5789</t>
        </is>
      </c>
      <c r="L10" s="22" t="inlineStr"/>
      <c r="M10" s="22" t="inlineStr"/>
      <c r="N10" s="22" t="inlineStr"/>
      <c r="O10" s="22" t="inlineStr"/>
      <c r="P10" s="22" t="inlineStr">
        <is>
          <t>Rafaela Milione</t>
        </is>
      </c>
      <c r="Q10" s="22" t="inlineStr">
        <is>
          <t>Especialista de Tesouraria</t>
        </is>
      </c>
      <c r="R10" s="22" t="inlineStr"/>
      <c r="S10" s="22" t="inlineStr">
        <is>
          <t>rafaela.milione@corsan.com.br</t>
        </is>
      </c>
      <c r="T10" s="22" t="inlineStr">
        <is>
          <t>DM: phone Yes; large corp; needs seniority pass; no work email in Apollo for DM; BACKUP: backup, has_email, phone Yes</t>
        </is>
      </c>
      <c r="U10" s="24" t="n">
        <v>18555954.55</v>
      </c>
      <c r="V10" s="25" t="inlineStr">
        <is>
          <t>B</t>
        </is>
      </c>
      <c r="W10" s="26" t="inlineStr"/>
      <c r="X10" s="27" t="inlineStr"/>
      <c r="Y10" s="27" t="inlineStr"/>
      <c r="Z10" s="26">
        <f>IF(W10&lt;&gt;"",W10,IFERROR(VLOOKUP(V10,Assumptions!$A$8:$F$12,2,FALSE),0))</f>
        <v/>
      </c>
      <c r="AA10" s="28">
        <f>IF(V10="A",MAX(1,IF(X10&lt;&gt;"",X10,IFERROR(VLOOKUP(V10,Assumptions!$A$8:$F$12,3,FALSE),3))+IF(Y10&lt;&gt;"",Y10,IFERROR(VLOOKUP(V10,Assumptions!$A$8:$F$12,4,FALSE),8))/2-MAX(0,IF(AS10="",0,YEAR(TODAY())-AS10)-IFERROR(VLOOKUP(V10,Assumptions!$A$8:$F$12,5,FALSE),1.5))),IFERROR(VLOOKUP(V10,Assumptions!$A$8:$F$12,5,FALSE),2.5)+IF(X10&lt;&gt;"",X10,IFERROR(VLOOKUP(V10,Assumptions!$A$8:$F$12,3,FALSE),3))+IF(Y10&lt;&gt;"",Y10,IFERROR(VLOOKUP(V10,Assumptions!$A$8:$F$12,4,FALSE),8))/2)</f>
        <v/>
      </c>
      <c r="AB10" s="24">
        <f>U10*Z10/(1+Assumptions!$B$3)^AA10</f>
        <v/>
      </c>
      <c r="AC10" s="27">
        <f>IF(U10=0,"",ROUND(AB10/U10*100,1))</f>
        <v/>
      </c>
      <c r="AD10" s="29">
        <f>AB10*Assumptions!$B$4</f>
        <v/>
      </c>
      <c r="AE10" s="27">
        <f>IF(U10=0,"",ROUND(AD10/U10*100,1))</f>
        <v/>
      </c>
      <c r="AF10" s="29">
        <f>AB10-AD10</f>
        <v/>
      </c>
      <c r="AG10" s="27">
        <f>IF(U10=0,"",ROUND((AB10-AD10)/U10*100,1))</f>
        <v/>
      </c>
      <c r="AH10" s="34" t="inlineStr">
        <is>
          <t>NO TOTALS — list prints none; check page</t>
        </is>
      </c>
      <c r="AI10" s="31" t="inlineStr">
        <is>
          <t>https://scalzilliaj.com.br/sgc/download.php?file=files/processo_documento/processo_documento09120721032023_1_.pdf&amp;nome=15 - Edital do art. 7º, §2º e 53 da Lei 11.101/2005 (segunda lista de credores e recebimento do plano))</t>
        </is>
      </c>
      <c r="AJ10" s="30" t="inlineStr">
        <is>
          <t>p26 r27</t>
        </is>
      </c>
      <c r="AK10" s="30" t="inlineStr">
        <is>
          <t>p26: R$ 18.555.954,55</t>
        </is>
      </c>
      <c r="AL10" s="30" t="inlineStr">
        <is>
          <t>AJ list (art. 7 §2)</t>
        </is>
      </c>
      <c r="AM10" s="30" t="inlineStr">
        <is>
          <t>2023-03-21</t>
        </is>
      </c>
      <c r="AN10" s="30" t="inlineStr">
        <is>
          <t>NONE FOUND</t>
        </is>
      </c>
      <c r="AO10" s="32" t="inlineStr">
        <is>
          <t>5012306-16.2022.8.21.0023</t>
        </is>
      </c>
      <c r="AP10" s="32" t="inlineStr">
        <is>
          <t>TJRS</t>
        </is>
      </c>
      <c r="AQ10" s="32" t="inlineStr">
        <is>
          <t>Recuperação judicial</t>
        </is>
      </c>
      <c r="AR10" s="32" t="inlineStr">
        <is>
          <t>DataJud: no closure/falência movement</t>
        </is>
      </c>
      <c r="AS10" s="32" t="n">
        <v>2022</v>
      </c>
      <c r="AT10" s="32" t="inlineStr">
        <is>
          <t>live case, no plan document yet; atypical debtor (associação/clube/hospital/produtor rural): admissibility or claim subjection may be contested</t>
        </is>
      </c>
      <c r="AU10" s="32" t="inlineStr"/>
      <c r="AV10" s="32" t="inlineStr">
        <is>
          <t>printed on the list (read twice)</t>
        </is>
      </c>
      <c r="AW10" s="32" t="inlineStr"/>
      <c r="AX10" s="32" t="inlineStr">
        <is>
          <t>PORTO ALEGRE</t>
        </is>
      </c>
      <c r="AY10" s="32" t="inlineStr">
        <is>
          <t>RS</t>
        </is>
      </c>
      <c r="AZ10" s="32" t="inlineStr">
        <is>
          <t>Captação, tratamento e distribuição de água</t>
        </is>
      </c>
      <c r="BA10" s="32" t="inlineStr">
        <is>
          <t>não ME/EPP</t>
        </is>
      </c>
      <c r="BB10" s="33" t="n">
        <v>1682328300</v>
      </c>
      <c r="BC10" s="32" t="inlineStr">
        <is>
          <t>LARGE CORP</t>
        </is>
      </c>
      <c r="BD10" s="32" t="inlineStr">
        <is>
          <t>92802784</t>
        </is>
      </c>
      <c r="BE10" s="32" t="n">
        <v>1</v>
      </c>
      <c r="BF10" s="32" t="inlineStr">
        <is>
          <t>list prints no totals</t>
        </is>
      </c>
    </row>
    <row r="11">
      <c r="A11" s="17" t="inlineStr">
        <is>
          <t>ARAUJO FONTES PARTICIPACOES LTDA.</t>
        </is>
      </c>
      <c r="B11" s="18" t="n">
        <v>15143906.34</v>
      </c>
      <c r="C11" s="19" t="inlineStr">
        <is>
          <t>GRUPO EGESA (Egesa Engenharia S.A. + 9 group companies; see group members)</t>
        </is>
      </c>
      <c r="D11" s="20" t="inlineStr">
        <is>
          <t>NEW</t>
        </is>
      </c>
      <c r="E11" s="21" t="inlineStr"/>
      <c r="F11" s="20" t="inlineStr"/>
      <c r="G11" s="21" t="inlineStr"/>
      <c r="H11" s="20" t="inlineStr"/>
      <c r="I11" s="22" t="inlineStr">
        <is>
          <t>Marcelo Araujo</t>
        </is>
      </c>
      <c r="J11" s="22" t="inlineStr">
        <is>
          <t>Partner / Co-Founder / Board Member</t>
        </is>
      </c>
      <c r="K11" s="22" t="inlineStr">
        <is>
          <t>(31) 2103-6000</t>
        </is>
      </c>
      <c r="L11" s="22" t="inlineStr">
        <is>
          <t>(31) 9324-2861</t>
        </is>
      </c>
      <c r="M11" s="22" t="inlineStr"/>
      <c r="N11" s="22" t="inlineStr">
        <is>
          <t>marcelo@afs.com.br</t>
        </is>
      </c>
      <c r="O11" s="22" t="inlineStr">
        <is>
          <t>verified</t>
        </is>
      </c>
      <c r="P11" s="22" t="inlineStr">
        <is>
          <t>Alexandre Romanelli</t>
        </is>
      </c>
      <c r="Q11" s="22" t="inlineStr">
        <is>
          <t>Partner at Araujo Fontes</t>
        </is>
      </c>
      <c r="R11" s="22" t="inlineStr"/>
      <c r="S11" s="22" t="inlineStr">
        <is>
          <t>alexandre.romanelli@afs.com.br</t>
        </is>
      </c>
      <c r="T11" s="22" t="inlineStr">
        <is>
          <t>DM: DM verified email; VERIFY org: Araújo Fontes (M&amp;A advisory, MG) - not a credit desk; BACKUP: backup verified email</t>
        </is>
      </c>
      <c r="U11" s="24" t="n">
        <v>15143906.34</v>
      </c>
      <c r="V11" s="25" t="inlineStr">
        <is>
          <t>B</t>
        </is>
      </c>
      <c r="W11" s="26" t="inlineStr"/>
      <c r="X11" s="27" t="inlineStr"/>
      <c r="Y11" s="27" t="inlineStr"/>
      <c r="Z11" s="26">
        <f>IF(W11&lt;&gt;"",W11,IFERROR(VLOOKUP(V11,Assumptions!$A$8:$F$12,2,FALSE),0))</f>
        <v/>
      </c>
      <c r="AA11" s="28">
        <f>IF(V11="A",MAX(1,IF(X11&lt;&gt;"",X11,IFERROR(VLOOKUP(V11,Assumptions!$A$8:$F$12,3,FALSE),3))+IF(Y11&lt;&gt;"",Y11,IFERROR(VLOOKUP(V11,Assumptions!$A$8:$F$12,4,FALSE),8))/2-MAX(0,IF(AS11="",0,YEAR(TODAY())-AS11)-IFERROR(VLOOKUP(V11,Assumptions!$A$8:$F$12,5,FALSE),1.5))),IFERROR(VLOOKUP(V11,Assumptions!$A$8:$F$12,5,FALSE),2.5)+IF(X11&lt;&gt;"",X11,IFERROR(VLOOKUP(V11,Assumptions!$A$8:$F$12,3,FALSE),3))+IF(Y11&lt;&gt;"",Y11,IFERROR(VLOOKUP(V11,Assumptions!$A$8:$F$12,4,FALSE),8))/2)</f>
        <v/>
      </c>
      <c r="AB11" s="24">
        <f>U11*Z11/(1+Assumptions!$B$3)^AA11</f>
        <v/>
      </c>
      <c r="AC11" s="27">
        <f>IF(U11=0,"",ROUND(AB11/U11*100,1))</f>
        <v/>
      </c>
      <c r="AD11" s="29">
        <f>AB11*Assumptions!$B$4</f>
        <v/>
      </c>
      <c r="AE11" s="27">
        <f>IF(U11=0,"",ROUND(AD11/U11*100,1))</f>
        <v/>
      </c>
      <c r="AF11" s="29">
        <f>AB11-AD11</f>
        <v/>
      </c>
      <c r="AG11" s="27">
        <f>IF(U11=0,"",ROUND((AB11-AD11)/U11*100,1))</f>
        <v/>
      </c>
      <c r="AH11" s="30" t="inlineStr">
        <is>
          <t>OK — totals reconciled</t>
        </is>
      </c>
      <c r="AI11" s="31" t="inlineStr">
        <is>
          <t>https://scalzilliaj.com.br/sgc/download.php?file=files/processo_documento/processo_documento09514021082025_1_.pdf&amp;nome=04 - Relação de credores das Recuperandas</t>
        </is>
      </c>
      <c r="AJ11" s="30" t="inlineStr">
        <is>
          <t>p61 r1</t>
        </is>
      </c>
      <c r="AK11" s="30" t="inlineStr">
        <is>
          <t>p61: R$ 15.143.906,34</t>
        </is>
      </c>
      <c r="AL11" s="30" t="inlineStr">
        <is>
          <t>Debtor list (art. 51)</t>
        </is>
      </c>
      <c r="AM11" s="30" t="inlineStr"/>
      <c r="AN11" s="30" t="inlineStr">
        <is>
          <t>NONE FOUND</t>
        </is>
      </c>
      <c r="AO11" s="32" t="inlineStr">
        <is>
          <t>5088952-81.2025.8.13.0024</t>
        </is>
      </c>
      <c r="AP11" s="32" t="inlineStr">
        <is>
          <t>TJMG</t>
        </is>
      </c>
      <c r="AQ11" s="32" t="inlineStr"/>
      <c r="AR11" s="32" t="inlineStr">
        <is>
          <t>DataJud: no closure/falência movement</t>
        </is>
      </c>
      <c r="AS11" s="32" t="n">
        <v>2025</v>
      </c>
      <c r="AT11" s="32" t="inlineStr">
        <is>
          <t>live case, no plan document yet; case no. from the portal record, not printed on the list</t>
        </is>
      </c>
      <c r="AU11" s="32" t="inlineStr"/>
      <c r="AV11" s="32" t="inlineStr">
        <is>
          <t>portal page title / URL — not printed on the list</t>
        </is>
      </c>
      <c r="AW11" s="32" t="inlineStr"/>
      <c r="AX11" s="32" t="inlineStr">
        <is>
          <t>BELO HORIZONTE</t>
        </is>
      </c>
      <c r="AY11" s="32" t="inlineStr">
        <is>
          <t>MG</t>
        </is>
      </c>
      <c r="AZ11" s="32" t="inlineStr">
        <is>
          <t>Holdings de instituições não-financeiras</t>
        </is>
      </c>
      <c r="BA11" s="32" t="inlineStr">
        <is>
          <t>não ME/EPP</t>
        </is>
      </c>
      <c r="BB11" s="33" t="n">
        <v>20606656</v>
      </c>
      <c r="BC11" s="32" t="inlineStr">
        <is>
          <t>MID-MARKET</t>
        </is>
      </c>
      <c r="BD11" s="32" t="inlineStr">
        <is>
          <t>38725768</t>
        </is>
      </c>
      <c r="BE11" s="32" t="n">
        <v>1</v>
      </c>
      <c r="BF11" s="32" t="inlineStr">
        <is>
          <t>case no. corrected by reader case no. from portal record</t>
        </is>
      </c>
    </row>
    <row r="12">
      <c r="A12" s="17" t="inlineStr">
        <is>
          <t>AGUIA SERVICOS DE VIGILANCIA LTDA - EM RECUPERACAO JUDICIAL</t>
        </is>
      </c>
      <c r="B12" s="18" t="n">
        <v>13645091.92</v>
      </c>
      <c r="C12" s="19" t="inlineStr">
        <is>
          <t>GRUPO ADLIM</t>
        </is>
      </c>
      <c r="D12" s="20" t="inlineStr">
        <is>
          <t>NEW</t>
        </is>
      </c>
      <c r="E12" s="21" t="inlineStr"/>
      <c r="F12" s="20" t="inlineStr"/>
      <c r="G12" s="21" t="inlineStr"/>
      <c r="H12" s="20" t="inlineStr"/>
      <c r="I12" s="22" t="inlineStr">
        <is>
          <t>JONAS ALVARENGA DA SILVA</t>
        </is>
      </c>
      <c r="J12" s="23" t="inlineStr">
        <is>
          <t>Sócio-Administrador (RFB partner)</t>
        </is>
      </c>
      <c r="K12" s="22" t="inlineStr">
        <is>
          <t>(81) 3252-6115</t>
        </is>
      </c>
      <c r="L12" s="22" t="inlineStr">
        <is>
          <t>(81) 3252-6117</t>
        </is>
      </c>
      <c r="M12" s="22" t="inlineStr"/>
      <c r="N12" s="22" t="inlineStr"/>
      <c r="O12" s="22" t="inlineStr"/>
      <c r="P12" s="22" t="inlineStr"/>
      <c r="Q12" s="22" t="inlineStr"/>
      <c r="R12" s="22" t="inlineStr"/>
      <c r="S12" s="22" t="inlineStr"/>
      <c r="T12" s="22" t="inlineStr">
        <is>
          <t>DM = registered partner (RFB QSA); no Apollo match</t>
        </is>
      </c>
      <c r="U12" s="24" t="n">
        <v>13645091.92</v>
      </c>
      <c r="V12" s="25" t="inlineStr">
        <is>
          <t>B</t>
        </is>
      </c>
      <c r="W12" s="26" t="inlineStr"/>
      <c r="X12" s="27" t="inlineStr"/>
      <c r="Y12" s="27" t="inlineStr"/>
      <c r="Z12" s="26">
        <f>IF(W12&lt;&gt;"",W12,IFERROR(VLOOKUP(V12,Assumptions!$A$8:$F$12,2,FALSE),0))</f>
        <v/>
      </c>
      <c r="AA12" s="28">
        <f>IF(V12="A",MAX(1,IF(X12&lt;&gt;"",X12,IFERROR(VLOOKUP(V12,Assumptions!$A$8:$F$12,3,FALSE),3))+IF(Y12&lt;&gt;"",Y12,IFERROR(VLOOKUP(V12,Assumptions!$A$8:$F$12,4,FALSE),8))/2-MAX(0,IF(AS12="",0,YEAR(TODAY())-AS12)-IFERROR(VLOOKUP(V12,Assumptions!$A$8:$F$12,5,FALSE),1.5))),IFERROR(VLOOKUP(V12,Assumptions!$A$8:$F$12,5,FALSE),2.5)+IF(X12&lt;&gt;"",X12,IFERROR(VLOOKUP(V12,Assumptions!$A$8:$F$12,3,FALSE),3))+IF(Y12&lt;&gt;"",Y12,IFERROR(VLOOKUP(V12,Assumptions!$A$8:$F$12,4,FALSE),8))/2)</f>
        <v/>
      </c>
      <c r="AB12" s="24">
        <f>U12*Z12/(1+Assumptions!$B$3)^AA12</f>
        <v/>
      </c>
      <c r="AC12" s="27">
        <f>IF(U12=0,"",ROUND(AB12/U12*100,1))</f>
        <v/>
      </c>
      <c r="AD12" s="29">
        <f>AB12*Assumptions!$B$4</f>
        <v/>
      </c>
      <c r="AE12" s="27">
        <f>IF(U12=0,"",ROUND(AD12/U12*100,1))</f>
        <v/>
      </c>
      <c r="AF12" s="29">
        <f>AB12-AD12</f>
        <v/>
      </c>
      <c r="AG12" s="27">
        <f>IF(U12=0,"",ROUND((AB12-AD12)/U12*100,1))</f>
        <v/>
      </c>
      <c r="AH12" s="35" t="inlineStr">
        <is>
          <t>PARTIAL — class III reconciled, other classes not</t>
        </is>
      </c>
      <c r="AI12" s="31" t="inlineStr">
        <is>
          <t>https://lrflideres.com.br/wp-content/plugins/download-attachments/includes/download.php?id=6051</t>
        </is>
      </c>
      <c r="AJ12" s="30" t="inlineStr">
        <is>
          <t>p97 r27</t>
        </is>
      </c>
      <c r="AK12" s="30" t="inlineStr">
        <is>
          <t>p97: R$ 13645091,92</t>
        </is>
      </c>
      <c r="AL12" s="30" t="inlineStr">
        <is>
          <t>AJ list (art. 7 §2)</t>
        </is>
      </c>
      <c r="AM12" s="30" t="inlineStr">
        <is>
          <t>2024-08-12</t>
        </is>
      </c>
      <c r="AN12" s="30" t="inlineStr">
        <is>
          <t>NONE FOUND</t>
        </is>
      </c>
      <c r="AO12" s="32" t="inlineStr">
        <is>
          <t>0019761-43.2024.8.17.2001</t>
        </is>
      </c>
      <c r="AP12" s="32" t="inlineStr">
        <is>
          <t>TJPE</t>
        </is>
      </c>
      <c r="AQ12" s="32" t="inlineStr">
        <is>
          <t>Recuperação judicial</t>
        </is>
      </c>
      <c r="AR12" s="32" t="inlineStr">
        <is>
          <t>DataJud: no closure/falência movement</t>
        </is>
      </c>
      <c r="AS12" s="32" t="n">
        <v>2024</v>
      </c>
      <c r="AT12" s="32" t="inlineStr">
        <is>
          <t>live case, no plan document yet</t>
        </is>
      </c>
      <c r="AU12" s="32" t="inlineStr"/>
      <c r="AV12" s="32" t="inlineStr">
        <is>
          <t>printed on the list (read twice)</t>
        </is>
      </c>
      <c r="AW12" s="32" t="inlineStr"/>
      <c r="AX12" s="32" t="inlineStr">
        <is>
          <t>RECIFE</t>
        </is>
      </c>
      <c r="AY12" s="32" t="inlineStr">
        <is>
          <t>PE</t>
        </is>
      </c>
      <c r="AZ12" s="32" t="inlineStr">
        <is>
          <t>Atividades de vigilância e segurança privada</t>
        </is>
      </c>
      <c r="BA12" s="32" t="inlineStr">
        <is>
          <t>não ME/EPP</t>
        </is>
      </c>
      <c r="BB12" s="33" t="n">
        <v>5300000</v>
      </c>
      <c r="BC12" s="32" t="inlineStr">
        <is>
          <t>MID-MARKET</t>
        </is>
      </c>
      <c r="BD12" s="32" t="inlineStr">
        <is>
          <t>11516861</t>
        </is>
      </c>
      <c r="BE12" s="32" t="n">
        <v>1</v>
      </c>
      <c r="BF12" s="32" t="inlineStr">
        <is>
          <t>class III reconciled (doc partial)</t>
        </is>
      </c>
    </row>
    <row r="13">
      <c r="A13" s="17" t="inlineStr">
        <is>
          <t>GREE ELECTRIC APPLIANCES DO BRASIL LTDA.</t>
        </is>
      </c>
      <c r="B13" s="18" t="n">
        <v>13499976.37</v>
      </c>
      <c r="C13" s="19" t="inlineStr">
        <is>
          <t>REAL DISTRIBUIDORA ÚNICA RIO COMÉRCIO DE REFRIGERAÇÃO LTDA.</t>
        </is>
      </c>
      <c r="D13" s="20" t="inlineStr">
        <is>
          <t>NEW</t>
        </is>
      </c>
      <c r="E13" s="21" t="inlineStr"/>
      <c r="F13" s="20" t="inlineStr"/>
      <c r="G13" s="21" t="inlineStr"/>
      <c r="H13" s="20" t="inlineStr"/>
      <c r="I13" s="22" t="inlineStr">
        <is>
          <t>QUNBING ZHAO</t>
        </is>
      </c>
      <c r="J13" s="23" t="inlineStr">
        <is>
          <t>Administrador (RFB partner)</t>
        </is>
      </c>
      <c r="K13" s="22" t="inlineStr">
        <is>
          <t>(92) 2123-6900</t>
        </is>
      </c>
      <c r="L13" s="22" t="inlineStr"/>
      <c r="M13" s="22" t="inlineStr"/>
      <c r="N13" s="22" t="inlineStr"/>
      <c r="O13" s="22" t="inlineStr"/>
      <c r="P13" s="22" t="inlineStr">
        <is>
          <t>Carlos Murano</t>
        </is>
      </c>
      <c r="Q13" s="22" t="inlineStr">
        <is>
          <t>Executive Sales Manager</t>
        </is>
      </c>
      <c r="R13" s="22" t="inlineStr"/>
      <c r="S13" s="22" t="inlineStr">
        <is>
          <t>carlos.murano@gree-am.com.br</t>
        </is>
      </c>
      <c r="T13" s="22" t="inlineStr">
        <is>
          <t>DM = registered partner (RFB QSA); Apollo pick demoted to backup (non-finance role); BACKUP: has_email; large corp, needs seniority pass</t>
        </is>
      </c>
      <c r="U13" s="24" t="n">
        <v>13499976.37</v>
      </c>
      <c r="V13" s="25" t="inlineStr">
        <is>
          <t>B</t>
        </is>
      </c>
      <c r="W13" s="26" t="inlineStr"/>
      <c r="X13" s="27" t="inlineStr"/>
      <c r="Y13" s="27" t="inlineStr"/>
      <c r="Z13" s="26">
        <f>IF(W13&lt;&gt;"",W13,IFERROR(VLOOKUP(V13,Assumptions!$A$8:$F$12,2,FALSE),0))</f>
        <v/>
      </c>
      <c r="AA13" s="28">
        <f>IF(V13="A",MAX(1,IF(X13&lt;&gt;"",X13,IFERROR(VLOOKUP(V13,Assumptions!$A$8:$F$12,3,FALSE),3))+IF(Y13&lt;&gt;"",Y13,IFERROR(VLOOKUP(V13,Assumptions!$A$8:$F$12,4,FALSE),8))/2-MAX(0,IF(AS13="",0,YEAR(TODAY())-AS13)-IFERROR(VLOOKUP(V13,Assumptions!$A$8:$F$12,5,FALSE),1.5))),IFERROR(VLOOKUP(V13,Assumptions!$A$8:$F$12,5,FALSE),2.5)+IF(X13&lt;&gt;"",X13,IFERROR(VLOOKUP(V13,Assumptions!$A$8:$F$12,3,FALSE),3))+IF(Y13&lt;&gt;"",Y13,IFERROR(VLOOKUP(V13,Assumptions!$A$8:$F$12,4,FALSE),8))/2)</f>
        <v/>
      </c>
      <c r="AB13" s="24">
        <f>U13*Z13/(1+Assumptions!$B$3)^AA13</f>
        <v/>
      </c>
      <c r="AC13" s="27">
        <f>IF(U13=0,"",ROUND(AB13/U13*100,1))</f>
        <v/>
      </c>
      <c r="AD13" s="29">
        <f>AB13*Assumptions!$B$4</f>
        <v/>
      </c>
      <c r="AE13" s="27">
        <f>IF(U13=0,"",ROUND(AD13/U13*100,1))</f>
        <v/>
      </c>
      <c r="AF13" s="29">
        <f>AB13-AD13</f>
        <v/>
      </c>
      <c r="AG13" s="27">
        <f>IF(U13=0,"",ROUND((AB13-AD13)/U13*100,1))</f>
        <v/>
      </c>
      <c r="AH13" s="30" t="inlineStr">
        <is>
          <t>OK — totals reconciled</t>
        </is>
      </c>
      <c r="AI13" s="31" t="inlineStr">
        <is>
          <t>https://inova-aj.com.br/wp-content/uploads/2026/08/1a-Relacao-de-Credores-Real.pdf</t>
        </is>
      </c>
      <c r="AJ13" s="30" t="inlineStr">
        <is>
          <t>p1 r32</t>
        </is>
      </c>
      <c r="AK13" s="30" t="inlineStr">
        <is>
          <t>p1: R$ 13.499.976,37</t>
        </is>
      </c>
      <c r="AL13" s="30" t="inlineStr">
        <is>
          <t>AJ list (art. 7 §2)</t>
        </is>
      </c>
      <c r="AM13" s="30" t="inlineStr">
        <is>
          <t>2023-06-05</t>
        </is>
      </c>
      <c r="AN13" s="30" t="inlineStr">
        <is>
          <t>NONE FOUND</t>
        </is>
      </c>
      <c r="AO13" s="32" t="inlineStr">
        <is>
          <t>0873061-47.2023.8.19.0001</t>
        </is>
      </c>
      <c r="AP13" s="32" t="inlineStr">
        <is>
          <t>TJRJ</t>
        </is>
      </c>
      <c r="AQ13" s="32" t="inlineStr">
        <is>
          <t>Recuperação judicial</t>
        </is>
      </c>
      <c r="AR13" s="32" t="inlineStr">
        <is>
          <t>not in DataJud</t>
        </is>
      </c>
      <c r="AS13" s="32" t="n">
        <v>2023</v>
      </c>
      <c r="AT13" s="32" t="inlineStr">
        <is>
          <t>live case, no plan document yet; case no. from the portal record, not printed on the list</t>
        </is>
      </c>
      <c r="AU13" s="32" t="inlineStr"/>
      <c r="AV13" s="32" t="inlineStr">
        <is>
          <t>printed on the list (read twice)</t>
        </is>
      </c>
      <c r="AW13" s="32" t="inlineStr"/>
      <c r="AX13" s="32" t="inlineStr">
        <is>
          <t>MANAUS</t>
        </is>
      </c>
      <c r="AY13" s="32" t="inlineStr">
        <is>
          <t>AM</t>
        </is>
      </c>
      <c r="AZ13" s="32" t="inlineStr">
        <is>
          <t>Fabricação de aparelhos e equipamentos de ar condicionado para uso não-industrial</t>
        </is>
      </c>
      <c r="BA13" s="32" t="inlineStr">
        <is>
          <t>não ME/EPP</t>
        </is>
      </c>
      <c r="BB13" s="33" t="n">
        <v>301149150</v>
      </c>
      <c r="BC13" s="32" t="inlineStr">
        <is>
          <t>MID-MARKET</t>
        </is>
      </c>
      <c r="BD13" s="32" t="inlineStr">
        <is>
          <t>03519135</t>
        </is>
      </c>
      <c r="BE13" s="32" t="n">
        <v>1</v>
      </c>
      <c r="BF13" s="32" t="inlineStr">
        <is>
          <t>ALT_VALUE:R$9.815.941,50</t>
        </is>
      </c>
    </row>
    <row r="14">
      <c r="A14" s="17" t="inlineStr">
        <is>
          <t>LOUIS DREYFUS COMPANY SUCOS S.A</t>
        </is>
      </c>
      <c r="B14" s="18" t="n">
        <v>13129217.8</v>
      </c>
      <c r="C14" s="19" t="inlineStr">
        <is>
          <t>PAULO CÉSAR SOMILIO (produtor rural, pessoa física)</t>
        </is>
      </c>
      <c r="D14" s="20" t="inlineStr">
        <is>
          <t>NEW</t>
        </is>
      </c>
      <c r="E14" s="21" t="inlineStr"/>
      <c r="F14" s="20" t="inlineStr"/>
      <c r="G14" s="21" t="inlineStr"/>
      <c r="H14" s="20" t="inlineStr"/>
      <c r="I14" s="22" t="inlineStr">
        <is>
          <t>Paula Peixoto</t>
        </is>
      </c>
      <c r="J14" s="22" t="inlineStr">
        <is>
          <t>Gerente Adm Controladoria - Originação Sucos</t>
        </is>
      </c>
      <c r="K14" s="22" t="inlineStr">
        <is>
          <t>(11) 3039-7160</t>
        </is>
      </c>
      <c r="L14" s="22" t="inlineStr">
        <is>
          <t>(13) 2127-9893</t>
        </is>
      </c>
      <c r="M14" s="22" t="inlineStr"/>
      <c r="N14" s="22" t="inlineStr">
        <is>
          <t>paula.peixoto@ldc.com</t>
        </is>
      </c>
      <c r="O14" s="22" t="inlineStr">
        <is>
          <t>verified</t>
        </is>
      </c>
      <c r="P14" s="22" t="inlineStr">
        <is>
          <t>Bruno Nunes</t>
        </is>
      </c>
      <c r="Q14" s="22" t="inlineStr">
        <is>
          <t>Gerente Executivo de Engenharia &amp; Projetos - Plataforma Sucos</t>
        </is>
      </c>
      <c r="R14" s="22" t="inlineStr"/>
      <c r="S14" s="22" t="inlineStr">
        <is>
          <t>bruno.nunes@ldc.com</t>
        </is>
      </c>
      <c r="T14" s="22" t="inlineStr">
        <is>
          <t>DM: has_email; BACKUP: backup, has_email, phone Yes</t>
        </is>
      </c>
      <c r="U14" s="24" t="n">
        <v>13129217.8</v>
      </c>
      <c r="V14" s="25" t="inlineStr">
        <is>
          <t>B</t>
        </is>
      </c>
      <c r="W14" s="26" t="inlineStr"/>
      <c r="X14" s="27" t="inlineStr"/>
      <c r="Y14" s="27" t="inlineStr"/>
      <c r="Z14" s="26">
        <f>IF(W14&lt;&gt;"",W14,IFERROR(VLOOKUP(V14,Assumptions!$A$8:$F$12,2,FALSE),0))</f>
        <v/>
      </c>
      <c r="AA14" s="28">
        <f>IF(V14="A",MAX(1,IF(X14&lt;&gt;"",X14,IFERROR(VLOOKUP(V14,Assumptions!$A$8:$F$12,3,FALSE),3))+IF(Y14&lt;&gt;"",Y14,IFERROR(VLOOKUP(V14,Assumptions!$A$8:$F$12,4,FALSE),8))/2-MAX(0,IF(AS14="",0,YEAR(TODAY())-AS14)-IFERROR(VLOOKUP(V14,Assumptions!$A$8:$F$12,5,FALSE),1.5))),IFERROR(VLOOKUP(V14,Assumptions!$A$8:$F$12,5,FALSE),2.5)+IF(X14&lt;&gt;"",X14,IFERROR(VLOOKUP(V14,Assumptions!$A$8:$F$12,3,FALSE),3))+IF(Y14&lt;&gt;"",Y14,IFERROR(VLOOKUP(V14,Assumptions!$A$8:$F$12,4,FALSE),8))/2)</f>
        <v/>
      </c>
      <c r="AB14" s="24">
        <f>U14*Z14/(1+Assumptions!$B$3)^AA14</f>
        <v/>
      </c>
      <c r="AC14" s="27">
        <f>IF(U14=0,"",ROUND(AB14/U14*100,1))</f>
        <v/>
      </c>
      <c r="AD14" s="29">
        <f>AB14*Assumptions!$B$4</f>
        <v/>
      </c>
      <c r="AE14" s="27">
        <f>IF(U14=0,"",ROUND(AD14/U14*100,1))</f>
        <v/>
      </c>
      <c r="AF14" s="29">
        <f>AB14-AD14</f>
        <v/>
      </c>
      <c r="AG14" s="27">
        <f>IF(U14=0,"",ROUND((AB14-AD14)/U14*100,1))</f>
        <v/>
      </c>
      <c r="AH14" s="30" t="inlineStr">
        <is>
          <t>OK — totals reconciled</t>
        </is>
      </c>
      <c r="AI14" s="31" t="inlineStr">
        <is>
          <t>https://violet-wolf-754008.hostingersite.com/wp-content/uploads/2022/10/Primeiro-Edital-de-Credores-Integral-com-creditos.pdf</t>
        </is>
      </c>
      <c r="AJ14" s="30" t="inlineStr">
        <is>
          <t>p4 r1</t>
        </is>
      </c>
      <c r="AK14" s="30" t="inlineStr">
        <is>
          <t>p4: R$ 13.129.217,80</t>
        </is>
      </c>
      <c r="AL14" s="30" t="inlineStr">
        <is>
          <t>Unclassified list</t>
        </is>
      </c>
      <c r="AM14" s="30" t="inlineStr"/>
      <c r="AN14" s="30" t="inlineStr">
        <is>
          <t>NONE FOUND</t>
        </is>
      </c>
      <c r="AO14" s="32" t="inlineStr">
        <is>
          <t>1001087-02.2022.8.26.0390</t>
        </is>
      </c>
      <c r="AP14" s="32" t="inlineStr">
        <is>
          <t>TJSP</t>
        </is>
      </c>
      <c r="AQ14" s="32" t="inlineStr"/>
      <c r="AR14" s="32" t="inlineStr">
        <is>
          <t>DataJud: no closure/falência movement</t>
        </is>
      </c>
      <c r="AS14" s="32" t="n">
        <v>2022</v>
      </c>
      <c r="AT14" s="32" t="inlineStr">
        <is>
          <t>live case, no plan document yet; atypical debtor (associação/clube/hospital/produtor rural): admissibility or claim subjection may be contested; case no. from the portal record, not printed on the list</t>
        </is>
      </c>
      <c r="AU14" s="32" t="inlineStr"/>
      <c r="AV14" s="32" t="inlineStr">
        <is>
          <t>portal page title / URL — not printed on the list</t>
        </is>
      </c>
      <c r="AW14" s="32" t="inlineStr"/>
      <c r="AX14" s="32" t="inlineStr">
        <is>
          <t>SAO PAULO</t>
        </is>
      </c>
      <c r="AY14" s="32" t="inlineStr">
        <is>
          <t>SP</t>
        </is>
      </c>
      <c r="AZ14" s="32" t="inlineStr">
        <is>
          <t>Fabricação de sucos concentrados de frutas, hortaliças e legumes</t>
        </is>
      </c>
      <c r="BA14" s="32" t="inlineStr">
        <is>
          <t>não ME/EPP</t>
        </is>
      </c>
      <c r="BB14" s="33" t="n">
        <v>1004385400</v>
      </c>
      <c r="BC14" s="32" t="inlineStr">
        <is>
          <t>LARGE CORP</t>
        </is>
      </c>
      <c r="BD14" s="32" t="inlineStr">
        <is>
          <t>00831373</t>
        </is>
      </c>
      <c r="BE14" s="32" t="n">
        <v>1</v>
      </c>
      <c r="BF14" s="32" t="inlineStr">
        <is>
          <t>case no. corrected by reader</t>
        </is>
      </c>
    </row>
    <row r="15">
      <c r="A15" s="17" t="inlineStr">
        <is>
          <t>RODOBENS S.A.</t>
        </is>
      </c>
      <c r="B15" s="18" t="n">
        <v>13075093.63</v>
      </c>
      <c r="C15" s="19" t="inlineStr">
        <is>
          <t>GRUPO GLP</t>
        </is>
      </c>
      <c r="D15" s="20" t="inlineStr">
        <is>
          <t>NEW</t>
        </is>
      </c>
      <c r="E15" s="21" t="inlineStr"/>
      <c r="F15" s="20" t="inlineStr"/>
      <c r="G15" s="21" t="inlineStr"/>
      <c r="H15" s="20" t="inlineStr"/>
      <c r="I15" s="22" t="inlineStr">
        <is>
          <t>Carolina Moura</t>
        </is>
      </c>
      <c r="J15" s="22" t="inlineStr">
        <is>
          <t>Gerente de Crédito, Cobrança, Portfólio e MIS</t>
        </is>
      </c>
      <c r="K15" s="22" t="inlineStr">
        <is>
          <t>(17) 2136-3666</t>
        </is>
      </c>
      <c r="L15" s="22" t="inlineStr">
        <is>
          <t>(17) 3122-7800</t>
        </is>
      </c>
      <c r="M15" s="22" t="inlineStr"/>
      <c r="N15" s="22" t="inlineStr">
        <is>
          <t>carolina.moura@rodobens.com.br</t>
        </is>
      </c>
      <c r="O15" s="22" t="inlineStr">
        <is>
          <t>verified</t>
        </is>
      </c>
      <c r="P15" s="22" t="inlineStr">
        <is>
          <t>Valmir Ciciliato</t>
        </is>
      </c>
      <c r="Q15" s="22" t="inlineStr">
        <is>
          <t>Collections Manager</t>
        </is>
      </c>
      <c r="R15" s="22" t="inlineStr"/>
      <c r="S15" s="22" t="inlineStr">
        <is>
          <t>valmir.ciciliato@rodobens.com.br</t>
        </is>
      </c>
      <c r="T15" s="22" t="inlineStr">
        <is>
          <t>DM: DM; BACKUP: backup</t>
        </is>
      </c>
      <c r="U15" s="24" t="n">
        <v>13075093.63</v>
      </c>
      <c r="V15" s="25" t="inlineStr">
        <is>
          <t>B</t>
        </is>
      </c>
      <c r="W15" s="26" t="inlineStr"/>
      <c r="X15" s="27" t="inlineStr"/>
      <c r="Y15" s="27" t="inlineStr"/>
      <c r="Z15" s="26">
        <f>IF(W15&lt;&gt;"",W15,IFERROR(VLOOKUP(V15,Assumptions!$A$8:$F$12,2,FALSE),0))</f>
        <v/>
      </c>
      <c r="AA15" s="28">
        <f>IF(V15="A",MAX(1,IF(X15&lt;&gt;"",X15,IFERROR(VLOOKUP(V15,Assumptions!$A$8:$F$12,3,FALSE),3))+IF(Y15&lt;&gt;"",Y15,IFERROR(VLOOKUP(V15,Assumptions!$A$8:$F$12,4,FALSE),8))/2-MAX(0,IF(AS15="",0,YEAR(TODAY())-AS15)-IFERROR(VLOOKUP(V15,Assumptions!$A$8:$F$12,5,FALSE),1.5))),IFERROR(VLOOKUP(V15,Assumptions!$A$8:$F$12,5,FALSE),2.5)+IF(X15&lt;&gt;"",X15,IFERROR(VLOOKUP(V15,Assumptions!$A$8:$F$12,3,FALSE),3))+IF(Y15&lt;&gt;"",Y15,IFERROR(VLOOKUP(V15,Assumptions!$A$8:$F$12,4,FALSE),8))/2)</f>
        <v/>
      </c>
      <c r="AB15" s="24">
        <f>U15*Z15/(1+Assumptions!$B$3)^AA15</f>
        <v/>
      </c>
      <c r="AC15" s="27">
        <f>IF(U15=0,"",ROUND(AB15/U15*100,1))</f>
        <v/>
      </c>
      <c r="AD15" s="29">
        <f>AB15*Assumptions!$B$4</f>
        <v/>
      </c>
      <c r="AE15" s="27">
        <f>IF(U15=0,"",ROUND(AD15/U15*100,1))</f>
        <v/>
      </c>
      <c r="AF15" s="29">
        <f>AB15-AD15</f>
        <v/>
      </c>
      <c r="AG15" s="27">
        <f>IF(U15=0,"",ROUND((AB15-AD15)/U15*100,1))</f>
        <v/>
      </c>
      <c r="AH15" s="30" t="inlineStr">
        <is>
          <t>OK — totals reconciled</t>
        </is>
      </c>
      <c r="AI15" s="31" t="inlineStr">
        <is>
          <t>https://recuperasolucoes.com/wp-content/plugins/download-attachments/includes/download.php?id=1597</t>
        </is>
      </c>
      <c r="AJ15" s="30" t="inlineStr">
        <is>
          <t>p13 r17</t>
        </is>
      </c>
      <c r="AK15" s="30" t="inlineStr">
        <is>
          <t>p13: R$ 13.075.093,63</t>
        </is>
      </c>
      <c r="AL15" s="30" t="inlineStr">
        <is>
          <t>Debtor list (art. 51)</t>
        </is>
      </c>
      <c r="AM15" s="30" t="inlineStr">
        <is>
          <t>2026-05-21</t>
        </is>
      </c>
      <c r="AN15" s="30" t="inlineStr">
        <is>
          <t>NONE FOUND</t>
        </is>
      </c>
      <c r="AO15" s="32" t="inlineStr">
        <is>
          <t>0001639-09.2026.8.17.2810</t>
        </is>
      </c>
      <c r="AP15" s="32" t="inlineStr">
        <is>
          <t>TJPE</t>
        </is>
      </c>
      <c r="AQ15" s="32" t="inlineStr">
        <is>
          <t>Recuperação judicial</t>
        </is>
      </c>
      <c r="AR15" s="32" t="inlineStr">
        <is>
          <t>DataJud: no closure/falência movement</t>
        </is>
      </c>
      <c r="AS15" s="32" t="n">
        <v>2026</v>
      </c>
      <c r="AT15" s="32" t="inlineStr">
        <is>
          <t>live case, no plan document yet</t>
        </is>
      </c>
      <c r="AU15" s="32" t="inlineStr"/>
      <c r="AV15" s="32" t="inlineStr">
        <is>
          <t>printed on the list (read twice)</t>
        </is>
      </c>
      <c r="AW15" s="32" t="inlineStr"/>
      <c r="AX15" s="32" t="inlineStr">
        <is>
          <t>SAO JOSE DO RIO PRETO</t>
        </is>
      </c>
      <c r="AY15" s="32" t="inlineStr">
        <is>
          <t>SP</t>
        </is>
      </c>
      <c r="AZ15" s="32" t="inlineStr">
        <is>
          <t>Holdings de instituições não-financeiras</t>
        </is>
      </c>
      <c r="BA15" s="32" t="inlineStr">
        <is>
          <t>não ME/EPP</t>
        </is>
      </c>
      <c r="BB15" s="33" t="n">
        <v>945595650</v>
      </c>
      <c r="BC15" s="32" t="inlineStr">
        <is>
          <t>LARGE CORP</t>
        </is>
      </c>
      <c r="BD15" s="32" t="inlineStr">
        <is>
          <t>59981829</t>
        </is>
      </c>
      <c r="BE15" s="32" t="n">
        <v>1</v>
      </c>
      <c r="BF15" s="32" t="inlineStr"/>
    </row>
    <row r="16">
      <c r="A16" s="17" t="inlineStr">
        <is>
          <t>SWISS RE CORPORATE SOLUTIONS BRASIL SEGUROS S.A.</t>
        </is>
      </c>
      <c r="B16" s="18" t="n">
        <v>12002084.64</v>
      </c>
      <c r="C16" s="19" t="inlineStr">
        <is>
          <t>GRUPO EGESA (Egesa Engenharia S.A. + 9 group companies; see group members)</t>
        </is>
      </c>
      <c r="D16" s="20" t="inlineStr">
        <is>
          <t>NEW</t>
        </is>
      </c>
      <c r="E16" s="21" t="inlineStr"/>
      <c r="F16" s="20" t="inlineStr"/>
      <c r="G16" s="21" t="inlineStr"/>
      <c r="H16" s="20" t="inlineStr"/>
      <c r="I16" s="22" t="inlineStr">
        <is>
          <t>Djan Castro</t>
        </is>
      </c>
      <c r="J16" s="22" t="inlineStr">
        <is>
          <t>Legal Claims Manager</t>
        </is>
      </c>
      <c r="K16" s="22" t="inlineStr">
        <is>
          <t>(11) 3073-8000</t>
        </is>
      </c>
      <c r="L16" s="22" t="inlineStr">
        <is>
          <t>(11) 3073-8113</t>
        </is>
      </c>
      <c r="M16" s="22" t="inlineStr"/>
      <c r="N16" s="22" t="inlineStr">
        <is>
          <t>djan_castro@swissre.com</t>
        </is>
      </c>
      <c r="O16" s="22" t="inlineStr">
        <is>
          <t>verified</t>
        </is>
      </c>
      <c r="P16" s="22" t="inlineStr">
        <is>
          <t>Beatriz Fazzio</t>
        </is>
      </c>
      <c r="Q16" s="22" t="inlineStr">
        <is>
          <t>Gerente Técnica de Seguro Garantia | Senior Underwriter Surety</t>
        </is>
      </c>
      <c r="R16" s="22" t="inlineStr"/>
      <c r="S16" s="22" t="inlineStr">
        <is>
          <t>beatriz_fazzio@swissre.com</t>
        </is>
      </c>
      <c r="T16" s="22" t="inlineStr">
        <is>
          <t>DM: DM; BACKUP: backup</t>
        </is>
      </c>
      <c r="U16" s="24" t="n">
        <v>12002084.64</v>
      </c>
      <c r="V16" s="25" t="inlineStr">
        <is>
          <t>B</t>
        </is>
      </c>
      <c r="W16" s="26" t="inlineStr"/>
      <c r="X16" s="27" t="inlineStr"/>
      <c r="Y16" s="27" t="inlineStr"/>
      <c r="Z16" s="26">
        <f>IF(W16&lt;&gt;"",W16,IFERROR(VLOOKUP(V16,Assumptions!$A$8:$F$12,2,FALSE),0))</f>
        <v/>
      </c>
      <c r="AA16" s="28">
        <f>IF(V16="A",MAX(1,IF(X16&lt;&gt;"",X16,IFERROR(VLOOKUP(V16,Assumptions!$A$8:$F$12,3,FALSE),3))+IF(Y16&lt;&gt;"",Y16,IFERROR(VLOOKUP(V16,Assumptions!$A$8:$F$12,4,FALSE),8))/2-MAX(0,IF(AS16="",0,YEAR(TODAY())-AS16)-IFERROR(VLOOKUP(V16,Assumptions!$A$8:$F$12,5,FALSE),1.5))),IFERROR(VLOOKUP(V16,Assumptions!$A$8:$F$12,5,FALSE),2.5)+IF(X16&lt;&gt;"",X16,IFERROR(VLOOKUP(V16,Assumptions!$A$8:$F$12,3,FALSE),3))+IF(Y16&lt;&gt;"",Y16,IFERROR(VLOOKUP(V16,Assumptions!$A$8:$F$12,4,FALSE),8))/2)</f>
        <v/>
      </c>
      <c r="AB16" s="24">
        <f>U16*Z16/(1+Assumptions!$B$3)^AA16</f>
        <v/>
      </c>
      <c r="AC16" s="27">
        <f>IF(U16=0,"",ROUND(AB16/U16*100,1))</f>
        <v/>
      </c>
      <c r="AD16" s="29">
        <f>AB16*Assumptions!$B$4</f>
        <v/>
      </c>
      <c r="AE16" s="27">
        <f>IF(U16=0,"",ROUND(AD16/U16*100,1))</f>
        <v/>
      </c>
      <c r="AF16" s="29">
        <f>AB16-AD16</f>
        <v/>
      </c>
      <c r="AG16" s="27">
        <f>IF(U16=0,"",ROUND((AB16-AD16)/U16*100,1))</f>
        <v/>
      </c>
      <c r="AH16" s="30" t="inlineStr">
        <is>
          <t>OK — totals reconciled</t>
        </is>
      </c>
      <c r="AI16" s="31" t="inlineStr">
        <is>
          <t>https://scalzilliaj.com.br/sgc/download.php?file=files/processo_documento/processo_documento09514021082025_1_.pdf&amp;nome=04 - Relação de credores das Recuperandas</t>
        </is>
      </c>
      <c r="AJ16" s="30" t="inlineStr">
        <is>
          <t>p73 r16</t>
        </is>
      </c>
      <c r="AK16" s="30" t="inlineStr">
        <is>
          <t>p73: R$ 12.002.084,64</t>
        </is>
      </c>
      <c r="AL16" s="30" t="inlineStr">
        <is>
          <t>Debtor list (art. 51)</t>
        </is>
      </c>
      <c r="AM16" s="30" t="inlineStr"/>
      <c r="AN16" s="30" t="inlineStr">
        <is>
          <t>NONE FOUND</t>
        </is>
      </c>
      <c r="AO16" s="32" t="inlineStr">
        <is>
          <t>5088952-81.2025.8.13.0024</t>
        </is>
      </c>
      <c r="AP16" s="32" t="inlineStr">
        <is>
          <t>TJMG</t>
        </is>
      </c>
      <c r="AQ16" s="32" t="inlineStr"/>
      <c r="AR16" s="32" t="inlineStr">
        <is>
          <t>DataJud: no closure/falência movement</t>
        </is>
      </c>
      <c r="AS16" s="32" t="n">
        <v>2025</v>
      </c>
      <c r="AT16" s="32" t="inlineStr">
        <is>
          <t>live case, no plan document yet; case no. from the portal record, not printed on the list</t>
        </is>
      </c>
      <c r="AU16" s="32" t="inlineStr"/>
      <c r="AV16" s="32" t="inlineStr">
        <is>
          <t>portal page title / URL — not printed on the list</t>
        </is>
      </c>
      <c r="AW16" s="32" t="inlineStr"/>
      <c r="AX16" s="32" t="inlineStr">
        <is>
          <t>SAO PAULO</t>
        </is>
      </c>
      <c r="AY16" s="32" t="inlineStr">
        <is>
          <t>SP</t>
        </is>
      </c>
      <c r="AZ16" s="32" t="inlineStr">
        <is>
          <t>Sociedade seguradora de seguros não vida</t>
        </is>
      </c>
      <c r="BA16" s="32" t="inlineStr">
        <is>
          <t>não ME/EPP</t>
        </is>
      </c>
      <c r="BB16" s="33" t="n">
        <v>906621100</v>
      </c>
      <c r="BC16" s="32" t="inlineStr">
        <is>
          <t>LARGE CORP</t>
        </is>
      </c>
      <c r="BD16" s="32" t="inlineStr">
        <is>
          <t>72145931</t>
        </is>
      </c>
      <c r="BE16" s="32" t="n">
        <v>1</v>
      </c>
      <c r="BF16" s="32" t="inlineStr">
        <is>
          <t>financial by name case no. corrected by reader case no. from portal record</t>
        </is>
      </c>
    </row>
    <row r="17">
      <c r="A17" s="17" t="inlineStr">
        <is>
          <t>DC COMERCIO, REPRESENTACOES, INVESTIMENTOS E PARTICIPACOES LTDA.</t>
        </is>
      </c>
      <c r="B17" s="18" t="n">
        <v>11125000</v>
      </c>
      <c r="C17" s="19" t="inlineStr">
        <is>
          <t>GRUPO CATTAN</t>
        </is>
      </c>
      <c r="D17" s="20" t="inlineStr">
        <is>
          <t>NEW</t>
        </is>
      </c>
      <c r="E17" s="21" t="inlineStr"/>
      <c r="F17" s="20" t="inlineStr"/>
      <c r="G17" s="21" t="inlineStr"/>
      <c r="H17" s="20" t="inlineStr"/>
      <c r="I17" s="22" t="inlineStr">
        <is>
          <t>FERNANDO MELO CATAO</t>
        </is>
      </c>
      <c r="J17" s="23" t="inlineStr">
        <is>
          <t>Sócio-Administrador (RFB partner)</t>
        </is>
      </c>
      <c r="K17" s="22" t="inlineStr">
        <is>
          <t>(81) 3032-8400</t>
        </is>
      </c>
      <c r="L17" s="22" t="inlineStr">
        <is>
          <t>(81) 3419-8550</t>
        </is>
      </c>
      <c r="M17" s="22" t="inlineStr"/>
      <c r="N17" s="22" t="inlineStr"/>
      <c r="O17" s="22" t="inlineStr"/>
      <c r="P17" s="22" t="inlineStr"/>
      <c r="Q17" s="22" t="inlineStr"/>
      <c r="R17" s="22" t="inlineStr"/>
      <c r="S17" s="22" t="inlineStr"/>
      <c r="T17" s="22" t="inlineStr">
        <is>
          <t>DM = registered partner (RFB QSA); no Apollo match</t>
        </is>
      </c>
      <c r="U17" s="24" t="n">
        <v>11125000</v>
      </c>
      <c r="V17" s="25" t="inlineStr">
        <is>
          <t>B</t>
        </is>
      </c>
      <c r="W17" s="26" t="inlineStr"/>
      <c r="X17" s="27" t="inlineStr"/>
      <c r="Y17" s="27" t="inlineStr"/>
      <c r="Z17" s="26">
        <f>IF(W17&lt;&gt;"",W17,IFERROR(VLOOKUP(V17,Assumptions!$A$8:$F$12,2,FALSE),0))</f>
        <v/>
      </c>
      <c r="AA17" s="28">
        <f>IF(V17="A",MAX(1,IF(X17&lt;&gt;"",X17,IFERROR(VLOOKUP(V17,Assumptions!$A$8:$F$12,3,FALSE),3))+IF(Y17&lt;&gt;"",Y17,IFERROR(VLOOKUP(V17,Assumptions!$A$8:$F$12,4,FALSE),8))/2-MAX(0,IF(AS17="",0,YEAR(TODAY())-AS17)-IFERROR(VLOOKUP(V17,Assumptions!$A$8:$F$12,5,FALSE),1.5))),IFERROR(VLOOKUP(V17,Assumptions!$A$8:$F$12,5,FALSE),2.5)+IF(X17&lt;&gt;"",X17,IFERROR(VLOOKUP(V17,Assumptions!$A$8:$F$12,3,FALSE),3))+IF(Y17&lt;&gt;"",Y17,IFERROR(VLOOKUP(V17,Assumptions!$A$8:$F$12,4,FALSE),8))/2)</f>
        <v/>
      </c>
      <c r="AB17" s="24">
        <f>U17*Z17/(1+Assumptions!$B$3)^AA17</f>
        <v/>
      </c>
      <c r="AC17" s="27">
        <f>IF(U17=0,"",ROUND(AB17/U17*100,1))</f>
        <v/>
      </c>
      <c r="AD17" s="29">
        <f>AB17*Assumptions!$B$4</f>
        <v/>
      </c>
      <c r="AE17" s="27">
        <f>IF(U17=0,"",ROUND(AD17/U17*100,1))</f>
        <v/>
      </c>
      <c r="AF17" s="29">
        <f>AB17-AD17</f>
        <v/>
      </c>
      <c r="AG17" s="27">
        <f>IF(U17=0,"",ROUND((AB17-AD17)/U17*100,1))</f>
        <v/>
      </c>
      <c r="AH17" s="35" t="inlineStr">
        <is>
          <t>PARTIAL — class III reconciled, other classes not</t>
        </is>
      </c>
      <c r="AI17" s="31" t="inlineStr">
        <is>
          <t>https://lrflideres.com.br/wp-content/plugins/download-attachments/includes/download.php?id=4023</t>
        </is>
      </c>
      <c r="AJ17" s="30" t="inlineStr">
        <is>
          <t>p4 r68; p7 r92; p9 r68</t>
        </is>
      </c>
      <c r="AK17" s="30" t="inlineStr">
        <is>
          <t>p4: R$ 1.150.000,00; p7: R$ 9.715.000,00; p9: R$ 260.000,00</t>
        </is>
      </c>
      <c r="AL17" s="30" t="inlineStr">
        <is>
          <t>Debtor list (art. 51)</t>
        </is>
      </c>
      <c r="AM17" s="30" t="inlineStr"/>
      <c r="AN17" s="30" t="inlineStr">
        <is>
          <t>NONE FOUND</t>
        </is>
      </c>
      <c r="AO17" s="32" t="inlineStr">
        <is>
          <t>0002484-82.2022.8.17.2001</t>
        </is>
      </c>
      <c r="AP17" s="32" t="inlineStr">
        <is>
          <t>TJPE</t>
        </is>
      </c>
      <c r="AQ17" s="32" t="inlineStr">
        <is>
          <t>Recuperação judicial</t>
        </is>
      </c>
      <c r="AR17" s="32" t="inlineStr">
        <is>
          <t>DataJud: no closure/falência movement</t>
        </is>
      </c>
      <c r="AS17" s="32" t="n">
        <v>2022</v>
      </c>
      <c r="AT17" s="32" t="inlineStr">
        <is>
          <t>live case, no plan document yet</t>
        </is>
      </c>
      <c r="AU17" s="32" t="inlineStr"/>
      <c r="AV17" s="32" t="inlineStr">
        <is>
          <t>printed on the list (read twice)</t>
        </is>
      </c>
      <c r="AW17" s="32" t="inlineStr"/>
      <c r="AX17" s="32" t="inlineStr">
        <is>
          <t>RECIFE</t>
        </is>
      </c>
      <c r="AY17" s="32" t="inlineStr">
        <is>
          <t>PE</t>
        </is>
      </c>
      <c r="AZ17" s="32" t="inlineStr">
        <is>
          <t>Aluguel de imóveis próprios</t>
        </is>
      </c>
      <c r="BA17" s="32" t="inlineStr">
        <is>
          <t>não ME/EPP</t>
        </is>
      </c>
      <c r="BB17" s="33" t="n">
        <v>2125583</v>
      </c>
      <c r="BC17" s="32" t="inlineStr">
        <is>
          <t>MID-MARKET</t>
        </is>
      </c>
      <c r="BD17" s="32" t="inlineStr">
        <is>
          <t>09036221</t>
        </is>
      </c>
      <c r="BE17" s="32" t="n">
        <v>3</v>
      </c>
      <c r="BF17" s="32" t="inlineStr">
        <is>
          <t>class III reconciled (doc partial)</t>
        </is>
      </c>
    </row>
    <row r="18">
      <c r="A18" s="17" t="inlineStr">
        <is>
          <t>SANDOZ DO BRASIL INDUSTRIA FARMACEUTICA LTDA.</t>
        </is>
      </c>
      <c r="B18" s="18" t="n">
        <v>10696833.99</v>
      </c>
      <c r="C18" s="19" t="inlineStr">
        <is>
          <t>GRUPO DP4</t>
        </is>
      </c>
      <c r="D18" s="20" t="inlineStr">
        <is>
          <t>NEW</t>
        </is>
      </c>
      <c r="E18" s="21" t="inlineStr"/>
      <c r="F18" s="20" t="inlineStr"/>
      <c r="G18" s="21" t="inlineStr"/>
      <c r="H18" s="20" t="inlineStr"/>
      <c r="I18" s="22" t="inlineStr">
        <is>
          <t>BRUNO PETENUCI</t>
        </is>
      </c>
      <c r="J18" s="23" t="inlineStr">
        <is>
          <t>Administrador (RFB partner)</t>
        </is>
      </c>
      <c r="K18" s="22" t="inlineStr">
        <is>
          <t>(43) 3174-8000</t>
        </is>
      </c>
      <c r="L18" s="22" t="inlineStr"/>
      <c r="M18" s="22" t="inlineStr"/>
      <c r="N18" s="22" t="inlineStr"/>
      <c r="O18" s="22" t="inlineStr"/>
      <c r="P18" s="22" t="inlineStr">
        <is>
          <t>DANIELA DE ALMEIDA COUTO BONCIANI</t>
        </is>
      </c>
      <c r="Q18" s="22" t="inlineStr">
        <is>
          <t>Administrador (RFB partner)</t>
        </is>
      </c>
      <c r="R18" s="22" t="inlineStr"/>
      <c r="S18" s="22" t="inlineStr"/>
      <c r="T18" s="22" t="inlineStr">
        <is>
          <t>DM = registered partner (RFB QSA); no Apollo match</t>
        </is>
      </c>
      <c r="U18" s="24" t="n">
        <v>10696833.99</v>
      </c>
      <c r="V18" s="25" t="inlineStr">
        <is>
          <t>B</t>
        </is>
      </c>
      <c r="W18" s="26" t="inlineStr"/>
      <c r="X18" s="27" t="inlineStr"/>
      <c r="Y18" s="27" t="inlineStr"/>
      <c r="Z18" s="26">
        <f>IF(W18&lt;&gt;"",W18,IFERROR(VLOOKUP(V18,Assumptions!$A$8:$F$12,2,FALSE),0))</f>
        <v/>
      </c>
      <c r="AA18" s="28">
        <f>IF(V18="A",MAX(1,IF(X18&lt;&gt;"",X18,IFERROR(VLOOKUP(V18,Assumptions!$A$8:$F$12,3,FALSE),3))+IF(Y18&lt;&gt;"",Y18,IFERROR(VLOOKUP(V18,Assumptions!$A$8:$F$12,4,FALSE),8))/2-MAX(0,IF(AS18="",0,YEAR(TODAY())-AS18)-IFERROR(VLOOKUP(V18,Assumptions!$A$8:$F$12,5,FALSE),1.5))),IFERROR(VLOOKUP(V18,Assumptions!$A$8:$F$12,5,FALSE),2.5)+IF(X18&lt;&gt;"",X18,IFERROR(VLOOKUP(V18,Assumptions!$A$8:$F$12,3,FALSE),3))+IF(Y18&lt;&gt;"",Y18,IFERROR(VLOOKUP(V18,Assumptions!$A$8:$F$12,4,FALSE),8))/2)</f>
        <v/>
      </c>
      <c r="AB18" s="24">
        <f>U18*Z18/(1+Assumptions!$B$3)^AA18</f>
        <v/>
      </c>
      <c r="AC18" s="27">
        <f>IF(U18=0,"",ROUND(AB18/U18*100,1))</f>
        <v/>
      </c>
      <c r="AD18" s="29">
        <f>AB18*Assumptions!$B$4</f>
        <v/>
      </c>
      <c r="AE18" s="27">
        <f>IF(U18=0,"",ROUND(AD18/U18*100,1))</f>
        <v/>
      </c>
      <c r="AF18" s="29">
        <f>AB18-AD18</f>
        <v/>
      </c>
      <c r="AG18" s="27">
        <f>IF(U18=0,"",ROUND((AB18-AD18)/U18*100,1))</f>
        <v/>
      </c>
      <c r="AH18" s="35" t="inlineStr">
        <is>
          <t>PARTIAL — class III reconciled, other classes not</t>
        </is>
      </c>
      <c r="AI18" s="31" t="inlineStr">
        <is>
          <t>https://marquesadmjudicial.com.br/sgc/download.php?file=files/processo_documento/processo_documento15293208032024_1_.pdf&amp;nome=Relação Nominal de Credores da AJ-Sintética</t>
        </is>
      </c>
      <c r="AJ18" s="30" t="inlineStr">
        <is>
          <t>p31 r4</t>
        </is>
      </c>
      <c r="AK18" s="30" t="inlineStr">
        <is>
          <t>p31: R$ 10.696.833,99</t>
        </is>
      </c>
      <c r="AL18" s="30" t="inlineStr">
        <is>
          <t>AJ list (art. 7 §2)</t>
        </is>
      </c>
      <c r="AM18" s="30" t="inlineStr">
        <is>
          <t>2023-03-02</t>
        </is>
      </c>
      <c r="AN18" s="30" t="inlineStr">
        <is>
          <t>NONE FOUND</t>
        </is>
      </c>
      <c r="AO18" s="32" t="inlineStr">
        <is>
          <t>0005010-98.2023.8.16.0001</t>
        </is>
      </c>
      <c r="AP18" s="32" t="inlineStr">
        <is>
          <t>TJPR</t>
        </is>
      </c>
      <c r="AQ18" s="32" t="inlineStr">
        <is>
          <t>Recuperação judicial</t>
        </is>
      </c>
      <c r="AR18" s="32" t="inlineStr">
        <is>
          <t>DataJud: no closure/falência movement</t>
        </is>
      </c>
      <c r="AS18" s="32" t="n">
        <v>2023</v>
      </c>
      <c r="AT18" s="32" t="inlineStr">
        <is>
          <t>live case, no plan document yet</t>
        </is>
      </c>
      <c r="AU18" s="32" t="inlineStr"/>
      <c r="AV18" s="32" t="inlineStr">
        <is>
          <t>printed on the list (read twice)</t>
        </is>
      </c>
      <c r="AW18" s="32" t="inlineStr"/>
      <c r="AX18" s="32" t="inlineStr">
        <is>
          <t>CAMBE</t>
        </is>
      </c>
      <c r="AY18" s="32" t="inlineStr">
        <is>
          <t>PR</t>
        </is>
      </c>
      <c r="AZ18" s="32" t="inlineStr">
        <is>
          <t>Fabricação de medicamentos alopáticos para uso humano</t>
        </is>
      </c>
      <c r="BA18" s="32" t="inlineStr">
        <is>
          <t>não ME/EPP</t>
        </is>
      </c>
      <c r="BB18" s="33" t="n">
        <v>317316860</v>
      </c>
      <c r="BC18" s="32" t="inlineStr">
        <is>
          <t>MID-MARKET</t>
        </is>
      </c>
      <c r="BD18" s="32" t="inlineStr">
        <is>
          <t>61286647</t>
        </is>
      </c>
      <c r="BE18" s="32" t="n">
        <v>1</v>
      </c>
      <c r="BF18" s="32" t="inlineStr">
        <is>
          <t>class III reconciled (doc partial)</t>
        </is>
      </c>
    </row>
    <row r="19">
      <c r="A19" s="17" t="inlineStr">
        <is>
          <t>BASTON INDUSTRIA DE AEROSSOIS LTDA</t>
        </is>
      </c>
      <c r="B19" s="18" t="n">
        <v>10636330.31</v>
      </c>
      <c r="C19" s="19" t="inlineStr">
        <is>
          <t>GRUPO DP4</t>
        </is>
      </c>
      <c r="D19" s="20" t="inlineStr">
        <is>
          <t>NEW</t>
        </is>
      </c>
      <c r="E19" s="21" t="inlineStr"/>
      <c r="F19" s="20" t="inlineStr"/>
      <c r="G19" s="21" t="inlineStr"/>
      <c r="H19" s="20" t="inlineStr"/>
      <c r="I19" s="22" t="inlineStr">
        <is>
          <t>LUIS GUSTAVO MALUCELLI BACILA</t>
        </is>
      </c>
      <c r="J19" s="23" t="inlineStr">
        <is>
          <t>Administrador (RFB partner)</t>
        </is>
      </c>
      <c r="K19" s="22" t="inlineStr">
        <is>
          <t>(42) 3252-8120</t>
        </is>
      </c>
      <c r="L19" s="22" t="inlineStr">
        <is>
          <t>(42) 3252-1705</t>
        </is>
      </c>
      <c r="M19" s="22" t="inlineStr"/>
      <c r="N19" s="22" t="inlineStr"/>
      <c r="O19" s="22" t="inlineStr"/>
      <c r="P19" s="22" t="inlineStr">
        <is>
          <t>Fabiano Malucelli</t>
        </is>
      </c>
      <c r="Q19" s="22" t="inlineStr">
        <is>
          <t>Sales Representative</t>
        </is>
      </c>
      <c r="R19" s="22" t="inlineStr"/>
      <c r="S19" s="22" t="inlineStr">
        <is>
          <t>fabiano@baston.com.br</t>
        </is>
      </c>
      <c r="T19" s="22" t="inlineStr">
        <is>
          <t>DM = registered partner (RFB QSA); Apollo pick demoted to backup (non-finance role); BACKUP: weak; has_email; needs finance-title pass</t>
        </is>
      </c>
      <c r="U19" s="24" t="n">
        <v>10636330.31</v>
      </c>
      <c r="V19" s="25" t="inlineStr">
        <is>
          <t>B</t>
        </is>
      </c>
      <c r="W19" s="26" t="inlineStr"/>
      <c r="X19" s="27" t="inlineStr"/>
      <c r="Y19" s="27" t="inlineStr"/>
      <c r="Z19" s="26">
        <f>IF(W19&lt;&gt;"",W19,IFERROR(VLOOKUP(V19,Assumptions!$A$8:$F$12,2,FALSE),0))</f>
        <v/>
      </c>
      <c r="AA19" s="28">
        <f>IF(V19="A",MAX(1,IF(X19&lt;&gt;"",X19,IFERROR(VLOOKUP(V19,Assumptions!$A$8:$F$12,3,FALSE),3))+IF(Y19&lt;&gt;"",Y19,IFERROR(VLOOKUP(V19,Assumptions!$A$8:$F$12,4,FALSE),8))/2-MAX(0,IF(AS19="",0,YEAR(TODAY())-AS19)-IFERROR(VLOOKUP(V19,Assumptions!$A$8:$F$12,5,FALSE),1.5))),IFERROR(VLOOKUP(V19,Assumptions!$A$8:$F$12,5,FALSE),2.5)+IF(X19&lt;&gt;"",X19,IFERROR(VLOOKUP(V19,Assumptions!$A$8:$F$12,3,FALSE),3))+IF(Y19&lt;&gt;"",Y19,IFERROR(VLOOKUP(V19,Assumptions!$A$8:$F$12,4,FALSE),8))/2)</f>
        <v/>
      </c>
      <c r="AB19" s="24">
        <f>U19*Z19/(1+Assumptions!$B$3)^AA19</f>
        <v/>
      </c>
      <c r="AC19" s="27">
        <f>IF(U19=0,"",ROUND(AB19/U19*100,1))</f>
        <v/>
      </c>
      <c r="AD19" s="29">
        <f>AB19*Assumptions!$B$4</f>
        <v/>
      </c>
      <c r="AE19" s="27">
        <f>IF(U19=0,"",ROUND(AD19/U19*100,1))</f>
        <v/>
      </c>
      <c r="AF19" s="29">
        <f>AB19-AD19</f>
        <v/>
      </c>
      <c r="AG19" s="27">
        <f>IF(U19=0,"",ROUND((AB19-AD19)/U19*100,1))</f>
        <v/>
      </c>
      <c r="AH19" s="35" t="inlineStr">
        <is>
          <t>PARTIAL — class III reconciled, other classes not</t>
        </is>
      </c>
      <c r="AI19" s="31" t="inlineStr">
        <is>
          <t>https://marquesadmjudicial.com.br/sgc/download.php?file=files/processo_documento/processo_documento15293208032024_1_.pdf&amp;nome=Relação Nominal de Credores da AJ-Sintética</t>
        </is>
      </c>
      <c r="AJ19" s="30" t="inlineStr">
        <is>
          <t>p21 r8</t>
        </is>
      </c>
      <c r="AK19" s="30" t="inlineStr">
        <is>
          <t>p21: R$ 10.636.330,31</t>
        </is>
      </c>
      <c r="AL19" s="30" t="inlineStr">
        <is>
          <t>AJ list (art. 7 §2)</t>
        </is>
      </c>
      <c r="AM19" s="30" t="inlineStr">
        <is>
          <t>2023-03-02</t>
        </is>
      </c>
      <c r="AN19" s="30" t="inlineStr">
        <is>
          <t>NONE FOUND</t>
        </is>
      </c>
      <c r="AO19" s="32" t="inlineStr">
        <is>
          <t>0005010-98.2023.8.16.0001</t>
        </is>
      </c>
      <c r="AP19" s="32" t="inlineStr">
        <is>
          <t>TJPR</t>
        </is>
      </c>
      <c r="AQ19" s="32" t="inlineStr">
        <is>
          <t>Recuperação judicial</t>
        </is>
      </c>
      <c r="AR19" s="32" t="inlineStr">
        <is>
          <t>DataJud: no closure/falência movement</t>
        </is>
      </c>
      <c r="AS19" s="32" t="n">
        <v>2023</v>
      </c>
      <c r="AT19" s="32" t="inlineStr">
        <is>
          <t>live case, no plan document yet</t>
        </is>
      </c>
      <c r="AU19" s="32" t="inlineStr"/>
      <c r="AV19" s="32" t="inlineStr">
        <is>
          <t>printed on the list (read twice)</t>
        </is>
      </c>
      <c r="AW19" s="32" t="inlineStr"/>
      <c r="AX19" s="32" t="inlineStr">
        <is>
          <t>PALMEIRA</t>
        </is>
      </c>
      <c r="AY19" s="32" t="inlineStr">
        <is>
          <t>PR</t>
        </is>
      </c>
      <c r="AZ19" s="32" t="inlineStr">
        <is>
          <t>Fabricação de outros produtos químicos não especificados anteriormente</t>
        </is>
      </c>
      <c r="BA19" s="32" t="inlineStr">
        <is>
          <t>não ME/EPP</t>
        </is>
      </c>
      <c r="BB19" s="33" t="n">
        <v>101612480</v>
      </c>
      <c r="BC19" s="32" t="inlineStr">
        <is>
          <t>MID-MARKET</t>
        </is>
      </c>
      <c r="BD19" s="32" t="inlineStr">
        <is>
          <t>05855974</t>
        </is>
      </c>
      <c r="BE19" s="32" t="n">
        <v>1</v>
      </c>
      <c r="BF19" s="32" t="inlineStr">
        <is>
          <t>class III reconciled (doc partial)</t>
        </is>
      </c>
    </row>
    <row r="20">
      <c r="A20" s="17" t="inlineStr">
        <is>
          <t>ENVTECH DO BRASIL DESCONTAMINACOES INDUSTRIAIS LTDA</t>
        </is>
      </c>
      <c r="B20" s="18" t="n">
        <v>10310428.56</v>
      </c>
      <c r="C20" s="19" t="inlineStr">
        <is>
          <t>GRUPO EGESA (Egesa Engenharia S.A. + 9 group companies; see group members)</t>
        </is>
      </c>
      <c r="D20" s="20" t="inlineStr">
        <is>
          <t>NEW</t>
        </is>
      </c>
      <c r="E20" s="21" t="inlineStr"/>
      <c r="F20" s="20" t="inlineStr"/>
      <c r="G20" s="21" t="inlineStr"/>
      <c r="H20" s="20" t="inlineStr"/>
      <c r="I20" s="22" t="inlineStr">
        <is>
          <t>FREDDY VLADIMIR RADA COVALOVA</t>
        </is>
      </c>
      <c r="J20" s="23" t="inlineStr">
        <is>
          <t>Sócio-Administrador (RFB partner)</t>
        </is>
      </c>
      <c r="K20" s="22" t="inlineStr">
        <is>
          <t>(31) 8447-7021</t>
        </is>
      </c>
      <c r="L20" s="22" t="inlineStr"/>
      <c r="M20" s="22" t="inlineStr"/>
      <c r="N20" s="22" t="inlineStr"/>
      <c r="O20" s="22" t="inlineStr"/>
      <c r="P20" s="22" t="inlineStr"/>
      <c r="Q20" s="22" t="inlineStr"/>
      <c r="R20" s="22" t="inlineStr"/>
      <c r="S20" s="22" t="inlineStr"/>
      <c r="T20" s="22" t="inlineStr">
        <is>
          <t>DM = registered partner (RFB QSA); no Apollo match</t>
        </is>
      </c>
      <c r="U20" s="24" t="n">
        <v>10310428.56</v>
      </c>
      <c r="V20" s="25" t="inlineStr">
        <is>
          <t>B</t>
        </is>
      </c>
      <c r="W20" s="26" t="inlineStr"/>
      <c r="X20" s="27" t="inlineStr"/>
      <c r="Y20" s="27" t="inlineStr"/>
      <c r="Z20" s="26">
        <f>IF(W20&lt;&gt;"",W20,IFERROR(VLOOKUP(V20,Assumptions!$A$8:$F$12,2,FALSE),0))</f>
        <v/>
      </c>
      <c r="AA20" s="28">
        <f>IF(V20="A",MAX(1,IF(X20&lt;&gt;"",X20,IFERROR(VLOOKUP(V20,Assumptions!$A$8:$F$12,3,FALSE),3))+IF(Y20&lt;&gt;"",Y20,IFERROR(VLOOKUP(V20,Assumptions!$A$8:$F$12,4,FALSE),8))/2-MAX(0,IF(AS20="",0,YEAR(TODAY())-AS20)-IFERROR(VLOOKUP(V20,Assumptions!$A$8:$F$12,5,FALSE),1.5))),IFERROR(VLOOKUP(V20,Assumptions!$A$8:$F$12,5,FALSE),2.5)+IF(X20&lt;&gt;"",X20,IFERROR(VLOOKUP(V20,Assumptions!$A$8:$F$12,3,FALSE),3))+IF(Y20&lt;&gt;"",Y20,IFERROR(VLOOKUP(V20,Assumptions!$A$8:$F$12,4,FALSE),8))/2)</f>
        <v/>
      </c>
      <c r="AB20" s="24">
        <f>U20*Z20/(1+Assumptions!$B$3)^AA20</f>
        <v/>
      </c>
      <c r="AC20" s="27">
        <f>IF(U20=0,"",ROUND(AB20/U20*100,1))</f>
        <v/>
      </c>
      <c r="AD20" s="29">
        <f>AB20*Assumptions!$B$4</f>
        <v/>
      </c>
      <c r="AE20" s="27">
        <f>IF(U20=0,"",ROUND(AD20/U20*100,1))</f>
        <v/>
      </c>
      <c r="AF20" s="29">
        <f>AB20-AD20</f>
        <v/>
      </c>
      <c r="AG20" s="27">
        <f>IF(U20=0,"",ROUND((AB20-AD20)/U20*100,1))</f>
        <v/>
      </c>
      <c r="AH20" s="30" t="inlineStr">
        <is>
          <t>OK — totals reconciled</t>
        </is>
      </c>
      <c r="AI20" s="31" t="inlineStr">
        <is>
          <t>https://scalzilliaj.com.br/sgc/download.php?file=files/processo_documento/processo_documento09514021082025_1_.pdf&amp;nome=04 - Relação de credores das Recuperandas</t>
        </is>
      </c>
      <c r="AJ20" s="30" t="inlineStr">
        <is>
          <t>p66 r6</t>
        </is>
      </c>
      <c r="AK20" s="30" t="inlineStr">
        <is>
          <t>p66: R$ 10.310.428,56</t>
        </is>
      </c>
      <c r="AL20" s="30" t="inlineStr">
        <is>
          <t>Debtor list (art. 51)</t>
        </is>
      </c>
      <c r="AM20" s="30" t="inlineStr"/>
      <c r="AN20" s="30" t="inlineStr">
        <is>
          <t>NONE FOUND</t>
        </is>
      </c>
      <c r="AO20" s="32" t="inlineStr">
        <is>
          <t>5088952-81.2025.8.13.0024</t>
        </is>
      </c>
      <c r="AP20" s="32" t="inlineStr">
        <is>
          <t>TJMG</t>
        </is>
      </c>
      <c r="AQ20" s="32" t="inlineStr"/>
      <c r="AR20" s="32" t="inlineStr">
        <is>
          <t>DataJud: no closure/falência movement</t>
        </is>
      </c>
      <c r="AS20" s="32" t="n">
        <v>2025</v>
      </c>
      <c r="AT20" s="32" t="inlineStr">
        <is>
          <t>live case, no plan document yet; case no. from the portal record, not printed on the list</t>
        </is>
      </c>
      <c r="AU20" s="32" t="inlineStr"/>
      <c r="AV20" s="32" t="inlineStr">
        <is>
          <t>portal page title / URL — not printed on the list</t>
        </is>
      </c>
      <c r="AW20" s="32" t="inlineStr"/>
      <c r="AX20" s="32" t="inlineStr">
        <is>
          <t>PETROPOLIS</t>
        </is>
      </c>
      <c r="AY20" s="32" t="inlineStr">
        <is>
          <t>RJ</t>
        </is>
      </c>
      <c r="AZ20" s="32" t="inlineStr">
        <is>
          <t>Manutenção e reparação de outras máquinas e equipamentos para usos industriais não especificados anteriormente</t>
        </is>
      </c>
      <c r="BA20" s="32" t="inlineStr">
        <is>
          <t>não ME/EPP</t>
        </is>
      </c>
      <c r="BB20" s="33" t="n">
        <v>2281273</v>
      </c>
      <c r="BC20" s="32" t="inlineStr">
        <is>
          <t>MID-MARKET</t>
        </is>
      </c>
      <c r="BD20" s="32" t="inlineStr">
        <is>
          <t>11486977</t>
        </is>
      </c>
      <c r="BE20" s="32" t="n">
        <v>1</v>
      </c>
      <c r="BF20" s="32" t="inlineStr">
        <is>
          <t>case no. corrected by reader case no. from portal record</t>
        </is>
      </c>
    </row>
    <row r="21">
      <c r="A21" s="17" t="inlineStr">
        <is>
          <t>DANONE LTDA</t>
        </is>
      </c>
      <c r="B21" s="18" t="n">
        <v>9093937.710000001</v>
      </c>
      <c r="C21" s="19" t="inlineStr">
        <is>
          <t>GRUPO DP4</t>
        </is>
      </c>
      <c r="D21" s="20" t="inlineStr">
        <is>
          <t>NEW</t>
        </is>
      </c>
      <c r="E21" s="21" t="inlineStr"/>
      <c r="F21" s="20" t="inlineStr"/>
      <c r="G21" s="21" t="inlineStr"/>
      <c r="H21" s="20" t="inlineStr"/>
      <c r="I21" s="22" t="inlineStr">
        <is>
          <t>GEOVANI VIEIRA MANZANO</t>
        </is>
      </c>
      <c r="J21" s="23" t="inlineStr">
        <is>
          <t>Administrador (RFB partner)</t>
        </is>
      </c>
      <c r="K21" s="22" t="inlineStr">
        <is>
          <t>(35) 3729-7901</t>
        </is>
      </c>
      <c r="L21" s="22" t="inlineStr"/>
      <c r="M21" s="22" t="inlineStr"/>
      <c r="N21" s="22" t="inlineStr"/>
      <c r="O21" s="22" t="inlineStr"/>
      <c r="P21" s="22" t="inlineStr">
        <is>
          <t>TIAGO CARNEIRO DOS SANTOS</t>
        </is>
      </c>
      <c r="Q21" s="22" t="inlineStr">
        <is>
          <t>Administrador (RFB partner)</t>
        </is>
      </c>
      <c r="R21" s="22" t="inlineStr"/>
      <c r="S21" s="22" t="inlineStr"/>
      <c r="T21" s="22" t="inlineStr">
        <is>
          <t>DM = registered partner (RFB QSA); no Apollo match</t>
        </is>
      </c>
      <c r="U21" s="24" t="n">
        <v>9093937.710000001</v>
      </c>
      <c r="V21" s="25" t="inlineStr">
        <is>
          <t>B</t>
        </is>
      </c>
      <c r="W21" s="26" t="inlineStr"/>
      <c r="X21" s="27" t="inlineStr"/>
      <c r="Y21" s="27" t="inlineStr"/>
      <c r="Z21" s="26">
        <f>IF(W21&lt;&gt;"",W21,IFERROR(VLOOKUP(V21,Assumptions!$A$8:$F$12,2,FALSE),0))</f>
        <v/>
      </c>
      <c r="AA21" s="28">
        <f>IF(V21="A",MAX(1,IF(X21&lt;&gt;"",X21,IFERROR(VLOOKUP(V21,Assumptions!$A$8:$F$12,3,FALSE),3))+IF(Y21&lt;&gt;"",Y21,IFERROR(VLOOKUP(V21,Assumptions!$A$8:$F$12,4,FALSE),8))/2-MAX(0,IF(AS21="",0,YEAR(TODAY())-AS21)-IFERROR(VLOOKUP(V21,Assumptions!$A$8:$F$12,5,FALSE),1.5))),IFERROR(VLOOKUP(V21,Assumptions!$A$8:$F$12,5,FALSE),2.5)+IF(X21&lt;&gt;"",X21,IFERROR(VLOOKUP(V21,Assumptions!$A$8:$F$12,3,FALSE),3))+IF(Y21&lt;&gt;"",Y21,IFERROR(VLOOKUP(V21,Assumptions!$A$8:$F$12,4,FALSE),8))/2)</f>
        <v/>
      </c>
      <c r="AB21" s="24">
        <f>U21*Z21/(1+Assumptions!$B$3)^AA21</f>
        <v/>
      </c>
      <c r="AC21" s="27">
        <f>IF(U21=0,"",ROUND(AB21/U21*100,1))</f>
        <v/>
      </c>
      <c r="AD21" s="29">
        <f>AB21*Assumptions!$B$4</f>
        <v/>
      </c>
      <c r="AE21" s="27">
        <f>IF(U21=0,"",ROUND(AD21/U21*100,1))</f>
        <v/>
      </c>
      <c r="AF21" s="29">
        <f>AB21-AD21</f>
        <v/>
      </c>
      <c r="AG21" s="27">
        <f>IF(U21=0,"",ROUND((AB21-AD21)/U21*100,1))</f>
        <v/>
      </c>
      <c r="AH21" s="35" t="inlineStr">
        <is>
          <t>PARTIAL — class III reconciled, other classes not</t>
        </is>
      </c>
      <c r="AI21" s="31" t="inlineStr">
        <is>
          <t>https://marquesadmjudicial.com.br/sgc/download.php?file=files/processo_documento/processo_documento15293208032024_1_.pdf&amp;nome=Relação Nominal de Credores da AJ-Sintética</t>
        </is>
      </c>
      <c r="AJ21" s="30" t="inlineStr">
        <is>
          <t>p24 r6</t>
        </is>
      </c>
      <c r="AK21" s="30" t="inlineStr">
        <is>
          <t>p24: R$ 9.093.937,71</t>
        </is>
      </c>
      <c r="AL21" s="30" t="inlineStr">
        <is>
          <t>AJ list (art. 7 §2)</t>
        </is>
      </c>
      <c r="AM21" s="30" t="inlineStr">
        <is>
          <t>2023-03-02</t>
        </is>
      </c>
      <c r="AN21" s="30" t="inlineStr">
        <is>
          <t>NONE FOUND</t>
        </is>
      </c>
      <c r="AO21" s="32" t="inlineStr">
        <is>
          <t>0005010-98.2023.8.16.0001</t>
        </is>
      </c>
      <c r="AP21" s="32" t="inlineStr">
        <is>
          <t>TJPR</t>
        </is>
      </c>
      <c r="AQ21" s="32" t="inlineStr">
        <is>
          <t>Recuperação judicial</t>
        </is>
      </c>
      <c r="AR21" s="32" t="inlineStr">
        <is>
          <t>DataJud: no closure/falência movement</t>
        </is>
      </c>
      <c r="AS21" s="32" t="n">
        <v>2023</v>
      </c>
      <c r="AT21" s="32" t="inlineStr">
        <is>
          <t>live case, no plan document yet</t>
        </is>
      </c>
      <c r="AU21" s="32" t="inlineStr"/>
      <c r="AV21" s="32" t="inlineStr">
        <is>
          <t>printed on the list (read twice)</t>
        </is>
      </c>
      <c r="AW21" s="32" t="inlineStr"/>
      <c r="AX21" s="32" t="inlineStr">
        <is>
          <t>SAO PAULO</t>
        </is>
      </c>
      <c r="AY21" s="32" t="inlineStr">
        <is>
          <t>SP</t>
        </is>
      </c>
      <c r="AZ21" s="32" t="inlineStr">
        <is>
          <t>Fabricação de laticínios</t>
        </is>
      </c>
      <c r="BA21" s="32" t="inlineStr">
        <is>
          <t>não ME/EPP</t>
        </is>
      </c>
      <c r="BB21" s="33" t="n">
        <v>851128000</v>
      </c>
      <c r="BC21" s="32" t="inlineStr">
        <is>
          <t>MID-MARKET</t>
        </is>
      </c>
      <c r="BD21" s="32" t="inlineStr">
        <is>
          <t>23643315</t>
        </is>
      </c>
      <c r="BE21" s="32" t="n">
        <v>1</v>
      </c>
      <c r="BF21" s="32" t="inlineStr">
        <is>
          <t>class III reconciled (doc partial)</t>
        </is>
      </c>
    </row>
    <row r="22">
      <c r="A22" s="17" t="inlineStr">
        <is>
          <t>COPA ENERGIA S.A.</t>
        </is>
      </c>
      <c r="B22" s="18" t="n">
        <v>9000000</v>
      </c>
      <c r="C22" s="19" t="inlineStr">
        <is>
          <t>GRUPO GLP</t>
        </is>
      </c>
      <c r="D22" s="20" t="inlineStr">
        <is>
          <t>NEW</t>
        </is>
      </c>
      <c r="E22" s="21" t="inlineStr"/>
      <c r="F22" s="20" t="inlineStr"/>
      <c r="G22" s="21" t="inlineStr"/>
      <c r="H22" s="20" t="inlineStr"/>
      <c r="I22" s="22" t="inlineStr">
        <is>
          <t>Eduardo Souza</t>
        </is>
      </c>
      <c r="J22" s="22" t="inlineStr">
        <is>
          <t>Gerente de Crédito e Cobrança</t>
        </is>
      </c>
      <c r="K22" s="22" t="inlineStr">
        <is>
          <t>(11) 5505-4077</t>
        </is>
      </c>
      <c r="L22" s="22" t="inlineStr"/>
      <c r="M22" s="22" t="inlineStr"/>
      <c r="N22" s="22" t="inlineStr">
        <is>
          <t>eduardo.souza@copaenergia.com.br</t>
        </is>
      </c>
      <c r="O22" s="22" t="inlineStr">
        <is>
          <t>verified</t>
        </is>
      </c>
      <c r="P22" s="22" t="inlineStr">
        <is>
          <t>Carlos Martins</t>
        </is>
      </c>
      <c r="Q22" s="22" t="inlineStr">
        <is>
          <t>Treasury Manager</t>
        </is>
      </c>
      <c r="R22" s="22" t="inlineStr"/>
      <c r="S22" s="22" t="inlineStr">
        <is>
          <t>carlos.martins@copaenergia.com.br</t>
        </is>
      </c>
      <c r="T22" s="22" t="inlineStr">
        <is>
          <t>DM: has_email, phone Yes; BACKUP: backup, has_email, phone Yes</t>
        </is>
      </c>
      <c r="U22" s="24" t="n">
        <v>9000000</v>
      </c>
      <c r="V22" s="25" t="inlineStr">
        <is>
          <t>B</t>
        </is>
      </c>
      <c r="W22" s="26" t="inlineStr"/>
      <c r="X22" s="27" t="inlineStr"/>
      <c r="Y22" s="27" t="inlineStr"/>
      <c r="Z22" s="26">
        <f>IF(W22&lt;&gt;"",W22,IFERROR(VLOOKUP(V22,Assumptions!$A$8:$F$12,2,FALSE),0))</f>
        <v/>
      </c>
      <c r="AA22" s="28">
        <f>IF(V22="A",MAX(1,IF(X22&lt;&gt;"",X22,IFERROR(VLOOKUP(V22,Assumptions!$A$8:$F$12,3,FALSE),3))+IF(Y22&lt;&gt;"",Y22,IFERROR(VLOOKUP(V22,Assumptions!$A$8:$F$12,4,FALSE),8))/2-MAX(0,IF(AS22="",0,YEAR(TODAY())-AS22)-IFERROR(VLOOKUP(V22,Assumptions!$A$8:$F$12,5,FALSE),1.5))),IFERROR(VLOOKUP(V22,Assumptions!$A$8:$F$12,5,FALSE),2.5)+IF(X22&lt;&gt;"",X22,IFERROR(VLOOKUP(V22,Assumptions!$A$8:$F$12,3,FALSE),3))+IF(Y22&lt;&gt;"",Y22,IFERROR(VLOOKUP(V22,Assumptions!$A$8:$F$12,4,FALSE),8))/2)</f>
        <v/>
      </c>
      <c r="AB22" s="24">
        <f>U22*Z22/(1+Assumptions!$B$3)^AA22</f>
        <v/>
      </c>
      <c r="AC22" s="27">
        <f>IF(U22=0,"",ROUND(AB22/U22*100,1))</f>
        <v/>
      </c>
      <c r="AD22" s="29">
        <f>AB22*Assumptions!$B$4</f>
        <v/>
      </c>
      <c r="AE22" s="27">
        <f>IF(U22=0,"",ROUND(AD22/U22*100,1))</f>
        <v/>
      </c>
      <c r="AF22" s="29">
        <f>AB22-AD22</f>
        <v/>
      </c>
      <c r="AG22" s="27">
        <f>IF(U22=0,"",ROUND((AB22-AD22)/U22*100,1))</f>
        <v/>
      </c>
      <c r="AH22" s="30" t="inlineStr">
        <is>
          <t>OK — totals reconciled</t>
        </is>
      </c>
      <c r="AI22" s="31" t="inlineStr">
        <is>
          <t>https://recuperasolucoes.com/wp-content/plugins/download-attachments/includes/download.php?id=1597</t>
        </is>
      </c>
      <c r="AJ22" s="30" t="inlineStr">
        <is>
          <t>p13 r12</t>
        </is>
      </c>
      <c r="AK22" s="30" t="inlineStr">
        <is>
          <t>p13: R$ 9.000.000,00</t>
        </is>
      </c>
      <c r="AL22" s="30" t="inlineStr">
        <is>
          <t>Debtor list (art. 51)</t>
        </is>
      </c>
      <c r="AM22" s="30" t="inlineStr">
        <is>
          <t>2026-05-21</t>
        </is>
      </c>
      <c r="AN22" s="30" t="inlineStr">
        <is>
          <t>NONE FOUND</t>
        </is>
      </c>
      <c r="AO22" s="32" t="inlineStr">
        <is>
          <t>0001639-09.2026.8.17.2810</t>
        </is>
      </c>
      <c r="AP22" s="32" t="inlineStr">
        <is>
          <t>TJPE</t>
        </is>
      </c>
      <c r="AQ22" s="32" t="inlineStr">
        <is>
          <t>Recuperação judicial</t>
        </is>
      </c>
      <c r="AR22" s="32" t="inlineStr">
        <is>
          <t>DataJud: no closure/falência movement</t>
        </is>
      </c>
      <c r="AS22" s="32" t="n">
        <v>2026</v>
      </c>
      <c r="AT22" s="32" t="inlineStr">
        <is>
          <t>live case, no plan document yet</t>
        </is>
      </c>
      <c r="AU22" s="32" t="inlineStr"/>
      <c r="AV22" s="32" t="inlineStr">
        <is>
          <t>printed on the list (read twice)</t>
        </is>
      </c>
      <c r="AW22" s="32" t="inlineStr"/>
      <c r="AX22" s="32" t="inlineStr">
        <is>
          <t>SAO PAULO</t>
        </is>
      </c>
      <c r="AY22" s="32" t="inlineStr">
        <is>
          <t>SP</t>
        </is>
      </c>
      <c r="AZ22" s="32" t="inlineStr">
        <is>
          <t>Comércio atacadista de gás liqüefeito de petróleo (GLP)</t>
        </is>
      </c>
      <c r="BA22" s="32" t="inlineStr">
        <is>
          <t>não ME/EPP</t>
        </is>
      </c>
      <c r="BB22" s="33" t="n">
        <v>1052991300</v>
      </c>
      <c r="BC22" s="32" t="inlineStr">
        <is>
          <t>LARGE CORP</t>
        </is>
      </c>
      <c r="BD22" s="32" t="inlineStr">
        <is>
          <t>03237583</t>
        </is>
      </c>
      <c r="BE22" s="32" t="n">
        <v>1</v>
      </c>
      <c r="BF22" s="32" t="inlineStr"/>
    </row>
    <row r="23">
      <c r="A23" s="17" t="inlineStr">
        <is>
          <t>FIRST S/A</t>
        </is>
      </c>
      <c r="B23" s="18" t="n">
        <v>8354815.13</v>
      </c>
      <c r="C23" s="19" t="inlineStr">
        <is>
          <t>Grupo Rech</t>
        </is>
      </c>
      <c r="D23" s="20" t="inlineStr">
        <is>
          <t>NEW</t>
        </is>
      </c>
      <c r="E23" s="21" t="inlineStr"/>
      <c r="F23" s="20" t="inlineStr"/>
      <c r="G23" s="21" t="inlineStr"/>
      <c r="H23" s="20" t="inlineStr"/>
      <c r="I23" s="22" t="inlineStr">
        <is>
          <t>NATANAEL SANTOS DE SOUZA</t>
        </is>
      </c>
      <c r="J23" s="23" t="inlineStr">
        <is>
          <t>Presidente (RFB partner)</t>
        </is>
      </c>
      <c r="K23" s="22" t="inlineStr">
        <is>
          <t>(11) 5054-8110</t>
        </is>
      </c>
      <c r="L23" s="22" t="inlineStr"/>
      <c r="M23" s="22" t="inlineStr"/>
      <c r="N23" s="22" t="inlineStr"/>
      <c r="O23" s="22" t="inlineStr"/>
      <c r="P23" s="22" t="inlineStr">
        <is>
          <t>MARA HELENA MARTINI DE SOUZA</t>
        </is>
      </c>
      <c r="Q23" s="22" t="inlineStr">
        <is>
          <t>Diretor (RFB partner)</t>
        </is>
      </c>
      <c r="R23" s="22" t="inlineStr"/>
      <c r="S23" s="22" t="inlineStr"/>
      <c r="T23" s="22" t="inlineStr">
        <is>
          <t>DM = registered partner (RFB QSA); no Apollo match</t>
        </is>
      </c>
      <c r="U23" s="24" t="n">
        <v>8354815.13</v>
      </c>
      <c r="V23" s="25" t="inlineStr">
        <is>
          <t>B</t>
        </is>
      </c>
      <c r="W23" s="26" t="inlineStr"/>
      <c r="X23" s="27" t="inlineStr"/>
      <c r="Y23" s="27" t="inlineStr"/>
      <c r="Z23" s="26">
        <f>IF(W23&lt;&gt;"",W23,IFERROR(VLOOKUP(V23,Assumptions!$A$8:$F$12,2,FALSE),0))</f>
        <v/>
      </c>
      <c r="AA23" s="28">
        <f>IF(V23="A",MAX(1,IF(X23&lt;&gt;"",X23,IFERROR(VLOOKUP(V23,Assumptions!$A$8:$F$12,3,FALSE),3))+IF(Y23&lt;&gt;"",Y23,IFERROR(VLOOKUP(V23,Assumptions!$A$8:$F$12,4,FALSE),8))/2-MAX(0,IF(AS23="",0,YEAR(TODAY())-AS23)-IFERROR(VLOOKUP(V23,Assumptions!$A$8:$F$12,5,FALSE),1.5))),IFERROR(VLOOKUP(V23,Assumptions!$A$8:$F$12,5,FALSE),2.5)+IF(X23&lt;&gt;"",X23,IFERROR(VLOOKUP(V23,Assumptions!$A$8:$F$12,3,FALSE),3))+IF(Y23&lt;&gt;"",Y23,IFERROR(VLOOKUP(V23,Assumptions!$A$8:$F$12,4,FALSE),8))/2)</f>
        <v/>
      </c>
      <c r="AB23" s="24">
        <f>U23*Z23/(1+Assumptions!$B$3)^AA23</f>
        <v/>
      </c>
      <c r="AC23" s="27">
        <f>IF(U23=0,"",ROUND(AB23/U23*100,1))</f>
        <v/>
      </c>
      <c r="AD23" s="29">
        <f>AB23*Assumptions!$B$4</f>
        <v/>
      </c>
      <c r="AE23" s="27">
        <f>IF(U23=0,"",ROUND(AD23/U23*100,1))</f>
        <v/>
      </c>
      <c r="AF23" s="29">
        <f>AB23-AD23</f>
        <v/>
      </c>
      <c r="AG23" s="27">
        <f>IF(U23=0,"",ROUND((AB23-AD23)/U23*100,1))</f>
        <v/>
      </c>
      <c r="AH23" s="36" t="inlineStr">
        <is>
          <t>CHECK — source is not a statutory creditor list</t>
        </is>
      </c>
      <c r="AI23" s="31" t="inlineStr">
        <is>
          <t>https://credibilita.com.br/wp-content/uploads/2025/09/Relacao-Credores-29.04.2026.pdf</t>
        </is>
      </c>
      <c r="AJ23" s="30" t="inlineStr">
        <is>
          <t>p1 r23</t>
        </is>
      </c>
      <c r="AK23" s="30" t="inlineStr">
        <is>
          <t>p1: R$ 8.354.815,13</t>
        </is>
      </c>
      <c r="AL23" s="30" t="inlineStr">
        <is>
          <t>Quorum list — NOT an art. 7/51 list</t>
        </is>
      </c>
      <c r="AM23" s="30" t="inlineStr"/>
      <c r="AN23" s="30" t="inlineStr">
        <is>
          <t>NONE FOUND</t>
        </is>
      </c>
      <c r="AO23" s="32" t="inlineStr">
        <is>
          <t>5057720-48.2025.8.24.0023</t>
        </is>
      </c>
      <c r="AP23" s="32" t="inlineStr">
        <is>
          <t>TJSC</t>
        </is>
      </c>
      <c r="AQ23" s="32" t="inlineStr"/>
      <c r="AR23" s="32" t="inlineStr">
        <is>
          <t>not in DataJud</t>
        </is>
      </c>
      <c r="AS23" s="32" t="n">
        <v>2025</v>
      </c>
      <c r="AT23" s="32" t="inlineStr">
        <is>
          <t>live case, no plan document yet; case no. from the portal record, not printed on the list</t>
        </is>
      </c>
      <c r="AU23" s="32" t="inlineStr"/>
      <c r="AV23" s="32" t="inlineStr">
        <is>
          <t>portal page title / URL — not printed on the list</t>
        </is>
      </c>
      <c r="AW23" s="32" t="inlineStr"/>
      <c r="AX23" s="32" t="inlineStr">
        <is>
          <t>SAO PAULO</t>
        </is>
      </c>
      <c r="AY23" s="32" t="inlineStr">
        <is>
          <t>SP</t>
        </is>
      </c>
      <c r="AZ23" s="32" t="inlineStr">
        <is>
          <t>Comércio atacadista especializado em outros produtos intermediários não especificados anteriormente</t>
        </is>
      </c>
      <c r="BA23" s="32" t="inlineStr">
        <is>
          <t>não ME/EPP</t>
        </is>
      </c>
      <c r="BB23" s="33" t="n">
        <v>20537872</v>
      </c>
      <c r="BC23" s="32" t="inlineStr">
        <is>
          <t>MID-MARKET</t>
        </is>
      </c>
      <c r="BD23" s="32" t="inlineStr">
        <is>
          <t>00802235</t>
        </is>
      </c>
      <c r="BE23" s="32" t="n">
        <v>1</v>
      </c>
      <c r="BF23" s="32" t="inlineStr">
        <is>
          <t>list prints no totals case no. corrected by reader</t>
        </is>
      </c>
    </row>
    <row r="24">
      <c r="A24" s="17" t="inlineStr">
        <is>
          <t>IPESA DO BRASIL COMERCIO DE PRODUTOS PLASTICOS LTDA</t>
        </is>
      </c>
      <c r="B24" s="18" t="n">
        <v>8353250</v>
      </c>
      <c r="C24" s="19" t="inlineStr">
        <is>
          <t>Grupo Rech</t>
        </is>
      </c>
      <c r="D24" s="20" t="inlineStr">
        <is>
          <t>NEW</t>
        </is>
      </c>
      <c r="E24" s="21" t="inlineStr"/>
      <c r="F24" s="20" t="inlineStr"/>
      <c r="G24" s="21" t="inlineStr"/>
      <c r="H24" s="20" t="inlineStr"/>
      <c r="I24" s="22" t="inlineStr">
        <is>
          <t>VIRGINIA KUMVICH</t>
        </is>
      </c>
      <c r="J24" s="23" t="inlineStr">
        <is>
          <t>Administrador (RFB partner)</t>
        </is>
      </c>
      <c r="K24" s="22" t="inlineStr">
        <is>
          <t>(11) 5524-2877</t>
        </is>
      </c>
      <c r="L24" s="22" t="inlineStr"/>
      <c r="M24" s="22" t="inlineStr"/>
      <c r="N24" s="22" t="inlineStr"/>
      <c r="O24" s="22" t="inlineStr"/>
      <c r="P24" s="22" t="inlineStr">
        <is>
          <t>Virginia Kumvich</t>
        </is>
      </c>
      <c r="Q24" s="22" t="inlineStr">
        <is>
          <t>Diretora Comercial, de Negócios &amp; Estratégia</t>
        </is>
      </c>
      <c r="R24" s="22" t="inlineStr"/>
      <c r="S24" s="22" t="inlineStr"/>
      <c r="T24" s="22" t="inlineStr">
        <is>
          <t>DM = registered partner (RFB QSA); Apollo pick demoted to backup (non-finance role); BACKUP: no email flag</t>
        </is>
      </c>
      <c r="U24" s="24" t="n">
        <v>8353250</v>
      </c>
      <c r="V24" s="25" t="inlineStr">
        <is>
          <t>B</t>
        </is>
      </c>
      <c r="W24" s="26" t="inlineStr"/>
      <c r="X24" s="27" t="inlineStr"/>
      <c r="Y24" s="27" t="inlineStr"/>
      <c r="Z24" s="26">
        <f>IF(W24&lt;&gt;"",W24,IFERROR(VLOOKUP(V24,Assumptions!$A$8:$F$12,2,FALSE),0))</f>
        <v/>
      </c>
      <c r="AA24" s="28">
        <f>IF(V24="A",MAX(1,IF(X24&lt;&gt;"",X24,IFERROR(VLOOKUP(V24,Assumptions!$A$8:$F$12,3,FALSE),3))+IF(Y24&lt;&gt;"",Y24,IFERROR(VLOOKUP(V24,Assumptions!$A$8:$F$12,4,FALSE),8))/2-MAX(0,IF(AS24="",0,YEAR(TODAY())-AS24)-IFERROR(VLOOKUP(V24,Assumptions!$A$8:$F$12,5,FALSE),1.5))),IFERROR(VLOOKUP(V24,Assumptions!$A$8:$F$12,5,FALSE),2.5)+IF(X24&lt;&gt;"",X24,IFERROR(VLOOKUP(V24,Assumptions!$A$8:$F$12,3,FALSE),3))+IF(Y24&lt;&gt;"",Y24,IFERROR(VLOOKUP(V24,Assumptions!$A$8:$F$12,4,FALSE),8))/2)</f>
        <v/>
      </c>
      <c r="AB24" s="24">
        <f>U24*Z24/(1+Assumptions!$B$3)^AA24</f>
        <v/>
      </c>
      <c r="AC24" s="27">
        <f>IF(U24=0,"",ROUND(AB24/U24*100,1))</f>
        <v/>
      </c>
      <c r="AD24" s="29">
        <f>AB24*Assumptions!$B$4</f>
        <v/>
      </c>
      <c r="AE24" s="27">
        <f>IF(U24=0,"",ROUND(AD24/U24*100,1))</f>
        <v/>
      </c>
      <c r="AF24" s="29">
        <f>AB24-AD24</f>
        <v/>
      </c>
      <c r="AG24" s="27">
        <f>IF(U24=0,"",ROUND((AB24-AD24)/U24*100,1))</f>
        <v/>
      </c>
      <c r="AH24" s="36" t="inlineStr">
        <is>
          <t>CHECK — source is not a statutory creditor list</t>
        </is>
      </c>
      <c r="AI24" s="31" t="inlineStr">
        <is>
          <t>https://credibilita.com.br/wp-content/uploads/2025/09/Relacao-Credores-29.04.2026.pdf</t>
        </is>
      </c>
      <c r="AJ24" s="30" t="inlineStr">
        <is>
          <t>p1 r27</t>
        </is>
      </c>
      <c r="AK24" s="30" t="inlineStr">
        <is>
          <t>p1: R$ 8.353.250,00</t>
        </is>
      </c>
      <c r="AL24" s="30" t="inlineStr">
        <is>
          <t>Quorum list — NOT an art. 7/51 list</t>
        </is>
      </c>
      <c r="AM24" s="30" t="inlineStr"/>
      <c r="AN24" s="30" t="inlineStr">
        <is>
          <t>NONE FOUND</t>
        </is>
      </c>
      <c r="AO24" s="32" t="inlineStr">
        <is>
          <t>5057720-48.2025.8.24.0023</t>
        </is>
      </c>
      <c r="AP24" s="32" t="inlineStr">
        <is>
          <t>TJSC</t>
        </is>
      </c>
      <c r="AQ24" s="32" t="inlineStr"/>
      <c r="AR24" s="32" t="inlineStr">
        <is>
          <t>not in DataJud</t>
        </is>
      </c>
      <c r="AS24" s="32" t="n">
        <v>2025</v>
      </c>
      <c r="AT24" s="32" t="inlineStr">
        <is>
          <t>live case, no plan document yet; case no. from the portal record, not printed on the list</t>
        </is>
      </c>
      <c r="AU24" s="32" t="inlineStr"/>
      <c r="AV24" s="32" t="inlineStr">
        <is>
          <t>portal page title / URL — not printed on the list</t>
        </is>
      </c>
      <c r="AW24" s="32" t="inlineStr"/>
      <c r="AX24" s="32" t="inlineStr">
        <is>
          <t>SAO PAULO</t>
        </is>
      </c>
      <c r="AY24" s="32" t="inlineStr">
        <is>
          <t>SP</t>
        </is>
      </c>
      <c r="AZ24" s="32" t="inlineStr">
        <is>
          <t>Comércio atacadista especializado em outros produtos intermediários não especificados anteriormente</t>
        </is>
      </c>
      <c r="BA24" s="32" t="inlineStr">
        <is>
          <t>não ME/EPP</t>
        </is>
      </c>
      <c r="BB24" s="33" t="n">
        <v>5888486</v>
      </c>
      <c r="BC24" s="32" t="inlineStr">
        <is>
          <t>MID-MARKET</t>
        </is>
      </c>
      <c r="BD24" s="32" t="inlineStr">
        <is>
          <t>05607230</t>
        </is>
      </c>
      <c r="BE24" s="32" t="n">
        <v>1</v>
      </c>
      <c r="BF24" s="32" t="inlineStr">
        <is>
          <t>list prints no totals case no. corrected by reader</t>
        </is>
      </c>
    </row>
    <row r="25">
      <c r="A25" s="17" t="inlineStr">
        <is>
          <t>CLIMAZON INDUSTRIAL LTDA</t>
        </is>
      </c>
      <c r="B25" s="18" t="n">
        <v>8012248.57</v>
      </c>
      <c r="C25" s="19" t="inlineStr">
        <is>
          <t>REAL DISTRIBUIDORA ÚNICA RIO COMÉRCIO DE REFRIGERAÇÃO LTDA.</t>
        </is>
      </c>
      <c r="D25" s="20" t="inlineStr">
        <is>
          <t>NEW</t>
        </is>
      </c>
      <c r="E25" s="21" t="inlineStr"/>
      <c r="F25" s="20" t="inlineStr"/>
      <c r="G25" s="21" t="inlineStr"/>
      <c r="H25" s="20" t="inlineStr"/>
      <c r="I25" s="22" t="inlineStr">
        <is>
          <t>ADRIANO ZACCARI FORTUNA</t>
        </is>
      </c>
      <c r="J25" s="23" t="inlineStr">
        <is>
          <t>Administrador (RFB partner)</t>
        </is>
      </c>
      <c r="K25" s="22" t="inlineStr">
        <is>
          <t>(51) 3477-9873</t>
        </is>
      </c>
      <c r="L25" s="22" t="inlineStr">
        <is>
          <t>(51) 3477-9684</t>
        </is>
      </c>
      <c r="M25" s="22" t="inlineStr"/>
      <c r="N25" s="22" t="inlineStr"/>
      <c r="O25" s="22" t="inlineStr"/>
      <c r="P25" s="22" t="inlineStr">
        <is>
          <t>LUCIANO FREITAS DE OLIVEIRA</t>
        </is>
      </c>
      <c r="Q25" s="22" t="inlineStr">
        <is>
          <t>Administrador (RFB partner)</t>
        </is>
      </c>
      <c r="R25" s="22" t="inlineStr"/>
      <c r="S25" s="22" t="inlineStr"/>
      <c r="T25" s="22" t="inlineStr">
        <is>
          <t>DM = registered partner (RFB QSA); no Apollo match</t>
        </is>
      </c>
      <c r="U25" s="24" t="n">
        <v>8012248.57</v>
      </c>
      <c r="V25" s="25" t="inlineStr">
        <is>
          <t>B</t>
        </is>
      </c>
      <c r="W25" s="26" t="inlineStr"/>
      <c r="X25" s="27" t="inlineStr"/>
      <c r="Y25" s="27" t="inlineStr"/>
      <c r="Z25" s="26">
        <f>IF(W25&lt;&gt;"",W25,IFERROR(VLOOKUP(V25,Assumptions!$A$8:$F$12,2,FALSE),0))</f>
        <v/>
      </c>
      <c r="AA25" s="28">
        <f>IF(V25="A",MAX(1,IF(X25&lt;&gt;"",X25,IFERROR(VLOOKUP(V25,Assumptions!$A$8:$F$12,3,FALSE),3))+IF(Y25&lt;&gt;"",Y25,IFERROR(VLOOKUP(V25,Assumptions!$A$8:$F$12,4,FALSE),8))/2-MAX(0,IF(AS25="",0,YEAR(TODAY())-AS25)-IFERROR(VLOOKUP(V25,Assumptions!$A$8:$F$12,5,FALSE),1.5))),IFERROR(VLOOKUP(V25,Assumptions!$A$8:$F$12,5,FALSE),2.5)+IF(X25&lt;&gt;"",X25,IFERROR(VLOOKUP(V25,Assumptions!$A$8:$F$12,3,FALSE),3))+IF(Y25&lt;&gt;"",Y25,IFERROR(VLOOKUP(V25,Assumptions!$A$8:$F$12,4,FALSE),8))/2)</f>
        <v/>
      </c>
      <c r="AB25" s="24">
        <f>U25*Z25/(1+Assumptions!$B$3)^AA25</f>
        <v/>
      </c>
      <c r="AC25" s="27">
        <f>IF(U25=0,"",ROUND(AB25/U25*100,1))</f>
        <v/>
      </c>
      <c r="AD25" s="29">
        <f>AB25*Assumptions!$B$4</f>
        <v/>
      </c>
      <c r="AE25" s="27">
        <f>IF(U25=0,"",ROUND(AD25/U25*100,1))</f>
        <v/>
      </c>
      <c r="AF25" s="29">
        <f>AB25-AD25</f>
        <v/>
      </c>
      <c r="AG25" s="27">
        <f>IF(U25=0,"",ROUND((AB25-AD25)/U25*100,1))</f>
        <v/>
      </c>
      <c r="AH25" s="30" t="inlineStr">
        <is>
          <t>OK — totals reconciled</t>
        </is>
      </c>
      <c r="AI25" s="31" t="inlineStr">
        <is>
          <t>https://inova-aj.com.br/wp-content/uploads/2026/08/1a-Relacao-de-Credores-Real.pdf</t>
        </is>
      </c>
      <c r="AJ25" s="30" t="inlineStr">
        <is>
          <t>p1 r25</t>
        </is>
      </c>
      <c r="AK25" s="30" t="inlineStr">
        <is>
          <t>p1: R$ 8.012.248,57</t>
        </is>
      </c>
      <c r="AL25" s="30" t="inlineStr">
        <is>
          <t>AJ list (art. 7 §2)</t>
        </is>
      </c>
      <c r="AM25" s="30" t="inlineStr">
        <is>
          <t>2023-06-05</t>
        </is>
      </c>
      <c r="AN25" s="30" t="inlineStr">
        <is>
          <t>NONE FOUND</t>
        </is>
      </c>
      <c r="AO25" s="32" t="inlineStr">
        <is>
          <t>0873061-47.2023.8.19.0001</t>
        </is>
      </c>
      <c r="AP25" s="32" t="inlineStr">
        <is>
          <t>TJRJ</t>
        </is>
      </c>
      <c r="AQ25" s="32" t="inlineStr">
        <is>
          <t>Recuperação judicial</t>
        </is>
      </c>
      <c r="AR25" s="32" t="inlineStr">
        <is>
          <t>not in DataJud</t>
        </is>
      </c>
      <c r="AS25" s="32" t="n">
        <v>2023</v>
      </c>
      <c r="AT25" s="32" t="inlineStr">
        <is>
          <t>live case, no plan document yet; case no. from the portal record, not printed on the list</t>
        </is>
      </c>
      <c r="AU25" s="32" t="inlineStr"/>
      <c r="AV25" s="32" t="inlineStr">
        <is>
          <t>printed on the list (read twice)</t>
        </is>
      </c>
      <c r="AW25" s="32" t="inlineStr"/>
      <c r="AX25" s="32" t="inlineStr">
        <is>
          <t>MANAUS</t>
        </is>
      </c>
      <c r="AY25" s="32" t="inlineStr">
        <is>
          <t>AM</t>
        </is>
      </c>
      <c r="AZ25" s="32" t="inlineStr">
        <is>
          <t>Fabricação de aparelhos e equipamentos de ar condicionado para uso não-industrial</t>
        </is>
      </c>
      <c r="BA25" s="32" t="inlineStr">
        <is>
          <t>não ME/EPP</t>
        </is>
      </c>
      <c r="BB25" s="33" t="n">
        <v>93907850</v>
      </c>
      <c r="BC25" s="32" t="inlineStr">
        <is>
          <t>MID-MARKET</t>
        </is>
      </c>
      <c r="BD25" s="32" t="inlineStr">
        <is>
          <t>04222931</t>
        </is>
      </c>
      <c r="BE25" s="32" t="n">
        <v>1</v>
      </c>
      <c r="BF25" s="32" t="inlineStr">
        <is>
          <t>ALT_VALUE:R$5.825.770,44</t>
        </is>
      </c>
    </row>
    <row r="26">
      <c r="A26" s="17" t="inlineStr">
        <is>
          <t>FRESENIUS MEDICAL CARE LTDA</t>
        </is>
      </c>
      <c r="B26" s="18" t="n">
        <v>14567733.99</v>
      </c>
      <c r="C26" s="37" t="inlineStr">
        <is>
          <t>(debtor not identified — see proof)</t>
        </is>
      </c>
      <c r="D26" s="20" t="inlineStr">
        <is>
          <t>NEW</t>
        </is>
      </c>
      <c r="E26" s="21" t="inlineStr"/>
      <c r="F26" s="20" t="inlineStr"/>
      <c r="G26" s="21" t="inlineStr"/>
      <c r="H26" s="20" t="inlineStr"/>
      <c r="I26" s="22" t="inlineStr">
        <is>
          <t>ANA LUCIA ZENKNER PERCIA</t>
        </is>
      </c>
      <c r="J26" s="23" t="inlineStr">
        <is>
          <t>Administrador (RFB partner)</t>
        </is>
      </c>
      <c r="K26" s="22" t="inlineStr">
        <is>
          <t>(19) 3847-9700</t>
        </is>
      </c>
      <c r="L26" s="22" t="inlineStr">
        <is>
          <t>(19) 3847-9700</t>
        </is>
      </c>
      <c r="M26" s="22" t="inlineStr"/>
      <c r="N26" s="22" t="inlineStr"/>
      <c r="O26" s="22" t="inlineStr"/>
      <c r="P26" s="22" t="inlineStr">
        <is>
          <t>JORGE ALEXANDRE CUNHA DE BARROS FRANCO</t>
        </is>
      </c>
      <c r="Q26" s="22" t="inlineStr">
        <is>
          <t>Administrador (RFB partner)</t>
        </is>
      </c>
      <c r="R26" s="22" t="inlineStr"/>
      <c r="S26" s="22" t="inlineStr"/>
      <c r="T26" s="22" t="inlineStr">
        <is>
          <t>DM = registered partner (RFB QSA); no Apollo match</t>
        </is>
      </c>
      <c r="U26" s="24" t="n">
        <v>14567733.99</v>
      </c>
      <c r="V26" s="38" t="inlineStr">
        <is>
          <t>U</t>
        </is>
      </c>
      <c r="W26" s="26" t="inlineStr"/>
      <c r="X26" s="27" t="inlineStr"/>
      <c r="Y26" s="27" t="inlineStr"/>
      <c r="Z26" s="26">
        <f>IF(W26&lt;&gt;"",W26,IFERROR(VLOOKUP(V26,Assumptions!$A$8:$F$12,2,FALSE),0))</f>
        <v/>
      </c>
      <c r="AA26" s="28">
        <f>IF(V26="A",MAX(1,IF(X26&lt;&gt;"",X26,IFERROR(VLOOKUP(V26,Assumptions!$A$8:$F$12,3,FALSE),3))+IF(Y26&lt;&gt;"",Y26,IFERROR(VLOOKUP(V26,Assumptions!$A$8:$F$12,4,FALSE),8))/2-MAX(0,IF(AS26="",0,YEAR(TODAY())-AS26)-IFERROR(VLOOKUP(V26,Assumptions!$A$8:$F$12,5,FALSE),1.5))),IFERROR(VLOOKUP(V26,Assumptions!$A$8:$F$12,5,FALSE),2.5)+IF(X26&lt;&gt;"",X26,IFERROR(VLOOKUP(V26,Assumptions!$A$8:$F$12,3,FALSE),3))+IF(Y26&lt;&gt;"",Y26,IFERROR(VLOOKUP(V26,Assumptions!$A$8:$F$12,4,FALSE),8))/2)</f>
        <v/>
      </c>
      <c r="AB26" s="24">
        <f>U26*Z26/(1+Assumptions!$B$3)^AA26</f>
        <v/>
      </c>
      <c r="AC26" s="27">
        <f>IF(U26=0,"",ROUND(AB26/U26*100,1))</f>
        <v/>
      </c>
      <c r="AD26" s="29">
        <f>AB26*Assumptions!$B$4</f>
        <v/>
      </c>
      <c r="AE26" s="27">
        <f>IF(U26=0,"",ROUND(AD26/U26*100,1))</f>
        <v/>
      </c>
      <c r="AF26" s="29">
        <f>AB26-AD26</f>
        <v/>
      </c>
      <c r="AG26" s="27">
        <f>IF(U26=0,"",ROUND((AB26-AD26)/U26*100,1))</f>
        <v/>
      </c>
      <c r="AH26" s="30" t="inlineStr">
        <is>
          <t>OK — totals reconciled</t>
        </is>
      </c>
      <c r="AI26" s="31" t="inlineStr">
        <is>
          <t>http://bernardobicalho.com.br/login/app/documents/Rela%C3%A7%C3%A3o%20de%20Credores/6.%20RVC-%20Nutricium%20-%20simplificada.pdf</t>
        </is>
      </c>
      <c r="AJ26" s="30" t="inlineStr">
        <is>
          <t>p3 r16</t>
        </is>
      </c>
      <c r="AK26" s="30" t="inlineStr">
        <is>
          <t>p3: R$ 14.567.733,99</t>
        </is>
      </c>
      <c r="AL26" s="30" t="inlineStr">
        <is>
          <t>AJ list (art. 7 §2)</t>
        </is>
      </c>
      <c r="AM26" s="30" t="inlineStr"/>
      <c r="AN26" s="30" t="inlineStr">
        <is>
          <t>NONE FOUND</t>
        </is>
      </c>
      <c r="AO26" s="32" t="inlineStr">
        <is>
          <t>(not printed)</t>
        </is>
      </c>
      <c r="AP26" s="32" t="inlineStr"/>
      <c r="AQ26" s="32" t="inlineStr"/>
      <c r="AR26" s="32" t="inlineStr"/>
      <c r="AS26" s="32" t="inlineStr"/>
      <c r="AT26" s="32" t="inlineStr">
        <is>
          <t>RJ case number not identified on the document</t>
        </is>
      </c>
      <c r="AU26" s="32" t="inlineStr"/>
      <c r="AV26" s="32" t="inlineStr">
        <is>
          <t>not identified</t>
        </is>
      </c>
      <c r="AW26" s="32" t="inlineStr"/>
      <c r="AX26" s="32" t="inlineStr">
        <is>
          <t>JAGUARIUNA</t>
        </is>
      </c>
      <c r="AY26" s="32" t="inlineStr">
        <is>
          <t>SP</t>
        </is>
      </c>
      <c r="AZ26" s="32" t="inlineStr">
        <is>
          <t>Fabricação de medicamentos alopáticos para uso humano</t>
        </is>
      </c>
      <c r="BA26" s="32" t="inlineStr">
        <is>
          <t>não ME/EPP</t>
        </is>
      </c>
      <c r="BB26" s="33" t="n">
        <v>833795650</v>
      </c>
      <c r="BC26" s="32" t="inlineStr">
        <is>
          <t>MID-MARKET</t>
        </is>
      </c>
      <c r="BD26" s="32" t="inlineStr">
        <is>
          <t>01440590</t>
        </is>
      </c>
      <c r="BE26" s="32" t="n">
        <v>1</v>
      </c>
      <c r="BF26" s="32" t="inlineStr">
        <is>
          <t>CASE_NUMBER_MISSING</t>
        </is>
      </c>
    </row>
    <row r="27">
      <c r="A27" s="17" t="inlineStr">
        <is>
          <t>LEGRAND PHARMA INDUSTRIA FARMACEUTICA LTDA</t>
        </is>
      </c>
      <c r="B27" s="18" t="n">
        <v>7715049.72</v>
      </c>
      <c r="C27" s="19" t="inlineStr">
        <is>
          <t>GRUPO DP4</t>
        </is>
      </c>
      <c r="D27" s="20" t="inlineStr">
        <is>
          <t>NEW</t>
        </is>
      </c>
      <c r="E27" s="21" t="inlineStr"/>
      <c r="F27" s="20" t="inlineStr"/>
      <c r="G27" s="21" t="inlineStr"/>
      <c r="H27" s="20" t="inlineStr"/>
      <c r="I27" s="22" t="inlineStr">
        <is>
          <t>Edgar Figueiredo</t>
        </is>
      </c>
      <c r="J27" s="22" t="inlineStr">
        <is>
          <t>Gerente Nacional de Distribuição</t>
        </is>
      </c>
      <c r="K27" s="22" t="inlineStr">
        <is>
          <t>(19) 3887-9800</t>
        </is>
      </c>
      <c r="L27" s="22" t="inlineStr"/>
      <c r="M27" s="22" t="inlineStr"/>
      <c r="N27" s="22" t="inlineStr">
        <is>
          <t>edgar.figueiredo@legrandpharma.com.br</t>
        </is>
      </c>
      <c r="O27" s="22" t="inlineStr">
        <is>
          <t>verified</t>
        </is>
      </c>
      <c r="P27" s="22" t="inlineStr">
        <is>
          <t>GUSTAVO ANDRE REGIS DUTRA SVENSSON</t>
        </is>
      </c>
      <c r="Q27" s="22" t="inlineStr">
        <is>
          <t>Administrador (RFB partner)</t>
        </is>
      </c>
      <c r="R27" s="22" t="inlineStr"/>
      <c r="S27" s="22" t="inlineStr"/>
      <c r="T27" s="22" t="inlineStr">
        <is>
          <t>DM: weak; EMS group large corp; has_email</t>
        </is>
      </c>
      <c r="U27" s="24" t="n">
        <v>7715049.72</v>
      </c>
      <c r="V27" s="25" t="inlineStr">
        <is>
          <t>B</t>
        </is>
      </c>
      <c r="W27" s="26" t="inlineStr"/>
      <c r="X27" s="27" t="inlineStr"/>
      <c r="Y27" s="27" t="inlineStr"/>
      <c r="Z27" s="26">
        <f>IF(W27&lt;&gt;"",W27,IFERROR(VLOOKUP(V27,Assumptions!$A$8:$F$12,2,FALSE),0))</f>
        <v/>
      </c>
      <c r="AA27" s="28">
        <f>IF(V27="A",MAX(1,IF(X27&lt;&gt;"",X27,IFERROR(VLOOKUP(V27,Assumptions!$A$8:$F$12,3,FALSE),3))+IF(Y27&lt;&gt;"",Y27,IFERROR(VLOOKUP(V27,Assumptions!$A$8:$F$12,4,FALSE),8))/2-MAX(0,IF(AS27="",0,YEAR(TODAY())-AS27)-IFERROR(VLOOKUP(V27,Assumptions!$A$8:$F$12,5,FALSE),1.5))),IFERROR(VLOOKUP(V27,Assumptions!$A$8:$F$12,5,FALSE),2.5)+IF(X27&lt;&gt;"",X27,IFERROR(VLOOKUP(V27,Assumptions!$A$8:$F$12,3,FALSE),3))+IF(Y27&lt;&gt;"",Y27,IFERROR(VLOOKUP(V27,Assumptions!$A$8:$F$12,4,FALSE),8))/2)</f>
        <v/>
      </c>
      <c r="AB27" s="24">
        <f>U27*Z27/(1+Assumptions!$B$3)^AA27</f>
        <v/>
      </c>
      <c r="AC27" s="27">
        <f>IF(U27=0,"",ROUND(AB27/U27*100,1))</f>
        <v/>
      </c>
      <c r="AD27" s="29">
        <f>AB27*Assumptions!$B$4</f>
        <v/>
      </c>
      <c r="AE27" s="27">
        <f>IF(U27=0,"",ROUND(AD27/U27*100,1))</f>
        <v/>
      </c>
      <c r="AF27" s="29">
        <f>AB27-AD27</f>
        <v/>
      </c>
      <c r="AG27" s="27">
        <f>IF(U27=0,"",ROUND((AB27-AD27)/U27*100,1))</f>
        <v/>
      </c>
      <c r="AH27" s="35" t="inlineStr">
        <is>
          <t>PARTIAL — class III reconciled, other classes not</t>
        </is>
      </c>
      <c r="AI27" s="31" t="inlineStr">
        <is>
          <t>https://marquesadmjudicial.com.br/sgc/download.php?file=files/processo_documento/processo_documento15293208032024_1_.pdf&amp;nome=Relação Nominal de Credores da AJ-Sintética</t>
        </is>
      </c>
      <c r="AJ27" s="30" t="inlineStr">
        <is>
          <t>p28 r5</t>
        </is>
      </c>
      <c r="AK27" s="30" t="inlineStr">
        <is>
          <t>p28: R$ 7.715.049,72</t>
        </is>
      </c>
      <c r="AL27" s="30" t="inlineStr">
        <is>
          <t>AJ list (art. 7 §2)</t>
        </is>
      </c>
      <c r="AM27" s="30" t="inlineStr">
        <is>
          <t>2023-03-02</t>
        </is>
      </c>
      <c r="AN27" s="30" t="inlineStr">
        <is>
          <t>NONE FOUND</t>
        </is>
      </c>
      <c r="AO27" s="32" t="inlineStr">
        <is>
          <t>0005010-98.2023.8.16.0001</t>
        </is>
      </c>
      <c r="AP27" s="32" t="inlineStr">
        <is>
          <t>TJPR</t>
        </is>
      </c>
      <c r="AQ27" s="32" t="inlineStr">
        <is>
          <t>Recuperação judicial</t>
        </is>
      </c>
      <c r="AR27" s="32" t="inlineStr">
        <is>
          <t>DataJud: no closure/falência movement</t>
        </is>
      </c>
      <c r="AS27" s="32" t="n">
        <v>2023</v>
      </c>
      <c r="AT27" s="32" t="inlineStr">
        <is>
          <t>live case, no plan document yet</t>
        </is>
      </c>
      <c r="AU27" s="32" t="inlineStr"/>
      <c r="AV27" s="32" t="inlineStr">
        <is>
          <t>printed on the list (read twice)</t>
        </is>
      </c>
      <c r="AW27" s="32" t="inlineStr"/>
      <c r="AX27" s="32" t="inlineStr">
        <is>
          <t>HORTOLANDIA</t>
        </is>
      </c>
      <c r="AY27" s="32" t="inlineStr">
        <is>
          <t>SP</t>
        </is>
      </c>
      <c r="AZ27" s="32" t="inlineStr">
        <is>
          <t>Fabricação de medicamentos alopáticos para uso humano</t>
        </is>
      </c>
      <c r="BA27" s="32" t="inlineStr">
        <is>
          <t>não ME/EPP</t>
        </is>
      </c>
      <c r="BB27" s="33" t="n">
        <v>137843</v>
      </c>
      <c r="BC27" s="32" t="inlineStr">
        <is>
          <t>MID-MARKET</t>
        </is>
      </c>
      <c r="BD27" s="32" t="inlineStr">
        <is>
          <t>05044984</t>
        </is>
      </c>
      <c r="BE27" s="32" t="n">
        <v>1</v>
      </c>
      <c r="BF27" s="32" t="inlineStr">
        <is>
          <t>class III reconciled (doc partial)</t>
        </is>
      </c>
    </row>
    <row r="28">
      <c r="A28" s="17" t="inlineStr">
        <is>
          <t>TITAN PNEUS DO BRASIL LTDA</t>
        </is>
      </c>
      <c r="B28" s="18" t="n">
        <v>7525940</v>
      </c>
      <c r="C28" s="19" t="inlineStr">
        <is>
          <t>Grupo Rech</t>
        </is>
      </c>
      <c r="D28" s="20" t="inlineStr">
        <is>
          <t>NEW</t>
        </is>
      </c>
      <c r="E28" s="21" t="inlineStr"/>
      <c r="F28" s="20" t="inlineStr"/>
      <c r="G28" s="21" t="inlineStr"/>
      <c r="H28" s="20" t="inlineStr"/>
      <c r="I28" s="22" t="inlineStr">
        <is>
          <t>WALTER JOSE CHIOSINI</t>
        </is>
      </c>
      <c r="J28" s="23" t="inlineStr">
        <is>
          <t>Administrador (RFB partner)</t>
        </is>
      </c>
      <c r="K28" s="22" t="inlineStr">
        <is>
          <t>(11) 2177-7360</t>
        </is>
      </c>
      <c r="L28" s="22" t="inlineStr">
        <is>
          <t>(11) 2177-7201</t>
        </is>
      </c>
      <c r="M28" s="22" t="inlineStr"/>
      <c r="N28" s="22" t="inlineStr"/>
      <c r="O28" s="22" t="inlineStr"/>
      <c r="P28" s="22" t="inlineStr"/>
      <c r="Q28" s="22" t="inlineStr"/>
      <c r="R28" s="22" t="inlineStr"/>
      <c r="S28" s="22" t="inlineStr"/>
      <c r="T28" s="22" t="inlineStr">
        <is>
          <t>DM = registered partner (RFB QSA); no Apollo match</t>
        </is>
      </c>
      <c r="U28" s="24" t="n">
        <v>7525940</v>
      </c>
      <c r="V28" s="25" t="inlineStr">
        <is>
          <t>B</t>
        </is>
      </c>
      <c r="W28" s="26" t="inlineStr"/>
      <c r="X28" s="27" t="inlineStr"/>
      <c r="Y28" s="27" t="inlineStr"/>
      <c r="Z28" s="26">
        <f>IF(W28&lt;&gt;"",W28,IFERROR(VLOOKUP(V28,Assumptions!$A$8:$F$12,2,FALSE),0))</f>
        <v/>
      </c>
      <c r="AA28" s="28">
        <f>IF(V28="A",MAX(1,IF(X28&lt;&gt;"",X28,IFERROR(VLOOKUP(V28,Assumptions!$A$8:$F$12,3,FALSE),3))+IF(Y28&lt;&gt;"",Y28,IFERROR(VLOOKUP(V28,Assumptions!$A$8:$F$12,4,FALSE),8))/2-MAX(0,IF(AS28="",0,YEAR(TODAY())-AS28)-IFERROR(VLOOKUP(V28,Assumptions!$A$8:$F$12,5,FALSE),1.5))),IFERROR(VLOOKUP(V28,Assumptions!$A$8:$F$12,5,FALSE),2.5)+IF(X28&lt;&gt;"",X28,IFERROR(VLOOKUP(V28,Assumptions!$A$8:$F$12,3,FALSE),3))+IF(Y28&lt;&gt;"",Y28,IFERROR(VLOOKUP(V28,Assumptions!$A$8:$F$12,4,FALSE),8))/2)</f>
        <v/>
      </c>
      <c r="AB28" s="24">
        <f>U28*Z28/(1+Assumptions!$B$3)^AA28</f>
        <v/>
      </c>
      <c r="AC28" s="27">
        <f>IF(U28=0,"",ROUND(AB28/U28*100,1))</f>
        <v/>
      </c>
      <c r="AD28" s="29">
        <f>AB28*Assumptions!$B$4</f>
        <v/>
      </c>
      <c r="AE28" s="27">
        <f>IF(U28=0,"",ROUND(AD28/U28*100,1))</f>
        <v/>
      </c>
      <c r="AF28" s="29">
        <f>AB28-AD28</f>
        <v/>
      </c>
      <c r="AG28" s="27">
        <f>IF(U28=0,"",ROUND((AB28-AD28)/U28*100,1))</f>
        <v/>
      </c>
      <c r="AH28" s="36" t="inlineStr">
        <is>
          <t>CHECK — source is not a statutory creditor list</t>
        </is>
      </c>
      <c r="AI28" s="31" t="inlineStr">
        <is>
          <t>https://credibilita.com.br/wp-content/uploads/2025/09/Relacao-Credores-29.04.2026.pdf</t>
        </is>
      </c>
      <c r="AJ28" s="30" t="inlineStr">
        <is>
          <t>p2 r23</t>
        </is>
      </c>
      <c r="AK28" s="30" t="inlineStr">
        <is>
          <t>p2: R$ 7.525.940,00</t>
        </is>
      </c>
      <c r="AL28" s="30" t="inlineStr">
        <is>
          <t>Quorum list — NOT an art. 7/51 list</t>
        </is>
      </c>
      <c r="AM28" s="30" t="inlineStr"/>
      <c r="AN28" s="30" t="inlineStr">
        <is>
          <t>NONE FOUND</t>
        </is>
      </c>
      <c r="AO28" s="32" t="inlineStr">
        <is>
          <t>5057720-48.2025.8.24.0023</t>
        </is>
      </c>
      <c r="AP28" s="32" t="inlineStr">
        <is>
          <t>TJSC</t>
        </is>
      </c>
      <c r="AQ28" s="32" t="inlineStr"/>
      <c r="AR28" s="32" t="inlineStr">
        <is>
          <t>not in DataJud</t>
        </is>
      </c>
      <c r="AS28" s="32" t="n">
        <v>2025</v>
      </c>
      <c r="AT28" s="32" t="inlineStr">
        <is>
          <t>live case, no plan document yet; case no. from the portal record, not printed on the list</t>
        </is>
      </c>
      <c r="AU28" s="32" t="inlineStr"/>
      <c r="AV28" s="32" t="inlineStr">
        <is>
          <t>portal page title / URL — not printed on the list</t>
        </is>
      </c>
      <c r="AW28" s="32" t="inlineStr"/>
      <c r="AX28" s="32" t="inlineStr">
        <is>
          <t>SAO PAULO</t>
        </is>
      </c>
      <c r="AY28" s="32" t="inlineStr">
        <is>
          <t>SP</t>
        </is>
      </c>
      <c r="AZ28" s="32" t="inlineStr">
        <is>
          <t>Fabricação de pneumáticos e de câmaras-de-ar</t>
        </is>
      </c>
      <c r="BA28" s="32" t="inlineStr">
        <is>
          <t>não ME/EPP</t>
        </is>
      </c>
      <c r="BB28" s="33" t="n">
        <v>151136620</v>
      </c>
      <c r="BC28" s="32" t="inlineStr">
        <is>
          <t>MID-MARKET</t>
        </is>
      </c>
      <c r="BD28" s="32" t="inlineStr">
        <is>
          <t>11385941</t>
        </is>
      </c>
      <c r="BE28" s="32" t="n">
        <v>1</v>
      </c>
      <c r="BF28" s="32" t="inlineStr">
        <is>
          <t>list prints no totals case no. corrected by reader</t>
        </is>
      </c>
    </row>
    <row r="29">
      <c r="A29" s="17" t="inlineStr">
        <is>
          <t>FEDERACAO PERNAMBUCANA DE FUTEBOL</t>
        </is>
      </c>
      <c r="B29" s="18" t="n">
        <v>7251967.09</v>
      </c>
      <c r="C29" s="19" t="inlineStr">
        <is>
          <t>CLUBE NÁUTICO CAPIBARIBE</t>
        </is>
      </c>
      <c r="D29" s="20" t="inlineStr">
        <is>
          <t>NEW</t>
        </is>
      </c>
      <c r="E29" s="21" t="inlineStr"/>
      <c r="F29" s="20" t="inlineStr"/>
      <c r="G29" s="21" t="inlineStr"/>
      <c r="H29" s="20" t="inlineStr"/>
      <c r="I29" s="22" t="inlineStr">
        <is>
          <t>Pedro Lacerda</t>
        </is>
      </c>
      <c r="J29" s="22" t="inlineStr">
        <is>
          <t>Diretor de Governança e Compliance</t>
        </is>
      </c>
      <c r="K29" s="22" t="inlineStr"/>
      <c r="L29" s="22" t="inlineStr"/>
      <c r="M29" s="22" t="inlineStr"/>
      <c r="N29" s="22" t="inlineStr">
        <is>
          <t>pedro.lacerda@fpf-pe.com.br</t>
        </is>
      </c>
      <c r="O29" s="22" t="inlineStr">
        <is>
          <t>extrapolated</t>
        </is>
      </c>
      <c r="P29" s="22" t="inlineStr">
        <is>
          <t>Natalia Oliveira</t>
        </is>
      </c>
      <c r="Q29" s="22" t="inlineStr">
        <is>
          <t>Member of the Management Team</t>
        </is>
      </c>
      <c r="R29" s="22" t="inlineStr"/>
      <c r="S29" s="22" t="inlineStr">
        <is>
          <t>natalia.oliveira@fpf-pe.com.br</t>
        </is>
      </c>
      <c r="T29" s="22" t="inlineStr">
        <is>
          <t>BACKUP: backup; backup email is pattern-guessed</t>
        </is>
      </c>
      <c r="U29" s="24" t="n">
        <v>7251967.09</v>
      </c>
      <c r="V29" s="25" t="inlineStr">
        <is>
          <t>B</t>
        </is>
      </c>
      <c r="W29" s="26" t="inlineStr"/>
      <c r="X29" s="27" t="inlineStr"/>
      <c r="Y29" s="27" t="inlineStr"/>
      <c r="Z29" s="26">
        <f>IF(W29&lt;&gt;"",W29,IFERROR(VLOOKUP(V29,Assumptions!$A$8:$F$12,2,FALSE),0))</f>
        <v/>
      </c>
      <c r="AA29" s="28">
        <f>IF(V29="A",MAX(1,IF(X29&lt;&gt;"",X29,IFERROR(VLOOKUP(V29,Assumptions!$A$8:$F$12,3,FALSE),3))+IF(Y29&lt;&gt;"",Y29,IFERROR(VLOOKUP(V29,Assumptions!$A$8:$F$12,4,FALSE),8))/2-MAX(0,IF(AS29="",0,YEAR(TODAY())-AS29)-IFERROR(VLOOKUP(V29,Assumptions!$A$8:$F$12,5,FALSE),1.5))),IFERROR(VLOOKUP(V29,Assumptions!$A$8:$F$12,5,FALSE),2.5)+IF(X29&lt;&gt;"",X29,IFERROR(VLOOKUP(V29,Assumptions!$A$8:$F$12,3,FALSE),3))+IF(Y29&lt;&gt;"",Y29,IFERROR(VLOOKUP(V29,Assumptions!$A$8:$F$12,4,FALSE),8))/2)</f>
        <v/>
      </c>
      <c r="AB29" s="24">
        <f>U29*Z29/(1+Assumptions!$B$3)^AA29</f>
        <v/>
      </c>
      <c r="AC29" s="27">
        <f>IF(U29=0,"",ROUND(AB29/U29*100,1))</f>
        <v/>
      </c>
      <c r="AD29" s="29">
        <f>AB29*Assumptions!$B$4</f>
        <v/>
      </c>
      <c r="AE29" s="27">
        <f>IF(U29=0,"",ROUND(AD29/U29*100,1))</f>
        <v/>
      </c>
      <c r="AF29" s="29">
        <f>AB29-AD29</f>
        <v/>
      </c>
      <c r="AG29" s="27">
        <f>IF(U29=0,"",ROUND((AB29-AD29)/U29*100,1))</f>
        <v/>
      </c>
      <c r="AH29" s="35" t="inlineStr">
        <is>
          <t>PARTIAL — class III reconciled, other classes not</t>
        </is>
      </c>
      <c r="AI29" s="31" t="inlineStr">
        <is>
          <t>https://lrflideres.com.br/wp-content/plugins/download-attachments/includes/download.php?id=5589</t>
        </is>
      </c>
      <c r="AJ29" s="30" t="inlineStr">
        <is>
          <t>p12 r9</t>
        </is>
      </c>
      <c r="AK29" s="30" t="inlineStr">
        <is>
          <t>p12: R$ 7.251.967,09</t>
        </is>
      </c>
      <c r="AL29" s="30" t="inlineStr">
        <is>
          <t>AJ list (art. 7 §2)</t>
        </is>
      </c>
      <c r="AM29" s="30" t="inlineStr">
        <is>
          <t>2023-11-27</t>
        </is>
      </c>
      <c r="AN29" s="30" t="inlineStr">
        <is>
          <t>NONE FOUND</t>
        </is>
      </c>
      <c r="AO29" s="32" t="inlineStr">
        <is>
          <t>0011283-80.2023.8.17.2001</t>
        </is>
      </c>
      <c r="AP29" s="32" t="inlineStr">
        <is>
          <t>TJPE</t>
        </is>
      </c>
      <c r="AQ29" s="32" t="inlineStr">
        <is>
          <t>Recuperação judicial</t>
        </is>
      </c>
      <c r="AR29" s="32" t="inlineStr">
        <is>
          <t>DataJud: no closure/falência movement</t>
        </is>
      </c>
      <c r="AS29" s="32" t="n">
        <v>2023</v>
      </c>
      <c r="AT29" s="32" t="inlineStr">
        <is>
          <t>live case, no plan document yet; atypical debtor (associação/clube/hospital/produtor rural): admissibility or claim subjection may be contested</t>
        </is>
      </c>
      <c r="AU29" s="32" t="inlineStr">
        <is>
          <t>08.145.021/0001-07</t>
        </is>
      </c>
      <c r="AV29" s="32" t="inlineStr">
        <is>
          <t>printed on the list (read twice)</t>
        </is>
      </c>
      <c r="AW29" s="32" t="inlineStr"/>
      <c r="AX29" s="32" t="inlineStr">
        <is>
          <t>RECIFE</t>
        </is>
      </c>
      <c r="AY29" s="32" t="inlineStr">
        <is>
          <t>PE</t>
        </is>
      </c>
      <c r="AZ29" s="32" t="inlineStr">
        <is>
          <t>Produção e promoção de eventos esportivos</t>
        </is>
      </c>
      <c r="BA29" s="32" t="inlineStr">
        <is>
          <t>não ME/EPP</t>
        </is>
      </c>
      <c r="BB29" s="33" t="inlineStr"/>
      <c r="BC29" s="32" t="inlineStr">
        <is>
          <t>UNKNOWN</t>
        </is>
      </c>
      <c r="BD29" s="32" t="inlineStr">
        <is>
          <t>10956258</t>
        </is>
      </c>
      <c r="BE29" s="32" t="n">
        <v>1</v>
      </c>
      <c r="BF29" s="32" t="inlineStr">
        <is>
          <t>class III reconciled (doc partial)</t>
        </is>
      </c>
    </row>
    <row r="30">
      <c r="A30" s="17" t="inlineStr">
        <is>
          <t>ADDIANTE S.A</t>
        </is>
      </c>
      <c r="B30" s="18" t="n">
        <v>7135516.97</v>
      </c>
      <c r="C30" s="19" t="inlineStr">
        <is>
          <t>SOJAL COMERCIAL AGRICOLA LTDA e OUTROS</t>
        </is>
      </c>
      <c r="D30" s="20" t="inlineStr">
        <is>
          <t>NEW</t>
        </is>
      </c>
      <c r="E30" s="21" t="inlineStr"/>
      <c r="F30" s="20" t="inlineStr"/>
      <c r="G30" s="21" t="inlineStr"/>
      <c r="H30" s="20" t="inlineStr"/>
      <c r="I30" s="22" t="inlineStr">
        <is>
          <t>Fabio Leite</t>
        </is>
      </c>
      <c r="J30" s="22" t="inlineStr">
        <is>
          <t>CEO at Addiante</t>
        </is>
      </c>
      <c r="K30" s="22" t="inlineStr">
        <is>
          <t>(41) 9571-0152</t>
        </is>
      </c>
      <c r="L30" s="22" t="inlineStr"/>
      <c r="M30" s="22" t="inlineStr"/>
      <c r="N30" s="22" t="inlineStr">
        <is>
          <t>fabio.leite@addiante.com.br</t>
        </is>
      </c>
      <c r="O30" s="22" t="inlineStr">
        <is>
          <t>verified</t>
        </is>
      </c>
      <c r="P30" s="22" t="inlineStr">
        <is>
          <t>Ernani Ferreira</t>
        </is>
      </c>
      <c r="Q30" s="22" t="inlineStr">
        <is>
          <t>Gerente de Crédito e Cobrança</t>
        </is>
      </c>
      <c r="R30" s="22" t="inlineStr"/>
      <c r="S30" s="22" t="inlineStr">
        <is>
          <t>ernani.ferreira@addiante.com.br</t>
        </is>
      </c>
      <c r="T30" s="22" t="inlineStr">
        <is>
          <t>DM: has_email, phone Yes; BACKUP: backup, has_email, phone Yes</t>
        </is>
      </c>
      <c r="U30" s="24" t="n">
        <v>7135516.97</v>
      </c>
      <c r="V30" s="25" t="inlineStr">
        <is>
          <t>B</t>
        </is>
      </c>
      <c r="W30" s="26" t="inlineStr"/>
      <c r="X30" s="27" t="inlineStr"/>
      <c r="Y30" s="27" t="inlineStr"/>
      <c r="Z30" s="26">
        <f>IF(W30&lt;&gt;"",W30,IFERROR(VLOOKUP(V30,Assumptions!$A$8:$F$12,2,FALSE),0))</f>
        <v/>
      </c>
      <c r="AA30" s="28">
        <f>IF(V30="A",MAX(1,IF(X30&lt;&gt;"",X30,IFERROR(VLOOKUP(V30,Assumptions!$A$8:$F$12,3,FALSE),3))+IF(Y30&lt;&gt;"",Y30,IFERROR(VLOOKUP(V30,Assumptions!$A$8:$F$12,4,FALSE),8))/2-MAX(0,IF(AS30="",0,YEAR(TODAY())-AS30)-IFERROR(VLOOKUP(V30,Assumptions!$A$8:$F$12,5,FALSE),1.5))),IFERROR(VLOOKUP(V30,Assumptions!$A$8:$F$12,5,FALSE),2.5)+IF(X30&lt;&gt;"",X30,IFERROR(VLOOKUP(V30,Assumptions!$A$8:$F$12,3,FALSE),3))+IF(Y30&lt;&gt;"",Y30,IFERROR(VLOOKUP(V30,Assumptions!$A$8:$F$12,4,FALSE),8))/2)</f>
        <v/>
      </c>
      <c r="AB30" s="24">
        <f>U30*Z30/(1+Assumptions!$B$3)^AA30</f>
        <v/>
      </c>
      <c r="AC30" s="27">
        <f>IF(U30=0,"",ROUND(AB30/U30*100,1))</f>
        <v/>
      </c>
      <c r="AD30" s="29">
        <f>AB30*Assumptions!$B$4</f>
        <v/>
      </c>
      <c r="AE30" s="27">
        <f>IF(U30=0,"",ROUND(AD30/U30*100,1))</f>
        <v/>
      </c>
      <c r="AF30" s="29">
        <f>AB30-AD30</f>
        <v/>
      </c>
      <c r="AG30" s="27">
        <f>IF(U30=0,"",ROUND((AB30-AD30)/U30*100,1))</f>
        <v/>
      </c>
      <c r="AH30" s="30" t="inlineStr">
        <is>
          <t>OK — totals reconciled</t>
        </is>
      </c>
      <c r="AI30" s="31" t="inlineStr">
        <is>
          <t>https://lrflideres.com.br/wp-content/plugins/download-attachments/includes/download.php?id=6879</t>
        </is>
      </c>
      <c r="AJ30" s="30" t="inlineStr">
        <is>
          <t>p1 r2</t>
        </is>
      </c>
      <c r="AK30" s="30" t="inlineStr">
        <is>
          <t>p1: R$ 7.135.516,97</t>
        </is>
      </c>
      <c r="AL30" s="30" t="inlineStr">
        <is>
          <t>AJ list (art. 7 §2)</t>
        </is>
      </c>
      <c r="AM30" s="30" t="inlineStr">
        <is>
          <t>2026-01-15</t>
        </is>
      </c>
      <c r="AN30" s="30" t="inlineStr">
        <is>
          <t>NONE FOUND</t>
        </is>
      </c>
      <c r="AO30" s="32" t="inlineStr">
        <is>
          <t>0804401-51.2025.8.14.0039</t>
        </is>
      </c>
      <c r="AP30" s="32" t="inlineStr">
        <is>
          <t>TJPA</t>
        </is>
      </c>
      <c r="AQ30" s="32" t="inlineStr">
        <is>
          <t>Recuperação judicial</t>
        </is>
      </c>
      <c r="AR30" s="32" t="inlineStr">
        <is>
          <t>DataJud: no closure/falência movement</t>
        </is>
      </c>
      <c r="AS30" s="32" t="n">
        <v>2025</v>
      </c>
      <c r="AT30" s="32" t="inlineStr">
        <is>
          <t>live case, no plan document yet</t>
        </is>
      </c>
      <c r="AU30" s="32" t="inlineStr"/>
      <c r="AV30" s="32" t="inlineStr">
        <is>
          <t>printed on the list (read twice)</t>
        </is>
      </c>
      <c r="AW30" s="32" t="inlineStr"/>
      <c r="AX30" s="32" t="inlineStr">
        <is>
          <t>CURITIBA</t>
        </is>
      </c>
      <c r="AY30" s="32" t="inlineStr">
        <is>
          <t>PR</t>
        </is>
      </c>
      <c r="AZ30" s="32" t="inlineStr">
        <is>
          <t>Locação de outros meios de transporte não especificados anteriormente, sem condutor</t>
        </is>
      </c>
      <c r="BA30" s="32" t="inlineStr">
        <is>
          <t>não ME/EPP</t>
        </is>
      </c>
      <c r="BB30" s="33" t="n">
        <v>500000000</v>
      </c>
      <c r="BC30" s="32" t="inlineStr">
        <is>
          <t>LARGE CORP</t>
        </is>
      </c>
      <c r="BD30" s="32" t="inlineStr">
        <is>
          <t>48430290</t>
        </is>
      </c>
      <c r="BE30" s="32" t="n">
        <v>1</v>
      </c>
      <c r="BF30" s="32" t="inlineStr"/>
    </row>
    <row r="31">
      <c r="A31" s="17" t="inlineStr">
        <is>
          <t>BRADESCO SAUDE S/A</t>
        </is>
      </c>
      <c r="B31" s="18" t="n">
        <v>6917473.54</v>
      </c>
      <c r="C31" s="19" t="inlineStr">
        <is>
          <t>GRUPO EGESA (Egesa Engenharia S.A. + 9 group companies; see group members)</t>
        </is>
      </c>
      <c r="D31" s="20" t="inlineStr">
        <is>
          <t>NEW</t>
        </is>
      </c>
      <c r="E31" s="21" t="inlineStr"/>
      <c r="F31" s="20" t="inlineStr"/>
      <c r="G31" s="21" t="inlineStr"/>
      <c r="H31" s="20" t="inlineStr"/>
      <c r="I31" s="22" t="inlineStr">
        <is>
          <t>Mariana Sbano</t>
        </is>
      </c>
      <c r="J31" s="22" t="inlineStr">
        <is>
          <t>Legal Coordinator</t>
        </is>
      </c>
      <c r="K31" s="22" t="inlineStr">
        <is>
          <t>(21) 2503-1111</t>
        </is>
      </c>
      <c r="L31" s="22" t="inlineStr"/>
      <c r="M31" s="22" t="inlineStr"/>
      <c r="N31" s="22" t="inlineStr"/>
      <c r="O31" s="22" t="inlineStr"/>
      <c r="P31" s="22" t="inlineStr">
        <is>
          <t>Carla Cordeiro</t>
        </is>
      </c>
      <c r="Q31" s="22" t="inlineStr">
        <is>
          <t>Suporte Jurídico</t>
        </is>
      </c>
      <c r="R31" s="22" t="inlineStr"/>
      <c r="S31" s="22" t="inlineStr">
        <is>
          <t>carla.cordeiro@bradescosaude.com.br</t>
        </is>
      </c>
      <c r="T31" s="22" t="inlineStr">
        <is>
          <t>DM: DM; no work email in Apollo for DM; BACKUP: backup; backup email is pattern-guessed</t>
        </is>
      </c>
      <c r="U31" s="24" t="n">
        <v>6917473.54</v>
      </c>
      <c r="V31" s="25" t="inlineStr">
        <is>
          <t>B</t>
        </is>
      </c>
      <c r="W31" s="26" t="inlineStr"/>
      <c r="X31" s="27" t="inlineStr"/>
      <c r="Y31" s="27" t="inlineStr"/>
      <c r="Z31" s="26">
        <f>IF(W31&lt;&gt;"",W31,IFERROR(VLOOKUP(V31,Assumptions!$A$8:$F$12,2,FALSE),0))</f>
        <v/>
      </c>
      <c r="AA31" s="28">
        <f>IF(V31="A",MAX(1,IF(X31&lt;&gt;"",X31,IFERROR(VLOOKUP(V31,Assumptions!$A$8:$F$12,3,FALSE),3))+IF(Y31&lt;&gt;"",Y31,IFERROR(VLOOKUP(V31,Assumptions!$A$8:$F$12,4,FALSE),8))/2-MAX(0,IF(AS31="",0,YEAR(TODAY())-AS31)-IFERROR(VLOOKUP(V31,Assumptions!$A$8:$F$12,5,FALSE),1.5))),IFERROR(VLOOKUP(V31,Assumptions!$A$8:$F$12,5,FALSE),2.5)+IF(X31&lt;&gt;"",X31,IFERROR(VLOOKUP(V31,Assumptions!$A$8:$F$12,3,FALSE),3))+IF(Y31&lt;&gt;"",Y31,IFERROR(VLOOKUP(V31,Assumptions!$A$8:$F$12,4,FALSE),8))/2)</f>
        <v/>
      </c>
      <c r="AB31" s="24">
        <f>U31*Z31/(1+Assumptions!$B$3)^AA31</f>
        <v/>
      </c>
      <c r="AC31" s="27">
        <f>IF(U31=0,"",ROUND(AB31/U31*100,1))</f>
        <v/>
      </c>
      <c r="AD31" s="29">
        <f>AB31*Assumptions!$B$4</f>
        <v/>
      </c>
      <c r="AE31" s="27">
        <f>IF(U31=0,"",ROUND(AD31/U31*100,1))</f>
        <v/>
      </c>
      <c r="AF31" s="29">
        <f>AB31-AD31</f>
        <v/>
      </c>
      <c r="AG31" s="27">
        <f>IF(U31=0,"",ROUND((AB31-AD31)/U31*100,1))</f>
        <v/>
      </c>
      <c r="AH31" s="30" t="inlineStr">
        <is>
          <t>OK — totals reconciled</t>
        </is>
      </c>
      <c r="AI31" s="31" t="inlineStr">
        <is>
          <t>https://scalzilliaj.com.br/sgc/download.php?file=files/processo_documento/processo_documento09514021082025_1_.pdf&amp;nome=04 - Relação de credores das Recuperandas</t>
        </is>
      </c>
      <c r="AJ31" s="30" t="inlineStr">
        <is>
          <t>p63 r12</t>
        </is>
      </c>
      <c r="AK31" s="30" t="inlineStr">
        <is>
          <t>p63: R$ 6.917.473,54</t>
        </is>
      </c>
      <c r="AL31" s="30" t="inlineStr">
        <is>
          <t>Debtor list (art. 51)</t>
        </is>
      </c>
      <c r="AM31" s="30" t="inlineStr"/>
      <c r="AN31" s="30" t="inlineStr">
        <is>
          <t>NONE FOUND</t>
        </is>
      </c>
      <c r="AO31" s="32" t="inlineStr">
        <is>
          <t>5088952-81.2025.8.13.0024</t>
        </is>
      </c>
      <c r="AP31" s="32" t="inlineStr">
        <is>
          <t>TJMG</t>
        </is>
      </c>
      <c r="AQ31" s="32" t="inlineStr"/>
      <c r="AR31" s="32" t="inlineStr">
        <is>
          <t>DataJud: no closure/falência movement</t>
        </is>
      </c>
      <c r="AS31" s="32" t="n">
        <v>2025</v>
      </c>
      <c r="AT31" s="32" t="inlineStr">
        <is>
          <t>live case, no plan document yet; case no. from the portal record, not printed on the list</t>
        </is>
      </c>
      <c r="AU31" s="32" t="inlineStr"/>
      <c r="AV31" s="32" t="inlineStr">
        <is>
          <t>portal page title / URL — not printed on the list</t>
        </is>
      </c>
      <c r="AW31" s="32" t="inlineStr"/>
      <c r="AX31" s="32" t="inlineStr">
        <is>
          <t>RIO DE JANEIRO</t>
        </is>
      </c>
      <c r="AY31" s="32" t="inlineStr">
        <is>
          <t>RJ</t>
        </is>
      </c>
      <c r="AZ31" s="32" t="inlineStr">
        <is>
          <t>Sociedade seguradora de seguros saúde</t>
        </is>
      </c>
      <c r="BA31" s="32" t="inlineStr">
        <is>
          <t>não ME/EPP</t>
        </is>
      </c>
      <c r="BB31" s="33" t="n">
        <v>4400199000</v>
      </c>
      <c r="BC31" s="32" t="inlineStr">
        <is>
          <t>LARGE CORP</t>
        </is>
      </c>
      <c r="BD31" s="32" t="inlineStr">
        <is>
          <t>92693118</t>
        </is>
      </c>
      <c r="BE31" s="32" t="n">
        <v>1</v>
      </c>
      <c r="BF31" s="32" t="inlineStr">
        <is>
          <t>financial by name case no. corrected by reader case no. from portal record</t>
        </is>
      </c>
    </row>
    <row r="32">
      <c r="A32" s="17" t="inlineStr">
        <is>
          <t>MISTRAS SOUTH AMERICA COMERCIO E SERVICOS LTDA</t>
        </is>
      </c>
      <c r="B32" s="18" t="n">
        <v>6623625.24</v>
      </c>
      <c r="C32" s="19" t="inlineStr">
        <is>
          <t>GRUPO EGESA (Egesa Engenharia S.A. + 9 group companies; see group members)</t>
        </is>
      </c>
      <c r="D32" s="20" t="inlineStr">
        <is>
          <t>NEW</t>
        </is>
      </c>
      <c r="E32" s="21" t="inlineStr"/>
      <c r="F32" s="20" t="inlineStr"/>
      <c r="G32" s="21" t="inlineStr"/>
      <c r="H32" s="20" t="inlineStr"/>
      <c r="I32" s="22" t="inlineStr">
        <is>
          <t>Caio Martins</t>
        </is>
      </c>
      <c r="J32" s="22" t="inlineStr">
        <is>
          <t>Head of Finance</t>
        </is>
      </c>
      <c r="K32" s="22" t="inlineStr">
        <is>
          <t>(11) 2061-8626</t>
        </is>
      </c>
      <c r="L32" s="22" t="inlineStr"/>
      <c r="M32" s="22" t="inlineStr"/>
      <c r="N32" s="22" t="inlineStr">
        <is>
          <t>caio.martins@mistras.com.br</t>
        </is>
      </c>
      <c r="O32" s="22" t="inlineStr">
        <is>
          <t>verified</t>
        </is>
      </c>
      <c r="P32" s="22" t="inlineStr">
        <is>
          <t>Pedro Filho</t>
        </is>
      </c>
      <c r="Q32" s="22" t="inlineStr">
        <is>
          <t>Mistras South America CEO</t>
        </is>
      </c>
      <c r="R32" s="22" t="inlineStr"/>
      <c r="S32" s="22" t="inlineStr">
        <is>
          <t>pedro@mistras.com.br</t>
        </is>
      </c>
      <c r="T32" s="22" t="inlineStr">
        <is>
          <t>DM: has_email, phone Yes; BACKUP: backup, has_email, phone Yes</t>
        </is>
      </c>
      <c r="U32" s="24" t="n">
        <v>6623625.24</v>
      </c>
      <c r="V32" s="25" t="inlineStr">
        <is>
          <t>B</t>
        </is>
      </c>
      <c r="W32" s="26" t="inlineStr"/>
      <c r="X32" s="27" t="inlineStr"/>
      <c r="Y32" s="27" t="inlineStr"/>
      <c r="Z32" s="26">
        <f>IF(W32&lt;&gt;"",W32,IFERROR(VLOOKUP(V32,Assumptions!$A$8:$F$12,2,FALSE),0))</f>
        <v/>
      </c>
      <c r="AA32" s="28">
        <f>IF(V32="A",MAX(1,IF(X32&lt;&gt;"",X32,IFERROR(VLOOKUP(V32,Assumptions!$A$8:$F$12,3,FALSE),3))+IF(Y32&lt;&gt;"",Y32,IFERROR(VLOOKUP(V32,Assumptions!$A$8:$F$12,4,FALSE),8))/2-MAX(0,IF(AS32="",0,YEAR(TODAY())-AS32)-IFERROR(VLOOKUP(V32,Assumptions!$A$8:$F$12,5,FALSE),1.5))),IFERROR(VLOOKUP(V32,Assumptions!$A$8:$F$12,5,FALSE),2.5)+IF(X32&lt;&gt;"",X32,IFERROR(VLOOKUP(V32,Assumptions!$A$8:$F$12,3,FALSE),3))+IF(Y32&lt;&gt;"",Y32,IFERROR(VLOOKUP(V32,Assumptions!$A$8:$F$12,4,FALSE),8))/2)</f>
        <v/>
      </c>
      <c r="AB32" s="24">
        <f>U32*Z32/(1+Assumptions!$B$3)^AA32</f>
        <v/>
      </c>
      <c r="AC32" s="27">
        <f>IF(U32=0,"",ROUND(AB32/U32*100,1))</f>
        <v/>
      </c>
      <c r="AD32" s="29">
        <f>AB32*Assumptions!$B$4</f>
        <v/>
      </c>
      <c r="AE32" s="27">
        <f>IF(U32=0,"",ROUND(AD32/U32*100,1))</f>
        <v/>
      </c>
      <c r="AF32" s="29">
        <f>AB32-AD32</f>
        <v/>
      </c>
      <c r="AG32" s="27">
        <f>IF(U32=0,"",ROUND((AB32-AD32)/U32*100,1))</f>
        <v/>
      </c>
      <c r="AH32" s="30" t="inlineStr">
        <is>
          <t>OK — totals reconciled</t>
        </is>
      </c>
      <c r="AI32" s="31" t="inlineStr">
        <is>
          <t>https://scalzilliaj.com.br/sgc/download.php?file=files/processo_documento/processo_documento09514021082025_1_.pdf&amp;nome=04 - Relação de credores das Recuperandas</t>
        </is>
      </c>
      <c r="AJ32" s="30" t="inlineStr">
        <is>
          <t>p70 r9</t>
        </is>
      </c>
      <c r="AK32" s="30" t="inlineStr">
        <is>
          <t>p70: R$ 6.623.625,24</t>
        </is>
      </c>
      <c r="AL32" s="30" t="inlineStr">
        <is>
          <t>Debtor list (art. 51)</t>
        </is>
      </c>
      <c r="AM32" s="30" t="inlineStr"/>
      <c r="AN32" s="30" t="inlineStr">
        <is>
          <t>NONE FOUND</t>
        </is>
      </c>
      <c r="AO32" s="32" t="inlineStr">
        <is>
          <t>5088952-81.2025.8.13.0024</t>
        </is>
      </c>
      <c r="AP32" s="32" t="inlineStr">
        <is>
          <t>TJMG</t>
        </is>
      </c>
      <c r="AQ32" s="32" t="inlineStr"/>
      <c r="AR32" s="32" t="inlineStr">
        <is>
          <t>DataJud: no closure/falência movement</t>
        </is>
      </c>
      <c r="AS32" s="32" t="n">
        <v>2025</v>
      </c>
      <c r="AT32" s="32" t="inlineStr">
        <is>
          <t>live case, no plan document yet; case no. from the portal record, not printed on the list</t>
        </is>
      </c>
      <c r="AU32" s="32" t="inlineStr"/>
      <c r="AV32" s="32" t="inlineStr">
        <is>
          <t>portal page title / URL — not printed on the list</t>
        </is>
      </c>
      <c r="AW32" s="32" t="inlineStr"/>
      <c r="AX32" s="32" t="inlineStr">
        <is>
          <t>SAO PAULO</t>
        </is>
      </c>
      <c r="AY32" s="32" t="inlineStr">
        <is>
          <t>SP</t>
        </is>
      </c>
      <c r="AZ32" s="32" t="inlineStr">
        <is>
          <t>Testes e análises técnicas</t>
        </is>
      </c>
      <c r="BA32" s="32" t="inlineStr">
        <is>
          <t>não ME/EPP</t>
        </is>
      </c>
      <c r="BB32" s="33" t="n">
        <v>8588336</v>
      </c>
      <c r="BC32" s="32" t="inlineStr">
        <is>
          <t>MID-MARKET</t>
        </is>
      </c>
      <c r="BD32" s="32" t="inlineStr">
        <is>
          <t>61615191</t>
        </is>
      </c>
      <c r="BE32" s="32" t="n">
        <v>1</v>
      </c>
      <c r="BF32" s="32" t="inlineStr">
        <is>
          <t>case no. corrected by reader case no. from portal record</t>
        </is>
      </c>
    </row>
    <row r="33">
      <c r="A33" s="17" t="inlineStr">
        <is>
          <t>GRANELES BRASIL COMERCIAL IMPORTADORA EXPORTADORA AGRICOLA S.A EM RECUPERACAO JUDICIAL</t>
        </is>
      </c>
      <c r="B33" s="18" t="n">
        <v>11676960.19</v>
      </c>
      <c r="C33" s="19" t="inlineStr">
        <is>
          <t>JOB FERTILIZANTES LTDA</t>
        </is>
      </c>
      <c r="D33" s="20" t="inlineStr">
        <is>
          <t>NEW</t>
        </is>
      </c>
      <c r="E33" s="21" t="inlineStr"/>
      <c r="F33" s="20" t="inlineStr"/>
      <c r="G33" s="21" t="inlineStr"/>
      <c r="H33" s="20" t="inlineStr"/>
      <c r="I33" s="22" t="inlineStr">
        <is>
          <t>GABRIEL DE FREITAS MACHADO</t>
        </is>
      </c>
      <c r="J33" s="23" t="inlineStr">
        <is>
          <t>Presidente (RFB partner)</t>
        </is>
      </c>
      <c r="K33" s="22" t="inlineStr">
        <is>
          <t>(41) 9539-0828</t>
        </is>
      </c>
      <c r="L33" s="22" t="inlineStr"/>
      <c r="M33" s="22" t="inlineStr"/>
      <c r="N33" s="22" t="inlineStr"/>
      <c r="O33" s="22" t="inlineStr"/>
      <c r="P33" s="22" t="inlineStr">
        <is>
          <t>Gabriel Machado</t>
        </is>
      </c>
      <c r="Q33" s="22" t="inlineStr">
        <is>
          <t>CMO</t>
        </is>
      </c>
      <c r="R33" s="22" t="inlineStr"/>
      <c r="S33" s="22" t="inlineStr">
        <is>
          <t>gmachado@granelesbrasil.com</t>
        </is>
      </c>
      <c r="T33" s="22" t="inlineStr">
        <is>
          <t>DM = registered partner (RFB QSA); Apollo pick demoted to backup (non-finance role); BACKUP: has_email, phone Yes</t>
        </is>
      </c>
      <c r="U33" s="24" t="n">
        <v>11676960.19</v>
      </c>
      <c r="V33" s="38" t="inlineStr">
        <is>
          <t>U</t>
        </is>
      </c>
      <c r="W33" s="26" t="inlineStr"/>
      <c r="X33" s="27" t="inlineStr"/>
      <c r="Y33" s="27" t="inlineStr"/>
      <c r="Z33" s="26">
        <f>IF(W33&lt;&gt;"",W33,IFERROR(VLOOKUP(V33,Assumptions!$A$8:$F$12,2,FALSE),0))</f>
        <v/>
      </c>
      <c r="AA33" s="28">
        <f>IF(V33="A",MAX(1,IF(X33&lt;&gt;"",X33,IFERROR(VLOOKUP(V33,Assumptions!$A$8:$F$12,3,FALSE),3))+IF(Y33&lt;&gt;"",Y33,IFERROR(VLOOKUP(V33,Assumptions!$A$8:$F$12,4,FALSE),8))/2-MAX(0,IF(AS33="",0,YEAR(TODAY())-AS33)-IFERROR(VLOOKUP(V33,Assumptions!$A$8:$F$12,5,FALSE),1.5))),IFERROR(VLOOKUP(V33,Assumptions!$A$8:$F$12,5,FALSE),2.5)+IF(X33&lt;&gt;"",X33,IFERROR(VLOOKUP(V33,Assumptions!$A$8:$F$12,3,FALSE),3))+IF(Y33&lt;&gt;"",Y33,IFERROR(VLOOKUP(V33,Assumptions!$A$8:$F$12,4,FALSE),8))/2)</f>
        <v/>
      </c>
      <c r="AB33" s="24">
        <f>U33*Z33/(1+Assumptions!$B$3)^AA33</f>
        <v/>
      </c>
      <c r="AC33" s="27">
        <f>IF(U33=0,"",ROUND(AB33/U33*100,1))</f>
        <v/>
      </c>
      <c r="AD33" s="29">
        <f>AB33*Assumptions!$B$4</f>
        <v/>
      </c>
      <c r="AE33" s="27">
        <f>IF(U33=0,"",ROUND(AD33/U33*100,1))</f>
        <v/>
      </c>
      <c r="AF33" s="29">
        <f>AB33-AD33</f>
        <v/>
      </c>
      <c r="AG33" s="27">
        <f>IF(U33=0,"",ROUND((AB33-AD33)/U33*100,1))</f>
        <v/>
      </c>
      <c r="AH33" s="34" t="inlineStr">
        <is>
          <t>NO TOTALS — list prints none; check page</t>
        </is>
      </c>
      <c r="AI33" s="31" t="inlineStr">
        <is>
          <t>https://scalzilliaj.com.br/sgc/download.php?file=files/processo_documento/processo_documento13183320052026_1_.pdf&amp;nome=10 - QGC Provisório - atualizado até Maio de 2026</t>
        </is>
      </c>
      <c r="AJ33" s="30" t="inlineStr">
        <is>
          <t>p1 r10</t>
        </is>
      </c>
      <c r="AK33" s="30" t="inlineStr">
        <is>
          <t>p1: R$ 11.676.960,19</t>
        </is>
      </c>
      <c r="AL33" s="30" t="inlineStr">
        <is>
          <t>QGC (art. 18)</t>
        </is>
      </c>
      <c r="AM33" s="30" t="inlineStr"/>
      <c r="AN33" s="30" t="inlineStr">
        <is>
          <t>NONE FOUND</t>
        </is>
      </c>
      <c r="AO33" s="32" t="inlineStr">
        <is>
          <t>(not printed)</t>
        </is>
      </c>
      <c r="AP33" s="32" t="inlineStr"/>
      <c r="AQ33" s="32" t="inlineStr"/>
      <c r="AR33" s="32" t="inlineStr"/>
      <c r="AS33" s="32" t="inlineStr"/>
      <c r="AT33" s="32" t="inlineStr">
        <is>
          <t>RJ case number not identified on the document</t>
        </is>
      </c>
      <c r="AU33" s="32" t="inlineStr"/>
      <c r="AV33" s="32" t="inlineStr">
        <is>
          <t>portal page title / URL — not printed on the list</t>
        </is>
      </c>
      <c r="AW33" s="32" t="inlineStr"/>
      <c r="AX33" s="32" t="inlineStr">
        <is>
          <t>SAO PAULO</t>
        </is>
      </c>
      <c r="AY33" s="32" t="inlineStr">
        <is>
          <t>SP</t>
        </is>
      </c>
      <c r="AZ33" s="32" t="inlineStr">
        <is>
          <t>Comércio atacadista de produtos alimentícios em geral</t>
        </is>
      </c>
      <c r="BA33" s="32" t="inlineStr">
        <is>
          <t>não ME/EPP</t>
        </is>
      </c>
      <c r="BB33" s="33" t="n">
        <v>23925800</v>
      </c>
      <c r="BC33" s="32" t="inlineStr">
        <is>
          <t>MID-MARKET</t>
        </is>
      </c>
      <c r="BD33" s="32" t="inlineStr">
        <is>
          <t>24785274</t>
        </is>
      </c>
      <c r="BE33" s="32" t="n">
        <v>1</v>
      </c>
      <c r="BF33" s="32" t="inlineStr">
        <is>
          <t>CASE_NUMBER_MISSING list prints no totals</t>
        </is>
      </c>
    </row>
    <row r="34">
      <c r="A34" s="17" t="inlineStr">
        <is>
          <t>L'OREAL BRASIL COMERCIAL DE COSMETICOS LTDA</t>
        </is>
      </c>
      <c r="B34" s="18" t="n">
        <v>5955264.1</v>
      </c>
      <c r="C34" s="19" t="inlineStr">
        <is>
          <t>GRUPO DP4</t>
        </is>
      </c>
      <c r="D34" s="20" t="inlineStr">
        <is>
          <t>NEW</t>
        </is>
      </c>
      <c r="E34" s="21" t="inlineStr"/>
      <c r="F34" s="20" t="inlineStr"/>
      <c r="G34" s="21" t="inlineStr"/>
      <c r="H34" s="20" t="inlineStr"/>
      <c r="I34" s="22" t="inlineStr">
        <is>
          <t>MARCELO ZIMET</t>
        </is>
      </c>
      <c r="J34" s="23" t="inlineStr">
        <is>
          <t>Administrador (RFB partner)</t>
        </is>
      </c>
      <c r="K34" s="22" t="inlineStr">
        <is>
          <t>(21) 4505-9616</t>
        </is>
      </c>
      <c r="L34" s="22" t="inlineStr"/>
      <c r="M34" s="22" t="inlineStr"/>
      <c r="N34" s="22" t="inlineStr"/>
      <c r="O34" s="22" t="inlineStr"/>
      <c r="P34" s="22" t="inlineStr"/>
      <c r="Q34" s="22" t="inlineStr"/>
      <c r="R34" s="22" t="inlineStr"/>
      <c r="S34" s="22" t="inlineStr"/>
      <c r="T34" s="22" t="inlineStr">
        <is>
          <t>DM = registered partner (RFB QSA); no Apollo match</t>
        </is>
      </c>
      <c r="U34" s="24" t="n">
        <v>5955264.1</v>
      </c>
      <c r="V34" s="25" t="inlineStr">
        <is>
          <t>B</t>
        </is>
      </c>
      <c r="W34" s="26" t="inlineStr"/>
      <c r="X34" s="27" t="inlineStr"/>
      <c r="Y34" s="27" t="inlineStr"/>
      <c r="Z34" s="26">
        <f>IF(W34&lt;&gt;"",W34,IFERROR(VLOOKUP(V34,Assumptions!$A$8:$F$12,2,FALSE),0))</f>
        <v/>
      </c>
      <c r="AA34" s="28">
        <f>IF(V34="A",MAX(1,IF(X34&lt;&gt;"",X34,IFERROR(VLOOKUP(V34,Assumptions!$A$8:$F$12,3,FALSE),3))+IF(Y34&lt;&gt;"",Y34,IFERROR(VLOOKUP(V34,Assumptions!$A$8:$F$12,4,FALSE),8))/2-MAX(0,IF(AS34="",0,YEAR(TODAY())-AS34)-IFERROR(VLOOKUP(V34,Assumptions!$A$8:$F$12,5,FALSE),1.5))),IFERROR(VLOOKUP(V34,Assumptions!$A$8:$F$12,5,FALSE),2.5)+IF(X34&lt;&gt;"",X34,IFERROR(VLOOKUP(V34,Assumptions!$A$8:$F$12,3,FALSE),3))+IF(Y34&lt;&gt;"",Y34,IFERROR(VLOOKUP(V34,Assumptions!$A$8:$F$12,4,FALSE),8))/2)</f>
        <v/>
      </c>
      <c r="AB34" s="24">
        <f>U34*Z34/(1+Assumptions!$B$3)^AA34</f>
        <v/>
      </c>
      <c r="AC34" s="27">
        <f>IF(U34=0,"",ROUND(AB34/U34*100,1))</f>
        <v/>
      </c>
      <c r="AD34" s="29">
        <f>AB34*Assumptions!$B$4</f>
        <v/>
      </c>
      <c r="AE34" s="27">
        <f>IF(U34=0,"",ROUND(AD34/U34*100,1))</f>
        <v/>
      </c>
      <c r="AF34" s="29">
        <f>AB34-AD34</f>
        <v/>
      </c>
      <c r="AG34" s="27">
        <f>IF(U34=0,"",ROUND((AB34-AD34)/U34*100,1))</f>
        <v/>
      </c>
      <c r="AH34" s="35" t="inlineStr">
        <is>
          <t>PARTIAL — class III reconciled, other classes not</t>
        </is>
      </c>
      <c r="AI34" s="31" t="inlineStr">
        <is>
          <t>https://marquesadmjudicial.com.br/sgc/download.php?file=files/processo_documento/processo_documento15293208032024_1_.pdf&amp;nome=Relação Nominal de Credores da AJ-Sintética</t>
        </is>
      </c>
      <c r="AJ34" s="30" t="inlineStr">
        <is>
          <t>p28 r10</t>
        </is>
      </c>
      <c r="AK34" s="30" t="inlineStr">
        <is>
          <t>p28: R$ 5.955.264,10</t>
        </is>
      </c>
      <c r="AL34" s="30" t="inlineStr">
        <is>
          <t>AJ list (art. 7 §2)</t>
        </is>
      </c>
      <c r="AM34" s="30" t="inlineStr">
        <is>
          <t>2023-03-02</t>
        </is>
      </c>
      <c r="AN34" s="30" t="inlineStr">
        <is>
          <t>NONE FOUND</t>
        </is>
      </c>
      <c r="AO34" s="32" t="inlineStr">
        <is>
          <t>0005010-98.2023.8.16.0001</t>
        </is>
      </c>
      <c r="AP34" s="32" t="inlineStr">
        <is>
          <t>TJPR</t>
        </is>
      </c>
      <c r="AQ34" s="32" t="inlineStr">
        <is>
          <t>Recuperação judicial</t>
        </is>
      </c>
      <c r="AR34" s="32" t="inlineStr">
        <is>
          <t>DataJud: no closure/falência movement</t>
        </is>
      </c>
      <c r="AS34" s="32" t="n">
        <v>2023</v>
      </c>
      <c r="AT34" s="32" t="inlineStr">
        <is>
          <t>live case, no plan document yet</t>
        </is>
      </c>
      <c r="AU34" s="32" t="inlineStr"/>
      <c r="AV34" s="32" t="inlineStr">
        <is>
          <t>printed on the list (read twice)</t>
        </is>
      </c>
      <c r="AW34" s="32" t="inlineStr"/>
      <c r="AX34" s="32" t="inlineStr">
        <is>
          <t>RIO DE JANEIRO</t>
        </is>
      </c>
      <c r="AY34" s="32" t="inlineStr">
        <is>
          <t>RJ</t>
        </is>
      </c>
      <c r="AZ34" s="32" t="inlineStr">
        <is>
          <t>Comércio atacadista de cosméticos e produtos de perfumaria</t>
        </is>
      </c>
      <c r="BA34" s="32" t="inlineStr">
        <is>
          <t>não ME/EPP</t>
        </is>
      </c>
      <c r="BB34" s="33" t="n">
        <v>564088500</v>
      </c>
      <c r="BC34" s="32" t="inlineStr">
        <is>
          <t>MID-MARKET</t>
        </is>
      </c>
      <c r="BD34" s="32" t="inlineStr">
        <is>
          <t>30278428</t>
        </is>
      </c>
      <c r="BE34" s="32" t="n">
        <v>1</v>
      </c>
      <c r="BF34" s="32" t="inlineStr">
        <is>
          <t>class III reconciled (doc partial)</t>
        </is>
      </c>
    </row>
    <row r="35">
      <c r="A35" s="17" t="inlineStr">
        <is>
          <t>INVISTA LOTEADORA E INCORPORADORA LTDA</t>
        </is>
      </c>
      <c r="B35" s="18" t="n">
        <v>5875236.13</v>
      </c>
      <c r="C35" s="19" t="inlineStr">
        <is>
          <t>Grupo Rech</t>
        </is>
      </c>
      <c r="D35" s="20" t="inlineStr">
        <is>
          <t>NEW</t>
        </is>
      </c>
      <c r="E35" s="21" t="inlineStr"/>
      <c r="F35" s="20" t="inlineStr"/>
      <c r="G35" s="21" t="inlineStr"/>
      <c r="H35" s="20" t="inlineStr"/>
      <c r="I35" s="22" t="inlineStr">
        <is>
          <t>JONES FERNANDES</t>
        </is>
      </c>
      <c r="J35" s="23" t="inlineStr">
        <is>
          <t>Sócio-Administrador (RFB partner)</t>
        </is>
      </c>
      <c r="K35" s="22" t="inlineStr">
        <is>
          <t>(55) 3524-1044</t>
        </is>
      </c>
      <c r="L35" s="22" t="inlineStr">
        <is>
          <t>(55) 3524-1143</t>
        </is>
      </c>
      <c r="M35" s="22" t="inlineStr"/>
      <c r="N35" s="22" t="inlineStr"/>
      <c r="O35" s="22" t="inlineStr"/>
      <c r="P35" s="22" t="inlineStr"/>
      <c r="Q35" s="22" t="inlineStr"/>
      <c r="R35" s="22" t="inlineStr"/>
      <c r="S35" s="22" t="inlineStr"/>
      <c r="T35" s="22" t="inlineStr">
        <is>
          <t>DM = registered partner (RFB QSA); no Apollo match</t>
        </is>
      </c>
      <c r="U35" s="24" t="n">
        <v>5875236.13</v>
      </c>
      <c r="V35" s="25" t="inlineStr">
        <is>
          <t>B</t>
        </is>
      </c>
      <c r="W35" s="26" t="inlineStr"/>
      <c r="X35" s="27" t="inlineStr"/>
      <c r="Y35" s="27" t="inlineStr"/>
      <c r="Z35" s="26">
        <f>IF(W35&lt;&gt;"",W35,IFERROR(VLOOKUP(V35,Assumptions!$A$8:$F$12,2,FALSE),0))</f>
        <v/>
      </c>
      <c r="AA35" s="28">
        <f>IF(V35="A",MAX(1,IF(X35&lt;&gt;"",X35,IFERROR(VLOOKUP(V35,Assumptions!$A$8:$F$12,3,FALSE),3))+IF(Y35&lt;&gt;"",Y35,IFERROR(VLOOKUP(V35,Assumptions!$A$8:$F$12,4,FALSE),8))/2-MAX(0,IF(AS35="",0,YEAR(TODAY())-AS35)-IFERROR(VLOOKUP(V35,Assumptions!$A$8:$F$12,5,FALSE),1.5))),IFERROR(VLOOKUP(V35,Assumptions!$A$8:$F$12,5,FALSE),2.5)+IF(X35&lt;&gt;"",X35,IFERROR(VLOOKUP(V35,Assumptions!$A$8:$F$12,3,FALSE),3))+IF(Y35&lt;&gt;"",Y35,IFERROR(VLOOKUP(V35,Assumptions!$A$8:$F$12,4,FALSE),8))/2)</f>
        <v/>
      </c>
      <c r="AB35" s="24">
        <f>U35*Z35/(1+Assumptions!$B$3)^AA35</f>
        <v/>
      </c>
      <c r="AC35" s="27">
        <f>IF(U35=0,"",ROUND(AB35/U35*100,1))</f>
        <v/>
      </c>
      <c r="AD35" s="29">
        <f>AB35*Assumptions!$B$4</f>
        <v/>
      </c>
      <c r="AE35" s="27">
        <f>IF(U35=0,"",ROUND(AD35/U35*100,1))</f>
        <v/>
      </c>
      <c r="AF35" s="29">
        <f>AB35-AD35</f>
        <v/>
      </c>
      <c r="AG35" s="27">
        <f>IF(U35=0,"",ROUND((AB35-AD35)/U35*100,1))</f>
        <v/>
      </c>
      <c r="AH35" s="36" t="inlineStr">
        <is>
          <t>CHECK — source is not a statutory creditor list</t>
        </is>
      </c>
      <c r="AI35" s="31" t="inlineStr">
        <is>
          <t>https://credibilita.com.br/wp-content/uploads/2025/09/Relacao-Credores-29.04.2026.pdf</t>
        </is>
      </c>
      <c r="AJ35" s="30" t="inlineStr">
        <is>
          <t>p1 r26</t>
        </is>
      </c>
      <c r="AK35" s="30" t="inlineStr">
        <is>
          <t>p1: R$ 5.875.236,13</t>
        </is>
      </c>
      <c r="AL35" s="30" t="inlineStr">
        <is>
          <t>Quorum list — NOT an art. 7/51 list</t>
        </is>
      </c>
      <c r="AM35" s="30" t="inlineStr"/>
      <c r="AN35" s="30" t="inlineStr">
        <is>
          <t>NONE FOUND</t>
        </is>
      </c>
      <c r="AO35" s="32" t="inlineStr">
        <is>
          <t>5057720-48.2025.8.24.0023</t>
        </is>
      </c>
      <c r="AP35" s="32" t="inlineStr">
        <is>
          <t>TJSC</t>
        </is>
      </c>
      <c r="AQ35" s="32" t="inlineStr"/>
      <c r="AR35" s="32" t="inlineStr">
        <is>
          <t>not in DataJud</t>
        </is>
      </c>
      <c r="AS35" s="32" t="n">
        <v>2025</v>
      </c>
      <c r="AT35" s="32" t="inlineStr">
        <is>
          <t>live case, no plan document yet; case no. from the portal record, not printed on the list</t>
        </is>
      </c>
      <c r="AU35" s="32" t="inlineStr"/>
      <c r="AV35" s="32" t="inlineStr">
        <is>
          <t>portal page title / URL — not printed on the list</t>
        </is>
      </c>
      <c r="AW35" s="32" t="inlineStr"/>
      <c r="AX35" s="32" t="inlineStr">
        <is>
          <t>HORIZONTINA</t>
        </is>
      </c>
      <c r="AY35" s="32" t="inlineStr">
        <is>
          <t>RS</t>
        </is>
      </c>
      <c r="AZ35" s="32" t="inlineStr">
        <is>
          <t>Incorporação de empreendimentos imobiliários</t>
        </is>
      </c>
      <c r="BA35" s="32" t="inlineStr">
        <is>
          <t>MICRO EMPRESA</t>
        </is>
      </c>
      <c r="BB35" s="33" t="n">
        <v>100000</v>
      </c>
      <c r="BC35" s="32" t="inlineStr">
        <is>
          <t>SMALL</t>
        </is>
      </c>
      <c r="BD35" s="32" t="inlineStr">
        <is>
          <t>18871750</t>
        </is>
      </c>
      <c r="BE35" s="32" t="n">
        <v>1</v>
      </c>
      <c r="BF35" s="32" t="inlineStr">
        <is>
          <t>list prints no totals case no. corrected by reader</t>
        </is>
      </c>
    </row>
    <row r="36">
      <c r="A36" s="17" t="inlineStr">
        <is>
          <t>CATAO CONFECCOES LTDA - EM RECUPERACAO JUDICIAL</t>
        </is>
      </c>
      <c r="B36" s="18" t="n">
        <v>5843155.75</v>
      </c>
      <c r="C36" s="19" t="inlineStr">
        <is>
          <t>GRUPO CATTAN</t>
        </is>
      </c>
      <c r="D36" s="20" t="inlineStr">
        <is>
          <t>NEW</t>
        </is>
      </c>
      <c r="E36" s="21" t="inlineStr"/>
      <c r="F36" s="20" t="inlineStr"/>
      <c r="G36" s="21" t="inlineStr"/>
      <c r="H36" s="20" t="inlineStr"/>
      <c r="I36" s="22" t="inlineStr">
        <is>
          <t>FLAVIO DANTAS CATAO</t>
        </is>
      </c>
      <c r="J36" s="23" t="inlineStr">
        <is>
          <t>Sócio-Administrador (RFB partner)</t>
        </is>
      </c>
      <c r="K36" s="22" t="inlineStr"/>
      <c r="L36" s="22" t="inlineStr"/>
      <c r="M36" s="22" t="inlineStr"/>
      <c r="N36" s="22" t="inlineStr"/>
      <c r="O36" s="22" t="inlineStr"/>
      <c r="P36" s="22" t="inlineStr"/>
      <c r="Q36" s="22" t="inlineStr"/>
      <c r="R36" s="22" t="inlineStr"/>
      <c r="S36" s="22" t="inlineStr"/>
      <c r="T36" s="22" t="inlineStr">
        <is>
          <t>DM = registered partner (RFB QSA); no Apollo match; NO ROUTE IN: no phone or email on file</t>
        </is>
      </c>
      <c r="U36" s="24" t="n">
        <v>5843155.75</v>
      </c>
      <c r="V36" s="25" t="inlineStr">
        <is>
          <t>B</t>
        </is>
      </c>
      <c r="W36" s="26" t="inlineStr"/>
      <c r="X36" s="27" t="inlineStr"/>
      <c r="Y36" s="27" t="inlineStr"/>
      <c r="Z36" s="26">
        <f>IF(W36&lt;&gt;"",W36,IFERROR(VLOOKUP(V36,Assumptions!$A$8:$F$12,2,FALSE),0))</f>
        <v/>
      </c>
      <c r="AA36" s="28">
        <f>IF(V36="A",MAX(1,IF(X36&lt;&gt;"",X36,IFERROR(VLOOKUP(V36,Assumptions!$A$8:$F$12,3,FALSE),3))+IF(Y36&lt;&gt;"",Y36,IFERROR(VLOOKUP(V36,Assumptions!$A$8:$F$12,4,FALSE),8))/2-MAX(0,IF(AS36="",0,YEAR(TODAY())-AS36)-IFERROR(VLOOKUP(V36,Assumptions!$A$8:$F$12,5,FALSE),1.5))),IFERROR(VLOOKUP(V36,Assumptions!$A$8:$F$12,5,FALSE),2.5)+IF(X36&lt;&gt;"",X36,IFERROR(VLOOKUP(V36,Assumptions!$A$8:$F$12,3,FALSE),3))+IF(Y36&lt;&gt;"",Y36,IFERROR(VLOOKUP(V36,Assumptions!$A$8:$F$12,4,FALSE),8))/2)</f>
        <v/>
      </c>
      <c r="AB36" s="24">
        <f>U36*Z36/(1+Assumptions!$B$3)^AA36</f>
        <v/>
      </c>
      <c r="AC36" s="27">
        <f>IF(U36=0,"",ROUND(AB36/U36*100,1))</f>
        <v/>
      </c>
      <c r="AD36" s="29">
        <f>AB36*Assumptions!$B$4</f>
        <v/>
      </c>
      <c r="AE36" s="27">
        <f>IF(U36=0,"",ROUND(AD36/U36*100,1))</f>
        <v/>
      </c>
      <c r="AF36" s="29">
        <f>AB36-AD36</f>
        <v/>
      </c>
      <c r="AG36" s="27">
        <f>IF(U36=0,"",ROUND((AB36-AD36)/U36*100,1))</f>
        <v/>
      </c>
      <c r="AH36" s="35" t="inlineStr">
        <is>
          <t>PARTIAL — class III reconciled, other classes not</t>
        </is>
      </c>
      <c r="AI36" s="31" t="inlineStr">
        <is>
          <t>https://lrflideres.com.br/wp-content/plugins/download-attachments/includes/download.php?id=4023</t>
        </is>
      </c>
      <c r="AJ36" s="30" t="inlineStr">
        <is>
          <t>p4 r60; p9 r62</t>
        </is>
      </c>
      <c r="AK36" s="30" t="inlineStr">
        <is>
          <t>p4: R$ 1.447.463,41; p9: R$ 4.395.692,34</t>
        </is>
      </c>
      <c r="AL36" s="30" t="inlineStr">
        <is>
          <t>Debtor list (art. 51)</t>
        </is>
      </c>
      <c r="AM36" s="30" t="inlineStr"/>
      <c r="AN36" s="30" t="inlineStr">
        <is>
          <t>NONE FOUND</t>
        </is>
      </c>
      <c r="AO36" s="32" t="inlineStr">
        <is>
          <t>0002484-82.2022.8.17.2001</t>
        </is>
      </c>
      <c r="AP36" s="32" t="inlineStr">
        <is>
          <t>TJPE</t>
        </is>
      </c>
      <c r="AQ36" s="32" t="inlineStr">
        <is>
          <t>Recuperação judicial</t>
        </is>
      </c>
      <c r="AR36" s="32" t="inlineStr">
        <is>
          <t>DataJud: no closure/falência movement</t>
        </is>
      </c>
      <c r="AS36" s="32" t="n">
        <v>2022</v>
      </c>
      <c r="AT36" s="32" t="inlineStr">
        <is>
          <t>live case, no plan document yet</t>
        </is>
      </c>
      <c r="AU36" s="32" t="inlineStr"/>
      <c r="AV36" s="32" t="inlineStr">
        <is>
          <t>printed on the list (read twice)</t>
        </is>
      </c>
      <c r="AW36" s="32" t="inlineStr"/>
      <c r="AX36" s="32" t="inlineStr">
        <is>
          <t>RECIFE</t>
        </is>
      </c>
      <c r="AY36" s="32" t="inlineStr">
        <is>
          <t>PE</t>
        </is>
      </c>
      <c r="AZ36" s="32" t="inlineStr">
        <is>
          <t>Comércio varejista de artigos do vestuário e acessórios</t>
        </is>
      </c>
      <c r="BA36" s="32" t="inlineStr">
        <is>
          <t>não ME/EPP</t>
        </is>
      </c>
      <c r="BB36" s="33" t="n">
        <v>1600000</v>
      </c>
      <c r="BC36" s="32" t="inlineStr">
        <is>
          <t>MID-MARKET</t>
        </is>
      </c>
      <c r="BD36" s="32" t="inlineStr">
        <is>
          <t>10775286</t>
        </is>
      </c>
      <c r="BE36" s="32" t="n">
        <v>2</v>
      </c>
      <c r="BF36" s="32" t="inlineStr">
        <is>
          <t>class III reconciled (doc partial) no route in</t>
        </is>
      </c>
    </row>
    <row r="37">
      <c r="A37" s="17" t="inlineStr">
        <is>
          <t>GCD ADMINISTRADORA DE CARTOES DE CREDITO LTDA</t>
        </is>
      </c>
      <c r="B37" s="18" t="n">
        <v>5397872.9</v>
      </c>
      <c r="C37" s="19" t="inlineStr">
        <is>
          <t>GRUPO CATTAN</t>
        </is>
      </c>
      <c r="D37" s="20" t="inlineStr">
        <is>
          <t>NEW</t>
        </is>
      </c>
      <c r="E37" s="21" t="inlineStr"/>
      <c r="F37" s="20" t="inlineStr"/>
      <c r="G37" s="21" t="inlineStr"/>
      <c r="H37" s="20" t="inlineStr"/>
      <c r="I37" s="22" t="inlineStr">
        <is>
          <t>FERNANDO MELO CATAO</t>
        </is>
      </c>
      <c r="J37" s="23" t="inlineStr">
        <is>
          <t>Sócio-Administrador (RFB partner)</t>
        </is>
      </c>
      <c r="K37" s="22" t="inlineStr">
        <is>
          <t>(81) 3032-8400</t>
        </is>
      </c>
      <c r="L37" s="22" t="inlineStr">
        <is>
          <t>(81) 8814-1100</t>
        </is>
      </c>
      <c r="M37" s="22" t="inlineStr"/>
      <c r="N37" s="22" t="inlineStr"/>
      <c r="O37" s="22" t="inlineStr"/>
      <c r="P37" s="22" t="inlineStr"/>
      <c r="Q37" s="22" t="inlineStr"/>
      <c r="R37" s="22" t="inlineStr"/>
      <c r="S37" s="22" t="inlineStr"/>
      <c r="T37" s="22" t="inlineStr">
        <is>
          <t>DM = registered partner (RFB QSA); no Apollo match</t>
        </is>
      </c>
      <c r="U37" s="24" t="n">
        <v>5397872.9</v>
      </c>
      <c r="V37" s="25" t="inlineStr">
        <is>
          <t>B</t>
        </is>
      </c>
      <c r="W37" s="26" t="inlineStr"/>
      <c r="X37" s="27" t="inlineStr"/>
      <c r="Y37" s="27" t="inlineStr"/>
      <c r="Z37" s="26">
        <f>IF(W37&lt;&gt;"",W37,IFERROR(VLOOKUP(V37,Assumptions!$A$8:$F$12,2,FALSE),0))</f>
        <v/>
      </c>
      <c r="AA37" s="28">
        <f>IF(V37="A",MAX(1,IF(X37&lt;&gt;"",X37,IFERROR(VLOOKUP(V37,Assumptions!$A$8:$F$12,3,FALSE),3))+IF(Y37&lt;&gt;"",Y37,IFERROR(VLOOKUP(V37,Assumptions!$A$8:$F$12,4,FALSE),8))/2-MAX(0,IF(AS37="",0,YEAR(TODAY())-AS37)-IFERROR(VLOOKUP(V37,Assumptions!$A$8:$F$12,5,FALSE),1.5))),IFERROR(VLOOKUP(V37,Assumptions!$A$8:$F$12,5,FALSE),2.5)+IF(X37&lt;&gt;"",X37,IFERROR(VLOOKUP(V37,Assumptions!$A$8:$F$12,3,FALSE),3))+IF(Y37&lt;&gt;"",Y37,IFERROR(VLOOKUP(V37,Assumptions!$A$8:$F$12,4,FALSE),8))/2)</f>
        <v/>
      </c>
      <c r="AB37" s="24">
        <f>U37*Z37/(1+Assumptions!$B$3)^AA37</f>
        <v/>
      </c>
      <c r="AC37" s="27">
        <f>IF(U37=0,"",ROUND(AB37/U37*100,1))</f>
        <v/>
      </c>
      <c r="AD37" s="29">
        <f>AB37*Assumptions!$B$4</f>
        <v/>
      </c>
      <c r="AE37" s="27">
        <f>IF(U37=0,"",ROUND(AD37/U37*100,1))</f>
        <v/>
      </c>
      <c r="AF37" s="29">
        <f>AB37-AD37</f>
        <v/>
      </c>
      <c r="AG37" s="27">
        <f>IF(U37=0,"",ROUND((AB37-AD37)/U37*100,1))</f>
        <v/>
      </c>
      <c r="AH37" s="35" t="inlineStr">
        <is>
          <t>PARTIAL — class III reconciled, other classes not</t>
        </is>
      </c>
      <c r="AI37" s="31" t="inlineStr">
        <is>
          <t>https://lrflideres.com.br/wp-content/plugins/download-attachments/includes/download.php?id=4023</t>
        </is>
      </c>
      <c r="AJ37" s="30" t="inlineStr">
        <is>
          <t>p4 r73; p7 r97; p9 r71</t>
        </is>
      </c>
      <c r="AK37" s="30" t="inlineStr">
        <is>
          <t>p4: R$ 480.000,00; p7: R$ 4.717.872,90; p9: R$ 200.000,00</t>
        </is>
      </c>
      <c r="AL37" s="30" t="inlineStr">
        <is>
          <t>Debtor list (art. 51)</t>
        </is>
      </c>
      <c r="AM37" s="30" t="inlineStr"/>
      <c r="AN37" s="30" t="inlineStr">
        <is>
          <t>NONE FOUND</t>
        </is>
      </c>
      <c r="AO37" s="32" t="inlineStr">
        <is>
          <t>0002484-82.2022.8.17.2001</t>
        </is>
      </c>
      <c r="AP37" s="32" t="inlineStr">
        <is>
          <t>TJPE</t>
        </is>
      </c>
      <c r="AQ37" s="32" t="inlineStr">
        <is>
          <t>Recuperação judicial</t>
        </is>
      </c>
      <c r="AR37" s="32" t="inlineStr">
        <is>
          <t>DataJud: no closure/falência movement</t>
        </is>
      </c>
      <c r="AS37" s="32" t="n">
        <v>2022</v>
      </c>
      <c r="AT37" s="32" t="inlineStr">
        <is>
          <t>live case, no plan document yet</t>
        </is>
      </c>
      <c r="AU37" s="32" t="inlineStr"/>
      <c r="AV37" s="32" t="inlineStr">
        <is>
          <t>printed on the list (read twice)</t>
        </is>
      </c>
      <c r="AW37" s="32" t="inlineStr"/>
      <c r="AX37" s="32" t="inlineStr">
        <is>
          <t>RECIFE</t>
        </is>
      </c>
      <c r="AY37" s="32" t="inlineStr">
        <is>
          <t>PE</t>
        </is>
      </c>
      <c r="AZ37" s="32" t="inlineStr">
        <is>
          <t>Outras atividades auxiliares dos serviços financeiros não especificadas anteriormente</t>
        </is>
      </c>
      <c r="BA37" s="32" t="inlineStr">
        <is>
          <t>não ME/EPP</t>
        </is>
      </c>
      <c r="BB37" s="33" t="n">
        <v>2000000</v>
      </c>
      <c r="BC37" s="32" t="inlineStr">
        <is>
          <t>MID-MARKET</t>
        </is>
      </c>
      <c r="BD37" s="32" t="inlineStr">
        <is>
          <t>32193199</t>
        </is>
      </c>
      <c r="BE37" s="32" t="n">
        <v>3</v>
      </c>
      <c r="BF37" s="32" t="inlineStr">
        <is>
          <t>class III reconciled (doc partial)</t>
        </is>
      </c>
    </row>
    <row r="38">
      <c r="A38" s="17" t="inlineStr">
        <is>
          <t>BOSCH HOME COMFORT DO BRASIL LTDA</t>
        </is>
      </c>
      <c r="B38" s="18" t="n">
        <v>5064633.83</v>
      </c>
      <c r="C38" s="19" t="inlineStr">
        <is>
          <t>REAL DISTRIBUIDORA ÚNICA RIO COMÉRCIO DE REFRIGERAÇÃO LTDA.</t>
        </is>
      </c>
      <c r="D38" s="20" t="inlineStr">
        <is>
          <t>NEW</t>
        </is>
      </c>
      <c r="E38" s="21" t="inlineStr"/>
      <c r="F38" s="20" t="inlineStr"/>
      <c r="G38" s="21" t="inlineStr"/>
      <c r="H38" s="20" t="inlineStr"/>
      <c r="I38" s="22" t="inlineStr">
        <is>
          <t>Jaqueline Santos</t>
        </is>
      </c>
      <c r="J38" s="22" t="inlineStr">
        <is>
          <t>Finance Director Latam</t>
        </is>
      </c>
      <c r="K38" s="22" t="inlineStr">
        <is>
          <t>(92) 3301-5000</t>
        </is>
      </c>
      <c r="L38" s="22" t="inlineStr"/>
      <c r="M38" s="22" t="inlineStr"/>
      <c r="N38" s="22" t="inlineStr"/>
      <c r="O38" s="22" t="inlineStr"/>
      <c r="P38" s="22" t="inlineStr">
        <is>
          <t>Vanessa Leite</t>
        </is>
      </c>
      <c r="Q38" s="22" t="inlineStr">
        <is>
          <t>Gerente de Tesouraria, Finanças e Compliance</t>
        </is>
      </c>
      <c r="R38" s="22" t="inlineStr"/>
      <c r="S38" s="22" t="inlineStr">
        <is>
          <t>vanessa.idalgo@bosch-hcgroup.com</t>
        </is>
      </c>
      <c r="T38" s="22" t="inlineStr">
        <is>
          <t>DM: DM; LARGE CORP (Hitachi/Bosch Home Comfort); no work email in Apollo for DM; BACKUP: backup</t>
        </is>
      </c>
      <c r="U38" s="24" t="n">
        <v>5064633.83</v>
      </c>
      <c r="V38" s="25" t="inlineStr">
        <is>
          <t>B</t>
        </is>
      </c>
      <c r="W38" s="26" t="inlineStr"/>
      <c r="X38" s="27" t="inlineStr"/>
      <c r="Y38" s="27" t="inlineStr"/>
      <c r="Z38" s="26">
        <f>IF(W38&lt;&gt;"",W38,IFERROR(VLOOKUP(V38,Assumptions!$A$8:$F$12,2,FALSE),0))</f>
        <v/>
      </c>
      <c r="AA38" s="28">
        <f>IF(V38="A",MAX(1,IF(X38&lt;&gt;"",X38,IFERROR(VLOOKUP(V38,Assumptions!$A$8:$F$12,3,FALSE),3))+IF(Y38&lt;&gt;"",Y38,IFERROR(VLOOKUP(V38,Assumptions!$A$8:$F$12,4,FALSE),8))/2-MAX(0,IF(AS38="",0,YEAR(TODAY())-AS38)-IFERROR(VLOOKUP(V38,Assumptions!$A$8:$F$12,5,FALSE),1.5))),IFERROR(VLOOKUP(V38,Assumptions!$A$8:$F$12,5,FALSE),2.5)+IF(X38&lt;&gt;"",X38,IFERROR(VLOOKUP(V38,Assumptions!$A$8:$F$12,3,FALSE),3))+IF(Y38&lt;&gt;"",Y38,IFERROR(VLOOKUP(V38,Assumptions!$A$8:$F$12,4,FALSE),8))/2)</f>
        <v/>
      </c>
      <c r="AB38" s="24">
        <f>U38*Z38/(1+Assumptions!$B$3)^AA38</f>
        <v/>
      </c>
      <c r="AC38" s="27">
        <f>IF(U38=0,"",ROUND(AB38/U38*100,1))</f>
        <v/>
      </c>
      <c r="AD38" s="29">
        <f>AB38*Assumptions!$B$4</f>
        <v/>
      </c>
      <c r="AE38" s="27">
        <f>IF(U38=0,"",ROUND(AD38/U38*100,1))</f>
        <v/>
      </c>
      <c r="AF38" s="29">
        <f>AB38-AD38</f>
        <v/>
      </c>
      <c r="AG38" s="27">
        <f>IF(U38=0,"",ROUND((AB38-AD38)/U38*100,1))</f>
        <v/>
      </c>
      <c r="AH38" s="30" t="inlineStr">
        <is>
          <t>OK — totals reconciled</t>
        </is>
      </c>
      <c r="AI38" s="31" t="inlineStr">
        <is>
          <t>https://inova-aj.com.br/wp-content/uploads/2026/08/1a-Relacao-de-Credores-Real.pdf</t>
        </is>
      </c>
      <c r="AJ38" s="30" t="inlineStr">
        <is>
          <t>p1 r35</t>
        </is>
      </c>
      <c r="AK38" s="30" t="inlineStr">
        <is>
          <t>p1: R$ 5.064.633,83</t>
        </is>
      </c>
      <c r="AL38" s="30" t="inlineStr">
        <is>
          <t>AJ list (art. 7 §2)</t>
        </is>
      </c>
      <c r="AM38" s="30" t="inlineStr">
        <is>
          <t>2023-06-05</t>
        </is>
      </c>
      <c r="AN38" s="30" t="inlineStr">
        <is>
          <t>NONE FOUND</t>
        </is>
      </c>
      <c r="AO38" s="32" t="inlineStr">
        <is>
          <t>0873061-47.2023.8.19.0001</t>
        </is>
      </c>
      <c r="AP38" s="32" t="inlineStr">
        <is>
          <t>TJRJ</t>
        </is>
      </c>
      <c r="AQ38" s="32" t="inlineStr">
        <is>
          <t>Recuperação judicial</t>
        </is>
      </c>
      <c r="AR38" s="32" t="inlineStr">
        <is>
          <t>not in DataJud</t>
        </is>
      </c>
      <c r="AS38" s="32" t="n">
        <v>2023</v>
      </c>
      <c r="AT38" s="32" t="inlineStr">
        <is>
          <t>live case, no plan document yet; case no. from the portal record, not printed on the list</t>
        </is>
      </c>
      <c r="AU38" s="32" t="inlineStr"/>
      <c r="AV38" s="32" t="inlineStr">
        <is>
          <t>printed on the list (read twice)</t>
        </is>
      </c>
      <c r="AW38" s="32" t="inlineStr"/>
      <c r="AX38" s="32" t="inlineStr">
        <is>
          <t>MANAUS</t>
        </is>
      </c>
      <c r="AY38" s="32" t="inlineStr">
        <is>
          <t>AM</t>
        </is>
      </c>
      <c r="AZ38" s="32" t="inlineStr">
        <is>
          <t>Serviços combinados de escritório e apoio administrativo</t>
        </is>
      </c>
      <c r="BA38" s="32" t="inlineStr">
        <is>
          <t>não ME/EPP</t>
        </is>
      </c>
      <c r="BB38" s="33" t="n">
        <v>504374800</v>
      </c>
      <c r="BC38" s="32" t="inlineStr">
        <is>
          <t>MID-MARKET</t>
        </is>
      </c>
      <c r="BD38" s="32" t="inlineStr">
        <is>
          <t>33284522</t>
        </is>
      </c>
      <c r="BE38" s="32" t="n">
        <v>1</v>
      </c>
      <c r="BF38" s="32" t="inlineStr">
        <is>
          <t>ALT_VALUE:R$3.682.536,03</t>
        </is>
      </c>
    </row>
    <row r="39">
      <c r="A39" s="17" t="inlineStr">
        <is>
          <t>VIBRA ENERGIA S.A</t>
        </is>
      </c>
      <c r="B39" s="18" t="n">
        <v>5004769.6</v>
      </c>
      <c r="C39" s="19" t="inlineStr">
        <is>
          <t>GRUPO EGESA (Egesa Engenharia S.A. + 9 group companies; see group members)</t>
        </is>
      </c>
      <c r="D39" s="20" t="inlineStr">
        <is>
          <t>NEW</t>
        </is>
      </c>
      <c r="E39" s="21" t="inlineStr"/>
      <c r="F39" s="20" t="inlineStr"/>
      <c r="G39" s="21" t="inlineStr"/>
      <c r="H39" s="20" t="inlineStr"/>
      <c r="I39" s="22" t="inlineStr">
        <is>
          <t>ERNESTO PERES POUSADA JUNIOR</t>
        </is>
      </c>
      <c r="J39" s="23" t="inlineStr">
        <is>
          <t>Presidente (RFB partner)</t>
        </is>
      </c>
      <c r="K39" s="22" t="inlineStr">
        <is>
          <t>(21) 2354-3151</t>
        </is>
      </c>
      <c r="L39" s="22" t="inlineStr">
        <is>
          <t>(21) 2354-3146</t>
        </is>
      </c>
      <c r="M39" s="22" t="inlineStr"/>
      <c r="N39" s="22" t="inlineStr"/>
      <c r="O39" s="22" t="inlineStr"/>
      <c r="P39" s="22" t="inlineStr">
        <is>
          <t>DANIEL DRUMOND CAMPOS E SILVA</t>
        </is>
      </c>
      <c r="Q39" s="22" t="inlineStr">
        <is>
          <t>Diretor (RFB partner)</t>
        </is>
      </c>
      <c r="R39" s="22" t="inlineStr"/>
      <c r="S39" s="22" t="inlineStr"/>
      <c r="T39" s="22" t="inlineStr">
        <is>
          <t>DM = registered partner (RFB QSA); no Apollo match</t>
        </is>
      </c>
      <c r="U39" s="24" t="n">
        <v>5004769.6</v>
      </c>
      <c r="V39" s="25" t="inlineStr">
        <is>
          <t>B</t>
        </is>
      </c>
      <c r="W39" s="26" t="inlineStr"/>
      <c r="X39" s="27" t="inlineStr"/>
      <c r="Y39" s="27" t="inlineStr"/>
      <c r="Z39" s="26">
        <f>IF(W39&lt;&gt;"",W39,IFERROR(VLOOKUP(V39,Assumptions!$A$8:$F$12,2,FALSE),0))</f>
        <v/>
      </c>
      <c r="AA39" s="28">
        <f>IF(V39="A",MAX(1,IF(X39&lt;&gt;"",X39,IFERROR(VLOOKUP(V39,Assumptions!$A$8:$F$12,3,FALSE),3))+IF(Y39&lt;&gt;"",Y39,IFERROR(VLOOKUP(V39,Assumptions!$A$8:$F$12,4,FALSE),8))/2-MAX(0,IF(AS39="",0,YEAR(TODAY())-AS39)-IFERROR(VLOOKUP(V39,Assumptions!$A$8:$F$12,5,FALSE),1.5))),IFERROR(VLOOKUP(V39,Assumptions!$A$8:$F$12,5,FALSE),2.5)+IF(X39&lt;&gt;"",X39,IFERROR(VLOOKUP(V39,Assumptions!$A$8:$F$12,3,FALSE),3))+IF(Y39&lt;&gt;"",Y39,IFERROR(VLOOKUP(V39,Assumptions!$A$8:$F$12,4,FALSE),8))/2)</f>
        <v/>
      </c>
      <c r="AB39" s="24">
        <f>U39*Z39/(1+Assumptions!$B$3)^AA39</f>
        <v/>
      </c>
      <c r="AC39" s="27">
        <f>IF(U39=0,"",ROUND(AB39/U39*100,1))</f>
        <v/>
      </c>
      <c r="AD39" s="29">
        <f>AB39*Assumptions!$B$4</f>
        <v/>
      </c>
      <c r="AE39" s="27">
        <f>IF(U39=0,"",ROUND(AD39/U39*100,1))</f>
        <v/>
      </c>
      <c r="AF39" s="29">
        <f>AB39-AD39</f>
        <v/>
      </c>
      <c r="AG39" s="27">
        <f>IF(U39=0,"",ROUND((AB39-AD39)/U39*100,1))</f>
        <v/>
      </c>
      <c r="AH39" s="30" t="inlineStr">
        <is>
          <t>OK — totals reconciled</t>
        </is>
      </c>
      <c r="AI39" s="31" t="inlineStr">
        <is>
          <t>https://scalzilliaj.com.br/sgc/download.php?file=files/processo_documento/processo_documento09514021082025_1_.pdf&amp;nome=04 - Relação de credores das Recuperandas</t>
        </is>
      </c>
      <c r="AJ39" s="30" t="inlineStr">
        <is>
          <t>p71 r8; p76 r5</t>
        </is>
      </c>
      <c r="AK39" s="30" t="inlineStr">
        <is>
          <t>p71: R$ 396.274,51; p76: R$ 4.608.495,09</t>
        </is>
      </c>
      <c r="AL39" s="30" t="inlineStr">
        <is>
          <t>Debtor list (art. 51)</t>
        </is>
      </c>
      <c r="AM39" s="30" t="inlineStr"/>
      <c r="AN39" s="30" t="inlineStr">
        <is>
          <t>NONE FOUND</t>
        </is>
      </c>
      <c r="AO39" s="32" t="inlineStr">
        <is>
          <t>5088952-81.2025.8.13.0024</t>
        </is>
      </c>
      <c r="AP39" s="32" t="inlineStr">
        <is>
          <t>TJMG</t>
        </is>
      </c>
      <c r="AQ39" s="32" t="inlineStr"/>
      <c r="AR39" s="32" t="inlineStr">
        <is>
          <t>DataJud: no closure/falência movement</t>
        </is>
      </c>
      <c r="AS39" s="32" t="n">
        <v>2025</v>
      </c>
      <c r="AT39" s="32" t="inlineStr">
        <is>
          <t>live case, no plan document yet; case no. from the portal record, not printed on the list</t>
        </is>
      </c>
      <c r="AU39" s="32" t="inlineStr"/>
      <c r="AV39" s="32" t="inlineStr">
        <is>
          <t>portal page title / URL — not printed on the list</t>
        </is>
      </c>
      <c r="AW39" s="32" t="inlineStr"/>
      <c r="AX39" s="32" t="inlineStr">
        <is>
          <t>RIO DE JANEIRO</t>
        </is>
      </c>
      <c r="AY39" s="32" t="inlineStr">
        <is>
          <t>RJ</t>
        </is>
      </c>
      <c r="AZ39" s="32" t="inlineStr">
        <is>
          <t>Comércio atacadista de álcool carburante, biodiesel, gasolina e demais derivados de petróleo, exceto lubrificantes, não realizado por transportador re</t>
        </is>
      </c>
      <c r="BA39" s="32" t="inlineStr">
        <is>
          <t>não ME/EPP</t>
        </is>
      </c>
      <c r="BB39" s="33" t="n">
        <v>12051386000</v>
      </c>
      <c r="BC39" s="32" t="inlineStr">
        <is>
          <t>LARGE CORP</t>
        </is>
      </c>
      <c r="BD39" s="32" t="inlineStr">
        <is>
          <t>34274233</t>
        </is>
      </c>
      <c r="BE39" s="32" t="n">
        <v>2</v>
      </c>
      <c r="BF39" s="32" t="inlineStr">
        <is>
          <t>case no. corrected by reader case no. from portal record</t>
        </is>
      </c>
    </row>
    <row r="40">
      <c r="A40" s="17" t="inlineStr">
        <is>
          <t>JF PASQUA CONDUTORES ELETRICOS LTDA</t>
        </is>
      </c>
      <c r="B40" s="18" t="n">
        <v>4940520.91</v>
      </c>
      <c r="C40" s="19" t="inlineStr">
        <is>
          <t>Grupo Conduscabos</t>
        </is>
      </c>
      <c r="D40" s="20" t="inlineStr">
        <is>
          <t>NEW</t>
        </is>
      </c>
      <c r="E40" s="21" t="inlineStr"/>
      <c r="F40" s="20" t="inlineStr"/>
      <c r="G40" s="21" t="inlineStr"/>
      <c r="H40" s="20" t="inlineStr"/>
      <c r="I40" s="22" t="inlineStr">
        <is>
          <t>REGINA MARIA PASQUA SANTOS</t>
        </is>
      </c>
      <c r="J40" s="23" t="inlineStr">
        <is>
          <t>Administrador (RFB partner)</t>
        </is>
      </c>
      <c r="K40" s="22" t="inlineStr">
        <is>
          <t>(35) 3559-6789</t>
        </is>
      </c>
      <c r="L40" s="22" t="inlineStr"/>
      <c r="M40" s="22" t="inlineStr"/>
      <c r="N40" s="22" t="inlineStr"/>
      <c r="O40" s="22" t="inlineStr"/>
      <c r="P40" s="22" t="inlineStr">
        <is>
          <t>ROBERTO LEOPOLDO PASQUA</t>
        </is>
      </c>
      <c r="Q40" s="22" t="inlineStr">
        <is>
          <t>Administrador (RFB partner)</t>
        </is>
      </c>
      <c r="R40" s="22" t="inlineStr"/>
      <c r="S40" s="22" t="inlineStr"/>
      <c r="T40" s="22" t="inlineStr">
        <is>
          <t>DM = registered partner (RFB QSA); Apollo pick demoted to backup (non-finance role)</t>
        </is>
      </c>
      <c r="U40" s="24" t="n">
        <v>4940520.91</v>
      </c>
      <c r="V40" s="25" t="inlineStr">
        <is>
          <t>B</t>
        </is>
      </c>
      <c r="W40" s="26" t="inlineStr"/>
      <c r="X40" s="27" t="inlineStr"/>
      <c r="Y40" s="27" t="inlineStr"/>
      <c r="Z40" s="26">
        <f>IF(W40&lt;&gt;"",W40,IFERROR(VLOOKUP(V40,Assumptions!$A$8:$F$12,2,FALSE),0))</f>
        <v/>
      </c>
      <c r="AA40" s="28">
        <f>IF(V40="A",MAX(1,IF(X40&lt;&gt;"",X40,IFERROR(VLOOKUP(V40,Assumptions!$A$8:$F$12,3,FALSE),3))+IF(Y40&lt;&gt;"",Y40,IFERROR(VLOOKUP(V40,Assumptions!$A$8:$F$12,4,FALSE),8))/2-MAX(0,IF(AS40="",0,YEAR(TODAY())-AS40)-IFERROR(VLOOKUP(V40,Assumptions!$A$8:$F$12,5,FALSE),1.5))),IFERROR(VLOOKUP(V40,Assumptions!$A$8:$F$12,5,FALSE),2.5)+IF(X40&lt;&gt;"",X40,IFERROR(VLOOKUP(V40,Assumptions!$A$8:$F$12,3,FALSE),3))+IF(Y40&lt;&gt;"",Y40,IFERROR(VLOOKUP(V40,Assumptions!$A$8:$F$12,4,FALSE),8))/2)</f>
        <v/>
      </c>
      <c r="AB40" s="24">
        <f>U40*Z40/(1+Assumptions!$B$3)^AA40</f>
        <v/>
      </c>
      <c r="AC40" s="27">
        <f>IF(U40=0,"",ROUND(AB40/U40*100,1))</f>
        <v/>
      </c>
      <c r="AD40" s="29">
        <f>AB40*Assumptions!$B$4</f>
        <v/>
      </c>
      <c r="AE40" s="27">
        <f>IF(U40=0,"",ROUND(AD40/U40*100,1))</f>
        <v/>
      </c>
      <c r="AF40" s="29">
        <f>AB40-AD40</f>
        <v/>
      </c>
      <c r="AG40" s="27">
        <f>IF(U40=0,"",ROUND((AB40-AD40)/U40*100,1))</f>
        <v/>
      </c>
      <c r="AH40" s="34" t="inlineStr">
        <is>
          <t>NO TOTALS — list prints none; check page</t>
        </is>
      </c>
      <c r="AI40" s="31" t="inlineStr">
        <is>
          <t>https://assistjud.com.br/wp-content/uploads/elementor/forms/65098c80a5824.pdf</t>
        </is>
      </c>
      <c r="AJ40" s="30" t="inlineStr">
        <is>
          <t>p8 r4; p18 r6</t>
        </is>
      </c>
      <c r="AK40" s="30" t="inlineStr">
        <is>
          <t>p8: R$ 2.217.364,91; p18: R$ 2.723.156,00</t>
        </is>
      </c>
      <c r="AL40" s="30" t="inlineStr">
        <is>
          <t>AJ list (art. 7 §2)</t>
        </is>
      </c>
      <c r="AM40" s="30" t="inlineStr">
        <is>
          <t>2023-09-18</t>
        </is>
      </c>
      <c r="AN40" s="30" t="inlineStr">
        <is>
          <t>NONE FOUND</t>
        </is>
      </c>
      <c r="AO40" s="32" t="inlineStr">
        <is>
          <t>8005129-09.2023.8.05.0039</t>
        </is>
      </c>
      <c r="AP40" s="32" t="inlineStr">
        <is>
          <t>TJBA</t>
        </is>
      </c>
      <c r="AQ40" s="32" t="inlineStr">
        <is>
          <t>Recuperação judicial</t>
        </is>
      </c>
      <c r="AR40" s="32" t="inlineStr">
        <is>
          <t>DataJud: no closure/falência movement</t>
        </is>
      </c>
      <c r="AS40" s="32" t="n">
        <v>2023</v>
      </c>
      <c r="AT40" s="32" t="inlineStr">
        <is>
          <t>live case, no plan document yet</t>
        </is>
      </c>
      <c r="AU40" s="32" t="inlineStr"/>
      <c r="AV40" s="32" t="inlineStr">
        <is>
          <t>printed on the list (read twice)</t>
        </is>
      </c>
      <c r="AW40" s="32" t="inlineStr"/>
      <c r="AX40" s="32" t="inlineStr">
        <is>
          <t>GUAXUPE</t>
        </is>
      </c>
      <c r="AY40" s="32" t="inlineStr">
        <is>
          <t>MG</t>
        </is>
      </c>
      <c r="AZ40" s="32" t="inlineStr">
        <is>
          <t>Metalurgia do cobre</t>
        </is>
      </c>
      <c r="BA40" s="32" t="inlineStr">
        <is>
          <t>não ME/EPP</t>
        </is>
      </c>
      <c r="BB40" s="33" t="n">
        <v>3000000</v>
      </c>
      <c r="BC40" s="32" t="inlineStr">
        <is>
          <t>MID-MARKET</t>
        </is>
      </c>
      <c r="BD40" s="32" t="inlineStr">
        <is>
          <t>03981899</t>
        </is>
      </c>
      <c r="BE40" s="32" t="n">
        <v>2</v>
      </c>
      <c r="BF40" s="32" t="inlineStr">
        <is>
          <t>list prints no totals</t>
        </is>
      </c>
    </row>
    <row r="41">
      <c r="A41" s="17" t="inlineStr">
        <is>
          <t>TRANSPORTADORA MARCAN LTDA.</t>
        </is>
      </c>
      <c r="B41" s="18" t="n">
        <v>4757312.99</v>
      </c>
      <c r="C41" s="19" t="inlineStr">
        <is>
          <t>GRUPO EGESA (Egesa Engenharia S.A. + 9 group companies; see group members)</t>
        </is>
      </c>
      <c r="D41" s="20" t="inlineStr">
        <is>
          <t>NEW</t>
        </is>
      </c>
      <c r="E41" s="21" t="inlineStr"/>
      <c r="F41" s="20" t="inlineStr"/>
      <c r="G41" s="21" t="inlineStr"/>
      <c r="H41" s="20" t="inlineStr"/>
      <c r="I41" s="22" t="inlineStr">
        <is>
          <t>GERVASIO TASSI FILHO</t>
        </is>
      </c>
      <c r="J41" s="23" t="inlineStr">
        <is>
          <t>Sócio-Administrador (RFB partner)</t>
        </is>
      </c>
      <c r="K41" s="22" t="inlineStr">
        <is>
          <t>(81) 3543-0330</t>
        </is>
      </c>
      <c r="L41" s="22" t="inlineStr">
        <is>
          <t>(81) 9267-7488</t>
        </is>
      </c>
      <c r="M41" s="22" t="inlineStr"/>
      <c r="N41" s="22" t="inlineStr"/>
      <c r="O41" s="22" t="inlineStr"/>
      <c r="P41" s="22" t="inlineStr">
        <is>
          <t>MARIA EDUARDA QUEIROZ TASSI</t>
        </is>
      </c>
      <c r="Q41" s="22" t="inlineStr">
        <is>
          <t>Sócio-Administrador (RFB partner)</t>
        </is>
      </c>
      <c r="R41" s="22" t="inlineStr"/>
      <c r="S41" s="22" t="inlineStr"/>
      <c r="T41" s="22" t="inlineStr">
        <is>
          <t>DM = registered partner (RFB QSA); no Apollo match</t>
        </is>
      </c>
      <c r="U41" s="24" t="n">
        <v>4757312.99</v>
      </c>
      <c r="V41" s="25" t="inlineStr">
        <is>
          <t>B</t>
        </is>
      </c>
      <c r="W41" s="26" t="inlineStr"/>
      <c r="X41" s="27" t="inlineStr"/>
      <c r="Y41" s="27" t="inlineStr"/>
      <c r="Z41" s="26">
        <f>IF(W41&lt;&gt;"",W41,IFERROR(VLOOKUP(V41,Assumptions!$A$8:$F$12,2,FALSE),0))</f>
        <v/>
      </c>
      <c r="AA41" s="28">
        <f>IF(V41="A",MAX(1,IF(X41&lt;&gt;"",X41,IFERROR(VLOOKUP(V41,Assumptions!$A$8:$F$12,3,FALSE),3))+IF(Y41&lt;&gt;"",Y41,IFERROR(VLOOKUP(V41,Assumptions!$A$8:$F$12,4,FALSE),8))/2-MAX(0,IF(AS41="",0,YEAR(TODAY())-AS41)-IFERROR(VLOOKUP(V41,Assumptions!$A$8:$F$12,5,FALSE),1.5))),IFERROR(VLOOKUP(V41,Assumptions!$A$8:$F$12,5,FALSE),2.5)+IF(X41&lt;&gt;"",X41,IFERROR(VLOOKUP(V41,Assumptions!$A$8:$F$12,3,FALSE),3))+IF(Y41&lt;&gt;"",Y41,IFERROR(VLOOKUP(V41,Assumptions!$A$8:$F$12,4,FALSE),8))/2)</f>
        <v/>
      </c>
      <c r="AB41" s="24">
        <f>U41*Z41/(1+Assumptions!$B$3)^AA41</f>
        <v/>
      </c>
      <c r="AC41" s="27">
        <f>IF(U41=0,"",ROUND(AB41/U41*100,1))</f>
        <v/>
      </c>
      <c r="AD41" s="29">
        <f>AB41*Assumptions!$B$4</f>
        <v/>
      </c>
      <c r="AE41" s="27">
        <f>IF(U41=0,"",ROUND(AD41/U41*100,1))</f>
        <v/>
      </c>
      <c r="AF41" s="29">
        <f>AB41-AD41</f>
        <v/>
      </c>
      <c r="AG41" s="27">
        <f>IF(U41=0,"",ROUND((AB41-AD41)/U41*100,1))</f>
        <v/>
      </c>
      <c r="AH41" s="30" t="inlineStr">
        <is>
          <t>OK — totals reconciled</t>
        </is>
      </c>
      <c r="AI41" s="31" t="inlineStr">
        <is>
          <t>https://scalzilliaj.com.br/sgc/download.php?file=files/processo_documento/processo_documento09514021082025_1_.pdf&amp;nome=04 - Relação de credores das Recuperandas</t>
        </is>
      </c>
      <c r="AJ41" s="30" t="inlineStr">
        <is>
          <t>p74 r13</t>
        </is>
      </c>
      <c r="AK41" s="30" t="inlineStr">
        <is>
          <t>p74: R$ 4.757.312,99</t>
        </is>
      </c>
      <c r="AL41" s="30" t="inlineStr">
        <is>
          <t>Debtor list (art. 51)</t>
        </is>
      </c>
      <c r="AM41" s="30" t="inlineStr"/>
      <c r="AN41" s="30" t="inlineStr">
        <is>
          <t>NONE FOUND</t>
        </is>
      </c>
      <c r="AO41" s="32" t="inlineStr">
        <is>
          <t>5088952-81.2025.8.13.0024</t>
        </is>
      </c>
      <c r="AP41" s="32" t="inlineStr">
        <is>
          <t>TJMG</t>
        </is>
      </c>
      <c r="AQ41" s="32" t="inlineStr"/>
      <c r="AR41" s="32" t="inlineStr">
        <is>
          <t>DataJud: no closure/falência movement</t>
        </is>
      </c>
      <c r="AS41" s="32" t="n">
        <v>2025</v>
      </c>
      <c r="AT41" s="32" t="inlineStr">
        <is>
          <t>live case, no plan document yet; case no. from the portal record, not printed on the list</t>
        </is>
      </c>
      <c r="AU41" s="32" t="inlineStr"/>
      <c r="AV41" s="32" t="inlineStr">
        <is>
          <t>portal page title / URL — not printed on the list</t>
        </is>
      </c>
      <c r="AW41" s="32" t="inlineStr"/>
      <c r="AX41" s="32" t="inlineStr">
        <is>
          <t>IGARASSU</t>
        </is>
      </c>
      <c r="AY41" s="32" t="inlineStr">
        <is>
          <t>PE</t>
        </is>
      </c>
      <c r="AZ41" s="32" t="inlineStr">
        <is>
          <t>Transporte rodoviário coletivo de passageiros, com itinerário fixo, intermunicipal em região metropolitana</t>
        </is>
      </c>
      <c r="BA41" s="32" t="inlineStr">
        <is>
          <t>não ME/EPP</t>
        </is>
      </c>
      <c r="BB41" s="33" t="n">
        <v>1250000</v>
      </c>
      <c r="BC41" s="32" t="inlineStr">
        <is>
          <t>MID-MARKET</t>
        </is>
      </c>
      <c r="BD41" s="32" t="inlineStr">
        <is>
          <t>19709369</t>
        </is>
      </c>
      <c r="BE41" s="32" t="n">
        <v>1</v>
      </c>
      <c r="BF41" s="32" t="inlineStr">
        <is>
          <t>case no. corrected by reader case no. from portal record</t>
        </is>
      </c>
    </row>
    <row r="42">
      <c r="A42" s="17" t="inlineStr">
        <is>
          <t>PRO NOVA DISTRIBUIDORA E COMERCIO DE COSMETICOS LTDA</t>
        </is>
      </c>
      <c r="B42" s="18" t="n">
        <v>4694462.47</v>
      </c>
      <c r="C42" s="19" t="inlineStr">
        <is>
          <t>GRUPO DP4</t>
        </is>
      </c>
      <c r="D42" s="20" t="inlineStr">
        <is>
          <t>NEW</t>
        </is>
      </c>
      <c r="E42" s="21" t="inlineStr"/>
      <c r="F42" s="20" t="inlineStr"/>
      <c r="G42" s="21" t="inlineStr"/>
      <c r="H42" s="20" t="inlineStr"/>
      <c r="I42" s="22" t="inlineStr">
        <is>
          <t>ANA CLAUDIA GALVAO CARICATI</t>
        </is>
      </c>
      <c r="J42" s="23" t="inlineStr">
        <is>
          <t>Sócio-Administrador (RFB partner)</t>
        </is>
      </c>
      <c r="K42" s="22" t="inlineStr">
        <is>
          <t>(11) 4772-8024</t>
        </is>
      </c>
      <c r="L42" s="22" t="inlineStr"/>
      <c r="M42" s="22" t="inlineStr"/>
      <c r="N42" s="22" t="inlineStr"/>
      <c r="O42" s="22" t="inlineStr"/>
      <c r="P42" s="22" t="inlineStr">
        <is>
          <t>GABRIELLA CARICATI MENDES</t>
        </is>
      </c>
      <c r="Q42" s="22" t="inlineStr">
        <is>
          <t>Administrador (RFB partner)</t>
        </is>
      </c>
      <c r="R42" s="22" t="inlineStr"/>
      <c r="S42" s="22" t="inlineStr"/>
      <c r="T42" s="22" t="inlineStr">
        <is>
          <t>DM = registered partner (RFB QSA); no Apollo match</t>
        </is>
      </c>
      <c r="U42" s="24" t="n">
        <v>4694462.47</v>
      </c>
      <c r="V42" s="25" t="inlineStr">
        <is>
          <t>B</t>
        </is>
      </c>
      <c r="W42" s="26" t="inlineStr"/>
      <c r="X42" s="27" t="inlineStr"/>
      <c r="Y42" s="27" t="inlineStr"/>
      <c r="Z42" s="26">
        <f>IF(W42&lt;&gt;"",W42,IFERROR(VLOOKUP(V42,Assumptions!$A$8:$F$12,2,FALSE),0))</f>
        <v/>
      </c>
      <c r="AA42" s="28">
        <f>IF(V42="A",MAX(1,IF(X42&lt;&gt;"",X42,IFERROR(VLOOKUP(V42,Assumptions!$A$8:$F$12,3,FALSE),3))+IF(Y42&lt;&gt;"",Y42,IFERROR(VLOOKUP(V42,Assumptions!$A$8:$F$12,4,FALSE),8))/2-MAX(0,IF(AS42="",0,YEAR(TODAY())-AS42)-IFERROR(VLOOKUP(V42,Assumptions!$A$8:$F$12,5,FALSE),1.5))),IFERROR(VLOOKUP(V42,Assumptions!$A$8:$F$12,5,FALSE),2.5)+IF(X42&lt;&gt;"",X42,IFERROR(VLOOKUP(V42,Assumptions!$A$8:$F$12,3,FALSE),3))+IF(Y42&lt;&gt;"",Y42,IFERROR(VLOOKUP(V42,Assumptions!$A$8:$F$12,4,FALSE),8))/2)</f>
        <v/>
      </c>
      <c r="AB42" s="24">
        <f>U42*Z42/(1+Assumptions!$B$3)^AA42</f>
        <v/>
      </c>
      <c r="AC42" s="27">
        <f>IF(U42=0,"",ROUND(AB42/U42*100,1))</f>
        <v/>
      </c>
      <c r="AD42" s="29">
        <f>AB42*Assumptions!$B$4</f>
        <v/>
      </c>
      <c r="AE42" s="27">
        <f>IF(U42=0,"",ROUND(AD42/U42*100,1))</f>
        <v/>
      </c>
      <c r="AF42" s="29">
        <f>AB42-AD42</f>
        <v/>
      </c>
      <c r="AG42" s="27">
        <f>IF(U42=0,"",ROUND((AB42-AD42)/U42*100,1))</f>
        <v/>
      </c>
      <c r="AH42" s="35" t="inlineStr">
        <is>
          <t>PARTIAL — class III reconciled, other classes not</t>
        </is>
      </c>
      <c r="AI42" s="31" t="inlineStr">
        <is>
          <t>https://marquesadmjudicial.com.br/sgc/download.php?file=files/processo_documento/processo_documento15293208032024_1_.pdf&amp;nome=Relação Nominal de Credores da AJ-Sintética</t>
        </is>
      </c>
      <c r="AJ42" s="30" t="inlineStr">
        <is>
          <t>p30 r9</t>
        </is>
      </c>
      <c r="AK42" s="30" t="inlineStr">
        <is>
          <t>p30: R$ 4.694.462,47</t>
        </is>
      </c>
      <c r="AL42" s="30" t="inlineStr">
        <is>
          <t>AJ list (art. 7 §2)</t>
        </is>
      </c>
      <c r="AM42" s="30" t="inlineStr">
        <is>
          <t>2023-03-02</t>
        </is>
      </c>
      <c r="AN42" s="30" t="inlineStr">
        <is>
          <t>NONE FOUND</t>
        </is>
      </c>
      <c r="AO42" s="32" t="inlineStr">
        <is>
          <t>0005010-98.2023.8.16.0001</t>
        </is>
      </c>
      <c r="AP42" s="32" t="inlineStr">
        <is>
          <t>TJPR</t>
        </is>
      </c>
      <c r="AQ42" s="32" t="inlineStr">
        <is>
          <t>Recuperação judicial</t>
        </is>
      </c>
      <c r="AR42" s="32" t="inlineStr">
        <is>
          <t>DataJud: no closure/falência movement</t>
        </is>
      </c>
      <c r="AS42" s="32" t="n">
        <v>2023</v>
      </c>
      <c r="AT42" s="32" t="inlineStr">
        <is>
          <t>live case, no plan document yet</t>
        </is>
      </c>
      <c r="AU42" s="32" t="inlineStr"/>
      <c r="AV42" s="32" t="inlineStr">
        <is>
          <t>printed on the list (read twice)</t>
        </is>
      </c>
      <c r="AW42" s="32" t="inlineStr"/>
      <c r="AX42" s="32" t="inlineStr">
        <is>
          <t>JANDIRA</t>
        </is>
      </c>
      <c r="AY42" s="32" t="inlineStr">
        <is>
          <t>SP</t>
        </is>
      </c>
      <c r="AZ42" s="32" t="inlineStr">
        <is>
          <t>Comércio atacadista de cosméticos e produtos de perfumaria</t>
        </is>
      </c>
      <c r="BA42" s="32" t="inlineStr">
        <is>
          <t>não ME/EPP</t>
        </is>
      </c>
      <c r="BB42" s="33" t="n">
        <v>42116950</v>
      </c>
      <c r="BC42" s="32" t="inlineStr">
        <is>
          <t>MID-MARKET</t>
        </is>
      </c>
      <c r="BD42" s="32" t="inlineStr">
        <is>
          <t>21998451</t>
        </is>
      </c>
      <c r="BE42" s="32" t="n">
        <v>1</v>
      </c>
      <c r="BF42" s="32" t="inlineStr">
        <is>
          <t>class III reconciled (doc partial)</t>
        </is>
      </c>
    </row>
    <row r="43">
      <c r="A43" s="17" t="inlineStr">
        <is>
          <t>BALDAN IMPLEMENTOS AGRICOLAS S A</t>
        </is>
      </c>
      <c r="B43" s="18" t="n">
        <v>4681142.41</v>
      </c>
      <c r="C43" s="19" t="inlineStr">
        <is>
          <t>Grupo Rech</t>
        </is>
      </c>
      <c r="D43" s="20" t="inlineStr">
        <is>
          <t>NEW</t>
        </is>
      </c>
      <c r="E43" s="21" t="inlineStr"/>
      <c r="F43" s="20" t="inlineStr"/>
      <c r="G43" s="21" t="inlineStr"/>
      <c r="H43" s="20" t="inlineStr"/>
      <c r="I43" s="22" t="inlineStr">
        <is>
          <t>Wolney Netto</t>
        </is>
      </c>
      <c r="J43" s="22" t="inlineStr">
        <is>
          <t>Chief Financial Officer, CFO</t>
        </is>
      </c>
      <c r="K43" s="22" t="inlineStr">
        <is>
          <t>(16) 3221-6500</t>
        </is>
      </c>
      <c r="L43" s="22" t="inlineStr">
        <is>
          <t>(16) 3221-6581</t>
        </is>
      </c>
      <c r="M43" s="22" t="inlineStr"/>
      <c r="N43" s="22" t="inlineStr">
        <is>
          <t>winetto@baldan.com.br</t>
        </is>
      </c>
      <c r="O43" s="22" t="inlineStr">
        <is>
          <t>verified</t>
        </is>
      </c>
      <c r="P43" s="22" t="inlineStr">
        <is>
          <t>Aguinaldo Vieira</t>
        </is>
      </c>
      <c r="Q43" s="22" t="inlineStr">
        <is>
          <t>Financial Manager</t>
        </is>
      </c>
      <c r="R43" s="22" t="inlineStr"/>
      <c r="S43" s="22" t="inlineStr">
        <is>
          <t>avieira@baldan.com.br</t>
        </is>
      </c>
      <c r="T43" s="22" t="inlineStr">
        <is>
          <t>DM: has_email, phone Yes; BACKUP: backup, has_email, phone Yes</t>
        </is>
      </c>
      <c r="U43" s="24" t="n">
        <v>4681142.41</v>
      </c>
      <c r="V43" s="25" t="inlineStr">
        <is>
          <t>B</t>
        </is>
      </c>
      <c r="W43" s="26" t="inlineStr"/>
      <c r="X43" s="27" t="inlineStr"/>
      <c r="Y43" s="27" t="inlineStr"/>
      <c r="Z43" s="26">
        <f>IF(W43&lt;&gt;"",W43,IFERROR(VLOOKUP(V43,Assumptions!$A$8:$F$12,2,FALSE),0))</f>
        <v/>
      </c>
      <c r="AA43" s="28">
        <f>IF(V43="A",MAX(1,IF(X43&lt;&gt;"",X43,IFERROR(VLOOKUP(V43,Assumptions!$A$8:$F$12,3,FALSE),3))+IF(Y43&lt;&gt;"",Y43,IFERROR(VLOOKUP(V43,Assumptions!$A$8:$F$12,4,FALSE),8))/2-MAX(0,IF(AS43="",0,YEAR(TODAY())-AS43)-IFERROR(VLOOKUP(V43,Assumptions!$A$8:$F$12,5,FALSE),1.5))),IFERROR(VLOOKUP(V43,Assumptions!$A$8:$F$12,5,FALSE),2.5)+IF(X43&lt;&gt;"",X43,IFERROR(VLOOKUP(V43,Assumptions!$A$8:$F$12,3,FALSE),3))+IF(Y43&lt;&gt;"",Y43,IFERROR(VLOOKUP(V43,Assumptions!$A$8:$F$12,4,FALSE),8))/2)</f>
        <v/>
      </c>
      <c r="AB43" s="24">
        <f>U43*Z43/(1+Assumptions!$B$3)^AA43</f>
        <v/>
      </c>
      <c r="AC43" s="27">
        <f>IF(U43=0,"",ROUND(AB43/U43*100,1))</f>
        <v/>
      </c>
      <c r="AD43" s="29">
        <f>AB43*Assumptions!$B$4</f>
        <v/>
      </c>
      <c r="AE43" s="27">
        <f>IF(U43=0,"",ROUND(AD43/U43*100,1))</f>
        <v/>
      </c>
      <c r="AF43" s="29">
        <f>AB43-AD43</f>
        <v/>
      </c>
      <c r="AG43" s="27">
        <f>IF(U43=0,"",ROUND((AB43-AD43)/U43*100,1))</f>
        <v/>
      </c>
      <c r="AH43" s="36" t="inlineStr">
        <is>
          <t>CHECK — source is not a statutory creditor list</t>
        </is>
      </c>
      <c r="AI43" s="31" t="inlineStr">
        <is>
          <t>https://credibilita.com.br/wp-content/uploads/2025/09/Relacao-Credores-29.04.2026.pdf</t>
        </is>
      </c>
      <c r="AJ43" s="30" t="inlineStr">
        <is>
          <t>p1 r3</t>
        </is>
      </c>
      <c r="AK43" s="30" t="inlineStr">
        <is>
          <t>p1: R$ 4.681.142,41</t>
        </is>
      </c>
      <c r="AL43" s="30" t="inlineStr">
        <is>
          <t>Quorum list — NOT an art. 7/51 list</t>
        </is>
      </c>
      <c r="AM43" s="30" t="inlineStr"/>
      <c r="AN43" s="30" t="inlineStr">
        <is>
          <t>NONE FOUND</t>
        </is>
      </c>
      <c r="AO43" s="32" t="inlineStr">
        <is>
          <t>5057720-48.2025.8.24.0023</t>
        </is>
      </c>
      <c r="AP43" s="32" t="inlineStr">
        <is>
          <t>TJSC</t>
        </is>
      </c>
      <c r="AQ43" s="32" t="inlineStr"/>
      <c r="AR43" s="32" t="inlineStr">
        <is>
          <t>not in DataJud</t>
        </is>
      </c>
      <c r="AS43" s="32" t="n">
        <v>2025</v>
      </c>
      <c r="AT43" s="32" t="inlineStr">
        <is>
          <t>live case, no plan document yet; case no. from the portal record, not printed on the list</t>
        </is>
      </c>
      <c r="AU43" s="32" t="inlineStr"/>
      <c r="AV43" s="32" t="inlineStr">
        <is>
          <t>portal page title / URL — not printed on the list</t>
        </is>
      </c>
      <c r="AW43" s="32" t="inlineStr"/>
      <c r="AX43" s="32" t="inlineStr">
        <is>
          <t>MATAO</t>
        </is>
      </c>
      <c r="AY43" s="32" t="inlineStr">
        <is>
          <t>SP</t>
        </is>
      </c>
      <c r="AZ43" s="32" t="inlineStr">
        <is>
          <t>Fabricação de máquinas e equipamentos para a agricultura e pecuária, peças e acessórios, exceto para irrigação</t>
        </is>
      </c>
      <c r="BA43" s="32" t="inlineStr">
        <is>
          <t>não ME/EPP</t>
        </is>
      </c>
      <c r="BB43" s="33" t="n">
        <v>145933180</v>
      </c>
      <c r="BC43" s="32" t="inlineStr">
        <is>
          <t>MID-MARKET</t>
        </is>
      </c>
      <c r="BD43" s="32" t="inlineStr">
        <is>
          <t>52311347</t>
        </is>
      </c>
      <c r="BE43" s="32" t="n">
        <v>1</v>
      </c>
      <c r="BF43" s="32" t="inlineStr">
        <is>
          <t>list prints no totals case no. corrected by reader</t>
        </is>
      </c>
    </row>
    <row r="44">
      <c r="A44" s="17" t="inlineStr">
        <is>
          <t>NORTEBAG INDUSTRIA DE EMBALAGENS S.A.</t>
        </is>
      </c>
      <c r="B44" s="18" t="n">
        <v>4680282.82</v>
      </c>
      <c r="C44" s="19" t="inlineStr">
        <is>
          <t>TOP TEXTIL EMBALAGENS LTDA</t>
        </is>
      </c>
      <c r="D44" s="20" t="inlineStr">
        <is>
          <t>NEW</t>
        </is>
      </c>
      <c r="E44" s="21" t="inlineStr"/>
      <c r="F44" s="20" t="inlineStr"/>
      <c r="G44" s="21" t="inlineStr"/>
      <c r="H44" s="20" t="inlineStr"/>
      <c r="I44" s="22" t="inlineStr">
        <is>
          <t>MARCO ANTONIO GARCIA</t>
        </is>
      </c>
      <c r="J44" s="23" t="inlineStr">
        <is>
          <t>Diretor (RFB partner)</t>
        </is>
      </c>
      <c r="K44" s="22" t="inlineStr">
        <is>
          <t>(92) 3396-6621</t>
        </is>
      </c>
      <c r="L44" s="22" t="inlineStr"/>
      <c r="M44" s="22" t="inlineStr"/>
      <c r="N44" s="22" t="inlineStr"/>
      <c r="O44" s="22" t="inlineStr"/>
      <c r="P44" s="22" t="inlineStr">
        <is>
          <t>MARCOS VINICIUS SPITZNER FILHO</t>
        </is>
      </c>
      <c r="Q44" s="22" t="inlineStr">
        <is>
          <t>Diretor (RFB partner)</t>
        </is>
      </c>
      <c r="R44" s="22" t="inlineStr"/>
      <c r="S44" s="22" t="inlineStr"/>
      <c r="T44" s="22" t="inlineStr">
        <is>
          <t>DM = registered partner (RFB QSA); no Apollo match</t>
        </is>
      </c>
      <c r="U44" s="24" t="n">
        <v>4680282.82</v>
      </c>
      <c r="V44" s="25" t="inlineStr">
        <is>
          <t>B</t>
        </is>
      </c>
      <c r="W44" s="26" t="inlineStr"/>
      <c r="X44" s="27" t="inlineStr"/>
      <c r="Y44" s="27" t="inlineStr"/>
      <c r="Z44" s="26">
        <f>IF(W44&lt;&gt;"",W44,IFERROR(VLOOKUP(V44,Assumptions!$A$8:$F$12,2,FALSE),0))</f>
        <v/>
      </c>
      <c r="AA44" s="28">
        <f>IF(V44="A",MAX(1,IF(X44&lt;&gt;"",X44,IFERROR(VLOOKUP(V44,Assumptions!$A$8:$F$12,3,FALSE),3))+IF(Y44&lt;&gt;"",Y44,IFERROR(VLOOKUP(V44,Assumptions!$A$8:$F$12,4,FALSE),8))/2-MAX(0,IF(AS44="",0,YEAR(TODAY())-AS44)-IFERROR(VLOOKUP(V44,Assumptions!$A$8:$F$12,5,FALSE),1.5))),IFERROR(VLOOKUP(V44,Assumptions!$A$8:$F$12,5,FALSE),2.5)+IF(X44&lt;&gt;"",X44,IFERROR(VLOOKUP(V44,Assumptions!$A$8:$F$12,3,FALSE),3))+IF(Y44&lt;&gt;"",Y44,IFERROR(VLOOKUP(V44,Assumptions!$A$8:$F$12,4,FALSE),8))/2)</f>
        <v/>
      </c>
      <c r="AB44" s="24">
        <f>U44*Z44/(1+Assumptions!$B$3)^AA44</f>
        <v/>
      </c>
      <c r="AC44" s="27">
        <f>IF(U44=0,"",ROUND(AB44/U44*100,1))</f>
        <v/>
      </c>
      <c r="AD44" s="29">
        <f>AB44*Assumptions!$B$4</f>
        <v/>
      </c>
      <c r="AE44" s="27">
        <f>IF(U44=0,"",ROUND(AD44/U44*100,1))</f>
        <v/>
      </c>
      <c r="AF44" s="29">
        <f>AB44-AD44</f>
        <v/>
      </c>
      <c r="AG44" s="27">
        <f>IF(U44=0,"",ROUND((AB44-AD44)/U44*100,1))</f>
        <v/>
      </c>
      <c r="AH44" s="34" t="inlineStr">
        <is>
          <t>NO TOTALS — list prints none; check page</t>
        </is>
      </c>
      <c r="AI44" s="31" t="inlineStr">
        <is>
          <t>https://cataliseaj.com.br/sgc/download.php?file=files/processo_documento/processo_documento15092204102024_1_.pdf&amp;nome=02. RELAÇÃO DE CREDORES</t>
        </is>
      </c>
      <c r="AJ44" s="30" t="inlineStr">
        <is>
          <t>p2 r66</t>
        </is>
      </c>
      <c r="AK44" s="30" t="inlineStr">
        <is>
          <t>p2: R$ 4.680.282,82</t>
        </is>
      </c>
      <c r="AL44" s="30" t="inlineStr">
        <is>
          <t>Debtor list (art. 51)</t>
        </is>
      </c>
      <c r="AM44" s="30" t="inlineStr"/>
      <c r="AN44" s="30" t="inlineStr">
        <is>
          <t>NONE FOUND</t>
        </is>
      </c>
      <c r="AO44" s="32" t="inlineStr">
        <is>
          <t>5011460-87.2023.8.24.0020</t>
        </is>
      </c>
      <c r="AP44" s="32" t="inlineStr">
        <is>
          <t>TJSC</t>
        </is>
      </c>
      <c r="AQ44" s="32" t="inlineStr">
        <is>
          <t>Recuperação judicial</t>
        </is>
      </c>
      <c r="AR44" s="32" t="inlineStr">
        <is>
          <t>DataJud: no closure/falência movement</t>
        </is>
      </c>
      <c r="AS44" s="32" t="n">
        <v>2023</v>
      </c>
      <c r="AT44" s="32" t="inlineStr">
        <is>
          <t>live case, no plan document yet; case no. from the portal record, not printed on the list</t>
        </is>
      </c>
      <c r="AU44" s="32" t="inlineStr">
        <is>
          <t>26.588.741/0001-29</t>
        </is>
      </c>
      <c r="AV44" s="32" t="inlineStr">
        <is>
          <t>printed on the list (read twice)</t>
        </is>
      </c>
      <c r="AW44" s="32" t="inlineStr"/>
      <c r="AX44" s="32" t="inlineStr">
        <is>
          <t>MANAUS</t>
        </is>
      </c>
      <c r="AY44" s="32" t="inlineStr">
        <is>
          <t>AM</t>
        </is>
      </c>
      <c r="AZ44" s="32" t="inlineStr">
        <is>
          <t>Fabricação de outros produtos têxteis não especificados anteriormente</t>
        </is>
      </c>
      <c r="BA44" s="32" t="inlineStr">
        <is>
          <t>não ME/EPP</t>
        </is>
      </c>
      <c r="BB44" s="33" t="n">
        <v>11000000</v>
      </c>
      <c r="BC44" s="32" t="inlineStr">
        <is>
          <t>MID-MARKET</t>
        </is>
      </c>
      <c r="BD44" s="32" t="inlineStr">
        <is>
          <t>05399071</t>
        </is>
      </c>
      <c r="BE44" s="32" t="n">
        <v>1</v>
      </c>
      <c r="BF44" s="32" t="inlineStr">
        <is>
          <t>list prints no totals</t>
        </is>
      </c>
    </row>
    <row r="45">
      <c r="A45" s="17" t="inlineStr">
        <is>
          <t>SERRINHA AMBIENTAL TRANSPORTES LTDA</t>
        </is>
      </c>
      <c r="B45" s="18" t="n">
        <v>4672725.1</v>
      </c>
      <c r="C45" s="19" t="inlineStr">
        <is>
          <t>Alto Uruguai Indústria e Comércio de Óleos Ltda</t>
        </is>
      </c>
      <c r="D45" s="20" t="inlineStr">
        <is>
          <t>NEW</t>
        </is>
      </c>
      <c r="E45" s="21" t="inlineStr"/>
      <c r="F45" s="20" t="inlineStr"/>
      <c r="G45" s="21" t="inlineStr"/>
      <c r="H45" s="20" t="inlineStr"/>
      <c r="I45" s="22" t="inlineStr">
        <is>
          <t>VOLNEI DOS SANTOS</t>
        </is>
      </c>
      <c r="J45" s="23" t="inlineStr">
        <is>
          <t>Administrador (RFB partner)</t>
        </is>
      </c>
      <c r="K45" s="22" t="inlineStr">
        <is>
          <t>(49) 9914-4317</t>
        </is>
      </c>
      <c r="L45" s="22" t="inlineStr"/>
      <c r="M45" s="22" t="inlineStr"/>
      <c r="N45" s="22" t="inlineStr"/>
      <c r="O45" s="22" t="inlineStr"/>
      <c r="P45" s="22" t="inlineStr"/>
      <c r="Q45" s="22" t="inlineStr"/>
      <c r="R45" s="22" t="inlineStr"/>
      <c r="S45" s="22" t="inlineStr"/>
      <c r="T45" s="22" t="inlineStr">
        <is>
          <t>DM = registered partner (RFB QSA); no Apollo match</t>
        </is>
      </c>
      <c r="U45" s="24" t="n">
        <v>4672725.1</v>
      </c>
      <c r="V45" s="25" t="inlineStr">
        <is>
          <t>B</t>
        </is>
      </c>
      <c r="W45" s="26" t="inlineStr"/>
      <c r="X45" s="27" t="inlineStr"/>
      <c r="Y45" s="27" t="inlineStr"/>
      <c r="Z45" s="26">
        <f>IF(W45&lt;&gt;"",W45,IFERROR(VLOOKUP(V45,Assumptions!$A$8:$F$12,2,FALSE),0))</f>
        <v/>
      </c>
      <c r="AA45" s="28">
        <f>IF(V45="A",MAX(1,IF(X45&lt;&gt;"",X45,IFERROR(VLOOKUP(V45,Assumptions!$A$8:$F$12,3,FALSE),3))+IF(Y45&lt;&gt;"",Y45,IFERROR(VLOOKUP(V45,Assumptions!$A$8:$F$12,4,FALSE),8))/2-MAX(0,IF(AS45="",0,YEAR(TODAY())-AS45)-IFERROR(VLOOKUP(V45,Assumptions!$A$8:$F$12,5,FALSE),1.5))),IFERROR(VLOOKUP(V45,Assumptions!$A$8:$F$12,5,FALSE),2.5)+IF(X45&lt;&gt;"",X45,IFERROR(VLOOKUP(V45,Assumptions!$A$8:$F$12,3,FALSE),3))+IF(Y45&lt;&gt;"",Y45,IFERROR(VLOOKUP(V45,Assumptions!$A$8:$F$12,4,FALSE),8))/2)</f>
        <v/>
      </c>
      <c r="AB45" s="24">
        <f>U45*Z45/(1+Assumptions!$B$3)^AA45</f>
        <v/>
      </c>
      <c r="AC45" s="27">
        <f>IF(U45=0,"",ROUND(AB45/U45*100,1))</f>
        <v/>
      </c>
      <c r="AD45" s="29">
        <f>AB45*Assumptions!$B$4</f>
        <v/>
      </c>
      <c r="AE45" s="27">
        <f>IF(U45=0,"",ROUND(AD45/U45*100,1))</f>
        <v/>
      </c>
      <c r="AF45" s="29">
        <f>AB45-AD45</f>
        <v/>
      </c>
      <c r="AG45" s="27">
        <f>IF(U45=0,"",ROUND((AB45-AD45)/U45*100,1))</f>
        <v/>
      </c>
      <c r="AH45" s="30" t="inlineStr">
        <is>
          <t>OK — totals reconciled</t>
        </is>
      </c>
      <c r="AI45" s="31" t="inlineStr">
        <is>
          <t>https://ajruiz.com.br/sites/default/files/public/arquivos-processos/2026-06/alto_uruguai_qgc_junho.2026.pdf</t>
        </is>
      </c>
      <c r="AJ45" s="30" t="inlineStr">
        <is>
          <t>p1 r35</t>
        </is>
      </c>
      <c r="AK45" s="30" t="inlineStr">
        <is>
          <t>p1: R$ 4.672.725,10</t>
        </is>
      </c>
      <c r="AL45" s="30" t="inlineStr">
        <is>
          <t>Unclassified list</t>
        </is>
      </c>
      <c r="AM45" s="30" t="inlineStr"/>
      <c r="AN45" s="30" t="inlineStr">
        <is>
          <t>NONE FOUND</t>
        </is>
      </c>
      <c r="AO45" s="32" t="inlineStr">
        <is>
          <t>5012743-51.2023.8.24.0019</t>
        </is>
      </c>
      <c r="AP45" s="32" t="inlineStr">
        <is>
          <t>TJSC</t>
        </is>
      </c>
      <c r="AQ45" s="32" t="inlineStr">
        <is>
          <t>Recuperação judicial</t>
        </is>
      </c>
      <c r="AR45" s="32" t="inlineStr">
        <is>
          <t>DataJud: no closure/falência movement</t>
        </is>
      </c>
      <c r="AS45" s="32" t="n">
        <v>2023</v>
      </c>
      <c r="AT45" s="32" t="inlineStr">
        <is>
          <t>live case, no plan document yet</t>
        </is>
      </c>
      <c r="AU45" s="32" t="inlineStr"/>
      <c r="AV45" s="32" t="inlineStr">
        <is>
          <t>printed on the list (read twice)</t>
        </is>
      </c>
      <c r="AW45" s="32" t="inlineStr"/>
      <c r="AX45" s="32" t="inlineStr">
        <is>
          <t>CHAPECO</t>
        </is>
      </c>
      <c r="AY45" s="32" t="inlineStr">
        <is>
          <t>SC</t>
        </is>
      </c>
      <c r="AZ45" s="32" t="inlineStr">
        <is>
          <t>Transporte rodoviário de carga, exceto produtos perigosos e mudanças, intermunicipal, interestadual e internacional</t>
        </is>
      </c>
      <c r="BA45" s="32" t="inlineStr">
        <is>
          <t>não ME/EPP</t>
        </is>
      </c>
      <c r="BB45" s="33" t="n">
        <v>50000</v>
      </c>
      <c r="BC45" s="32" t="inlineStr">
        <is>
          <t>MID-MARKET</t>
        </is>
      </c>
      <c r="BD45" s="32" t="inlineStr">
        <is>
          <t>32851823</t>
        </is>
      </c>
      <c r="BE45" s="32" t="n">
        <v>1</v>
      </c>
      <c r="BF45" s="32" t="inlineStr"/>
    </row>
    <row r="46">
      <c r="A46" s="17" t="inlineStr">
        <is>
          <t>YARA BRASIL FERTILIZANTES S/A</t>
        </is>
      </c>
      <c r="B46" s="18" t="n">
        <v>4591380</v>
      </c>
      <c r="C46" s="19" t="inlineStr">
        <is>
          <t>GRUPO FERRARI (ALEX, ALEXANDRE , ANDRIELLE FERRARI MANTELLI, ARCIR LUIS, ERICA SANTOS ASSIS LIMA, FERNANDO MANTELLI, IDELSI, TALITA LEITE SILVA, AGROPECUARIA FERRARI LTDA E FERRARI ARMAZENS GERAIS)</t>
        </is>
      </c>
      <c r="D46" s="20" t="inlineStr">
        <is>
          <t>NEW</t>
        </is>
      </c>
      <c r="E46" s="21" t="inlineStr"/>
      <c r="F46" s="20" t="inlineStr"/>
      <c r="G46" s="21" t="inlineStr"/>
      <c r="H46" s="20" t="inlineStr"/>
      <c r="I46" s="22" t="inlineStr">
        <is>
          <t>Adriana Nunez</t>
        </is>
      </c>
      <c r="J46" s="22" t="inlineStr">
        <is>
          <t>CFO Yara Brazil</t>
        </is>
      </c>
      <c r="K46" s="22" t="inlineStr">
        <is>
          <t>(51) 3230-1300</t>
        </is>
      </c>
      <c r="L46" s="22" t="inlineStr"/>
      <c r="M46" s="22" t="inlineStr"/>
      <c r="N46" s="22" t="inlineStr">
        <is>
          <t>adriana.nunez@yara.com</t>
        </is>
      </c>
      <c r="O46" s="22" t="inlineStr">
        <is>
          <t>verified</t>
        </is>
      </c>
      <c r="P46" s="22" t="inlineStr">
        <is>
          <t>Michele Kabov</t>
        </is>
      </c>
      <c r="Q46" s="22" t="inlineStr">
        <is>
          <t>Credito</t>
        </is>
      </c>
      <c r="R46" s="22" t="inlineStr"/>
      <c r="S46" s="22" t="inlineStr">
        <is>
          <t>michele.kabov@yara.com</t>
        </is>
      </c>
      <c r="T46" s="22" t="inlineStr">
        <is>
          <t>DM: has_email, phone Yes; large corp; BACKUP: backup, has_email, phone Yes</t>
        </is>
      </c>
      <c r="U46" s="24" t="n">
        <v>4591380</v>
      </c>
      <c r="V46" s="25" t="inlineStr">
        <is>
          <t>B</t>
        </is>
      </c>
      <c r="W46" s="26" t="inlineStr"/>
      <c r="X46" s="27" t="inlineStr"/>
      <c r="Y46" s="27" t="inlineStr"/>
      <c r="Z46" s="26">
        <f>IF(W46&lt;&gt;"",W46,IFERROR(VLOOKUP(V46,Assumptions!$A$8:$F$12,2,FALSE),0))</f>
        <v/>
      </c>
      <c r="AA46" s="28">
        <f>IF(V46="A",MAX(1,IF(X46&lt;&gt;"",X46,IFERROR(VLOOKUP(V46,Assumptions!$A$8:$F$12,3,FALSE),3))+IF(Y46&lt;&gt;"",Y46,IFERROR(VLOOKUP(V46,Assumptions!$A$8:$F$12,4,FALSE),8))/2-MAX(0,IF(AS46="",0,YEAR(TODAY())-AS46)-IFERROR(VLOOKUP(V46,Assumptions!$A$8:$F$12,5,FALSE),1.5))),IFERROR(VLOOKUP(V46,Assumptions!$A$8:$F$12,5,FALSE),2.5)+IF(X46&lt;&gt;"",X46,IFERROR(VLOOKUP(V46,Assumptions!$A$8:$F$12,3,FALSE),3))+IF(Y46&lt;&gt;"",Y46,IFERROR(VLOOKUP(V46,Assumptions!$A$8:$F$12,4,FALSE),8))/2)</f>
        <v/>
      </c>
      <c r="AB46" s="24">
        <f>U46*Z46/(1+Assumptions!$B$3)^AA46</f>
        <v/>
      </c>
      <c r="AC46" s="27">
        <f>IF(U46=0,"",ROUND(AB46/U46*100,1))</f>
        <v/>
      </c>
      <c r="AD46" s="29">
        <f>AB46*Assumptions!$B$4</f>
        <v/>
      </c>
      <c r="AE46" s="27">
        <f>IF(U46=0,"",ROUND(AD46/U46*100,1))</f>
        <v/>
      </c>
      <c r="AF46" s="29">
        <f>AB46-AD46</f>
        <v/>
      </c>
      <c r="AG46" s="27">
        <f>IF(U46=0,"",ROUND((AB46-AD46)/U46*100,1))</f>
        <v/>
      </c>
      <c r="AH46" s="34" t="inlineStr">
        <is>
          <t>NO TOTALS — list prints none; check page</t>
        </is>
      </c>
      <c r="AI46" s="31" t="inlineStr">
        <is>
          <t>https://scalzilliaj.com.br/sgc/download.php?file=files/processo_documento/processo_documento11421222052026_1_.pdf&amp;nome=08. Lista de credores do edital do art. 52, §1º da LREF</t>
        </is>
      </c>
      <c r="AJ46" s="30" t="inlineStr">
        <is>
          <t>p3 r7</t>
        </is>
      </c>
      <c r="AK46" s="30" t="inlineStr">
        <is>
          <t>p3: R$ 4.591.380,00</t>
        </is>
      </c>
      <c r="AL46" s="30" t="inlineStr">
        <is>
          <t>Unclassified list</t>
        </is>
      </c>
      <c r="AM46" s="30" t="inlineStr"/>
      <c r="AN46" s="30" t="inlineStr">
        <is>
          <t>NONE FOUND</t>
        </is>
      </c>
      <c r="AO46" s="32" t="inlineStr">
        <is>
          <t>5011369-81.2026.8.09.0093</t>
        </is>
      </c>
      <c r="AP46" s="32" t="inlineStr">
        <is>
          <t>TJGO</t>
        </is>
      </c>
      <c r="AQ46" s="32" t="inlineStr"/>
      <c r="AR46" s="32" t="inlineStr">
        <is>
          <t>DataJud: no closure/falência movement</t>
        </is>
      </c>
      <c r="AS46" s="32" t="n">
        <v>2026</v>
      </c>
      <c r="AT46" s="32" t="inlineStr">
        <is>
          <t>live case, no plan document yet; case no. from the portal record, not printed on the list</t>
        </is>
      </c>
      <c r="AU46" s="32" t="inlineStr"/>
      <c r="AV46" s="32" t="inlineStr">
        <is>
          <t>portal page title / URL — not printed on the list</t>
        </is>
      </c>
      <c r="AW46" s="32" t="inlineStr"/>
      <c r="AX46" s="32" t="inlineStr">
        <is>
          <t>PORTO ALEGRE</t>
        </is>
      </c>
      <c r="AY46" s="32" t="inlineStr">
        <is>
          <t>RS</t>
        </is>
      </c>
      <c r="AZ46" s="32" t="inlineStr">
        <is>
          <t>Fabricação de adubos e fertilizantes, exceto organo-minerais</t>
        </is>
      </c>
      <c r="BA46" s="32" t="inlineStr">
        <is>
          <t>não ME/EPP</t>
        </is>
      </c>
      <c r="BB46" s="33" t="n">
        <v>10625717000</v>
      </c>
      <c r="BC46" s="32" t="inlineStr">
        <is>
          <t>LARGE CORP</t>
        </is>
      </c>
      <c r="BD46" s="32" t="inlineStr">
        <is>
          <t>92660604</t>
        </is>
      </c>
      <c r="BE46" s="32" t="n">
        <v>1</v>
      </c>
      <c r="BF46" s="32" t="inlineStr">
        <is>
          <t>list prints no totals</t>
        </is>
      </c>
    </row>
    <row r="47">
      <c r="A47" s="17" t="inlineStr">
        <is>
          <t>AMIL ASSISTENCIA MEDICA INTERNACIONAL S.A.</t>
        </is>
      </c>
      <c r="B47" s="18" t="n">
        <v>4484696.43</v>
      </c>
      <c r="C47" s="19" t="inlineStr">
        <is>
          <t>GRUPO EGESA (Egesa Engenharia S.A. + 9 group companies; see group members)</t>
        </is>
      </c>
      <c r="D47" s="20" t="inlineStr">
        <is>
          <t>NEW</t>
        </is>
      </c>
      <c r="E47" s="21" t="inlineStr"/>
      <c r="F47" s="20" t="inlineStr"/>
      <c r="G47" s="21" t="inlineStr"/>
      <c r="H47" s="20" t="inlineStr"/>
      <c r="I47" s="22" t="inlineStr">
        <is>
          <t>ANTONIO RENATO MANSO DE CASTRO</t>
        </is>
      </c>
      <c r="J47" s="23" t="inlineStr">
        <is>
          <t>Presidente (RFB partner)</t>
        </is>
      </c>
      <c r="K47" s="22" t="inlineStr">
        <is>
          <t>(21) 3805-1000</t>
        </is>
      </c>
      <c r="L47" s="22" t="inlineStr"/>
      <c r="M47" s="22" t="inlineStr"/>
      <c r="N47" s="22" t="inlineStr"/>
      <c r="O47" s="22" t="inlineStr"/>
      <c r="P47" s="22" t="inlineStr">
        <is>
          <t>Luiza Parente</t>
        </is>
      </c>
      <c r="Q47" s="22" t="inlineStr">
        <is>
          <t>Analista Pleno | Jurídico Contencioso Cível</t>
        </is>
      </c>
      <c r="R47" s="22" t="inlineStr"/>
      <c r="S47" s="22" t="inlineStr">
        <is>
          <t>lparente@amil.com.br</t>
        </is>
      </c>
      <c r="T47" s="22" t="inlineStr">
        <is>
          <t>DM = registered partner (RFB QSA); Apollo pick demoted to backup (non-finance role); BACKUP: DM</t>
        </is>
      </c>
      <c r="U47" s="24" t="n">
        <v>4484696.43</v>
      </c>
      <c r="V47" s="25" t="inlineStr">
        <is>
          <t>B</t>
        </is>
      </c>
      <c r="W47" s="26" t="inlineStr"/>
      <c r="X47" s="27" t="inlineStr"/>
      <c r="Y47" s="27" t="inlineStr"/>
      <c r="Z47" s="26">
        <f>IF(W47&lt;&gt;"",W47,IFERROR(VLOOKUP(V47,Assumptions!$A$8:$F$12,2,FALSE),0))</f>
        <v/>
      </c>
      <c r="AA47" s="28">
        <f>IF(V47="A",MAX(1,IF(X47&lt;&gt;"",X47,IFERROR(VLOOKUP(V47,Assumptions!$A$8:$F$12,3,FALSE),3))+IF(Y47&lt;&gt;"",Y47,IFERROR(VLOOKUP(V47,Assumptions!$A$8:$F$12,4,FALSE),8))/2-MAX(0,IF(AS47="",0,YEAR(TODAY())-AS47)-IFERROR(VLOOKUP(V47,Assumptions!$A$8:$F$12,5,FALSE),1.5))),IFERROR(VLOOKUP(V47,Assumptions!$A$8:$F$12,5,FALSE),2.5)+IF(X47&lt;&gt;"",X47,IFERROR(VLOOKUP(V47,Assumptions!$A$8:$F$12,3,FALSE),3))+IF(Y47&lt;&gt;"",Y47,IFERROR(VLOOKUP(V47,Assumptions!$A$8:$F$12,4,FALSE),8))/2)</f>
        <v/>
      </c>
      <c r="AB47" s="24">
        <f>U47*Z47/(1+Assumptions!$B$3)^AA47</f>
        <v/>
      </c>
      <c r="AC47" s="27">
        <f>IF(U47=0,"",ROUND(AB47/U47*100,1))</f>
        <v/>
      </c>
      <c r="AD47" s="29">
        <f>AB47*Assumptions!$B$4</f>
        <v/>
      </c>
      <c r="AE47" s="27">
        <f>IF(U47=0,"",ROUND(AD47/U47*100,1))</f>
        <v/>
      </c>
      <c r="AF47" s="29">
        <f>AB47-AD47</f>
        <v/>
      </c>
      <c r="AG47" s="27">
        <f>IF(U47=0,"",ROUND((AB47-AD47)/U47*100,1))</f>
        <v/>
      </c>
      <c r="AH47" s="30" t="inlineStr">
        <is>
          <t>OK — totals reconciled</t>
        </is>
      </c>
      <c r="AI47" s="31" t="inlineStr">
        <is>
          <t>https://scalzilliaj.com.br/sgc/download.php?file=files/processo_documento/processo_documento09514021082025_1_.pdf&amp;nome=04 - Relação de credores das Recuperandas</t>
        </is>
      </c>
      <c r="AJ47" s="30" t="inlineStr">
        <is>
          <t>p62 r6</t>
        </is>
      </c>
      <c r="AK47" s="30" t="inlineStr">
        <is>
          <t>p62: R$ 4.484.696,43</t>
        </is>
      </c>
      <c r="AL47" s="30" t="inlineStr">
        <is>
          <t>Debtor list (art. 51)</t>
        </is>
      </c>
      <c r="AM47" s="30" t="inlineStr"/>
      <c r="AN47" s="30" t="inlineStr">
        <is>
          <t>NONE FOUND</t>
        </is>
      </c>
      <c r="AO47" s="32" t="inlineStr">
        <is>
          <t>5088952-81.2025.8.13.0024</t>
        </is>
      </c>
      <c r="AP47" s="32" t="inlineStr">
        <is>
          <t>TJMG</t>
        </is>
      </c>
      <c r="AQ47" s="32" t="inlineStr"/>
      <c r="AR47" s="32" t="inlineStr">
        <is>
          <t>DataJud: no closure/falência movement</t>
        </is>
      </c>
      <c r="AS47" s="32" t="n">
        <v>2025</v>
      </c>
      <c r="AT47" s="32" t="inlineStr">
        <is>
          <t>live case, no plan document yet; case no. from the portal record, not printed on the list</t>
        </is>
      </c>
      <c r="AU47" s="32" t="inlineStr"/>
      <c r="AV47" s="32" t="inlineStr">
        <is>
          <t>portal page title / URL — not printed on the list</t>
        </is>
      </c>
      <c r="AW47" s="32" t="inlineStr"/>
      <c r="AX47" s="32" t="inlineStr">
        <is>
          <t>SAO PAULO</t>
        </is>
      </c>
      <c r="AY47" s="32" t="inlineStr">
        <is>
          <t>SP</t>
        </is>
      </c>
      <c r="AZ47" s="32" t="inlineStr">
        <is>
          <t>Planos de saúde</t>
        </is>
      </c>
      <c r="BA47" s="32" t="inlineStr">
        <is>
          <t>não ME/EPP</t>
        </is>
      </c>
      <c r="BB47" s="33" t="n">
        <v>12019176000</v>
      </c>
      <c r="BC47" s="32" t="inlineStr">
        <is>
          <t>LARGE CORP</t>
        </is>
      </c>
      <c r="BD47" s="32" t="inlineStr">
        <is>
          <t>29309127</t>
        </is>
      </c>
      <c r="BE47" s="32" t="n">
        <v>1</v>
      </c>
      <c r="BF47" s="32" t="inlineStr">
        <is>
          <t>case no. corrected by reader case no. from portal record</t>
        </is>
      </c>
    </row>
    <row r="48">
      <c r="A48" s="17" t="inlineStr">
        <is>
          <t>CARGILL BIOENERGIA LTDA.</t>
        </is>
      </c>
      <c r="B48" s="18" t="n">
        <v>4173329</v>
      </c>
      <c r="C48" s="19" t="inlineStr">
        <is>
          <t>GRUPO FERRARI (ALEX, ALEXANDRE , ANDRIELLE FERRARI MANTELLI, ARCIR LUIS, ERICA SANTOS ASSIS LIMA, FERNANDO MANTELLI, IDELSI, TALITA LEITE SILVA, AGROPECUARIA FERRARI LTDA E FERRARI ARMAZENS GERAIS)</t>
        </is>
      </c>
      <c r="D48" s="20" t="inlineStr">
        <is>
          <t>NEW</t>
        </is>
      </c>
      <c r="E48" s="21" t="inlineStr"/>
      <c r="F48" s="20" t="inlineStr"/>
      <c r="G48" s="21" t="inlineStr"/>
      <c r="H48" s="20" t="inlineStr"/>
      <c r="I48" s="22" t="inlineStr">
        <is>
          <t>CARLOS RODRIGUES DA CUNHA JUNIOR</t>
        </is>
      </c>
      <c r="J48" s="23" t="inlineStr">
        <is>
          <t>Administrador (RFB partner)</t>
        </is>
      </c>
      <c r="K48" s="22" t="inlineStr">
        <is>
          <t>(64) 9999-9415</t>
        </is>
      </c>
      <c r="L48" s="22" t="inlineStr"/>
      <c r="M48" s="22" t="inlineStr"/>
      <c r="N48" s="22" t="inlineStr"/>
      <c r="O48" s="22" t="inlineStr"/>
      <c r="P48" s="22" t="inlineStr">
        <is>
          <t>JOSE WILLAMS DA SILVA LUZ</t>
        </is>
      </c>
      <c r="Q48" s="22" t="inlineStr">
        <is>
          <t>Administrador (RFB partner)</t>
        </is>
      </c>
      <c r="R48" s="22" t="inlineStr"/>
      <c r="S48" s="22" t="inlineStr"/>
      <c r="T48" s="22" t="inlineStr">
        <is>
          <t>DM = registered partner (RFB QSA); no Apollo match</t>
        </is>
      </c>
      <c r="U48" s="24" t="n">
        <v>4173329</v>
      </c>
      <c r="V48" s="25" t="inlineStr">
        <is>
          <t>B</t>
        </is>
      </c>
      <c r="W48" s="26" t="inlineStr"/>
      <c r="X48" s="27" t="inlineStr"/>
      <c r="Y48" s="27" t="inlineStr"/>
      <c r="Z48" s="26">
        <f>IF(W48&lt;&gt;"",W48,IFERROR(VLOOKUP(V48,Assumptions!$A$8:$F$12,2,FALSE),0))</f>
        <v/>
      </c>
      <c r="AA48" s="28">
        <f>IF(V48="A",MAX(1,IF(X48&lt;&gt;"",X48,IFERROR(VLOOKUP(V48,Assumptions!$A$8:$F$12,3,FALSE),3))+IF(Y48&lt;&gt;"",Y48,IFERROR(VLOOKUP(V48,Assumptions!$A$8:$F$12,4,FALSE),8))/2-MAX(0,IF(AS48="",0,YEAR(TODAY())-AS48)-IFERROR(VLOOKUP(V48,Assumptions!$A$8:$F$12,5,FALSE),1.5))),IFERROR(VLOOKUP(V48,Assumptions!$A$8:$F$12,5,FALSE),2.5)+IF(X48&lt;&gt;"",X48,IFERROR(VLOOKUP(V48,Assumptions!$A$8:$F$12,3,FALSE),3))+IF(Y48&lt;&gt;"",Y48,IFERROR(VLOOKUP(V48,Assumptions!$A$8:$F$12,4,FALSE),8))/2)</f>
        <v/>
      </c>
      <c r="AB48" s="24">
        <f>U48*Z48/(1+Assumptions!$B$3)^AA48</f>
        <v/>
      </c>
      <c r="AC48" s="27">
        <f>IF(U48=0,"",ROUND(AB48/U48*100,1))</f>
        <v/>
      </c>
      <c r="AD48" s="29">
        <f>AB48*Assumptions!$B$4</f>
        <v/>
      </c>
      <c r="AE48" s="27">
        <f>IF(U48=0,"",ROUND(AD48/U48*100,1))</f>
        <v/>
      </c>
      <c r="AF48" s="29">
        <f>AB48-AD48</f>
        <v/>
      </c>
      <c r="AG48" s="27">
        <f>IF(U48=0,"",ROUND((AB48-AD48)/U48*100,1))</f>
        <v/>
      </c>
      <c r="AH48" s="34" t="inlineStr">
        <is>
          <t>NO TOTALS — list prints none; check page</t>
        </is>
      </c>
      <c r="AI48" s="31" t="inlineStr">
        <is>
          <t>https://scalzilliaj.com.br/sgc/download.php?file=files/processo_documento/processo_documento11421222052026_1_.pdf&amp;nome=08. Lista de credores do edital do art. 52, §1º da LREF</t>
        </is>
      </c>
      <c r="AJ48" s="30" t="inlineStr">
        <is>
          <t>p3 r8</t>
        </is>
      </c>
      <c r="AK48" s="30" t="inlineStr">
        <is>
          <t>p3: R$ 4.173.329,00</t>
        </is>
      </c>
      <c r="AL48" s="30" t="inlineStr">
        <is>
          <t>Unclassified list</t>
        </is>
      </c>
      <c r="AM48" s="30" t="inlineStr"/>
      <c r="AN48" s="30" t="inlineStr">
        <is>
          <t>NONE FOUND</t>
        </is>
      </c>
      <c r="AO48" s="32" t="inlineStr">
        <is>
          <t>5011369-81.2026.8.09.0093</t>
        </is>
      </c>
      <c r="AP48" s="32" t="inlineStr">
        <is>
          <t>TJGO</t>
        </is>
      </c>
      <c r="AQ48" s="32" t="inlineStr"/>
      <c r="AR48" s="32" t="inlineStr">
        <is>
          <t>DataJud: no closure/falência movement</t>
        </is>
      </c>
      <c r="AS48" s="32" t="n">
        <v>2026</v>
      </c>
      <c r="AT48" s="32" t="inlineStr">
        <is>
          <t>live case, no plan document yet; case no. from the portal record, not printed on the list</t>
        </is>
      </c>
      <c r="AU48" s="32" t="inlineStr"/>
      <c r="AV48" s="32" t="inlineStr">
        <is>
          <t>portal page title / URL — not printed on the list</t>
        </is>
      </c>
      <c r="AW48" s="32" t="inlineStr"/>
      <c r="AX48" s="32" t="inlineStr">
        <is>
          <t>SAO PAULO</t>
        </is>
      </c>
      <c r="AY48" s="32" t="inlineStr">
        <is>
          <t>SP</t>
        </is>
      </c>
      <c r="AZ48" s="32" t="inlineStr">
        <is>
          <t>Holdings de instituições não-financeiras</t>
        </is>
      </c>
      <c r="BA48" s="32" t="inlineStr">
        <is>
          <t>não ME/EPP</t>
        </is>
      </c>
      <c r="BB48" s="33" t="n">
        <v>453631260</v>
      </c>
      <c r="BC48" s="32" t="inlineStr">
        <is>
          <t>MID-MARKET</t>
        </is>
      </c>
      <c r="BD48" s="32" t="inlineStr">
        <is>
          <t>10249419</t>
        </is>
      </c>
      <c r="BE48" s="32" t="n">
        <v>1</v>
      </c>
      <c r="BF48" s="32" t="inlineStr">
        <is>
          <t>list prints no totals</t>
        </is>
      </c>
    </row>
    <row r="49">
      <c r="A49" s="17" t="inlineStr">
        <is>
          <t>AMFI DIGITAL ASSETS LTDA</t>
        </is>
      </c>
      <c r="B49" s="18" t="n">
        <v>4122689.25</v>
      </c>
      <c r="C49" s="19" t="inlineStr">
        <is>
          <t>CENTURY CONSTRUÇÕES COMÉRCIO E SERVIÇOS LTDA.</t>
        </is>
      </c>
      <c r="D49" s="20" t="inlineStr">
        <is>
          <t>NEW</t>
        </is>
      </c>
      <c r="E49" s="21" t="inlineStr"/>
      <c r="F49" s="20" t="inlineStr"/>
      <c r="G49" s="21" t="inlineStr"/>
      <c r="H49" s="20" t="inlineStr"/>
      <c r="I49" s="22" t="inlineStr">
        <is>
          <t>Silvio Signori</t>
        </is>
      </c>
      <c r="J49" s="22" t="inlineStr">
        <is>
          <t>Diretor de Riscos &amp; Operações</t>
        </is>
      </c>
      <c r="K49" s="22" t="inlineStr">
        <is>
          <t>(11) 1111-1111</t>
        </is>
      </c>
      <c r="L49" s="22" t="inlineStr"/>
      <c r="M49" s="22" t="inlineStr"/>
      <c r="N49" s="22" t="inlineStr">
        <is>
          <t>silvio@amfi.finance</t>
        </is>
      </c>
      <c r="O49" s="22" t="inlineStr">
        <is>
          <t>verified</t>
        </is>
      </c>
      <c r="P49" s="22" t="inlineStr">
        <is>
          <t>Fabiano Ferreira</t>
        </is>
      </c>
      <c r="Q49" s="22" t="inlineStr">
        <is>
          <t>Legal and Regulatory Director</t>
        </is>
      </c>
      <c r="R49" s="22" t="inlineStr"/>
      <c r="S49" s="22" t="inlineStr">
        <is>
          <t>fabiano.ferreira@amfi.finance</t>
        </is>
      </c>
      <c r="T49" s="22" t="inlineStr">
        <is>
          <t>DM: DM; BACKUP: backup</t>
        </is>
      </c>
      <c r="U49" s="24" t="n">
        <v>4122689.25</v>
      </c>
      <c r="V49" s="25" t="inlineStr">
        <is>
          <t>B</t>
        </is>
      </c>
      <c r="W49" s="26" t="inlineStr"/>
      <c r="X49" s="27" t="inlineStr"/>
      <c r="Y49" s="27" t="inlineStr"/>
      <c r="Z49" s="26">
        <f>IF(W49&lt;&gt;"",W49,IFERROR(VLOOKUP(V49,Assumptions!$A$8:$F$12,2,FALSE),0))</f>
        <v/>
      </c>
      <c r="AA49" s="28">
        <f>IF(V49="A",MAX(1,IF(X49&lt;&gt;"",X49,IFERROR(VLOOKUP(V49,Assumptions!$A$8:$F$12,3,FALSE),3))+IF(Y49&lt;&gt;"",Y49,IFERROR(VLOOKUP(V49,Assumptions!$A$8:$F$12,4,FALSE),8))/2-MAX(0,IF(AS49="",0,YEAR(TODAY())-AS49)-IFERROR(VLOOKUP(V49,Assumptions!$A$8:$F$12,5,FALSE),1.5))),IFERROR(VLOOKUP(V49,Assumptions!$A$8:$F$12,5,FALSE),2.5)+IF(X49&lt;&gt;"",X49,IFERROR(VLOOKUP(V49,Assumptions!$A$8:$F$12,3,FALSE),3))+IF(Y49&lt;&gt;"",Y49,IFERROR(VLOOKUP(V49,Assumptions!$A$8:$F$12,4,FALSE),8))/2)</f>
        <v/>
      </c>
      <c r="AB49" s="24">
        <f>U49*Z49/(1+Assumptions!$B$3)^AA49</f>
        <v/>
      </c>
      <c r="AC49" s="27">
        <f>IF(U49=0,"",ROUND(AB49/U49*100,1))</f>
        <v/>
      </c>
      <c r="AD49" s="29">
        <f>AB49*Assumptions!$B$4</f>
        <v/>
      </c>
      <c r="AE49" s="27">
        <f>IF(U49=0,"",ROUND(AD49/U49*100,1))</f>
        <v/>
      </c>
      <c r="AF49" s="29">
        <f>AB49-AD49</f>
        <v/>
      </c>
      <c r="AG49" s="27">
        <f>IF(U49=0,"",ROUND((AB49-AD49)/U49*100,1))</f>
        <v/>
      </c>
      <c r="AH49" s="34" t="inlineStr">
        <is>
          <t>NO TOTALS — list prints none; check page</t>
        </is>
      </c>
      <c r="AI49" s="31" t="inlineStr">
        <is>
          <t>https://ativosajce.com.br/admin/download.php?file=files/processo_documento/processo_documento16022716122025_1_.pdf&amp;nome=Relação de credores - art. 52, §1º da Lei 11.101/05 - 15/12/2025</t>
        </is>
      </c>
      <c r="AJ49" s="30" t="inlineStr">
        <is>
          <t>p2 r5</t>
        </is>
      </c>
      <c r="AK49" s="30" t="inlineStr">
        <is>
          <t>p2: R$ 4.122.689,25</t>
        </is>
      </c>
      <c r="AL49" s="30" t="inlineStr">
        <is>
          <t>Unclassified list</t>
        </is>
      </c>
      <c r="AM49" s="30" t="inlineStr"/>
      <c r="AN49" s="30" t="inlineStr">
        <is>
          <t>NONE FOUND</t>
        </is>
      </c>
      <c r="AO49" s="32" t="inlineStr">
        <is>
          <t>4054599-35.2025.8.26.0100</t>
        </is>
      </c>
      <c r="AP49" s="32" t="inlineStr">
        <is>
          <t>TJSP</t>
        </is>
      </c>
      <c r="AQ49" s="32" t="inlineStr">
        <is>
          <t>Recuperação judicial</t>
        </is>
      </c>
      <c r="AR49" s="32" t="inlineStr">
        <is>
          <t>DataJud: no closure/falência movement</t>
        </is>
      </c>
      <c r="AS49" s="32" t="n">
        <v>2025</v>
      </c>
      <c r="AT49" s="32" t="inlineStr">
        <is>
          <t>live case, no plan document yet; case no. from the portal record, not printed on the list</t>
        </is>
      </c>
      <c r="AU49" s="32" t="inlineStr">
        <is>
          <t>03.299.563/0001-10</t>
        </is>
      </c>
      <c r="AV49" s="32" t="inlineStr">
        <is>
          <t>printed on the list (read twice)</t>
        </is>
      </c>
      <c r="AW49" s="32" t="inlineStr"/>
      <c r="AX49" s="32" t="inlineStr">
        <is>
          <t>SAO PAULO</t>
        </is>
      </c>
      <c r="AY49" s="32" t="inlineStr">
        <is>
          <t>SP</t>
        </is>
      </c>
      <c r="AZ49" s="32" t="inlineStr">
        <is>
          <t>Holdings de instituições não-financeiras</t>
        </is>
      </c>
      <c r="BA49" s="32" t="inlineStr">
        <is>
          <t>não ME/EPP</t>
        </is>
      </c>
      <c r="BB49" s="33" t="n">
        <v>1000</v>
      </c>
      <c r="BC49" s="32" t="inlineStr">
        <is>
          <t>MID-MARKET</t>
        </is>
      </c>
      <c r="BD49" s="32" t="inlineStr">
        <is>
          <t>46542000</t>
        </is>
      </c>
      <c r="BE49" s="32" t="n">
        <v>1</v>
      </c>
      <c r="BF49" s="32" t="inlineStr">
        <is>
          <t>list prints no totals</t>
        </is>
      </c>
    </row>
    <row r="50">
      <c r="A50" s="17" t="inlineStr">
        <is>
          <t>CENTRO AVANCADO DE NEUROLOGIA E NEUROCIRURGIA S/S</t>
        </is>
      </c>
      <c r="B50" s="18" t="n">
        <v>3947275.5</v>
      </c>
      <c r="C50" s="19" t="inlineStr">
        <is>
          <t>ASSOCIAÇÃO DE CARIDADE SANTA CASA DO RIO GRANDE</t>
        </is>
      </c>
      <c r="D50" s="20" t="inlineStr">
        <is>
          <t>NEW</t>
        </is>
      </c>
      <c r="E50" s="21" t="inlineStr"/>
      <c r="F50" s="20" t="inlineStr"/>
      <c r="G50" s="21" t="inlineStr"/>
      <c r="H50" s="20" t="inlineStr"/>
      <c r="I50" s="22" t="inlineStr">
        <is>
          <t>GUSTAVO RASSIER ISOLAN</t>
        </is>
      </c>
      <c r="J50" s="23" t="inlineStr">
        <is>
          <t>Sócio-Administrador (RFB partner)</t>
        </is>
      </c>
      <c r="K50" s="22" t="inlineStr">
        <is>
          <t>(51) 3276-7818</t>
        </is>
      </c>
      <c r="L50" s="22" t="inlineStr"/>
      <c r="M50" s="22" t="inlineStr"/>
      <c r="N50" s="22" t="inlineStr"/>
      <c r="O50" s="22" t="inlineStr"/>
      <c r="P50" s="22" t="inlineStr"/>
      <c r="Q50" s="22" t="inlineStr"/>
      <c r="R50" s="22" t="inlineStr"/>
      <c r="S50" s="22" t="inlineStr"/>
      <c r="T50" s="22" t="inlineStr">
        <is>
          <t>DM = registered partner (RFB QSA); no Apollo match</t>
        </is>
      </c>
      <c r="U50" s="24" t="n">
        <v>3947275.5</v>
      </c>
      <c r="V50" s="25" t="inlineStr">
        <is>
          <t>B</t>
        </is>
      </c>
      <c r="W50" s="26" t="inlineStr"/>
      <c r="X50" s="27" t="inlineStr"/>
      <c r="Y50" s="27" t="inlineStr"/>
      <c r="Z50" s="26">
        <f>IF(W50&lt;&gt;"",W50,IFERROR(VLOOKUP(V50,Assumptions!$A$8:$F$12,2,FALSE),0))</f>
        <v/>
      </c>
      <c r="AA50" s="28">
        <f>IF(V50="A",MAX(1,IF(X50&lt;&gt;"",X50,IFERROR(VLOOKUP(V50,Assumptions!$A$8:$F$12,3,FALSE),3))+IF(Y50&lt;&gt;"",Y50,IFERROR(VLOOKUP(V50,Assumptions!$A$8:$F$12,4,FALSE),8))/2-MAX(0,IF(AS50="",0,YEAR(TODAY())-AS50)-IFERROR(VLOOKUP(V50,Assumptions!$A$8:$F$12,5,FALSE),1.5))),IFERROR(VLOOKUP(V50,Assumptions!$A$8:$F$12,5,FALSE),2.5)+IF(X50&lt;&gt;"",X50,IFERROR(VLOOKUP(V50,Assumptions!$A$8:$F$12,3,FALSE),3))+IF(Y50&lt;&gt;"",Y50,IFERROR(VLOOKUP(V50,Assumptions!$A$8:$F$12,4,FALSE),8))/2)</f>
        <v/>
      </c>
      <c r="AB50" s="24">
        <f>U50*Z50/(1+Assumptions!$B$3)^AA50</f>
        <v/>
      </c>
      <c r="AC50" s="27">
        <f>IF(U50=0,"",ROUND(AB50/U50*100,1))</f>
        <v/>
      </c>
      <c r="AD50" s="29">
        <f>AB50*Assumptions!$B$4</f>
        <v/>
      </c>
      <c r="AE50" s="27">
        <f>IF(U50=0,"",ROUND(AD50/U50*100,1))</f>
        <v/>
      </c>
      <c r="AF50" s="29">
        <f>AB50-AD50</f>
        <v/>
      </c>
      <c r="AG50" s="27">
        <f>IF(U50=0,"",ROUND((AB50-AD50)/U50*100,1))</f>
        <v/>
      </c>
      <c r="AH50" s="34" t="inlineStr">
        <is>
          <t>NO TOTALS — list prints none; check page</t>
        </is>
      </c>
      <c r="AI50" s="31" t="inlineStr">
        <is>
          <t>https://scalzilliaj.com.br/sgc/download.php?file=files/processo_documento/processo_documento09120721032023_1_.pdf&amp;nome=15 - Edital do art. 7º, §2º e 53 da Lei 11.101/2005 (segunda lista de credores e recebimento do plano))</t>
        </is>
      </c>
      <c r="AJ50" s="30" t="inlineStr">
        <is>
          <t>p26 r23</t>
        </is>
      </c>
      <c r="AK50" s="30" t="inlineStr">
        <is>
          <t>p26: R$ 3.947.275,50</t>
        </is>
      </c>
      <c r="AL50" s="30" t="inlineStr">
        <is>
          <t>AJ list (art. 7 §2)</t>
        </is>
      </c>
      <c r="AM50" s="30" t="inlineStr">
        <is>
          <t>2023-03-21</t>
        </is>
      </c>
      <c r="AN50" s="30" t="inlineStr">
        <is>
          <t>NONE FOUND</t>
        </is>
      </c>
      <c r="AO50" s="32" t="inlineStr">
        <is>
          <t>5012306-16.2022.8.21.0023</t>
        </is>
      </c>
      <c r="AP50" s="32" t="inlineStr">
        <is>
          <t>TJRS</t>
        </is>
      </c>
      <c r="AQ50" s="32" t="inlineStr">
        <is>
          <t>Recuperação judicial</t>
        </is>
      </c>
      <c r="AR50" s="32" t="inlineStr">
        <is>
          <t>DataJud: no closure/falência movement</t>
        </is>
      </c>
      <c r="AS50" s="32" t="n">
        <v>2022</v>
      </c>
      <c r="AT50" s="32" t="inlineStr">
        <is>
          <t>live case, no plan document yet; atypical debtor (associação/clube/hospital/produtor rural): admissibility or claim subjection may be contested</t>
        </is>
      </c>
      <c r="AU50" s="32" t="inlineStr"/>
      <c r="AV50" s="32" t="inlineStr">
        <is>
          <t>printed on the list (read twice)</t>
        </is>
      </c>
      <c r="AW50" s="32" t="inlineStr"/>
      <c r="AX50" s="32" t="inlineStr">
        <is>
          <t>PORTO ALEGRE</t>
        </is>
      </c>
      <c r="AY50" s="32" t="inlineStr">
        <is>
          <t>RS</t>
        </is>
      </c>
      <c r="AZ50" s="32" t="inlineStr">
        <is>
          <t>Atividades de atenção ambulatorial não especificadas anteriormente</t>
        </is>
      </c>
      <c r="BA50" s="32" t="inlineStr">
        <is>
          <t>não ME/EPP</t>
        </is>
      </c>
      <c r="BB50" s="33" t="n">
        <v>20000</v>
      </c>
      <c r="BC50" s="32" t="inlineStr">
        <is>
          <t>MID-MARKET</t>
        </is>
      </c>
      <c r="BD50" s="32" t="inlineStr">
        <is>
          <t>18331491</t>
        </is>
      </c>
      <c r="BE50" s="32" t="n">
        <v>1</v>
      </c>
      <c r="BF50" s="32" t="inlineStr">
        <is>
          <t>list prints no totals</t>
        </is>
      </c>
    </row>
    <row r="51">
      <c r="A51" s="17" t="inlineStr">
        <is>
          <t>FAIRFAX BRASIL SEGUROS CORPORATIVOS SA</t>
        </is>
      </c>
      <c r="B51" s="18" t="n">
        <v>3663129.51</v>
      </c>
      <c r="C51" s="19" t="inlineStr">
        <is>
          <t>Grupo Rech</t>
        </is>
      </c>
      <c r="D51" s="20" t="inlineStr">
        <is>
          <t>NEW</t>
        </is>
      </c>
      <c r="E51" s="21" t="inlineStr"/>
      <c r="F51" s="20" t="inlineStr"/>
      <c r="G51" s="21" t="inlineStr"/>
      <c r="H51" s="20" t="inlineStr"/>
      <c r="I51" s="22" t="inlineStr">
        <is>
          <t>BRUNO DE ALMEIDA CAMARGO</t>
        </is>
      </c>
      <c r="J51" s="23" t="inlineStr">
        <is>
          <t>Presidente (RFB partner)</t>
        </is>
      </c>
      <c r="K51" s="22" t="inlineStr">
        <is>
          <t>(11) 3041-3023</t>
        </is>
      </c>
      <c r="L51" s="22" t="inlineStr">
        <is>
          <t>(11) 3041-3023</t>
        </is>
      </c>
      <c r="M51" s="22" t="inlineStr"/>
      <c r="N51" s="22" t="inlineStr"/>
      <c r="O51" s="22" t="inlineStr"/>
      <c r="P51" s="22" t="inlineStr">
        <is>
          <t>Adonai Mello</t>
        </is>
      </c>
      <c r="Q51" s="22" t="inlineStr">
        <is>
          <t>Analista de Sinistros na Fairfax Brasil Seguros Corporativos</t>
        </is>
      </c>
      <c r="R51" s="22" t="inlineStr"/>
      <c r="S51" s="22" t="inlineStr">
        <is>
          <t>adonai.mello@fairfax.com.br</t>
        </is>
      </c>
      <c r="T51" s="22" t="inlineStr">
        <is>
          <t>DM = registered partner (RFB QSA); Apollo pick demoted to backup (non-finance role); BACKUP: DM extrapolated email; INSURER (seguro garantia likely); Apollo org FF Seguros; only sinistros analyst; VERIFY org: FF Seguros; backup email is pattern-guessed</t>
        </is>
      </c>
      <c r="U51" s="24" t="n">
        <v>3663129.51</v>
      </c>
      <c r="V51" s="25" t="inlineStr">
        <is>
          <t>B</t>
        </is>
      </c>
      <c r="W51" s="26" t="inlineStr"/>
      <c r="X51" s="27" t="inlineStr"/>
      <c r="Y51" s="27" t="inlineStr"/>
      <c r="Z51" s="26">
        <f>IF(W51&lt;&gt;"",W51,IFERROR(VLOOKUP(V51,Assumptions!$A$8:$F$12,2,FALSE),0))</f>
        <v/>
      </c>
      <c r="AA51" s="28">
        <f>IF(V51="A",MAX(1,IF(X51&lt;&gt;"",X51,IFERROR(VLOOKUP(V51,Assumptions!$A$8:$F$12,3,FALSE),3))+IF(Y51&lt;&gt;"",Y51,IFERROR(VLOOKUP(V51,Assumptions!$A$8:$F$12,4,FALSE),8))/2-MAX(0,IF(AS51="",0,YEAR(TODAY())-AS51)-IFERROR(VLOOKUP(V51,Assumptions!$A$8:$F$12,5,FALSE),1.5))),IFERROR(VLOOKUP(V51,Assumptions!$A$8:$F$12,5,FALSE),2.5)+IF(X51&lt;&gt;"",X51,IFERROR(VLOOKUP(V51,Assumptions!$A$8:$F$12,3,FALSE),3))+IF(Y51&lt;&gt;"",Y51,IFERROR(VLOOKUP(V51,Assumptions!$A$8:$F$12,4,FALSE),8))/2)</f>
        <v/>
      </c>
      <c r="AB51" s="24">
        <f>U51*Z51/(1+Assumptions!$B$3)^AA51</f>
        <v/>
      </c>
      <c r="AC51" s="27">
        <f>IF(U51=0,"",ROUND(AB51/U51*100,1))</f>
        <v/>
      </c>
      <c r="AD51" s="29">
        <f>AB51*Assumptions!$B$4</f>
        <v/>
      </c>
      <c r="AE51" s="27">
        <f>IF(U51=0,"",ROUND(AD51/U51*100,1))</f>
        <v/>
      </c>
      <c r="AF51" s="29">
        <f>AB51-AD51</f>
        <v/>
      </c>
      <c r="AG51" s="27">
        <f>IF(U51=0,"",ROUND((AB51-AD51)/U51*100,1))</f>
        <v/>
      </c>
      <c r="AH51" s="36" t="inlineStr">
        <is>
          <t>CHECK — source is not a statutory creditor list</t>
        </is>
      </c>
      <c r="AI51" s="31" t="inlineStr">
        <is>
          <t>https://credibilita.com.br/wp-content/uploads/2025/09/Relacao-Credores-29.04.2026.pdf</t>
        </is>
      </c>
      <c r="AJ51" s="30" t="inlineStr">
        <is>
          <t>p1 r22</t>
        </is>
      </c>
      <c r="AK51" s="30" t="inlineStr">
        <is>
          <t>p1: R$ 3.663.129,51</t>
        </is>
      </c>
      <c r="AL51" s="30" t="inlineStr">
        <is>
          <t>Quorum list — NOT an art. 7/51 list</t>
        </is>
      </c>
      <c r="AM51" s="30" t="inlineStr"/>
      <c r="AN51" s="30" t="inlineStr">
        <is>
          <t>NONE FOUND</t>
        </is>
      </c>
      <c r="AO51" s="32" t="inlineStr">
        <is>
          <t>5057720-48.2025.8.24.0023</t>
        </is>
      </c>
      <c r="AP51" s="32" t="inlineStr">
        <is>
          <t>TJSC</t>
        </is>
      </c>
      <c r="AQ51" s="32" t="inlineStr"/>
      <c r="AR51" s="32" t="inlineStr">
        <is>
          <t>not in DataJud</t>
        </is>
      </c>
      <c r="AS51" s="32" t="n">
        <v>2025</v>
      </c>
      <c r="AT51" s="32" t="inlineStr">
        <is>
          <t>live case, no plan document yet; case no. from the portal record, not printed on the list</t>
        </is>
      </c>
      <c r="AU51" s="32" t="inlineStr"/>
      <c r="AV51" s="32" t="inlineStr">
        <is>
          <t>portal page title / URL — not printed on the list</t>
        </is>
      </c>
      <c r="AW51" s="32" t="inlineStr"/>
      <c r="AX51" s="32" t="inlineStr">
        <is>
          <t>SAO PAULO</t>
        </is>
      </c>
      <c r="AY51" s="32" t="inlineStr">
        <is>
          <t>SP</t>
        </is>
      </c>
      <c r="AZ51" s="32" t="inlineStr">
        <is>
          <t>Sociedade seguradora de seguros não vida</t>
        </is>
      </c>
      <c r="BA51" s="32" t="inlineStr">
        <is>
          <t>não ME/EPP</t>
        </is>
      </c>
      <c r="BB51" s="33" t="n">
        <v>551585700</v>
      </c>
      <c r="BC51" s="32" t="inlineStr">
        <is>
          <t>LARGE CORP</t>
        </is>
      </c>
      <c r="BD51" s="32" t="inlineStr">
        <is>
          <t>10793428</t>
        </is>
      </c>
      <c r="BE51" s="32" t="n">
        <v>1</v>
      </c>
      <c r="BF51" s="32" t="inlineStr">
        <is>
          <t>list prints no totals case no. corrected by reader</t>
        </is>
      </c>
    </row>
    <row r="52">
      <c r="A52" s="17" t="inlineStr">
        <is>
          <t>FOR PARTICIPACOES SOCIAIS LTDA</t>
        </is>
      </c>
      <c r="B52" s="18" t="n">
        <v>3397738.03</v>
      </c>
      <c r="C52" s="19" t="inlineStr">
        <is>
          <t>Alto Uruguai Indústria e Comércio de Óleos Ltda</t>
        </is>
      </c>
      <c r="D52" s="20" t="inlineStr">
        <is>
          <t>NEW</t>
        </is>
      </c>
      <c r="E52" s="21" t="inlineStr"/>
      <c r="F52" s="20" t="inlineStr"/>
      <c r="G52" s="21" t="inlineStr"/>
      <c r="H52" s="20" t="inlineStr"/>
      <c r="I52" s="22" t="inlineStr">
        <is>
          <t>RODRIGO ANDREETTA</t>
        </is>
      </c>
      <c r="J52" s="23" t="inlineStr">
        <is>
          <t>Sócio-Administrador (RFB partner)</t>
        </is>
      </c>
      <c r="K52" s="22" t="inlineStr">
        <is>
          <t>(54) 2107-1000</t>
        </is>
      </c>
      <c r="L52" s="22" t="inlineStr"/>
      <c r="M52" s="22" t="inlineStr"/>
      <c r="N52" s="22" t="inlineStr"/>
      <c r="O52" s="22" t="inlineStr"/>
      <c r="P52" s="22" t="inlineStr"/>
      <c r="Q52" s="22" t="inlineStr"/>
      <c r="R52" s="22" t="inlineStr"/>
      <c r="S52" s="22" t="inlineStr"/>
      <c r="T52" s="22" t="inlineStr">
        <is>
          <t>DM = registered partner (RFB QSA); no Apollo match</t>
        </is>
      </c>
      <c r="U52" s="24" t="n">
        <v>3397738.03</v>
      </c>
      <c r="V52" s="25" t="inlineStr">
        <is>
          <t>B</t>
        </is>
      </c>
      <c r="W52" s="26" t="inlineStr"/>
      <c r="X52" s="27" t="inlineStr"/>
      <c r="Y52" s="27" t="inlineStr"/>
      <c r="Z52" s="26">
        <f>IF(W52&lt;&gt;"",W52,IFERROR(VLOOKUP(V52,Assumptions!$A$8:$F$12,2,FALSE),0))</f>
        <v/>
      </c>
      <c r="AA52" s="28">
        <f>IF(V52="A",MAX(1,IF(X52&lt;&gt;"",X52,IFERROR(VLOOKUP(V52,Assumptions!$A$8:$F$12,3,FALSE),3))+IF(Y52&lt;&gt;"",Y52,IFERROR(VLOOKUP(V52,Assumptions!$A$8:$F$12,4,FALSE),8))/2-MAX(0,IF(AS52="",0,YEAR(TODAY())-AS52)-IFERROR(VLOOKUP(V52,Assumptions!$A$8:$F$12,5,FALSE),1.5))),IFERROR(VLOOKUP(V52,Assumptions!$A$8:$F$12,5,FALSE),2.5)+IF(X52&lt;&gt;"",X52,IFERROR(VLOOKUP(V52,Assumptions!$A$8:$F$12,3,FALSE),3))+IF(Y52&lt;&gt;"",Y52,IFERROR(VLOOKUP(V52,Assumptions!$A$8:$F$12,4,FALSE),8))/2)</f>
        <v/>
      </c>
      <c r="AB52" s="24">
        <f>U52*Z52/(1+Assumptions!$B$3)^AA52</f>
        <v/>
      </c>
      <c r="AC52" s="27">
        <f>IF(U52=0,"",ROUND(AB52/U52*100,1))</f>
        <v/>
      </c>
      <c r="AD52" s="29">
        <f>AB52*Assumptions!$B$4</f>
        <v/>
      </c>
      <c r="AE52" s="27">
        <f>IF(U52=0,"",ROUND(AD52/U52*100,1))</f>
        <v/>
      </c>
      <c r="AF52" s="29">
        <f>AB52-AD52</f>
        <v/>
      </c>
      <c r="AG52" s="27">
        <f>IF(U52=0,"",ROUND((AB52-AD52)/U52*100,1))</f>
        <v/>
      </c>
      <c r="AH52" s="30" t="inlineStr">
        <is>
          <t>OK — totals reconciled</t>
        </is>
      </c>
      <c r="AI52" s="31" t="inlineStr">
        <is>
          <t>https://ajruiz.com.br/sites/default/files/public/arquivos-processos/2026-06/alto_uruguai_qgc_junho.2026.pdf</t>
        </is>
      </c>
      <c r="AJ52" s="30" t="inlineStr">
        <is>
          <t>p1 r23</t>
        </is>
      </c>
      <c r="AK52" s="30" t="inlineStr">
        <is>
          <t>p1: R$ 3.397.738,03</t>
        </is>
      </c>
      <c r="AL52" s="30" t="inlineStr">
        <is>
          <t>Unclassified list</t>
        </is>
      </c>
      <c r="AM52" s="30" t="inlineStr"/>
      <c r="AN52" s="30" t="inlineStr">
        <is>
          <t>NONE FOUND</t>
        </is>
      </c>
      <c r="AO52" s="32" t="inlineStr">
        <is>
          <t>5012743-51.2023.8.24.0019</t>
        </is>
      </c>
      <c r="AP52" s="32" t="inlineStr">
        <is>
          <t>TJSC</t>
        </is>
      </c>
      <c r="AQ52" s="32" t="inlineStr">
        <is>
          <t>Recuperação judicial</t>
        </is>
      </c>
      <c r="AR52" s="32" t="inlineStr">
        <is>
          <t>DataJud: no closure/falência movement</t>
        </is>
      </c>
      <c r="AS52" s="32" t="n">
        <v>2023</v>
      </c>
      <c r="AT52" s="32" t="inlineStr">
        <is>
          <t>live case, no plan document yet</t>
        </is>
      </c>
      <c r="AU52" s="32" t="inlineStr"/>
      <c r="AV52" s="32" t="inlineStr">
        <is>
          <t>printed on the list (read twice)</t>
        </is>
      </c>
      <c r="AW52" s="32" t="inlineStr"/>
      <c r="AX52" s="32" t="inlineStr">
        <is>
          <t>ERECHIM</t>
        </is>
      </c>
      <c r="AY52" s="32" t="inlineStr">
        <is>
          <t>RS</t>
        </is>
      </c>
      <c r="AZ52" s="32" t="inlineStr">
        <is>
          <t>Holdings de instituições não-financeiras</t>
        </is>
      </c>
      <c r="BA52" s="32" t="inlineStr">
        <is>
          <t>não ME/EPP</t>
        </is>
      </c>
      <c r="BB52" s="33" t="n">
        <v>16237120</v>
      </c>
      <c r="BC52" s="32" t="inlineStr">
        <is>
          <t>MID-MARKET</t>
        </is>
      </c>
      <c r="BD52" s="32" t="inlineStr">
        <is>
          <t>30351359</t>
        </is>
      </c>
      <c r="BE52" s="32" t="n">
        <v>1</v>
      </c>
      <c r="BF52" s="32" t="inlineStr"/>
    </row>
    <row r="53">
      <c r="A53" s="17" t="inlineStr">
        <is>
          <t>A GERADORA ALUGUEL DE MAQUINAS S.A.</t>
        </is>
      </c>
      <c r="B53" s="18" t="n">
        <v>3379805.88</v>
      </c>
      <c r="C53" s="19" t="inlineStr">
        <is>
          <t>GRUPO EGESA (Egesa Engenharia S.A. + 9 group companies; see group members)</t>
        </is>
      </c>
      <c r="D53" s="20" t="inlineStr">
        <is>
          <t>NEW</t>
        </is>
      </c>
      <c r="E53" s="21" t="inlineStr"/>
      <c r="F53" s="20" t="inlineStr"/>
      <c r="G53" s="21" t="inlineStr"/>
      <c r="H53" s="20" t="inlineStr"/>
      <c r="I53" s="22" t="inlineStr">
        <is>
          <t>JOSE CANDIDO TERCEIRO JUNIOR</t>
        </is>
      </c>
      <c r="J53" s="23" t="inlineStr">
        <is>
          <t>Diretor (RFB partner)</t>
        </is>
      </c>
      <c r="K53" s="22" t="inlineStr">
        <is>
          <t>(71) 3418-2600</t>
        </is>
      </c>
      <c r="L53" s="22" t="inlineStr"/>
      <c r="M53" s="22" t="inlineStr"/>
      <c r="N53" s="22" t="inlineStr"/>
      <c r="O53" s="22" t="inlineStr"/>
      <c r="P53" s="22" t="inlineStr">
        <is>
          <t>MARCELO JOSE CARVALHO TEIXEIRA</t>
        </is>
      </c>
      <c r="Q53" s="22" t="inlineStr">
        <is>
          <t>Diretor (RFB partner)</t>
        </is>
      </c>
      <c r="R53" s="22" t="inlineStr"/>
      <c r="S53" s="22" t="inlineStr"/>
      <c r="T53" s="22" t="inlineStr">
        <is>
          <t>DM = registered partner (RFB QSA); no Apollo match</t>
        </is>
      </c>
      <c r="U53" s="24" t="n">
        <v>3379805.88</v>
      </c>
      <c r="V53" s="25" t="inlineStr">
        <is>
          <t>B</t>
        </is>
      </c>
      <c r="W53" s="26" t="inlineStr"/>
      <c r="X53" s="27" t="inlineStr"/>
      <c r="Y53" s="27" t="inlineStr"/>
      <c r="Z53" s="26">
        <f>IF(W53&lt;&gt;"",W53,IFERROR(VLOOKUP(V53,Assumptions!$A$8:$F$12,2,FALSE),0))</f>
        <v/>
      </c>
      <c r="AA53" s="28">
        <f>IF(V53="A",MAX(1,IF(X53&lt;&gt;"",X53,IFERROR(VLOOKUP(V53,Assumptions!$A$8:$F$12,3,FALSE),3))+IF(Y53&lt;&gt;"",Y53,IFERROR(VLOOKUP(V53,Assumptions!$A$8:$F$12,4,FALSE),8))/2-MAX(0,IF(AS53="",0,YEAR(TODAY())-AS53)-IFERROR(VLOOKUP(V53,Assumptions!$A$8:$F$12,5,FALSE),1.5))),IFERROR(VLOOKUP(V53,Assumptions!$A$8:$F$12,5,FALSE),2.5)+IF(X53&lt;&gt;"",X53,IFERROR(VLOOKUP(V53,Assumptions!$A$8:$F$12,3,FALSE),3))+IF(Y53&lt;&gt;"",Y53,IFERROR(VLOOKUP(V53,Assumptions!$A$8:$F$12,4,FALSE),8))/2)</f>
        <v/>
      </c>
      <c r="AB53" s="24">
        <f>U53*Z53/(1+Assumptions!$B$3)^AA53</f>
        <v/>
      </c>
      <c r="AC53" s="27">
        <f>IF(U53=0,"",ROUND(AB53/U53*100,1))</f>
        <v/>
      </c>
      <c r="AD53" s="29">
        <f>AB53*Assumptions!$B$4</f>
        <v/>
      </c>
      <c r="AE53" s="27">
        <f>IF(U53=0,"",ROUND(AD53/U53*100,1))</f>
        <v/>
      </c>
      <c r="AF53" s="29">
        <f>AB53-AD53</f>
        <v/>
      </c>
      <c r="AG53" s="27">
        <f>IF(U53=0,"",ROUND((AB53-AD53)/U53*100,1))</f>
        <v/>
      </c>
      <c r="AH53" s="30" t="inlineStr">
        <is>
          <t>OK — totals reconciled</t>
        </is>
      </c>
      <c r="AI53" s="31" t="inlineStr">
        <is>
          <t>https://scalzilliaj.com.br/sgc/download.php?file=files/processo_documento/processo_documento09514021082025_1_.pdf&amp;nome=04 - Relação de credores das Recuperandas</t>
        </is>
      </c>
      <c r="AJ53" s="30" t="inlineStr">
        <is>
          <t>p61 r2; p61 r3; p61 r4; p61 r5; p61 r6; p61 r7</t>
        </is>
      </c>
      <c r="AK53" s="30" t="inlineStr">
        <is>
          <t>p61: R$ 157.495,18; p61: R$ 78.391,92; p61: R$ 608.384,03; p61: R$ 589.125,42; p61: R$ 1.879.005,92; p61: R$ 67.403,41</t>
        </is>
      </c>
      <c r="AL53" s="30" t="inlineStr">
        <is>
          <t>Debtor list (art. 51)</t>
        </is>
      </c>
      <c r="AM53" s="30" t="inlineStr"/>
      <c r="AN53" s="30" t="inlineStr">
        <is>
          <t>NONE FOUND</t>
        </is>
      </c>
      <c r="AO53" s="32" t="inlineStr">
        <is>
          <t>5088952-81.2025.8.13.0024</t>
        </is>
      </c>
      <c r="AP53" s="32" t="inlineStr">
        <is>
          <t>TJMG</t>
        </is>
      </c>
      <c r="AQ53" s="32" t="inlineStr"/>
      <c r="AR53" s="32" t="inlineStr">
        <is>
          <t>DataJud: no closure/falência movement</t>
        </is>
      </c>
      <c r="AS53" s="32" t="n">
        <v>2025</v>
      </c>
      <c r="AT53" s="32" t="inlineStr">
        <is>
          <t>live case, no plan document yet; case no. from the portal record, not printed on the list</t>
        </is>
      </c>
      <c r="AU53" s="32" t="inlineStr"/>
      <c r="AV53" s="32" t="inlineStr">
        <is>
          <t>portal page title / URL — not printed on the list</t>
        </is>
      </c>
      <c r="AW53" s="32" t="inlineStr"/>
      <c r="AX53" s="32" t="inlineStr">
        <is>
          <t>SALVADOR</t>
        </is>
      </c>
      <c r="AY53" s="32" t="inlineStr">
        <is>
          <t>BA</t>
        </is>
      </c>
      <c r="AZ53" s="32" t="inlineStr">
        <is>
          <t>Aluguel de outras máquinas e equipamentos comerciais e industriais não especificados anteriormente, sem operador</t>
        </is>
      </c>
      <c r="BA53" s="32" t="inlineStr">
        <is>
          <t>não ME/EPP</t>
        </is>
      </c>
      <c r="BB53" s="33" t="n">
        <v>122184504</v>
      </c>
      <c r="BC53" s="32" t="inlineStr">
        <is>
          <t>MID-MARKET</t>
        </is>
      </c>
      <c r="BD53" s="32" t="inlineStr">
        <is>
          <t>33845322</t>
        </is>
      </c>
      <c r="BE53" s="32" t="n">
        <v>6</v>
      </c>
      <c r="BF53" s="32" t="inlineStr">
        <is>
          <t>case no. corrected by reader case no. from portal record</t>
        </is>
      </c>
    </row>
    <row r="54">
      <c r="A54" s="17" t="inlineStr">
        <is>
          <t>SALESFORCE TECNOLOGIA LTDA</t>
        </is>
      </c>
      <c r="B54" s="18" t="n">
        <v>3349893.45</v>
      </c>
      <c r="C54" s="19" t="inlineStr">
        <is>
          <t>Grupo Rech</t>
        </is>
      </c>
      <c r="D54" s="20" t="inlineStr">
        <is>
          <t>NEW</t>
        </is>
      </c>
      <c r="E54" s="21" t="inlineStr"/>
      <c r="F54" s="20" t="inlineStr"/>
      <c r="G54" s="21" t="inlineStr"/>
      <c r="H54" s="20" t="inlineStr"/>
      <c r="I54" s="22" t="inlineStr">
        <is>
          <t>Alexandre Costa</t>
        </is>
      </c>
      <c r="J54" s="22" t="inlineStr">
        <is>
          <t>Controller Director</t>
        </is>
      </c>
      <c r="K54" s="22" t="inlineStr">
        <is>
          <t>(11) 2110-3141</t>
        </is>
      </c>
      <c r="L54" s="22" t="inlineStr"/>
      <c r="M54" s="22" t="inlineStr"/>
      <c r="N54" s="22" t="inlineStr">
        <is>
          <t>alexandre.costa@salesforce.com</t>
        </is>
      </c>
      <c r="O54" s="22" t="inlineStr">
        <is>
          <t>verified</t>
        </is>
      </c>
      <c r="P54" s="22" t="inlineStr">
        <is>
          <t>Marcio Mendes</t>
        </is>
      </c>
      <c r="Q54" s="22" t="inlineStr">
        <is>
          <t>Finance Controller</t>
        </is>
      </c>
      <c r="R54" s="22" t="inlineStr"/>
      <c r="S54" s="22" t="inlineStr">
        <is>
          <t>mmendes@salesforce.com</t>
        </is>
      </c>
      <c r="T54" s="22" t="inlineStr">
        <is>
          <t>DM: DM; LARGE CORP; BACKUP: backup</t>
        </is>
      </c>
      <c r="U54" s="24" t="n">
        <v>3349893.45</v>
      </c>
      <c r="V54" s="25" t="inlineStr">
        <is>
          <t>B</t>
        </is>
      </c>
      <c r="W54" s="26" t="inlineStr"/>
      <c r="X54" s="27" t="inlineStr"/>
      <c r="Y54" s="27" t="inlineStr"/>
      <c r="Z54" s="26">
        <f>IF(W54&lt;&gt;"",W54,IFERROR(VLOOKUP(V54,Assumptions!$A$8:$F$12,2,FALSE),0))</f>
        <v/>
      </c>
      <c r="AA54" s="28">
        <f>IF(V54="A",MAX(1,IF(X54&lt;&gt;"",X54,IFERROR(VLOOKUP(V54,Assumptions!$A$8:$F$12,3,FALSE),3))+IF(Y54&lt;&gt;"",Y54,IFERROR(VLOOKUP(V54,Assumptions!$A$8:$F$12,4,FALSE),8))/2-MAX(0,IF(AS54="",0,YEAR(TODAY())-AS54)-IFERROR(VLOOKUP(V54,Assumptions!$A$8:$F$12,5,FALSE),1.5))),IFERROR(VLOOKUP(V54,Assumptions!$A$8:$F$12,5,FALSE),2.5)+IF(X54&lt;&gt;"",X54,IFERROR(VLOOKUP(V54,Assumptions!$A$8:$F$12,3,FALSE),3))+IF(Y54&lt;&gt;"",Y54,IFERROR(VLOOKUP(V54,Assumptions!$A$8:$F$12,4,FALSE),8))/2)</f>
        <v/>
      </c>
      <c r="AB54" s="24">
        <f>U54*Z54/(1+Assumptions!$B$3)^AA54</f>
        <v/>
      </c>
      <c r="AC54" s="27">
        <f>IF(U54=0,"",ROUND(AB54/U54*100,1))</f>
        <v/>
      </c>
      <c r="AD54" s="29">
        <f>AB54*Assumptions!$B$4</f>
        <v/>
      </c>
      <c r="AE54" s="27">
        <f>IF(U54=0,"",ROUND(AD54/U54*100,1))</f>
        <v/>
      </c>
      <c r="AF54" s="29">
        <f>AB54-AD54</f>
        <v/>
      </c>
      <c r="AG54" s="27">
        <f>IF(U54=0,"",ROUND((AB54-AD54)/U54*100,1))</f>
        <v/>
      </c>
      <c r="AH54" s="36" t="inlineStr">
        <is>
          <t>CHECK — source is not a statutory creditor list</t>
        </is>
      </c>
      <c r="AI54" s="31" t="inlineStr">
        <is>
          <t>https://credibilita.com.br/wp-content/uploads/2025/09/Relacao-Credores-29.04.2026.pdf</t>
        </is>
      </c>
      <c r="AJ54" s="30" t="inlineStr">
        <is>
          <t>p2 r16</t>
        </is>
      </c>
      <c r="AK54" s="30" t="inlineStr">
        <is>
          <t>p2: R$ 3.349.893,45</t>
        </is>
      </c>
      <c r="AL54" s="30" t="inlineStr">
        <is>
          <t>Quorum list — NOT an art. 7/51 list</t>
        </is>
      </c>
      <c r="AM54" s="30" t="inlineStr"/>
      <c r="AN54" s="30" t="inlineStr">
        <is>
          <t>NONE FOUND</t>
        </is>
      </c>
      <c r="AO54" s="32" t="inlineStr">
        <is>
          <t>5057720-48.2025.8.24.0023</t>
        </is>
      </c>
      <c r="AP54" s="32" t="inlineStr">
        <is>
          <t>TJSC</t>
        </is>
      </c>
      <c r="AQ54" s="32" t="inlineStr"/>
      <c r="AR54" s="32" t="inlineStr">
        <is>
          <t>not in DataJud</t>
        </is>
      </c>
      <c r="AS54" s="32" t="n">
        <v>2025</v>
      </c>
      <c r="AT54" s="32" t="inlineStr">
        <is>
          <t>live case, no plan document yet; case no. from the portal record, not printed on the list</t>
        </is>
      </c>
      <c r="AU54" s="32" t="inlineStr"/>
      <c r="AV54" s="32" t="inlineStr">
        <is>
          <t>portal page title / URL — not printed on the list</t>
        </is>
      </c>
      <c r="AW54" s="32" t="inlineStr"/>
      <c r="AX54" s="32" t="inlineStr">
        <is>
          <t>SAO PAULO</t>
        </is>
      </c>
      <c r="AY54" s="32" t="inlineStr">
        <is>
          <t>SP</t>
        </is>
      </c>
      <c r="AZ54" s="32" t="inlineStr">
        <is>
          <t>Desenvolvimento e licenciamento de programas de computador customizáveis</t>
        </is>
      </c>
      <c r="BA54" s="32" t="inlineStr">
        <is>
          <t>não ME/EPP</t>
        </is>
      </c>
      <c r="BB54" s="33" t="n">
        <v>265000</v>
      </c>
      <c r="BC54" s="32" t="inlineStr">
        <is>
          <t>MID-MARKET</t>
        </is>
      </c>
      <c r="BD54" s="32" t="inlineStr">
        <is>
          <t>01080512</t>
        </is>
      </c>
      <c r="BE54" s="32" t="n">
        <v>1</v>
      </c>
      <c r="BF54" s="32" t="inlineStr">
        <is>
          <t>list prints no totals case no. corrected by reader</t>
        </is>
      </c>
    </row>
    <row r="55">
      <c r="A55" s="17" t="inlineStr">
        <is>
          <t>TABLEROS IND. E COM. DE PAINEIS LTDA</t>
        </is>
      </c>
      <c r="B55" s="18" t="n">
        <v>12966349.62</v>
      </c>
      <c r="C55" s="19" t="inlineStr">
        <is>
          <t>FORMAPLAN FORMAS PLANEJADAS INDÚSTRIA E COMÉRCIO LTDA</t>
        </is>
      </c>
      <c r="D55" s="20" t="inlineStr">
        <is>
          <t>NEW</t>
        </is>
      </c>
      <c r="E55" s="21" t="inlineStr"/>
      <c r="F55" s="20" t="inlineStr"/>
      <c r="G55" s="21" t="inlineStr"/>
      <c r="H55" s="20" t="inlineStr"/>
      <c r="I55" s="22" t="inlineStr">
        <is>
          <t>MARCIO GERALDO ROSA</t>
        </is>
      </c>
      <c r="J55" s="23" t="inlineStr">
        <is>
          <t>Sócio-Administrador (RFB partner)</t>
        </is>
      </c>
      <c r="K55" s="22" t="inlineStr">
        <is>
          <t>(46) 3263-8500</t>
        </is>
      </c>
      <c r="L55" s="22" t="inlineStr"/>
      <c r="M55" s="22" t="inlineStr"/>
      <c r="N55" s="22" t="inlineStr"/>
      <c r="O55" s="22" t="inlineStr"/>
      <c r="P55" s="22" t="inlineStr"/>
      <c r="Q55" s="22" t="inlineStr"/>
      <c r="R55" s="22" t="inlineStr"/>
      <c r="S55" s="22" t="inlineStr"/>
      <c r="T55" s="22" t="inlineStr">
        <is>
          <t>DM = registered partner (RFB QSA); no Apollo match</t>
        </is>
      </c>
      <c r="U55" s="24" t="n">
        <v>12966349.62</v>
      </c>
      <c r="V55" s="39" t="inlineStr">
        <is>
          <t>C</t>
        </is>
      </c>
      <c r="W55" s="26" t="inlineStr"/>
      <c r="X55" s="27" t="inlineStr"/>
      <c r="Y55" s="27" t="inlineStr"/>
      <c r="Z55" s="26">
        <f>IF(W55&lt;&gt;"",W55,IFERROR(VLOOKUP(V55,Assumptions!$A$8:$F$12,2,FALSE),0))</f>
        <v/>
      </c>
      <c r="AA55" s="28">
        <f>IF(V55="A",MAX(1,IF(X55&lt;&gt;"",X55,IFERROR(VLOOKUP(V55,Assumptions!$A$8:$F$12,3,FALSE),3))+IF(Y55&lt;&gt;"",Y55,IFERROR(VLOOKUP(V55,Assumptions!$A$8:$F$12,4,FALSE),8))/2-MAX(0,IF(AS55="",0,YEAR(TODAY())-AS55)-IFERROR(VLOOKUP(V55,Assumptions!$A$8:$F$12,5,FALSE),1.5))),IFERROR(VLOOKUP(V55,Assumptions!$A$8:$F$12,5,FALSE),2.5)+IF(X55&lt;&gt;"",X55,IFERROR(VLOOKUP(V55,Assumptions!$A$8:$F$12,3,FALSE),3))+IF(Y55&lt;&gt;"",Y55,IFERROR(VLOOKUP(V55,Assumptions!$A$8:$F$12,4,FALSE),8))/2)</f>
        <v/>
      </c>
      <c r="AB55" s="24">
        <f>U55*Z55/(1+Assumptions!$B$3)^AA55</f>
        <v/>
      </c>
      <c r="AC55" s="27">
        <f>IF(U55=0,"",ROUND(AB55/U55*100,1))</f>
        <v/>
      </c>
      <c r="AD55" s="29">
        <f>AB55*Assumptions!$B$4</f>
        <v/>
      </c>
      <c r="AE55" s="27">
        <f>IF(U55=0,"",ROUND(AD55/U55*100,1))</f>
        <v/>
      </c>
      <c r="AF55" s="29">
        <f>AB55-AD55</f>
        <v/>
      </c>
      <c r="AG55" s="27">
        <f>IF(U55=0,"",ROUND((AB55-AD55)/U55*100,1))</f>
        <v/>
      </c>
      <c r="AH55" s="35" t="inlineStr">
        <is>
          <t>PARTIAL — class III reconciled, other classes not</t>
        </is>
      </c>
      <c r="AI55" s="31" t="inlineStr">
        <is>
          <t>https://marquesadmjudicial.com.br/sgc/download.php?file=files/processo_documento/processo_documento15232121112024_1_.pdf&amp;nome=Relação de Credores</t>
        </is>
      </c>
      <c r="AJ55" s="30" t="inlineStr">
        <is>
          <t>p16 r3</t>
        </is>
      </c>
      <c r="AK55" s="30" t="inlineStr">
        <is>
          <t>p16: R$ 12.966.349,62</t>
        </is>
      </c>
      <c r="AL55" s="30" t="inlineStr">
        <is>
          <t>AJ list (art. 7 §2)</t>
        </is>
      </c>
      <c r="AM55" s="30" t="inlineStr">
        <is>
          <t>2021-01-22</t>
        </is>
      </c>
      <c r="AN55" s="30" t="inlineStr">
        <is>
          <t>NONE FOUND</t>
        </is>
      </c>
      <c r="AO55" s="32" t="inlineStr">
        <is>
          <t>0000410-68.2021.8.16.0174</t>
        </is>
      </c>
      <c r="AP55" s="32" t="inlineStr">
        <is>
          <t>TJPR</t>
        </is>
      </c>
      <c r="AQ55" s="32" t="inlineStr">
        <is>
          <t>Recuperação judicial</t>
        </is>
      </c>
      <c r="AR55" s="32" t="inlineStr">
        <is>
          <t>DataJud: no closure/falência movement</t>
        </is>
      </c>
      <c r="AS55" s="32" t="n">
        <v>2021</v>
      </c>
      <c r="AT55" s="32" t="inlineStr">
        <is>
          <t>5y since filing; plan not in our documents</t>
        </is>
      </c>
      <c r="AU55" s="32" t="inlineStr">
        <is>
          <t>00.262.371/0001-41</t>
        </is>
      </c>
      <c r="AV55" s="32" t="inlineStr">
        <is>
          <t>printed on the list (read twice)</t>
        </is>
      </c>
      <c r="AW55" s="32" t="inlineStr"/>
      <c r="AX55" s="32" t="inlineStr">
        <is>
          <t>PALMAS</t>
        </is>
      </c>
      <c r="AY55" s="32" t="inlineStr">
        <is>
          <t>PR</t>
        </is>
      </c>
      <c r="AZ55" s="32" t="inlineStr">
        <is>
          <t>Fabricação de madeira laminada e de chapas de madeira compensada, prensada e aglomerada</t>
        </is>
      </c>
      <c r="BA55" s="32" t="inlineStr">
        <is>
          <t>não ME/EPP</t>
        </is>
      </c>
      <c r="BB55" s="33" t="n">
        <v>15300000</v>
      </c>
      <c r="BC55" s="32" t="inlineStr">
        <is>
          <t>MID-MARKET</t>
        </is>
      </c>
      <c r="BD55" s="32" t="inlineStr">
        <is>
          <t>09402999</t>
        </is>
      </c>
      <c r="BE55" s="32" t="n">
        <v>1</v>
      </c>
      <c r="BF55" s="32" t="inlineStr">
        <is>
          <t>class III reconciled (doc partial)</t>
        </is>
      </c>
    </row>
    <row r="56">
      <c r="A56" s="17" t="inlineStr">
        <is>
          <t>M.K. GALONE CONFECCOES E COMERCIO DE ROUPAS LTDA</t>
        </is>
      </c>
      <c r="B56" s="18" t="n">
        <v>3309751.29</v>
      </c>
      <c r="C56" s="19" t="inlineStr">
        <is>
          <t>GRUPO CATTAN</t>
        </is>
      </c>
      <c r="D56" s="20" t="inlineStr">
        <is>
          <t>NEW</t>
        </is>
      </c>
      <c r="E56" s="21" t="inlineStr"/>
      <c r="F56" s="20" t="inlineStr"/>
      <c r="G56" s="21" t="inlineStr"/>
      <c r="H56" s="20" t="inlineStr"/>
      <c r="I56" s="22" t="inlineStr">
        <is>
          <t>LEANDRO AKIYOSHI HASHIGUTI</t>
        </is>
      </c>
      <c r="J56" s="23" t="inlineStr">
        <is>
          <t>Sócio-Administrador (RFB partner)</t>
        </is>
      </c>
      <c r="K56" s="22" t="inlineStr">
        <is>
          <t>(11) 7213-9030</t>
        </is>
      </c>
      <c r="L56" s="22" t="inlineStr"/>
      <c r="M56" s="22" t="inlineStr"/>
      <c r="N56" s="22" t="inlineStr"/>
      <c r="O56" s="22" t="inlineStr"/>
      <c r="P56" s="22" t="inlineStr">
        <is>
          <t>THIAGO ISSAMI HASHIGUTI</t>
        </is>
      </c>
      <c r="Q56" s="22" t="inlineStr">
        <is>
          <t>Sócio-Administrador (RFB partner)</t>
        </is>
      </c>
      <c r="R56" s="22" t="inlineStr"/>
      <c r="S56" s="22" t="inlineStr"/>
      <c r="T56" s="22" t="inlineStr">
        <is>
          <t>DM = registered partner (RFB QSA); no Apollo match</t>
        </is>
      </c>
      <c r="U56" s="24" t="n">
        <v>3309751.29</v>
      </c>
      <c r="V56" s="25" t="inlineStr">
        <is>
          <t>B</t>
        </is>
      </c>
      <c r="W56" s="26" t="inlineStr"/>
      <c r="X56" s="27" t="inlineStr"/>
      <c r="Y56" s="27" t="inlineStr"/>
      <c r="Z56" s="26">
        <f>IF(W56&lt;&gt;"",W56,IFERROR(VLOOKUP(V56,Assumptions!$A$8:$F$12,2,FALSE),0))</f>
        <v/>
      </c>
      <c r="AA56" s="28">
        <f>IF(V56="A",MAX(1,IF(X56&lt;&gt;"",X56,IFERROR(VLOOKUP(V56,Assumptions!$A$8:$F$12,3,FALSE),3))+IF(Y56&lt;&gt;"",Y56,IFERROR(VLOOKUP(V56,Assumptions!$A$8:$F$12,4,FALSE),8))/2-MAX(0,IF(AS56="",0,YEAR(TODAY())-AS56)-IFERROR(VLOOKUP(V56,Assumptions!$A$8:$F$12,5,FALSE),1.5))),IFERROR(VLOOKUP(V56,Assumptions!$A$8:$F$12,5,FALSE),2.5)+IF(X56&lt;&gt;"",X56,IFERROR(VLOOKUP(V56,Assumptions!$A$8:$F$12,3,FALSE),3))+IF(Y56&lt;&gt;"",Y56,IFERROR(VLOOKUP(V56,Assumptions!$A$8:$F$12,4,FALSE),8))/2)</f>
        <v/>
      </c>
      <c r="AB56" s="24">
        <f>U56*Z56/(1+Assumptions!$B$3)^AA56</f>
        <v/>
      </c>
      <c r="AC56" s="27">
        <f>IF(U56=0,"",ROUND(AB56/U56*100,1))</f>
        <v/>
      </c>
      <c r="AD56" s="29">
        <f>AB56*Assumptions!$B$4</f>
        <v/>
      </c>
      <c r="AE56" s="27">
        <f>IF(U56=0,"",ROUND(AD56/U56*100,1))</f>
        <v/>
      </c>
      <c r="AF56" s="29">
        <f>AB56-AD56</f>
        <v/>
      </c>
      <c r="AG56" s="27">
        <f>IF(U56=0,"",ROUND((AB56-AD56)/U56*100,1))</f>
        <v/>
      </c>
      <c r="AH56" s="35" t="inlineStr">
        <is>
          <t>PARTIAL — class III reconciled, other classes not</t>
        </is>
      </c>
      <c r="AI56" s="31" t="inlineStr">
        <is>
          <t>https://lrflideres.com.br/wp-content/plugins/download-attachments/includes/download.php?id=4023</t>
        </is>
      </c>
      <c r="AJ56" s="30" t="inlineStr">
        <is>
          <t>p4 r87; p7 r111; p9 r84</t>
        </is>
      </c>
      <c r="AK56" s="30" t="inlineStr">
        <is>
          <t>p4: R$ 2.265.469,65; p7: R$ 879.396,72; p9: R$ 164.884,92</t>
        </is>
      </c>
      <c r="AL56" s="30" t="inlineStr">
        <is>
          <t>Debtor list (art. 51)</t>
        </is>
      </c>
      <c r="AM56" s="30" t="inlineStr"/>
      <c r="AN56" s="30" t="inlineStr">
        <is>
          <t>NONE FOUND</t>
        </is>
      </c>
      <c r="AO56" s="32" t="inlineStr">
        <is>
          <t>0002484-82.2022.8.17.2001</t>
        </is>
      </c>
      <c r="AP56" s="32" t="inlineStr">
        <is>
          <t>TJPE</t>
        </is>
      </c>
      <c r="AQ56" s="32" t="inlineStr">
        <is>
          <t>Recuperação judicial</t>
        </is>
      </c>
      <c r="AR56" s="32" t="inlineStr">
        <is>
          <t>DataJud: no closure/falência movement</t>
        </is>
      </c>
      <c r="AS56" s="32" t="n">
        <v>2022</v>
      </c>
      <c r="AT56" s="32" t="inlineStr">
        <is>
          <t>live case, no plan document yet</t>
        </is>
      </c>
      <c r="AU56" s="32" t="inlineStr"/>
      <c r="AV56" s="32" t="inlineStr">
        <is>
          <t>printed on the list (read twice)</t>
        </is>
      </c>
      <c r="AW56" s="32" t="inlineStr"/>
      <c r="AX56" s="32" t="inlineStr">
        <is>
          <t>SAO PAULO</t>
        </is>
      </c>
      <c r="AY56" s="32" t="inlineStr">
        <is>
          <t>SP</t>
        </is>
      </c>
      <c r="AZ56" s="32" t="inlineStr">
        <is>
          <t>Confecção de peças de vestuário, exceto roupas íntimas e as confeccionadas sob medida</t>
        </is>
      </c>
      <c r="BA56" s="32" t="inlineStr">
        <is>
          <t>não ME/EPP</t>
        </is>
      </c>
      <c r="BB56" s="33" t="n">
        <v>7500000</v>
      </c>
      <c r="BC56" s="32" t="inlineStr">
        <is>
          <t>MID-MARKET</t>
        </is>
      </c>
      <c r="BD56" s="32" t="inlineStr">
        <is>
          <t>05784234</t>
        </is>
      </c>
      <c r="BE56" s="32" t="n">
        <v>3</v>
      </c>
      <c r="BF56" s="32" t="inlineStr">
        <is>
          <t>class III reconciled (doc partial)</t>
        </is>
      </c>
    </row>
    <row r="57">
      <c r="A57" s="17" t="inlineStr">
        <is>
          <t>ALFANI CONFECCOES E COMERCIO LTDA - EM RECUPERACAO JUDICIAL</t>
        </is>
      </c>
      <c r="B57" s="18" t="n">
        <v>3140000</v>
      </c>
      <c r="C57" s="19" t="inlineStr">
        <is>
          <t>GRUPO CATTAN</t>
        </is>
      </c>
      <c r="D57" s="20" t="inlineStr">
        <is>
          <t>NEW</t>
        </is>
      </c>
      <c r="E57" s="21" t="inlineStr"/>
      <c r="F57" s="20" t="inlineStr"/>
      <c r="G57" s="21" t="inlineStr"/>
      <c r="H57" s="20" t="inlineStr"/>
      <c r="I57" s="22" t="inlineStr">
        <is>
          <t>FLAVIO DANTAS CATAO</t>
        </is>
      </c>
      <c r="J57" s="23" t="inlineStr">
        <is>
          <t>Sócio-Administrador (RFB partner)</t>
        </is>
      </c>
      <c r="K57" s="22" t="inlineStr">
        <is>
          <t>(81) 3419-8550</t>
        </is>
      </c>
      <c r="L57" s="22" t="inlineStr">
        <is>
          <t>(81) 3032-8400</t>
        </is>
      </c>
      <c r="M57" s="22" t="inlineStr"/>
      <c r="N57" s="22" t="inlineStr"/>
      <c r="O57" s="22" t="inlineStr"/>
      <c r="P57" s="22" t="inlineStr"/>
      <c r="Q57" s="22" t="inlineStr"/>
      <c r="R57" s="22" t="inlineStr"/>
      <c r="S57" s="22" t="inlineStr"/>
      <c r="T57" s="22" t="inlineStr">
        <is>
          <t>DM = registered partner (RFB QSA); no Apollo match</t>
        </is>
      </c>
      <c r="U57" s="24" t="n">
        <v>3140000</v>
      </c>
      <c r="V57" s="25" t="inlineStr">
        <is>
          <t>B</t>
        </is>
      </c>
      <c r="W57" s="26" t="inlineStr"/>
      <c r="X57" s="27" t="inlineStr"/>
      <c r="Y57" s="27" t="inlineStr"/>
      <c r="Z57" s="26">
        <f>IF(W57&lt;&gt;"",W57,IFERROR(VLOOKUP(V57,Assumptions!$A$8:$F$12,2,FALSE),0))</f>
        <v/>
      </c>
      <c r="AA57" s="28">
        <f>IF(V57="A",MAX(1,IF(X57&lt;&gt;"",X57,IFERROR(VLOOKUP(V57,Assumptions!$A$8:$F$12,3,FALSE),3))+IF(Y57&lt;&gt;"",Y57,IFERROR(VLOOKUP(V57,Assumptions!$A$8:$F$12,4,FALSE),8))/2-MAX(0,IF(AS57="",0,YEAR(TODAY())-AS57)-IFERROR(VLOOKUP(V57,Assumptions!$A$8:$F$12,5,FALSE),1.5))),IFERROR(VLOOKUP(V57,Assumptions!$A$8:$F$12,5,FALSE),2.5)+IF(X57&lt;&gt;"",X57,IFERROR(VLOOKUP(V57,Assumptions!$A$8:$F$12,3,FALSE),3))+IF(Y57&lt;&gt;"",Y57,IFERROR(VLOOKUP(V57,Assumptions!$A$8:$F$12,4,FALSE),8))/2)</f>
        <v/>
      </c>
      <c r="AB57" s="24">
        <f>U57*Z57/(1+Assumptions!$B$3)^AA57</f>
        <v/>
      </c>
      <c r="AC57" s="27">
        <f>IF(U57=0,"",ROUND(AB57/U57*100,1))</f>
        <v/>
      </c>
      <c r="AD57" s="29">
        <f>AB57*Assumptions!$B$4</f>
        <v/>
      </c>
      <c r="AE57" s="27">
        <f>IF(U57=0,"",ROUND(AD57/U57*100,1))</f>
        <v/>
      </c>
      <c r="AF57" s="29">
        <f>AB57-AD57</f>
        <v/>
      </c>
      <c r="AG57" s="27">
        <f>IF(U57=0,"",ROUND((AB57-AD57)/U57*100,1))</f>
        <v/>
      </c>
      <c r="AH57" s="35" t="inlineStr">
        <is>
          <t>PARTIAL — class III reconciled, other classes not</t>
        </is>
      </c>
      <c r="AI57" s="31" t="inlineStr">
        <is>
          <t>https://lrflideres.com.br/wp-content/plugins/download-attachments/includes/download.php?id=4023</t>
        </is>
      </c>
      <c r="AJ57" s="30" t="inlineStr">
        <is>
          <t>p9 r52</t>
        </is>
      </c>
      <c r="AK57" s="30" t="inlineStr">
        <is>
          <t>p9: R$ 3.140.000,00</t>
        </is>
      </c>
      <c r="AL57" s="30" t="inlineStr">
        <is>
          <t>Debtor list (art. 51)</t>
        </is>
      </c>
      <c r="AM57" s="30" t="inlineStr"/>
      <c r="AN57" s="30" t="inlineStr">
        <is>
          <t>NONE FOUND</t>
        </is>
      </c>
      <c r="AO57" s="32" t="inlineStr">
        <is>
          <t>0002484-82.2022.8.17.2001</t>
        </is>
      </c>
      <c r="AP57" s="32" t="inlineStr">
        <is>
          <t>TJPE</t>
        </is>
      </c>
      <c r="AQ57" s="32" t="inlineStr">
        <is>
          <t>Recuperação judicial</t>
        </is>
      </c>
      <c r="AR57" s="32" t="inlineStr">
        <is>
          <t>DataJud: no closure/falência movement</t>
        </is>
      </c>
      <c r="AS57" s="32" t="n">
        <v>2022</v>
      </c>
      <c r="AT57" s="32" t="inlineStr">
        <is>
          <t>live case, no plan document yet</t>
        </is>
      </c>
      <c r="AU57" s="32" t="inlineStr"/>
      <c r="AV57" s="32" t="inlineStr">
        <is>
          <t>printed on the list (read twice)</t>
        </is>
      </c>
      <c r="AW57" s="32" t="inlineStr"/>
      <c r="AX57" s="32" t="inlineStr">
        <is>
          <t>RECIFE</t>
        </is>
      </c>
      <c r="AY57" s="32" t="inlineStr">
        <is>
          <t>PE</t>
        </is>
      </c>
      <c r="AZ57" s="32" t="inlineStr">
        <is>
          <t>Comércio varejista de artigos do vestuário e acessórios</t>
        </is>
      </c>
      <c r="BA57" s="32" t="inlineStr">
        <is>
          <t>não ME/EPP</t>
        </is>
      </c>
      <c r="BB57" s="33" t="n">
        <v>1000000</v>
      </c>
      <c r="BC57" s="32" t="inlineStr">
        <is>
          <t>MID-MARKET</t>
        </is>
      </c>
      <c r="BD57" s="32" t="inlineStr">
        <is>
          <t>02524216</t>
        </is>
      </c>
      <c r="BE57" s="32" t="n">
        <v>1</v>
      </c>
      <c r="BF57" s="32" t="inlineStr">
        <is>
          <t>class III reconciled (doc partial)</t>
        </is>
      </c>
    </row>
    <row r="58">
      <c r="A58" s="17" t="inlineStr">
        <is>
          <t>SUZANO S.A.</t>
        </is>
      </c>
      <c r="B58" s="18" t="n">
        <v>5686333.34</v>
      </c>
      <c r="C58" s="37" t="inlineStr">
        <is>
          <t>(debtor not identified — see proof)</t>
        </is>
      </c>
      <c r="D58" s="20" t="inlineStr">
        <is>
          <t>NEW</t>
        </is>
      </c>
      <c r="E58" s="21" t="inlineStr"/>
      <c r="F58" s="20" t="inlineStr"/>
      <c r="G58" s="21" t="inlineStr"/>
      <c r="H58" s="20" t="inlineStr"/>
      <c r="I58" s="22" t="inlineStr">
        <is>
          <t>Erik Santos</t>
        </is>
      </c>
      <c r="J58" s="22" t="inlineStr">
        <is>
          <t>Analista Contas a Receber Sênior - CSC</t>
        </is>
      </c>
      <c r="K58" s="22" t="inlineStr">
        <is>
          <t>(11) 3636-5000</t>
        </is>
      </c>
      <c r="L58" s="22" t="inlineStr"/>
      <c r="M58" s="22" t="inlineStr"/>
      <c r="N58" s="22" t="inlineStr"/>
      <c r="O58" s="22" t="inlineStr"/>
      <c r="P58" s="22" t="inlineStr">
        <is>
          <t>Fabio Lira</t>
        </is>
      </c>
      <c r="Q58" s="22" t="inlineStr">
        <is>
          <t>Analista de Contas a Receber Jr</t>
        </is>
      </c>
      <c r="R58" s="22" t="inlineStr"/>
      <c r="S58" s="22" t="inlineStr">
        <is>
          <t>fabiolira@suzano.com.br</t>
        </is>
      </c>
      <c r="T58" s="22" t="inlineStr">
        <is>
          <t>DM: phone Yes; large corp; no work email in Apollo for DM; BACKUP: backup, has_email</t>
        </is>
      </c>
      <c r="U58" s="24" t="n">
        <v>5686333.34</v>
      </c>
      <c r="V58" s="38" t="inlineStr">
        <is>
          <t>U</t>
        </is>
      </c>
      <c r="W58" s="26" t="inlineStr"/>
      <c r="X58" s="27" t="inlineStr"/>
      <c r="Y58" s="27" t="inlineStr"/>
      <c r="Z58" s="26">
        <f>IF(W58&lt;&gt;"",W58,IFERROR(VLOOKUP(V58,Assumptions!$A$8:$F$12,2,FALSE),0))</f>
        <v/>
      </c>
      <c r="AA58" s="28">
        <f>IF(V58="A",MAX(1,IF(X58&lt;&gt;"",X58,IFERROR(VLOOKUP(V58,Assumptions!$A$8:$F$12,3,FALSE),3))+IF(Y58&lt;&gt;"",Y58,IFERROR(VLOOKUP(V58,Assumptions!$A$8:$F$12,4,FALSE),8))/2-MAX(0,IF(AS58="",0,YEAR(TODAY())-AS58)-IFERROR(VLOOKUP(V58,Assumptions!$A$8:$F$12,5,FALSE),1.5))),IFERROR(VLOOKUP(V58,Assumptions!$A$8:$F$12,5,FALSE),2.5)+IF(X58&lt;&gt;"",X58,IFERROR(VLOOKUP(V58,Assumptions!$A$8:$F$12,3,FALSE),3))+IF(Y58&lt;&gt;"",Y58,IFERROR(VLOOKUP(V58,Assumptions!$A$8:$F$12,4,FALSE),8))/2)</f>
        <v/>
      </c>
      <c r="AB58" s="24">
        <f>U58*Z58/(1+Assumptions!$B$3)^AA58</f>
        <v/>
      </c>
      <c r="AC58" s="27">
        <f>IF(U58=0,"",ROUND(AB58/U58*100,1))</f>
        <v/>
      </c>
      <c r="AD58" s="29">
        <f>AB58*Assumptions!$B$4</f>
        <v/>
      </c>
      <c r="AE58" s="27">
        <f>IF(U58=0,"",ROUND(AD58/U58*100,1))</f>
        <v/>
      </c>
      <c r="AF58" s="29">
        <f>AB58-AD58</f>
        <v/>
      </c>
      <c r="AG58" s="27">
        <f>IF(U58=0,"",ROUND((AB58-AD58)/U58*100,1))</f>
        <v/>
      </c>
      <c r="AH58" s="30" t="inlineStr">
        <is>
          <t>OK — totals reconciled</t>
        </is>
      </c>
      <c r="AI58" s="31" t="inlineStr">
        <is>
          <t>https://ajruiz.com.br/sites/default/files/public/arquivos-processos/2023-11/4_relacao_de_credores_analitica_art._51_iii_da_lre.pdf</t>
        </is>
      </c>
      <c r="AJ58" s="30" t="inlineStr">
        <is>
          <t>p4 r14</t>
        </is>
      </c>
      <c r="AK58" s="30" t="inlineStr">
        <is>
          <t>p4: R$ 5.686.333,34</t>
        </is>
      </c>
      <c r="AL58" s="30" t="inlineStr">
        <is>
          <t>Unclassified list</t>
        </is>
      </c>
      <c r="AM58" s="30" t="inlineStr"/>
      <c r="AN58" s="30" t="inlineStr">
        <is>
          <t>NONE FOUND</t>
        </is>
      </c>
      <c r="AO58" s="32" t="inlineStr">
        <is>
          <t>(not printed)</t>
        </is>
      </c>
      <c r="AP58" s="32" t="inlineStr"/>
      <c r="AQ58" s="32" t="inlineStr"/>
      <c r="AR58" s="32" t="inlineStr"/>
      <c r="AS58" s="32" t="inlineStr"/>
      <c r="AT58" s="32" t="inlineStr">
        <is>
          <t>RJ case number not identified on the document</t>
        </is>
      </c>
      <c r="AU58" s="32" t="inlineStr"/>
      <c r="AV58" s="32" t="inlineStr">
        <is>
          <t>not identified</t>
        </is>
      </c>
      <c r="AW58" s="32" t="inlineStr"/>
      <c r="AX58" s="32" t="inlineStr">
        <is>
          <t>SALVADOR</t>
        </is>
      </c>
      <c r="AY58" s="32" t="inlineStr">
        <is>
          <t>BA</t>
        </is>
      </c>
      <c r="AZ58" s="32" t="inlineStr">
        <is>
          <t>Fabricação de celulose e outras pastas para a fabricação de papel</t>
        </is>
      </c>
      <c r="BA58" s="32" t="inlineStr">
        <is>
          <t>não ME/EPP</t>
        </is>
      </c>
      <c r="BB58" s="33" t="n">
        <v>24283855000</v>
      </c>
      <c r="BC58" s="32" t="inlineStr">
        <is>
          <t>LARGE CORP</t>
        </is>
      </c>
      <c r="BD58" s="32" t="inlineStr">
        <is>
          <t>16404287</t>
        </is>
      </c>
      <c r="BE58" s="32" t="n">
        <v>1</v>
      </c>
      <c r="BF58" s="32" t="inlineStr">
        <is>
          <t>case no. corrected by reader</t>
        </is>
      </c>
    </row>
    <row r="59">
      <c r="A59" s="17" t="inlineStr">
        <is>
          <t>VEGETAL AGRONEGOCIOS LTDA</t>
        </is>
      </c>
      <c r="B59" s="18" t="n">
        <v>3014807.2</v>
      </c>
      <c r="C59" s="19" t="inlineStr">
        <is>
          <t>SOJAL COMERCIAL AGRICOLA LTDA e OUTROS</t>
        </is>
      </c>
      <c r="D59" s="20" t="inlineStr">
        <is>
          <t>NEW</t>
        </is>
      </c>
      <c r="E59" s="21" t="inlineStr"/>
      <c r="F59" s="20" t="inlineStr"/>
      <c r="G59" s="21" t="inlineStr"/>
      <c r="H59" s="20" t="inlineStr"/>
      <c r="I59" s="22" t="inlineStr">
        <is>
          <t>ALDAIR REMUSSI</t>
        </is>
      </c>
      <c r="J59" s="23" t="inlineStr">
        <is>
          <t>Sócio-Administrador (RFB partner)</t>
        </is>
      </c>
      <c r="K59" s="22" t="inlineStr">
        <is>
          <t>(61) 3234-8485</t>
        </is>
      </c>
      <c r="L59" s="22" t="inlineStr"/>
      <c r="M59" s="22" t="inlineStr"/>
      <c r="N59" s="22" t="inlineStr"/>
      <c r="O59" s="22" t="inlineStr"/>
      <c r="P59" s="22" t="inlineStr">
        <is>
          <t>Caio Aires</t>
        </is>
      </c>
      <c r="Q59" s="22" t="inlineStr">
        <is>
          <t>Commercial Manager</t>
        </is>
      </c>
      <c r="R59" s="22" t="inlineStr"/>
      <c r="S59" s="22" t="inlineStr">
        <is>
          <t>caio.aires@vegetalagro.com.br</t>
        </is>
      </c>
      <c r="T59" s="22" t="inlineStr">
        <is>
          <t>DM = registered partner (RFB QSA); Apollo pick demoted to backup (non-finance role); BACKUP: has_email; no finance found</t>
        </is>
      </c>
      <c r="U59" s="24" t="n">
        <v>3014807.2</v>
      </c>
      <c r="V59" s="25" t="inlineStr">
        <is>
          <t>B</t>
        </is>
      </c>
      <c r="W59" s="26" t="inlineStr"/>
      <c r="X59" s="27" t="inlineStr"/>
      <c r="Y59" s="27" t="inlineStr"/>
      <c r="Z59" s="26">
        <f>IF(W59&lt;&gt;"",W59,IFERROR(VLOOKUP(V59,Assumptions!$A$8:$F$12,2,FALSE),0))</f>
        <v/>
      </c>
      <c r="AA59" s="28">
        <f>IF(V59="A",MAX(1,IF(X59&lt;&gt;"",X59,IFERROR(VLOOKUP(V59,Assumptions!$A$8:$F$12,3,FALSE),3))+IF(Y59&lt;&gt;"",Y59,IFERROR(VLOOKUP(V59,Assumptions!$A$8:$F$12,4,FALSE),8))/2-MAX(0,IF(AS59="",0,YEAR(TODAY())-AS59)-IFERROR(VLOOKUP(V59,Assumptions!$A$8:$F$12,5,FALSE),1.5))),IFERROR(VLOOKUP(V59,Assumptions!$A$8:$F$12,5,FALSE),2.5)+IF(X59&lt;&gt;"",X59,IFERROR(VLOOKUP(V59,Assumptions!$A$8:$F$12,3,FALSE),3))+IF(Y59&lt;&gt;"",Y59,IFERROR(VLOOKUP(V59,Assumptions!$A$8:$F$12,4,FALSE),8))/2)</f>
        <v/>
      </c>
      <c r="AB59" s="24">
        <f>U59*Z59/(1+Assumptions!$B$3)^AA59</f>
        <v/>
      </c>
      <c r="AC59" s="27">
        <f>IF(U59=0,"",ROUND(AB59/U59*100,1))</f>
        <v/>
      </c>
      <c r="AD59" s="29">
        <f>AB59*Assumptions!$B$4</f>
        <v/>
      </c>
      <c r="AE59" s="27">
        <f>IF(U59=0,"",ROUND(AD59/U59*100,1))</f>
        <v/>
      </c>
      <c r="AF59" s="29">
        <f>AB59-AD59</f>
        <v/>
      </c>
      <c r="AG59" s="27">
        <f>IF(U59=0,"",ROUND((AB59-AD59)/U59*100,1))</f>
        <v/>
      </c>
      <c r="AH59" s="30" t="inlineStr">
        <is>
          <t>OK — totals reconciled</t>
        </is>
      </c>
      <c r="AI59" s="31" t="inlineStr">
        <is>
          <t>https://lrflideres.com.br/wp-content/plugins/download-attachments/includes/download.php?id=6879</t>
        </is>
      </c>
      <c r="AJ59" s="30" t="inlineStr">
        <is>
          <t>p2 r13</t>
        </is>
      </c>
      <c r="AK59" s="30" t="inlineStr">
        <is>
          <t>p2: R$ 3.014.807,20</t>
        </is>
      </c>
      <c r="AL59" s="30" t="inlineStr">
        <is>
          <t>AJ list (art. 7 §2)</t>
        </is>
      </c>
      <c r="AM59" s="30" t="inlineStr">
        <is>
          <t>2026-01-15</t>
        </is>
      </c>
      <c r="AN59" s="30" t="inlineStr">
        <is>
          <t>NONE FOUND</t>
        </is>
      </c>
      <c r="AO59" s="32" t="inlineStr">
        <is>
          <t>0804401-51.2025.8.14.0039</t>
        </is>
      </c>
      <c r="AP59" s="32" t="inlineStr">
        <is>
          <t>TJPA</t>
        </is>
      </c>
      <c r="AQ59" s="32" t="inlineStr">
        <is>
          <t>Recuperação judicial</t>
        </is>
      </c>
      <c r="AR59" s="32" t="inlineStr">
        <is>
          <t>DataJud: no closure/falência movement</t>
        </is>
      </c>
      <c r="AS59" s="32" t="n">
        <v>2025</v>
      </c>
      <c r="AT59" s="32" t="inlineStr">
        <is>
          <t>live case, no plan document yet</t>
        </is>
      </c>
      <c r="AU59" s="32" t="inlineStr"/>
      <c r="AV59" s="32" t="inlineStr">
        <is>
          <t>printed on the list (read twice)</t>
        </is>
      </c>
      <c r="AW59" s="32" t="inlineStr"/>
      <c r="AX59" s="32" t="inlineStr">
        <is>
          <t>BRASILIA</t>
        </is>
      </c>
      <c r="AY59" s="32" t="inlineStr">
        <is>
          <t>DF</t>
        </is>
      </c>
      <c r="AZ59" s="32" t="inlineStr">
        <is>
          <t>Comércio atacadista de defensivos agrícolas, adubos, fertilizantes e corretivos do solo</t>
        </is>
      </c>
      <c r="BA59" s="32" t="inlineStr">
        <is>
          <t>não ME/EPP</t>
        </is>
      </c>
      <c r="BB59" s="33" t="n">
        <v>700000</v>
      </c>
      <c r="BC59" s="32" t="inlineStr">
        <is>
          <t>MID-MARKET</t>
        </is>
      </c>
      <c r="BD59" s="32" t="inlineStr">
        <is>
          <t>05429994</t>
        </is>
      </c>
      <c r="BE59" s="32" t="n">
        <v>1</v>
      </c>
      <c r="BF59" s="32" t="inlineStr"/>
    </row>
    <row r="60">
      <c r="A60" s="17" t="inlineStr">
        <is>
          <t>IRANY COMERCIO EXTERIOR LTDA</t>
        </is>
      </c>
      <c r="B60" s="18" t="n">
        <v>2916553.74</v>
      </c>
      <c r="C60" s="19" t="inlineStr">
        <is>
          <t>B1 COMÉRCIO DE MANUFATURADOS LTDA</t>
        </is>
      </c>
      <c r="D60" s="20" t="inlineStr">
        <is>
          <t>NEW</t>
        </is>
      </c>
      <c r="E60" s="21" t="inlineStr"/>
      <c r="F60" s="20" t="inlineStr"/>
      <c r="G60" s="21" t="inlineStr"/>
      <c r="H60" s="20" t="inlineStr"/>
      <c r="I60" s="22" t="inlineStr">
        <is>
          <t>IRANY GASPAR PACHECO DOS SANTOS</t>
        </is>
      </c>
      <c r="J60" s="23" t="inlineStr">
        <is>
          <t>Sócio-Administrador (RFB partner)</t>
        </is>
      </c>
      <c r="K60" s="22" t="inlineStr">
        <is>
          <t>(42) 9871-7035</t>
        </is>
      </c>
      <c r="L60" s="22" t="inlineStr"/>
      <c r="M60" s="22" t="inlineStr"/>
      <c r="N60" s="22" t="inlineStr"/>
      <c r="O60" s="22" t="inlineStr"/>
      <c r="P60" s="22" t="inlineStr"/>
      <c r="Q60" s="22" t="inlineStr"/>
      <c r="R60" s="22" t="inlineStr"/>
      <c r="S60" s="22" t="inlineStr"/>
      <c r="T60" s="22" t="inlineStr">
        <is>
          <t>DM = registered partner (RFB QSA); no Apollo match</t>
        </is>
      </c>
      <c r="U60" s="24" t="n">
        <v>2916553.74</v>
      </c>
      <c r="V60" s="25" t="inlineStr">
        <is>
          <t>B</t>
        </is>
      </c>
      <c r="W60" s="26" t="inlineStr"/>
      <c r="X60" s="27" t="inlineStr"/>
      <c r="Y60" s="27" t="inlineStr"/>
      <c r="Z60" s="26">
        <f>IF(W60&lt;&gt;"",W60,IFERROR(VLOOKUP(V60,Assumptions!$A$8:$F$12,2,FALSE),0))</f>
        <v/>
      </c>
      <c r="AA60" s="28">
        <f>IF(V60="A",MAX(1,IF(X60&lt;&gt;"",X60,IFERROR(VLOOKUP(V60,Assumptions!$A$8:$F$12,3,FALSE),3))+IF(Y60&lt;&gt;"",Y60,IFERROR(VLOOKUP(V60,Assumptions!$A$8:$F$12,4,FALSE),8))/2-MAX(0,IF(AS60="",0,YEAR(TODAY())-AS60)-IFERROR(VLOOKUP(V60,Assumptions!$A$8:$F$12,5,FALSE),1.5))),IFERROR(VLOOKUP(V60,Assumptions!$A$8:$F$12,5,FALSE),2.5)+IF(X60&lt;&gt;"",X60,IFERROR(VLOOKUP(V60,Assumptions!$A$8:$F$12,3,FALSE),3))+IF(Y60&lt;&gt;"",Y60,IFERROR(VLOOKUP(V60,Assumptions!$A$8:$F$12,4,FALSE),8))/2)</f>
        <v/>
      </c>
      <c r="AB60" s="24">
        <f>U60*Z60/(1+Assumptions!$B$3)^AA60</f>
        <v/>
      </c>
      <c r="AC60" s="27">
        <f>IF(U60=0,"",ROUND(AB60/U60*100,1))</f>
        <v/>
      </c>
      <c r="AD60" s="29">
        <f>AB60*Assumptions!$B$4</f>
        <v/>
      </c>
      <c r="AE60" s="27">
        <f>IF(U60=0,"",ROUND(AD60/U60*100,1))</f>
        <v/>
      </c>
      <c r="AF60" s="29">
        <f>AB60-AD60</f>
        <v/>
      </c>
      <c r="AG60" s="27">
        <f>IF(U60=0,"",ROUND((AB60-AD60)/U60*100,1))</f>
        <v/>
      </c>
      <c r="AH60" s="34" t="inlineStr">
        <is>
          <t>NO TOTALS — list prints none; check page</t>
        </is>
      </c>
      <c r="AI60" s="31" t="inlineStr">
        <is>
          <t>https://marquesadmjudicial.com.br/sgc/download.php?file=files/processo_documento/processo_documento18581929042026_1_.pdf&amp;nome=3º Edital - Relação de Credores e PRJ</t>
        </is>
      </c>
      <c r="AJ60" s="30" t="inlineStr">
        <is>
          <t>p1 r46</t>
        </is>
      </c>
      <c r="AK60" s="30" t="inlineStr">
        <is>
          <t>p1: R$ 2.916.553,74</t>
        </is>
      </c>
      <c r="AL60" s="30" t="inlineStr">
        <is>
          <t>AJ list (art. 7 §2)</t>
        </is>
      </c>
      <c r="AM60" s="30" t="inlineStr">
        <is>
          <t>2025-09-12</t>
        </is>
      </c>
      <c r="AN60" s="30" t="inlineStr">
        <is>
          <t>NONE FOUND</t>
        </is>
      </c>
      <c r="AO60" s="32" t="inlineStr">
        <is>
          <t>0043030-30.2025.8.16.0021</t>
        </is>
      </c>
      <c r="AP60" s="32" t="inlineStr">
        <is>
          <t>TJPR</t>
        </is>
      </c>
      <c r="AQ60" s="32" t="inlineStr">
        <is>
          <t>Recuperação judicial</t>
        </is>
      </c>
      <c r="AR60" s="32" t="inlineStr">
        <is>
          <t>DataJud: no closure/falência movement</t>
        </is>
      </c>
      <c r="AS60" s="32" t="n">
        <v>2025</v>
      </c>
      <c r="AT60" s="32" t="inlineStr">
        <is>
          <t>live case, no plan document yet</t>
        </is>
      </c>
      <c r="AU60" s="32" t="inlineStr">
        <is>
          <t>29.448.809/0001-62</t>
        </is>
      </c>
      <c r="AV60" s="32" t="inlineStr">
        <is>
          <t>printed on the list (read twice)</t>
        </is>
      </c>
      <c r="AW60" s="32" t="inlineStr"/>
      <c r="AX60" s="32" t="inlineStr">
        <is>
          <t>ITAPOA</t>
        </is>
      </c>
      <c r="AY60" s="32" t="inlineStr">
        <is>
          <t>SC</t>
        </is>
      </c>
      <c r="AZ60" s="32" t="inlineStr">
        <is>
          <t>Comércio atacadista de cereais e leguminosas beneficiados</t>
        </is>
      </c>
      <c r="BA60" s="32" t="inlineStr">
        <is>
          <t>não ME/EPP</t>
        </is>
      </c>
      <c r="BB60" s="33" t="n">
        <v>400000</v>
      </c>
      <c r="BC60" s="32" t="inlineStr">
        <is>
          <t>MID-MARKET</t>
        </is>
      </c>
      <c r="BD60" s="32" t="inlineStr">
        <is>
          <t>47320705</t>
        </is>
      </c>
      <c r="BE60" s="32" t="n">
        <v>1</v>
      </c>
      <c r="BF60" s="32" t="inlineStr">
        <is>
          <t>list prints no totals</t>
        </is>
      </c>
    </row>
    <row r="61">
      <c r="A61" s="17" t="inlineStr">
        <is>
          <t>NNC NORTE E NORDESTE COMMODITIES LTDA</t>
        </is>
      </c>
      <c r="B61" s="18" t="n">
        <v>2859701.32</v>
      </c>
      <c r="C61" s="19" t="inlineStr">
        <is>
          <t>GRUPO FERRARI (ALEX, ALEXANDRE , ANDRIELLE FERRARI MANTELLI, ARCIR LUIS, ERICA SANTOS ASSIS LIMA, FERNANDO MANTELLI, IDELSI, TALITA LEITE SILVA, AGROPECUARIA FERRARI LTDA E FERRARI ARMAZENS GERAIS)</t>
        </is>
      </c>
      <c r="D61" s="20" t="inlineStr">
        <is>
          <t>NEW</t>
        </is>
      </c>
      <c r="E61" s="21" t="inlineStr"/>
      <c r="F61" s="20" t="inlineStr"/>
      <c r="G61" s="21" t="inlineStr"/>
      <c r="H61" s="20" t="inlineStr"/>
      <c r="I61" s="22" t="inlineStr">
        <is>
          <t>OZILDE LOPES</t>
        </is>
      </c>
      <c r="J61" s="23" t="inlineStr">
        <is>
          <t>Administrador (RFB partner)</t>
        </is>
      </c>
      <c r="K61" s="22" t="inlineStr">
        <is>
          <t>(37) 3271-9801</t>
        </is>
      </c>
      <c r="L61" s="22" t="inlineStr"/>
      <c r="M61" s="22" t="inlineStr"/>
      <c r="N61" s="22" t="inlineStr"/>
      <c r="O61" s="22" t="inlineStr"/>
      <c r="P61" s="22" t="inlineStr"/>
      <c r="Q61" s="22" t="inlineStr"/>
      <c r="R61" s="22" t="inlineStr"/>
      <c r="S61" s="22" t="inlineStr"/>
      <c r="T61" s="22" t="inlineStr">
        <is>
          <t>DM = registered partner (RFB QSA); no Apollo match</t>
        </is>
      </c>
      <c r="U61" s="24" t="n">
        <v>2859701.32</v>
      </c>
      <c r="V61" s="25" t="inlineStr">
        <is>
          <t>B</t>
        </is>
      </c>
      <c r="W61" s="26" t="inlineStr"/>
      <c r="X61" s="27" t="inlineStr"/>
      <c r="Y61" s="27" t="inlineStr"/>
      <c r="Z61" s="26">
        <f>IF(W61&lt;&gt;"",W61,IFERROR(VLOOKUP(V61,Assumptions!$A$8:$F$12,2,FALSE),0))</f>
        <v/>
      </c>
      <c r="AA61" s="28">
        <f>IF(V61="A",MAX(1,IF(X61&lt;&gt;"",X61,IFERROR(VLOOKUP(V61,Assumptions!$A$8:$F$12,3,FALSE),3))+IF(Y61&lt;&gt;"",Y61,IFERROR(VLOOKUP(V61,Assumptions!$A$8:$F$12,4,FALSE),8))/2-MAX(0,IF(AS61="",0,YEAR(TODAY())-AS61)-IFERROR(VLOOKUP(V61,Assumptions!$A$8:$F$12,5,FALSE),1.5))),IFERROR(VLOOKUP(V61,Assumptions!$A$8:$F$12,5,FALSE),2.5)+IF(X61&lt;&gt;"",X61,IFERROR(VLOOKUP(V61,Assumptions!$A$8:$F$12,3,FALSE),3))+IF(Y61&lt;&gt;"",Y61,IFERROR(VLOOKUP(V61,Assumptions!$A$8:$F$12,4,FALSE),8))/2)</f>
        <v/>
      </c>
      <c r="AB61" s="24">
        <f>U61*Z61/(1+Assumptions!$B$3)^AA61</f>
        <v/>
      </c>
      <c r="AC61" s="27">
        <f>IF(U61=0,"",ROUND(AB61/U61*100,1))</f>
        <v/>
      </c>
      <c r="AD61" s="29">
        <f>AB61*Assumptions!$B$4</f>
        <v/>
      </c>
      <c r="AE61" s="27">
        <f>IF(U61=0,"",ROUND(AD61/U61*100,1))</f>
        <v/>
      </c>
      <c r="AF61" s="29">
        <f>AB61-AD61</f>
        <v/>
      </c>
      <c r="AG61" s="27">
        <f>IF(U61=0,"",ROUND((AB61-AD61)/U61*100,1))</f>
        <v/>
      </c>
      <c r="AH61" s="34" t="inlineStr">
        <is>
          <t>NO TOTALS — list prints none; check page</t>
        </is>
      </c>
      <c r="AI61" s="31" t="inlineStr">
        <is>
          <t>https://scalzilliaj.com.br/sgc/download.php?file=files/processo_documento/processo_documento11421222052026_1_.pdf&amp;nome=08. Lista de credores do edital do art. 52, §1º da LREF</t>
        </is>
      </c>
      <c r="AJ61" s="30" t="inlineStr">
        <is>
          <t>p3 r9</t>
        </is>
      </c>
      <c r="AK61" s="30" t="inlineStr">
        <is>
          <t>p3: R$ 2.859.701,32</t>
        </is>
      </c>
      <c r="AL61" s="30" t="inlineStr">
        <is>
          <t>Unclassified list</t>
        </is>
      </c>
      <c r="AM61" s="30" t="inlineStr"/>
      <c r="AN61" s="30" t="inlineStr">
        <is>
          <t>NONE FOUND</t>
        </is>
      </c>
      <c r="AO61" s="32" t="inlineStr">
        <is>
          <t>5011369-81.2026.8.09.0093</t>
        </is>
      </c>
      <c r="AP61" s="32" t="inlineStr">
        <is>
          <t>TJGO</t>
        </is>
      </c>
      <c r="AQ61" s="32" t="inlineStr"/>
      <c r="AR61" s="32" t="inlineStr">
        <is>
          <t>DataJud: no closure/falência movement</t>
        </is>
      </c>
      <c r="AS61" s="32" t="n">
        <v>2026</v>
      </c>
      <c r="AT61" s="32" t="inlineStr">
        <is>
          <t>live case, no plan document yet; case no. from the portal record, not printed on the list</t>
        </is>
      </c>
      <c r="AU61" s="32" t="inlineStr"/>
      <c r="AV61" s="32" t="inlineStr">
        <is>
          <t>portal page title / URL — not printed on the list</t>
        </is>
      </c>
      <c r="AW61" s="32" t="inlineStr"/>
      <c r="AX61" s="32" t="inlineStr">
        <is>
          <t>BALSAS</t>
        </is>
      </c>
      <c r="AY61" s="32" t="inlineStr">
        <is>
          <t>MA</t>
        </is>
      </c>
      <c r="AZ61" s="32" t="inlineStr">
        <is>
          <t>Comércio atacadista de cereais e leguminosas beneficiados</t>
        </is>
      </c>
      <c r="BA61" s="32" t="inlineStr">
        <is>
          <t>não ME/EPP</t>
        </is>
      </c>
      <c r="BB61" s="33" t="n">
        <v>100000</v>
      </c>
      <c r="BC61" s="32" t="inlineStr">
        <is>
          <t>MID-MARKET</t>
        </is>
      </c>
      <c r="BD61" s="32" t="inlineStr">
        <is>
          <t>40910399</t>
        </is>
      </c>
      <c r="BE61" s="32" t="n">
        <v>1</v>
      </c>
      <c r="BF61" s="32" t="inlineStr">
        <is>
          <t>list prints no totals</t>
        </is>
      </c>
    </row>
    <row r="62">
      <c r="A62" s="17" t="inlineStr">
        <is>
          <t>SPORT CLUB CORINTHIANS PAULISTA</t>
        </is>
      </c>
      <c r="B62" s="18" t="n">
        <v>2823611.8</v>
      </c>
      <c r="C62" s="19" t="inlineStr">
        <is>
          <t>CLUBE NÁUTICO CAPIBARIBE</t>
        </is>
      </c>
      <c r="D62" s="20" t="inlineStr">
        <is>
          <t>NEW</t>
        </is>
      </c>
      <c r="E62" s="21" t="inlineStr"/>
      <c r="F62" s="20" t="inlineStr"/>
      <c r="G62" s="21" t="inlineStr"/>
      <c r="H62" s="20" t="inlineStr"/>
      <c r="I62" s="22" t="inlineStr">
        <is>
          <t>Joana Saragoca</t>
        </is>
      </c>
      <c r="J62" s="22" t="inlineStr">
        <is>
          <t>Gerente Sênior Financeiro e Administrativo</t>
        </is>
      </c>
      <c r="K62" s="22" t="inlineStr"/>
      <c r="L62" s="22" t="inlineStr"/>
      <c r="M62" s="22" t="inlineStr"/>
      <c r="N62" s="22" t="inlineStr">
        <is>
          <t>joana.saragoca@sccorinthians.com.br</t>
        </is>
      </c>
      <c r="O62" s="22" t="inlineStr">
        <is>
          <t>verified</t>
        </is>
      </c>
      <c r="P62" s="22" t="inlineStr">
        <is>
          <t>OSMAR STABILE</t>
        </is>
      </c>
      <c r="Q62" s="22" t="inlineStr">
        <is>
          <t>Presidente (RFB partner)</t>
        </is>
      </c>
      <c r="R62" s="22" t="inlineStr"/>
      <c r="S62" s="22" t="inlineStr"/>
      <c r="T62" s="22" t="inlineStr">
        <is>
          <t>DM: has_email, phone Yes</t>
        </is>
      </c>
      <c r="U62" s="24" t="n">
        <v>2823611.8</v>
      </c>
      <c r="V62" s="25" t="inlineStr">
        <is>
          <t>B</t>
        </is>
      </c>
      <c r="W62" s="26" t="inlineStr"/>
      <c r="X62" s="27" t="inlineStr"/>
      <c r="Y62" s="27" t="inlineStr"/>
      <c r="Z62" s="26">
        <f>IF(W62&lt;&gt;"",W62,IFERROR(VLOOKUP(V62,Assumptions!$A$8:$F$12,2,FALSE),0))</f>
        <v/>
      </c>
      <c r="AA62" s="28">
        <f>IF(V62="A",MAX(1,IF(X62&lt;&gt;"",X62,IFERROR(VLOOKUP(V62,Assumptions!$A$8:$F$12,3,FALSE),3))+IF(Y62&lt;&gt;"",Y62,IFERROR(VLOOKUP(V62,Assumptions!$A$8:$F$12,4,FALSE),8))/2-MAX(0,IF(AS62="",0,YEAR(TODAY())-AS62)-IFERROR(VLOOKUP(V62,Assumptions!$A$8:$F$12,5,FALSE),1.5))),IFERROR(VLOOKUP(V62,Assumptions!$A$8:$F$12,5,FALSE),2.5)+IF(X62&lt;&gt;"",X62,IFERROR(VLOOKUP(V62,Assumptions!$A$8:$F$12,3,FALSE),3))+IF(Y62&lt;&gt;"",Y62,IFERROR(VLOOKUP(V62,Assumptions!$A$8:$F$12,4,FALSE),8))/2)</f>
        <v/>
      </c>
      <c r="AB62" s="24">
        <f>U62*Z62/(1+Assumptions!$B$3)^AA62</f>
        <v/>
      </c>
      <c r="AC62" s="27">
        <f>IF(U62=0,"",ROUND(AB62/U62*100,1))</f>
        <v/>
      </c>
      <c r="AD62" s="29">
        <f>AB62*Assumptions!$B$4</f>
        <v/>
      </c>
      <c r="AE62" s="27">
        <f>IF(U62=0,"",ROUND(AD62/U62*100,1))</f>
        <v/>
      </c>
      <c r="AF62" s="29">
        <f>AB62-AD62</f>
        <v/>
      </c>
      <c r="AG62" s="27">
        <f>IF(U62=0,"",ROUND((AB62-AD62)/U62*100,1))</f>
        <v/>
      </c>
      <c r="AH62" s="35" t="inlineStr">
        <is>
          <t>PARTIAL — class III reconciled, other classes not</t>
        </is>
      </c>
      <c r="AI62" s="31" t="inlineStr">
        <is>
          <t>https://lrflideres.com.br/wp-content/plugins/download-attachments/includes/download.php?id=5589</t>
        </is>
      </c>
      <c r="AJ62" s="30" t="inlineStr">
        <is>
          <t>p12 r44</t>
        </is>
      </c>
      <c r="AK62" s="30" t="inlineStr">
        <is>
          <t>p12: R$ 2.823.611,80</t>
        </is>
      </c>
      <c r="AL62" s="30" t="inlineStr">
        <is>
          <t>AJ list (art. 7 §2)</t>
        </is>
      </c>
      <c r="AM62" s="30" t="inlineStr">
        <is>
          <t>2023-11-27</t>
        </is>
      </c>
      <c r="AN62" s="30" t="inlineStr">
        <is>
          <t>NONE FOUND</t>
        </is>
      </c>
      <c r="AO62" s="32" t="inlineStr">
        <is>
          <t>0011283-80.2023.8.17.2001</t>
        </is>
      </c>
      <c r="AP62" s="32" t="inlineStr">
        <is>
          <t>TJPE</t>
        </is>
      </c>
      <c r="AQ62" s="32" t="inlineStr">
        <is>
          <t>Recuperação judicial</t>
        </is>
      </c>
      <c r="AR62" s="32" t="inlineStr">
        <is>
          <t>DataJud: no closure/falência movement</t>
        </is>
      </c>
      <c r="AS62" s="32" t="n">
        <v>2023</v>
      </c>
      <c r="AT62" s="32" t="inlineStr">
        <is>
          <t>live case, no plan document yet; atypical debtor (associação/clube/hospital/produtor rural): admissibility or claim subjection may be contested</t>
        </is>
      </c>
      <c r="AU62" s="32" t="inlineStr">
        <is>
          <t>08.145.021/0001-07</t>
        </is>
      </c>
      <c r="AV62" s="32" t="inlineStr">
        <is>
          <t>printed on the list (read twice)</t>
        </is>
      </c>
      <c r="AW62" s="32" t="inlineStr"/>
      <c r="AX62" s="32" t="inlineStr">
        <is>
          <t>SAO PAULO</t>
        </is>
      </c>
      <c r="AY62" s="32" t="inlineStr">
        <is>
          <t>SP</t>
        </is>
      </c>
      <c r="AZ62" s="32" t="inlineStr">
        <is>
          <t>Clubes sociais, esportivos e similares</t>
        </is>
      </c>
      <c r="BA62" s="32" t="inlineStr">
        <is>
          <t>não ME/EPP</t>
        </is>
      </c>
      <c r="BB62" s="33" t="inlineStr"/>
      <c r="BC62" s="32" t="inlineStr">
        <is>
          <t>UNKNOWN</t>
        </is>
      </c>
      <c r="BD62" s="32" t="inlineStr">
        <is>
          <t>61902722</t>
        </is>
      </c>
      <c r="BE62" s="32" t="n">
        <v>1</v>
      </c>
      <c r="BF62" s="32" t="inlineStr">
        <is>
          <t>class III reconciled (doc partial)</t>
        </is>
      </c>
    </row>
    <row r="63">
      <c r="A63" s="17" t="inlineStr">
        <is>
          <t>CARGILL AGRICOLA S A</t>
        </is>
      </c>
      <c r="B63" s="18" t="n">
        <v>2748939.47</v>
      </c>
      <c r="C63" s="19" t="inlineStr">
        <is>
          <t>Grupo GE (Condomínio Agropecuário GE)</t>
        </is>
      </c>
      <c r="D63" s="20" t="inlineStr">
        <is>
          <t>NEW</t>
        </is>
      </c>
      <c r="E63" s="21" t="inlineStr"/>
      <c r="F63" s="20" t="inlineStr"/>
      <c r="G63" s="21" t="inlineStr"/>
      <c r="H63" s="20" t="inlineStr"/>
      <c r="I63" s="22" t="inlineStr">
        <is>
          <t>PAULO HUMBERTO ALVES DE SOUSA</t>
        </is>
      </c>
      <c r="J63" s="23" t="inlineStr">
        <is>
          <t>Presidente (RFB partner)</t>
        </is>
      </c>
      <c r="K63" s="22" t="inlineStr">
        <is>
          <t>(11) 5099-3311</t>
        </is>
      </c>
      <c r="L63" s="22" t="inlineStr"/>
      <c r="M63" s="22" t="inlineStr"/>
      <c r="N63" s="22" t="inlineStr"/>
      <c r="O63" s="22" t="inlineStr"/>
      <c r="P63" s="22" t="inlineStr">
        <is>
          <t>ANDREA WANDERLEY DOS ANJOS</t>
        </is>
      </c>
      <c r="Q63" s="22" t="inlineStr">
        <is>
          <t>Diretor (RFB partner)</t>
        </is>
      </c>
      <c r="R63" s="22" t="inlineStr"/>
      <c r="S63" s="22" t="inlineStr"/>
      <c r="T63" s="22" t="inlineStr">
        <is>
          <t>DM = registered partner (RFB QSA); no Apollo match</t>
        </is>
      </c>
      <c r="U63" s="24" t="n">
        <v>2748939.47</v>
      </c>
      <c r="V63" s="25" t="inlineStr">
        <is>
          <t>B</t>
        </is>
      </c>
      <c r="W63" s="26" t="inlineStr"/>
      <c r="X63" s="27" t="inlineStr"/>
      <c r="Y63" s="27" t="inlineStr"/>
      <c r="Z63" s="26">
        <f>IF(W63&lt;&gt;"",W63,IFERROR(VLOOKUP(V63,Assumptions!$A$8:$F$12,2,FALSE),0))</f>
        <v/>
      </c>
      <c r="AA63" s="28">
        <f>IF(V63="A",MAX(1,IF(X63&lt;&gt;"",X63,IFERROR(VLOOKUP(V63,Assumptions!$A$8:$F$12,3,FALSE),3))+IF(Y63&lt;&gt;"",Y63,IFERROR(VLOOKUP(V63,Assumptions!$A$8:$F$12,4,FALSE),8))/2-MAX(0,IF(AS63="",0,YEAR(TODAY())-AS63)-IFERROR(VLOOKUP(V63,Assumptions!$A$8:$F$12,5,FALSE),1.5))),IFERROR(VLOOKUP(V63,Assumptions!$A$8:$F$12,5,FALSE),2.5)+IF(X63&lt;&gt;"",X63,IFERROR(VLOOKUP(V63,Assumptions!$A$8:$F$12,3,FALSE),3))+IF(Y63&lt;&gt;"",Y63,IFERROR(VLOOKUP(V63,Assumptions!$A$8:$F$12,4,FALSE),8))/2)</f>
        <v/>
      </c>
      <c r="AB63" s="24">
        <f>U63*Z63/(1+Assumptions!$B$3)^AA63</f>
        <v/>
      </c>
      <c r="AC63" s="27">
        <f>IF(U63=0,"",ROUND(AB63/U63*100,1))</f>
        <v/>
      </c>
      <c r="AD63" s="29">
        <f>AB63*Assumptions!$B$4</f>
        <v/>
      </c>
      <c r="AE63" s="27">
        <f>IF(U63=0,"",ROUND(AD63/U63*100,1))</f>
        <v/>
      </c>
      <c r="AF63" s="29">
        <f>AB63-AD63</f>
        <v/>
      </c>
      <c r="AG63" s="27">
        <f>IF(U63=0,"",ROUND((AB63-AD63)/U63*100,1))</f>
        <v/>
      </c>
      <c r="AH63" s="34" t="inlineStr">
        <is>
          <t>NO TOTALS — list prints none; check page</t>
        </is>
      </c>
      <c r="AI63" s="31" t="inlineStr">
        <is>
          <t>https://stenius.com.br/wp-content/uploads/2026/07/EDITAL-1-RELACAO-DE-CREDORES-GRUPO-GE.pdf</t>
        </is>
      </c>
      <c r="AJ63" s="30" t="inlineStr">
        <is>
          <t>p5 r10; p5 r11; p5 r12; p5 r13; p5 r14; p5 r15; p5 r16; p5 r17</t>
        </is>
      </c>
      <c r="AK63" s="30" t="inlineStr">
        <is>
          <t>[rows shown ≠ face] p5: R$ 518.664,47; p5: R$ 1.308.950,00; p5: R$ 1.308.950,00; p5: R$ 682.325,00; p5: R$ 682.325,00; p5: R$ 239.000,00; p5: R$ 239.000,00; p5: R$ 239.000,00</t>
        </is>
      </c>
      <c r="AL63" s="30" t="inlineStr">
        <is>
          <t>Debtor list (art. 51)</t>
        </is>
      </c>
      <c r="AM63" s="30" t="inlineStr">
        <is>
          <t>2026-07-01</t>
        </is>
      </c>
      <c r="AN63" s="30" t="inlineStr">
        <is>
          <t>NONE FOUND</t>
        </is>
      </c>
      <c r="AO63" s="32" t="inlineStr">
        <is>
          <t>5164979-18.2026.8.09.0110</t>
        </is>
      </c>
      <c r="AP63" s="32" t="inlineStr">
        <is>
          <t>TJGO</t>
        </is>
      </c>
      <c r="AQ63" s="32" t="inlineStr">
        <is>
          <t>Recuperação judicial</t>
        </is>
      </c>
      <c r="AR63" s="32" t="inlineStr">
        <is>
          <t>DataJud: no closure/falência movement</t>
        </is>
      </c>
      <c r="AS63" s="32" t="n">
        <v>2026</v>
      </c>
      <c r="AT63" s="32" t="inlineStr">
        <is>
          <t>live case, no plan document yet</t>
        </is>
      </c>
      <c r="AU63" s="32" t="inlineStr"/>
      <c r="AV63" s="32" t="inlineStr">
        <is>
          <t>printed on the list (read twice)</t>
        </is>
      </c>
      <c r="AW63" s="32" t="inlineStr"/>
      <c r="AX63" s="32" t="inlineStr">
        <is>
          <t>SAO PAULO</t>
        </is>
      </c>
      <c r="AY63" s="32" t="inlineStr">
        <is>
          <t>SP</t>
        </is>
      </c>
      <c r="AZ63" s="32" t="inlineStr">
        <is>
          <t>Fabricação de óleos vegetais refinados, exceto óleo de milho</t>
        </is>
      </c>
      <c r="BA63" s="32" t="inlineStr">
        <is>
          <t>não ME/EPP</t>
        </is>
      </c>
      <c r="BB63" s="33" t="n">
        <v>8179542500</v>
      </c>
      <c r="BC63" s="32" t="inlineStr">
        <is>
          <t>LARGE CORP</t>
        </is>
      </c>
      <c r="BD63" s="32" t="inlineStr">
        <is>
          <t>60498706</t>
        </is>
      </c>
      <c r="BE63" s="32" t="n">
        <v>4</v>
      </c>
      <c r="BF63" s="32" t="inlineStr">
        <is>
          <t>list prints no totals</t>
        </is>
      </c>
    </row>
    <row r="64">
      <c r="A64" s="17" t="inlineStr">
        <is>
          <t>MAXLIFT LOCADORA DE EQUIPAMENTOS LTDA.</t>
        </is>
      </c>
      <c r="B64" s="18" t="n">
        <v>2680302.42</v>
      </c>
      <c r="C64" s="19" t="inlineStr">
        <is>
          <t>GRUPO EGESA (Egesa Engenharia S.A. + 9 group companies; see group members)</t>
        </is>
      </c>
      <c r="D64" s="20" t="inlineStr">
        <is>
          <t>NEW</t>
        </is>
      </c>
      <c r="E64" s="21" t="inlineStr"/>
      <c r="F64" s="20" t="inlineStr"/>
      <c r="G64" s="21" t="inlineStr"/>
      <c r="H64" s="20" t="inlineStr"/>
      <c r="I64" s="22" t="inlineStr">
        <is>
          <t>Vander Bartolomeu</t>
        </is>
      </c>
      <c r="J64" s="22" t="inlineStr">
        <is>
          <t>Operational Manager</t>
        </is>
      </c>
      <c r="K64" s="22" t="inlineStr">
        <is>
          <t>(11) 4191-4480</t>
        </is>
      </c>
      <c r="L64" s="22" t="inlineStr">
        <is>
          <t>(11) 4152-2907</t>
        </is>
      </c>
      <c r="M64" s="22" t="inlineStr"/>
      <c r="N64" s="22" t="inlineStr"/>
      <c r="O64" s="22" t="inlineStr"/>
      <c r="P64" s="22" t="inlineStr">
        <is>
          <t>Marcos Silva</t>
        </is>
      </c>
      <c r="Q64" s="22" t="inlineStr">
        <is>
          <t>Sales Department</t>
        </is>
      </c>
      <c r="R64" s="22" t="inlineStr"/>
      <c r="S64" s="22" t="inlineStr">
        <is>
          <t>marcos@maxlift.com.br</t>
        </is>
      </c>
      <c r="T64" s="22" t="inlineStr">
        <is>
          <t>no work email in Apollo for DM; BACKUP: backup, has_email, phone Yes</t>
        </is>
      </c>
      <c r="U64" s="24" t="n">
        <v>2680302.42</v>
      </c>
      <c r="V64" s="25" t="inlineStr">
        <is>
          <t>B</t>
        </is>
      </c>
      <c r="W64" s="26" t="inlineStr"/>
      <c r="X64" s="27" t="inlineStr"/>
      <c r="Y64" s="27" t="inlineStr"/>
      <c r="Z64" s="26">
        <f>IF(W64&lt;&gt;"",W64,IFERROR(VLOOKUP(V64,Assumptions!$A$8:$F$12,2,FALSE),0))</f>
        <v/>
      </c>
      <c r="AA64" s="28">
        <f>IF(V64="A",MAX(1,IF(X64&lt;&gt;"",X64,IFERROR(VLOOKUP(V64,Assumptions!$A$8:$F$12,3,FALSE),3))+IF(Y64&lt;&gt;"",Y64,IFERROR(VLOOKUP(V64,Assumptions!$A$8:$F$12,4,FALSE),8))/2-MAX(0,IF(AS64="",0,YEAR(TODAY())-AS64)-IFERROR(VLOOKUP(V64,Assumptions!$A$8:$F$12,5,FALSE),1.5))),IFERROR(VLOOKUP(V64,Assumptions!$A$8:$F$12,5,FALSE),2.5)+IF(X64&lt;&gt;"",X64,IFERROR(VLOOKUP(V64,Assumptions!$A$8:$F$12,3,FALSE),3))+IF(Y64&lt;&gt;"",Y64,IFERROR(VLOOKUP(V64,Assumptions!$A$8:$F$12,4,FALSE),8))/2)</f>
        <v/>
      </c>
      <c r="AB64" s="24">
        <f>U64*Z64/(1+Assumptions!$B$3)^AA64</f>
        <v/>
      </c>
      <c r="AC64" s="27">
        <f>IF(U64=0,"",ROUND(AB64/U64*100,1))</f>
        <v/>
      </c>
      <c r="AD64" s="29">
        <f>AB64*Assumptions!$B$4</f>
        <v/>
      </c>
      <c r="AE64" s="27">
        <f>IF(U64=0,"",ROUND(AD64/U64*100,1))</f>
        <v/>
      </c>
      <c r="AF64" s="29">
        <f>AB64-AD64</f>
        <v/>
      </c>
      <c r="AG64" s="27">
        <f>IF(U64=0,"",ROUND((AB64-AD64)/U64*100,1))</f>
        <v/>
      </c>
      <c r="AH64" s="30" t="inlineStr">
        <is>
          <t>OK — totals reconciled</t>
        </is>
      </c>
      <c r="AI64" s="31" t="inlineStr">
        <is>
          <t>https://scalzilliaj.com.br/sgc/download.php?file=files/processo_documento/processo_documento09514021082025_1_.pdf&amp;nome=04 - Relação de credores das Recuperandas</t>
        </is>
      </c>
      <c r="AJ64" s="30" t="inlineStr">
        <is>
          <t>p69 r16</t>
        </is>
      </c>
      <c r="AK64" s="30" t="inlineStr">
        <is>
          <t>p69: R$ 2.680.302,42</t>
        </is>
      </c>
      <c r="AL64" s="30" t="inlineStr">
        <is>
          <t>Debtor list (art. 51)</t>
        </is>
      </c>
      <c r="AM64" s="30" t="inlineStr"/>
      <c r="AN64" s="30" t="inlineStr">
        <is>
          <t>NONE FOUND</t>
        </is>
      </c>
      <c r="AO64" s="32" t="inlineStr">
        <is>
          <t>5088952-81.2025.8.13.0024</t>
        </is>
      </c>
      <c r="AP64" s="32" t="inlineStr">
        <is>
          <t>TJMG</t>
        </is>
      </c>
      <c r="AQ64" s="32" t="inlineStr"/>
      <c r="AR64" s="32" t="inlineStr">
        <is>
          <t>DataJud: no closure/falência movement</t>
        </is>
      </c>
      <c r="AS64" s="32" t="n">
        <v>2025</v>
      </c>
      <c r="AT64" s="32" t="inlineStr">
        <is>
          <t>live case, no plan document yet; case no. from the portal record, not printed on the list</t>
        </is>
      </c>
      <c r="AU64" s="32" t="inlineStr"/>
      <c r="AV64" s="32" t="inlineStr">
        <is>
          <t>portal page title / URL — not printed on the list</t>
        </is>
      </c>
      <c r="AW64" s="32" t="inlineStr"/>
      <c r="AX64" s="32" t="inlineStr">
        <is>
          <t>SAO PAULO</t>
        </is>
      </c>
      <c r="AY64" s="32" t="inlineStr">
        <is>
          <t>SP</t>
        </is>
      </c>
      <c r="AZ64" s="32" t="inlineStr">
        <is>
          <t>Aluguel de outras máquinas e equipamentos comerciais e industriais não especificados anteriormente, sem operador</t>
        </is>
      </c>
      <c r="BA64" s="32" t="inlineStr">
        <is>
          <t>não ME/EPP</t>
        </is>
      </c>
      <c r="BB64" s="33" t="n">
        <v>4350000</v>
      </c>
      <c r="BC64" s="32" t="inlineStr">
        <is>
          <t>MID-MARKET</t>
        </is>
      </c>
      <c r="BD64" s="32" t="inlineStr">
        <is>
          <t>08992890</t>
        </is>
      </c>
      <c r="BE64" s="32" t="n">
        <v>1</v>
      </c>
      <c r="BF64" s="32" t="inlineStr">
        <is>
          <t>case no. corrected by reader case no. from portal record</t>
        </is>
      </c>
    </row>
    <row r="65">
      <c r="A65" s="17" t="inlineStr">
        <is>
          <t>GALVANI ENGENHARIA E PARTICIPACOES LTDA</t>
        </is>
      </c>
      <c r="B65" s="18" t="n">
        <v>2654550.86</v>
      </c>
      <c r="C65" s="19" t="inlineStr">
        <is>
          <t>GRUPO EGESA (Egesa Engenharia S.A. + 9 group companies; see group members)</t>
        </is>
      </c>
      <c r="D65" s="20" t="inlineStr">
        <is>
          <t>NEW</t>
        </is>
      </c>
      <c r="E65" s="21" t="inlineStr"/>
      <c r="F65" s="20" t="inlineStr"/>
      <c r="G65" s="21" t="inlineStr"/>
      <c r="H65" s="20" t="inlineStr"/>
      <c r="I65" s="22" t="inlineStr">
        <is>
          <t>Graciela Anastacio</t>
        </is>
      </c>
      <c r="J65" s="22" t="inlineStr">
        <is>
          <t>Financial Coordinator</t>
        </is>
      </c>
      <c r="K65" s="22" t="inlineStr">
        <is>
          <t>(19) 3844-9900</t>
        </is>
      </c>
      <c r="L65" s="22" t="inlineStr">
        <is>
          <t>(19) 3844-9667</t>
        </is>
      </c>
      <c r="M65" s="22" t="inlineStr"/>
      <c r="N65" s="22" t="inlineStr">
        <is>
          <t>ganastacio@galvaniengenharia.com.br</t>
        </is>
      </c>
      <c r="O65" s="22" t="inlineStr">
        <is>
          <t>verified</t>
        </is>
      </c>
      <c r="P65" s="22" t="inlineStr">
        <is>
          <t>Daiane Silva</t>
        </is>
      </c>
      <c r="Q65" s="22" t="inlineStr">
        <is>
          <t>Analista Financeiro FP &amp; A</t>
        </is>
      </c>
      <c r="R65" s="22" t="inlineStr"/>
      <c r="S65" s="22" t="inlineStr">
        <is>
          <t>dfsilva@galvaniengenharia.com.br</t>
        </is>
      </c>
      <c r="T65" s="22" t="inlineStr">
        <is>
          <t>DM: has_email, phone Yes; BACKUP: backup, has_email, phone Yes</t>
        </is>
      </c>
      <c r="U65" s="24" t="n">
        <v>2654550.86</v>
      </c>
      <c r="V65" s="25" t="inlineStr">
        <is>
          <t>B</t>
        </is>
      </c>
      <c r="W65" s="26" t="inlineStr"/>
      <c r="X65" s="27" t="inlineStr"/>
      <c r="Y65" s="27" t="inlineStr"/>
      <c r="Z65" s="26">
        <f>IF(W65&lt;&gt;"",W65,IFERROR(VLOOKUP(V65,Assumptions!$A$8:$F$12,2,FALSE),0))</f>
        <v/>
      </c>
      <c r="AA65" s="28">
        <f>IF(V65="A",MAX(1,IF(X65&lt;&gt;"",X65,IFERROR(VLOOKUP(V65,Assumptions!$A$8:$F$12,3,FALSE),3))+IF(Y65&lt;&gt;"",Y65,IFERROR(VLOOKUP(V65,Assumptions!$A$8:$F$12,4,FALSE),8))/2-MAX(0,IF(AS65="",0,YEAR(TODAY())-AS65)-IFERROR(VLOOKUP(V65,Assumptions!$A$8:$F$12,5,FALSE),1.5))),IFERROR(VLOOKUP(V65,Assumptions!$A$8:$F$12,5,FALSE),2.5)+IF(X65&lt;&gt;"",X65,IFERROR(VLOOKUP(V65,Assumptions!$A$8:$F$12,3,FALSE),3))+IF(Y65&lt;&gt;"",Y65,IFERROR(VLOOKUP(V65,Assumptions!$A$8:$F$12,4,FALSE),8))/2)</f>
        <v/>
      </c>
      <c r="AB65" s="24">
        <f>U65*Z65/(1+Assumptions!$B$3)^AA65</f>
        <v/>
      </c>
      <c r="AC65" s="27">
        <f>IF(U65=0,"",ROUND(AB65/U65*100,1))</f>
        <v/>
      </c>
      <c r="AD65" s="29">
        <f>AB65*Assumptions!$B$4</f>
        <v/>
      </c>
      <c r="AE65" s="27">
        <f>IF(U65=0,"",ROUND(AD65/U65*100,1))</f>
        <v/>
      </c>
      <c r="AF65" s="29">
        <f>AB65-AD65</f>
        <v/>
      </c>
      <c r="AG65" s="27">
        <f>IF(U65=0,"",ROUND((AB65-AD65)/U65*100,1))</f>
        <v/>
      </c>
      <c r="AH65" s="30" t="inlineStr">
        <is>
          <t>OK — totals reconciled</t>
        </is>
      </c>
      <c r="AI65" s="31" t="inlineStr">
        <is>
          <t>https://scalzilliaj.com.br/sgc/download.php?file=files/processo_documento/processo_documento09514021082025_1_.pdf&amp;nome=04 - Relação de credores das Recuperandas</t>
        </is>
      </c>
      <c r="AJ65" s="30" t="inlineStr">
        <is>
          <t>p67 r2; p67 r3</t>
        </is>
      </c>
      <c r="AK65" s="30" t="inlineStr">
        <is>
          <t>p67: R$ 2.209.334,79; p67: R$ 445.216,07</t>
        </is>
      </c>
      <c r="AL65" s="30" t="inlineStr">
        <is>
          <t>Debtor list (art. 51)</t>
        </is>
      </c>
      <c r="AM65" s="30" t="inlineStr"/>
      <c r="AN65" s="30" t="inlineStr">
        <is>
          <t>NONE FOUND</t>
        </is>
      </c>
      <c r="AO65" s="32" t="inlineStr">
        <is>
          <t>5088952-81.2025.8.13.0024</t>
        </is>
      </c>
      <c r="AP65" s="32" t="inlineStr">
        <is>
          <t>TJMG</t>
        </is>
      </c>
      <c r="AQ65" s="32" t="inlineStr"/>
      <c r="AR65" s="32" t="inlineStr">
        <is>
          <t>DataJud: no closure/falência movement</t>
        </is>
      </c>
      <c r="AS65" s="32" t="n">
        <v>2025</v>
      </c>
      <c r="AT65" s="32" t="inlineStr">
        <is>
          <t>live case, no plan document yet; case no. from the portal record, not printed on the list</t>
        </is>
      </c>
      <c r="AU65" s="32" t="inlineStr"/>
      <c r="AV65" s="32" t="inlineStr">
        <is>
          <t>portal page title / URL — not printed on the list</t>
        </is>
      </c>
      <c r="AW65" s="32" t="inlineStr"/>
      <c r="AX65" s="32" t="inlineStr">
        <is>
          <t>PAULINIA</t>
        </is>
      </c>
      <c r="AY65" s="32" t="inlineStr">
        <is>
          <t>SP</t>
        </is>
      </c>
      <c r="AZ65" s="32" t="inlineStr">
        <is>
          <t>Obras de urbanização - ruas, praças e calçadas</t>
        </is>
      </c>
      <c r="BA65" s="32" t="inlineStr">
        <is>
          <t>não ME/EPP</t>
        </is>
      </c>
      <c r="BB65" s="33" t="n">
        <v>14628607</v>
      </c>
      <c r="BC65" s="32" t="inlineStr">
        <is>
          <t>MID-MARKET</t>
        </is>
      </c>
      <c r="BD65" s="32" t="inlineStr">
        <is>
          <t>09422727</t>
        </is>
      </c>
      <c r="BE65" s="32" t="n">
        <v>2</v>
      </c>
      <c r="BF65" s="32" t="inlineStr">
        <is>
          <t>case no. corrected by reader case no. from portal record</t>
        </is>
      </c>
    </row>
    <row r="66">
      <c r="A66" s="17" t="inlineStr">
        <is>
          <t>IPIRANGA PRODUTOS DE PETROLEO S.A.</t>
        </is>
      </c>
      <c r="B66" s="18" t="n">
        <v>4589364.33</v>
      </c>
      <c r="C66" s="37" t="inlineStr">
        <is>
          <t>(debtor not identified — see proof)</t>
        </is>
      </c>
      <c r="D66" s="20" t="inlineStr">
        <is>
          <t>NEW</t>
        </is>
      </c>
      <c r="E66" s="21" t="inlineStr"/>
      <c r="F66" s="20" t="inlineStr"/>
      <c r="G66" s="21" t="inlineStr"/>
      <c r="H66" s="20" t="inlineStr"/>
      <c r="I66" s="22" t="inlineStr">
        <is>
          <t>CARLOS FREDERICO RESENDE</t>
        </is>
      </c>
      <c r="J66" s="23" t="inlineStr">
        <is>
          <t>Administrador (RFB partner)</t>
        </is>
      </c>
      <c r="K66" s="22" t="inlineStr">
        <is>
          <t>(21) 2574-5858</t>
        </is>
      </c>
      <c r="L66" s="22" t="inlineStr"/>
      <c r="M66" s="22" t="inlineStr"/>
      <c r="N66" s="22" t="inlineStr"/>
      <c r="O66" s="22" t="inlineStr"/>
      <c r="P66" s="22" t="inlineStr">
        <is>
          <t>CRISTIANE SILVA LEITE</t>
        </is>
      </c>
      <c r="Q66" s="22" t="inlineStr">
        <is>
          <t>Diretor (RFB partner)</t>
        </is>
      </c>
      <c r="R66" s="22" t="inlineStr"/>
      <c r="S66" s="22" t="inlineStr"/>
      <c r="T66" s="22" t="inlineStr">
        <is>
          <t>DM = registered partner (RFB QSA); no Apollo match</t>
        </is>
      </c>
      <c r="U66" s="24" t="n">
        <v>4589364.33</v>
      </c>
      <c r="V66" s="38" t="inlineStr">
        <is>
          <t>U</t>
        </is>
      </c>
      <c r="W66" s="26" t="inlineStr"/>
      <c r="X66" s="27" t="inlineStr"/>
      <c r="Y66" s="27" t="inlineStr"/>
      <c r="Z66" s="26">
        <f>IF(W66&lt;&gt;"",W66,IFERROR(VLOOKUP(V66,Assumptions!$A$8:$F$12,2,FALSE),0))</f>
        <v/>
      </c>
      <c r="AA66" s="28">
        <f>IF(V66="A",MAX(1,IF(X66&lt;&gt;"",X66,IFERROR(VLOOKUP(V66,Assumptions!$A$8:$F$12,3,FALSE),3))+IF(Y66&lt;&gt;"",Y66,IFERROR(VLOOKUP(V66,Assumptions!$A$8:$F$12,4,FALSE),8))/2-MAX(0,IF(AS66="",0,YEAR(TODAY())-AS66)-IFERROR(VLOOKUP(V66,Assumptions!$A$8:$F$12,5,FALSE),1.5))),IFERROR(VLOOKUP(V66,Assumptions!$A$8:$F$12,5,FALSE),2.5)+IF(X66&lt;&gt;"",X66,IFERROR(VLOOKUP(V66,Assumptions!$A$8:$F$12,3,FALSE),3))+IF(Y66&lt;&gt;"",Y66,IFERROR(VLOOKUP(V66,Assumptions!$A$8:$F$12,4,FALSE),8))/2)</f>
        <v/>
      </c>
      <c r="AB66" s="24">
        <f>U66*Z66/(1+Assumptions!$B$3)^AA66</f>
        <v/>
      </c>
      <c r="AC66" s="27">
        <f>IF(U66=0,"",ROUND(AB66/U66*100,1))</f>
        <v/>
      </c>
      <c r="AD66" s="29">
        <f>AB66*Assumptions!$B$4</f>
        <v/>
      </c>
      <c r="AE66" s="27">
        <f>IF(U66=0,"",ROUND(AD66/U66*100,1))</f>
        <v/>
      </c>
      <c r="AF66" s="29">
        <f>AB66-AD66</f>
        <v/>
      </c>
      <c r="AG66" s="27">
        <f>IF(U66=0,"",ROUND((AB66-AD66)/U66*100,1))</f>
        <v/>
      </c>
      <c r="AH66" s="30" t="inlineStr">
        <is>
          <t>OK — totals reconciled</t>
        </is>
      </c>
      <c r="AI66" s="31" t="inlineStr">
        <is>
          <t>https://ajruiz.com.br/sites/default/files/public/arquivos-processos/2023-11/4_relacao_de_credores_analitica_art._51_iii_da_lre.pdf</t>
        </is>
      </c>
      <c r="AJ66" s="30" t="inlineStr">
        <is>
          <t>p3 r20</t>
        </is>
      </c>
      <c r="AK66" s="30" t="inlineStr">
        <is>
          <t>p3: R$ 4.589.364,33</t>
        </is>
      </c>
      <c r="AL66" s="30" t="inlineStr">
        <is>
          <t>Unclassified list</t>
        </is>
      </c>
      <c r="AM66" s="30" t="inlineStr"/>
      <c r="AN66" s="30" t="inlineStr">
        <is>
          <t>NONE FOUND</t>
        </is>
      </c>
      <c r="AO66" s="32" t="inlineStr">
        <is>
          <t>(not printed)</t>
        </is>
      </c>
      <c r="AP66" s="32" t="inlineStr"/>
      <c r="AQ66" s="32" t="inlineStr"/>
      <c r="AR66" s="32" t="inlineStr"/>
      <c r="AS66" s="32" t="inlineStr"/>
      <c r="AT66" s="32" t="inlineStr">
        <is>
          <t>RJ case number not identified on the document</t>
        </is>
      </c>
      <c r="AU66" s="32" t="inlineStr"/>
      <c r="AV66" s="32" t="inlineStr">
        <is>
          <t>not identified</t>
        </is>
      </c>
      <c r="AW66" s="32" t="inlineStr"/>
      <c r="AX66" s="32" t="inlineStr">
        <is>
          <t>RIO DE JANEIRO</t>
        </is>
      </c>
      <c r="AY66" s="32" t="inlineStr">
        <is>
          <t>RJ</t>
        </is>
      </c>
      <c r="AZ66" s="32" t="inlineStr">
        <is>
          <t>Comércio atacadista de álcool carburante, biodiesel, gasolina e demais derivados de petróleo, exceto lubrificantes, não realizado por transportador re</t>
        </is>
      </c>
      <c r="BA66" s="32" t="inlineStr">
        <is>
          <t>não ME/EPP</t>
        </is>
      </c>
      <c r="BB66" s="33" t="n">
        <v>4668601300</v>
      </c>
      <c r="BC66" s="32" t="inlineStr">
        <is>
          <t>LARGE CORP</t>
        </is>
      </c>
      <c r="BD66" s="32" t="inlineStr">
        <is>
          <t>33337122</t>
        </is>
      </c>
      <c r="BE66" s="32" t="n">
        <v>1</v>
      </c>
      <c r="BF66" s="32" t="inlineStr">
        <is>
          <t>case no. corrected by reader</t>
        </is>
      </c>
    </row>
    <row r="67">
      <c r="A67" s="17" t="inlineStr">
        <is>
          <t>TRESBOMM COMERCIO E EXPORTACAO DE GRAOS LTDA EM RECUPERACAO JUDICIAL</t>
        </is>
      </c>
      <c r="B67" s="18" t="n">
        <v>2398511.33</v>
      </c>
      <c r="C67" s="19" t="inlineStr">
        <is>
          <t>SUINOCULTURA KUNZLER</t>
        </is>
      </c>
      <c r="D67" s="20" t="inlineStr">
        <is>
          <t>NEW</t>
        </is>
      </c>
      <c r="E67" s="21" t="inlineStr"/>
      <c r="F67" s="20" t="inlineStr"/>
      <c r="G67" s="21" t="inlineStr"/>
      <c r="H67" s="20" t="inlineStr"/>
      <c r="I67" s="22" t="inlineStr">
        <is>
          <t>Rafaela Radtke</t>
        </is>
      </c>
      <c r="J67" s="22" t="inlineStr">
        <is>
          <t>Coordenadora de Controladoria</t>
        </is>
      </c>
      <c r="K67" s="22" t="inlineStr">
        <is>
          <t>(44) 3649-1240</t>
        </is>
      </c>
      <c r="L67" s="22" t="inlineStr"/>
      <c r="M67" s="22" t="inlineStr"/>
      <c r="N67" s="22" t="inlineStr">
        <is>
          <t>rafaela.sereniski@bomm.com.br</t>
        </is>
      </c>
      <c r="O67" s="22" t="inlineStr">
        <is>
          <t>verified</t>
        </is>
      </c>
      <c r="P67" s="22" t="inlineStr">
        <is>
          <t>Leandro Rosa</t>
        </is>
      </c>
      <c r="Q67" s="22" t="inlineStr">
        <is>
          <t>Gerente de Agropecuária</t>
        </is>
      </c>
      <c r="R67" s="22" t="inlineStr"/>
      <c r="S67" s="22" t="inlineStr">
        <is>
          <t>leandro@bomm.com.br</t>
        </is>
      </c>
      <c r="T67" s="22" t="inlineStr">
        <is>
          <t>DM: has_email, phone Yes; BACKUP: backup; backup email is pattern-guessed</t>
        </is>
      </c>
      <c r="U67" s="24" t="n">
        <v>2398511.33</v>
      </c>
      <c r="V67" s="25" t="inlineStr">
        <is>
          <t>B</t>
        </is>
      </c>
      <c r="W67" s="26" t="inlineStr"/>
      <c r="X67" s="27" t="inlineStr"/>
      <c r="Y67" s="27" t="inlineStr"/>
      <c r="Z67" s="26">
        <f>IF(W67&lt;&gt;"",W67,IFERROR(VLOOKUP(V67,Assumptions!$A$8:$F$12,2,FALSE),0))</f>
        <v/>
      </c>
      <c r="AA67" s="28">
        <f>IF(V67="A",MAX(1,IF(X67&lt;&gt;"",X67,IFERROR(VLOOKUP(V67,Assumptions!$A$8:$F$12,3,FALSE),3))+IF(Y67&lt;&gt;"",Y67,IFERROR(VLOOKUP(V67,Assumptions!$A$8:$F$12,4,FALSE),8))/2-MAX(0,IF(AS67="",0,YEAR(TODAY())-AS67)-IFERROR(VLOOKUP(V67,Assumptions!$A$8:$F$12,5,FALSE),1.5))),IFERROR(VLOOKUP(V67,Assumptions!$A$8:$F$12,5,FALSE),2.5)+IF(X67&lt;&gt;"",X67,IFERROR(VLOOKUP(V67,Assumptions!$A$8:$F$12,3,FALSE),3))+IF(Y67&lt;&gt;"",Y67,IFERROR(VLOOKUP(V67,Assumptions!$A$8:$F$12,4,FALSE),8))/2)</f>
        <v/>
      </c>
      <c r="AB67" s="24">
        <f>U67*Z67/(1+Assumptions!$B$3)^AA67</f>
        <v/>
      </c>
      <c r="AC67" s="27">
        <f>IF(U67=0,"",ROUND(AB67/U67*100,1))</f>
        <v/>
      </c>
      <c r="AD67" s="29">
        <f>AB67*Assumptions!$B$4</f>
        <v/>
      </c>
      <c r="AE67" s="27">
        <f>IF(U67=0,"",ROUND(AD67/U67*100,1))</f>
        <v/>
      </c>
      <c r="AF67" s="29">
        <f>AB67-AD67</f>
        <v/>
      </c>
      <c r="AG67" s="27">
        <f>IF(U67=0,"",ROUND((AB67-AD67)/U67*100,1))</f>
        <v/>
      </c>
      <c r="AH67" s="34" t="inlineStr">
        <is>
          <t>NO TOTALS — list prints none; check page</t>
        </is>
      </c>
      <c r="AI67" s="31" t="inlineStr">
        <is>
          <t>https://rlg-aj.com.br/wp-content/uploads/2024/11/07.-Relação-de-credores.pdf</t>
        </is>
      </c>
      <c r="AJ67" s="30" t="inlineStr">
        <is>
          <t>p1 r36</t>
        </is>
      </c>
      <c r="AK67" s="30" t="inlineStr">
        <is>
          <t>p1: R$ 2.398.511,33</t>
        </is>
      </c>
      <c r="AL67" s="30" t="inlineStr">
        <is>
          <t>Unclassified list</t>
        </is>
      </c>
      <c r="AM67" s="30" t="inlineStr"/>
      <c r="AN67" s="30" t="inlineStr">
        <is>
          <t>NONE FOUND</t>
        </is>
      </c>
      <c r="AO67" s="32" t="inlineStr">
        <is>
          <t>5009149-92.2024.8.24.0019</t>
        </is>
      </c>
      <c r="AP67" s="32" t="inlineStr">
        <is>
          <t>TJSC</t>
        </is>
      </c>
      <c r="AQ67" s="32" t="inlineStr">
        <is>
          <t>Recuperação judicial</t>
        </is>
      </c>
      <c r="AR67" s="32" t="inlineStr">
        <is>
          <t>DataJud: no closure/falência movement</t>
        </is>
      </c>
      <c r="AS67" s="32" t="n">
        <v>2024</v>
      </c>
      <c r="AT67" s="32" t="inlineStr">
        <is>
          <t>live case, no plan document yet; case no. from the portal record, not printed on the list</t>
        </is>
      </c>
      <c r="AU67" s="32" t="inlineStr">
        <is>
          <t>55.365.447/0001-56</t>
        </is>
      </c>
      <c r="AV67" s="32" t="inlineStr">
        <is>
          <t>printed on the list (read twice)</t>
        </is>
      </c>
      <c r="AW67" s="32" t="inlineStr"/>
      <c r="AX67" s="32" t="inlineStr">
        <is>
          <t>PALOTINA</t>
        </is>
      </c>
      <c r="AY67" s="32" t="inlineStr">
        <is>
          <t>PR</t>
        </is>
      </c>
      <c r="AZ67" s="32" t="inlineStr">
        <is>
          <t>Comércio atacadista de matérias-primas agrícolas não especificadas anteriormente</t>
        </is>
      </c>
      <c r="BA67" s="32" t="inlineStr">
        <is>
          <t>não ME/EPP</t>
        </is>
      </c>
      <c r="BB67" s="33" t="n">
        <v>300000</v>
      </c>
      <c r="BC67" s="32" t="inlineStr">
        <is>
          <t>MID-MARKET</t>
        </is>
      </c>
      <c r="BD67" s="32" t="inlineStr">
        <is>
          <t>15660513</t>
        </is>
      </c>
      <c r="BE67" s="32" t="n">
        <v>1</v>
      </c>
      <c r="BF67" s="32" t="inlineStr">
        <is>
          <t>list prints no totals</t>
        </is>
      </c>
    </row>
    <row r="68">
      <c r="A68" s="17" t="inlineStr">
        <is>
          <t>ITM LATIN AMERICA INDUSTRIA DE PECAS PARA TRATORES LTDA.</t>
        </is>
      </c>
      <c r="B68" s="18" t="n">
        <v>2360226.69</v>
      </c>
      <c r="C68" s="19" t="inlineStr">
        <is>
          <t>Grupo Rech</t>
        </is>
      </c>
      <c r="D68" s="20" t="inlineStr">
        <is>
          <t>NEW</t>
        </is>
      </c>
      <c r="E68" s="21" t="inlineStr"/>
      <c r="F68" s="20" t="inlineStr"/>
      <c r="G68" s="21" t="inlineStr"/>
      <c r="H68" s="20" t="inlineStr"/>
      <c r="I68" s="22" t="inlineStr">
        <is>
          <t>ANDERSON FLAVIANO DE MIRANDA</t>
        </is>
      </c>
      <c r="J68" s="23" t="inlineStr">
        <is>
          <t>Administrador (RFB partner)</t>
        </is>
      </c>
      <c r="K68" s="22" t="inlineStr">
        <is>
          <t>(11) 4417-7700</t>
        </is>
      </c>
      <c r="L68" s="22" t="inlineStr"/>
      <c r="M68" s="22" t="inlineStr"/>
      <c r="N68" s="22" t="inlineStr"/>
      <c r="O68" s="22" t="inlineStr"/>
      <c r="P68" s="22" t="inlineStr">
        <is>
          <t>Sergio Araujo</t>
        </is>
      </c>
      <c r="Q68" s="22" t="inlineStr">
        <is>
          <t>Business Specialist</t>
        </is>
      </c>
      <c r="R68" s="22" t="inlineStr"/>
      <c r="S68" s="22" t="inlineStr">
        <is>
          <t>saraujo@group-itm.com</t>
        </is>
      </c>
      <c r="T68" s="22" t="inlineStr">
        <is>
          <t>DM = registered partner (RFB QSA); Apollo pick demoted to backup (non-finance role); BACKUP: weak, has_email, phone Yes</t>
        </is>
      </c>
      <c r="U68" s="24" t="n">
        <v>2360226.69</v>
      </c>
      <c r="V68" s="25" t="inlineStr">
        <is>
          <t>B</t>
        </is>
      </c>
      <c r="W68" s="26" t="inlineStr"/>
      <c r="X68" s="27" t="inlineStr"/>
      <c r="Y68" s="27" t="inlineStr"/>
      <c r="Z68" s="26">
        <f>IF(W68&lt;&gt;"",W68,IFERROR(VLOOKUP(V68,Assumptions!$A$8:$F$12,2,FALSE),0))</f>
        <v/>
      </c>
      <c r="AA68" s="28">
        <f>IF(V68="A",MAX(1,IF(X68&lt;&gt;"",X68,IFERROR(VLOOKUP(V68,Assumptions!$A$8:$F$12,3,FALSE),3))+IF(Y68&lt;&gt;"",Y68,IFERROR(VLOOKUP(V68,Assumptions!$A$8:$F$12,4,FALSE),8))/2-MAX(0,IF(AS68="",0,YEAR(TODAY())-AS68)-IFERROR(VLOOKUP(V68,Assumptions!$A$8:$F$12,5,FALSE),1.5))),IFERROR(VLOOKUP(V68,Assumptions!$A$8:$F$12,5,FALSE),2.5)+IF(X68&lt;&gt;"",X68,IFERROR(VLOOKUP(V68,Assumptions!$A$8:$F$12,3,FALSE),3))+IF(Y68&lt;&gt;"",Y68,IFERROR(VLOOKUP(V68,Assumptions!$A$8:$F$12,4,FALSE),8))/2)</f>
        <v/>
      </c>
      <c r="AB68" s="24">
        <f>U68*Z68/(1+Assumptions!$B$3)^AA68</f>
        <v/>
      </c>
      <c r="AC68" s="27">
        <f>IF(U68=0,"",ROUND(AB68/U68*100,1))</f>
        <v/>
      </c>
      <c r="AD68" s="29">
        <f>AB68*Assumptions!$B$4</f>
        <v/>
      </c>
      <c r="AE68" s="27">
        <f>IF(U68=0,"",ROUND(AD68/U68*100,1))</f>
        <v/>
      </c>
      <c r="AF68" s="29">
        <f>AB68-AD68</f>
        <v/>
      </c>
      <c r="AG68" s="27">
        <f>IF(U68=0,"",ROUND((AB68-AD68)/U68*100,1))</f>
        <v/>
      </c>
      <c r="AH68" s="36" t="inlineStr">
        <is>
          <t>CHECK — source is not a statutory creditor list</t>
        </is>
      </c>
      <c r="AI68" s="31" t="inlineStr">
        <is>
          <t>https://credibilita.com.br/wp-content/uploads/2025/09/Relacao-Credores-29.04.2026.pdf</t>
        </is>
      </c>
      <c r="AJ68" s="30" t="inlineStr">
        <is>
          <t>p1 r29</t>
        </is>
      </c>
      <c r="AK68" s="30" t="inlineStr">
        <is>
          <t>p1: R$ 2.360.226,69</t>
        </is>
      </c>
      <c r="AL68" s="30" t="inlineStr">
        <is>
          <t>Quorum list — NOT an art. 7/51 list</t>
        </is>
      </c>
      <c r="AM68" s="30" t="inlineStr"/>
      <c r="AN68" s="30" t="inlineStr">
        <is>
          <t>NONE FOUND</t>
        </is>
      </c>
      <c r="AO68" s="32" t="inlineStr">
        <is>
          <t>5057720-48.2025.8.24.0023</t>
        </is>
      </c>
      <c r="AP68" s="32" t="inlineStr">
        <is>
          <t>TJSC</t>
        </is>
      </c>
      <c r="AQ68" s="32" t="inlineStr"/>
      <c r="AR68" s="32" t="inlineStr">
        <is>
          <t>not in DataJud</t>
        </is>
      </c>
      <c r="AS68" s="32" t="n">
        <v>2025</v>
      </c>
      <c r="AT68" s="32" t="inlineStr">
        <is>
          <t>live case, no plan document yet; case no. from the portal record, not printed on the list</t>
        </is>
      </c>
      <c r="AU68" s="32" t="inlineStr"/>
      <c r="AV68" s="32" t="inlineStr">
        <is>
          <t>portal page title / URL — not printed on the list</t>
        </is>
      </c>
      <c r="AW68" s="32" t="inlineStr"/>
      <c r="AX68" s="32" t="inlineStr">
        <is>
          <t>ATIBAIA</t>
        </is>
      </c>
      <c r="AY68" s="32" t="inlineStr">
        <is>
          <t>SP</t>
        </is>
      </c>
      <c r="AZ68" s="32" t="inlineStr">
        <is>
          <t>Fabricação de outras peças e acessórios para veículos automotores não especificadas anteriormente</t>
        </is>
      </c>
      <c r="BA68" s="32" t="inlineStr">
        <is>
          <t>não ME/EPP</t>
        </is>
      </c>
      <c r="BB68" s="33" t="n">
        <v>97880280</v>
      </c>
      <c r="BC68" s="32" t="inlineStr">
        <is>
          <t>MID-MARKET</t>
        </is>
      </c>
      <c r="BD68" s="32" t="inlineStr">
        <is>
          <t>61352050</t>
        </is>
      </c>
      <c r="BE68" s="32" t="n">
        <v>1</v>
      </c>
      <c r="BF68" s="32" t="inlineStr">
        <is>
          <t>list prints no totals case no. corrected by reader</t>
        </is>
      </c>
    </row>
    <row r="69">
      <c r="A69" s="17" t="inlineStr">
        <is>
          <t>BIOTRONIK COMERCIAL MEDICA LTDA.</t>
        </is>
      </c>
      <c r="B69" s="18" t="n">
        <v>2311648.44</v>
      </c>
      <c r="C69" s="19" t="inlineStr">
        <is>
          <t>ASSOCIAÇÃO DE CARIDADE SANTA CASA DO RIO GRANDE</t>
        </is>
      </c>
      <c r="D69" s="20" t="inlineStr">
        <is>
          <t>NEW</t>
        </is>
      </c>
      <c r="E69" s="21" t="inlineStr"/>
      <c r="F69" s="20" t="inlineStr"/>
      <c r="G69" s="21" t="inlineStr"/>
      <c r="H69" s="20" t="inlineStr"/>
      <c r="I69" s="22" t="inlineStr">
        <is>
          <t>CARLOS EDUARDO CAUTERUCCI FIGUEIREDO</t>
        </is>
      </c>
      <c r="J69" s="23" t="inlineStr">
        <is>
          <t>Administrador (RFB partner)</t>
        </is>
      </c>
      <c r="K69" s="22" t="inlineStr">
        <is>
          <t>(11) 5694-7755</t>
        </is>
      </c>
      <c r="L69" s="22" t="inlineStr"/>
      <c r="M69" s="22" t="inlineStr"/>
      <c r="N69" s="22" t="inlineStr"/>
      <c r="O69" s="22" t="inlineStr"/>
      <c r="P69" s="22" t="inlineStr"/>
      <c r="Q69" s="22" t="inlineStr"/>
      <c r="R69" s="22" t="inlineStr"/>
      <c r="S69" s="22" t="inlineStr"/>
      <c r="T69" s="22" t="inlineStr">
        <is>
          <t>DM = registered partner (RFB QSA); no Apollo match</t>
        </is>
      </c>
      <c r="U69" s="24" t="n">
        <v>2311648.44</v>
      </c>
      <c r="V69" s="25" t="inlineStr">
        <is>
          <t>B</t>
        </is>
      </c>
      <c r="W69" s="26" t="inlineStr"/>
      <c r="X69" s="27" t="inlineStr"/>
      <c r="Y69" s="27" t="inlineStr"/>
      <c r="Z69" s="26">
        <f>IF(W69&lt;&gt;"",W69,IFERROR(VLOOKUP(V69,Assumptions!$A$8:$F$12,2,FALSE),0))</f>
        <v/>
      </c>
      <c r="AA69" s="28">
        <f>IF(V69="A",MAX(1,IF(X69&lt;&gt;"",X69,IFERROR(VLOOKUP(V69,Assumptions!$A$8:$F$12,3,FALSE),3))+IF(Y69&lt;&gt;"",Y69,IFERROR(VLOOKUP(V69,Assumptions!$A$8:$F$12,4,FALSE),8))/2-MAX(0,IF(AS69="",0,YEAR(TODAY())-AS69)-IFERROR(VLOOKUP(V69,Assumptions!$A$8:$F$12,5,FALSE),1.5))),IFERROR(VLOOKUP(V69,Assumptions!$A$8:$F$12,5,FALSE),2.5)+IF(X69&lt;&gt;"",X69,IFERROR(VLOOKUP(V69,Assumptions!$A$8:$F$12,3,FALSE),3))+IF(Y69&lt;&gt;"",Y69,IFERROR(VLOOKUP(V69,Assumptions!$A$8:$F$12,4,FALSE),8))/2)</f>
        <v/>
      </c>
      <c r="AB69" s="24">
        <f>U69*Z69/(1+Assumptions!$B$3)^AA69</f>
        <v/>
      </c>
      <c r="AC69" s="27">
        <f>IF(U69=0,"",ROUND(AB69/U69*100,1))</f>
        <v/>
      </c>
      <c r="AD69" s="29">
        <f>AB69*Assumptions!$B$4</f>
        <v/>
      </c>
      <c r="AE69" s="27">
        <f>IF(U69=0,"",ROUND(AD69/U69*100,1))</f>
        <v/>
      </c>
      <c r="AF69" s="29">
        <f>AB69-AD69</f>
        <v/>
      </c>
      <c r="AG69" s="27">
        <f>IF(U69=0,"",ROUND((AB69-AD69)/U69*100,1))</f>
        <v/>
      </c>
      <c r="AH69" s="34" t="inlineStr">
        <is>
          <t>NO TOTALS — list prints none; check page</t>
        </is>
      </c>
      <c r="AI69" s="31" t="inlineStr">
        <is>
          <t>https://scalzilliaj.com.br/sgc/download.php?file=files/processo_documento/processo_documento09120721032023_1_.pdf&amp;nome=15 - Edital do art. 7º, §2º e 53 da Lei 11.101/2005 (segunda lista de credores e recebimento do plano))</t>
        </is>
      </c>
      <c r="AJ69" s="30" t="inlineStr">
        <is>
          <t>p26 r10</t>
        </is>
      </c>
      <c r="AK69" s="30" t="inlineStr">
        <is>
          <t>p26: R$ 2.311.648,44</t>
        </is>
      </c>
      <c r="AL69" s="30" t="inlineStr">
        <is>
          <t>AJ list (art. 7 §2)</t>
        </is>
      </c>
      <c r="AM69" s="30" t="inlineStr">
        <is>
          <t>2023-03-21</t>
        </is>
      </c>
      <c r="AN69" s="30" t="inlineStr">
        <is>
          <t>NONE FOUND</t>
        </is>
      </c>
      <c r="AO69" s="32" t="inlineStr">
        <is>
          <t>5012306-16.2022.8.21.0023</t>
        </is>
      </c>
      <c r="AP69" s="32" t="inlineStr">
        <is>
          <t>TJRS</t>
        </is>
      </c>
      <c r="AQ69" s="32" t="inlineStr">
        <is>
          <t>Recuperação judicial</t>
        </is>
      </c>
      <c r="AR69" s="32" t="inlineStr">
        <is>
          <t>DataJud: no closure/falência movement</t>
        </is>
      </c>
      <c r="AS69" s="32" t="n">
        <v>2022</v>
      </c>
      <c r="AT69" s="32" t="inlineStr">
        <is>
          <t>live case, no plan document yet; atypical debtor (associação/clube/hospital/produtor rural): admissibility or claim subjection may be contested</t>
        </is>
      </c>
      <c r="AU69" s="32" t="inlineStr"/>
      <c r="AV69" s="32" t="inlineStr">
        <is>
          <t>printed on the list (read twice)</t>
        </is>
      </c>
      <c r="AW69" s="32" t="inlineStr"/>
      <c r="AX69" s="32" t="inlineStr">
        <is>
          <t>SAO PAULO</t>
        </is>
      </c>
      <c r="AY69" s="32" t="inlineStr">
        <is>
          <t>SP</t>
        </is>
      </c>
      <c r="AZ69" s="32" t="inlineStr">
        <is>
          <t>Comércio atacadista de instrumentos e materiais para uso médico, cirúrgico, hospitalar e de laboratórios</t>
        </is>
      </c>
      <c r="BA69" s="32" t="inlineStr">
        <is>
          <t>não ME/EPP</t>
        </is>
      </c>
      <c r="BB69" s="33" t="n">
        <v>182925800</v>
      </c>
      <c r="BC69" s="32" t="inlineStr">
        <is>
          <t>MID-MARKET</t>
        </is>
      </c>
      <c r="BD69" s="32" t="inlineStr">
        <is>
          <t>50595271</t>
        </is>
      </c>
      <c r="BE69" s="32" t="n">
        <v>1</v>
      </c>
      <c r="BF69" s="32" t="inlineStr">
        <is>
          <t>list prints no totals</t>
        </is>
      </c>
    </row>
    <row r="70">
      <c r="A70" s="17" t="inlineStr">
        <is>
          <t>G &amp; F ASSESSORIA CONSULTORIA EMPREENDIMENTOS E PARTICIPACOES LTDA</t>
        </is>
      </c>
      <c r="B70" s="18" t="n">
        <v>2204283.12</v>
      </c>
      <c r="C70" s="19" t="inlineStr">
        <is>
          <t>GRUPO MARINGÁ PARK</t>
        </is>
      </c>
      <c r="D70" s="20" t="inlineStr">
        <is>
          <t>NEW</t>
        </is>
      </c>
      <c r="E70" s="21" t="inlineStr"/>
      <c r="F70" s="20" t="inlineStr"/>
      <c r="G70" s="21" t="inlineStr"/>
      <c r="H70" s="20" t="inlineStr"/>
      <c r="I70" s="22" t="inlineStr">
        <is>
          <t>MARCILIO GUILHERME AVILA</t>
        </is>
      </c>
      <c r="J70" s="23" t="inlineStr">
        <is>
          <t>Sócio-Administrador (RFB partner)</t>
        </is>
      </c>
      <c r="K70" s="22" t="inlineStr">
        <is>
          <t>(48) 9188-2618</t>
        </is>
      </c>
      <c r="L70" s="22" t="inlineStr"/>
      <c r="M70" s="22" t="inlineStr"/>
      <c r="N70" s="22" t="inlineStr"/>
      <c r="O70" s="22" t="inlineStr"/>
      <c r="P70" s="22" t="inlineStr"/>
      <c r="Q70" s="22" t="inlineStr"/>
      <c r="R70" s="22" t="inlineStr"/>
      <c r="S70" s="22" t="inlineStr"/>
      <c r="T70" s="22" t="inlineStr">
        <is>
          <t>DM = registered partner (RFB QSA); no Apollo match</t>
        </is>
      </c>
      <c r="U70" s="24" t="n">
        <v>2204283.12</v>
      </c>
      <c r="V70" s="25" t="inlineStr">
        <is>
          <t>B</t>
        </is>
      </c>
      <c r="W70" s="26" t="inlineStr"/>
      <c r="X70" s="27" t="inlineStr"/>
      <c r="Y70" s="27" t="inlineStr"/>
      <c r="Z70" s="26">
        <f>IF(W70&lt;&gt;"",W70,IFERROR(VLOOKUP(V70,Assumptions!$A$8:$F$12,2,FALSE),0))</f>
        <v/>
      </c>
      <c r="AA70" s="28">
        <f>IF(V70="A",MAX(1,IF(X70&lt;&gt;"",X70,IFERROR(VLOOKUP(V70,Assumptions!$A$8:$F$12,3,FALSE),3))+IF(Y70&lt;&gt;"",Y70,IFERROR(VLOOKUP(V70,Assumptions!$A$8:$F$12,4,FALSE),8))/2-MAX(0,IF(AS70="",0,YEAR(TODAY())-AS70)-IFERROR(VLOOKUP(V70,Assumptions!$A$8:$F$12,5,FALSE),1.5))),IFERROR(VLOOKUP(V70,Assumptions!$A$8:$F$12,5,FALSE),2.5)+IF(X70&lt;&gt;"",X70,IFERROR(VLOOKUP(V70,Assumptions!$A$8:$F$12,3,FALSE),3))+IF(Y70&lt;&gt;"",Y70,IFERROR(VLOOKUP(V70,Assumptions!$A$8:$F$12,4,FALSE),8))/2)</f>
        <v/>
      </c>
      <c r="AB70" s="24">
        <f>U70*Z70/(1+Assumptions!$B$3)^AA70</f>
        <v/>
      </c>
      <c r="AC70" s="27">
        <f>IF(U70=0,"",ROUND(AB70/U70*100,1))</f>
        <v/>
      </c>
      <c r="AD70" s="29">
        <f>AB70*Assumptions!$B$4</f>
        <v/>
      </c>
      <c r="AE70" s="27">
        <f>IF(U70=0,"",ROUND(AD70/U70*100,1))</f>
        <v/>
      </c>
      <c r="AF70" s="29">
        <f>AB70-AD70</f>
        <v/>
      </c>
      <c r="AG70" s="27">
        <f>IF(U70=0,"",ROUND((AB70-AD70)/U70*100,1))</f>
        <v/>
      </c>
      <c r="AH70" s="30" t="inlineStr">
        <is>
          <t>OK — totals reconciled</t>
        </is>
      </c>
      <c r="AI70" s="31" t="inlineStr">
        <is>
          <t>https://marquesadmjudicial.com.br/sgc/download.php?file=files/processo_documento/processo_documento19270817122025_1_.pdf&amp;nome=Relação Nominal de Credores AJ</t>
        </is>
      </c>
      <c r="AJ70" s="30" t="inlineStr">
        <is>
          <t>p4 r11</t>
        </is>
      </c>
      <c r="AK70" s="30" t="inlineStr">
        <is>
          <t>p4: R$ 2.204.283,12</t>
        </is>
      </c>
      <c r="AL70" s="30" t="inlineStr">
        <is>
          <t>AJ list (art. 7 §2)</t>
        </is>
      </c>
      <c r="AM70" s="30" t="inlineStr">
        <is>
          <t>2025-12-17</t>
        </is>
      </c>
      <c r="AN70" s="30" t="inlineStr">
        <is>
          <t>NONE FOUND</t>
        </is>
      </c>
      <c r="AO70" s="32" t="inlineStr">
        <is>
          <t>0016033-22.2025.8.16.0017</t>
        </is>
      </c>
      <c r="AP70" s="32" t="inlineStr">
        <is>
          <t>TJPR</t>
        </is>
      </c>
      <c r="AQ70" s="32" t="inlineStr">
        <is>
          <t>Recuperação judicial</t>
        </is>
      </c>
      <c r="AR70" s="32" t="inlineStr">
        <is>
          <t>DataJud: no closure/falência movement</t>
        </is>
      </c>
      <c r="AS70" s="32" t="n">
        <v>2025</v>
      </c>
      <c r="AT70" s="32" t="inlineStr">
        <is>
          <t>live case, no plan document yet</t>
        </is>
      </c>
      <c r="AU70" s="32" t="inlineStr">
        <is>
          <t>00.073.485/0001-43</t>
        </is>
      </c>
      <c r="AV70" s="32" t="inlineStr">
        <is>
          <t>printed on the list (read twice)</t>
        </is>
      </c>
      <c r="AW70" s="32" t="inlineStr"/>
      <c r="AX70" s="32" t="inlineStr">
        <is>
          <t>FLORIANOPOLIS</t>
        </is>
      </c>
      <c r="AY70" s="32" t="inlineStr">
        <is>
          <t>SC</t>
        </is>
      </c>
      <c r="AZ70" s="32" t="inlineStr">
        <is>
          <t>Holdings de instituições não-financeiras</t>
        </is>
      </c>
      <c r="BA70" s="32" t="inlineStr">
        <is>
          <t>não ME/EPP</t>
        </is>
      </c>
      <c r="BB70" s="33" t="n">
        <v>500000</v>
      </c>
      <c r="BC70" s="32" t="inlineStr">
        <is>
          <t>MID-MARKET</t>
        </is>
      </c>
      <c r="BD70" s="32" t="inlineStr">
        <is>
          <t>14177238</t>
        </is>
      </c>
      <c r="BE70" s="32" t="n">
        <v>1</v>
      </c>
      <c r="BF70" s="32" t="inlineStr"/>
    </row>
    <row r="71">
      <c r="A71" s="17" t="inlineStr">
        <is>
          <t>FALCON DISTRIBUICAO, ARMAZENAMENTO E TRANSPORTES S.A.</t>
        </is>
      </c>
      <c r="B71" s="18" t="n">
        <v>2199541.23</v>
      </c>
      <c r="C71" s="19" t="inlineStr">
        <is>
          <t>GRUPO DP4</t>
        </is>
      </c>
      <c r="D71" s="20" t="inlineStr">
        <is>
          <t>NEW</t>
        </is>
      </c>
      <c r="E71" s="21" t="inlineStr"/>
      <c r="F71" s="20" t="inlineStr"/>
      <c r="G71" s="21" t="inlineStr"/>
      <c r="H71" s="20" t="inlineStr"/>
      <c r="I71" s="22" t="inlineStr">
        <is>
          <t>ADRIANO DE CONTI BERNARDI</t>
        </is>
      </c>
      <c r="J71" s="23" t="inlineStr">
        <is>
          <t>Diretor (RFB partner)</t>
        </is>
      </c>
      <c r="K71" s="22" t="inlineStr">
        <is>
          <t>(11) 9177-5953</t>
        </is>
      </c>
      <c r="L71" s="22" t="inlineStr"/>
      <c r="M71" s="22" t="inlineStr"/>
      <c r="N71" s="22" t="inlineStr"/>
      <c r="O71" s="22" t="inlineStr"/>
      <c r="P71" s="22" t="inlineStr">
        <is>
          <t>CELSO UBIRAJARA BLANCO DOS SANTOS</t>
        </is>
      </c>
      <c r="Q71" s="22" t="inlineStr">
        <is>
          <t>Diretor (RFB partner)</t>
        </is>
      </c>
      <c r="R71" s="22" t="inlineStr"/>
      <c r="S71" s="22" t="inlineStr"/>
      <c r="T71" s="22" t="inlineStr">
        <is>
          <t>DM = registered partner (RFB QSA); no Apollo match</t>
        </is>
      </c>
      <c r="U71" s="24" t="n">
        <v>2199541.23</v>
      </c>
      <c r="V71" s="25" t="inlineStr">
        <is>
          <t>B</t>
        </is>
      </c>
      <c r="W71" s="26" t="inlineStr"/>
      <c r="X71" s="27" t="inlineStr"/>
      <c r="Y71" s="27" t="inlineStr"/>
      <c r="Z71" s="26">
        <f>IF(W71&lt;&gt;"",W71,IFERROR(VLOOKUP(V71,Assumptions!$A$8:$F$12,2,FALSE),0))</f>
        <v/>
      </c>
      <c r="AA71" s="28">
        <f>IF(V71="A",MAX(1,IF(X71&lt;&gt;"",X71,IFERROR(VLOOKUP(V71,Assumptions!$A$8:$F$12,3,FALSE),3))+IF(Y71&lt;&gt;"",Y71,IFERROR(VLOOKUP(V71,Assumptions!$A$8:$F$12,4,FALSE),8))/2-MAX(0,IF(AS71="",0,YEAR(TODAY())-AS71)-IFERROR(VLOOKUP(V71,Assumptions!$A$8:$F$12,5,FALSE),1.5))),IFERROR(VLOOKUP(V71,Assumptions!$A$8:$F$12,5,FALSE),2.5)+IF(X71&lt;&gt;"",X71,IFERROR(VLOOKUP(V71,Assumptions!$A$8:$F$12,3,FALSE),3))+IF(Y71&lt;&gt;"",Y71,IFERROR(VLOOKUP(V71,Assumptions!$A$8:$F$12,4,FALSE),8))/2)</f>
        <v/>
      </c>
      <c r="AB71" s="24">
        <f>U71*Z71/(1+Assumptions!$B$3)^AA71</f>
        <v/>
      </c>
      <c r="AC71" s="27">
        <f>IF(U71=0,"",ROUND(AB71/U71*100,1))</f>
        <v/>
      </c>
      <c r="AD71" s="29">
        <f>AB71*Assumptions!$B$4</f>
        <v/>
      </c>
      <c r="AE71" s="27">
        <f>IF(U71=0,"",ROUND(AD71/U71*100,1))</f>
        <v/>
      </c>
      <c r="AF71" s="29">
        <f>AB71-AD71</f>
        <v/>
      </c>
      <c r="AG71" s="27">
        <f>IF(U71=0,"",ROUND((AB71-AD71)/U71*100,1))</f>
        <v/>
      </c>
      <c r="AH71" s="35" t="inlineStr">
        <is>
          <t>PARTIAL — class III reconciled, other classes not</t>
        </is>
      </c>
      <c r="AI71" s="31" t="inlineStr">
        <is>
          <t>https://marquesadmjudicial.com.br/sgc/download.php?file=files/processo_documento/processo_documento15293208032024_1_.pdf&amp;nome=Relação Nominal de Credores da AJ-Sintética</t>
        </is>
      </c>
      <c r="AJ71" s="30" t="inlineStr">
        <is>
          <t>p25 r5</t>
        </is>
      </c>
      <c r="AK71" s="30" t="inlineStr">
        <is>
          <t>p25: R$ 2.199.541,23</t>
        </is>
      </c>
      <c r="AL71" s="30" t="inlineStr">
        <is>
          <t>AJ list (art. 7 §2)</t>
        </is>
      </c>
      <c r="AM71" s="30" t="inlineStr">
        <is>
          <t>2023-03-02</t>
        </is>
      </c>
      <c r="AN71" s="30" t="inlineStr">
        <is>
          <t>NONE FOUND</t>
        </is>
      </c>
      <c r="AO71" s="32" t="inlineStr">
        <is>
          <t>0005010-98.2023.8.16.0001</t>
        </is>
      </c>
      <c r="AP71" s="32" t="inlineStr">
        <is>
          <t>TJPR</t>
        </is>
      </c>
      <c r="AQ71" s="32" t="inlineStr">
        <is>
          <t>Recuperação judicial</t>
        </is>
      </c>
      <c r="AR71" s="32" t="inlineStr">
        <is>
          <t>DataJud: no closure/falência movement</t>
        </is>
      </c>
      <c r="AS71" s="32" t="n">
        <v>2023</v>
      </c>
      <c r="AT71" s="32" t="inlineStr">
        <is>
          <t>live case, no plan document yet</t>
        </is>
      </c>
      <c r="AU71" s="32" t="inlineStr"/>
      <c r="AV71" s="32" t="inlineStr">
        <is>
          <t>printed on the list (read twice)</t>
        </is>
      </c>
      <c r="AW71" s="32" t="inlineStr"/>
      <c r="AX71" s="32" t="inlineStr">
        <is>
          <t>GOIANIA</t>
        </is>
      </c>
      <c r="AY71" s="32" t="inlineStr">
        <is>
          <t>GO</t>
        </is>
      </c>
      <c r="AZ71" s="32" t="inlineStr">
        <is>
          <t>Comércio atacadista de produtos de higiene pessoal</t>
        </is>
      </c>
      <c r="BA71" s="32" t="inlineStr">
        <is>
          <t>não ME/EPP</t>
        </is>
      </c>
      <c r="BB71" s="33" t="n">
        <v>246585700</v>
      </c>
      <c r="BC71" s="32" t="inlineStr">
        <is>
          <t>MID-MARKET</t>
        </is>
      </c>
      <c r="BD71" s="32" t="inlineStr">
        <is>
          <t>23191831</t>
        </is>
      </c>
      <c r="BE71" s="32" t="n">
        <v>1</v>
      </c>
      <c r="BF71" s="32" t="inlineStr">
        <is>
          <t>class III reconciled (doc partial)</t>
        </is>
      </c>
    </row>
    <row r="72">
      <c r="A72" s="17" t="inlineStr">
        <is>
          <t>MINERACAO AURORA LTDA</t>
        </is>
      </c>
      <c r="B72" s="18" t="n">
        <v>8433590.01</v>
      </c>
      <c r="C72" s="19" t="inlineStr">
        <is>
          <t>CONSTRUTORA ANDRADE GUEDES LTDA</t>
        </is>
      </c>
      <c r="D72" s="20" t="inlineStr">
        <is>
          <t>NEW</t>
        </is>
      </c>
      <c r="E72" s="21" t="inlineStr"/>
      <c r="F72" s="20" t="inlineStr"/>
      <c r="G72" s="21" t="inlineStr"/>
      <c r="H72" s="20" t="inlineStr"/>
      <c r="I72" s="22" t="inlineStr">
        <is>
          <t>SHIRLEY MONTEIRO REBOCHO SILVA</t>
        </is>
      </c>
      <c r="J72" s="23" t="inlineStr">
        <is>
          <t>Sócio-Administrador (RFB partner)</t>
        </is>
      </c>
      <c r="K72" s="22" t="inlineStr">
        <is>
          <t>(81) 3972-4964</t>
        </is>
      </c>
      <c r="L72" s="22" t="inlineStr"/>
      <c r="M72" s="22" t="inlineStr"/>
      <c r="N72" s="22" t="inlineStr"/>
      <c r="O72" s="22" t="inlineStr"/>
      <c r="P72" s="22" t="inlineStr">
        <is>
          <t>Jorge Ferraz</t>
        </is>
      </c>
      <c r="Q72" s="22" t="inlineStr">
        <is>
          <t>Administrator</t>
        </is>
      </c>
      <c r="R72" s="22" t="inlineStr"/>
      <c r="S72" s="22" t="inlineStr"/>
      <c r="T72" s="22" t="inlineStr">
        <is>
          <t>DM = registered partner (RFB QSA); Apollo pick demoted to backup (non-finance role); BACKUP: org match low-confidence, no email</t>
        </is>
      </c>
      <c r="U72" s="24" t="n">
        <v>8433590.01</v>
      </c>
      <c r="V72" s="39" t="inlineStr">
        <is>
          <t>C</t>
        </is>
      </c>
      <c r="W72" s="26" t="inlineStr"/>
      <c r="X72" s="27" t="inlineStr"/>
      <c r="Y72" s="27" t="inlineStr"/>
      <c r="Z72" s="26">
        <f>IF(W72&lt;&gt;"",W72,IFERROR(VLOOKUP(V72,Assumptions!$A$8:$F$12,2,FALSE),0))</f>
        <v/>
      </c>
      <c r="AA72" s="28">
        <f>IF(V72="A",MAX(1,IF(X72&lt;&gt;"",X72,IFERROR(VLOOKUP(V72,Assumptions!$A$8:$F$12,3,FALSE),3))+IF(Y72&lt;&gt;"",Y72,IFERROR(VLOOKUP(V72,Assumptions!$A$8:$F$12,4,FALSE),8))/2-MAX(0,IF(AS72="",0,YEAR(TODAY())-AS72)-IFERROR(VLOOKUP(V72,Assumptions!$A$8:$F$12,5,FALSE),1.5))),IFERROR(VLOOKUP(V72,Assumptions!$A$8:$F$12,5,FALSE),2.5)+IF(X72&lt;&gt;"",X72,IFERROR(VLOOKUP(V72,Assumptions!$A$8:$F$12,3,FALSE),3))+IF(Y72&lt;&gt;"",Y72,IFERROR(VLOOKUP(V72,Assumptions!$A$8:$F$12,4,FALSE),8))/2)</f>
        <v/>
      </c>
      <c r="AB72" s="24">
        <f>U72*Z72/(1+Assumptions!$B$3)^AA72</f>
        <v/>
      </c>
      <c r="AC72" s="27">
        <f>IF(U72=0,"",ROUND(AB72/U72*100,1))</f>
        <v/>
      </c>
      <c r="AD72" s="29">
        <f>AB72*Assumptions!$B$4</f>
        <v/>
      </c>
      <c r="AE72" s="27">
        <f>IF(U72=0,"",ROUND(AD72/U72*100,1))</f>
        <v/>
      </c>
      <c r="AF72" s="29">
        <f>AB72-AD72</f>
        <v/>
      </c>
      <c r="AG72" s="27">
        <f>IF(U72=0,"",ROUND((AB72-AD72)/U72*100,1))</f>
        <v/>
      </c>
      <c r="AH72" s="34" t="inlineStr">
        <is>
          <t>NO TOTALS — list prints none; check page</t>
        </is>
      </c>
      <c r="AI72" s="31" t="inlineStr">
        <is>
          <t>https://diligence.adm.br/wp-content/plugins/download-attachments/includes/download.php?id=4599</t>
        </is>
      </c>
      <c r="AJ72" s="30" t="inlineStr">
        <is>
          <t>p10 r60</t>
        </is>
      </c>
      <c r="AK72" s="30" t="inlineStr">
        <is>
          <t>p10: R$ 8.433.590,01</t>
        </is>
      </c>
      <c r="AL72" s="30" t="inlineStr">
        <is>
          <t>AJ list (art. 7 §2)</t>
        </is>
      </c>
      <c r="AM72" s="30" t="inlineStr">
        <is>
          <t>2024-06-25</t>
        </is>
      </c>
      <c r="AN72" s="30" t="inlineStr">
        <is>
          <t>NONE FOUND</t>
        </is>
      </c>
      <c r="AO72" s="32" t="inlineStr">
        <is>
          <t>0000880-57.2020.8.17.2001</t>
        </is>
      </c>
      <c r="AP72" s="32" t="inlineStr">
        <is>
          <t>TJPE</t>
        </is>
      </c>
      <c r="AQ72" s="32" t="inlineStr">
        <is>
          <t>Recuperação judicial</t>
        </is>
      </c>
      <c r="AR72" s="32" t="inlineStr">
        <is>
          <t>DataJud: no closure/falência movement</t>
        </is>
      </c>
      <c r="AS72" s="32" t="n">
        <v>2020</v>
      </c>
      <c r="AT72" s="32" t="inlineStr">
        <is>
          <t>6y since filing; plan not in our documents</t>
        </is>
      </c>
      <c r="AU72" s="32" t="inlineStr">
        <is>
          <t>08.073.264/0001-87</t>
        </is>
      </c>
      <c r="AV72" s="32" t="inlineStr">
        <is>
          <t>printed on the list (read twice)</t>
        </is>
      </c>
      <c r="AW72" s="32" t="inlineStr"/>
      <c r="AX72" s="32" t="inlineStr">
        <is>
          <t>JABOATAO DOS GUARARAPES</t>
        </is>
      </c>
      <c r="AY72" s="32" t="inlineStr">
        <is>
          <t>PE</t>
        </is>
      </c>
      <c r="AZ72" s="32" t="inlineStr">
        <is>
          <t>Extração e britamento de pedras e outros materiais para construção e beneficiamento associado</t>
        </is>
      </c>
      <c r="BA72" s="32" t="inlineStr">
        <is>
          <t>não ME/EPP</t>
        </is>
      </c>
      <c r="BB72" s="33" t="n">
        <v>2500000</v>
      </c>
      <c r="BC72" s="32" t="inlineStr">
        <is>
          <t>MID-MARKET</t>
        </is>
      </c>
      <c r="BD72" s="32" t="inlineStr">
        <is>
          <t>10509915</t>
        </is>
      </c>
      <c r="BE72" s="32" t="n">
        <v>1</v>
      </c>
      <c r="BF72" s="32" t="inlineStr">
        <is>
          <t>ALT_VALUE:R$2.710.146,67 ALT_VALUE:R$5.723.443,34 list prints no totals</t>
        </is>
      </c>
    </row>
    <row r="73">
      <c r="A73" s="17" t="inlineStr">
        <is>
          <t>VENTISOL DA AMAZONIA INDUSTRIA DE APARELHOS ELETRICOS LTDA</t>
        </is>
      </c>
      <c r="B73" s="18" t="n">
        <v>2121705.89</v>
      </c>
      <c r="C73" s="19" t="inlineStr">
        <is>
          <t>REAL DISTRIBUIDORA ÚNICA RIO COMÉRCIO DE REFRIGERAÇÃO LTDA.</t>
        </is>
      </c>
      <c r="D73" s="20" t="inlineStr">
        <is>
          <t>NEW</t>
        </is>
      </c>
      <c r="E73" s="21" t="inlineStr"/>
      <c r="F73" s="20" t="inlineStr"/>
      <c r="G73" s="21" t="inlineStr"/>
      <c r="H73" s="20" t="inlineStr"/>
      <c r="I73" s="22" t="inlineStr">
        <is>
          <t>Marcos Bittencourt</t>
        </is>
      </c>
      <c r="J73" s="22" t="inlineStr">
        <is>
          <t>Financial Manager</t>
        </is>
      </c>
      <c r="K73" s="22" t="inlineStr">
        <is>
          <t>(92) 3029-1000</t>
        </is>
      </c>
      <c r="L73" s="22" t="inlineStr"/>
      <c r="M73" s="22" t="inlineStr"/>
      <c r="N73" s="22" t="inlineStr">
        <is>
          <t>marcos@ventisol.com.br</t>
        </is>
      </c>
      <c r="O73" s="22" t="inlineStr">
        <is>
          <t>verified</t>
        </is>
      </c>
      <c r="P73" s="22" t="inlineStr">
        <is>
          <t>Fernanda Candido</t>
        </is>
      </c>
      <c r="Q73" s="22" t="inlineStr">
        <is>
          <t>Commercial Director</t>
        </is>
      </c>
      <c r="R73" s="22" t="inlineStr"/>
      <c r="S73" s="22" t="inlineStr">
        <is>
          <t>fernanda@ventisol.com.br</t>
        </is>
      </c>
      <c r="T73" s="22" t="inlineStr">
        <is>
          <t>DM: has_email, phone Yes; BACKUP: backup, has_email, phone Yes</t>
        </is>
      </c>
      <c r="U73" s="24" t="n">
        <v>2121705.89</v>
      </c>
      <c r="V73" s="25" t="inlineStr">
        <is>
          <t>B</t>
        </is>
      </c>
      <c r="W73" s="26" t="inlineStr"/>
      <c r="X73" s="27" t="inlineStr"/>
      <c r="Y73" s="27" t="inlineStr"/>
      <c r="Z73" s="26">
        <f>IF(W73&lt;&gt;"",W73,IFERROR(VLOOKUP(V73,Assumptions!$A$8:$F$12,2,FALSE),0))</f>
        <v/>
      </c>
      <c r="AA73" s="28">
        <f>IF(V73="A",MAX(1,IF(X73&lt;&gt;"",X73,IFERROR(VLOOKUP(V73,Assumptions!$A$8:$F$12,3,FALSE),3))+IF(Y73&lt;&gt;"",Y73,IFERROR(VLOOKUP(V73,Assumptions!$A$8:$F$12,4,FALSE),8))/2-MAX(0,IF(AS73="",0,YEAR(TODAY())-AS73)-IFERROR(VLOOKUP(V73,Assumptions!$A$8:$F$12,5,FALSE),1.5))),IFERROR(VLOOKUP(V73,Assumptions!$A$8:$F$12,5,FALSE),2.5)+IF(X73&lt;&gt;"",X73,IFERROR(VLOOKUP(V73,Assumptions!$A$8:$F$12,3,FALSE),3))+IF(Y73&lt;&gt;"",Y73,IFERROR(VLOOKUP(V73,Assumptions!$A$8:$F$12,4,FALSE),8))/2)</f>
        <v/>
      </c>
      <c r="AB73" s="24">
        <f>U73*Z73/(1+Assumptions!$B$3)^AA73</f>
        <v/>
      </c>
      <c r="AC73" s="27">
        <f>IF(U73=0,"",ROUND(AB73/U73*100,1))</f>
        <v/>
      </c>
      <c r="AD73" s="29">
        <f>AB73*Assumptions!$B$4</f>
        <v/>
      </c>
      <c r="AE73" s="27">
        <f>IF(U73=0,"",ROUND(AD73/U73*100,1))</f>
        <v/>
      </c>
      <c r="AF73" s="29">
        <f>AB73-AD73</f>
        <v/>
      </c>
      <c r="AG73" s="27">
        <f>IF(U73=0,"",ROUND((AB73-AD73)/U73*100,1))</f>
        <v/>
      </c>
      <c r="AH73" s="30" t="inlineStr">
        <is>
          <t>OK — totals reconciled</t>
        </is>
      </c>
      <c r="AI73" s="31" t="inlineStr">
        <is>
          <t>https://inova-aj.com.br/wp-content/uploads/2026/08/1a-Relacao-de-Credores-Real.pdf</t>
        </is>
      </c>
      <c r="AJ73" s="30" t="inlineStr">
        <is>
          <t>p2 r16</t>
        </is>
      </c>
      <c r="AK73" s="30" t="inlineStr">
        <is>
          <t>p2: R$ 2.121.705,89</t>
        </is>
      </c>
      <c r="AL73" s="30" t="inlineStr">
        <is>
          <t>AJ list (art. 7 §2)</t>
        </is>
      </c>
      <c r="AM73" s="30" t="inlineStr">
        <is>
          <t>2023-06-05</t>
        </is>
      </c>
      <c r="AN73" s="30" t="inlineStr">
        <is>
          <t>NONE FOUND</t>
        </is>
      </c>
      <c r="AO73" s="32" t="inlineStr">
        <is>
          <t>0873061-47.2023.8.19.0001</t>
        </is>
      </c>
      <c r="AP73" s="32" t="inlineStr">
        <is>
          <t>TJRJ</t>
        </is>
      </c>
      <c r="AQ73" s="32" t="inlineStr">
        <is>
          <t>Recuperação judicial</t>
        </is>
      </c>
      <c r="AR73" s="32" t="inlineStr">
        <is>
          <t>not in DataJud</t>
        </is>
      </c>
      <c r="AS73" s="32" t="n">
        <v>2023</v>
      </c>
      <c r="AT73" s="32" t="inlineStr">
        <is>
          <t>live case, no plan document yet; case no. from the portal record, not printed on the list</t>
        </is>
      </c>
      <c r="AU73" s="32" t="inlineStr"/>
      <c r="AV73" s="32" t="inlineStr">
        <is>
          <t>printed on the list (read twice)</t>
        </is>
      </c>
      <c r="AW73" s="32" t="inlineStr"/>
      <c r="AX73" s="32" t="inlineStr">
        <is>
          <t>MANAUS</t>
        </is>
      </c>
      <c r="AY73" s="32" t="inlineStr">
        <is>
          <t>AM</t>
        </is>
      </c>
      <c r="AZ73" s="32" t="inlineStr">
        <is>
          <t>Fabricação de aparelhos e equipamentos de ar condicionado para uso industrial</t>
        </is>
      </c>
      <c r="BA73" s="32" t="inlineStr">
        <is>
          <t>não ME/EPP</t>
        </is>
      </c>
      <c r="BB73" s="33" t="n">
        <v>467377000</v>
      </c>
      <c r="BC73" s="32" t="inlineStr">
        <is>
          <t>MID-MARKET</t>
        </is>
      </c>
      <c r="BD73" s="32" t="inlineStr">
        <is>
          <t>17417928</t>
        </is>
      </c>
      <c r="BE73" s="32" t="n">
        <v>1</v>
      </c>
      <c r="BF73" s="32" t="inlineStr">
        <is>
          <t>ALT_VALUE:R$1.542.709,43</t>
        </is>
      </c>
    </row>
    <row r="74">
      <c r="A74" s="17" t="inlineStr">
        <is>
          <t>SRJ INDUSTRIA COMERCIO E EXPORTACAO DE CONFECCOES LTDA</t>
        </is>
      </c>
      <c r="B74" s="18" t="n">
        <v>2113920</v>
      </c>
      <c r="C74" s="19" t="inlineStr">
        <is>
          <t>GRUPO CATTAN</t>
        </is>
      </c>
      <c r="D74" s="20" t="inlineStr">
        <is>
          <t>NEW</t>
        </is>
      </c>
      <c r="E74" s="21" t="inlineStr"/>
      <c r="F74" s="20" t="inlineStr"/>
      <c r="G74" s="21" t="inlineStr"/>
      <c r="H74" s="20" t="inlineStr"/>
      <c r="I74" s="22" t="inlineStr">
        <is>
          <t>JOAQUIM COELHO DE MAGALHAES</t>
        </is>
      </c>
      <c r="J74" s="23" t="inlineStr">
        <is>
          <t>Administrador (RFB partner)</t>
        </is>
      </c>
      <c r="K74" s="22" t="inlineStr"/>
      <c r="L74" s="22" t="inlineStr"/>
      <c r="M74" s="22" t="inlineStr"/>
      <c r="N74" s="22" t="inlineStr"/>
      <c r="O74" s="22" t="inlineStr"/>
      <c r="P74" s="22" t="inlineStr">
        <is>
          <t>RAFAEL COELHO DANTAS</t>
        </is>
      </c>
      <c r="Q74" s="22" t="inlineStr">
        <is>
          <t>Administrador (RFB partner)</t>
        </is>
      </c>
      <c r="R74" s="22" t="inlineStr"/>
      <c r="S74" s="22" t="inlineStr"/>
      <c r="T74" s="22" t="inlineStr">
        <is>
          <t>DM = registered partner (RFB QSA); no Apollo match; NO ROUTE IN: no phone or email on file</t>
        </is>
      </c>
      <c r="U74" s="24" t="n">
        <v>2113920</v>
      </c>
      <c r="V74" s="25" t="inlineStr">
        <is>
          <t>B</t>
        </is>
      </c>
      <c r="W74" s="26" t="inlineStr"/>
      <c r="X74" s="27" t="inlineStr"/>
      <c r="Y74" s="27" t="inlineStr"/>
      <c r="Z74" s="26">
        <f>IF(W74&lt;&gt;"",W74,IFERROR(VLOOKUP(V74,Assumptions!$A$8:$F$12,2,FALSE),0))</f>
        <v/>
      </c>
      <c r="AA74" s="28">
        <f>IF(V74="A",MAX(1,IF(X74&lt;&gt;"",X74,IFERROR(VLOOKUP(V74,Assumptions!$A$8:$F$12,3,FALSE),3))+IF(Y74&lt;&gt;"",Y74,IFERROR(VLOOKUP(V74,Assumptions!$A$8:$F$12,4,FALSE),8))/2-MAX(0,IF(AS74="",0,YEAR(TODAY())-AS74)-IFERROR(VLOOKUP(V74,Assumptions!$A$8:$F$12,5,FALSE),1.5))),IFERROR(VLOOKUP(V74,Assumptions!$A$8:$F$12,5,FALSE),2.5)+IF(X74&lt;&gt;"",X74,IFERROR(VLOOKUP(V74,Assumptions!$A$8:$F$12,3,FALSE),3))+IF(Y74&lt;&gt;"",Y74,IFERROR(VLOOKUP(V74,Assumptions!$A$8:$F$12,4,FALSE),8))/2)</f>
        <v/>
      </c>
      <c r="AB74" s="24">
        <f>U74*Z74/(1+Assumptions!$B$3)^AA74</f>
        <v/>
      </c>
      <c r="AC74" s="27">
        <f>IF(U74=0,"",ROUND(AB74/U74*100,1))</f>
        <v/>
      </c>
      <c r="AD74" s="29">
        <f>AB74*Assumptions!$B$4</f>
        <v/>
      </c>
      <c r="AE74" s="27">
        <f>IF(U74=0,"",ROUND(AD74/U74*100,1))</f>
        <v/>
      </c>
      <c r="AF74" s="29">
        <f>AB74-AD74</f>
        <v/>
      </c>
      <c r="AG74" s="27">
        <f>IF(U74=0,"",ROUND((AB74-AD74)/U74*100,1))</f>
        <v/>
      </c>
      <c r="AH74" s="35" t="inlineStr">
        <is>
          <t>PARTIAL — class III reconciled, other classes not</t>
        </is>
      </c>
      <c r="AI74" s="31" t="inlineStr">
        <is>
          <t>https://lrflideres.com.br/wp-content/plugins/download-attachments/includes/download.php?id=4023</t>
        </is>
      </c>
      <c r="AJ74" s="30" t="inlineStr">
        <is>
          <t>p4 r92; p7 r121</t>
        </is>
      </c>
      <c r="AK74" s="30" t="inlineStr">
        <is>
          <t>[rows shown ≠ face] p4: R$ 2.113.920,00; p7: R$ 2.113.920,00</t>
        </is>
      </c>
      <c r="AL74" s="30" t="inlineStr">
        <is>
          <t>Debtor list (art. 51)</t>
        </is>
      </c>
      <c r="AM74" s="30" t="inlineStr"/>
      <c r="AN74" s="30" t="inlineStr">
        <is>
          <t>NONE FOUND</t>
        </is>
      </c>
      <c r="AO74" s="32" t="inlineStr">
        <is>
          <t>0002484-82.2022.8.17.2001</t>
        </is>
      </c>
      <c r="AP74" s="32" t="inlineStr">
        <is>
          <t>TJPE</t>
        </is>
      </c>
      <c r="AQ74" s="32" t="inlineStr">
        <is>
          <t>Recuperação judicial</t>
        </is>
      </c>
      <c r="AR74" s="32" t="inlineStr">
        <is>
          <t>DataJud: no closure/falência movement</t>
        </is>
      </c>
      <c r="AS74" s="32" t="n">
        <v>2022</v>
      </c>
      <c r="AT74" s="32" t="inlineStr">
        <is>
          <t>live case, no plan document yet</t>
        </is>
      </c>
      <c r="AU74" s="32" t="inlineStr"/>
      <c r="AV74" s="32" t="inlineStr">
        <is>
          <t>printed on the list (read twice)</t>
        </is>
      </c>
      <c r="AW74" s="32" t="inlineStr"/>
      <c r="AX74" s="32" t="inlineStr">
        <is>
          <t>CARUARU</t>
        </is>
      </c>
      <c r="AY74" s="32" t="inlineStr">
        <is>
          <t>PE</t>
        </is>
      </c>
      <c r="AZ74" s="32" t="inlineStr">
        <is>
          <t>Confecção de peças de vestuário, exceto roupas íntimas e as confeccionadas sob medida</t>
        </is>
      </c>
      <c r="BA74" s="32" t="inlineStr">
        <is>
          <t>não ME/EPP</t>
        </is>
      </c>
      <c r="BB74" s="33" t="n">
        <v>220000</v>
      </c>
      <c r="BC74" s="32" t="inlineStr">
        <is>
          <t>MID-MARKET</t>
        </is>
      </c>
      <c r="BD74" s="32" t="inlineStr">
        <is>
          <t>05554669</t>
        </is>
      </c>
      <c r="BE74" s="32" t="n">
        <v>1</v>
      </c>
      <c r="BF74" s="32" t="inlineStr">
        <is>
          <t>class III reconciled (doc partial) no route in</t>
        </is>
      </c>
    </row>
    <row r="75">
      <c r="A75" s="17" t="inlineStr">
        <is>
          <t>ADM DO BRASIL LTDA</t>
        </is>
      </c>
      <c r="B75" s="18" t="n">
        <v>2086675.04</v>
      </c>
      <c r="C75" s="19" t="inlineStr">
        <is>
          <t>SUINOCULTURA KUNZLER</t>
        </is>
      </c>
      <c r="D75" s="20" t="inlineStr">
        <is>
          <t>NEW</t>
        </is>
      </c>
      <c r="E75" s="21" t="inlineStr"/>
      <c r="F75" s="20" t="inlineStr"/>
      <c r="G75" s="21" t="inlineStr"/>
      <c r="H75" s="20" t="inlineStr"/>
      <c r="I75" s="22" t="inlineStr">
        <is>
          <t>ANDREIELI RIBEIRO PINTO</t>
        </is>
      </c>
      <c r="J75" s="23" t="inlineStr">
        <is>
          <t>Administrador (RFB partner)</t>
        </is>
      </c>
      <c r="K75" s="22" t="inlineStr">
        <is>
          <t>(11) 5185-3500</t>
        </is>
      </c>
      <c r="L75" s="22" t="inlineStr">
        <is>
          <t>(11) 5185-3649</t>
        </is>
      </c>
      <c r="M75" s="22" t="inlineStr"/>
      <c r="N75" s="22" t="inlineStr"/>
      <c r="O75" s="22" t="inlineStr"/>
      <c r="P75" s="22" t="inlineStr">
        <is>
          <t>DOMINGO ALEJANDRO LASTRA</t>
        </is>
      </c>
      <c r="Q75" s="22" t="inlineStr">
        <is>
          <t>Administrador (RFB partner)</t>
        </is>
      </c>
      <c r="R75" s="22" t="inlineStr"/>
      <c r="S75" s="22" t="inlineStr"/>
      <c r="T75" s="22" t="inlineStr">
        <is>
          <t>DM = registered partner (RFB QSA); no Apollo match</t>
        </is>
      </c>
      <c r="U75" s="24" t="n">
        <v>2086675.04</v>
      </c>
      <c r="V75" s="25" t="inlineStr">
        <is>
          <t>B</t>
        </is>
      </c>
      <c r="W75" s="26" t="inlineStr"/>
      <c r="X75" s="27" t="inlineStr"/>
      <c r="Y75" s="27" t="inlineStr"/>
      <c r="Z75" s="26">
        <f>IF(W75&lt;&gt;"",W75,IFERROR(VLOOKUP(V75,Assumptions!$A$8:$F$12,2,FALSE),0))</f>
        <v/>
      </c>
      <c r="AA75" s="28">
        <f>IF(V75="A",MAX(1,IF(X75&lt;&gt;"",X75,IFERROR(VLOOKUP(V75,Assumptions!$A$8:$F$12,3,FALSE),3))+IF(Y75&lt;&gt;"",Y75,IFERROR(VLOOKUP(V75,Assumptions!$A$8:$F$12,4,FALSE),8))/2-MAX(0,IF(AS75="",0,YEAR(TODAY())-AS75)-IFERROR(VLOOKUP(V75,Assumptions!$A$8:$F$12,5,FALSE),1.5))),IFERROR(VLOOKUP(V75,Assumptions!$A$8:$F$12,5,FALSE),2.5)+IF(X75&lt;&gt;"",X75,IFERROR(VLOOKUP(V75,Assumptions!$A$8:$F$12,3,FALSE),3))+IF(Y75&lt;&gt;"",Y75,IFERROR(VLOOKUP(V75,Assumptions!$A$8:$F$12,4,FALSE),8))/2)</f>
        <v/>
      </c>
      <c r="AB75" s="24">
        <f>U75*Z75/(1+Assumptions!$B$3)^AA75</f>
        <v/>
      </c>
      <c r="AC75" s="27">
        <f>IF(U75=0,"",ROUND(AB75/U75*100,1))</f>
        <v/>
      </c>
      <c r="AD75" s="29">
        <f>AB75*Assumptions!$B$4</f>
        <v/>
      </c>
      <c r="AE75" s="27">
        <f>IF(U75=0,"",ROUND(AD75/U75*100,1))</f>
        <v/>
      </c>
      <c r="AF75" s="29">
        <f>AB75-AD75</f>
        <v/>
      </c>
      <c r="AG75" s="27">
        <f>IF(U75=0,"",ROUND((AB75-AD75)/U75*100,1))</f>
        <v/>
      </c>
      <c r="AH75" s="34" t="inlineStr">
        <is>
          <t>NO TOTALS — list prints none; check page</t>
        </is>
      </c>
      <c r="AI75" s="31" t="inlineStr">
        <is>
          <t>https://rlg-aj.com.br/wp-content/uploads/2024/11/07.-Relação-de-credores.pdf</t>
        </is>
      </c>
      <c r="AJ75" s="30" t="inlineStr">
        <is>
          <t>p1 r21</t>
        </is>
      </c>
      <c r="AK75" s="30" t="inlineStr">
        <is>
          <t>p1: R$ 2.086.675,04</t>
        </is>
      </c>
      <c r="AL75" s="30" t="inlineStr">
        <is>
          <t>Unclassified list</t>
        </is>
      </c>
      <c r="AM75" s="30" t="inlineStr"/>
      <c r="AN75" s="30" t="inlineStr">
        <is>
          <t>NONE FOUND</t>
        </is>
      </c>
      <c r="AO75" s="32" t="inlineStr">
        <is>
          <t>5009149-92.2024.8.24.0019</t>
        </is>
      </c>
      <c r="AP75" s="32" t="inlineStr">
        <is>
          <t>TJSC</t>
        </is>
      </c>
      <c r="AQ75" s="32" t="inlineStr">
        <is>
          <t>Recuperação judicial</t>
        </is>
      </c>
      <c r="AR75" s="32" t="inlineStr">
        <is>
          <t>DataJud: no closure/falência movement</t>
        </is>
      </c>
      <c r="AS75" s="32" t="n">
        <v>2024</v>
      </c>
      <c r="AT75" s="32" t="inlineStr">
        <is>
          <t>live case, no plan document yet; case no. from the portal record, not printed on the list</t>
        </is>
      </c>
      <c r="AU75" s="32" t="inlineStr">
        <is>
          <t>55.365.447/0001-56</t>
        </is>
      </c>
      <c r="AV75" s="32" t="inlineStr">
        <is>
          <t>printed on the list (read twice)</t>
        </is>
      </c>
      <c r="AW75" s="32" t="inlineStr"/>
      <c r="AX75" s="32" t="inlineStr">
        <is>
          <t>VITORIA</t>
        </is>
      </c>
      <c r="AY75" s="32" t="inlineStr">
        <is>
          <t>ES</t>
        </is>
      </c>
      <c r="AZ75" s="32" t="inlineStr">
        <is>
          <t>Comércio atacadista de matérias-primas agrícolas não especificadas anteriormente</t>
        </is>
      </c>
      <c r="BA75" s="32" t="inlineStr">
        <is>
          <t>não ME/EPP</t>
        </is>
      </c>
      <c r="BB75" s="33" t="n">
        <v>5008914000</v>
      </c>
      <c r="BC75" s="32" t="inlineStr">
        <is>
          <t>LARGE CORP</t>
        </is>
      </c>
      <c r="BD75" s="32" t="inlineStr">
        <is>
          <t>02003402</t>
        </is>
      </c>
      <c r="BE75" s="32" t="n">
        <v>1</v>
      </c>
      <c r="BF75" s="32" t="inlineStr">
        <is>
          <t>list prints no totals</t>
        </is>
      </c>
    </row>
    <row r="76">
      <c r="A76" s="17" t="inlineStr">
        <is>
          <t>TRES TENTOS AGROINDUSTRIAL S/A</t>
        </is>
      </c>
      <c r="B76" s="18" t="n">
        <v>2076705.8</v>
      </c>
      <c r="C76" s="19" t="inlineStr">
        <is>
          <t>SUINOCULTURA KUNZLER</t>
        </is>
      </c>
      <c r="D76" s="20" t="inlineStr">
        <is>
          <t>NEW</t>
        </is>
      </c>
      <c r="E76" s="21" t="inlineStr"/>
      <c r="F76" s="20" t="inlineStr"/>
      <c r="G76" s="21" t="inlineStr"/>
      <c r="H76" s="20" t="inlineStr"/>
      <c r="I76" s="22" t="inlineStr">
        <is>
          <t>Cristiano Costa</t>
        </is>
      </c>
      <c r="J76" s="22" t="inlineStr">
        <is>
          <t>CFO</t>
        </is>
      </c>
      <c r="K76" s="22" t="inlineStr">
        <is>
          <t>(55) 3372-3700</t>
        </is>
      </c>
      <c r="L76" s="22" t="inlineStr">
        <is>
          <t>(55) 3372-3718</t>
        </is>
      </c>
      <c r="M76" s="22" t="inlineStr"/>
      <c r="N76" s="22" t="inlineStr">
        <is>
          <t>cristiano.costa@3tentos.com.br</t>
        </is>
      </c>
      <c r="O76" s="22" t="inlineStr">
        <is>
          <t>verified</t>
        </is>
      </c>
      <c r="P76" s="22" t="inlineStr">
        <is>
          <t>Everson Ribas</t>
        </is>
      </c>
      <c r="Q76" s="22" t="inlineStr">
        <is>
          <t>Analista de Crédito e Cobrança - Pleno</t>
        </is>
      </c>
      <c r="R76" s="22" t="inlineStr"/>
      <c r="S76" s="22" t="inlineStr">
        <is>
          <t>everson.ribas@3tentos.com.br</t>
        </is>
      </c>
      <c r="T76" s="22" t="inlineStr">
        <is>
          <t>DM: has_email, phone Yes; VERIFY org: Apollo has this person at '3tentos'; BACKUP: backup, has_email; VERIFY org: Apollo has this person at '3tentos'</t>
        </is>
      </c>
      <c r="U76" s="24" t="n">
        <v>2076705.8</v>
      </c>
      <c r="V76" s="25" t="inlineStr">
        <is>
          <t>B</t>
        </is>
      </c>
      <c r="W76" s="26" t="inlineStr"/>
      <c r="X76" s="27" t="inlineStr"/>
      <c r="Y76" s="27" t="inlineStr"/>
      <c r="Z76" s="26">
        <f>IF(W76&lt;&gt;"",W76,IFERROR(VLOOKUP(V76,Assumptions!$A$8:$F$12,2,FALSE),0))</f>
        <v/>
      </c>
      <c r="AA76" s="28">
        <f>IF(V76="A",MAX(1,IF(X76&lt;&gt;"",X76,IFERROR(VLOOKUP(V76,Assumptions!$A$8:$F$12,3,FALSE),3))+IF(Y76&lt;&gt;"",Y76,IFERROR(VLOOKUP(V76,Assumptions!$A$8:$F$12,4,FALSE),8))/2-MAX(0,IF(AS76="",0,YEAR(TODAY())-AS76)-IFERROR(VLOOKUP(V76,Assumptions!$A$8:$F$12,5,FALSE),1.5))),IFERROR(VLOOKUP(V76,Assumptions!$A$8:$F$12,5,FALSE),2.5)+IF(X76&lt;&gt;"",X76,IFERROR(VLOOKUP(V76,Assumptions!$A$8:$F$12,3,FALSE),3))+IF(Y76&lt;&gt;"",Y76,IFERROR(VLOOKUP(V76,Assumptions!$A$8:$F$12,4,FALSE),8))/2)</f>
        <v/>
      </c>
      <c r="AB76" s="24">
        <f>U76*Z76/(1+Assumptions!$B$3)^AA76</f>
        <v/>
      </c>
      <c r="AC76" s="27">
        <f>IF(U76=0,"",ROUND(AB76/U76*100,1))</f>
        <v/>
      </c>
      <c r="AD76" s="29">
        <f>AB76*Assumptions!$B$4</f>
        <v/>
      </c>
      <c r="AE76" s="27">
        <f>IF(U76=0,"",ROUND(AD76/U76*100,1))</f>
        <v/>
      </c>
      <c r="AF76" s="29">
        <f>AB76-AD76</f>
        <v/>
      </c>
      <c r="AG76" s="27">
        <f>IF(U76=0,"",ROUND((AB76-AD76)/U76*100,1))</f>
        <v/>
      </c>
      <c r="AH76" s="34" t="inlineStr">
        <is>
          <t>NO TOTALS — list prints none; check page</t>
        </is>
      </c>
      <c r="AI76" s="31" t="inlineStr">
        <is>
          <t>https://rlg-aj.com.br/wp-content/uploads/2024/11/07.-Relação-de-credores.pdf</t>
        </is>
      </c>
      <c r="AJ76" s="30" t="inlineStr">
        <is>
          <t>p1 r20</t>
        </is>
      </c>
      <c r="AK76" s="30" t="inlineStr">
        <is>
          <t>p1: R$ 2.076.705,80</t>
        </is>
      </c>
      <c r="AL76" s="30" t="inlineStr">
        <is>
          <t>Unclassified list</t>
        </is>
      </c>
      <c r="AM76" s="30" t="inlineStr"/>
      <c r="AN76" s="30" t="inlineStr">
        <is>
          <t>NONE FOUND</t>
        </is>
      </c>
      <c r="AO76" s="32" t="inlineStr">
        <is>
          <t>5009149-92.2024.8.24.0019</t>
        </is>
      </c>
      <c r="AP76" s="32" t="inlineStr">
        <is>
          <t>TJSC</t>
        </is>
      </c>
      <c r="AQ76" s="32" t="inlineStr">
        <is>
          <t>Recuperação judicial</t>
        </is>
      </c>
      <c r="AR76" s="32" t="inlineStr">
        <is>
          <t>DataJud: no closure/falência movement</t>
        </is>
      </c>
      <c r="AS76" s="32" t="n">
        <v>2024</v>
      </c>
      <c r="AT76" s="32" t="inlineStr">
        <is>
          <t>live case, no plan document yet; case no. from the portal record, not printed on the list</t>
        </is>
      </c>
      <c r="AU76" s="32" t="inlineStr">
        <is>
          <t>55.365.447/0001-56</t>
        </is>
      </c>
      <c r="AV76" s="32" t="inlineStr">
        <is>
          <t>printed on the list (read twice)</t>
        </is>
      </c>
      <c r="AW76" s="32" t="inlineStr"/>
      <c r="AX76" s="32" t="inlineStr">
        <is>
          <t>SANTA BARBARA DO SUL</t>
        </is>
      </c>
      <c r="AY76" s="32" t="inlineStr">
        <is>
          <t>RS</t>
        </is>
      </c>
      <c r="AZ76" s="32" t="inlineStr">
        <is>
          <t>Comércio atacadista de cereais e leguminosas beneficiados</t>
        </is>
      </c>
      <c r="BA76" s="32" t="inlineStr">
        <is>
          <t>não ME/EPP</t>
        </is>
      </c>
      <c r="BB76" s="33" t="n">
        <v>3481513500</v>
      </c>
      <c r="BC76" s="32" t="inlineStr">
        <is>
          <t>LARGE CORP</t>
        </is>
      </c>
      <c r="BD76" s="32" t="inlineStr">
        <is>
          <t>94813102</t>
        </is>
      </c>
      <c r="BE76" s="32" t="n">
        <v>1</v>
      </c>
      <c r="BF76" s="32" t="inlineStr">
        <is>
          <t>list prints no totals</t>
        </is>
      </c>
    </row>
    <row r="77">
      <c r="A77" s="17" t="inlineStr">
        <is>
          <t>SEMPRE AGTECH LTDA</t>
        </is>
      </c>
      <c r="B77" s="18" t="n">
        <v>2037616.99</v>
      </c>
      <c r="C77" s="19" t="inlineStr">
        <is>
          <t>SOJAL COMERCIAL AGRICOLA LTDA e OUTROS</t>
        </is>
      </c>
      <c r="D77" s="20" t="inlineStr">
        <is>
          <t>NEW</t>
        </is>
      </c>
      <c r="E77" s="21" t="inlineStr"/>
      <c r="F77" s="20" t="inlineStr"/>
      <c r="G77" s="21" t="inlineStr"/>
      <c r="H77" s="20" t="inlineStr"/>
      <c r="I77" s="22" t="inlineStr">
        <is>
          <t>Sidney Martins</t>
        </is>
      </c>
      <c r="J77" s="22" t="inlineStr">
        <is>
          <t>Production Director</t>
        </is>
      </c>
      <c r="K77" s="22" t="inlineStr">
        <is>
          <t>(49) 3441-8200</t>
        </is>
      </c>
      <c r="L77" s="22" t="inlineStr"/>
      <c r="M77" s="22" t="inlineStr"/>
      <c r="N77" s="22" t="inlineStr">
        <is>
          <t>sidney@semprehealth.com</t>
        </is>
      </c>
      <c r="O77" s="22" t="inlineStr">
        <is>
          <t>verified</t>
        </is>
      </c>
      <c r="P77" s="22" t="inlineStr">
        <is>
          <t>Graziele Scussiato</t>
        </is>
      </c>
      <c r="Q77" s="22" t="inlineStr">
        <is>
          <t>Treasury Manager</t>
        </is>
      </c>
      <c r="R77" s="22" t="inlineStr"/>
      <c r="S77" s="22" t="inlineStr">
        <is>
          <t>graziele.scussiato@sempre.agr.br</t>
        </is>
      </c>
      <c r="T77" s="22" t="inlineStr">
        <is>
          <t>DM: has_email, phone Yes; no finance found; BACKUP: DM; email extrapolated; backup email is pattern-guessed</t>
        </is>
      </c>
      <c r="U77" s="24" t="n">
        <v>2037616.99</v>
      </c>
      <c r="V77" s="25" t="inlineStr">
        <is>
          <t>B</t>
        </is>
      </c>
      <c r="W77" s="26" t="inlineStr"/>
      <c r="X77" s="27" t="inlineStr"/>
      <c r="Y77" s="27" t="inlineStr"/>
      <c r="Z77" s="26">
        <f>IF(W77&lt;&gt;"",W77,IFERROR(VLOOKUP(V77,Assumptions!$A$8:$F$12,2,FALSE),0))</f>
        <v/>
      </c>
      <c r="AA77" s="28">
        <f>IF(V77="A",MAX(1,IF(X77&lt;&gt;"",X77,IFERROR(VLOOKUP(V77,Assumptions!$A$8:$F$12,3,FALSE),3))+IF(Y77&lt;&gt;"",Y77,IFERROR(VLOOKUP(V77,Assumptions!$A$8:$F$12,4,FALSE),8))/2-MAX(0,IF(AS77="",0,YEAR(TODAY())-AS77)-IFERROR(VLOOKUP(V77,Assumptions!$A$8:$F$12,5,FALSE),1.5))),IFERROR(VLOOKUP(V77,Assumptions!$A$8:$F$12,5,FALSE),2.5)+IF(X77&lt;&gt;"",X77,IFERROR(VLOOKUP(V77,Assumptions!$A$8:$F$12,3,FALSE),3))+IF(Y77&lt;&gt;"",Y77,IFERROR(VLOOKUP(V77,Assumptions!$A$8:$F$12,4,FALSE),8))/2)</f>
        <v/>
      </c>
      <c r="AB77" s="24">
        <f>U77*Z77/(1+Assumptions!$B$3)^AA77</f>
        <v/>
      </c>
      <c r="AC77" s="27">
        <f>IF(U77=0,"",ROUND(AB77/U77*100,1))</f>
        <v/>
      </c>
      <c r="AD77" s="29">
        <f>AB77*Assumptions!$B$4</f>
        <v/>
      </c>
      <c r="AE77" s="27">
        <f>IF(U77=0,"",ROUND(AD77/U77*100,1))</f>
        <v/>
      </c>
      <c r="AF77" s="29">
        <f>AB77-AD77</f>
        <v/>
      </c>
      <c r="AG77" s="27">
        <f>IF(U77=0,"",ROUND((AB77-AD77)/U77*100,1))</f>
        <v/>
      </c>
      <c r="AH77" s="30" t="inlineStr">
        <is>
          <t>OK — totals reconciled</t>
        </is>
      </c>
      <c r="AI77" s="31" t="inlineStr">
        <is>
          <t>https://lrflideres.com.br/wp-content/plugins/download-attachments/includes/download.php?id=6879</t>
        </is>
      </c>
      <c r="AJ77" s="30" t="inlineStr">
        <is>
          <t>p2 r7</t>
        </is>
      </c>
      <c r="AK77" s="30" t="inlineStr">
        <is>
          <t>p2: R$ 2.037.616,99</t>
        </is>
      </c>
      <c r="AL77" s="30" t="inlineStr">
        <is>
          <t>AJ list (art. 7 §2)</t>
        </is>
      </c>
      <c r="AM77" s="30" t="inlineStr">
        <is>
          <t>2026-01-15</t>
        </is>
      </c>
      <c r="AN77" s="30" t="inlineStr">
        <is>
          <t>NONE FOUND</t>
        </is>
      </c>
      <c r="AO77" s="32" t="inlineStr">
        <is>
          <t>0804401-51.2025.8.14.0039</t>
        </is>
      </c>
      <c r="AP77" s="32" t="inlineStr">
        <is>
          <t>TJPA</t>
        </is>
      </c>
      <c r="AQ77" s="32" t="inlineStr">
        <is>
          <t>Recuperação judicial</t>
        </is>
      </c>
      <c r="AR77" s="32" t="inlineStr">
        <is>
          <t>DataJud: no closure/falência movement</t>
        </is>
      </c>
      <c r="AS77" s="32" t="n">
        <v>2025</v>
      </c>
      <c r="AT77" s="32" t="inlineStr">
        <is>
          <t>live case, no plan document yet</t>
        </is>
      </c>
      <c r="AU77" s="32" t="inlineStr"/>
      <c r="AV77" s="32" t="inlineStr">
        <is>
          <t>printed on the list (read twice)</t>
        </is>
      </c>
      <c r="AW77" s="32" t="inlineStr"/>
      <c r="AX77" s="32" t="inlineStr">
        <is>
          <t>CHAPECO</t>
        </is>
      </c>
      <c r="AY77" s="32" t="inlineStr">
        <is>
          <t>SC</t>
        </is>
      </c>
      <c r="AZ77" s="32" t="inlineStr">
        <is>
          <t>Produção de sementes certificadas, exceto de forrageiras para pasto</t>
        </is>
      </c>
      <c r="BA77" s="32" t="inlineStr">
        <is>
          <t>não ME/EPP</t>
        </is>
      </c>
      <c r="BB77" s="33" t="n">
        <v>62000000</v>
      </c>
      <c r="BC77" s="32" t="inlineStr">
        <is>
          <t>MID-MARKET</t>
        </is>
      </c>
      <c r="BD77" s="32" t="inlineStr">
        <is>
          <t>09536120</t>
        </is>
      </c>
      <c r="BE77" s="32" t="n">
        <v>1</v>
      </c>
      <c r="BF77" s="32" t="inlineStr"/>
    </row>
    <row r="78">
      <c r="A78" s="17" t="inlineStr">
        <is>
          <t>FERTILIZANTES TOCANTINS S.A</t>
        </is>
      </c>
      <c r="B78" s="18" t="n">
        <v>2016948.56</v>
      </c>
      <c r="C78" s="19" t="inlineStr">
        <is>
          <t>SOJAL COMERCIAL AGRICOLA LTDA e OUTROS</t>
        </is>
      </c>
      <c r="D78" s="20" t="inlineStr">
        <is>
          <t>NEW</t>
        </is>
      </c>
      <c r="E78" s="21" t="inlineStr"/>
      <c r="F78" s="20" t="inlineStr"/>
      <c r="G78" s="21" t="inlineStr"/>
      <c r="H78" s="20" t="inlineStr"/>
      <c r="I78" s="22" t="inlineStr">
        <is>
          <t>DMITRY CHERNYKH</t>
        </is>
      </c>
      <c r="J78" s="23" t="inlineStr">
        <is>
          <t>Presidente (RFB partner)</t>
        </is>
      </c>
      <c r="K78" s="22" t="inlineStr">
        <is>
          <t>(62) 3414-6300</t>
        </is>
      </c>
      <c r="L78" s="22" t="inlineStr"/>
      <c r="M78" s="22" t="inlineStr"/>
      <c r="N78" s="22" t="inlineStr"/>
      <c r="O78" s="22" t="inlineStr"/>
      <c r="P78" s="22" t="inlineStr">
        <is>
          <t>ALEKSANDR BENKE</t>
        </is>
      </c>
      <c r="Q78" s="22" t="inlineStr">
        <is>
          <t>Diretor (RFB partner)</t>
        </is>
      </c>
      <c r="R78" s="22" t="inlineStr"/>
      <c r="S78" s="22" t="inlineStr"/>
      <c r="T78" s="22" t="inlineStr">
        <is>
          <t>DM = registered partner (RFB QSA); no Apollo match</t>
        </is>
      </c>
      <c r="U78" s="24" t="n">
        <v>2016948.56</v>
      </c>
      <c r="V78" s="25" t="inlineStr">
        <is>
          <t>B</t>
        </is>
      </c>
      <c r="W78" s="26" t="inlineStr"/>
      <c r="X78" s="27" t="inlineStr"/>
      <c r="Y78" s="27" t="inlineStr"/>
      <c r="Z78" s="26">
        <f>IF(W78&lt;&gt;"",W78,IFERROR(VLOOKUP(V78,Assumptions!$A$8:$F$12,2,FALSE),0))</f>
        <v/>
      </c>
      <c r="AA78" s="28">
        <f>IF(V78="A",MAX(1,IF(X78&lt;&gt;"",X78,IFERROR(VLOOKUP(V78,Assumptions!$A$8:$F$12,3,FALSE),3))+IF(Y78&lt;&gt;"",Y78,IFERROR(VLOOKUP(V78,Assumptions!$A$8:$F$12,4,FALSE),8))/2-MAX(0,IF(AS78="",0,YEAR(TODAY())-AS78)-IFERROR(VLOOKUP(V78,Assumptions!$A$8:$F$12,5,FALSE),1.5))),IFERROR(VLOOKUP(V78,Assumptions!$A$8:$F$12,5,FALSE),2.5)+IF(X78&lt;&gt;"",X78,IFERROR(VLOOKUP(V78,Assumptions!$A$8:$F$12,3,FALSE),3))+IF(Y78&lt;&gt;"",Y78,IFERROR(VLOOKUP(V78,Assumptions!$A$8:$F$12,4,FALSE),8))/2)</f>
        <v/>
      </c>
      <c r="AB78" s="24">
        <f>U78*Z78/(1+Assumptions!$B$3)^AA78</f>
        <v/>
      </c>
      <c r="AC78" s="27">
        <f>IF(U78=0,"",ROUND(AB78/U78*100,1))</f>
        <v/>
      </c>
      <c r="AD78" s="29">
        <f>AB78*Assumptions!$B$4</f>
        <v/>
      </c>
      <c r="AE78" s="27">
        <f>IF(U78=0,"",ROUND(AD78/U78*100,1))</f>
        <v/>
      </c>
      <c r="AF78" s="29">
        <f>AB78-AD78</f>
        <v/>
      </c>
      <c r="AG78" s="27">
        <f>IF(U78=0,"",ROUND((AB78-AD78)/U78*100,1))</f>
        <v/>
      </c>
      <c r="AH78" s="30" t="inlineStr">
        <is>
          <t>OK — totals reconciled</t>
        </is>
      </c>
      <c r="AI78" s="31" t="inlineStr">
        <is>
          <t>https://lrflideres.com.br/wp-content/plugins/download-attachments/includes/download.php?id=6879</t>
        </is>
      </c>
      <c r="AJ78" s="30" t="inlineStr">
        <is>
          <t>p2 r1</t>
        </is>
      </c>
      <c r="AK78" s="30" t="inlineStr">
        <is>
          <t>p2: R$ 2.016.948,56</t>
        </is>
      </c>
      <c r="AL78" s="30" t="inlineStr">
        <is>
          <t>AJ list (art. 7 §2)</t>
        </is>
      </c>
      <c r="AM78" s="30" t="inlineStr">
        <is>
          <t>2026-01-15</t>
        </is>
      </c>
      <c r="AN78" s="30" t="inlineStr">
        <is>
          <t>NONE FOUND</t>
        </is>
      </c>
      <c r="AO78" s="32" t="inlineStr">
        <is>
          <t>0804401-51.2025.8.14.0039</t>
        </is>
      </c>
      <c r="AP78" s="32" t="inlineStr">
        <is>
          <t>TJPA</t>
        </is>
      </c>
      <c r="AQ78" s="32" t="inlineStr">
        <is>
          <t>Recuperação judicial</t>
        </is>
      </c>
      <c r="AR78" s="32" t="inlineStr">
        <is>
          <t>DataJud: no closure/falência movement</t>
        </is>
      </c>
      <c r="AS78" s="32" t="n">
        <v>2025</v>
      </c>
      <c r="AT78" s="32" t="inlineStr">
        <is>
          <t>live case, no plan document yet</t>
        </is>
      </c>
      <c r="AU78" s="32" t="inlineStr"/>
      <c r="AV78" s="32" t="inlineStr">
        <is>
          <t>printed on the list (read twice)</t>
        </is>
      </c>
      <c r="AW78" s="32" t="inlineStr"/>
      <c r="AX78" s="32" t="inlineStr">
        <is>
          <t>PORTO NACIONAL</t>
        </is>
      </c>
      <c r="AY78" s="32" t="inlineStr">
        <is>
          <t>TO</t>
        </is>
      </c>
      <c r="AZ78" s="32" t="inlineStr">
        <is>
          <t>Fabricação de adubos e fertilizantes, exceto organo-minerais</t>
        </is>
      </c>
      <c r="BA78" s="32" t="inlineStr">
        <is>
          <t>não ME/EPP</t>
        </is>
      </c>
      <c r="BB78" s="33" t="n">
        <v>2322453500</v>
      </c>
      <c r="BC78" s="32" t="inlineStr">
        <is>
          <t>LARGE CORP</t>
        </is>
      </c>
      <c r="BD78" s="32" t="inlineStr">
        <is>
          <t>05571228</t>
        </is>
      </c>
      <c r="BE78" s="32" t="n">
        <v>1</v>
      </c>
      <c r="BF78" s="32" t="inlineStr"/>
    </row>
    <row r="79">
      <c r="A79" s="17" t="inlineStr">
        <is>
          <t>STRATURA ASFALTOS LTDA.</t>
        </is>
      </c>
      <c r="B79" s="18" t="n">
        <v>2010640.78</v>
      </c>
      <c r="C79" s="19" t="inlineStr">
        <is>
          <t>GRUPO EGESA (Egesa Engenharia S.A. + 9 group companies; see group members)</t>
        </is>
      </c>
      <c r="D79" s="20" t="inlineStr">
        <is>
          <t>NEW</t>
        </is>
      </c>
      <c r="E79" s="21" t="inlineStr"/>
      <c r="F79" s="20" t="inlineStr"/>
      <c r="G79" s="21" t="inlineStr"/>
      <c r="H79" s="20" t="inlineStr"/>
      <c r="I79" s="22" t="inlineStr">
        <is>
          <t>CARLOS ALBERTO DE AQUINO PINHEIRO JUNIOR</t>
        </is>
      </c>
      <c r="J79" s="23" t="inlineStr">
        <is>
          <t>Administrador (RFB partner)</t>
        </is>
      </c>
      <c r="K79" s="22" t="inlineStr">
        <is>
          <t>(11) 3513-4260</t>
        </is>
      </c>
      <c r="L79" s="22" t="inlineStr"/>
      <c r="M79" s="22" t="inlineStr"/>
      <c r="N79" s="22" t="inlineStr"/>
      <c r="O79" s="22" t="inlineStr"/>
      <c r="P79" s="22" t="inlineStr"/>
      <c r="Q79" s="22" t="inlineStr"/>
      <c r="R79" s="22" t="inlineStr"/>
      <c r="S79" s="22" t="inlineStr"/>
      <c r="T79" s="22" t="inlineStr">
        <is>
          <t>DM = registered partner (RFB QSA); no Apollo match</t>
        </is>
      </c>
      <c r="U79" s="24" t="n">
        <v>2010640.78</v>
      </c>
      <c r="V79" s="25" t="inlineStr">
        <is>
          <t>B</t>
        </is>
      </c>
      <c r="W79" s="26" t="inlineStr"/>
      <c r="X79" s="27" t="inlineStr"/>
      <c r="Y79" s="27" t="inlineStr"/>
      <c r="Z79" s="26">
        <f>IF(W79&lt;&gt;"",W79,IFERROR(VLOOKUP(V79,Assumptions!$A$8:$F$12,2,FALSE),0))</f>
        <v/>
      </c>
      <c r="AA79" s="28">
        <f>IF(V79="A",MAX(1,IF(X79&lt;&gt;"",X79,IFERROR(VLOOKUP(V79,Assumptions!$A$8:$F$12,3,FALSE),3))+IF(Y79&lt;&gt;"",Y79,IFERROR(VLOOKUP(V79,Assumptions!$A$8:$F$12,4,FALSE),8))/2-MAX(0,IF(AS79="",0,YEAR(TODAY())-AS79)-IFERROR(VLOOKUP(V79,Assumptions!$A$8:$F$12,5,FALSE),1.5))),IFERROR(VLOOKUP(V79,Assumptions!$A$8:$F$12,5,FALSE),2.5)+IF(X79&lt;&gt;"",X79,IFERROR(VLOOKUP(V79,Assumptions!$A$8:$F$12,3,FALSE),3))+IF(Y79&lt;&gt;"",Y79,IFERROR(VLOOKUP(V79,Assumptions!$A$8:$F$12,4,FALSE),8))/2)</f>
        <v/>
      </c>
      <c r="AB79" s="24">
        <f>U79*Z79/(1+Assumptions!$B$3)^AA79</f>
        <v/>
      </c>
      <c r="AC79" s="27">
        <f>IF(U79=0,"",ROUND(AB79/U79*100,1))</f>
        <v/>
      </c>
      <c r="AD79" s="29">
        <f>AB79*Assumptions!$B$4</f>
        <v/>
      </c>
      <c r="AE79" s="27">
        <f>IF(U79=0,"",ROUND(AD79/U79*100,1))</f>
        <v/>
      </c>
      <c r="AF79" s="29">
        <f>AB79-AD79</f>
        <v/>
      </c>
      <c r="AG79" s="27">
        <f>IF(U79=0,"",ROUND((AB79-AD79)/U79*100,1))</f>
        <v/>
      </c>
      <c r="AH79" s="30" t="inlineStr">
        <is>
          <t>OK — totals reconciled</t>
        </is>
      </c>
      <c r="AI79" s="31" t="inlineStr">
        <is>
          <t>https://scalzilliaj.com.br/sgc/download.php?file=files/processo_documento/processo_documento09514021082025_1_.pdf&amp;nome=04 - Relação de credores das Recuperandas</t>
        </is>
      </c>
      <c r="AJ79" s="30" t="inlineStr">
        <is>
          <t>p73 r13</t>
        </is>
      </c>
      <c r="AK79" s="30" t="inlineStr">
        <is>
          <t>p73: R$ 2.010.640,78</t>
        </is>
      </c>
      <c r="AL79" s="30" t="inlineStr">
        <is>
          <t>Debtor list (art. 51)</t>
        </is>
      </c>
      <c r="AM79" s="30" t="inlineStr"/>
      <c r="AN79" s="30" t="inlineStr">
        <is>
          <t>NONE FOUND</t>
        </is>
      </c>
      <c r="AO79" s="32" t="inlineStr">
        <is>
          <t>5088952-81.2025.8.13.0024</t>
        </is>
      </c>
      <c r="AP79" s="32" t="inlineStr">
        <is>
          <t>TJMG</t>
        </is>
      </c>
      <c r="AQ79" s="32" t="inlineStr"/>
      <c r="AR79" s="32" t="inlineStr">
        <is>
          <t>DataJud: no closure/falência movement</t>
        </is>
      </c>
      <c r="AS79" s="32" t="n">
        <v>2025</v>
      </c>
      <c r="AT79" s="32" t="inlineStr">
        <is>
          <t>live case, no plan document yet; case no. from the portal record, not printed on the list</t>
        </is>
      </c>
      <c r="AU79" s="32" t="inlineStr"/>
      <c r="AV79" s="32" t="inlineStr">
        <is>
          <t>portal page title / URL — not printed on the list</t>
        </is>
      </c>
      <c r="AW79" s="32" t="inlineStr"/>
      <c r="AX79" s="32" t="inlineStr">
        <is>
          <t>SAO PAULO</t>
        </is>
      </c>
      <c r="AY79" s="32" t="inlineStr">
        <is>
          <t>SP</t>
        </is>
      </c>
      <c r="AZ79" s="32" t="inlineStr">
        <is>
          <t>Serviços combinados de escritório e apoio administrativo</t>
        </is>
      </c>
      <c r="BA79" s="32" t="inlineStr">
        <is>
          <t>não ME/EPP</t>
        </is>
      </c>
      <c r="BB79" s="33" t="n">
        <v>217733330</v>
      </c>
      <c r="BC79" s="32" t="inlineStr">
        <is>
          <t>MID-MARKET</t>
        </is>
      </c>
      <c r="BD79" s="32" t="inlineStr">
        <is>
          <t>59128553</t>
        </is>
      </c>
      <c r="BE79" s="32" t="n">
        <v>1</v>
      </c>
      <c r="BF79" s="32" t="inlineStr">
        <is>
          <t>case no. corrected by reader case no. from portal record</t>
        </is>
      </c>
    </row>
    <row r="80">
      <c r="A80" s="17" t="inlineStr">
        <is>
          <t>REICHENBACH EQUIPAMENTOS INDUSTRIA E COMERCIO LTDA</t>
        </is>
      </c>
      <c r="B80" s="18" t="n">
        <v>2002544.34</v>
      </c>
      <c r="C80" s="19" t="inlineStr">
        <is>
          <t>Grupo Conduscabos</t>
        </is>
      </c>
      <c r="D80" s="20" t="inlineStr">
        <is>
          <t>NEW</t>
        </is>
      </c>
      <c r="E80" s="21" t="inlineStr"/>
      <c r="F80" s="20" t="inlineStr"/>
      <c r="G80" s="21" t="inlineStr"/>
      <c r="H80" s="20" t="inlineStr"/>
      <c r="I80" s="22" t="inlineStr">
        <is>
          <t>Curt Reichenbach</t>
        </is>
      </c>
      <c r="J80" s="22" t="inlineStr">
        <is>
          <t>General Manager</t>
        </is>
      </c>
      <c r="K80" s="22" t="inlineStr">
        <is>
          <t>(11) 4181-5054</t>
        </is>
      </c>
      <c r="L80" s="22" t="inlineStr"/>
      <c r="M80" s="22" t="inlineStr"/>
      <c r="N80" s="22" t="inlineStr">
        <is>
          <t>curt@reichenbach.com.br</t>
        </is>
      </c>
      <c r="O80" s="22" t="inlineStr">
        <is>
          <t>verified</t>
        </is>
      </c>
      <c r="P80" s="22" t="inlineStr">
        <is>
          <t>Allan Reichenbach</t>
        </is>
      </c>
      <c r="Q80" s="22" t="inlineStr">
        <is>
          <t>Business Development Manager (ex Controller, owner family)</t>
        </is>
      </c>
      <c r="R80" s="22" t="inlineStr"/>
      <c r="S80" s="22" t="inlineStr">
        <is>
          <t>allan@reichenbach.com.br</t>
        </is>
      </c>
      <c r="T80" s="22" t="inlineStr">
        <is>
          <t>DM: has_email, phone Yes; BACKUP: backup, has_email, phone Yes</t>
        </is>
      </c>
      <c r="U80" s="24" t="n">
        <v>2002544.34</v>
      </c>
      <c r="V80" s="25" t="inlineStr">
        <is>
          <t>B</t>
        </is>
      </c>
      <c r="W80" s="26" t="inlineStr"/>
      <c r="X80" s="27" t="inlineStr"/>
      <c r="Y80" s="27" t="inlineStr"/>
      <c r="Z80" s="26">
        <f>IF(W80&lt;&gt;"",W80,IFERROR(VLOOKUP(V80,Assumptions!$A$8:$F$12,2,FALSE),0))</f>
        <v/>
      </c>
      <c r="AA80" s="28">
        <f>IF(V80="A",MAX(1,IF(X80&lt;&gt;"",X80,IFERROR(VLOOKUP(V80,Assumptions!$A$8:$F$12,3,FALSE),3))+IF(Y80&lt;&gt;"",Y80,IFERROR(VLOOKUP(V80,Assumptions!$A$8:$F$12,4,FALSE),8))/2-MAX(0,IF(AS80="",0,YEAR(TODAY())-AS80)-IFERROR(VLOOKUP(V80,Assumptions!$A$8:$F$12,5,FALSE),1.5))),IFERROR(VLOOKUP(V80,Assumptions!$A$8:$F$12,5,FALSE),2.5)+IF(X80&lt;&gt;"",X80,IFERROR(VLOOKUP(V80,Assumptions!$A$8:$F$12,3,FALSE),3))+IF(Y80&lt;&gt;"",Y80,IFERROR(VLOOKUP(V80,Assumptions!$A$8:$F$12,4,FALSE),8))/2)</f>
        <v/>
      </c>
      <c r="AB80" s="24">
        <f>U80*Z80/(1+Assumptions!$B$3)^AA80</f>
        <v/>
      </c>
      <c r="AC80" s="27">
        <f>IF(U80=0,"",ROUND(AB80/U80*100,1))</f>
        <v/>
      </c>
      <c r="AD80" s="29">
        <f>AB80*Assumptions!$B$4</f>
        <v/>
      </c>
      <c r="AE80" s="27">
        <f>IF(U80=0,"",ROUND(AD80/U80*100,1))</f>
        <v/>
      </c>
      <c r="AF80" s="29">
        <f>AB80-AD80</f>
        <v/>
      </c>
      <c r="AG80" s="27">
        <f>IF(U80=0,"",ROUND((AB80-AD80)/U80*100,1))</f>
        <v/>
      </c>
      <c r="AH80" s="34" t="inlineStr">
        <is>
          <t>NO TOTALS — list prints none; check page</t>
        </is>
      </c>
      <c r="AI80" s="31" t="inlineStr">
        <is>
          <t>https://assistjud.com.br/wp-content/uploads/elementor/forms/65098c80a5824.pdf</t>
        </is>
      </c>
      <c r="AJ80" s="30" t="inlineStr">
        <is>
          <t>p19 r6</t>
        </is>
      </c>
      <c r="AK80" s="30" t="inlineStr">
        <is>
          <t>p19: R$ 2.002.544,34</t>
        </is>
      </c>
      <c r="AL80" s="30" t="inlineStr">
        <is>
          <t>AJ list (art. 7 §2)</t>
        </is>
      </c>
      <c r="AM80" s="30" t="inlineStr">
        <is>
          <t>2023-09-18</t>
        </is>
      </c>
      <c r="AN80" s="30" t="inlineStr">
        <is>
          <t>NONE FOUND</t>
        </is>
      </c>
      <c r="AO80" s="32" t="inlineStr">
        <is>
          <t>8005129-09.2023.8.05.0039</t>
        </is>
      </c>
      <c r="AP80" s="32" t="inlineStr">
        <is>
          <t>TJBA</t>
        </is>
      </c>
      <c r="AQ80" s="32" t="inlineStr">
        <is>
          <t>Recuperação judicial</t>
        </is>
      </c>
      <c r="AR80" s="32" t="inlineStr">
        <is>
          <t>DataJud: no closure/falência movement</t>
        </is>
      </c>
      <c r="AS80" s="32" t="n">
        <v>2023</v>
      </c>
      <c r="AT80" s="32" t="inlineStr">
        <is>
          <t>live case, no plan document yet</t>
        </is>
      </c>
      <c r="AU80" s="32" t="inlineStr"/>
      <c r="AV80" s="32" t="inlineStr">
        <is>
          <t>printed on the list (read twice)</t>
        </is>
      </c>
      <c r="AW80" s="32" t="inlineStr"/>
      <c r="AX80" s="32" t="inlineStr">
        <is>
          <t>CARAPICUIBA</t>
        </is>
      </c>
      <c r="AY80" s="32" t="inlineStr">
        <is>
          <t>SP</t>
        </is>
      </c>
      <c r="AZ80" s="32" t="inlineStr">
        <is>
          <t>Fabricação de outras máquinas e equipamentos de uso geral não especificados anteriormente, peças e acessórios</t>
        </is>
      </c>
      <c r="BA80" s="32" t="inlineStr">
        <is>
          <t>não ME/EPP</t>
        </is>
      </c>
      <c r="BB80" s="33" t="n">
        <v>400000</v>
      </c>
      <c r="BC80" s="32" t="inlineStr">
        <is>
          <t>MID-MARKET</t>
        </is>
      </c>
      <c r="BD80" s="32" t="inlineStr">
        <is>
          <t>71799001</t>
        </is>
      </c>
      <c r="BE80" s="32" t="n">
        <v>1</v>
      </c>
      <c r="BF80" s="32" t="inlineStr">
        <is>
          <t>list prints no totals</t>
        </is>
      </c>
    </row>
    <row r="81">
      <c r="A81" s="17" t="inlineStr">
        <is>
          <t>AGRO INDUSTRIA NUTRIHORTO LTDA</t>
        </is>
      </c>
      <c r="B81" s="18" t="n">
        <v>1993755.38</v>
      </c>
      <c r="C81" s="19" t="inlineStr">
        <is>
          <t>Alto Uruguai Indústria e Comércio de Óleos Ltda</t>
        </is>
      </c>
      <c r="D81" s="20" t="inlineStr">
        <is>
          <t>NEW</t>
        </is>
      </c>
      <c r="E81" s="21" t="inlineStr"/>
      <c r="F81" s="20" t="inlineStr"/>
      <c r="G81" s="21" t="inlineStr"/>
      <c r="H81" s="20" t="inlineStr"/>
      <c r="I81" s="22" t="inlineStr">
        <is>
          <t>Valeria Zuca</t>
        </is>
      </c>
      <c r="J81" s="22" t="inlineStr">
        <is>
          <t>Director</t>
        </is>
      </c>
      <c r="K81" s="22" t="inlineStr">
        <is>
          <t>(19) 3199-1270</t>
        </is>
      </c>
      <c r="L81" s="22" t="inlineStr"/>
      <c r="M81" s="22" t="inlineStr"/>
      <c r="N81" s="22" t="inlineStr"/>
      <c r="O81" s="22" t="inlineStr"/>
      <c r="P81" s="22" t="inlineStr">
        <is>
          <t>OZEDIO ZUCA JUNIOR</t>
        </is>
      </c>
      <c r="Q81" s="22" t="inlineStr">
        <is>
          <t>Sócio-Administrador (RFB partner)</t>
        </is>
      </c>
      <c r="R81" s="22" t="inlineStr"/>
      <c r="S81" s="22" t="inlineStr"/>
      <c r="T81" s="22" t="inlineStr">
        <is>
          <t>no work email in Apollo for DM</t>
        </is>
      </c>
      <c r="U81" s="24" t="n">
        <v>1993755.38</v>
      </c>
      <c r="V81" s="25" t="inlineStr">
        <is>
          <t>B</t>
        </is>
      </c>
      <c r="W81" s="26" t="inlineStr"/>
      <c r="X81" s="27" t="inlineStr"/>
      <c r="Y81" s="27" t="inlineStr"/>
      <c r="Z81" s="26">
        <f>IF(W81&lt;&gt;"",W81,IFERROR(VLOOKUP(V81,Assumptions!$A$8:$F$12,2,FALSE),0))</f>
        <v/>
      </c>
      <c r="AA81" s="28">
        <f>IF(V81="A",MAX(1,IF(X81&lt;&gt;"",X81,IFERROR(VLOOKUP(V81,Assumptions!$A$8:$F$12,3,FALSE),3))+IF(Y81&lt;&gt;"",Y81,IFERROR(VLOOKUP(V81,Assumptions!$A$8:$F$12,4,FALSE),8))/2-MAX(0,IF(AS81="",0,YEAR(TODAY())-AS81)-IFERROR(VLOOKUP(V81,Assumptions!$A$8:$F$12,5,FALSE),1.5))),IFERROR(VLOOKUP(V81,Assumptions!$A$8:$F$12,5,FALSE),2.5)+IF(X81&lt;&gt;"",X81,IFERROR(VLOOKUP(V81,Assumptions!$A$8:$F$12,3,FALSE),3))+IF(Y81&lt;&gt;"",Y81,IFERROR(VLOOKUP(V81,Assumptions!$A$8:$F$12,4,FALSE),8))/2)</f>
        <v/>
      </c>
      <c r="AB81" s="24">
        <f>U81*Z81/(1+Assumptions!$B$3)^AA81</f>
        <v/>
      </c>
      <c r="AC81" s="27">
        <f>IF(U81=0,"",ROUND(AB81/U81*100,1))</f>
        <v/>
      </c>
      <c r="AD81" s="29">
        <f>AB81*Assumptions!$B$4</f>
        <v/>
      </c>
      <c r="AE81" s="27">
        <f>IF(U81=0,"",ROUND(AD81/U81*100,1))</f>
        <v/>
      </c>
      <c r="AF81" s="29">
        <f>AB81-AD81</f>
        <v/>
      </c>
      <c r="AG81" s="27">
        <f>IF(U81=0,"",ROUND((AB81-AD81)/U81*100,1))</f>
        <v/>
      </c>
      <c r="AH81" s="30" t="inlineStr">
        <is>
          <t>OK — totals reconciled</t>
        </is>
      </c>
      <c r="AI81" s="31" t="inlineStr">
        <is>
          <t>https://ajruiz.com.br/sites/default/files/public/arquivos-processos/2026-06/alto_uruguai_qgc_junho.2026.pdf</t>
        </is>
      </c>
      <c r="AJ81" s="30" t="inlineStr">
        <is>
          <t>p1 r3</t>
        </is>
      </c>
      <c r="AK81" s="30" t="inlineStr">
        <is>
          <t>p1: R$ 1.993.755,38</t>
        </is>
      </c>
      <c r="AL81" s="30" t="inlineStr">
        <is>
          <t>Unclassified list</t>
        </is>
      </c>
      <c r="AM81" s="30" t="inlineStr"/>
      <c r="AN81" s="30" t="inlineStr">
        <is>
          <t>NONE FOUND</t>
        </is>
      </c>
      <c r="AO81" s="32" t="inlineStr">
        <is>
          <t>5012743-51.2023.8.24.0019</t>
        </is>
      </c>
      <c r="AP81" s="32" t="inlineStr">
        <is>
          <t>TJSC</t>
        </is>
      </c>
      <c r="AQ81" s="32" t="inlineStr">
        <is>
          <t>Recuperação judicial</t>
        </is>
      </c>
      <c r="AR81" s="32" t="inlineStr">
        <is>
          <t>DataJud: no closure/falência movement</t>
        </is>
      </c>
      <c r="AS81" s="32" t="n">
        <v>2023</v>
      </c>
      <c r="AT81" s="32" t="inlineStr">
        <is>
          <t>live case, no plan document yet</t>
        </is>
      </c>
      <c r="AU81" s="32" t="inlineStr"/>
      <c r="AV81" s="32" t="inlineStr">
        <is>
          <t>printed on the list (read twice)</t>
        </is>
      </c>
      <c r="AW81" s="32" t="inlineStr"/>
      <c r="AX81" s="32" t="inlineStr">
        <is>
          <t>MONTE MOR</t>
        </is>
      </c>
      <c r="AY81" s="32" t="inlineStr">
        <is>
          <t>SP</t>
        </is>
      </c>
      <c r="AZ81" s="32" t="inlineStr">
        <is>
          <t>Recuperação de materiais não especificados anteriormente</t>
        </is>
      </c>
      <c r="BA81" s="32" t="inlineStr">
        <is>
          <t>não ME/EPP</t>
        </is>
      </c>
      <c r="BB81" s="33" t="n">
        <v>630000</v>
      </c>
      <c r="BC81" s="32" t="inlineStr">
        <is>
          <t>MID-MARKET</t>
        </is>
      </c>
      <c r="BD81" s="32" t="inlineStr">
        <is>
          <t>29652131</t>
        </is>
      </c>
      <c r="BE81" s="32" t="n">
        <v>1</v>
      </c>
      <c r="BF81" s="32" t="inlineStr"/>
    </row>
    <row r="82">
      <c r="A82" s="17" t="inlineStr">
        <is>
          <t>BRASIL ASFALTOS LTDA</t>
        </is>
      </c>
      <c r="B82" s="18" t="n">
        <v>7707516.4</v>
      </c>
      <c r="C82" s="19" t="inlineStr">
        <is>
          <t>CONSTRUTORA ANDRADE GUEDES LTDA</t>
        </is>
      </c>
      <c r="D82" s="20" t="inlineStr">
        <is>
          <t>NEW</t>
        </is>
      </c>
      <c r="E82" s="21" t="inlineStr"/>
      <c r="F82" s="20" t="inlineStr"/>
      <c r="G82" s="21" t="inlineStr"/>
      <c r="H82" s="20" t="inlineStr"/>
      <c r="I82" s="22" t="inlineStr">
        <is>
          <t>ALBERTO GARRIDO PINON</t>
        </is>
      </c>
      <c r="J82" s="23" t="inlineStr">
        <is>
          <t>Administrador (RFB partner)</t>
        </is>
      </c>
      <c r="K82" s="22" t="inlineStr">
        <is>
          <t>(71) 3118-2100</t>
        </is>
      </c>
      <c r="L82" s="22" t="inlineStr">
        <is>
          <t>(71) 3176-2828</t>
        </is>
      </c>
      <c r="M82" s="22" t="inlineStr"/>
      <c r="N82" s="22" t="inlineStr"/>
      <c r="O82" s="22" t="inlineStr"/>
      <c r="P82" s="22" t="inlineStr">
        <is>
          <t>DANIELA GARRIDO PINON</t>
        </is>
      </c>
      <c r="Q82" s="22" t="inlineStr">
        <is>
          <t>Administrador (RFB partner)</t>
        </is>
      </c>
      <c r="R82" s="22" t="inlineStr"/>
      <c r="S82" s="22" t="inlineStr"/>
      <c r="T82" s="22" t="inlineStr">
        <is>
          <t>DM = registered partner (RFB QSA); no Apollo match</t>
        </is>
      </c>
      <c r="U82" s="24" t="n">
        <v>7707516.4</v>
      </c>
      <c r="V82" s="39" t="inlineStr">
        <is>
          <t>C</t>
        </is>
      </c>
      <c r="W82" s="26" t="inlineStr"/>
      <c r="X82" s="27" t="inlineStr"/>
      <c r="Y82" s="27" t="inlineStr"/>
      <c r="Z82" s="26">
        <f>IF(W82&lt;&gt;"",W82,IFERROR(VLOOKUP(V82,Assumptions!$A$8:$F$12,2,FALSE),0))</f>
        <v/>
      </c>
      <c r="AA82" s="28">
        <f>IF(V82="A",MAX(1,IF(X82&lt;&gt;"",X82,IFERROR(VLOOKUP(V82,Assumptions!$A$8:$F$12,3,FALSE),3))+IF(Y82&lt;&gt;"",Y82,IFERROR(VLOOKUP(V82,Assumptions!$A$8:$F$12,4,FALSE),8))/2-MAX(0,IF(AS82="",0,YEAR(TODAY())-AS82)-IFERROR(VLOOKUP(V82,Assumptions!$A$8:$F$12,5,FALSE),1.5))),IFERROR(VLOOKUP(V82,Assumptions!$A$8:$F$12,5,FALSE),2.5)+IF(X82&lt;&gt;"",X82,IFERROR(VLOOKUP(V82,Assumptions!$A$8:$F$12,3,FALSE),3))+IF(Y82&lt;&gt;"",Y82,IFERROR(VLOOKUP(V82,Assumptions!$A$8:$F$12,4,FALSE),8))/2)</f>
        <v/>
      </c>
      <c r="AB82" s="24">
        <f>U82*Z82/(1+Assumptions!$B$3)^AA82</f>
        <v/>
      </c>
      <c r="AC82" s="27">
        <f>IF(U82=0,"",ROUND(AB82/U82*100,1))</f>
        <v/>
      </c>
      <c r="AD82" s="29">
        <f>AB82*Assumptions!$B$4</f>
        <v/>
      </c>
      <c r="AE82" s="27">
        <f>IF(U82=0,"",ROUND(AD82/U82*100,1))</f>
        <v/>
      </c>
      <c r="AF82" s="29">
        <f>AB82-AD82</f>
        <v/>
      </c>
      <c r="AG82" s="27">
        <f>IF(U82=0,"",ROUND((AB82-AD82)/U82*100,1))</f>
        <v/>
      </c>
      <c r="AH82" s="34" t="inlineStr">
        <is>
          <t>NO TOTALS — list prints none; check page</t>
        </is>
      </c>
      <c r="AI82" s="31" t="inlineStr">
        <is>
          <t>https://diligence.adm.br/wp-content/plugins/download-attachments/includes/download.php?id=4599</t>
        </is>
      </c>
      <c r="AJ82" s="30" t="inlineStr">
        <is>
          <t>p10 r9</t>
        </is>
      </c>
      <c r="AK82" s="30" t="inlineStr">
        <is>
          <t>p10: R$ 7.707.516,40</t>
        </is>
      </c>
      <c r="AL82" s="30" t="inlineStr">
        <is>
          <t>AJ list (art. 7 §2)</t>
        </is>
      </c>
      <c r="AM82" s="30" t="inlineStr">
        <is>
          <t>2024-06-25</t>
        </is>
      </c>
      <c r="AN82" s="30" t="inlineStr">
        <is>
          <t>NONE FOUND</t>
        </is>
      </c>
      <c r="AO82" s="32" t="inlineStr">
        <is>
          <t>0000880-57.2020.8.17.2001</t>
        </is>
      </c>
      <c r="AP82" s="32" t="inlineStr">
        <is>
          <t>TJPE</t>
        </is>
      </c>
      <c r="AQ82" s="32" t="inlineStr">
        <is>
          <t>Recuperação judicial</t>
        </is>
      </c>
      <c r="AR82" s="32" t="inlineStr">
        <is>
          <t>DataJud: no closure/falência movement</t>
        </is>
      </c>
      <c r="AS82" s="32" t="n">
        <v>2020</v>
      </c>
      <c r="AT82" s="32" t="inlineStr">
        <is>
          <t>6y since filing; plan not in our documents</t>
        </is>
      </c>
      <c r="AU82" s="32" t="inlineStr">
        <is>
          <t>08.073.264/0001-87</t>
        </is>
      </c>
      <c r="AV82" s="32" t="inlineStr">
        <is>
          <t>printed on the list (read twice)</t>
        </is>
      </c>
      <c r="AW82" s="32" t="inlineStr"/>
      <c r="AX82" s="32" t="inlineStr">
        <is>
          <t>CANDEIAS</t>
        </is>
      </c>
      <c r="AY82" s="32" t="inlineStr">
        <is>
          <t>BA</t>
        </is>
      </c>
      <c r="AZ82" s="32" t="inlineStr">
        <is>
          <t>Fabricação de outros produtos de minerais não-metálicos não especificados anteriormente</t>
        </is>
      </c>
      <c r="BA82" s="32" t="inlineStr">
        <is>
          <t>não ME/EPP</t>
        </is>
      </c>
      <c r="BB82" s="33" t="n">
        <v>56373000</v>
      </c>
      <c r="BC82" s="32" t="inlineStr">
        <is>
          <t>MID-MARKET</t>
        </is>
      </c>
      <c r="BD82" s="32" t="inlineStr">
        <is>
          <t>12447077</t>
        </is>
      </c>
      <c r="BE82" s="32" t="n">
        <v>1</v>
      </c>
      <c r="BF82" s="32" t="inlineStr">
        <is>
          <t>ALT_VALUE:R$613.244,70 ALT_VALUE:R$7.094.271,70 list prints no totals</t>
        </is>
      </c>
    </row>
    <row r="83">
      <c r="A83" s="17" t="inlineStr">
        <is>
          <t>PROTEGO BRASIL VALVULAS E CORTA CHAMAS LTDA</t>
        </is>
      </c>
      <c r="B83" s="18" t="n">
        <v>1955788.12</v>
      </c>
      <c r="C83" s="19" t="inlineStr">
        <is>
          <t>GRUPO EGESA (Egesa Engenharia S.A. + 9 group companies; see group members)</t>
        </is>
      </c>
      <c r="D83" s="20" t="inlineStr">
        <is>
          <t>NEW</t>
        </is>
      </c>
      <c r="E83" s="21" t="inlineStr"/>
      <c r="F83" s="20" t="inlineStr"/>
      <c r="G83" s="21" t="inlineStr"/>
      <c r="H83" s="20" t="inlineStr"/>
      <c r="I83" s="22" t="inlineStr">
        <is>
          <t>Francisco Siestrup</t>
        </is>
      </c>
      <c r="J83" s="22" t="inlineStr">
        <is>
          <t>CEO Protego Brasil</t>
        </is>
      </c>
      <c r="K83" s="22" t="inlineStr">
        <is>
          <t>(21) 2112-5700</t>
        </is>
      </c>
      <c r="L83" s="22" t="inlineStr">
        <is>
          <t>(21) 2112-5717</t>
        </is>
      </c>
      <c r="M83" s="22" t="inlineStr"/>
      <c r="N83" s="22" t="inlineStr">
        <is>
          <t>francisco.siestrup@protego.com</t>
        </is>
      </c>
      <c r="O83" s="22" t="inlineStr">
        <is>
          <t>verified</t>
        </is>
      </c>
      <c r="P83" s="22" t="inlineStr">
        <is>
          <t>Raphaela Campos</t>
        </is>
      </c>
      <c r="Q83" s="22" t="inlineStr">
        <is>
          <t>Financial Assistant</t>
        </is>
      </c>
      <c r="R83" s="22" t="inlineStr"/>
      <c r="S83" s="22" t="inlineStr">
        <is>
          <t>raphaela.campos@protego.com</t>
        </is>
      </c>
      <c r="T83" s="22" t="inlineStr">
        <is>
          <t>DM: has_email, phone Yes; BACKUP: backup, has_email</t>
        </is>
      </c>
      <c r="U83" s="24" t="n">
        <v>1955788.12</v>
      </c>
      <c r="V83" s="25" t="inlineStr">
        <is>
          <t>B</t>
        </is>
      </c>
      <c r="W83" s="26" t="inlineStr"/>
      <c r="X83" s="27" t="inlineStr"/>
      <c r="Y83" s="27" t="inlineStr"/>
      <c r="Z83" s="26">
        <f>IF(W83&lt;&gt;"",W83,IFERROR(VLOOKUP(V83,Assumptions!$A$8:$F$12,2,FALSE),0))</f>
        <v/>
      </c>
      <c r="AA83" s="28">
        <f>IF(V83="A",MAX(1,IF(X83&lt;&gt;"",X83,IFERROR(VLOOKUP(V83,Assumptions!$A$8:$F$12,3,FALSE),3))+IF(Y83&lt;&gt;"",Y83,IFERROR(VLOOKUP(V83,Assumptions!$A$8:$F$12,4,FALSE),8))/2-MAX(0,IF(AS83="",0,YEAR(TODAY())-AS83)-IFERROR(VLOOKUP(V83,Assumptions!$A$8:$F$12,5,FALSE),1.5))),IFERROR(VLOOKUP(V83,Assumptions!$A$8:$F$12,5,FALSE),2.5)+IF(X83&lt;&gt;"",X83,IFERROR(VLOOKUP(V83,Assumptions!$A$8:$F$12,3,FALSE),3))+IF(Y83&lt;&gt;"",Y83,IFERROR(VLOOKUP(V83,Assumptions!$A$8:$F$12,4,FALSE),8))/2)</f>
        <v/>
      </c>
      <c r="AB83" s="24">
        <f>U83*Z83/(1+Assumptions!$B$3)^AA83</f>
        <v/>
      </c>
      <c r="AC83" s="27">
        <f>IF(U83=0,"",ROUND(AB83/U83*100,1))</f>
        <v/>
      </c>
      <c r="AD83" s="29">
        <f>AB83*Assumptions!$B$4</f>
        <v/>
      </c>
      <c r="AE83" s="27">
        <f>IF(U83=0,"",ROUND(AD83/U83*100,1))</f>
        <v/>
      </c>
      <c r="AF83" s="29">
        <f>AB83-AD83</f>
        <v/>
      </c>
      <c r="AG83" s="27">
        <f>IF(U83=0,"",ROUND((AB83-AD83)/U83*100,1))</f>
        <v/>
      </c>
      <c r="AH83" s="30" t="inlineStr">
        <is>
          <t>OK — totals reconciled</t>
        </is>
      </c>
      <c r="AI83" s="31" t="inlineStr">
        <is>
          <t>https://scalzilliaj.com.br/sgc/download.php?file=files/processo_documento/processo_documento09514021082025_1_.pdf&amp;nome=04 - Relação de credores das Recuperandas</t>
        </is>
      </c>
      <c r="AJ83" s="30" t="inlineStr">
        <is>
          <t>p71 r18</t>
        </is>
      </c>
      <c r="AK83" s="30" t="inlineStr">
        <is>
          <t>p71: R$ 1.955.788,12</t>
        </is>
      </c>
      <c r="AL83" s="30" t="inlineStr">
        <is>
          <t>Debtor list (art. 51)</t>
        </is>
      </c>
      <c r="AM83" s="30" t="inlineStr"/>
      <c r="AN83" s="30" t="inlineStr">
        <is>
          <t>NONE FOUND</t>
        </is>
      </c>
      <c r="AO83" s="32" t="inlineStr">
        <is>
          <t>5088952-81.2025.8.13.0024</t>
        </is>
      </c>
      <c r="AP83" s="32" t="inlineStr">
        <is>
          <t>TJMG</t>
        </is>
      </c>
      <c r="AQ83" s="32" t="inlineStr"/>
      <c r="AR83" s="32" t="inlineStr">
        <is>
          <t>DataJud: no closure/falência movement</t>
        </is>
      </c>
      <c r="AS83" s="32" t="n">
        <v>2025</v>
      </c>
      <c r="AT83" s="32" t="inlineStr">
        <is>
          <t>live case, no plan document yet; case no. from the portal record, not printed on the list</t>
        </is>
      </c>
      <c r="AU83" s="32" t="inlineStr"/>
      <c r="AV83" s="32" t="inlineStr">
        <is>
          <t>portal page title / URL — not printed on the list</t>
        </is>
      </c>
      <c r="AW83" s="32" t="inlineStr"/>
      <c r="AX83" s="32" t="inlineStr">
        <is>
          <t>RIO DE JANEIRO</t>
        </is>
      </c>
      <c r="AY83" s="32" t="inlineStr">
        <is>
          <t>RJ</t>
        </is>
      </c>
      <c r="AZ83" s="32" t="inlineStr">
        <is>
          <t>Fabricação de válvulas, registros e dispositivos semelhantes, peças e acessórios</t>
        </is>
      </c>
      <c r="BA83" s="32" t="inlineStr">
        <is>
          <t>não ME/EPP</t>
        </is>
      </c>
      <c r="BB83" s="33" t="n">
        <v>7300479.5</v>
      </c>
      <c r="BC83" s="32" t="inlineStr">
        <is>
          <t>MID-MARKET</t>
        </is>
      </c>
      <c r="BD83" s="32" t="inlineStr">
        <is>
          <t>14325185</t>
        </is>
      </c>
      <c r="BE83" s="32" t="n">
        <v>1</v>
      </c>
      <c r="BF83" s="32" t="inlineStr">
        <is>
          <t>case no. corrected by reader case no. from portal record</t>
        </is>
      </c>
    </row>
    <row r="84">
      <c r="A84" s="17" t="inlineStr">
        <is>
          <t>GEOLAB INDUSTRIA FARMACEUTICA S/A</t>
        </is>
      </c>
      <c r="B84" s="18" t="n">
        <v>1918724.72</v>
      </c>
      <c r="C84" s="19" t="inlineStr">
        <is>
          <t>GRUPO DP4</t>
        </is>
      </c>
      <c r="D84" s="20" t="inlineStr">
        <is>
          <t>NEW</t>
        </is>
      </c>
      <c r="E84" s="21" t="inlineStr"/>
      <c r="F84" s="20" t="inlineStr"/>
      <c r="G84" s="21" t="inlineStr"/>
      <c r="H84" s="20" t="inlineStr"/>
      <c r="I84" s="22" t="inlineStr">
        <is>
          <t>GEORGES HAJJAR JUNIOR</t>
        </is>
      </c>
      <c r="J84" s="23" t="inlineStr">
        <is>
          <t>Presidente (RFB partner)</t>
        </is>
      </c>
      <c r="K84" s="22" t="inlineStr">
        <is>
          <t>(62) 4015-4000</t>
        </is>
      </c>
      <c r="L84" s="22" t="inlineStr"/>
      <c r="M84" s="22" t="inlineStr"/>
      <c r="N84" s="22" t="inlineStr"/>
      <c r="O84" s="22" t="inlineStr"/>
      <c r="P84" s="22" t="inlineStr">
        <is>
          <t>ANDRE LUIZ HAJJAR</t>
        </is>
      </c>
      <c r="Q84" s="22" t="inlineStr">
        <is>
          <t>Diretor (RFB partner)</t>
        </is>
      </c>
      <c r="R84" s="22" t="inlineStr"/>
      <c r="S84" s="22" t="inlineStr"/>
      <c r="T84" s="22" t="inlineStr">
        <is>
          <t>DM = registered partner (RFB QSA); no Apollo match</t>
        </is>
      </c>
      <c r="U84" s="24" t="n">
        <v>1918724.72</v>
      </c>
      <c r="V84" s="25" t="inlineStr">
        <is>
          <t>B</t>
        </is>
      </c>
      <c r="W84" s="26" t="inlineStr"/>
      <c r="X84" s="27" t="inlineStr"/>
      <c r="Y84" s="27" t="inlineStr"/>
      <c r="Z84" s="26">
        <f>IF(W84&lt;&gt;"",W84,IFERROR(VLOOKUP(V84,Assumptions!$A$8:$F$12,2,FALSE),0))</f>
        <v/>
      </c>
      <c r="AA84" s="28">
        <f>IF(V84="A",MAX(1,IF(X84&lt;&gt;"",X84,IFERROR(VLOOKUP(V84,Assumptions!$A$8:$F$12,3,FALSE),3))+IF(Y84&lt;&gt;"",Y84,IFERROR(VLOOKUP(V84,Assumptions!$A$8:$F$12,4,FALSE),8))/2-MAX(0,IF(AS84="",0,YEAR(TODAY())-AS84)-IFERROR(VLOOKUP(V84,Assumptions!$A$8:$F$12,5,FALSE),1.5))),IFERROR(VLOOKUP(V84,Assumptions!$A$8:$F$12,5,FALSE),2.5)+IF(X84&lt;&gt;"",X84,IFERROR(VLOOKUP(V84,Assumptions!$A$8:$F$12,3,FALSE),3))+IF(Y84&lt;&gt;"",Y84,IFERROR(VLOOKUP(V84,Assumptions!$A$8:$F$12,4,FALSE),8))/2)</f>
        <v/>
      </c>
      <c r="AB84" s="24">
        <f>U84*Z84/(1+Assumptions!$B$3)^AA84</f>
        <v/>
      </c>
      <c r="AC84" s="27">
        <f>IF(U84=0,"",ROUND(AB84/U84*100,1))</f>
        <v/>
      </c>
      <c r="AD84" s="29">
        <f>AB84*Assumptions!$B$4</f>
        <v/>
      </c>
      <c r="AE84" s="27">
        <f>IF(U84=0,"",ROUND(AD84/U84*100,1))</f>
        <v/>
      </c>
      <c r="AF84" s="29">
        <f>AB84-AD84</f>
        <v/>
      </c>
      <c r="AG84" s="27">
        <f>IF(U84=0,"",ROUND((AB84-AD84)/U84*100,1))</f>
        <v/>
      </c>
      <c r="AH84" s="35" t="inlineStr">
        <is>
          <t>PARTIAL — class III reconciled, other classes not</t>
        </is>
      </c>
      <c r="AI84" s="31" t="inlineStr">
        <is>
          <t>https://marquesadmjudicial.com.br/sgc/download.php?file=files/processo_documento/processo_documento15293208032024_1_.pdf&amp;nome=Relação Nominal de Credores da AJ-Sintética</t>
        </is>
      </c>
      <c r="AJ84" s="30" t="inlineStr">
        <is>
          <t>p26 r3</t>
        </is>
      </c>
      <c r="AK84" s="30" t="inlineStr">
        <is>
          <t>p26: R$ 1.918.724,72</t>
        </is>
      </c>
      <c r="AL84" s="30" t="inlineStr">
        <is>
          <t>AJ list (art. 7 §2)</t>
        </is>
      </c>
      <c r="AM84" s="30" t="inlineStr">
        <is>
          <t>2023-03-02</t>
        </is>
      </c>
      <c r="AN84" s="30" t="inlineStr">
        <is>
          <t>NONE FOUND</t>
        </is>
      </c>
      <c r="AO84" s="32" t="inlineStr">
        <is>
          <t>0005010-98.2023.8.16.0001</t>
        </is>
      </c>
      <c r="AP84" s="32" t="inlineStr">
        <is>
          <t>TJPR</t>
        </is>
      </c>
      <c r="AQ84" s="32" t="inlineStr">
        <is>
          <t>Recuperação judicial</t>
        </is>
      </c>
      <c r="AR84" s="32" t="inlineStr">
        <is>
          <t>DataJud: no closure/falência movement</t>
        </is>
      </c>
      <c r="AS84" s="32" t="n">
        <v>2023</v>
      </c>
      <c r="AT84" s="32" t="inlineStr">
        <is>
          <t>live case, no plan document yet</t>
        </is>
      </c>
      <c r="AU84" s="32" t="inlineStr"/>
      <c r="AV84" s="32" t="inlineStr">
        <is>
          <t>printed on the list (read twice)</t>
        </is>
      </c>
      <c r="AW84" s="32" t="inlineStr"/>
      <c r="AX84" s="32" t="inlineStr">
        <is>
          <t>ANAPOLIS</t>
        </is>
      </c>
      <c r="AY84" s="32" t="inlineStr">
        <is>
          <t>GO</t>
        </is>
      </c>
      <c r="AZ84" s="32" t="inlineStr">
        <is>
          <t>Fabricação de medicamentos alopáticos para uso humano</t>
        </is>
      </c>
      <c r="BA84" s="32" t="inlineStr">
        <is>
          <t>não ME/EPP</t>
        </is>
      </c>
      <c r="BB84" s="33" t="n">
        <v>500000000</v>
      </c>
      <c r="BC84" s="32" t="inlineStr">
        <is>
          <t>LARGE CORP</t>
        </is>
      </c>
      <c r="BD84" s="32" t="inlineStr">
        <is>
          <t>03485572</t>
        </is>
      </c>
      <c r="BE84" s="32" t="n">
        <v>1</v>
      </c>
      <c r="BF84" s="32" t="inlineStr">
        <is>
          <t>class III reconciled (doc partial)</t>
        </is>
      </c>
    </row>
    <row r="85">
      <c r="A85" s="17" t="inlineStr">
        <is>
          <t>BECK ACOS MANUFATURADOS LTDA</t>
        </is>
      </c>
      <c r="B85" s="18" t="n">
        <v>1886828.69</v>
      </c>
      <c r="C85" s="19" t="inlineStr">
        <is>
          <t>GRUPO EGESA (Egesa Engenharia S.A. + 9 group companies; see group members)</t>
        </is>
      </c>
      <c r="D85" s="20" t="inlineStr">
        <is>
          <t>NEW</t>
        </is>
      </c>
      <c r="E85" s="21" t="inlineStr"/>
      <c r="F85" s="20" t="inlineStr"/>
      <c r="G85" s="21" t="inlineStr"/>
      <c r="H85" s="20" t="inlineStr"/>
      <c r="I85" s="22" t="inlineStr">
        <is>
          <t>JOSE MAURICIO COSTA DE ALMEIDA</t>
        </is>
      </c>
      <c r="J85" s="23" t="inlineStr">
        <is>
          <t>Sócio-Administrador (RFB partner)</t>
        </is>
      </c>
      <c r="K85" s="22" t="inlineStr">
        <is>
          <t>(31) 8896-6044</t>
        </is>
      </c>
      <c r="L85" s="22" t="inlineStr">
        <is>
          <t>(31) 8896-7549</t>
        </is>
      </c>
      <c r="M85" s="22" t="inlineStr"/>
      <c r="N85" s="22" t="inlineStr"/>
      <c r="O85" s="22" t="inlineStr"/>
      <c r="P85" s="22" t="inlineStr"/>
      <c r="Q85" s="22" t="inlineStr"/>
      <c r="R85" s="22" t="inlineStr"/>
      <c r="S85" s="22" t="inlineStr"/>
      <c r="T85" s="22" t="inlineStr">
        <is>
          <t>DM = registered partner (RFB QSA); no Apollo match</t>
        </is>
      </c>
      <c r="U85" s="24" t="n">
        <v>1886828.69</v>
      </c>
      <c r="V85" s="25" t="inlineStr">
        <is>
          <t>B</t>
        </is>
      </c>
      <c r="W85" s="26" t="inlineStr"/>
      <c r="X85" s="27" t="inlineStr"/>
      <c r="Y85" s="27" t="inlineStr"/>
      <c r="Z85" s="26">
        <f>IF(W85&lt;&gt;"",W85,IFERROR(VLOOKUP(V85,Assumptions!$A$8:$F$12,2,FALSE),0))</f>
        <v/>
      </c>
      <c r="AA85" s="28">
        <f>IF(V85="A",MAX(1,IF(X85&lt;&gt;"",X85,IFERROR(VLOOKUP(V85,Assumptions!$A$8:$F$12,3,FALSE),3))+IF(Y85&lt;&gt;"",Y85,IFERROR(VLOOKUP(V85,Assumptions!$A$8:$F$12,4,FALSE),8))/2-MAX(0,IF(AS85="",0,YEAR(TODAY())-AS85)-IFERROR(VLOOKUP(V85,Assumptions!$A$8:$F$12,5,FALSE),1.5))),IFERROR(VLOOKUP(V85,Assumptions!$A$8:$F$12,5,FALSE),2.5)+IF(X85&lt;&gt;"",X85,IFERROR(VLOOKUP(V85,Assumptions!$A$8:$F$12,3,FALSE),3))+IF(Y85&lt;&gt;"",Y85,IFERROR(VLOOKUP(V85,Assumptions!$A$8:$F$12,4,FALSE),8))/2)</f>
        <v/>
      </c>
      <c r="AB85" s="24">
        <f>U85*Z85/(1+Assumptions!$B$3)^AA85</f>
        <v/>
      </c>
      <c r="AC85" s="27">
        <f>IF(U85=0,"",ROUND(AB85/U85*100,1))</f>
        <v/>
      </c>
      <c r="AD85" s="29">
        <f>AB85*Assumptions!$B$4</f>
        <v/>
      </c>
      <c r="AE85" s="27">
        <f>IF(U85=0,"",ROUND(AD85/U85*100,1))</f>
        <v/>
      </c>
      <c r="AF85" s="29">
        <f>AB85-AD85</f>
        <v/>
      </c>
      <c r="AG85" s="27">
        <f>IF(U85=0,"",ROUND((AB85-AD85)/U85*100,1))</f>
        <v/>
      </c>
      <c r="AH85" s="30" t="inlineStr">
        <is>
          <t>OK — totals reconciled</t>
        </is>
      </c>
      <c r="AI85" s="31" t="inlineStr">
        <is>
          <t>https://scalzilliaj.com.br/sgc/download.php?file=files/processo_documento/processo_documento09514021082025_1_.pdf&amp;nome=04 - Relação de credores das Recuperandas</t>
        </is>
      </c>
      <c r="AJ85" s="30" t="inlineStr">
        <is>
          <t>p63 r7</t>
        </is>
      </c>
      <c r="AK85" s="30" t="inlineStr">
        <is>
          <t>p63: R$ 1.886.828,69</t>
        </is>
      </c>
      <c r="AL85" s="30" t="inlineStr">
        <is>
          <t>Debtor list (art. 51)</t>
        </is>
      </c>
      <c r="AM85" s="30" t="inlineStr"/>
      <c r="AN85" s="30" t="inlineStr">
        <is>
          <t>NONE FOUND</t>
        </is>
      </c>
      <c r="AO85" s="32" t="inlineStr">
        <is>
          <t>5088952-81.2025.8.13.0024</t>
        </is>
      </c>
      <c r="AP85" s="32" t="inlineStr">
        <is>
          <t>TJMG</t>
        </is>
      </c>
      <c r="AQ85" s="32" t="inlineStr"/>
      <c r="AR85" s="32" t="inlineStr">
        <is>
          <t>DataJud: no closure/falência movement</t>
        </is>
      </c>
      <c r="AS85" s="32" t="n">
        <v>2025</v>
      </c>
      <c r="AT85" s="32" t="inlineStr">
        <is>
          <t>live case, no plan document yet; case no. from the portal record, not printed on the list</t>
        </is>
      </c>
      <c r="AU85" s="32" t="inlineStr"/>
      <c r="AV85" s="32" t="inlineStr">
        <is>
          <t>portal page title / URL — not printed on the list</t>
        </is>
      </c>
      <c r="AW85" s="32" t="inlineStr"/>
      <c r="AX85" s="32" t="inlineStr">
        <is>
          <t>VESPASIANO</t>
        </is>
      </c>
      <c r="AY85" s="32" t="inlineStr">
        <is>
          <t>MG</t>
        </is>
      </c>
      <c r="AZ85" s="32" t="inlineStr">
        <is>
          <t>Fabricação de estruturas metálicas</t>
        </is>
      </c>
      <c r="BA85" s="32" t="inlineStr">
        <is>
          <t>não ME/EPP</t>
        </is>
      </c>
      <c r="BB85" s="33" t="n">
        <v>2400000</v>
      </c>
      <c r="BC85" s="32" t="inlineStr">
        <is>
          <t>MID-MARKET</t>
        </is>
      </c>
      <c r="BD85" s="32" t="inlineStr">
        <is>
          <t>07651282</t>
        </is>
      </c>
      <c r="BE85" s="32" t="n">
        <v>1</v>
      </c>
      <c r="BF85" s="32" t="inlineStr">
        <is>
          <t>case no. corrected by reader case no. from portal record</t>
        </is>
      </c>
    </row>
    <row r="86">
      <c r="A86" s="17" t="inlineStr">
        <is>
          <t>SOCIEDADE ESPORTIVA PALMEIRAS</t>
        </is>
      </c>
      <c r="B86" s="18" t="n">
        <v>1867912.24</v>
      </c>
      <c r="C86" s="19" t="inlineStr">
        <is>
          <t>CLUBE NÁUTICO CAPIBARIBE</t>
        </is>
      </c>
      <c r="D86" s="20" t="inlineStr">
        <is>
          <t>NEW</t>
        </is>
      </c>
      <c r="E86" s="21" t="inlineStr"/>
      <c r="F86" s="20" t="inlineStr"/>
      <c r="G86" s="21" t="inlineStr"/>
      <c r="H86" s="20" t="inlineStr"/>
      <c r="I86" s="22" t="inlineStr">
        <is>
          <t>Luciano Cavalli</t>
        </is>
      </c>
      <c r="J86" s="22" t="inlineStr">
        <is>
          <t>Diretor Executivo Administrativo</t>
        </is>
      </c>
      <c r="K86" s="22" t="inlineStr">
        <is>
          <t>(11) 3874-6500</t>
        </is>
      </c>
      <c r="L86" s="22" t="inlineStr">
        <is>
          <t>(11) 3679-7859</t>
        </is>
      </c>
      <c r="M86" s="22" t="inlineStr"/>
      <c r="N86" s="22" t="inlineStr">
        <is>
          <t>luciano.cavalli@palmeiras.com.br</t>
        </is>
      </c>
      <c r="O86" s="22" t="inlineStr">
        <is>
          <t>verified</t>
        </is>
      </c>
      <c r="P86" s="22" t="inlineStr">
        <is>
          <t>LEILA MEJDALANI PEREIRA</t>
        </is>
      </c>
      <c r="Q86" s="22" t="inlineStr">
        <is>
          <t>Presidente (RFB partner)</t>
        </is>
      </c>
      <c r="R86" s="22" t="inlineStr"/>
      <c r="S86" s="22" t="inlineStr"/>
      <c r="T86" s="22" t="inlineStr">
        <is>
          <t>DM: has_email, phone Yes</t>
        </is>
      </c>
      <c r="U86" s="24" t="n">
        <v>1867912.24</v>
      </c>
      <c r="V86" s="25" t="inlineStr">
        <is>
          <t>B</t>
        </is>
      </c>
      <c r="W86" s="26" t="inlineStr"/>
      <c r="X86" s="27" t="inlineStr"/>
      <c r="Y86" s="27" t="inlineStr"/>
      <c r="Z86" s="26">
        <f>IF(W86&lt;&gt;"",W86,IFERROR(VLOOKUP(V86,Assumptions!$A$8:$F$12,2,FALSE),0))</f>
        <v/>
      </c>
      <c r="AA86" s="28">
        <f>IF(V86="A",MAX(1,IF(X86&lt;&gt;"",X86,IFERROR(VLOOKUP(V86,Assumptions!$A$8:$F$12,3,FALSE),3))+IF(Y86&lt;&gt;"",Y86,IFERROR(VLOOKUP(V86,Assumptions!$A$8:$F$12,4,FALSE),8))/2-MAX(0,IF(AS86="",0,YEAR(TODAY())-AS86)-IFERROR(VLOOKUP(V86,Assumptions!$A$8:$F$12,5,FALSE),1.5))),IFERROR(VLOOKUP(V86,Assumptions!$A$8:$F$12,5,FALSE),2.5)+IF(X86&lt;&gt;"",X86,IFERROR(VLOOKUP(V86,Assumptions!$A$8:$F$12,3,FALSE),3))+IF(Y86&lt;&gt;"",Y86,IFERROR(VLOOKUP(V86,Assumptions!$A$8:$F$12,4,FALSE),8))/2)</f>
        <v/>
      </c>
      <c r="AB86" s="24">
        <f>U86*Z86/(1+Assumptions!$B$3)^AA86</f>
        <v/>
      </c>
      <c r="AC86" s="27">
        <f>IF(U86=0,"",ROUND(AB86/U86*100,1))</f>
        <v/>
      </c>
      <c r="AD86" s="29">
        <f>AB86*Assumptions!$B$4</f>
        <v/>
      </c>
      <c r="AE86" s="27">
        <f>IF(U86=0,"",ROUND(AD86/U86*100,1))</f>
        <v/>
      </c>
      <c r="AF86" s="29">
        <f>AB86-AD86</f>
        <v/>
      </c>
      <c r="AG86" s="27">
        <f>IF(U86=0,"",ROUND((AB86-AD86)/U86*100,1))</f>
        <v/>
      </c>
      <c r="AH86" s="35" t="inlineStr">
        <is>
          <t>PARTIAL — class III reconciled, other classes not</t>
        </is>
      </c>
      <c r="AI86" s="31" t="inlineStr">
        <is>
          <t>https://lrflideres.com.br/wp-content/plugins/download-attachments/includes/download.php?id=5589</t>
        </is>
      </c>
      <c r="AJ86" s="30" t="inlineStr">
        <is>
          <t>p12 r43</t>
        </is>
      </c>
      <c r="AK86" s="30" t="inlineStr">
        <is>
          <t>p12: R$ 1.867.912,24</t>
        </is>
      </c>
      <c r="AL86" s="30" t="inlineStr">
        <is>
          <t>AJ list (art. 7 §2)</t>
        </is>
      </c>
      <c r="AM86" s="30" t="inlineStr">
        <is>
          <t>2023-11-27</t>
        </is>
      </c>
      <c r="AN86" s="30" t="inlineStr">
        <is>
          <t>NONE FOUND</t>
        </is>
      </c>
      <c r="AO86" s="32" t="inlineStr">
        <is>
          <t>0011283-80.2023.8.17.2001</t>
        </is>
      </c>
      <c r="AP86" s="32" t="inlineStr">
        <is>
          <t>TJPE</t>
        </is>
      </c>
      <c r="AQ86" s="32" t="inlineStr">
        <is>
          <t>Recuperação judicial</t>
        </is>
      </c>
      <c r="AR86" s="32" t="inlineStr">
        <is>
          <t>DataJud: no closure/falência movement</t>
        </is>
      </c>
      <c r="AS86" s="32" t="n">
        <v>2023</v>
      </c>
      <c r="AT86" s="32" t="inlineStr">
        <is>
          <t>live case, no plan document yet; atypical debtor (associação/clube/hospital/produtor rural): admissibility or claim subjection may be contested</t>
        </is>
      </c>
      <c r="AU86" s="32" t="inlineStr">
        <is>
          <t>08.145.021/0001-07</t>
        </is>
      </c>
      <c r="AV86" s="32" t="inlineStr">
        <is>
          <t>printed on the list (read twice)</t>
        </is>
      </c>
      <c r="AW86" s="32" t="inlineStr"/>
      <c r="AX86" s="32" t="inlineStr">
        <is>
          <t>SAO PAULO</t>
        </is>
      </c>
      <c r="AY86" s="32" t="inlineStr">
        <is>
          <t>SP</t>
        </is>
      </c>
      <c r="AZ86" s="32" t="inlineStr">
        <is>
          <t>Clubes sociais, esportivos e similares</t>
        </is>
      </c>
      <c r="BA86" s="32" t="inlineStr">
        <is>
          <t>não ME/EPP</t>
        </is>
      </c>
      <c r="BB86" s="33" t="inlineStr"/>
      <c r="BC86" s="32" t="inlineStr">
        <is>
          <t>UNKNOWN</t>
        </is>
      </c>
      <c r="BD86" s="32" t="inlineStr">
        <is>
          <t>61750345</t>
        </is>
      </c>
      <c r="BE86" s="32" t="n">
        <v>1</v>
      </c>
      <c r="BF86" s="32" t="inlineStr">
        <is>
          <t>class III reconciled (doc partial)</t>
        </is>
      </c>
    </row>
    <row r="87">
      <c r="A87" s="17" t="inlineStr">
        <is>
          <t>B S DISTRIBUIDORA DE PRODUTOS DE HIGIENE LTDA</t>
        </is>
      </c>
      <c r="B87" s="18" t="n">
        <v>1819744.46</v>
      </c>
      <c r="C87" s="19" t="inlineStr">
        <is>
          <t>GRUPO DP4</t>
        </is>
      </c>
      <c r="D87" s="20" t="inlineStr">
        <is>
          <t>NEW</t>
        </is>
      </c>
      <c r="E87" s="21" t="inlineStr"/>
      <c r="F87" s="20" t="inlineStr"/>
      <c r="G87" s="21" t="inlineStr"/>
      <c r="H87" s="20" t="inlineStr"/>
      <c r="I87" s="22" t="inlineStr">
        <is>
          <t>ANA CAROLINA DE MORAES FRANZINE</t>
        </is>
      </c>
      <c r="J87" s="23" t="inlineStr">
        <is>
          <t>Sócio-Administrador (RFB partner)</t>
        </is>
      </c>
      <c r="K87" s="22" t="inlineStr">
        <is>
          <t>(11) 5103-5350</t>
        </is>
      </c>
      <c r="L87" s="22" t="inlineStr"/>
      <c r="M87" s="22" t="inlineStr"/>
      <c r="N87" s="22" t="inlineStr"/>
      <c r="O87" s="22" t="inlineStr"/>
      <c r="P87" s="22" t="inlineStr">
        <is>
          <t>RODRIGO REBELO DE MORAES</t>
        </is>
      </c>
      <c r="Q87" s="22" t="inlineStr">
        <is>
          <t>Sócio-Administrador (RFB partner)</t>
        </is>
      </c>
      <c r="R87" s="22" t="inlineStr"/>
      <c r="S87" s="22" t="inlineStr"/>
      <c r="T87" s="22" t="inlineStr">
        <is>
          <t>DM = registered partner (RFB QSA); no Apollo match</t>
        </is>
      </c>
      <c r="U87" s="24" t="n">
        <v>1819744.46</v>
      </c>
      <c r="V87" s="25" t="inlineStr">
        <is>
          <t>B</t>
        </is>
      </c>
      <c r="W87" s="26" t="inlineStr"/>
      <c r="X87" s="27" t="inlineStr"/>
      <c r="Y87" s="27" t="inlineStr"/>
      <c r="Z87" s="26">
        <f>IF(W87&lt;&gt;"",W87,IFERROR(VLOOKUP(V87,Assumptions!$A$8:$F$12,2,FALSE),0))</f>
        <v/>
      </c>
      <c r="AA87" s="28">
        <f>IF(V87="A",MAX(1,IF(X87&lt;&gt;"",X87,IFERROR(VLOOKUP(V87,Assumptions!$A$8:$F$12,3,FALSE),3))+IF(Y87&lt;&gt;"",Y87,IFERROR(VLOOKUP(V87,Assumptions!$A$8:$F$12,4,FALSE),8))/2-MAX(0,IF(AS87="",0,YEAR(TODAY())-AS87)-IFERROR(VLOOKUP(V87,Assumptions!$A$8:$F$12,5,FALSE),1.5))),IFERROR(VLOOKUP(V87,Assumptions!$A$8:$F$12,5,FALSE),2.5)+IF(X87&lt;&gt;"",X87,IFERROR(VLOOKUP(V87,Assumptions!$A$8:$F$12,3,FALSE),3))+IF(Y87&lt;&gt;"",Y87,IFERROR(VLOOKUP(V87,Assumptions!$A$8:$F$12,4,FALSE),8))/2)</f>
        <v/>
      </c>
      <c r="AB87" s="24">
        <f>U87*Z87/(1+Assumptions!$B$3)^AA87</f>
        <v/>
      </c>
      <c r="AC87" s="27">
        <f>IF(U87=0,"",ROUND(AB87/U87*100,1))</f>
        <v/>
      </c>
      <c r="AD87" s="29">
        <f>AB87*Assumptions!$B$4</f>
        <v/>
      </c>
      <c r="AE87" s="27">
        <f>IF(U87=0,"",ROUND(AD87/U87*100,1))</f>
        <v/>
      </c>
      <c r="AF87" s="29">
        <f>AB87-AD87</f>
        <v/>
      </c>
      <c r="AG87" s="27">
        <f>IF(U87=0,"",ROUND((AB87-AD87)/U87*100,1))</f>
        <v/>
      </c>
      <c r="AH87" s="35" t="inlineStr">
        <is>
          <t>PARTIAL — class III reconciled, other classes not</t>
        </is>
      </c>
      <c r="AI87" s="31" t="inlineStr">
        <is>
          <t>https://marquesadmjudicial.com.br/sgc/download.php?file=files/processo_documento/processo_documento15293208032024_1_.pdf&amp;nome=Relação Nominal de Credores da AJ-Sintética</t>
        </is>
      </c>
      <c r="AJ87" s="30" t="inlineStr">
        <is>
          <t>p20 r3</t>
        </is>
      </c>
      <c r="AK87" s="30" t="inlineStr">
        <is>
          <t>p20: R$ 1.819.744,46</t>
        </is>
      </c>
      <c r="AL87" s="30" t="inlineStr">
        <is>
          <t>AJ list (art. 7 §2)</t>
        </is>
      </c>
      <c r="AM87" s="30" t="inlineStr">
        <is>
          <t>2023-03-02</t>
        </is>
      </c>
      <c r="AN87" s="30" t="inlineStr">
        <is>
          <t>NONE FOUND</t>
        </is>
      </c>
      <c r="AO87" s="32" t="inlineStr">
        <is>
          <t>0005010-98.2023.8.16.0001</t>
        </is>
      </c>
      <c r="AP87" s="32" t="inlineStr">
        <is>
          <t>TJPR</t>
        </is>
      </c>
      <c r="AQ87" s="32" t="inlineStr">
        <is>
          <t>Recuperação judicial</t>
        </is>
      </c>
      <c r="AR87" s="32" t="inlineStr">
        <is>
          <t>DataJud: no closure/falência movement</t>
        </is>
      </c>
      <c r="AS87" s="32" t="n">
        <v>2023</v>
      </c>
      <c r="AT87" s="32" t="inlineStr">
        <is>
          <t>live case, no plan document yet</t>
        </is>
      </c>
      <c r="AU87" s="32" t="inlineStr"/>
      <c r="AV87" s="32" t="inlineStr">
        <is>
          <t>printed on the list (read twice)</t>
        </is>
      </c>
      <c r="AW87" s="32" t="inlineStr"/>
      <c r="AX87" s="32" t="inlineStr">
        <is>
          <t>SAO PAULO</t>
        </is>
      </c>
      <c r="AY87" s="32" t="inlineStr">
        <is>
          <t>SP</t>
        </is>
      </c>
      <c r="AZ87" s="32" t="inlineStr">
        <is>
          <t>Comércio atacadista de cosméticos e produtos de perfumaria</t>
        </is>
      </c>
      <c r="BA87" s="32" t="inlineStr">
        <is>
          <t>não ME/EPP</t>
        </is>
      </c>
      <c r="BB87" s="33" t="n">
        <v>11315963</v>
      </c>
      <c r="BC87" s="32" t="inlineStr">
        <is>
          <t>MID-MARKET</t>
        </is>
      </c>
      <c r="BD87" s="32" t="inlineStr">
        <is>
          <t>43587344</t>
        </is>
      </c>
      <c r="BE87" s="32" t="n">
        <v>1</v>
      </c>
      <c r="BF87" s="32" t="inlineStr">
        <is>
          <t>class III reconciled (doc partial)</t>
        </is>
      </c>
    </row>
    <row r="88">
      <c r="A88" s="17" t="inlineStr">
        <is>
          <t>JGM EMPREENDIMENTOS E PARTICIPACOES LTDA</t>
        </is>
      </c>
      <c r="B88" s="18" t="n">
        <v>12841448</v>
      </c>
      <c r="C88" s="19" t="inlineStr">
        <is>
          <t>Mannes</t>
        </is>
      </c>
      <c r="D88" s="20" t="inlineStr">
        <is>
          <t>NEW</t>
        </is>
      </c>
      <c r="E88" s="21" t="inlineStr"/>
      <c r="F88" s="20" t="inlineStr"/>
      <c r="G88" s="21" t="inlineStr"/>
      <c r="H88" s="20" t="inlineStr"/>
      <c r="I88" s="22" t="inlineStr">
        <is>
          <t>TCHARLA FRANCOISE MENEL</t>
        </is>
      </c>
      <c r="J88" s="23" t="inlineStr">
        <is>
          <t>Sócio-Administrador (RFB partner)</t>
        </is>
      </c>
      <c r="K88" s="22" t="inlineStr">
        <is>
          <t>(04) 7371-0099</t>
        </is>
      </c>
      <c r="L88" s="22" t="inlineStr"/>
      <c r="M88" s="22" t="inlineStr"/>
      <c r="N88" s="22" t="inlineStr"/>
      <c r="O88" s="22" t="inlineStr"/>
      <c r="P88" s="22" t="inlineStr"/>
      <c r="Q88" s="22" t="inlineStr"/>
      <c r="R88" s="22" t="inlineStr"/>
      <c r="S88" s="22" t="inlineStr"/>
      <c r="T88" s="22" t="inlineStr">
        <is>
          <t>DM = registered partner (RFB QSA); no Apollo match</t>
        </is>
      </c>
      <c r="U88" s="24" t="n">
        <v>12841448</v>
      </c>
      <c r="V88" s="40" t="inlineStr">
        <is>
          <t>D</t>
        </is>
      </c>
      <c r="W88" s="26" t="inlineStr"/>
      <c r="X88" s="27" t="inlineStr"/>
      <c r="Y88" s="27" t="inlineStr"/>
      <c r="Z88" s="26">
        <f>IF(W88&lt;&gt;"",W88,IFERROR(VLOOKUP(V88,Assumptions!$A$8:$F$12,2,FALSE),0))</f>
        <v/>
      </c>
      <c r="AA88" s="28">
        <f>IF(V88="A",MAX(1,IF(X88&lt;&gt;"",X88,IFERROR(VLOOKUP(V88,Assumptions!$A$8:$F$12,3,FALSE),3))+IF(Y88&lt;&gt;"",Y88,IFERROR(VLOOKUP(V88,Assumptions!$A$8:$F$12,4,FALSE),8))/2-MAX(0,IF(AS88="",0,YEAR(TODAY())-AS88)-IFERROR(VLOOKUP(V88,Assumptions!$A$8:$F$12,5,FALSE),1.5))),IFERROR(VLOOKUP(V88,Assumptions!$A$8:$F$12,5,FALSE),2.5)+IF(X88&lt;&gt;"",X88,IFERROR(VLOOKUP(V88,Assumptions!$A$8:$F$12,3,FALSE),3))+IF(Y88&lt;&gt;"",Y88,IFERROR(VLOOKUP(V88,Assumptions!$A$8:$F$12,4,FALSE),8))/2)</f>
        <v/>
      </c>
      <c r="AB88" s="24">
        <f>U88*Z88/(1+Assumptions!$B$3)^AA88</f>
        <v/>
      </c>
      <c r="AC88" s="27">
        <f>IF(U88=0,"",ROUND(AB88/U88*100,1))</f>
        <v/>
      </c>
      <c r="AD88" s="29">
        <f>AB88*Assumptions!$B$4</f>
        <v/>
      </c>
      <c r="AE88" s="27">
        <f>IF(U88=0,"",ROUND(AD88/U88*100,1))</f>
        <v/>
      </c>
      <c r="AF88" s="29">
        <f>AB88-AD88</f>
        <v/>
      </c>
      <c r="AG88" s="27">
        <f>IF(U88=0,"",ROUND((AB88-AD88)/U88*100,1))</f>
        <v/>
      </c>
      <c r="AH88" s="36" t="inlineStr">
        <is>
          <t>CHECK — source is not a statutory creditor list</t>
        </is>
      </c>
      <c r="AI88" s="31" t="inlineStr">
        <is>
          <t>https://administradorajudicialgs.com.br/wp-content/uploads/2024/12/relacao-de-credores-da-falida.pdf</t>
        </is>
      </c>
      <c r="AJ88" s="30" t="inlineStr">
        <is>
          <t>p15 r42</t>
        </is>
      </c>
      <c r="AK88" s="30" t="inlineStr">
        <is>
          <t>p15: R$ 12.841.448,00</t>
        </is>
      </c>
      <c r="AL88" s="30" t="inlineStr">
        <is>
          <t>Other filing — NOT an art. 7/51 list</t>
        </is>
      </c>
      <c r="AM88" s="30" t="inlineStr">
        <is>
          <t>2025-03-25</t>
        </is>
      </c>
      <c r="AN88" s="30" t="inlineStr">
        <is>
          <t>NONE FOUND</t>
        </is>
      </c>
      <c r="AO88" s="32" t="inlineStr">
        <is>
          <t>0005010-50.2013.8.24.0026</t>
        </is>
      </c>
      <c r="AP88" s="32" t="inlineStr">
        <is>
          <t>TJSC</t>
        </is>
      </c>
      <c r="AQ88" s="32" t="inlineStr">
        <is>
          <t>Falência</t>
        </is>
      </c>
      <c r="AR88" s="32" t="inlineStr">
        <is>
          <t>not in DataJud</t>
        </is>
      </c>
      <c r="AS88" s="32" t="n">
        <v>2013</v>
      </c>
      <c r="AT88" s="32" t="inlineStr">
        <is>
          <t>falência proceeding (list/name says falida)</t>
        </is>
      </c>
      <c r="AU88" s="32" t="inlineStr"/>
      <c r="AV88" s="32" t="inlineStr">
        <is>
          <t>printed on the list (read twice)</t>
        </is>
      </c>
      <c r="AW88" s="32" t="inlineStr"/>
      <c r="AX88" s="32" t="inlineStr">
        <is>
          <t>JARAGUA DO SUL</t>
        </is>
      </c>
      <c r="AY88" s="32" t="inlineStr">
        <is>
          <t>SC</t>
        </is>
      </c>
      <c r="AZ88" s="32" t="inlineStr">
        <is>
          <t>Holdings de instituições não-financeiras</t>
        </is>
      </c>
      <c r="BA88" s="32" t="inlineStr">
        <is>
          <t>não ME/EPP</t>
        </is>
      </c>
      <c r="BB88" s="33" t="n">
        <v>18000000</v>
      </c>
      <c r="BC88" s="32" t="inlineStr">
        <is>
          <t>MID-MARKET</t>
        </is>
      </c>
      <c r="BD88" s="32" t="inlineStr">
        <is>
          <t>02553526</t>
        </is>
      </c>
      <c r="BE88" s="32" t="n">
        <v>1</v>
      </c>
      <c r="BF88" s="32" t="inlineStr">
        <is>
          <t>list prints no totals case no. corrected by reader</t>
        </is>
      </c>
    </row>
    <row r="89">
      <c r="A89" s="17" t="inlineStr">
        <is>
          <t>FMC QUIMICA DO BRASIL LTDA.</t>
        </is>
      </c>
      <c r="B89" s="18" t="n">
        <v>1785400</v>
      </c>
      <c r="C89" s="19" t="inlineStr">
        <is>
          <t>GRUPO FERRARI (ALEX, ALEXANDRE , ANDRIELLE FERRARI MANTELLI, ARCIR LUIS, ERICA SANTOS ASSIS LIMA, FERNANDO MANTELLI, IDELSI, TALITA LEITE SILVA, AGROPECUARIA FERRARI LTDA E FERRARI ARMAZENS GERAIS)</t>
        </is>
      </c>
      <c r="D89" s="20" t="inlineStr">
        <is>
          <t>NEW</t>
        </is>
      </c>
      <c r="E89" s="21" t="inlineStr"/>
      <c r="F89" s="20" t="inlineStr"/>
      <c r="G89" s="21" t="inlineStr"/>
      <c r="H89" s="20" t="inlineStr"/>
      <c r="I89" s="22" t="inlineStr">
        <is>
          <t>Vivian Faria</t>
        </is>
      </c>
      <c r="J89" s="22" t="inlineStr">
        <is>
          <t>Treasury</t>
        </is>
      </c>
      <c r="K89" s="22" t="inlineStr">
        <is>
          <t>(19) 2042-4500</t>
        </is>
      </c>
      <c r="L89" s="22" t="inlineStr"/>
      <c r="M89" s="22" t="inlineStr"/>
      <c r="N89" s="22" t="inlineStr"/>
      <c r="O89" s="22" t="inlineStr"/>
      <c r="P89" s="22" t="inlineStr">
        <is>
          <t>FABIANA REGINA BUENO COIMBRA</t>
        </is>
      </c>
      <c r="Q89" s="22" t="inlineStr">
        <is>
          <t>Administrador (RFB partner)</t>
        </is>
      </c>
      <c r="R89" s="22" t="inlineStr"/>
      <c r="S89" s="22" t="inlineStr"/>
      <c r="T89" s="22" t="inlineStr">
        <is>
          <t>DM: no email flag; large corp; no work email in Apollo for DM</t>
        </is>
      </c>
      <c r="U89" s="24" t="n">
        <v>1785400</v>
      </c>
      <c r="V89" s="25" t="inlineStr">
        <is>
          <t>B</t>
        </is>
      </c>
      <c r="W89" s="26" t="inlineStr"/>
      <c r="X89" s="27" t="inlineStr"/>
      <c r="Y89" s="27" t="inlineStr"/>
      <c r="Z89" s="26">
        <f>IF(W89&lt;&gt;"",W89,IFERROR(VLOOKUP(V89,Assumptions!$A$8:$F$12,2,FALSE),0))</f>
        <v/>
      </c>
      <c r="AA89" s="28">
        <f>IF(V89="A",MAX(1,IF(X89&lt;&gt;"",X89,IFERROR(VLOOKUP(V89,Assumptions!$A$8:$F$12,3,FALSE),3))+IF(Y89&lt;&gt;"",Y89,IFERROR(VLOOKUP(V89,Assumptions!$A$8:$F$12,4,FALSE),8))/2-MAX(0,IF(AS89="",0,YEAR(TODAY())-AS89)-IFERROR(VLOOKUP(V89,Assumptions!$A$8:$F$12,5,FALSE),1.5))),IFERROR(VLOOKUP(V89,Assumptions!$A$8:$F$12,5,FALSE),2.5)+IF(X89&lt;&gt;"",X89,IFERROR(VLOOKUP(V89,Assumptions!$A$8:$F$12,3,FALSE),3))+IF(Y89&lt;&gt;"",Y89,IFERROR(VLOOKUP(V89,Assumptions!$A$8:$F$12,4,FALSE),8))/2)</f>
        <v/>
      </c>
      <c r="AB89" s="24">
        <f>U89*Z89/(1+Assumptions!$B$3)^AA89</f>
        <v/>
      </c>
      <c r="AC89" s="27">
        <f>IF(U89=0,"",ROUND(AB89/U89*100,1))</f>
        <v/>
      </c>
      <c r="AD89" s="29">
        <f>AB89*Assumptions!$B$4</f>
        <v/>
      </c>
      <c r="AE89" s="27">
        <f>IF(U89=0,"",ROUND(AD89/U89*100,1))</f>
        <v/>
      </c>
      <c r="AF89" s="29">
        <f>AB89-AD89</f>
        <v/>
      </c>
      <c r="AG89" s="27">
        <f>IF(U89=0,"",ROUND((AB89-AD89)/U89*100,1))</f>
        <v/>
      </c>
      <c r="AH89" s="34" t="inlineStr">
        <is>
          <t>NO TOTALS — list prints none; check page</t>
        </is>
      </c>
      <c r="AI89" s="31" t="inlineStr">
        <is>
          <t>https://scalzilliaj.com.br/sgc/download.php?file=files/processo_documento/processo_documento11421222052026_1_.pdf&amp;nome=08. Lista de credores do edital do art. 52, §1º da LREF</t>
        </is>
      </c>
      <c r="AJ89" s="30" t="inlineStr">
        <is>
          <t>p3 r10</t>
        </is>
      </c>
      <c r="AK89" s="30" t="inlineStr">
        <is>
          <t>p3: R$ 1.785.400,00</t>
        </is>
      </c>
      <c r="AL89" s="30" t="inlineStr">
        <is>
          <t>Unclassified list</t>
        </is>
      </c>
      <c r="AM89" s="30" t="inlineStr"/>
      <c r="AN89" s="30" t="inlineStr">
        <is>
          <t>NONE FOUND</t>
        </is>
      </c>
      <c r="AO89" s="32" t="inlineStr">
        <is>
          <t>5011369-81.2026.8.09.0093</t>
        </is>
      </c>
      <c r="AP89" s="32" t="inlineStr">
        <is>
          <t>TJGO</t>
        </is>
      </c>
      <c r="AQ89" s="32" t="inlineStr"/>
      <c r="AR89" s="32" t="inlineStr">
        <is>
          <t>DataJud: no closure/falência movement</t>
        </is>
      </c>
      <c r="AS89" s="32" t="n">
        <v>2026</v>
      </c>
      <c r="AT89" s="32" t="inlineStr">
        <is>
          <t>live case, no plan document yet; case no. from the portal record, not printed on the list</t>
        </is>
      </c>
      <c r="AU89" s="32" t="inlineStr"/>
      <c r="AV89" s="32" t="inlineStr">
        <is>
          <t>portal page title / URL — not printed on the list</t>
        </is>
      </c>
      <c r="AW89" s="32" t="inlineStr"/>
      <c r="AX89" s="32" t="inlineStr">
        <is>
          <t>CAMPINAS</t>
        </is>
      </c>
      <c r="AY89" s="32" t="inlineStr">
        <is>
          <t>SP</t>
        </is>
      </c>
      <c r="AZ89" s="32" t="inlineStr">
        <is>
          <t>Comércio atacadista de alimentos para animais</t>
        </is>
      </c>
      <c r="BA89" s="32" t="inlineStr">
        <is>
          <t>não ME/EPP</t>
        </is>
      </c>
      <c r="BB89" s="33" t="n">
        <v>781129150</v>
      </c>
      <c r="BC89" s="32" t="inlineStr">
        <is>
          <t>MID-MARKET</t>
        </is>
      </c>
      <c r="BD89" s="32" t="inlineStr">
        <is>
          <t>04136367</t>
        </is>
      </c>
      <c r="BE89" s="32" t="n">
        <v>1</v>
      </c>
      <c r="BF89" s="32" t="inlineStr">
        <is>
          <t>list prints no totals</t>
        </is>
      </c>
    </row>
    <row r="90">
      <c r="A90" s="17" t="inlineStr">
        <is>
          <t>CAMBUCI S/A</t>
        </is>
      </c>
      <c r="B90" s="18" t="n">
        <v>1782661.24</v>
      </c>
      <c r="C90" s="19" t="inlineStr">
        <is>
          <t>CLUBE NÁUTICO CAPIBARIBE</t>
        </is>
      </c>
      <c r="D90" s="20" t="inlineStr">
        <is>
          <t>NEW</t>
        </is>
      </c>
      <c r="E90" s="21" t="inlineStr"/>
      <c r="F90" s="20" t="inlineStr"/>
      <c r="G90" s="21" t="inlineStr"/>
      <c r="H90" s="20" t="inlineStr"/>
      <c r="I90" s="22" t="inlineStr">
        <is>
          <t>ALEXANDRE SCHULER</t>
        </is>
      </c>
      <c r="J90" s="23" t="inlineStr">
        <is>
          <t>Presidente (RFB partner)</t>
        </is>
      </c>
      <c r="K90" s="22" t="inlineStr">
        <is>
          <t>(11) 4713-9500</t>
        </is>
      </c>
      <c r="L90" s="22" t="inlineStr"/>
      <c r="M90" s="22" t="inlineStr"/>
      <c r="N90" s="22" t="inlineStr"/>
      <c r="O90" s="22" t="inlineStr"/>
      <c r="P90" s="22" t="inlineStr">
        <is>
          <t>EMERSON TSUNEJI SHIROMARU</t>
        </is>
      </c>
      <c r="Q90" s="22" t="inlineStr">
        <is>
          <t>Diretor (RFB partner)</t>
        </is>
      </c>
      <c r="R90" s="22" t="inlineStr"/>
      <c r="S90" s="22" t="inlineStr"/>
      <c r="T90" s="22" t="inlineStr">
        <is>
          <t>DM = registered partner (RFB QSA); no Apollo match</t>
        </is>
      </c>
      <c r="U90" s="24" t="n">
        <v>1782661.24</v>
      </c>
      <c r="V90" s="25" t="inlineStr">
        <is>
          <t>B</t>
        </is>
      </c>
      <c r="W90" s="26" t="inlineStr"/>
      <c r="X90" s="27" t="inlineStr"/>
      <c r="Y90" s="27" t="inlineStr"/>
      <c r="Z90" s="26">
        <f>IF(W90&lt;&gt;"",W90,IFERROR(VLOOKUP(V90,Assumptions!$A$8:$F$12,2,FALSE),0))</f>
        <v/>
      </c>
      <c r="AA90" s="28">
        <f>IF(V90="A",MAX(1,IF(X90&lt;&gt;"",X90,IFERROR(VLOOKUP(V90,Assumptions!$A$8:$F$12,3,FALSE),3))+IF(Y90&lt;&gt;"",Y90,IFERROR(VLOOKUP(V90,Assumptions!$A$8:$F$12,4,FALSE),8))/2-MAX(0,IF(AS90="",0,YEAR(TODAY())-AS90)-IFERROR(VLOOKUP(V90,Assumptions!$A$8:$F$12,5,FALSE),1.5))),IFERROR(VLOOKUP(V90,Assumptions!$A$8:$F$12,5,FALSE),2.5)+IF(X90&lt;&gt;"",X90,IFERROR(VLOOKUP(V90,Assumptions!$A$8:$F$12,3,FALSE),3))+IF(Y90&lt;&gt;"",Y90,IFERROR(VLOOKUP(V90,Assumptions!$A$8:$F$12,4,FALSE),8))/2)</f>
        <v/>
      </c>
      <c r="AB90" s="24">
        <f>U90*Z90/(1+Assumptions!$B$3)^AA90</f>
        <v/>
      </c>
      <c r="AC90" s="27">
        <f>IF(U90=0,"",ROUND(AB90/U90*100,1))</f>
        <v/>
      </c>
      <c r="AD90" s="29">
        <f>AB90*Assumptions!$B$4</f>
        <v/>
      </c>
      <c r="AE90" s="27">
        <f>IF(U90=0,"",ROUND(AD90/U90*100,1))</f>
        <v/>
      </c>
      <c r="AF90" s="29">
        <f>AB90-AD90</f>
        <v/>
      </c>
      <c r="AG90" s="27">
        <f>IF(U90=0,"",ROUND((AB90-AD90)/U90*100,1))</f>
        <v/>
      </c>
      <c r="AH90" s="35" t="inlineStr">
        <is>
          <t>PARTIAL — class III reconciled, other classes not</t>
        </is>
      </c>
      <c r="AI90" s="31" t="inlineStr">
        <is>
          <t>https://lrflideres.com.br/wp-content/plugins/download-attachments/includes/download.php?id=5589</t>
        </is>
      </c>
      <c r="AJ90" s="30" t="inlineStr">
        <is>
          <t>p11 r68</t>
        </is>
      </c>
      <c r="AK90" s="30" t="inlineStr">
        <is>
          <t>p11: R$ 1.782.661,24</t>
        </is>
      </c>
      <c r="AL90" s="30" t="inlineStr">
        <is>
          <t>AJ list (art. 7 §2)</t>
        </is>
      </c>
      <c r="AM90" s="30" t="inlineStr">
        <is>
          <t>2023-11-27</t>
        </is>
      </c>
      <c r="AN90" s="30" t="inlineStr">
        <is>
          <t>NONE FOUND</t>
        </is>
      </c>
      <c r="AO90" s="32" t="inlineStr">
        <is>
          <t>0011283-80.2023.8.17.2001</t>
        </is>
      </c>
      <c r="AP90" s="32" t="inlineStr">
        <is>
          <t>TJPE</t>
        </is>
      </c>
      <c r="AQ90" s="32" t="inlineStr">
        <is>
          <t>Recuperação judicial</t>
        </is>
      </c>
      <c r="AR90" s="32" t="inlineStr">
        <is>
          <t>DataJud: no closure/falência movement</t>
        </is>
      </c>
      <c r="AS90" s="32" t="n">
        <v>2023</v>
      </c>
      <c r="AT90" s="32" t="inlineStr">
        <is>
          <t>live case, no plan document yet; atypical debtor (associação/clube/hospital/produtor rural): admissibility or claim subjection may be contested</t>
        </is>
      </c>
      <c r="AU90" s="32" t="inlineStr">
        <is>
          <t>08.145.021/0001-07</t>
        </is>
      </c>
      <c r="AV90" s="32" t="inlineStr">
        <is>
          <t>printed on the list (read twice)</t>
        </is>
      </c>
      <c r="AW90" s="32" t="inlineStr"/>
      <c r="AX90" s="32" t="inlineStr">
        <is>
          <t>SAO PAULO</t>
        </is>
      </c>
      <c r="AY90" s="32" t="inlineStr">
        <is>
          <t>SP</t>
        </is>
      </c>
      <c r="AZ90" s="32" t="inlineStr">
        <is>
          <t>Fabricação de artefatos de couro não especificados anteriormente</t>
        </is>
      </c>
      <c r="BA90" s="32" t="inlineStr">
        <is>
          <t>não ME/EPP</t>
        </is>
      </c>
      <c r="BB90" s="33" t="n">
        <v>270536200</v>
      </c>
      <c r="BC90" s="32" t="inlineStr">
        <is>
          <t>MID-MARKET</t>
        </is>
      </c>
      <c r="BD90" s="32" t="inlineStr">
        <is>
          <t>61088894</t>
        </is>
      </c>
      <c r="BE90" s="32" t="n">
        <v>1</v>
      </c>
      <c r="BF90" s="32" t="inlineStr">
        <is>
          <t>class III reconciled (doc partial)</t>
        </is>
      </c>
    </row>
    <row r="91">
      <c r="A91" s="17" t="inlineStr">
        <is>
          <t>COMERCIO E EXPORTACAO DE CEREAIS RIO ELIAS LTDA.</t>
        </is>
      </c>
      <c r="B91" s="18" t="n">
        <v>1771559.5</v>
      </c>
      <c r="C91" s="19" t="inlineStr">
        <is>
          <t>SUINOCULTURA KUNZLER</t>
        </is>
      </c>
      <c r="D91" s="20" t="inlineStr">
        <is>
          <t>NEW</t>
        </is>
      </c>
      <c r="E91" s="21" t="inlineStr"/>
      <c r="F91" s="20" t="inlineStr"/>
      <c r="G91" s="21" t="inlineStr"/>
      <c r="H91" s="20" t="inlineStr"/>
      <c r="I91" s="22" t="inlineStr">
        <is>
          <t>ALECIO MARCIO ANDREIS</t>
        </is>
      </c>
      <c r="J91" s="23" t="inlineStr">
        <is>
          <t>Sócio-Administrador (RFB partner)</t>
        </is>
      </c>
      <c r="K91" s="22" t="inlineStr">
        <is>
          <t>(46) 3234-1344</t>
        </is>
      </c>
      <c r="L91" s="22" t="inlineStr"/>
      <c r="M91" s="22" t="inlineStr"/>
      <c r="N91" s="22" t="inlineStr"/>
      <c r="O91" s="22" t="inlineStr"/>
      <c r="P91" s="22" t="inlineStr">
        <is>
          <t>JOSILEI ALVES DE MIRANDA</t>
        </is>
      </c>
      <c r="Q91" s="22" t="inlineStr">
        <is>
          <t>Administrador (RFB partner)</t>
        </is>
      </c>
      <c r="R91" s="22" t="inlineStr"/>
      <c r="S91" s="22" t="inlineStr"/>
      <c r="T91" s="22" t="inlineStr">
        <is>
          <t>DM = registered partner (RFB QSA); no Apollo match</t>
        </is>
      </c>
      <c r="U91" s="24" t="n">
        <v>1771559.5</v>
      </c>
      <c r="V91" s="25" t="inlineStr">
        <is>
          <t>B</t>
        </is>
      </c>
      <c r="W91" s="26" t="inlineStr"/>
      <c r="X91" s="27" t="inlineStr"/>
      <c r="Y91" s="27" t="inlineStr"/>
      <c r="Z91" s="26">
        <f>IF(W91&lt;&gt;"",W91,IFERROR(VLOOKUP(V91,Assumptions!$A$8:$F$12,2,FALSE),0))</f>
        <v/>
      </c>
      <c r="AA91" s="28">
        <f>IF(V91="A",MAX(1,IF(X91&lt;&gt;"",X91,IFERROR(VLOOKUP(V91,Assumptions!$A$8:$F$12,3,FALSE),3))+IF(Y91&lt;&gt;"",Y91,IFERROR(VLOOKUP(V91,Assumptions!$A$8:$F$12,4,FALSE),8))/2-MAX(0,IF(AS91="",0,YEAR(TODAY())-AS91)-IFERROR(VLOOKUP(V91,Assumptions!$A$8:$F$12,5,FALSE),1.5))),IFERROR(VLOOKUP(V91,Assumptions!$A$8:$F$12,5,FALSE),2.5)+IF(X91&lt;&gt;"",X91,IFERROR(VLOOKUP(V91,Assumptions!$A$8:$F$12,3,FALSE),3))+IF(Y91&lt;&gt;"",Y91,IFERROR(VLOOKUP(V91,Assumptions!$A$8:$F$12,4,FALSE),8))/2)</f>
        <v/>
      </c>
      <c r="AB91" s="24">
        <f>U91*Z91/(1+Assumptions!$B$3)^AA91</f>
        <v/>
      </c>
      <c r="AC91" s="27">
        <f>IF(U91=0,"",ROUND(AB91/U91*100,1))</f>
        <v/>
      </c>
      <c r="AD91" s="29">
        <f>AB91*Assumptions!$B$4</f>
        <v/>
      </c>
      <c r="AE91" s="27">
        <f>IF(U91=0,"",ROUND(AD91/U91*100,1))</f>
        <v/>
      </c>
      <c r="AF91" s="29">
        <f>AB91-AD91</f>
        <v/>
      </c>
      <c r="AG91" s="27">
        <f>IF(U91=0,"",ROUND((AB91-AD91)/U91*100,1))</f>
        <v/>
      </c>
      <c r="AH91" s="34" t="inlineStr">
        <is>
          <t>NO TOTALS — list prints none; check page</t>
        </is>
      </c>
      <c r="AI91" s="31" t="inlineStr">
        <is>
          <t>https://rlg-aj.com.br/wp-content/uploads/2024/11/07.-Relação-de-credores.pdf</t>
        </is>
      </c>
      <c r="AJ91" s="30" t="inlineStr">
        <is>
          <t>p1 r31</t>
        </is>
      </c>
      <c r="AK91" s="30" t="inlineStr">
        <is>
          <t>p1: R$ 1.771.559,50</t>
        </is>
      </c>
      <c r="AL91" s="30" t="inlineStr">
        <is>
          <t>Unclassified list</t>
        </is>
      </c>
      <c r="AM91" s="30" t="inlineStr"/>
      <c r="AN91" s="30" t="inlineStr">
        <is>
          <t>NONE FOUND</t>
        </is>
      </c>
      <c r="AO91" s="32" t="inlineStr">
        <is>
          <t>5009149-92.2024.8.24.0019</t>
        </is>
      </c>
      <c r="AP91" s="32" t="inlineStr">
        <is>
          <t>TJSC</t>
        </is>
      </c>
      <c r="AQ91" s="32" t="inlineStr">
        <is>
          <t>Recuperação judicial</t>
        </is>
      </c>
      <c r="AR91" s="32" t="inlineStr">
        <is>
          <t>DataJud: no closure/falência movement</t>
        </is>
      </c>
      <c r="AS91" s="32" t="n">
        <v>2024</v>
      </c>
      <c r="AT91" s="32" t="inlineStr">
        <is>
          <t>live case, no plan document yet; case no. from the portal record, not printed on the list</t>
        </is>
      </c>
      <c r="AU91" s="32" t="inlineStr">
        <is>
          <t>55.365.447/0001-56</t>
        </is>
      </c>
      <c r="AV91" s="32" t="inlineStr">
        <is>
          <t>printed on the list (read twice)</t>
        </is>
      </c>
      <c r="AW91" s="32" t="inlineStr"/>
      <c r="AX91" s="32" t="inlineStr">
        <is>
          <t>BOM SUCESSO DO SUL</t>
        </is>
      </c>
      <c r="AY91" s="32" t="inlineStr">
        <is>
          <t>PR</t>
        </is>
      </c>
      <c r="AZ91" s="32" t="inlineStr">
        <is>
          <t>Comércio atacadista de cereais e leguminosas beneficiados</t>
        </is>
      </c>
      <c r="BA91" s="32" t="inlineStr">
        <is>
          <t>não ME/EPP</t>
        </is>
      </c>
      <c r="BB91" s="33" t="n">
        <v>3935000</v>
      </c>
      <c r="BC91" s="32" t="inlineStr">
        <is>
          <t>MID-MARKET</t>
        </is>
      </c>
      <c r="BD91" s="32" t="inlineStr">
        <is>
          <t>05056082</t>
        </is>
      </c>
      <c r="BE91" s="32" t="n">
        <v>1</v>
      </c>
      <c r="BF91" s="32" t="inlineStr">
        <is>
          <t>list prints no totals</t>
        </is>
      </c>
    </row>
    <row r="92">
      <c r="A92" s="17" t="inlineStr">
        <is>
          <t>GERMED FARMACEUTICA LTDA</t>
        </is>
      </c>
      <c r="B92" s="18" t="n">
        <v>1695831.1</v>
      </c>
      <c r="C92" s="19" t="inlineStr">
        <is>
          <t>GRUPO DP4</t>
        </is>
      </c>
      <c r="D92" s="20" t="inlineStr">
        <is>
          <t>NEW</t>
        </is>
      </c>
      <c r="E92" s="21" t="inlineStr"/>
      <c r="F92" s="20" t="inlineStr"/>
      <c r="G92" s="21" t="inlineStr"/>
      <c r="H92" s="20" t="inlineStr"/>
      <c r="I92" s="22" t="inlineStr">
        <is>
          <t>GUSTAVO ANDRE REGIS DUTRA SVENSSON</t>
        </is>
      </c>
      <c r="J92" s="23" t="inlineStr">
        <is>
          <t>Administrador (RFB partner)</t>
        </is>
      </c>
      <c r="K92" s="22" t="inlineStr">
        <is>
          <t>(19) 3887-9800</t>
        </is>
      </c>
      <c r="L92" s="22" t="inlineStr"/>
      <c r="M92" s="22" t="inlineStr"/>
      <c r="N92" s="22" t="inlineStr"/>
      <c r="O92" s="22" t="inlineStr"/>
      <c r="P92" s="22" t="inlineStr">
        <is>
          <t>TATIANA AZEVEDO VILLELA SANTOS FONTES</t>
        </is>
      </c>
      <c r="Q92" s="22" t="inlineStr">
        <is>
          <t>Administrador (RFB partner)</t>
        </is>
      </c>
      <c r="R92" s="22" t="inlineStr"/>
      <c r="S92" s="22" t="inlineStr"/>
      <c r="T92" s="22" t="inlineStr">
        <is>
          <t>DM = registered partner (RFB QSA); no Apollo match</t>
        </is>
      </c>
      <c r="U92" s="24" t="n">
        <v>1695831.1</v>
      </c>
      <c r="V92" s="25" t="inlineStr">
        <is>
          <t>B</t>
        </is>
      </c>
      <c r="W92" s="26" t="inlineStr"/>
      <c r="X92" s="27" t="inlineStr"/>
      <c r="Y92" s="27" t="inlineStr"/>
      <c r="Z92" s="26">
        <f>IF(W92&lt;&gt;"",W92,IFERROR(VLOOKUP(V92,Assumptions!$A$8:$F$12,2,FALSE),0))</f>
        <v/>
      </c>
      <c r="AA92" s="28">
        <f>IF(V92="A",MAX(1,IF(X92&lt;&gt;"",X92,IFERROR(VLOOKUP(V92,Assumptions!$A$8:$F$12,3,FALSE),3))+IF(Y92&lt;&gt;"",Y92,IFERROR(VLOOKUP(V92,Assumptions!$A$8:$F$12,4,FALSE),8))/2-MAX(0,IF(AS92="",0,YEAR(TODAY())-AS92)-IFERROR(VLOOKUP(V92,Assumptions!$A$8:$F$12,5,FALSE),1.5))),IFERROR(VLOOKUP(V92,Assumptions!$A$8:$F$12,5,FALSE),2.5)+IF(X92&lt;&gt;"",X92,IFERROR(VLOOKUP(V92,Assumptions!$A$8:$F$12,3,FALSE),3))+IF(Y92&lt;&gt;"",Y92,IFERROR(VLOOKUP(V92,Assumptions!$A$8:$F$12,4,FALSE),8))/2)</f>
        <v/>
      </c>
      <c r="AB92" s="24">
        <f>U92*Z92/(1+Assumptions!$B$3)^AA92</f>
        <v/>
      </c>
      <c r="AC92" s="27">
        <f>IF(U92=0,"",ROUND(AB92/U92*100,1))</f>
        <v/>
      </c>
      <c r="AD92" s="29">
        <f>AB92*Assumptions!$B$4</f>
        <v/>
      </c>
      <c r="AE92" s="27">
        <f>IF(U92=0,"",ROUND(AD92/U92*100,1))</f>
        <v/>
      </c>
      <c r="AF92" s="29">
        <f>AB92-AD92</f>
        <v/>
      </c>
      <c r="AG92" s="27">
        <f>IF(U92=0,"",ROUND((AB92-AD92)/U92*100,1))</f>
        <v/>
      </c>
      <c r="AH92" s="35" t="inlineStr">
        <is>
          <t>PARTIAL — class III reconciled, other classes not</t>
        </is>
      </c>
      <c r="AI92" s="31" t="inlineStr">
        <is>
          <t>https://marquesadmjudicial.com.br/sgc/download.php?file=files/processo_documento/processo_documento15293208032024_1_.pdf&amp;nome=Relação Nominal de Credores da AJ-Sintética</t>
        </is>
      </c>
      <c r="AJ92" s="30" t="inlineStr">
        <is>
          <t>p26 r5</t>
        </is>
      </c>
      <c r="AK92" s="30" t="inlineStr">
        <is>
          <t>p26: R$ 1.695.831,10</t>
        </is>
      </c>
      <c r="AL92" s="30" t="inlineStr">
        <is>
          <t>AJ list (art. 7 §2)</t>
        </is>
      </c>
      <c r="AM92" s="30" t="inlineStr">
        <is>
          <t>2023-03-02</t>
        </is>
      </c>
      <c r="AN92" s="30" t="inlineStr">
        <is>
          <t>NONE FOUND</t>
        </is>
      </c>
      <c r="AO92" s="32" t="inlineStr">
        <is>
          <t>0005010-98.2023.8.16.0001</t>
        </is>
      </c>
      <c r="AP92" s="32" t="inlineStr">
        <is>
          <t>TJPR</t>
        </is>
      </c>
      <c r="AQ92" s="32" t="inlineStr">
        <is>
          <t>Recuperação judicial</t>
        </is>
      </c>
      <c r="AR92" s="32" t="inlineStr">
        <is>
          <t>DataJud: no closure/falência movement</t>
        </is>
      </c>
      <c r="AS92" s="32" t="n">
        <v>2023</v>
      </c>
      <c r="AT92" s="32" t="inlineStr">
        <is>
          <t>live case, no plan document yet</t>
        </is>
      </c>
      <c r="AU92" s="32" t="inlineStr"/>
      <c r="AV92" s="32" t="inlineStr">
        <is>
          <t>printed on the list (read twice)</t>
        </is>
      </c>
      <c r="AW92" s="32" t="inlineStr"/>
      <c r="AX92" s="32" t="inlineStr">
        <is>
          <t>HORTOLANDIA</t>
        </is>
      </c>
      <c r="AY92" s="32" t="inlineStr">
        <is>
          <t>SP</t>
        </is>
      </c>
      <c r="AZ92" s="32" t="inlineStr">
        <is>
          <t>Fabricação de medicamentos alopáticos para uso humano</t>
        </is>
      </c>
      <c r="BA92" s="32" t="inlineStr">
        <is>
          <t>não ME/EPP</t>
        </is>
      </c>
      <c r="BB92" s="33" t="n">
        <v>10272741</v>
      </c>
      <c r="BC92" s="32" t="inlineStr">
        <is>
          <t>MID-MARKET</t>
        </is>
      </c>
      <c r="BD92" s="32" t="inlineStr">
        <is>
          <t>45992062</t>
        </is>
      </c>
      <c r="BE92" s="32" t="n">
        <v>1</v>
      </c>
      <c r="BF92" s="32" t="inlineStr">
        <is>
          <t>class III reconciled (doc partial)</t>
        </is>
      </c>
    </row>
    <row r="93">
      <c r="A93" s="17" t="inlineStr">
        <is>
          <t>VENTUROSO, VALENTINI &amp; CIA LTDA</t>
        </is>
      </c>
      <c r="B93" s="18" t="n">
        <v>1687942.83</v>
      </c>
      <c r="C93" s="19" t="inlineStr">
        <is>
          <t>Grupo Rech</t>
        </is>
      </c>
      <c r="D93" s="20" t="inlineStr">
        <is>
          <t>NEW</t>
        </is>
      </c>
      <c r="E93" s="21" t="inlineStr"/>
      <c r="F93" s="20" t="inlineStr"/>
      <c r="G93" s="21" t="inlineStr"/>
      <c r="H93" s="20" t="inlineStr"/>
      <c r="I93" s="22" t="inlineStr">
        <is>
          <t>Frank Ferreira</t>
        </is>
      </c>
      <c r="J93" s="22" t="inlineStr">
        <is>
          <t>Coordenador de Desenvolvimento de Produtos</t>
        </is>
      </c>
      <c r="K93" s="22" t="inlineStr">
        <is>
          <t>(16) 3810-1704</t>
        </is>
      </c>
      <c r="L93" s="22" t="inlineStr">
        <is>
          <t>(16) 3810-1727</t>
        </is>
      </c>
      <c r="M93" s="22" t="inlineStr"/>
      <c r="N93" s="22" t="inlineStr">
        <is>
          <t>frank.ferreira@vv.com.br</t>
        </is>
      </c>
      <c r="O93" s="22" t="inlineStr">
        <is>
          <t>verified</t>
        </is>
      </c>
      <c r="P93" s="22" t="inlineStr">
        <is>
          <t>Elaine Valentini</t>
        </is>
      </c>
      <c r="Q93" s="22" t="inlineStr">
        <is>
          <t>Administrative and Financial Manager</t>
        </is>
      </c>
      <c r="R93" s="22" t="inlineStr"/>
      <c r="S93" s="22" t="inlineStr">
        <is>
          <t>elaine.valentini@vv.com.br</t>
        </is>
      </c>
      <c r="T93" s="22" t="inlineStr">
        <is>
          <t>DM: weak, has_email, phone Yes; BACKUP: has_email, phone Yes</t>
        </is>
      </c>
      <c r="U93" s="24" t="n">
        <v>1687942.83</v>
      </c>
      <c r="V93" s="25" t="inlineStr">
        <is>
          <t>B</t>
        </is>
      </c>
      <c r="W93" s="26" t="inlineStr"/>
      <c r="X93" s="27" t="inlineStr"/>
      <c r="Y93" s="27" t="inlineStr"/>
      <c r="Z93" s="26">
        <f>IF(W93&lt;&gt;"",W93,IFERROR(VLOOKUP(V93,Assumptions!$A$8:$F$12,2,FALSE),0))</f>
        <v/>
      </c>
      <c r="AA93" s="28">
        <f>IF(V93="A",MAX(1,IF(X93&lt;&gt;"",X93,IFERROR(VLOOKUP(V93,Assumptions!$A$8:$F$12,3,FALSE),3))+IF(Y93&lt;&gt;"",Y93,IFERROR(VLOOKUP(V93,Assumptions!$A$8:$F$12,4,FALSE),8))/2-MAX(0,IF(AS93="",0,YEAR(TODAY())-AS93)-IFERROR(VLOOKUP(V93,Assumptions!$A$8:$F$12,5,FALSE),1.5))),IFERROR(VLOOKUP(V93,Assumptions!$A$8:$F$12,5,FALSE),2.5)+IF(X93&lt;&gt;"",X93,IFERROR(VLOOKUP(V93,Assumptions!$A$8:$F$12,3,FALSE),3))+IF(Y93&lt;&gt;"",Y93,IFERROR(VLOOKUP(V93,Assumptions!$A$8:$F$12,4,FALSE),8))/2)</f>
        <v/>
      </c>
      <c r="AB93" s="24">
        <f>U93*Z93/(1+Assumptions!$B$3)^AA93</f>
        <v/>
      </c>
      <c r="AC93" s="27">
        <f>IF(U93=0,"",ROUND(AB93/U93*100,1))</f>
        <v/>
      </c>
      <c r="AD93" s="29">
        <f>AB93*Assumptions!$B$4</f>
        <v/>
      </c>
      <c r="AE93" s="27">
        <f>IF(U93=0,"",ROUND(AD93/U93*100,1))</f>
        <v/>
      </c>
      <c r="AF93" s="29">
        <f>AB93-AD93</f>
        <v/>
      </c>
      <c r="AG93" s="27">
        <f>IF(U93=0,"",ROUND((AB93-AD93)/U93*100,1))</f>
        <v/>
      </c>
      <c r="AH93" s="36" t="inlineStr">
        <is>
          <t>CHECK — source is not a statutory creditor list</t>
        </is>
      </c>
      <c r="AI93" s="31" t="inlineStr">
        <is>
          <t>https://credibilita.com.br/wp-content/uploads/2025/09/Relacao-Credores-29.04.2026.pdf</t>
        </is>
      </c>
      <c r="AJ93" s="30" t="inlineStr">
        <is>
          <t>p2 r24</t>
        </is>
      </c>
      <c r="AK93" s="30" t="inlineStr">
        <is>
          <t>p2: R$ 1.687.942,83</t>
        </is>
      </c>
      <c r="AL93" s="30" t="inlineStr">
        <is>
          <t>Quorum list — NOT an art. 7/51 list</t>
        </is>
      </c>
      <c r="AM93" s="30" t="inlineStr"/>
      <c r="AN93" s="30" t="inlineStr">
        <is>
          <t>NONE FOUND</t>
        </is>
      </c>
      <c r="AO93" s="32" t="inlineStr">
        <is>
          <t>5057720-48.2025.8.24.0023</t>
        </is>
      </c>
      <c r="AP93" s="32" t="inlineStr">
        <is>
          <t>TJSC</t>
        </is>
      </c>
      <c r="AQ93" s="32" t="inlineStr"/>
      <c r="AR93" s="32" t="inlineStr">
        <is>
          <t>not in DataJud</t>
        </is>
      </c>
      <c r="AS93" s="32" t="n">
        <v>2025</v>
      </c>
      <c r="AT93" s="32" t="inlineStr">
        <is>
          <t>live case, no plan document yet; case no. from the portal record, not printed on the list</t>
        </is>
      </c>
      <c r="AU93" s="32" t="inlineStr"/>
      <c r="AV93" s="32" t="inlineStr">
        <is>
          <t>portal page title / URL — not printed on the list</t>
        </is>
      </c>
      <c r="AW93" s="32" t="inlineStr"/>
      <c r="AX93" s="32" t="inlineStr">
        <is>
          <t>SAO JOAQUIM DA BARRA</t>
        </is>
      </c>
      <c r="AY93" s="32" t="inlineStr">
        <is>
          <t>SP</t>
        </is>
      </c>
      <c r="AZ93" s="32" t="inlineStr">
        <is>
          <t>Fabricação de equipamentos de transmissão para fins industriais, exceto rolamentos</t>
        </is>
      </c>
      <c r="BA93" s="32" t="inlineStr">
        <is>
          <t>não ME/EPP</t>
        </is>
      </c>
      <c r="BB93" s="33" t="n">
        <v>45130000</v>
      </c>
      <c r="BC93" s="32" t="inlineStr">
        <is>
          <t>MID-MARKET</t>
        </is>
      </c>
      <c r="BD93" s="32" t="inlineStr">
        <is>
          <t>59850115</t>
        </is>
      </c>
      <c r="BE93" s="32" t="n">
        <v>1</v>
      </c>
      <c r="BF93" s="32" t="inlineStr">
        <is>
          <t>list prints no totals case no. corrected by reader</t>
        </is>
      </c>
    </row>
    <row r="94">
      <c r="A94" s="17" t="inlineStr">
        <is>
          <t>COMPANHIA NITRO QUIMICA BRASILEIRA</t>
        </is>
      </c>
      <c r="B94" s="18" t="n">
        <v>1666504.92</v>
      </c>
      <c r="C94" s="19" t="inlineStr">
        <is>
          <t>GRUPO FERRARI (ALEX, ALEXANDRE , ANDRIELLE FERRARI MANTELLI, ARCIR LUIS, ERICA SANTOS ASSIS LIMA, FERNANDO MANTELLI, IDELSI, TALITA LEITE SILVA, AGROPECUARIA FERRARI LTDA E FERRARI ARMAZENS GERAIS)</t>
        </is>
      </c>
      <c r="D94" s="20" t="inlineStr">
        <is>
          <t>NEW</t>
        </is>
      </c>
      <c r="E94" s="21" t="inlineStr"/>
      <c r="F94" s="20" t="inlineStr"/>
      <c r="G94" s="21" t="inlineStr"/>
      <c r="H94" s="20" t="inlineStr"/>
      <c r="I94" s="22" t="inlineStr">
        <is>
          <t>FRANCISCO JOSE CARRARA FAVA</t>
        </is>
      </c>
      <c r="J94" s="23" t="inlineStr">
        <is>
          <t>Diretor (RFB partner)</t>
        </is>
      </c>
      <c r="K94" s="22" t="inlineStr">
        <is>
          <t>(11) 2246-3214</t>
        </is>
      </c>
      <c r="L94" s="22" t="inlineStr">
        <is>
          <t>(11) 2246-3329</t>
        </is>
      </c>
      <c r="M94" s="22" t="inlineStr"/>
      <c r="N94" s="22" t="inlineStr"/>
      <c r="O94" s="22" t="inlineStr"/>
      <c r="P94" s="22" t="inlineStr">
        <is>
          <t>MARCOS ROMANOSKI</t>
        </is>
      </c>
      <c r="Q94" s="22" t="inlineStr">
        <is>
          <t>Diretor (RFB partner)</t>
        </is>
      </c>
      <c r="R94" s="22" t="inlineStr"/>
      <c r="S94" s="22" t="inlineStr"/>
      <c r="T94" s="22" t="inlineStr">
        <is>
          <t>DM = registered partner (RFB QSA); no Apollo match</t>
        </is>
      </c>
      <c r="U94" s="24" t="n">
        <v>1666504.92</v>
      </c>
      <c r="V94" s="25" t="inlineStr">
        <is>
          <t>B</t>
        </is>
      </c>
      <c r="W94" s="26" t="inlineStr"/>
      <c r="X94" s="27" t="inlineStr"/>
      <c r="Y94" s="27" t="inlineStr"/>
      <c r="Z94" s="26">
        <f>IF(W94&lt;&gt;"",W94,IFERROR(VLOOKUP(V94,Assumptions!$A$8:$F$12,2,FALSE),0))</f>
        <v/>
      </c>
      <c r="AA94" s="28">
        <f>IF(V94="A",MAX(1,IF(X94&lt;&gt;"",X94,IFERROR(VLOOKUP(V94,Assumptions!$A$8:$F$12,3,FALSE),3))+IF(Y94&lt;&gt;"",Y94,IFERROR(VLOOKUP(V94,Assumptions!$A$8:$F$12,4,FALSE),8))/2-MAX(0,IF(AS94="",0,YEAR(TODAY())-AS94)-IFERROR(VLOOKUP(V94,Assumptions!$A$8:$F$12,5,FALSE),1.5))),IFERROR(VLOOKUP(V94,Assumptions!$A$8:$F$12,5,FALSE),2.5)+IF(X94&lt;&gt;"",X94,IFERROR(VLOOKUP(V94,Assumptions!$A$8:$F$12,3,FALSE),3))+IF(Y94&lt;&gt;"",Y94,IFERROR(VLOOKUP(V94,Assumptions!$A$8:$F$12,4,FALSE),8))/2)</f>
        <v/>
      </c>
      <c r="AB94" s="24">
        <f>U94*Z94/(1+Assumptions!$B$3)^AA94</f>
        <v/>
      </c>
      <c r="AC94" s="27">
        <f>IF(U94=0,"",ROUND(AB94/U94*100,1))</f>
        <v/>
      </c>
      <c r="AD94" s="29">
        <f>AB94*Assumptions!$B$4</f>
        <v/>
      </c>
      <c r="AE94" s="27">
        <f>IF(U94=0,"",ROUND(AD94/U94*100,1))</f>
        <v/>
      </c>
      <c r="AF94" s="29">
        <f>AB94-AD94</f>
        <v/>
      </c>
      <c r="AG94" s="27">
        <f>IF(U94=0,"",ROUND((AB94-AD94)/U94*100,1))</f>
        <v/>
      </c>
      <c r="AH94" s="34" t="inlineStr">
        <is>
          <t>NO TOTALS — list prints none; check page</t>
        </is>
      </c>
      <c r="AI94" s="31" t="inlineStr">
        <is>
          <t>https://scalzilliaj.com.br/sgc/download.php?file=files/processo_documento/processo_documento11421222052026_1_.pdf&amp;nome=08. Lista de credores do edital do art. 52, §1º da LREF</t>
        </is>
      </c>
      <c r="AJ94" s="30" t="inlineStr">
        <is>
          <t>p4 r1</t>
        </is>
      </c>
      <c r="AK94" s="30" t="inlineStr">
        <is>
          <t>p4: R$ 1.666.504,92</t>
        </is>
      </c>
      <c r="AL94" s="30" t="inlineStr">
        <is>
          <t>Unclassified list</t>
        </is>
      </c>
      <c r="AM94" s="30" t="inlineStr"/>
      <c r="AN94" s="30" t="inlineStr">
        <is>
          <t>NONE FOUND</t>
        </is>
      </c>
      <c r="AO94" s="32" t="inlineStr">
        <is>
          <t>5011369-81.2026.8.09.0093</t>
        </is>
      </c>
      <c r="AP94" s="32" t="inlineStr">
        <is>
          <t>TJGO</t>
        </is>
      </c>
      <c r="AQ94" s="32" t="inlineStr"/>
      <c r="AR94" s="32" t="inlineStr">
        <is>
          <t>DataJud: no closure/falência movement</t>
        </is>
      </c>
      <c r="AS94" s="32" t="n">
        <v>2026</v>
      </c>
      <c r="AT94" s="32" t="inlineStr">
        <is>
          <t>live case, no plan document yet; case no. from the portal record, not printed on the list</t>
        </is>
      </c>
      <c r="AU94" s="32" t="inlineStr"/>
      <c r="AV94" s="32" t="inlineStr">
        <is>
          <t>portal page title / URL — not printed on the list</t>
        </is>
      </c>
      <c r="AW94" s="32" t="inlineStr"/>
      <c r="AX94" s="32" t="inlineStr">
        <is>
          <t>SAO PAULO</t>
        </is>
      </c>
      <c r="AY94" s="32" t="inlineStr">
        <is>
          <t>SP</t>
        </is>
      </c>
      <c r="AZ94" s="32" t="inlineStr">
        <is>
          <t>Fabricação de outros produtos químicos inorgânicos não especificados anteriormente</t>
        </is>
      </c>
      <c r="BA94" s="32" t="inlineStr">
        <is>
          <t>não ME/EPP</t>
        </is>
      </c>
      <c r="BB94" s="33" t="n">
        <v>184980690</v>
      </c>
      <c r="BC94" s="32" t="inlineStr">
        <is>
          <t>MID-MARKET</t>
        </is>
      </c>
      <c r="BD94" s="32" t="inlineStr">
        <is>
          <t>61150348</t>
        </is>
      </c>
      <c r="BE94" s="32" t="n">
        <v>1</v>
      </c>
      <c r="BF94" s="32" t="inlineStr">
        <is>
          <t>list prints no totals</t>
        </is>
      </c>
    </row>
    <row r="95">
      <c r="A95" s="17" t="inlineStr">
        <is>
          <t>DEFESA FLORESTAL LTDA</t>
        </is>
      </c>
      <c r="B95" s="18" t="n">
        <v>1645536</v>
      </c>
      <c r="C95" s="19" t="inlineStr">
        <is>
          <t>GRUPO EGESA (Egesa Engenharia S.A. + 9 group companies; see group members)</t>
        </is>
      </c>
      <c r="D95" s="20" t="inlineStr">
        <is>
          <t>NEW</t>
        </is>
      </c>
      <c r="E95" s="21" t="inlineStr"/>
      <c r="F95" s="20" t="inlineStr"/>
      <c r="G95" s="21" t="inlineStr"/>
      <c r="H95" s="20" t="inlineStr"/>
      <c r="I95" s="22" t="inlineStr">
        <is>
          <t>Franciele Souza</t>
        </is>
      </c>
      <c r="J95" s="22" t="inlineStr">
        <is>
          <t>Financial Analyst</t>
        </is>
      </c>
      <c r="K95" s="22" t="inlineStr"/>
      <c r="L95" s="22" t="inlineStr"/>
      <c r="M95" s="22" t="inlineStr"/>
      <c r="N95" s="22" t="inlineStr"/>
      <c r="O95" s="22" t="inlineStr"/>
      <c r="P95" s="22" t="inlineStr">
        <is>
          <t>ALOISIO RODRIGUES PEREIRA</t>
        </is>
      </c>
      <c r="Q95" s="22" t="inlineStr">
        <is>
          <t>Sócio-Administrador (RFB partner)</t>
        </is>
      </c>
      <c r="R95" s="22" t="inlineStr"/>
      <c r="S95" s="22" t="inlineStr"/>
      <c r="T95" s="22" t="inlineStr">
        <is>
          <t>DM: phone Yes; no work email in Apollo for DM; NO ROUTE IN: no phone or email on file</t>
        </is>
      </c>
      <c r="U95" s="24" t="n">
        <v>1645536</v>
      </c>
      <c r="V95" s="25" t="inlineStr">
        <is>
          <t>B</t>
        </is>
      </c>
      <c r="W95" s="26" t="inlineStr"/>
      <c r="X95" s="27" t="inlineStr"/>
      <c r="Y95" s="27" t="inlineStr"/>
      <c r="Z95" s="26">
        <f>IF(W95&lt;&gt;"",W95,IFERROR(VLOOKUP(V95,Assumptions!$A$8:$F$12,2,FALSE),0))</f>
        <v/>
      </c>
      <c r="AA95" s="28">
        <f>IF(V95="A",MAX(1,IF(X95&lt;&gt;"",X95,IFERROR(VLOOKUP(V95,Assumptions!$A$8:$F$12,3,FALSE),3))+IF(Y95&lt;&gt;"",Y95,IFERROR(VLOOKUP(V95,Assumptions!$A$8:$F$12,4,FALSE),8))/2-MAX(0,IF(AS95="",0,YEAR(TODAY())-AS95)-IFERROR(VLOOKUP(V95,Assumptions!$A$8:$F$12,5,FALSE),1.5))),IFERROR(VLOOKUP(V95,Assumptions!$A$8:$F$12,5,FALSE),2.5)+IF(X95&lt;&gt;"",X95,IFERROR(VLOOKUP(V95,Assumptions!$A$8:$F$12,3,FALSE),3))+IF(Y95&lt;&gt;"",Y95,IFERROR(VLOOKUP(V95,Assumptions!$A$8:$F$12,4,FALSE),8))/2)</f>
        <v/>
      </c>
      <c r="AB95" s="24">
        <f>U95*Z95/(1+Assumptions!$B$3)^AA95</f>
        <v/>
      </c>
      <c r="AC95" s="27">
        <f>IF(U95=0,"",ROUND(AB95/U95*100,1))</f>
        <v/>
      </c>
      <c r="AD95" s="29">
        <f>AB95*Assumptions!$B$4</f>
        <v/>
      </c>
      <c r="AE95" s="27">
        <f>IF(U95=0,"",ROUND(AD95/U95*100,1))</f>
        <v/>
      </c>
      <c r="AF95" s="29">
        <f>AB95-AD95</f>
        <v/>
      </c>
      <c r="AG95" s="27">
        <f>IF(U95=0,"",ROUND((AB95-AD95)/U95*100,1))</f>
        <v/>
      </c>
      <c r="AH95" s="30" t="inlineStr">
        <is>
          <t>OK — totals reconciled</t>
        </is>
      </c>
      <c r="AI95" s="31" t="inlineStr">
        <is>
          <t>https://scalzilliaj.com.br/sgc/download.php?file=files/processo_documento/processo_documento09514021082025_1_.pdf&amp;nome=04 - Relação de credores das Recuperandas</t>
        </is>
      </c>
      <c r="AJ95" s="30" t="inlineStr">
        <is>
          <t>p65 r2</t>
        </is>
      </c>
      <c r="AK95" s="30" t="inlineStr">
        <is>
          <t>p65: R$ 1.645.536,00</t>
        </is>
      </c>
      <c r="AL95" s="30" t="inlineStr">
        <is>
          <t>Debtor list (art. 51)</t>
        </is>
      </c>
      <c r="AM95" s="30" t="inlineStr"/>
      <c r="AN95" s="30" t="inlineStr">
        <is>
          <t>NONE FOUND</t>
        </is>
      </c>
      <c r="AO95" s="32" t="inlineStr">
        <is>
          <t>5088952-81.2025.8.13.0024</t>
        </is>
      </c>
      <c r="AP95" s="32" t="inlineStr">
        <is>
          <t>TJMG</t>
        </is>
      </c>
      <c r="AQ95" s="32" t="inlineStr"/>
      <c r="AR95" s="32" t="inlineStr">
        <is>
          <t>DataJud: no closure/falência movement</t>
        </is>
      </c>
      <c r="AS95" s="32" t="n">
        <v>2025</v>
      </c>
      <c r="AT95" s="32" t="inlineStr">
        <is>
          <t>live case, no plan document yet; case no. from the portal record, not printed on the list</t>
        </is>
      </c>
      <c r="AU95" s="32" t="inlineStr"/>
      <c r="AV95" s="32" t="inlineStr">
        <is>
          <t>portal page title / URL — not printed on the list</t>
        </is>
      </c>
      <c r="AW95" s="32" t="inlineStr"/>
      <c r="AX95" s="32" t="inlineStr">
        <is>
          <t>VICOSA</t>
        </is>
      </c>
      <c r="AY95" s="32" t="inlineStr">
        <is>
          <t>MG</t>
        </is>
      </c>
      <c r="AZ95" s="32" t="inlineStr">
        <is>
          <t>Serviços de preparação do terreno não especificados anteriormente</t>
        </is>
      </c>
      <c r="BA95" s="32" t="inlineStr">
        <is>
          <t>não ME/EPP</t>
        </is>
      </c>
      <c r="BB95" s="33" t="n">
        <v>9800000</v>
      </c>
      <c r="BC95" s="32" t="inlineStr">
        <is>
          <t>MID-MARKET</t>
        </is>
      </c>
      <c r="BD95" s="32" t="inlineStr">
        <is>
          <t>20286415</t>
        </is>
      </c>
      <c r="BE95" s="32" t="n">
        <v>1</v>
      </c>
      <c r="BF95" s="32" t="inlineStr">
        <is>
          <t>case no. corrected by reader case no. from portal record no route in</t>
        </is>
      </c>
    </row>
    <row r="96">
      <c r="A96" s="17" t="inlineStr">
        <is>
          <t>DACARTO INDUSTRIA E COMERCIO DE PLASTICOS LTDA</t>
        </is>
      </c>
      <c r="B96" s="18" t="n">
        <v>1624039.19</v>
      </c>
      <c r="C96" s="19" t="inlineStr">
        <is>
          <t>Grupo Conduscabos</t>
        </is>
      </c>
      <c r="D96" s="20" t="inlineStr">
        <is>
          <t>NEW</t>
        </is>
      </c>
      <c r="E96" s="21" t="inlineStr"/>
      <c r="F96" s="20" t="inlineStr"/>
      <c r="G96" s="21" t="inlineStr"/>
      <c r="H96" s="20" t="inlineStr"/>
      <c r="I96" s="22" t="inlineStr">
        <is>
          <t>Barbara Alauck</t>
        </is>
      </c>
      <c r="J96" s="22" t="inlineStr">
        <is>
          <t>Analista de Tesouraria Sênior</t>
        </is>
      </c>
      <c r="K96" s="22" t="inlineStr">
        <is>
          <t>(11) 3658-9459</t>
        </is>
      </c>
      <c r="L96" s="22" t="inlineStr"/>
      <c r="M96" s="22" t="inlineStr"/>
      <c r="N96" s="22" t="inlineStr">
        <is>
          <t>barbara.alauck@dacarto.com.br</t>
        </is>
      </c>
      <c r="O96" s="22" t="inlineStr">
        <is>
          <t>verified</t>
        </is>
      </c>
      <c r="P96" s="22" t="inlineStr">
        <is>
          <t>Andre Pacheco</t>
        </is>
      </c>
      <c r="Q96" s="22" t="inlineStr">
        <is>
          <t>Gerente de Contas Pleno</t>
        </is>
      </c>
      <c r="R96" s="22" t="inlineStr"/>
      <c r="S96" s="22" t="inlineStr">
        <is>
          <t>andre.pacheco@dacarto.com.br</t>
        </is>
      </c>
      <c r="T96" s="22" t="inlineStr">
        <is>
          <t>DM: has_email; BACKUP: backup, has_email, phone Yes</t>
        </is>
      </c>
      <c r="U96" s="24" t="n">
        <v>1624039.19</v>
      </c>
      <c r="V96" s="25" t="inlineStr">
        <is>
          <t>B</t>
        </is>
      </c>
      <c r="W96" s="26" t="inlineStr"/>
      <c r="X96" s="27" t="inlineStr"/>
      <c r="Y96" s="27" t="inlineStr"/>
      <c r="Z96" s="26">
        <f>IF(W96&lt;&gt;"",W96,IFERROR(VLOOKUP(V96,Assumptions!$A$8:$F$12,2,FALSE),0))</f>
        <v/>
      </c>
      <c r="AA96" s="28">
        <f>IF(V96="A",MAX(1,IF(X96&lt;&gt;"",X96,IFERROR(VLOOKUP(V96,Assumptions!$A$8:$F$12,3,FALSE),3))+IF(Y96&lt;&gt;"",Y96,IFERROR(VLOOKUP(V96,Assumptions!$A$8:$F$12,4,FALSE),8))/2-MAX(0,IF(AS96="",0,YEAR(TODAY())-AS96)-IFERROR(VLOOKUP(V96,Assumptions!$A$8:$F$12,5,FALSE),1.5))),IFERROR(VLOOKUP(V96,Assumptions!$A$8:$F$12,5,FALSE),2.5)+IF(X96&lt;&gt;"",X96,IFERROR(VLOOKUP(V96,Assumptions!$A$8:$F$12,3,FALSE),3))+IF(Y96&lt;&gt;"",Y96,IFERROR(VLOOKUP(V96,Assumptions!$A$8:$F$12,4,FALSE),8))/2)</f>
        <v/>
      </c>
      <c r="AB96" s="24">
        <f>U96*Z96/(1+Assumptions!$B$3)^AA96</f>
        <v/>
      </c>
      <c r="AC96" s="27">
        <f>IF(U96=0,"",ROUND(AB96/U96*100,1))</f>
        <v/>
      </c>
      <c r="AD96" s="29">
        <f>AB96*Assumptions!$B$4</f>
        <v/>
      </c>
      <c r="AE96" s="27">
        <f>IF(U96=0,"",ROUND(AD96/U96*100,1))</f>
        <v/>
      </c>
      <c r="AF96" s="29">
        <f>AB96-AD96</f>
        <v/>
      </c>
      <c r="AG96" s="27">
        <f>IF(U96=0,"",ROUND((AB96-AD96)/U96*100,1))</f>
        <v/>
      </c>
      <c r="AH96" s="34" t="inlineStr">
        <is>
          <t>NO TOTALS — list prints none; check page</t>
        </is>
      </c>
      <c r="AI96" s="31" t="inlineStr">
        <is>
          <t>https://assistjud.com.br/wp-content/uploads/elementor/forms/65098c80a5824.pdf</t>
        </is>
      </c>
      <c r="AJ96" s="30" t="inlineStr">
        <is>
          <t>p6 r12; p6 r13</t>
        </is>
      </c>
      <c r="AK96" s="30" t="inlineStr">
        <is>
          <t>p6: R$ 534.318,75; p6: R$ 1.089.720,44</t>
        </is>
      </c>
      <c r="AL96" s="30" t="inlineStr">
        <is>
          <t>AJ list (art. 7 §2)</t>
        </is>
      </c>
      <c r="AM96" s="30" t="inlineStr">
        <is>
          <t>2023-09-18</t>
        </is>
      </c>
      <c r="AN96" s="30" t="inlineStr">
        <is>
          <t>NONE FOUND</t>
        </is>
      </c>
      <c r="AO96" s="32" t="inlineStr">
        <is>
          <t>8005129-09.2023.8.05.0039</t>
        </is>
      </c>
      <c r="AP96" s="32" t="inlineStr">
        <is>
          <t>TJBA</t>
        </is>
      </c>
      <c r="AQ96" s="32" t="inlineStr">
        <is>
          <t>Recuperação judicial</t>
        </is>
      </c>
      <c r="AR96" s="32" t="inlineStr">
        <is>
          <t>DataJud: no closure/falência movement</t>
        </is>
      </c>
      <c r="AS96" s="32" t="n">
        <v>2023</v>
      </c>
      <c r="AT96" s="32" t="inlineStr">
        <is>
          <t>live case, no plan document yet</t>
        </is>
      </c>
      <c r="AU96" s="32" t="inlineStr"/>
      <c r="AV96" s="32" t="inlineStr">
        <is>
          <t>printed on the list (read twice)</t>
        </is>
      </c>
      <c r="AW96" s="32" t="inlineStr"/>
      <c r="AX96" s="32" t="inlineStr">
        <is>
          <t>OSASCO</t>
        </is>
      </c>
      <c r="AY96" s="32" t="inlineStr">
        <is>
          <t>SP</t>
        </is>
      </c>
      <c r="AZ96" s="32" t="inlineStr">
        <is>
          <t>Fabricação de artefatos de material plástico para outros usos não especificados anteriormente</t>
        </is>
      </c>
      <c r="BA96" s="32" t="inlineStr">
        <is>
          <t>não ME/EPP</t>
        </is>
      </c>
      <c r="BB96" s="33" t="n">
        <v>62111836</v>
      </c>
      <c r="BC96" s="32" t="inlineStr">
        <is>
          <t>MID-MARKET</t>
        </is>
      </c>
      <c r="BD96" s="32" t="inlineStr">
        <is>
          <t>62143847</t>
        </is>
      </c>
      <c r="BE96" s="32" t="n">
        <v>2</v>
      </c>
      <c r="BF96" s="32" t="inlineStr">
        <is>
          <t>list prints no totals</t>
        </is>
      </c>
    </row>
    <row r="97">
      <c r="A97" s="17" t="inlineStr">
        <is>
          <t>FARMAX S.A.</t>
        </is>
      </c>
      <c r="B97" s="18" t="n">
        <v>1610365.54</v>
      </c>
      <c r="C97" s="19" t="inlineStr">
        <is>
          <t>GRUPO DP4</t>
        </is>
      </c>
      <c r="D97" s="20" t="inlineStr">
        <is>
          <t>NEW</t>
        </is>
      </c>
      <c r="E97" s="21" t="inlineStr"/>
      <c r="F97" s="20" t="inlineStr"/>
      <c r="G97" s="21" t="inlineStr"/>
      <c r="H97" s="20" t="inlineStr"/>
      <c r="I97" s="22" t="inlineStr">
        <is>
          <t>Rodrigo Amoroso</t>
        </is>
      </c>
      <c r="J97" s="22" t="inlineStr">
        <is>
          <t>Head de Tesouraria e Controladoria</t>
        </is>
      </c>
      <c r="K97" s="22" t="inlineStr">
        <is>
          <t>(37) 2101-9696</t>
        </is>
      </c>
      <c r="L97" s="22" t="inlineStr">
        <is>
          <t>(37) 2101-9603</t>
        </is>
      </c>
      <c r="M97" s="22" t="inlineStr"/>
      <c r="N97" s="22" t="inlineStr"/>
      <c r="O97" s="22" t="inlineStr"/>
      <c r="P97" s="22" t="inlineStr">
        <is>
          <t>Joziane Rachid</t>
        </is>
      </c>
      <c r="Q97" s="22" t="inlineStr">
        <is>
          <t>Analista Crédito e Cobrança</t>
        </is>
      </c>
      <c r="R97" s="22" t="inlineStr"/>
      <c r="S97" s="22" t="inlineStr">
        <is>
          <t>joziane.rachid@farmax.com.br</t>
        </is>
      </c>
      <c r="T97" s="22" t="inlineStr">
        <is>
          <t>DM: phone Yes; no work email in Apollo for DM; BACKUP: backup, has_email</t>
        </is>
      </c>
      <c r="U97" s="24" t="n">
        <v>1610365.54</v>
      </c>
      <c r="V97" s="25" t="inlineStr">
        <is>
          <t>B</t>
        </is>
      </c>
      <c r="W97" s="26" t="inlineStr"/>
      <c r="X97" s="27" t="inlineStr"/>
      <c r="Y97" s="27" t="inlineStr"/>
      <c r="Z97" s="26">
        <f>IF(W97&lt;&gt;"",W97,IFERROR(VLOOKUP(V97,Assumptions!$A$8:$F$12,2,FALSE),0))</f>
        <v/>
      </c>
      <c r="AA97" s="28">
        <f>IF(V97="A",MAX(1,IF(X97&lt;&gt;"",X97,IFERROR(VLOOKUP(V97,Assumptions!$A$8:$F$12,3,FALSE),3))+IF(Y97&lt;&gt;"",Y97,IFERROR(VLOOKUP(V97,Assumptions!$A$8:$F$12,4,FALSE),8))/2-MAX(0,IF(AS97="",0,YEAR(TODAY())-AS97)-IFERROR(VLOOKUP(V97,Assumptions!$A$8:$F$12,5,FALSE),1.5))),IFERROR(VLOOKUP(V97,Assumptions!$A$8:$F$12,5,FALSE),2.5)+IF(X97&lt;&gt;"",X97,IFERROR(VLOOKUP(V97,Assumptions!$A$8:$F$12,3,FALSE),3))+IF(Y97&lt;&gt;"",Y97,IFERROR(VLOOKUP(V97,Assumptions!$A$8:$F$12,4,FALSE),8))/2)</f>
        <v/>
      </c>
      <c r="AB97" s="24">
        <f>U97*Z97/(1+Assumptions!$B$3)^AA97</f>
        <v/>
      </c>
      <c r="AC97" s="27">
        <f>IF(U97=0,"",ROUND(AB97/U97*100,1))</f>
        <v/>
      </c>
      <c r="AD97" s="29">
        <f>AB97*Assumptions!$B$4</f>
        <v/>
      </c>
      <c r="AE97" s="27">
        <f>IF(U97=0,"",ROUND(AD97/U97*100,1))</f>
        <v/>
      </c>
      <c r="AF97" s="29">
        <f>AB97-AD97</f>
        <v/>
      </c>
      <c r="AG97" s="27">
        <f>IF(U97=0,"",ROUND((AB97-AD97)/U97*100,1))</f>
        <v/>
      </c>
      <c r="AH97" s="35" t="inlineStr">
        <is>
          <t>PARTIAL — class III reconciled, other classes not</t>
        </is>
      </c>
      <c r="AI97" s="31" t="inlineStr">
        <is>
          <t>https://marquesadmjudicial.com.br/sgc/download.php?file=files/processo_documento/processo_documento15293208032024_1_.pdf&amp;nome=Relação Nominal de Credores da AJ-Sintética</t>
        </is>
      </c>
      <c r="AJ97" s="30" t="inlineStr">
        <is>
          <t>p25 r6</t>
        </is>
      </c>
      <c r="AK97" s="30" t="inlineStr">
        <is>
          <t>p25: R$ 1.610.365,54</t>
        </is>
      </c>
      <c r="AL97" s="30" t="inlineStr">
        <is>
          <t>AJ list (art. 7 §2)</t>
        </is>
      </c>
      <c r="AM97" s="30" t="inlineStr">
        <is>
          <t>2023-03-02</t>
        </is>
      </c>
      <c r="AN97" s="30" t="inlineStr">
        <is>
          <t>NONE FOUND</t>
        </is>
      </c>
      <c r="AO97" s="32" t="inlineStr">
        <is>
          <t>0005010-98.2023.8.16.0001</t>
        </is>
      </c>
      <c r="AP97" s="32" t="inlineStr">
        <is>
          <t>TJPR</t>
        </is>
      </c>
      <c r="AQ97" s="32" t="inlineStr">
        <is>
          <t>Recuperação judicial</t>
        </is>
      </c>
      <c r="AR97" s="32" t="inlineStr">
        <is>
          <t>DataJud: no closure/falência movement</t>
        </is>
      </c>
      <c r="AS97" s="32" t="n">
        <v>2023</v>
      </c>
      <c r="AT97" s="32" t="inlineStr">
        <is>
          <t>live case, no plan document yet</t>
        </is>
      </c>
      <c r="AU97" s="32" t="inlineStr"/>
      <c r="AV97" s="32" t="inlineStr">
        <is>
          <t>printed on the list (read twice)</t>
        </is>
      </c>
      <c r="AW97" s="32" t="inlineStr"/>
      <c r="AX97" s="32" t="inlineStr">
        <is>
          <t>DIVINOPOLIS</t>
        </is>
      </c>
      <c r="AY97" s="32" t="inlineStr">
        <is>
          <t>MG</t>
        </is>
      </c>
      <c r="AZ97" s="32" t="inlineStr">
        <is>
          <t>Fabricação de cosméticos, produtos de perfumaria e de higiene pessoal</t>
        </is>
      </c>
      <c r="BA97" s="32" t="inlineStr">
        <is>
          <t>não ME/EPP</t>
        </is>
      </c>
      <c r="BB97" s="33" t="n">
        <v>611989760</v>
      </c>
      <c r="BC97" s="32" t="inlineStr">
        <is>
          <t>LARGE CORP</t>
        </is>
      </c>
      <c r="BD97" s="32" t="inlineStr">
        <is>
          <t>21759758</t>
        </is>
      </c>
      <c r="BE97" s="32" t="n">
        <v>1</v>
      </c>
      <c r="BF97" s="32" t="inlineStr">
        <is>
          <t>class III reconciled (doc partial)</t>
        </is>
      </c>
    </row>
    <row r="98">
      <c r="A98" s="17" t="inlineStr">
        <is>
          <t>ROCHE DIABETES CARE BRASIL LTDA</t>
        </is>
      </c>
      <c r="B98" s="18" t="n">
        <v>1608447.77</v>
      </c>
      <c r="C98" s="19" t="inlineStr">
        <is>
          <t>GRUPO DP4</t>
        </is>
      </c>
      <c r="D98" s="20" t="inlineStr">
        <is>
          <t>NEW</t>
        </is>
      </c>
      <c r="E98" s="21" t="inlineStr"/>
      <c r="F98" s="20" t="inlineStr"/>
      <c r="G98" s="21" t="inlineStr"/>
      <c r="H98" s="20" t="inlineStr"/>
      <c r="I98" s="22" t="inlineStr">
        <is>
          <t>ANA TUNON ORRICO</t>
        </is>
      </c>
      <c r="J98" s="23" t="inlineStr">
        <is>
          <t>Administrador (RFB partner)</t>
        </is>
      </c>
      <c r="K98" s="22" t="inlineStr">
        <is>
          <t>(11) 3719-8888</t>
        </is>
      </c>
      <c r="L98" s="22" t="inlineStr"/>
      <c r="M98" s="22" t="inlineStr"/>
      <c r="N98" s="22" t="inlineStr"/>
      <c r="O98" s="22" t="inlineStr"/>
      <c r="P98" s="22" t="inlineStr">
        <is>
          <t>CAMILA HERNANDEZ MUSLEH</t>
        </is>
      </c>
      <c r="Q98" s="22" t="inlineStr">
        <is>
          <t>Administrador (RFB partner)</t>
        </is>
      </c>
      <c r="R98" s="22" t="inlineStr"/>
      <c r="S98" s="22" t="inlineStr"/>
      <c r="T98" s="22" t="inlineStr">
        <is>
          <t>DM = registered partner (RFB QSA); no Apollo match</t>
        </is>
      </c>
      <c r="U98" s="24" t="n">
        <v>1608447.77</v>
      </c>
      <c r="V98" s="25" t="inlineStr">
        <is>
          <t>B</t>
        </is>
      </c>
      <c r="W98" s="26" t="inlineStr"/>
      <c r="X98" s="27" t="inlineStr"/>
      <c r="Y98" s="27" t="inlineStr"/>
      <c r="Z98" s="26">
        <f>IF(W98&lt;&gt;"",W98,IFERROR(VLOOKUP(V98,Assumptions!$A$8:$F$12,2,FALSE),0))</f>
        <v/>
      </c>
      <c r="AA98" s="28">
        <f>IF(V98="A",MAX(1,IF(X98&lt;&gt;"",X98,IFERROR(VLOOKUP(V98,Assumptions!$A$8:$F$12,3,FALSE),3))+IF(Y98&lt;&gt;"",Y98,IFERROR(VLOOKUP(V98,Assumptions!$A$8:$F$12,4,FALSE),8))/2-MAX(0,IF(AS98="",0,YEAR(TODAY())-AS98)-IFERROR(VLOOKUP(V98,Assumptions!$A$8:$F$12,5,FALSE),1.5))),IFERROR(VLOOKUP(V98,Assumptions!$A$8:$F$12,5,FALSE),2.5)+IF(X98&lt;&gt;"",X98,IFERROR(VLOOKUP(V98,Assumptions!$A$8:$F$12,3,FALSE),3))+IF(Y98&lt;&gt;"",Y98,IFERROR(VLOOKUP(V98,Assumptions!$A$8:$F$12,4,FALSE),8))/2)</f>
        <v/>
      </c>
      <c r="AB98" s="24">
        <f>U98*Z98/(1+Assumptions!$B$3)^AA98</f>
        <v/>
      </c>
      <c r="AC98" s="27">
        <f>IF(U98=0,"",ROUND(AB98/U98*100,1))</f>
        <v/>
      </c>
      <c r="AD98" s="29">
        <f>AB98*Assumptions!$B$4</f>
        <v/>
      </c>
      <c r="AE98" s="27">
        <f>IF(U98=0,"",ROUND(AD98/U98*100,1))</f>
        <v/>
      </c>
      <c r="AF98" s="29">
        <f>AB98-AD98</f>
        <v/>
      </c>
      <c r="AG98" s="27">
        <f>IF(U98=0,"",ROUND((AB98-AD98)/U98*100,1))</f>
        <v/>
      </c>
      <c r="AH98" s="35" t="inlineStr">
        <is>
          <t>PARTIAL — class III reconciled, other classes not</t>
        </is>
      </c>
      <c r="AI98" s="31" t="inlineStr">
        <is>
          <t>https://marquesadmjudicial.com.br/sgc/download.php?file=files/processo_documento/processo_documento15293208032024_1_.pdf&amp;nome=Relação Nominal de Credores da AJ-Sintética</t>
        </is>
      </c>
      <c r="AJ98" s="30" t="inlineStr">
        <is>
          <t>p30 r12</t>
        </is>
      </c>
      <c r="AK98" s="30" t="inlineStr">
        <is>
          <t>p30: R$ 1.608.447,77</t>
        </is>
      </c>
      <c r="AL98" s="30" t="inlineStr">
        <is>
          <t>AJ list (art. 7 §2)</t>
        </is>
      </c>
      <c r="AM98" s="30" t="inlineStr">
        <is>
          <t>2023-03-02</t>
        </is>
      </c>
      <c r="AN98" s="30" t="inlineStr">
        <is>
          <t>NONE FOUND</t>
        </is>
      </c>
      <c r="AO98" s="32" t="inlineStr">
        <is>
          <t>0005010-98.2023.8.16.0001</t>
        </is>
      </c>
      <c r="AP98" s="32" t="inlineStr">
        <is>
          <t>TJPR</t>
        </is>
      </c>
      <c r="AQ98" s="32" t="inlineStr">
        <is>
          <t>Recuperação judicial</t>
        </is>
      </c>
      <c r="AR98" s="32" t="inlineStr">
        <is>
          <t>DataJud: no closure/falência movement</t>
        </is>
      </c>
      <c r="AS98" s="32" t="n">
        <v>2023</v>
      </c>
      <c r="AT98" s="32" t="inlineStr">
        <is>
          <t>live case, no plan document yet</t>
        </is>
      </c>
      <c r="AU98" s="32" t="inlineStr"/>
      <c r="AV98" s="32" t="inlineStr">
        <is>
          <t>printed on the list (read twice)</t>
        </is>
      </c>
      <c r="AW98" s="32" t="inlineStr"/>
      <c r="AX98" s="32" t="inlineStr">
        <is>
          <t>SAO PAULO</t>
        </is>
      </c>
      <c r="AY98" s="32" t="inlineStr">
        <is>
          <t>SP</t>
        </is>
      </c>
      <c r="AZ98" s="32" t="inlineStr">
        <is>
          <t>Serviços combinados de escritório e apoio administrativo</t>
        </is>
      </c>
      <c r="BA98" s="32" t="inlineStr">
        <is>
          <t>não ME/EPP</t>
        </is>
      </c>
      <c r="BB98" s="33" t="n">
        <v>44388330</v>
      </c>
      <c r="BC98" s="32" t="inlineStr">
        <is>
          <t>MID-MARKET</t>
        </is>
      </c>
      <c r="BD98" s="32" t="inlineStr">
        <is>
          <t>23552212</t>
        </is>
      </c>
      <c r="BE98" s="32" t="n">
        <v>1</v>
      </c>
      <c r="BF98" s="32" t="inlineStr">
        <is>
          <t>class III reconciled (doc partial)</t>
        </is>
      </c>
    </row>
    <row r="99">
      <c r="A99" s="17" t="inlineStr">
        <is>
          <t>BRACELL SP CELULOSE LTDA</t>
        </is>
      </c>
      <c r="B99" s="18" t="n">
        <v>3000000</v>
      </c>
      <c r="C99" s="37" t="inlineStr">
        <is>
          <t>(debtor not identified — see proof)</t>
        </is>
      </c>
      <c r="D99" s="20" t="inlineStr">
        <is>
          <t>NEW</t>
        </is>
      </c>
      <c r="E99" s="21" t="inlineStr"/>
      <c r="F99" s="20" t="inlineStr"/>
      <c r="G99" s="21" t="inlineStr"/>
      <c r="H99" s="20" t="inlineStr"/>
      <c r="I99" s="22" t="inlineStr">
        <is>
          <t>William Troelsen</t>
        </is>
      </c>
      <c r="J99" s="22" t="inlineStr">
        <is>
          <t>Financial Director</t>
        </is>
      </c>
      <c r="K99" s="22" t="inlineStr">
        <is>
          <t>(14) 3269-5100</t>
        </is>
      </c>
      <c r="L99" s="22" t="inlineStr"/>
      <c r="M99" s="22" t="inlineStr"/>
      <c r="N99" s="22" t="inlineStr">
        <is>
          <t>william_troelsen@bracell.com</t>
        </is>
      </c>
      <c r="O99" s="22" t="inlineStr">
        <is>
          <t>verified</t>
        </is>
      </c>
      <c r="P99" s="22" t="inlineStr">
        <is>
          <t>Ariadne Vilar</t>
        </is>
      </c>
      <c r="Q99" s="22" t="inlineStr">
        <is>
          <t>Coordenadora de Tesouraria</t>
        </is>
      </c>
      <c r="R99" s="22" t="inlineStr"/>
      <c r="S99" s="22" t="inlineStr">
        <is>
          <t>ariadne_vilar@bracell.com</t>
        </is>
      </c>
      <c r="T99" s="22" t="inlineStr">
        <is>
          <t>DM: has_email, phone Yes; BACKUP: backup, has_email, phone Yes; VERIFY org: Apollo has this person at 'Averis'</t>
        </is>
      </c>
      <c r="U99" s="24" t="n">
        <v>3000000</v>
      </c>
      <c r="V99" s="38" t="inlineStr">
        <is>
          <t>U</t>
        </is>
      </c>
      <c r="W99" s="26" t="inlineStr"/>
      <c r="X99" s="27" t="inlineStr"/>
      <c r="Y99" s="27" t="inlineStr"/>
      <c r="Z99" s="26">
        <f>IF(W99&lt;&gt;"",W99,IFERROR(VLOOKUP(V99,Assumptions!$A$8:$F$12,2,FALSE),0))</f>
        <v/>
      </c>
      <c r="AA99" s="28">
        <f>IF(V99="A",MAX(1,IF(X99&lt;&gt;"",X99,IFERROR(VLOOKUP(V99,Assumptions!$A$8:$F$12,3,FALSE),3))+IF(Y99&lt;&gt;"",Y99,IFERROR(VLOOKUP(V99,Assumptions!$A$8:$F$12,4,FALSE),8))/2-MAX(0,IF(AS99="",0,YEAR(TODAY())-AS99)-IFERROR(VLOOKUP(V99,Assumptions!$A$8:$F$12,5,FALSE),1.5))),IFERROR(VLOOKUP(V99,Assumptions!$A$8:$F$12,5,FALSE),2.5)+IF(X99&lt;&gt;"",X99,IFERROR(VLOOKUP(V99,Assumptions!$A$8:$F$12,3,FALSE),3))+IF(Y99&lt;&gt;"",Y99,IFERROR(VLOOKUP(V99,Assumptions!$A$8:$F$12,4,FALSE),8))/2)</f>
        <v/>
      </c>
      <c r="AB99" s="24">
        <f>U99*Z99/(1+Assumptions!$B$3)^AA99</f>
        <v/>
      </c>
      <c r="AC99" s="27">
        <f>IF(U99=0,"",ROUND(AB99/U99*100,1))</f>
        <v/>
      </c>
      <c r="AD99" s="29">
        <f>AB99*Assumptions!$B$4</f>
        <v/>
      </c>
      <c r="AE99" s="27">
        <f>IF(U99=0,"",ROUND(AD99/U99*100,1))</f>
        <v/>
      </c>
      <c r="AF99" s="29">
        <f>AB99-AD99</f>
        <v/>
      </c>
      <c r="AG99" s="27">
        <f>IF(U99=0,"",ROUND((AB99-AD99)/U99*100,1))</f>
        <v/>
      </c>
      <c r="AH99" s="30" t="inlineStr">
        <is>
          <t>OK — totals reconciled</t>
        </is>
      </c>
      <c r="AI99" s="31" t="inlineStr">
        <is>
          <t>https://ajruiz.com.br/sites/default/files/public/arquivos-processos/2023-11/4_relacao_de_credores_analitica_art._51_iii_da_lre.pdf</t>
        </is>
      </c>
      <c r="AJ99" s="30" t="inlineStr">
        <is>
          <t>p2 r21</t>
        </is>
      </c>
      <c r="AK99" s="30" t="inlineStr">
        <is>
          <t>p2: R$ 3.000.000,00</t>
        </is>
      </c>
      <c r="AL99" s="30" t="inlineStr">
        <is>
          <t>Unclassified list</t>
        </is>
      </c>
      <c r="AM99" s="30" t="inlineStr"/>
      <c r="AN99" s="30" t="inlineStr">
        <is>
          <t>NONE FOUND</t>
        </is>
      </c>
      <c r="AO99" s="32" t="inlineStr">
        <is>
          <t>(not printed)</t>
        </is>
      </c>
      <c r="AP99" s="32" t="inlineStr"/>
      <c r="AQ99" s="32" t="inlineStr"/>
      <c r="AR99" s="32" t="inlineStr"/>
      <c r="AS99" s="32" t="inlineStr"/>
      <c r="AT99" s="32" t="inlineStr">
        <is>
          <t>RJ case number not identified on the document</t>
        </is>
      </c>
      <c r="AU99" s="32" t="inlineStr"/>
      <c r="AV99" s="32" t="inlineStr">
        <is>
          <t>not identified</t>
        </is>
      </c>
      <c r="AW99" s="32" t="inlineStr"/>
      <c r="AX99" s="32" t="inlineStr">
        <is>
          <t>LENCOIS PAULISTA</t>
        </is>
      </c>
      <c r="AY99" s="32" t="inlineStr">
        <is>
          <t>SP</t>
        </is>
      </c>
      <c r="AZ99" s="32" t="inlineStr">
        <is>
          <t>Fabricação de celulose e outras pastas para a fabricação de papel</t>
        </is>
      </c>
      <c r="BA99" s="32" t="inlineStr">
        <is>
          <t>não ME/EPP</t>
        </is>
      </c>
      <c r="BB99" s="33" t="n">
        <v>2878296600</v>
      </c>
      <c r="BC99" s="32" t="inlineStr">
        <is>
          <t>LARGE CORP</t>
        </is>
      </c>
      <c r="BD99" s="32" t="inlineStr">
        <is>
          <t>53943098</t>
        </is>
      </c>
      <c r="BE99" s="32" t="n">
        <v>1</v>
      </c>
      <c r="BF99" s="32" t="inlineStr">
        <is>
          <t>ALT_VALUE:cliente case no. corrected by reader</t>
        </is>
      </c>
    </row>
    <row r="100">
      <c r="A100" s="17" t="inlineStr">
        <is>
          <t>KARINA PLASTICOS LTDA</t>
        </is>
      </c>
      <c r="B100" s="18" t="n">
        <v>1557723.71</v>
      </c>
      <c r="C100" s="19" t="inlineStr">
        <is>
          <t>Grupo Conduscabos</t>
        </is>
      </c>
      <c r="D100" s="20" t="inlineStr">
        <is>
          <t>NEW</t>
        </is>
      </c>
      <c r="E100" s="21" t="inlineStr"/>
      <c r="F100" s="20" t="inlineStr"/>
      <c r="G100" s="21" t="inlineStr"/>
      <c r="H100" s="20" t="inlineStr"/>
      <c r="I100" s="22" t="inlineStr">
        <is>
          <t>Camila Sartori</t>
        </is>
      </c>
      <c r="J100" s="22" t="inlineStr">
        <is>
          <t>Coordenadora de Crédito e Cobrança</t>
        </is>
      </c>
      <c r="K100" s="22" t="inlineStr">
        <is>
          <t>(11) 2440-8477</t>
        </is>
      </c>
      <c r="L100" s="22" t="inlineStr">
        <is>
          <t>(11) 2463-2920</t>
        </is>
      </c>
      <c r="M100" s="22" t="inlineStr"/>
      <c r="N100" s="22" t="inlineStr"/>
      <c r="O100" s="22" t="inlineStr"/>
      <c r="P100" s="22" t="inlineStr">
        <is>
          <t>Fernando Costa</t>
        </is>
      </c>
      <c r="Q100" s="22" t="inlineStr">
        <is>
          <t>Director</t>
        </is>
      </c>
      <c r="R100" s="22" t="inlineStr"/>
      <c r="S100" s="22" t="inlineStr">
        <is>
          <t>fernando.costa@karina.com.br</t>
        </is>
      </c>
      <c r="T100" s="22" t="inlineStr">
        <is>
          <t>DM: phone Yes; no work email in Apollo for DM; BACKUP: backup, has_email</t>
        </is>
      </c>
      <c r="U100" s="24" t="n">
        <v>1557723.71</v>
      </c>
      <c r="V100" s="25" t="inlineStr">
        <is>
          <t>B</t>
        </is>
      </c>
      <c r="W100" s="26" t="inlineStr"/>
      <c r="X100" s="27" t="inlineStr"/>
      <c r="Y100" s="27" t="inlineStr"/>
      <c r="Z100" s="26">
        <f>IF(W100&lt;&gt;"",W100,IFERROR(VLOOKUP(V100,Assumptions!$A$8:$F$12,2,FALSE),0))</f>
        <v/>
      </c>
      <c r="AA100" s="28">
        <f>IF(V100="A",MAX(1,IF(X100&lt;&gt;"",X100,IFERROR(VLOOKUP(V100,Assumptions!$A$8:$F$12,3,FALSE),3))+IF(Y100&lt;&gt;"",Y100,IFERROR(VLOOKUP(V100,Assumptions!$A$8:$F$12,4,FALSE),8))/2-MAX(0,IF(AS100="",0,YEAR(TODAY())-AS100)-IFERROR(VLOOKUP(V100,Assumptions!$A$8:$F$12,5,FALSE),1.5))),IFERROR(VLOOKUP(V100,Assumptions!$A$8:$F$12,5,FALSE),2.5)+IF(X100&lt;&gt;"",X100,IFERROR(VLOOKUP(V100,Assumptions!$A$8:$F$12,3,FALSE),3))+IF(Y100&lt;&gt;"",Y100,IFERROR(VLOOKUP(V100,Assumptions!$A$8:$F$12,4,FALSE),8))/2)</f>
        <v/>
      </c>
      <c r="AB100" s="24">
        <f>U100*Z100/(1+Assumptions!$B$3)^AA100</f>
        <v/>
      </c>
      <c r="AC100" s="27">
        <f>IF(U100=0,"",ROUND(AB100/U100*100,1))</f>
        <v/>
      </c>
      <c r="AD100" s="29">
        <f>AB100*Assumptions!$B$4</f>
        <v/>
      </c>
      <c r="AE100" s="27">
        <f>IF(U100=0,"",ROUND(AD100/U100*100,1))</f>
        <v/>
      </c>
      <c r="AF100" s="29">
        <f>AB100-AD100</f>
        <v/>
      </c>
      <c r="AG100" s="27">
        <f>IF(U100=0,"",ROUND((AB100-AD100)/U100*100,1))</f>
        <v/>
      </c>
      <c r="AH100" s="34" t="inlineStr">
        <is>
          <t>NO TOTALS — list prints none; check page</t>
        </is>
      </c>
      <c r="AI100" s="31" t="inlineStr">
        <is>
          <t>https://assistjud.com.br/wp-content/uploads/elementor/forms/65098c80a5824.pdf</t>
        </is>
      </c>
      <c r="AJ100" s="30" t="inlineStr">
        <is>
          <t>p8 r5</t>
        </is>
      </c>
      <c r="AK100" s="30" t="inlineStr">
        <is>
          <t>p8: R$ 1.557.723,71</t>
        </is>
      </c>
      <c r="AL100" s="30" t="inlineStr">
        <is>
          <t>AJ list (art. 7 §2)</t>
        </is>
      </c>
      <c r="AM100" s="30" t="inlineStr">
        <is>
          <t>2023-09-18</t>
        </is>
      </c>
      <c r="AN100" s="30" t="inlineStr">
        <is>
          <t>NONE FOUND</t>
        </is>
      </c>
      <c r="AO100" s="32" t="inlineStr">
        <is>
          <t>8005129-09.2023.8.05.0039</t>
        </is>
      </c>
      <c r="AP100" s="32" t="inlineStr">
        <is>
          <t>TJBA</t>
        </is>
      </c>
      <c r="AQ100" s="32" t="inlineStr">
        <is>
          <t>Recuperação judicial</t>
        </is>
      </c>
      <c r="AR100" s="32" t="inlineStr">
        <is>
          <t>DataJud: no closure/falência movement</t>
        </is>
      </c>
      <c r="AS100" s="32" t="n">
        <v>2023</v>
      </c>
      <c r="AT100" s="32" t="inlineStr">
        <is>
          <t>live case, no plan document yet</t>
        </is>
      </c>
      <c r="AU100" s="32" t="inlineStr"/>
      <c r="AV100" s="32" t="inlineStr">
        <is>
          <t>printed on the list (read twice)</t>
        </is>
      </c>
      <c r="AW100" s="32" t="inlineStr"/>
      <c r="AX100" s="32" t="inlineStr">
        <is>
          <t>GUARULHOS</t>
        </is>
      </c>
      <c r="AY100" s="32" t="inlineStr">
        <is>
          <t>SP</t>
        </is>
      </c>
      <c r="AZ100" s="32" t="inlineStr">
        <is>
          <t>Fabricação de resinas termoplásticas</t>
        </is>
      </c>
      <c r="BA100" s="32" t="inlineStr">
        <is>
          <t>não ME/EPP</t>
        </is>
      </c>
      <c r="BB100" s="33" t="n">
        <v>50000000</v>
      </c>
      <c r="BC100" s="32" t="inlineStr">
        <is>
          <t>MID-MARKET</t>
        </is>
      </c>
      <c r="BD100" s="32" t="inlineStr">
        <is>
          <t>51254159</t>
        </is>
      </c>
      <c r="BE100" s="32" t="n">
        <v>1</v>
      </c>
      <c r="BF100" s="32" t="inlineStr">
        <is>
          <t>list prints no totals</t>
        </is>
      </c>
    </row>
    <row r="101">
      <c r="A101" s="17" t="inlineStr">
        <is>
          <t>RECYCLE BAG INDUSTRIA E SERVICOS LTDA</t>
        </is>
      </c>
      <c r="B101" s="18" t="n">
        <v>1547270.31</v>
      </c>
      <c r="C101" s="19" t="inlineStr">
        <is>
          <t>TOP TEXTIL EMBALAGENS LTDA</t>
        </is>
      </c>
      <c r="D101" s="20" t="inlineStr">
        <is>
          <t>NEW</t>
        </is>
      </c>
      <c r="E101" s="21" t="inlineStr"/>
      <c r="F101" s="20" t="inlineStr"/>
      <c r="G101" s="21" t="inlineStr"/>
      <c r="H101" s="20" t="inlineStr"/>
      <c r="I101" s="22" t="inlineStr">
        <is>
          <t>LUIZA CRISTHINA MIRANDA CORREA</t>
        </is>
      </c>
      <c r="J101" s="23" t="inlineStr">
        <is>
          <t>Sócio-Administrador (RFB partner)</t>
        </is>
      </c>
      <c r="K101" s="22" t="inlineStr">
        <is>
          <t>(33) 3339-1000</t>
        </is>
      </c>
      <c r="L101" s="22" t="inlineStr"/>
      <c r="M101" s="22" t="inlineStr"/>
      <c r="N101" s="22" t="inlineStr"/>
      <c r="O101" s="22" t="inlineStr"/>
      <c r="P101" s="22" t="inlineStr"/>
      <c r="Q101" s="22" t="inlineStr"/>
      <c r="R101" s="22" t="inlineStr"/>
      <c r="S101" s="22" t="inlineStr"/>
      <c r="T101" s="22" t="inlineStr">
        <is>
          <t>DM = registered partner (RFB QSA); no Apollo match</t>
        </is>
      </c>
      <c r="U101" s="24" t="n">
        <v>1547270.31</v>
      </c>
      <c r="V101" s="25" t="inlineStr">
        <is>
          <t>B</t>
        </is>
      </c>
      <c r="W101" s="26" t="inlineStr"/>
      <c r="X101" s="27" t="inlineStr"/>
      <c r="Y101" s="27" t="inlineStr"/>
      <c r="Z101" s="26">
        <f>IF(W101&lt;&gt;"",W101,IFERROR(VLOOKUP(V101,Assumptions!$A$8:$F$12,2,FALSE),0))</f>
        <v/>
      </c>
      <c r="AA101" s="28">
        <f>IF(V101="A",MAX(1,IF(X101&lt;&gt;"",X101,IFERROR(VLOOKUP(V101,Assumptions!$A$8:$F$12,3,FALSE),3))+IF(Y101&lt;&gt;"",Y101,IFERROR(VLOOKUP(V101,Assumptions!$A$8:$F$12,4,FALSE),8))/2-MAX(0,IF(AS101="",0,YEAR(TODAY())-AS101)-IFERROR(VLOOKUP(V101,Assumptions!$A$8:$F$12,5,FALSE),1.5))),IFERROR(VLOOKUP(V101,Assumptions!$A$8:$F$12,5,FALSE),2.5)+IF(X101&lt;&gt;"",X101,IFERROR(VLOOKUP(V101,Assumptions!$A$8:$F$12,3,FALSE),3))+IF(Y101&lt;&gt;"",Y101,IFERROR(VLOOKUP(V101,Assumptions!$A$8:$F$12,4,FALSE),8))/2)</f>
        <v/>
      </c>
      <c r="AB101" s="24">
        <f>U101*Z101/(1+Assumptions!$B$3)^AA101</f>
        <v/>
      </c>
      <c r="AC101" s="27">
        <f>IF(U101=0,"",ROUND(AB101/U101*100,1))</f>
        <v/>
      </c>
      <c r="AD101" s="29">
        <f>AB101*Assumptions!$B$4</f>
        <v/>
      </c>
      <c r="AE101" s="27">
        <f>IF(U101=0,"",ROUND(AD101/U101*100,1))</f>
        <v/>
      </c>
      <c r="AF101" s="29">
        <f>AB101-AD101</f>
        <v/>
      </c>
      <c r="AG101" s="27">
        <f>IF(U101=0,"",ROUND((AB101-AD101)/U101*100,1))</f>
        <v/>
      </c>
      <c r="AH101" s="34" t="inlineStr">
        <is>
          <t>NO TOTALS — list prints none; check page</t>
        </is>
      </c>
      <c r="AI101" s="31" t="inlineStr">
        <is>
          <t>https://cataliseaj.com.br/sgc/download.php?file=files/processo_documento/processo_documento15092204102024_1_.pdf&amp;nome=02. RELAÇÃO DE CREDORES</t>
        </is>
      </c>
      <c r="AJ101" s="30" t="inlineStr">
        <is>
          <t>p3 r10</t>
        </is>
      </c>
      <c r="AK101" s="30" t="inlineStr">
        <is>
          <t>p3: R$ 1.547.270,31</t>
        </is>
      </c>
      <c r="AL101" s="30" t="inlineStr">
        <is>
          <t>Debtor list (art. 51)</t>
        </is>
      </c>
      <c r="AM101" s="30" t="inlineStr"/>
      <c r="AN101" s="30" t="inlineStr">
        <is>
          <t>NONE FOUND</t>
        </is>
      </c>
      <c r="AO101" s="32" t="inlineStr">
        <is>
          <t>5011460-87.2023.8.24.0020</t>
        </is>
      </c>
      <c r="AP101" s="32" t="inlineStr">
        <is>
          <t>TJSC</t>
        </is>
      </c>
      <c r="AQ101" s="32" t="inlineStr">
        <is>
          <t>Recuperação judicial</t>
        </is>
      </c>
      <c r="AR101" s="32" t="inlineStr">
        <is>
          <t>DataJud: no closure/falência movement</t>
        </is>
      </c>
      <c r="AS101" s="32" t="n">
        <v>2023</v>
      </c>
      <c r="AT101" s="32" t="inlineStr">
        <is>
          <t>live case, no plan document yet; case no. from the portal record, not printed on the list</t>
        </is>
      </c>
      <c r="AU101" s="32" t="inlineStr">
        <is>
          <t>26.588.741/0001-29</t>
        </is>
      </c>
      <c r="AV101" s="32" t="inlineStr">
        <is>
          <t>printed on the list (read twice)</t>
        </is>
      </c>
      <c r="AW101" s="32" t="inlineStr"/>
      <c r="AX101" s="32" t="inlineStr">
        <is>
          <t>MANHUACU</t>
        </is>
      </c>
      <c r="AY101" s="32" t="inlineStr">
        <is>
          <t>MG</t>
        </is>
      </c>
      <c r="AZ101" s="32" t="inlineStr">
        <is>
          <t>Fabricação de outros produtos têxteis não especificados anteriormente</t>
        </is>
      </c>
      <c r="BA101" s="32" t="inlineStr">
        <is>
          <t>EMPRESA DE PEQUENO PORTE</t>
        </is>
      </c>
      <c r="BB101" s="33" t="n">
        <v>6000000</v>
      </c>
      <c r="BC101" s="32" t="inlineStr">
        <is>
          <t>SMALL</t>
        </is>
      </c>
      <c r="BD101" s="32" t="inlineStr">
        <is>
          <t>23141884</t>
        </is>
      </c>
      <c r="BE101" s="32" t="n">
        <v>1</v>
      </c>
      <c r="BF101" s="32" t="inlineStr">
        <is>
          <t>list prints no totals</t>
        </is>
      </c>
    </row>
    <row r="102">
      <c r="A102" s="17" t="inlineStr">
        <is>
          <t>FML INCORPORADORA LTDA</t>
        </is>
      </c>
      <c r="B102" s="18" t="n">
        <v>1535860.08</v>
      </c>
      <c r="C102" s="19" t="inlineStr">
        <is>
          <t>GRUPO DP4</t>
        </is>
      </c>
      <c r="D102" s="20" t="inlineStr">
        <is>
          <t>NEW</t>
        </is>
      </c>
      <c r="E102" s="21" t="inlineStr"/>
      <c r="F102" s="20" t="inlineStr"/>
      <c r="G102" s="21" t="inlineStr"/>
      <c r="H102" s="20" t="inlineStr"/>
      <c r="I102" s="22" t="inlineStr">
        <is>
          <t>JOSE CARLOS SALVADORI</t>
        </is>
      </c>
      <c r="J102" s="23" t="inlineStr">
        <is>
          <t>Administrador (RFB partner)</t>
        </is>
      </c>
      <c r="K102" s="22" t="inlineStr">
        <is>
          <t>(41) 2169-2874</t>
        </is>
      </c>
      <c r="L102" s="22" t="inlineStr">
        <is>
          <t>(41) 2169-2800</t>
        </is>
      </c>
      <c r="M102" s="22" t="inlineStr"/>
      <c r="N102" s="22" t="inlineStr"/>
      <c r="O102" s="22" t="inlineStr"/>
      <c r="P102" s="22" t="inlineStr"/>
      <c r="Q102" s="22" t="inlineStr"/>
      <c r="R102" s="22" t="inlineStr"/>
      <c r="S102" s="22" t="inlineStr"/>
      <c r="T102" s="22" t="inlineStr">
        <is>
          <t>DM = registered partner (RFB QSA); no Apollo match</t>
        </is>
      </c>
      <c r="U102" s="24" t="n">
        <v>1535860.08</v>
      </c>
      <c r="V102" s="25" t="inlineStr">
        <is>
          <t>B</t>
        </is>
      </c>
      <c r="W102" s="26" t="inlineStr"/>
      <c r="X102" s="27" t="inlineStr"/>
      <c r="Y102" s="27" t="inlineStr"/>
      <c r="Z102" s="26">
        <f>IF(W102&lt;&gt;"",W102,IFERROR(VLOOKUP(V102,Assumptions!$A$8:$F$12,2,FALSE),0))</f>
        <v/>
      </c>
      <c r="AA102" s="28">
        <f>IF(V102="A",MAX(1,IF(X102&lt;&gt;"",X102,IFERROR(VLOOKUP(V102,Assumptions!$A$8:$F$12,3,FALSE),3))+IF(Y102&lt;&gt;"",Y102,IFERROR(VLOOKUP(V102,Assumptions!$A$8:$F$12,4,FALSE),8))/2-MAX(0,IF(AS102="",0,YEAR(TODAY())-AS102)-IFERROR(VLOOKUP(V102,Assumptions!$A$8:$F$12,5,FALSE),1.5))),IFERROR(VLOOKUP(V102,Assumptions!$A$8:$F$12,5,FALSE),2.5)+IF(X102&lt;&gt;"",X102,IFERROR(VLOOKUP(V102,Assumptions!$A$8:$F$12,3,FALSE),3))+IF(Y102&lt;&gt;"",Y102,IFERROR(VLOOKUP(V102,Assumptions!$A$8:$F$12,4,FALSE),8))/2)</f>
        <v/>
      </c>
      <c r="AB102" s="24">
        <f>U102*Z102/(1+Assumptions!$B$3)^AA102</f>
        <v/>
      </c>
      <c r="AC102" s="27">
        <f>IF(U102=0,"",ROUND(AB102/U102*100,1))</f>
        <v/>
      </c>
      <c r="AD102" s="29">
        <f>AB102*Assumptions!$B$4</f>
        <v/>
      </c>
      <c r="AE102" s="27">
        <f>IF(U102=0,"",ROUND(AD102/U102*100,1))</f>
        <v/>
      </c>
      <c r="AF102" s="29">
        <f>AB102-AD102</f>
        <v/>
      </c>
      <c r="AG102" s="27">
        <f>IF(U102=0,"",ROUND((AB102-AD102)/U102*100,1))</f>
        <v/>
      </c>
      <c r="AH102" s="35" t="inlineStr">
        <is>
          <t>PARTIAL — class III reconciled, other classes not</t>
        </is>
      </c>
      <c r="AI102" s="31" t="inlineStr">
        <is>
          <t>https://marquesadmjudicial.com.br/sgc/download.php?file=files/processo_documento/processo_documento15293208032024_1_.pdf&amp;nome=Relação Nominal de Credores da AJ-Sintética</t>
        </is>
      </c>
      <c r="AJ102" s="30" t="inlineStr">
        <is>
          <t>p25 r10</t>
        </is>
      </c>
      <c r="AK102" s="30" t="inlineStr">
        <is>
          <t>p25: R$ 1.535.860,08</t>
        </is>
      </c>
      <c r="AL102" s="30" t="inlineStr">
        <is>
          <t>AJ list (art. 7 §2)</t>
        </is>
      </c>
      <c r="AM102" s="30" t="inlineStr">
        <is>
          <t>2023-03-02</t>
        </is>
      </c>
      <c r="AN102" s="30" t="inlineStr">
        <is>
          <t>NONE FOUND</t>
        </is>
      </c>
      <c r="AO102" s="32" t="inlineStr">
        <is>
          <t>0005010-98.2023.8.16.0001</t>
        </is>
      </c>
      <c r="AP102" s="32" t="inlineStr">
        <is>
          <t>TJPR</t>
        </is>
      </c>
      <c r="AQ102" s="32" t="inlineStr">
        <is>
          <t>Recuperação judicial</t>
        </is>
      </c>
      <c r="AR102" s="32" t="inlineStr">
        <is>
          <t>DataJud: no closure/falência movement</t>
        </is>
      </c>
      <c r="AS102" s="32" t="n">
        <v>2023</v>
      </c>
      <c r="AT102" s="32" t="inlineStr">
        <is>
          <t>live case, no plan document yet</t>
        </is>
      </c>
      <c r="AU102" s="32" t="inlineStr"/>
      <c r="AV102" s="32" t="inlineStr">
        <is>
          <t>printed on the list (read twice)</t>
        </is>
      </c>
      <c r="AW102" s="32" t="inlineStr"/>
      <c r="AX102" s="32" t="inlineStr">
        <is>
          <t>CURITIBA</t>
        </is>
      </c>
      <c r="AY102" s="32" t="inlineStr">
        <is>
          <t>PR</t>
        </is>
      </c>
      <c r="AZ102" s="32" t="inlineStr">
        <is>
          <t>Incorporação de empreendimentos imobiliários</t>
        </is>
      </c>
      <c r="BA102" s="32" t="inlineStr">
        <is>
          <t>não ME/EPP</t>
        </is>
      </c>
      <c r="BB102" s="33" t="n">
        <v>3659577</v>
      </c>
      <c r="BC102" s="32" t="inlineStr">
        <is>
          <t>MID-MARKET</t>
        </is>
      </c>
      <c r="BD102" s="32" t="inlineStr">
        <is>
          <t>75724070</t>
        </is>
      </c>
      <c r="BE102" s="32" t="n">
        <v>1</v>
      </c>
      <c r="BF102" s="32" t="inlineStr">
        <is>
          <t>class III reconciled (doc partial)</t>
        </is>
      </c>
    </row>
    <row r="103">
      <c r="A103" s="17" t="inlineStr">
        <is>
          <t>MOJ CONSULTORIA E NEGOCIOS S/A</t>
        </is>
      </c>
      <c r="B103" s="18" t="n">
        <v>1528248.6</v>
      </c>
      <c r="C103" s="19" t="inlineStr">
        <is>
          <t>VENEZA SERVIÇOS ADMINISTRATIVOS LTDA.</t>
        </is>
      </c>
      <c r="D103" s="20" t="inlineStr">
        <is>
          <t>NEW</t>
        </is>
      </c>
      <c r="E103" s="21" t="inlineStr"/>
      <c r="F103" s="20" t="inlineStr"/>
      <c r="G103" s="21" t="inlineStr"/>
      <c r="H103" s="20" t="inlineStr"/>
      <c r="I103" s="22" t="inlineStr">
        <is>
          <t>ANA MARIA ALVES DA ROCHA NEVES</t>
        </is>
      </c>
      <c r="J103" s="23" t="inlineStr">
        <is>
          <t>Diretor (RFB partner)</t>
        </is>
      </c>
      <c r="K103" s="22" t="inlineStr">
        <is>
          <t>(21) 4106-5038</t>
        </is>
      </c>
      <c r="L103" s="22" t="inlineStr"/>
      <c r="M103" s="22" t="inlineStr"/>
      <c r="N103" s="22" t="inlineStr"/>
      <c r="O103" s="22" t="inlineStr"/>
      <c r="P103" s="22" t="inlineStr">
        <is>
          <t>SAMELA VAZ DOS SANTOS</t>
        </is>
      </c>
      <c r="Q103" s="22" t="inlineStr">
        <is>
          <t>Diretor (RFB partner)</t>
        </is>
      </c>
      <c r="R103" s="22" t="inlineStr"/>
      <c r="S103" s="22" t="inlineStr"/>
      <c r="T103" s="22" t="inlineStr">
        <is>
          <t>DM = registered partner (RFB QSA); no Apollo match</t>
        </is>
      </c>
      <c r="U103" s="24" t="n">
        <v>1528248.6</v>
      </c>
      <c r="V103" s="25" t="inlineStr">
        <is>
          <t>B</t>
        </is>
      </c>
      <c r="W103" s="26" t="inlineStr"/>
      <c r="X103" s="27" t="inlineStr"/>
      <c r="Y103" s="27" t="inlineStr"/>
      <c r="Z103" s="26">
        <f>IF(W103&lt;&gt;"",W103,IFERROR(VLOOKUP(V103,Assumptions!$A$8:$F$12,2,FALSE),0))</f>
        <v/>
      </c>
      <c r="AA103" s="28">
        <f>IF(V103="A",MAX(1,IF(X103&lt;&gt;"",X103,IFERROR(VLOOKUP(V103,Assumptions!$A$8:$F$12,3,FALSE),3))+IF(Y103&lt;&gt;"",Y103,IFERROR(VLOOKUP(V103,Assumptions!$A$8:$F$12,4,FALSE),8))/2-MAX(0,IF(AS103="",0,YEAR(TODAY())-AS103)-IFERROR(VLOOKUP(V103,Assumptions!$A$8:$F$12,5,FALSE),1.5))),IFERROR(VLOOKUP(V103,Assumptions!$A$8:$F$12,5,FALSE),2.5)+IF(X103&lt;&gt;"",X103,IFERROR(VLOOKUP(V103,Assumptions!$A$8:$F$12,3,FALSE),3))+IF(Y103&lt;&gt;"",Y103,IFERROR(VLOOKUP(V103,Assumptions!$A$8:$F$12,4,FALSE),8))/2)</f>
        <v/>
      </c>
      <c r="AB103" s="24">
        <f>U103*Z103/(1+Assumptions!$B$3)^AA103</f>
        <v/>
      </c>
      <c r="AC103" s="27">
        <f>IF(U103=0,"",ROUND(AB103/U103*100,1))</f>
        <v/>
      </c>
      <c r="AD103" s="29">
        <f>AB103*Assumptions!$B$4</f>
        <v/>
      </c>
      <c r="AE103" s="27">
        <f>IF(U103=0,"",ROUND(AD103/U103*100,1))</f>
        <v/>
      </c>
      <c r="AF103" s="29">
        <f>AB103-AD103</f>
        <v/>
      </c>
      <c r="AG103" s="27">
        <f>IF(U103=0,"",ROUND((AB103-AD103)/U103*100,1))</f>
        <v/>
      </c>
      <c r="AH103" s="30" t="inlineStr">
        <is>
          <t>OK — totals reconciled</t>
        </is>
      </c>
      <c r="AI103" s="31" t="inlineStr">
        <is>
          <t>https://bugarimecoelho.com.br/ws/media-library/b6b7ea42b9fa2afe30bc728fe00cd5c6/07---edital-do-processamento-da-recuperacao-judicial.pdf</t>
        </is>
      </c>
      <c r="AJ103" s="30" t="inlineStr">
        <is>
          <t>p16 r10</t>
        </is>
      </c>
      <c r="AK103" s="30" t="inlineStr">
        <is>
          <t>p16: R$ 1.528.248,60</t>
        </is>
      </c>
      <c r="AL103" s="30" t="inlineStr">
        <is>
          <t>Unclassified list</t>
        </is>
      </c>
      <c r="AM103" s="30" t="inlineStr">
        <is>
          <t>2026-07-09</t>
        </is>
      </c>
      <c r="AN103" s="30" t="inlineStr">
        <is>
          <t>NONE FOUND</t>
        </is>
      </c>
      <c r="AO103" s="32" t="inlineStr">
        <is>
          <t>3000117-40.2025.8.06.0512</t>
        </is>
      </c>
      <c r="AP103" s="32" t="inlineStr">
        <is>
          <t>TJCE</t>
        </is>
      </c>
      <c r="AQ103" s="32" t="inlineStr">
        <is>
          <t>Recuperação judicial</t>
        </is>
      </c>
      <c r="AR103" s="32" t="inlineStr">
        <is>
          <t>DataJud: no closure/falência movement</t>
        </is>
      </c>
      <c r="AS103" s="32" t="n">
        <v>2025</v>
      </c>
      <c r="AT103" s="32" t="inlineStr">
        <is>
          <t>live case, no plan document yet</t>
        </is>
      </c>
      <c r="AU103" s="32" t="inlineStr">
        <is>
          <t>11.399.787/0001-22</t>
        </is>
      </c>
      <c r="AV103" s="32" t="inlineStr">
        <is>
          <t>printed on the list (read twice)</t>
        </is>
      </c>
      <c r="AW103" s="32" t="inlineStr"/>
      <c r="AX103" s="32" t="inlineStr">
        <is>
          <t>RIO DE JANEIRO</t>
        </is>
      </c>
      <c r="AY103" s="32" t="inlineStr">
        <is>
          <t>RJ</t>
        </is>
      </c>
      <c r="AZ103" s="32" t="inlineStr">
        <is>
          <t>Atividades de produção cinematográfica, de vídeos e de programas de televisão não especificadas anteriormente</t>
        </is>
      </c>
      <c r="BA103" s="32" t="inlineStr">
        <is>
          <t>não ME/EPP</t>
        </is>
      </c>
      <c r="BB103" s="33" t="n">
        <v>10000</v>
      </c>
      <c r="BC103" s="32" t="inlineStr">
        <is>
          <t>MID-MARKET</t>
        </is>
      </c>
      <c r="BD103" s="32" t="inlineStr">
        <is>
          <t>21132562</t>
        </is>
      </c>
      <c r="BE103" s="32" t="n">
        <v>1</v>
      </c>
      <c r="BF103" s="32" t="inlineStr"/>
    </row>
    <row r="104">
      <c r="A104" s="17" t="inlineStr">
        <is>
          <t>COMERCIO RACOES BEM BOM LTDA</t>
        </is>
      </c>
      <c r="B104" s="18" t="n">
        <v>6642118.99</v>
      </c>
      <c r="C104" s="19" t="inlineStr">
        <is>
          <t>GRUPO 3E</t>
        </is>
      </c>
      <c r="D104" s="20" t="inlineStr">
        <is>
          <t>NEW</t>
        </is>
      </c>
      <c r="E104" s="21" t="inlineStr"/>
      <c r="F104" s="20" t="inlineStr"/>
      <c r="G104" s="21" t="inlineStr"/>
      <c r="H104" s="20" t="inlineStr"/>
      <c r="I104" s="22" t="inlineStr">
        <is>
          <t>EDSON VIANDELLI LOPES</t>
        </is>
      </c>
      <c r="J104" s="23" t="inlineStr">
        <is>
          <t>Sócio-Administrador (RFB partner)</t>
        </is>
      </c>
      <c r="K104" s="22" t="inlineStr">
        <is>
          <t>(62) 3389-9200</t>
        </is>
      </c>
      <c r="L104" s="22" t="inlineStr">
        <is>
          <t>(62) 8115-0283</t>
        </is>
      </c>
      <c r="M104" s="22" t="inlineStr"/>
      <c r="N104" s="22" t="inlineStr"/>
      <c r="O104" s="22" t="inlineStr"/>
      <c r="P104" s="22" t="inlineStr"/>
      <c r="Q104" s="22" t="inlineStr"/>
      <c r="R104" s="22" t="inlineStr"/>
      <c r="S104" s="22" t="inlineStr"/>
      <c r="T104" s="22" t="inlineStr">
        <is>
          <t>DM = registered partner (RFB QSA); no Apollo match</t>
        </is>
      </c>
      <c r="U104" s="24" t="n">
        <v>6642118.99</v>
      </c>
      <c r="V104" s="25" t="inlineStr">
        <is>
          <t>B</t>
        </is>
      </c>
      <c r="W104" s="26" t="n">
        <v>0.12</v>
      </c>
      <c r="X104" s="27" t="n">
        <v>2</v>
      </c>
      <c r="Y104" s="27" t="n">
        <v>13</v>
      </c>
      <c r="Z104" s="26">
        <f>IF(W104&lt;&gt;"",W104,IFERROR(VLOOKUP(V104,Assumptions!$A$8:$F$12,2,FALSE),0))</f>
        <v/>
      </c>
      <c r="AA104" s="28">
        <f>IF(V104="A",MAX(1,IF(X104&lt;&gt;"",X104,IFERROR(VLOOKUP(V104,Assumptions!$A$8:$F$12,3,FALSE),3))+IF(Y104&lt;&gt;"",Y104,IFERROR(VLOOKUP(V104,Assumptions!$A$8:$F$12,4,FALSE),8))/2-MAX(0,IF(AS104="",0,YEAR(TODAY())-AS104)-IFERROR(VLOOKUP(V104,Assumptions!$A$8:$F$12,5,FALSE),1.5))),IFERROR(VLOOKUP(V104,Assumptions!$A$8:$F$12,5,FALSE),2.5)+IF(X104&lt;&gt;"",X104,IFERROR(VLOOKUP(V104,Assumptions!$A$8:$F$12,3,FALSE),3))+IF(Y104&lt;&gt;"",Y104,IFERROR(VLOOKUP(V104,Assumptions!$A$8:$F$12,4,FALSE),8))/2)</f>
        <v/>
      </c>
      <c r="AB104" s="24">
        <f>U104*Z104/(1+Assumptions!$B$3)^AA104</f>
        <v/>
      </c>
      <c r="AC104" s="27">
        <f>IF(U104=0,"",ROUND(AB104/U104*100,1))</f>
        <v/>
      </c>
      <c r="AD104" s="29">
        <f>AB104*Assumptions!$B$4</f>
        <v/>
      </c>
      <c r="AE104" s="27">
        <f>IF(U104=0,"",ROUND(AD104/U104*100,1))</f>
        <v/>
      </c>
      <c r="AF104" s="29">
        <f>AB104-AD104</f>
        <v/>
      </c>
      <c r="AG104" s="27">
        <f>IF(U104=0,"",ROUND((AB104-AD104)/U104*100,1))</f>
        <v/>
      </c>
      <c r="AH104" s="34" t="inlineStr">
        <is>
          <t>NO TOTALS — list prints none; check page</t>
        </is>
      </c>
      <c r="AI104" s="31" t="inlineStr">
        <is>
          <t>https://stenius.com.br/wp-content/uploads/2026/06/EDITAL-GRUPO-3E.pdf</t>
        </is>
      </c>
      <c r="AJ104" s="30" t="inlineStr">
        <is>
          <t>p13 r19</t>
        </is>
      </c>
      <c r="AK104" s="30" t="inlineStr">
        <is>
          <t>p13: R$ 6.642.118,99</t>
        </is>
      </c>
      <c r="AL104" s="30" t="inlineStr">
        <is>
          <t>Debtor list (art. 51)</t>
        </is>
      </c>
      <c r="AM104" s="30" t="inlineStr">
        <is>
          <t>2026-06-22</t>
        </is>
      </c>
      <c r="AN104" s="30" t="inlineStr">
        <is>
          <t>PLAN FILED (art. 53), not granted</t>
        </is>
      </c>
      <c r="AO104" s="32" t="inlineStr">
        <is>
          <t>5341375-33.2026.8.09.0049</t>
        </is>
      </c>
      <c r="AP104" s="32" t="inlineStr">
        <is>
          <t>TJGO</t>
        </is>
      </c>
      <c r="AQ104" s="32" t="inlineStr">
        <is>
          <t>Recuperação judicial</t>
        </is>
      </c>
      <c r="AR104" s="32" t="inlineStr">
        <is>
          <t>DataJud: no closure/falência movement</t>
        </is>
      </c>
      <c r="AS104" s="32" t="n">
        <v>2026</v>
      </c>
      <c r="AT104" s="32" t="inlineStr">
        <is>
          <t>plan filed (art. 53), not yet granted</t>
        </is>
      </c>
      <c r="AU104" s="32" t="inlineStr"/>
      <c r="AV104" s="32" t="inlineStr">
        <is>
          <t>printed on the list (read twice)</t>
        </is>
      </c>
      <c r="AW104" s="32" t="inlineStr">
        <is>
          <t>Plano de Recuperação Judicial Grupo 3E v2.0 (Métis), mov. 321, pp.24-25</t>
        </is>
      </c>
      <c r="AX104" s="32" t="inlineStr">
        <is>
          <t>GOIANESIA</t>
        </is>
      </c>
      <c r="AY104" s="32" t="inlineStr">
        <is>
          <t>GO</t>
        </is>
      </c>
      <c r="AZ104" s="32" t="inlineStr">
        <is>
          <t>Fabricação de alimentos para animais</t>
        </is>
      </c>
      <c r="BA104" s="32" t="inlineStr">
        <is>
          <t>não ME/EPP</t>
        </is>
      </c>
      <c r="BB104" s="33" t="n">
        <v>300000</v>
      </c>
      <c r="BC104" s="32" t="inlineStr">
        <is>
          <t>MID-MARKET</t>
        </is>
      </c>
      <c r="BD104" s="32" t="inlineStr">
        <is>
          <t>41324359</t>
        </is>
      </c>
      <c r="BE104" s="32" t="n">
        <v>1</v>
      </c>
      <c r="BF104" s="32" t="inlineStr">
        <is>
          <t>list prints no totals</t>
        </is>
      </c>
    </row>
    <row r="105">
      <c r="A105" s="17" t="inlineStr">
        <is>
          <t>BELLOTA BRASIL LTDA</t>
        </is>
      </c>
      <c r="B105" s="18" t="n">
        <v>1492675.94</v>
      </c>
      <c r="C105" s="19" t="inlineStr">
        <is>
          <t>Grupo Rech</t>
        </is>
      </c>
      <c r="D105" s="20" t="inlineStr">
        <is>
          <t>NEW</t>
        </is>
      </c>
      <c r="E105" s="21" t="inlineStr"/>
      <c r="F105" s="20" t="inlineStr"/>
      <c r="G105" s="21" t="inlineStr"/>
      <c r="H105" s="20" t="inlineStr"/>
      <c r="I105" s="22" t="inlineStr">
        <is>
          <t>Cleuri Decker</t>
        </is>
      </c>
      <c r="J105" s="22" t="inlineStr">
        <is>
          <t>Operations Manager</t>
        </is>
      </c>
      <c r="K105" s="22" t="inlineStr">
        <is>
          <t>(47) 3301-8030</t>
        </is>
      </c>
      <c r="L105" s="22" t="inlineStr"/>
      <c r="M105" s="22" t="inlineStr"/>
      <c r="N105" s="22" t="inlineStr"/>
      <c r="O105" s="22" t="inlineStr"/>
      <c r="P105" s="22" t="inlineStr">
        <is>
          <t>Jose Renato</t>
        </is>
      </c>
      <c r="Q105" s="22" t="inlineStr">
        <is>
          <t>Cost Analyst</t>
        </is>
      </c>
      <c r="R105" s="22" t="inlineStr"/>
      <c r="S105" s="22" t="inlineStr">
        <is>
          <t>jose.renato@bellota.com.br</t>
        </is>
      </c>
      <c r="T105" s="22" t="inlineStr">
        <is>
          <t>DM: phone Yes; no work email in Apollo for DM; BACKUP: backup; backup email is pattern-guessed</t>
        </is>
      </c>
      <c r="U105" s="24" t="n">
        <v>1492675.94</v>
      </c>
      <c r="V105" s="25" t="inlineStr">
        <is>
          <t>B</t>
        </is>
      </c>
      <c r="W105" s="26" t="inlineStr"/>
      <c r="X105" s="27" t="inlineStr"/>
      <c r="Y105" s="27" t="inlineStr"/>
      <c r="Z105" s="26">
        <f>IF(W105&lt;&gt;"",W105,IFERROR(VLOOKUP(V105,Assumptions!$A$8:$F$12,2,FALSE),0))</f>
        <v/>
      </c>
      <c r="AA105" s="28">
        <f>IF(V105="A",MAX(1,IF(X105&lt;&gt;"",X105,IFERROR(VLOOKUP(V105,Assumptions!$A$8:$F$12,3,FALSE),3))+IF(Y105&lt;&gt;"",Y105,IFERROR(VLOOKUP(V105,Assumptions!$A$8:$F$12,4,FALSE),8))/2-MAX(0,IF(AS105="",0,YEAR(TODAY())-AS105)-IFERROR(VLOOKUP(V105,Assumptions!$A$8:$F$12,5,FALSE),1.5))),IFERROR(VLOOKUP(V105,Assumptions!$A$8:$F$12,5,FALSE),2.5)+IF(X105&lt;&gt;"",X105,IFERROR(VLOOKUP(V105,Assumptions!$A$8:$F$12,3,FALSE),3))+IF(Y105&lt;&gt;"",Y105,IFERROR(VLOOKUP(V105,Assumptions!$A$8:$F$12,4,FALSE),8))/2)</f>
        <v/>
      </c>
      <c r="AB105" s="24">
        <f>U105*Z105/(1+Assumptions!$B$3)^AA105</f>
        <v/>
      </c>
      <c r="AC105" s="27">
        <f>IF(U105=0,"",ROUND(AB105/U105*100,1))</f>
        <v/>
      </c>
      <c r="AD105" s="29">
        <f>AB105*Assumptions!$B$4</f>
        <v/>
      </c>
      <c r="AE105" s="27">
        <f>IF(U105=0,"",ROUND(AD105/U105*100,1))</f>
        <v/>
      </c>
      <c r="AF105" s="29">
        <f>AB105-AD105</f>
        <v/>
      </c>
      <c r="AG105" s="27">
        <f>IF(U105=0,"",ROUND((AB105-AD105)/U105*100,1))</f>
        <v/>
      </c>
      <c r="AH105" s="36" t="inlineStr">
        <is>
          <t>CHECK — source is not a statutory creditor list</t>
        </is>
      </c>
      <c r="AI105" s="31" t="inlineStr">
        <is>
          <t>https://credibilita.com.br/wp-content/uploads/2025/09/Relacao-Credores-29.04.2026.pdf</t>
        </is>
      </c>
      <c r="AJ105" s="30" t="inlineStr">
        <is>
          <t>p1 r14</t>
        </is>
      </c>
      <c r="AK105" s="30" t="inlineStr">
        <is>
          <t>p1: R$ 1.492.675,94</t>
        </is>
      </c>
      <c r="AL105" s="30" t="inlineStr">
        <is>
          <t>Quorum list — NOT an art. 7/51 list</t>
        </is>
      </c>
      <c r="AM105" s="30" t="inlineStr"/>
      <c r="AN105" s="30" t="inlineStr">
        <is>
          <t>NONE FOUND</t>
        </is>
      </c>
      <c r="AO105" s="32" t="inlineStr">
        <is>
          <t>5057720-48.2025.8.24.0023</t>
        </is>
      </c>
      <c r="AP105" s="32" t="inlineStr">
        <is>
          <t>TJSC</t>
        </is>
      </c>
      <c r="AQ105" s="32" t="inlineStr"/>
      <c r="AR105" s="32" t="inlineStr">
        <is>
          <t>not in DataJud</t>
        </is>
      </c>
      <c r="AS105" s="32" t="n">
        <v>2025</v>
      </c>
      <c r="AT105" s="32" t="inlineStr">
        <is>
          <t>live case, no plan document yet; case no. from the portal record, not printed on the list</t>
        </is>
      </c>
      <c r="AU105" s="32" t="inlineStr"/>
      <c r="AV105" s="32" t="inlineStr">
        <is>
          <t>portal page title / URL — not printed on the list</t>
        </is>
      </c>
      <c r="AW105" s="32" t="inlineStr"/>
      <c r="AX105" s="32" t="inlineStr">
        <is>
          <t>INDAIAL</t>
        </is>
      </c>
      <c r="AY105" s="32" t="inlineStr">
        <is>
          <t>SC</t>
        </is>
      </c>
      <c r="AZ105" s="32" t="inlineStr">
        <is>
          <t>Fabricação de máquinas e equipamentos para a agricultura e pecuária, peças e acessórios, exceto para irrigação</t>
        </is>
      </c>
      <c r="BA105" s="32" t="inlineStr">
        <is>
          <t>não ME/EPP</t>
        </is>
      </c>
      <c r="BB105" s="33" t="n">
        <v>53247908</v>
      </c>
      <c r="BC105" s="32" t="inlineStr">
        <is>
          <t>MID-MARKET</t>
        </is>
      </c>
      <c r="BD105" s="32" t="inlineStr">
        <is>
          <t>02588815</t>
        </is>
      </c>
      <c r="BE105" s="32" t="n">
        <v>1</v>
      </c>
      <c r="BF105" s="32" t="inlineStr">
        <is>
          <t>list prints no totals case no. corrected by reader</t>
        </is>
      </c>
    </row>
    <row r="106">
      <c r="A106" s="17" t="inlineStr">
        <is>
          <t>NATULAB LABORATORIO S.A</t>
        </is>
      </c>
      <c r="B106" s="18" t="n">
        <v>1481337.86</v>
      </c>
      <c r="C106" s="19" t="inlineStr">
        <is>
          <t>GRUPO DP4</t>
        </is>
      </c>
      <c r="D106" s="20" t="inlineStr">
        <is>
          <t>NEW</t>
        </is>
      </c>
      <c r="E106" s="21" t="inlineStr"/>
      <c r="F106" s="20" t="inlineStr"/>
      <c r="G106" s="21" t="inlineStr"/>
      <c r="H106" s="20" t="inlineStr"/>
      <c r="I106" s="22" t="inlineStr">
        <is>
          <t>Alexandre Yazbek</t>
        </is>
      </c>
      <c r="J106" s="22" t="inlineStr">
        <is>
          <t>CFO | Diretor Financeiro</t>
        </is>
      </c>
      <c r="K106" s="22" t="inlineStr">
        <is>
          <t>(75) 3311-5555</t>
        </is>
      </c>
      <c r="L106" s="22" t="inlineStr"/>
      <c r="M106" s="22" t="inlineStr"/>
      <c r="N106" s="22" t="inlineStr">
        <is>
          <t>alexandreyazbek@natulab.com.br</t>
        </is>
      </c>
      <c r="O106" s="22" t="inlineStr">
        <is>
          <t>verified</t>
        </is>
      </c>
      <c r="P106" s="22" t="inlineStr">
        <is>
          <t>Emerson Pimentel</t>
        </is>
      </c>
      <c r="Q106" s="22" t="inlineStr">
        <is>
          <t>Analista de Crédito e Cobrança Sênior</t>
        </is>
      </c>
      <c r="R106" s="22" t="inlineStr"/>
      <c r="S106" s="22" t="inlineStr">
        <is>
          <t>emersonpimentel@natulab.com.br</t>
        </is>
      </c>
      <c r="T106" s="22" t="inlineStr">
        <is>
          <t>DM: has_email, phone Yes; BACKUP: backup, has_email</t>
        </is>
      </c>
      <c r="U106" s="24" t="n">
        <v>1481337.86</v>
      </c>
      <c r="V106" s="25" t="inlineStr">
        <is>
          <t>B</t>
        </is>
      </c>
      <c r="W106" s="26" t="inlineStr"/>
      <c r="X106" s="27" t="inlineStr"/>
      <c r="Y106" s="27" t="inlineStr"/>
      <c r="Z106" s="26">
        <f>IF(W106&lt;&gt;"",W106,IFERROR(VLOOKUP(V106,Assumptions!$A$8:$F$12,2,FALSE),0))</f>
        <v/>
      </c>
      <c r="AA106" s="28">
        <f>IF(V106="A",MAX(1,IF(X106&lt;&gt;"",X106,IFERROR(VLOOKUP(V106,Assumptions!$A$8:$F$12,3,FALSE),3))+IF(Y106&lt;&gt;"",Y106,IFERROR(VLOOKUP(V106,Assumptions!$A$8:$F$12,4,FALSE),8))/2-MAX(0,IF(AS106="",0,YEAR(TODAY())-AS106)-IFERROR(VLOOKUP(V106,Assumptions!$A$8:$F$12,5,FALSE),1.5))),IFERROR(VLOOKUP(V106,Assumptions!$A$8:$F$12,5,FALSE),2.5)+IF(X106&lt;&gt;"",X106,IFERROR(VLOOKUP(V106,Assumptions!$A$8:$F$12,3,FALSE),3))+IF(Y106&lt;&gt;"",Y106,IFERROR(VLOOKUP(V106,Assumptions!$A$8:$F$12,4,FALSE),8))/2)</f>
        <v/>
      </c>
      <c r="AB106" s="24">
        <f>U106*Z106/(1+Assumptions!$B$3)^AA106</f>
        <v/>
      </c>
      <c r="AC106" s="27">
        <f>IF(U106=0,"",ROUND(AB106/U106*100,1))</f>
        <v/>
      </c>
      <c r="AD106" s="29">
        <f>AB106*Assumptions!$B$4</f>
        <v/>
      </c>
      <c r="AE106" s="27">
        <f>IF(U106=0,"",ROUND(AD106/U106*100,1))</f>
        <v/>
      </c>
      <c r="AF106" s="29">
        <f>AB106-AD106</f>
        <v/>
      </c>
      <c r="AG106" s="27">
        <f>IF(U106=0,"",ROUND((AB106-AD106)/U106*100,1))</f>
        <v/>
      </c>
      <c r="AH106" s="35" t="inlineStr">
        <is>
          <t>PARTIAL — class III reconciled, other classes not</t>
        </is>
      </c>
      <c r="AI106" s="31" t="inlineStr">
        <is>
          <t>https://marquesadmjudicial.com.br/sgc/download.php?file=files/processo_documento/processo_documento15293208032024_1_.pdf&amp;nome=Relação Nominal de Credores da AJ-Sintética</t>
        </is>
      </c>
      <c r="AJ106" s="30" t="inlineStr">
        <is>
          <t>p29 r10</t>
        </is>
      </c>
      <c r="AK106" s="30" t="inlineStr">
        <is>
          <t>p29: R$ 1.481.337,86</t>
        </is>
      </c>
      <c r="AL106" s="30" t="inlineStr">
        <is>
          <t>AJ list (art. 7 §2)</t>
        </is>
      </c>
      <c r="AM106" s="30" t="inlineStr">
        <is>
          <t>2023-03-02</t>
        </is>
      </c>
      <c r="AN106" s="30" t="inlineStr">
        <is>
          <t>NONE FOUND</t>
        </is>
      </c>
      <c r="AO106" s="32" t="inlineStr">
        <is>
          <t>0005010-98.2023.8.16.0001</t>
        </is>
      </c>
      <c r="AP106" s="32" t="inlineStr">
        <is>
          <t>TJPR</t>
        </is>
      </c>
      <c r="AQ106" s="32" t="inlineStr">
        <is>
          <t>Recuperação judicial</t>
        </is>
      </c>
      <c r="AR106" s="32" t="inlineStr">
        <is>
          <t>DataJud: no closure/falência movement</t>
        </is>
      </c>
      <c r="AS106" s="32" t="n">
        <v>2023</v>
      </c>
      <c r="AT106" s="32" t="inlineStr">
        <is>
          <t>live case, no plan document yet</t>
        </is>
      </c>
      <c r="AU106" s="32" t="inlineStr"/>
      <c r="AV106" s="32" t="inlineStr">
        <is>
          <t>printed on the list (read twice)</t>
        </is>
      </c>
      <c r="AW106" s="32" t="inlineStr"/>
      <c r="AX106" s="32" t="inlineStr">
        <is>
          <t>SANTO ANTONIO DE JESUS</t>
        </is>
      </c>
      <c r="AY106" s="32" t="inlineStr">
        <is>
          <t>BA</t>
        </is>
      </c>
      <c r="AZ106" s="32" t="inlineStr">
        <is>
          <t>Fabricação de medicamentos alopáticos para uso humano</t>
        </is>
      </c>
      <c r="BA106" s="32" t="inlineStr">
        <is>
          <t>não ME/EPP</t>
        </is>
      </c>
      <c r="BB106" s="33" t="n">
        <v>471846660</v>
      </c>
      <c r="BC106" s="32" t="inlineStr">
        <is>
          <t>LARGE CORP</t>
        </is>
      </c>
      <c r="BD106" s="32" t="inlineStr">
        <is>
          <t>02456955</t>
        </is>
      </c>
      <c r="BE106" s="32" t="n">
        <v>1</v>
      </c>
      <c r="BF106" s="32" t="inlineStr">
        <is>
          <t>class III reconciled (doc partial)</t>
        </is>
      </c>
    </row>
    <row r="107">
      <c r="A107" s="17" t="inlineStr">
        <is>
          <t>BBR AGRO SUPLEMENTOS LTDA EM RECUPERACAO JUDICIAL</t>
        </is>
      </c>
      <c r="B107" s="18" t="n">
        <v>1437303</v>
      </c>
      <c r="C107" s="19" t="inlineStr">
        <is>
          <t>Grupo Agromeal</t>
        </is>
      </c>
      <c r="D107" s="20" t="inlineStr">
        <is>
          <t>NEW</t>
        </is>
      </c>
      <c r="E107" s="21" t="inlineStr"/>
      <c r="F107" s="20" t="inlineStr"/>
      <c r="G107" s="21" t="inlineStr"/>
      <c r="H107" s="20" t="inlineStr"/>
      <c r="I107" s="22" t="inlineStr">
        <is>
          <t>MAYNARA MARCONDES BARRONE DE SOUSA</t>
        </is>
      </c>
      <c r="J107" s="23" t="inlineStr">
        <is>
          <t>Sócio-Administrador (RFB partner)</t>
        </is>
      </c>
      <c r="K107" s="22" t="inlineStr">
        <is>
          <t>(43) 3122-0376</t>
        </is>
      </c>
      <c r="L107" s="22" t="inlineStr"/>
      <c r="M107" s="22" t="inlineStr"/>
      <c r="N107" s="22" t="inlineStr"/>
      <c r="O107" s="22" t="inlineStr"/>
      <c r="P107" s="22" t="inlineStr"/>
      <c r="Q107" s="22" t="inlineStr"/>
      <c r="R107" s="22" t="inlineStr"/>
      <c r="S107" s="22" t="inlineStr"/>
      <c r="T107" s="22" t="inlineStr">
        <is>
          <t>DM = registered partner (RFB QSA); no Apollo match</t>
        </is>
      </c>
      <c r="U107" s="24" t="n">
        <v>1437303</v>
      </c>
      <c r="V107" s="25" t="inlineStr">
        <is>
          <t>B</t>
        </is>
      </c>
      <c r="W107" s="26" t="inlineStr"/>
      <c r="X107" s="27" t="inlineStr"/>
      <c r="Y107" s="27" t="inlineStr"/>
      <c r="Z107" s="26">
        <f>IF(W107&lt;&gt;"",W107,IFERROR(VLOOKUP(V107,Assumptions!$A$8:$F$12,2,FALSE),0))</f>
        <v/>
      </c>
      <c r="AA107" s="28">
        <f>IF(V107="A",MAX(1,IF(X107&lt;&gt;"",X107,IFERROR(VLOOKUP(V107,Assumptions!$A$8:$F$12,3,FALSE),3))+IF(Y107&lt;&gt;"",Y107,IFERROR(VLOOKUP(V107,Assumptions!$A$8:$F$12,4,FALSE),8))/2-MAX(0,IF(AS107="",0,YEAR(TODAY())-AS107)-IFERROR(VLOOKUP(V107,Assumptions!$A$8:$F$12,5,FALSE),1.5))),IFERROR(VLOOKUP(V107,Assumptions!$A$8:$F$12,5,FALSE),2.5)+IF(X107&lt;&gt;"",X107,IFERROR(VLOOKUP(V107,Assumptions!$A$8:$F$12,3,FALSE),3))+IF(Y107&lt;&gt;"",Y107,IFERROR(VLOOKUP(V107,Assumptions!$A$8:$F$12,4,FALSE),8))/2)</f>
        <v/>
      </c>
      <c r="AB107" s="24">
        <f>U107*Z107/(1+Assumptions!$B$3)^AA107</f>
        <v/>
      </c>
      <c r="AC107" s="27">
        <f>IF(U107=0,"",ROUND(AB107/U107*100,1))</f>
        <v/>
      </c>
      <c r="AD107" s="29">
        <f>AB107*Assumptions!$B$4</f>
        <v/>
      </c>
      <c r="AE107" s="27">
        <f>IF(U107=0,"",ROUND(AD107/U107*100,1))</f>
        <v/>
      </c>
      <c r="AF107" s="29">
        <f>AB107-AD107</f>
        <v/>
      </c>
      <c r="AG107" s="27">
        <f>IF(U107=0,"",ROUND((AB107-AD107)/U107*100,1))</f>
        <v/>
      </c>
      <c r="AH107" s="35" t="inlineStr">
        <is>
          <t>PARTIAL — class III reconciled, other classes not</t>
        </is>
      </c>
      <c r="AI107" s="31" t="inlineStr">
        <is>
          <t>https://marquesadmjudicial.com.br/sgc/download.php?file=files/processo_documento/processo_documento17040729052024_1_.pdf&amp;nome=Relação Nominal de Credores AJ-Sintética</t>
        </is>
      </c>
      <c r="AJ107" s="30" t="inlineStr">
        <is>
          <t>p10 r8</t>
        </is>
      </c>
      <c r="AK107" s="30" t="inlineStr">
        <is>
          <t>p10: R$ 1.437.303,00</t>
        </is>
      </c>
      <c r="AL107" s="30" t="inlineStr">
        <is>
          <t>AJ list (art. 7 §2)</t>
        </is>
      </c>
      <c r="AM107" s="30" t="inlineStr">
        <is>
          <t>2024-05-27</t>
        </is>
      </c>
      <c r="AN107" s="30" t="inlineStr">
        <is>
          <t>NONE FOUND</t>
        </is>
      </c>
      <c r="AO107" s="32" t="inlineStr">
        <is>
          <t>0003971-03.2023.8.16.0119</t>
        </is>
      </c>
      <c r="AP107" s="32" t="inlineStr">
        <is>
          <t>TJPR</t>
        </is>
      </c>
      <c r="AQ107" s="32" t="inlineStr">
        <is>
          <t>Recuperação judicial</t>
        </is>
      </c>
      <c r="AR107" s="32" t="inlineStr">
        <is>
          <t>DataJud: no closure/falência movement</t>
        </is>
      </c>
      <c r="AS107" s="32" t="n">
        <v>2023</v>
      </c>
      <c r="AT107" s="32" t="inlineStr">
        <is>
          <t>live case, no plan document yet</t>
        </is>
      </c>
      <c r="AU107" s="32" t="inlineStr">
        <is>
          <t>11.624.776/0001-07</t>
        </is>
      </c>
      <c r="AV107" s="32" t="inlineStr">
        <is>
          <t>printed on the list (read twice)</t>
        </is>
      </c>
      <c r="AW107" s="32" t="inlineStr"/>
      <c r="AX107" s="32" t="inlineStr">
        <is>
          <t>APUCARANA</t>
        </is>
      </c>
      <c r="AY107" s="32" t="inlineStr">
        <is>
          <t>PR</t>
        </is>
      </c>
      <c r="AZ107" s="32" t="inlineStr">
        <is>
          <t>Preparação de subprodutos do abate</t>
        </is>
      </c>
      <c r="BA107" s="32" t="inlineStr">
        <is>
          <t>não ME/EPP</t>
        </is>
      </c>
      <c r="BB107" s="33" t="n">
        <v>110000</v>
      </c>
      <c r="BC107" s="32" t="inlineStr">
        <is>
          <t>MID-MARKET</t>
        </is>
      </c>
      <c r="BD107" s="32" t="inlineStr">
        <is>
          <t>31158176</t>
        </is>
      </c>
      <c r="BE107" s="32" t="n">
        <v>1</v>
      </c>
      <c r="BF107" s="32" t="inlineStr">
        <is>
          <t>class III reconciled (doc partial)</t>
        </is>
      </c>
    </row>
    <row r="108">
      <c r="A108" s="17" t="inlineStr">
        <is>
          <t>DISCOMED COMERCIO DE PRODUTOS HOSPITALARES LTDA</t>
        </is>
      </c>
      <c r="B108" s="18" t="n">
        <v>1372648.38</v>
      </c>
      <c r="C108" s="19" t="inlineStr">
        <is>
          <t>ASSOCIAÇÃO DE CARIDADE SANTA CASA DO RIO GRANDE</t>
        </is>
      </c>
      <c r="D108" s="20" t="inlineStr">
        <is>
          <t>NEW</t>
        </is>
      </c>
      <c r="E108" s="21" t="inlineStr"/>
      <c r="F108" s="20" t="inlineStr"/>
      <c r="G108" s="21" t="inlineStr"/>
      <c r="H108" s="20" t="inlineStr"/>
      <c r="I108" s="22" t="inlineStr">
        <is>
          <t>David Feijo</t>
        </is>
      </c>
      <c r="J108" s="22" t="inlineStr">
        <is>
          <t>Financial Coordinator</t>
        </is>
      </c>
      <c r="K108" s="22" t="inlineStr"/>
      <c r="L108" s="22" t="inlineStr"/>
      <c r="M108" s="22" t="inlineStr"/>
      <c r="N108" s="22" t="inlineStr">
        <is>
          <t>david@discomed.com.br</t>
        </is>
      </c>
      <c r="O108" s="22" t="inlineStr">
        <is>
          <t>verified</t>
        </is>
      </c>
      <c r="P108" s="22" t="inlineStr">
        <is>
          <t>Juliana Silveira</t>
        </is>
      </c>
      <c r="Q108" s="22" t="inlineStr">
        <is>
          <t>Financial / Controladoria</t>
        </is>
      </c>
      <c r="R108" s="22" t="inlineStr"/>
      <c r="S108" s="22" t="inlineStr">
        <is>
          <t>juliana@discomed.com.br</t>
        </is>
      </c>
      <c r="T108" s="22" t="inlineStr">
        <is>
          <t>DM: has_email, phone Yes; BACKUP: backup, has_email</t>
        </is>
      </c>
      <c r="U108" s="24" t="n">
        <v>1372648.38</v>
      </c>
      <c r="V108" s="25" t="inlineStr">
        <is>
          <t>B</t>
        </is>
      </c>
      <c r="W108" s="26" t="inlineStr"/>
      <c r="X108" s="27" t="inlineStr"/>
      <c r="Y108" s="27" t="inlineStr"/>
      <c r="Z108" s="26">
        <f>IF(W108&lt;&gt;"",W108,IFERROR(VLOOKUP(V108,Assumptions!$A$8:$F$12,2,FALSE),0))</f>
        <v/>
      </c>
      <c r="AA108" s="28">
        <f>IF(V108="A",MAX(1,IF(X108&lt;&gt;"",X108,IFERROR(VLOOKUP(V108,Assumptions!$A$8:$F$12,3,FALSE),3))+IF(Y108&lt;&gt;"",Y108,IFERROR(VLOOKUP(V108,Assumptions!$A$8:$F$12,4,FALSE),8))/2-MAX(0,IF(AS108="",0,YEAR(TODAY())-AS108)-IFERROR(VLOOKUP(V108,Assumptions!$A$8:$F$12,5,FALSE),1.5))),IFERROR(VLOOKUP(V108,Assumptions!$A$8:$F$12,5,FALSE),2.5)+IF(X108&lt;&gt;"",X108,IFERROR(VLOOKUP(V108,Assumptions!$A$8:$F$12,3,FALSE),3))+IF(Y108&lt;&gt;"",Y108,IFERROR(VLOOKUP(V108,Assumptions!$A$8:$F$12,4,FALSE),8))/2)</f>
        <v/>
      </c>
      <c r="AB108" s="24">
        <f>U108*Z108/(1+Assumptions!$B$3)^AA108</f>
        <v/>
      </c>
      <c r="AC108" s="27">
        <f>IF(U108=0,"",ROUND(AB108/U108*100,1))</f>
        <v/>
      </c>
      <c r="AD108" s="29">
        <f>AB108*Assumptions!$B$4</f>
        <v/>
      </c>
      <c r="AE108" s="27">
        <f>IF(U108=0,"",ROUND(AD108/U108*100,1))</f>
        <v/>
      </c>
      <c r="AF108" s="29">
        <f>AB108-AD108</f>
        <v/>
      </c>
      <c r="AG108" s="27">
        <f>IF(U108=0,"",ROUND((AB108-AD108)/U108*100,1))</f>
        <v/>
      </c>
      <c r="AH108" s="34" t="inlineStr">
        <is>
          <t>NO TOTALS — list prints none; check page</t>
        </is>
      </c>
      <c r="AI108" s="31" t="inlineStr">
        <is>
          <t>https://scalzilliaj.com.br/sgc/download.php?file=files/processo_documento/processo_documento09120721032023_1_.pdf&amp;nome=15 - Edital do art. 7º, §2º e 53 da Lei 11.101/2005 (segunda lista de credores e recebimento do plano))</t>
        </is>
      </c>
      <c r="AJ108" s="30" t="inlineStr">
        <is>
          <t>p27 r9</t>
        </is>
      </c>
      <c r="AK108" s="30" t="inlineStr">
        <is>
          <t>p27: R$ 1.372.648,38</t>
        </is>
      </c>
      <c r="AL108" s="30" t="inlineStr">
        <is>
          <t>AJ list (art. 7 §2)</t>
        </is>
      </c>
      <c r="AM108" s="30" t="inlineStr">
        <is>
          <t>2023-03-21</t>
        </is>
      </c>
      <c r="AN108" s="30" t="inlineStr">
        <is>
          <t>NONE FOUND</t>
        </is>
      </c>
      <c r="AO108" s="32" t="inlineStr">
        <is>
          <t>5012306-16.2022.8.21.0023</t>
        </is>
      </c>
      <c r="AP108" s="32" t="inlineStr">
        <is>
          <t>TJRS</t>
        </is>
      </c>
      <c r="AQ108" s="32" t="inlineStr">
        <is>
          <t>Recuperação judicial</t>
        </is>
      </c>
      <c r="AR108" s="32" t="inlineStr">
        <is>
          <t>DataJud: no closure/falência movement</t>
        </is>
      </c>
      <c r="AS108" s="32" t="n">
        <v>2022</v>
      </c>
      <c r="AT108" s="32" t="inlineStr">
        <is>
          <t>live case, no plan document yet; atypical debtor (associação/clube/hospital/produtor rural): admissibility or claim subjection may be contested</t>
        </is>
      </c>
      <c r="AU108" s="32" t="inlineStr"/>
      <c r="AV108" s="32" t="inlineStr">
        <is>
          <t>printed on the list (read twice)</t>
        </is>
      </c>
      <c r="AW108" s="32" t="inlineStr"/>
      <c r="AX108" s="32" t="inlineStr">
        <is>
          <t>PORTO ALEGRE</t>
        </is>
      </c>
      <c r="AY108" s="32" t="inlineStr">
        <is>
          <t>RS</t>
        </is>
      </c>
      <c r="AZ108" s="32" t="inlineStr">
        <is>
          <t>Comércio atacadista de instrumentos e materiais para uso médico, cirúrgico, hospitalar e de laboratórios</t>
        </is>
      </c>
      <c r="BA108" s="32" t="inlineStr">
        <is>
          <t>não ME/EPP</t>
        </is>
      </c>
      <c r="BB108" s="33" t="n">
        <v>5000000</v>
      </c>
      <c r="BC108" s="32" t="inlineStr">
        <is>
          <t>MID-MARKET</t>
        </is>
      </c>
      <c r="BD108" s="32" t="inlineStr">
        <is>
          <t>00417145</t>
        </is>
      </c>
      <c r="BE108" s="32" t="n">
        <v>1</v>
      </c>
      <c r="BF108" s="32" t="inlineStr">
        <is>
          <t>list prints no totals</t>
        </is>
      </c>
    </row>
    <row r="109">
      <c r="A109" s="17" t="inlineStr">
        <is>
          <t>CASA BUGRE GOIAS COMERCIO E REPRESENTACAO LTDA</t>
        </is>
      </c>
      <c r="B109" s="18" t="n">
        <v>1367817.98</v>
      </c>
      <c r="C109" s="19" t="inlineStr">
        <is>
          <t>SOJAL COMERCIAL AGRICOLA LTDA e OUTROS</t>
        </is>
      </c>
      <c r="D109" s="20" t="inlineStr">
        <is>
          <t>NEW</t>
        </is>
      </c>
      <c r="E109" s="21" t="inlineStr"/>
      <c r="F109" s="20" t="inlineStr"/>
      <c r="G109" s="21" t="inlineStr"/>
      <c r="H109" s="20" t="inlineStr"/>
      <c r="I109" s="22" t="inlineStr">
        <is>
          <t>Marcos Gomes</t>
        </is>
      </c>
      <c r="J109" s="22" t="inlineStr">
        <is>
          <t>Partner (sócio)</t>
        </is>
      </c>
      <c r="K109" s="22" t="inlineStr">
        <is>
          <t>(61) 3770-0199</t>
        </is>
      </c>
      <c r="L109" s="22" t="inlineStr"/>
      <c r="M109" s="22" t="inlineStr"/>
      <c r="N109" s="22" t="inlineStr">
        <is>
          <t>marcos@casabugre.com.br</t>
        </is>
      </c>
      <c r="O109" s="22" t="inlineStr">
        <is>
          <t>verified</t>
        </is>
      </c>
      <c r="P109" s="22" t="inlineStr">
        <is>
          <t>Sue Domingues</t>
        </is>
      </c>
      <c r="Q109" s="22" t="inlineStr">
        <is>
          <t>Supply Specialist</t>
        </is>
      </c>
      <c r="R109" s="22" t="inlineStr"/>
      <c r="S109" s="22" t="inlineStr">
        <is>
          <t>sue.domingues@casabugre.com.br</t>
        </is>
      </c>
      <c r="T109" s="22" t="inlineStr">
        <is>
          <t>DM: has_email; BACKUP: backup, has_email, phone Yes</t>
        </is>
      </c>
      <c r="U109" s="24" t="n">
        <v>1367817.98</v>
      </c>
      <c r="V109" s="25" t="inlineStr">
        <is>
          <t>B</t>
        </is>
      </c>
      <c r="W109" s="26" t="inlineStr"/>
      <c r="X109" s="27" t="inlineStr"/>
      <c r="Y109" s="27" t="inlineStr"/>
      <c r="Z109" s="26">
        <f>IF(W109&lt;&gt;"",W109,IFERROR(VLOOKUP(V109,Assumptions!$A$8:$F$12,2,FALSE),0))</f>
        <v/>
      </c>
      <c r="AA109" s="28">
        <f>IF(V109="A",MAX(1,IF(X109&lt;&gt;"",X109,IFERROR(VLOOKUP(V109,Assumptions!$A$8:$F$12,3,FALSE),3))+IF(Y109&lt;&gt;"",Y109,IFERROR(VLOOKUP(V109,Assumptions!$A$8:$F$12,4,FALSE),8))/2-MAX(0,IF(AS109="",0,YEAR(TODAY())-AS109)-IFERROR(VLOOKUP(V109,Assumptions!$A$8:$F$12,5,FALSE),1.5))),IFERROR(VLOOKUP(V109,Assumptions!$A$8:$F$12,5,FALSE),2.5)+IF(X109&lt;&gt;"",X109,IFERROR(VLOOKUP(V109,Assumptions!$A$8:$F$12,3,FALSE),3))+IF(Y109&lt;&gt;"",Y109,IFERROR(VLOOKUP(V109,Assumptions!$A$8:$F$12,4,FALSE),8))/2)</f>
        <v/>
      </c>
      <c r="AB109" s="24">
        <f>U109*Z109/(1+Assumptions!$B$3)^AA109</f>
        <v/>
      </c>
      <c r="AC109" s="27">
        <f>IF(U109=0,"",ROUND(AB109/U109*100,1))</f>
        <v/>
      </c>
      <c r="AD109" s="29">
        <f>AB109*Assumptions!$B$4</f>
        <v/>
      </c>
      <c r="AE109" s="27">
        <f>IF(U109=0,"",ROUND(AD109/U109*100,1))</f>
        <v/>
      </c>
      <c r="AF109" s="29">
        <f>AB109-AD109</f>
        <v/>
      </c>
      <c r="AG109" s="27">
        <f>IF(U109=0,"",ROUND((AB109-AD109)/U109*100,1))</f>
        <v/>
      </c>
      <c r="AH109" s="30" t="inlineStr">
        <is>
          <t>OK — totals reconciled</t>
        </is>
      </c>
      <c r="AI109" s="31" t="inlineStr">
        <is>
          <t>https://lrflideres.com.br/wp-content/plugins/download-attachments/includes/download.php?id=6879</t>
        </is>
      </c>
      <c r="AJ109" s="30" t="inlineStr">
        <is>
          <t>p1 r9</t>
        </is>
      </c>
      <c r="AK109" s="30" t="inlineStr">
        <is>
          <t>p1: R$ 1.367.817,98</t>
        </is>
      </c>
      <c r="AL109" s="30" t="inlineStr">
        <is>
          <t>AJ list (art. 7 §2)</t>
        </is>
      </c>
      <c r="AM109" s="30" t="inlineStr">
        <is>
          <t>2026-01-15</t>
        </is>
      </c>
      <c r="AN109" s="30" t="inlineStr">
        <is>
          <t>NONE FOUND</t>
        </is>
      </c>
      <c r="AO109" s="32" t="inlineStr">
        <is>
          <t>0804401-51.2025.8.14.0039</t>
        </is>
      </c>
      <c r="AP109" s="32" t="inlineStr">
        <is>
          <t>TJPA</t>
        </is>
      </c>
      <c r="AQ109" s="32" t="inlineStr">
        <is>
          <t>Recuperação judicial</t>
        </is>
      </c>
      <c r="AR109" s="32" t="inlineStr">
        <is>
          <t>DataJud: no closure/falência movement</t>
        </is>
      </c>
      <c r="AS109" s="32" t="n">
        <v>2025</v>
      </c>
      <c r="AT109" s="32" t="inlineStr">
        <is>
          <t>live case, no plan document yet</t>
        </is>
      </c>
      <c r="AU109" s="32" t="inlineStr"/>
      <c r="AV109" s="32" t="inlineStr">
        <is>
          <t>printed on the list (read twice)</t>
        </is>
      </c>
      <c r="AW109" s="32" t="inlineStr"/>
      <c r="AX109" s="32" t="inlineStr">
        <is>
          <t>ANAPOLIS</t>
        </is>
      </c>
      <c r="AY109" s="32" t="inlineStr">
        <is>
          <t>GO</t>
        </is>
      </c>
      <c r="AZ109" s="32" t="inlineStr">
        <is>
          <t>Comércio atacadista de sementes, flores, plantas e gramas</t>
        </is>
      </c>
      <c r="BA109" s="32" t="inlineStr">
        <is>
          <t>não ME/EPP</t>
        </is>
      </c>
      <c r="BB109" s="33" t="n">
        <v>1329899.6</v>
      </c>
      <c r="BC109" s="32" t="inlineStr">
        <is>
          <t>MID-MARKET</t>
        </is>
      </c>
      <c r="BD109" s="32" t="inlineStr">
        <is>
          <t>20366728</t>
        </is>
      </c>
      <c r="BE109" s="32" t="n">
        <v>1</v>
      </c>
      <c r="BF109" s="32" t="inlineStr"/>
    </row>
    <row r="110">
      <c r="A110" s="17" t="inlineStr">
        <is>
          <t>IBRAME INDUSTRIA BRASILEIRA DE METAIS S/A</t>
        </is>
      </c>
      <c r="B110" s="18" t="n">
        <v>1359881.3</v>
      </c>
      <c r="C110" s="19" t="inlineStr">
        <is>
          <t>Grupo Conduscabos</t>
        </is>
      </c>
      <c r="D110" s="20" t="inlineStr">
        <is>
          <t>NEW</t>
        </is>
      </c>
      <c r="E110" s="21" t="inlineStr"/>
      <c r="F110" s="20" t="inlineStr"/>
      <c r="G110" s="21" t="inlineStr"/>
      <c r="H110" s="20" t="inlineStr"/>
      <c r="I110" s="22" t="inlineStr">
        <is>
          <t>LUIZ OSVALDO PASTORE</t>
        </is>
      </c>
      <c r="J110" s="23" t="inlineStr">
        <is>
          <t>Presidente (RFB partner)</t>
        </is>
      </c>
      <c r="K110" s="22" t="inlineStr">
        <is>
          <t>(47) 2101-0049</t>
        </is>
      </c>
      <c r="L110" s="22" t="inlineStr"/>
      <c r="M110" s="22" t="inlineStr"/>
      <c r="N110" s="22" t="inlineStr"/>
      <c r="O110" s="22" t="inlineStr"/>
      <c r="P110" s="22" t="inlineStr">
        <is>
          <t>ALEXANDRE FERREIRA BOUCINHAS</t>
        </is>
      </c>
      <c r="Q110" s="22" t="inlineStr">
        <is>
          <t>Diretor (RFB partner)</t>
        </is>
      </c>
      <c r="R110" s="22" t="inlineStr"/>
      <c r="S110" s="22" t="inlineStr"/>
      <c r="T110" s="22" t="inlineStr">
        <is>
          <t>DM = registered partner (RFB QSA); no Apollo match</t>
        </is>
      </c>
      <c r="U110" s="24" t="n">
        <v>1359881.3</v>
      </c>
      <c r="V110" s="25" t="inlineStr">
        <is>
          <t>B</t>
        </is>
      </c>
      <c r="W110" s="26" t="inlineStr"/>
      <c r="X110" s="27" t="inlineStr"/>
      <c r="Y110" s="27" t="inlineStr"/>
      <c r="Z110" s="26">
        <f>IF(W110&lt;&gt;"",W110,IFERROR(VLOOKUP(V110,Assumptions!$A$8:$F$12,2,FALSE),0))</f>
        <v/>
      </c>
      <c r="AA110" s="28">
        <f>IF(V110="A",MAX(1,IF(X110&lt;&gt;"",X110,IFERROR(VLOOKUP(V110,Assumptions!$A$8:$F$12,3,FALSE),3))+IF(Y110&lt;&gt;"",Y110,IFERROR(VLOOKUP(V110,Assumptions!$A$8:$F$12,4,FALSE),8))/2-MAX(0,IF(AS110="",0,YEAR(TODAY())-AS110)-IFERROR(VLOOKUP(V110,Assumptions!$A$8:$F$12,5,FALSE),1.5))),IFERROR(VLOOKUP(V110,Assumptions!$A$8:$F$12,5,FALSE),2.5)+IF(X110&lt;&gt;"",X110,IFERROR(VLOOKUP(V110,Assumptions!$A$8:$F$12,3,FALSE),3))+IF(Y110&lt;&gt;"",Y110,IFERROR(VLOOKUP(V110,Assumptions!$A$8:$F$12,4,FALSE),8))/2)</f>
        <v/>
      </c>
      <c r="AB110" s="24">
        <f>U110*Z110/(1+Assumptions!$B$3)^AA110</f>
        <v/>
      </c>
      <c r="AC110" s="27">
        <f>IF(U110=0,"",ROUND(AB110/U110*100,1))</f>
        <v/>
      </c>
      <c r="AD110" s="29">
        <f>AB110*Assumptions!$B$4</f>
        <v/>
      </c>
      <c r="AE110" s="27">
        <f>IF(U110=0,"",ROUND(AD110/U110*100,1))</f>
        <v/>
      </c>
      <c r="AF110" s="29">
        <f>AB110-AD110</f>
        <v/>
      </c>
      <c r="AG110" s="27">
        <f>IF(U110=0,"",ROUND((AB110-AD110)/U110*100,1))</f>
        <v/>
      </c>
      <c r="AH110" s="34" t="inlineStr">
        <is>
          <t>NO TOTALS — list prints none; check page</t>
        </is>
      </c>
      <c r="AI110" s="31" t="inlineStr">
        <is>
          <t>https://assistjud.com.br/wp-content/uploads/elementor/forms/65098c80a5824.pdf</t>
        </is>
      </c>
      <c r="AJ110" s="30" t="inlineStr">
        <is>
          <t>p7 r11; p18 r3</t>
        </is>
      </c>
      <c r="AK110" s="30" t="inlineStr">
        <is>
          <t>p7: R$ 815.928,78; p18: R$ 543.952,52</t>
        </is>
      </c>
      <c r="AL110" s="30" t="inlineStr">
        <is>
          <t>AJ list (art. 7 §2)</t>
        </is>
      </c>
      <c r="AM110" s="30" t="inlineStr">
        <is>
          <t>2023-09-18</t>
        </is>
      </c>
      <c r="AN110" s="30" t="inlineStr">
        <is>
          <t>NONE FOUND</t>
        </is>
      </c>
      <c r="AO110" s="32" t="inlineStr">
        <is>
          <t>8005129-09.2023.8.05.0039</t>
        </is>
      </c>
      <c r="AP110" s="32" t="inlineStr">
        <is>
          <t>TJBA</t>
        </is>
      </c>
      <c r="AQ110" s="32" t="inlineStr">
        <is>
          <t>Recuperação judicial</t>
        </is>
      </c>
      <c r="AR110" s="32" t="inlineStr">
        <is>
          <t>DataJud: no closure/falência movement</t>
        </is>
      </c>
      <c r="AS110" s="32" t="n">
        <v>2023</v>
      </c>
      <c r="AT110" s="32" t="inlineStr">
        <is>
          <t>live case, no plan document yet</t>
        </is>
      </c>
      <c r="AU110" s="32" t="inlineStr"/>
      <c r="AV110" s="32" t="inlineStr">
        <is>
          <t>printed on the list (read twice)</t>
        </is>
      </c>
      <c r="AW110" s="32" t="inlineStr"/>
      <c r="AX110" s="32" t="inlineStr">
        <is>
          <t>VITORIA</t>
        </is>
      </c>
      <c r="AY110" s="32" t="inlineStr">
        <is>
          <t>ES</t>
        </is>
      </c>
      <c r="AZ110" s="32" t="inlineStr">
        <is>
          <t>Comércio atacadista de mercadorias em geral, sem predominância de alimentos ou de insumos agropecuários</t>
        </is>
      </c>
      <c r="BA110" s="32" t="inlineStr">
        <is>
          <t>não ME/EPP</t>
        </is>
      </c>
      <c r="BB110" s="33" t="n">
        <v>281444400</v>
      </c>
      <c r="BC110" s="32" t="inlineStr">
        <is>
          <t>MID-MARKET</t>
        </is>
      </c>
      <c r="BD110" s="32" t="inlineStr">
        <is>
          <t>60846599</t>
        </is>
      </c>
      <c r="BE110" s="32" t="n">
        <v>2</v>
      </c>
      <c r="BF110" s="32" t="inlineStr">
        <is>
          <t>list prints no totals</t>
        </is>
      </c>
    </row>
    <row r="111">
      <c r="A111" s="17" t="inlineStr">
        <is>
          <t>MULTISAUDE FARMACEUTICA E NUTRICIONAL S/A</t>
        </is>
      </c>
      <c r="B111" s="18" t="n">
        <v>1349574.1</v>
      </c>
      <c r="C111" s="19" t="inlineStr">
        <is>
          <t>GRUPO DP4</t>
        </is>
      </c>
      <c r="D111" s="20" t="inlineStr">
        <is>
          <t>NEW</t>
        </is>
      </c>
      <c r="E111" s="21" t="inlineStr"/>
      <c r="F111" s="20" t="inlineStr"/>
      <c r="G111" s="21" t="inlineStr"/>
      <c r="H111" s="20" t="inlineStr"/>
      <c r="I111" s="22" t="inlineStr">
        <is>
          <t>IGOR GEORGE FARIAS DE MEDEIROS</t>
        </is>
      </c>
      <c r="J111" s="23" t="inlineStr">
        <is>
          <t>Presidente (RFB partner)</t>
        </is>
      </c>
      <c r="K111" s="22" t="inlineStr">
        <is>
          <t>(41) 3679-5858</t>
        </is>
      </c>
      <c r="L111" s="22" t="inlineStr"/>
      <c r="M111" s="22" t="inlineStr"/>
      <c r="N111" s="22" t="inlineStr"/>
      <c r="O111" s="22" t="inlineStr"/>
      <c r="P111" s="22" t="inlineStr">
        <is>
          <t>ROBERTO FRANCISCO DA SILVA</t>
        </is>
      </c>
      <c r="Q111" s="22" t="inlineStr">
        <is>
          <t>Diretor (RFB partner)</t>
        </is>
      </c>
      <c r="R111" s="22" t="inlineStr"/>
      <c r="S111" s="22" t="inlineStr"/>
      <c r="T111" s="22" t="inlineStr">
        <is>
          <t>DM = registered partner (RFB QSA); no Apollo match</t>
        </is>
      </c>
      <c r="U111" s="24" t="n">
        <v>1349574.1</v>
      </c>
      <c r="V111" s="25" t="inlineStr">
        <is>
          <t>B</t>
        </is>
      </c>
      <c r="W111" s="26" t="inlineStr"/>
      <c r="X111" s="27" t="inlineStr"/>
      <c r="Y111" s="27" t="inlineStr"/>
      <c r="Z111" s="26">
        <f>IF(W111&lt;&gt;"",W111,IFERROR(VLOOKUP(V111,Assumptions!$A$8:$F$12,2,FALSE),0))</f>
        <v/>
      </c>
      <c r="AA111" s="28">
        <f>IF(V111="A",MAX(1,IF(X111&lt;&gt;"",X111,IFERROR(VLOOKUP(V111,Assumptions!$A$8:$F$12,3,FALSE),3))+IF(Y111&lt;&gt;"",Y111,IFERROR(VLOOKUP(V111,Assumptions!$A$8:$F$12,4,FALSE),8))/2-MAX(0,IF(AS111="",0,YEAR(TODAY())-AS111)-IFERROR(VLOOKUP(V111,Assumptions!$A$8:$F$12,5,FALSE),1.5))),IFERROR(VLOOKUP(V111,Assumptions!$A$8:$F$12,5,FALSE),2.5)+IF(X111&lt;&gt;"",X111,IFERROR(VLOOKUP(V111,Assumptions!$A$8:$F$12,3,FALSE),3))+IF(Y111&lt;&gt;"",Y111,IFERROR(VLOOKUP(V111,Assumptions!$A$8:$F$12,4,FALSE),8))/2)</f>
        <v/>
      </c>
      <c r="AB111" s="24">
        <f>U111*Z111/(1+Assumptions!$B$3)^AA111</f>
        <v/>
      </c>
      <c r="AC111" s="27">
        <f>IF(U111=0,"",ROUND(AB111/U111*100,1))</f>
        <v/>
      </c>
      <c r="AD111" s="29">
        <f>AB111*Assumptions!$B$4</f>
        <v/>
      </c>
      <c r="AE111" s="27">
        <f>IF(U111=0,"",ROUND(AD111/U111*100,1))</f>
        <v/>
      </c>
      <c r="AF111" s="29">
        <f>AB111-AD111</f>
        <v/>
      </c>
      <c r="AG111" s="27">
        <f>IF(U111=0,"",ROUND((AB111-AD111)/U111*100,1))</f>
        <v/>
      </c>
      <c r="AH111" s="35" t="inlineStr">
        <is>
          <t>PARTIAL — class III reconciled, other classes not</t>
        </is>
      </c>
      <c r="AI111" s="31" t="inlineStr">
        <is>
          <t>https://marquesadmjudicial.com.br/sgc/download.php?file=files/processo_documento/processo_documento15293208032024_1_.pdf&amp;nome=Relação Nominal de Credores da AJ-Sintética</t>
        </is>
      </c>
      <c r="AJ111" s="30" t="inlineStr">
        <is>
          <t>p29 r9</t>
        </is>
      </c>
      <c r="AK111" s="30" t="inlineStr">
        <is>
          <t>p29: R$ 1.349.574,10</t>
        </is>
      </c>
      <c r="AL111" s="30" t="inlineStr">
        <is>
          <t>AJ list (art. 7 §2)</t>
        </is>
      </c>
      <c r="AM111" s="30" t="inlineStr">
        <is>
          <t>2023-03-02</t>
        </is>
      </c>
      <c r="AN111" s="30" t="inlineStr">
        <is>
          <t>NONE FOUND</t>
        </is>
      </c>
      <c r="AO111" s="32" t="inlineStr">
        <is>
          <t>0005010-98.2023.8.16.0001</t>
        </is>
      </c>
      <c r="AP111" s="32" t="inlineStr">
        <is>
          <t>TJPR</t>
        </is>
      </c>
      <c r="AQ111" s="32" t="inlineStr">
        <is>
          <t>Recuperação judicial</t>
        </is>
      </c>
      <c r="AR111" s="32" t="inlineStr">
        <is>
          <t>DataJud: no closure/falência movement</t>
        </is>
      </c>
      <c r="AS111" s="32" t="n">
        <v>2023</v>
      </c>
      <c r="AT111" s="32" t="inlineStr">
        <is>
          <t>live case, no plan document yet</t>
        </is>
      </c>
      <c r="AU111" s="32" t="inlineStr"/>
      <c r="AV111" s="32" t="inlineStr">
        <is>
          <t>printed on the list (read twice)</t>
        </is>
      </c>
      <c r="AW111" s="32" t="inlineStr"/>
      <c r="AX111" s="32" t="inlineStr">
        <is>
          <t>GOIANA</t>
        </is>
      </c>
      <c r="AY111" s="32" t="inlineStr">
        <is>
          <t>PE</t>
        </is>
      </c>
      <c r="AZ111" s="32" t="inlineStr">
        <is>
          <t>Fabricação de medicamentos alopáticos para uso humano</t>
        </is>
      </c>
      <c r="BA111" s="32" t="inlineStr">
        <is>
          <t>não ME/EPP</t>
        </is>
      </c>
      <c r="BB111" s="33" t="n">
        <v>1200000</v>
      </c>
      <c r="BC111" s="32" t="inlineStr">
        <is>
          <t>MID-MARKET</t>
        </is>
      </c>
      <c r="BD111" s="32" t="inlineStr">
        <is>
          <t>07159913</t>
        </is>
      </c>
      <c r="BE111" s="32" t="n">
        <v>1</v>
      </c>
      <c r="BF111" s="32" t="inlineStr">
        <is>
          <t>class III reconciled (doc partial)</t>
        </is>
      </c>
    </row>
    <row r="112">
      <c r="A112" s="17" t="inlineStr">
        <is>
          <t>STONEX COMERCIO E EXPORTACAO DE COMMODITIES LTDA.</t>
        </is>
      </c>
      <c r="B112" s="18" t="n">
        <v>1343951.77</v>
      </c>
      <c r="C112" s="19" t="inlineStr">
        <is>
          <t>GRUPO FERRARI (ALEX, ALEXANDRE , ANDRIELLE FERRARI MANTELLI, ARCIR LUIS, ERICA SANTOS ASSIS LIMA, FERNANDO MANTELLI, IDELSI, TALITA LEITE SILVA, AGROPECUARIA FERRARI LTDA E FERRARI ARMAZENS GERAIS)</t>
        </is>
      </c>
      <c r="D112" s="20" t="inlineStr">
        <is>
          <t>NEW</t>
        </is>
      </c>
      <c r="E112" s="21" t="inlineStr"/>
      <c r="F112" s="20" t="inlineStr"/>
      <c r="G112" s="21" t="inlineStr"/>
      <c r="H112" s="20" t="inlineStr"/>
      <c r="I112" s="22" t="inlineStr">
        <is>
          <t>ARIEL GAGLIARDONE COELHO</t>
        </is>
      </c>
      <c r="J112" s="23" t="inlineStr">
        <is>
          <t>Administrador (RFB partner)</t>
        </is>
      </c>
      <c r="K112" s="22" t="inlineStr">
        <is>
          <t>(11) 3509-5404</t>
        </is>
      </c>
      <c r="L112" s="22" t="inlineStr"/>
      <c r="M112" s="22" t="inlineStr"/>
      <c r="N112" s="22" t="inlineStr"/>
      <c r="O112" s="22" t="inlineStr"/>
      <c r="P112" s="22" t="inlineStr">
        <is>
          <t>FERNANDO GHIDETTI MAZZANTI</t>
        </is>
      </c>
      <c r="Q112" s="22" t="inlineStr">
        <is>
          <t>Administrador (RFB partner)</t>
        </is>
      </c>
      <c r="R112" s="22" t="inlineStr"/>
      <c r="S112" s="22" t="inlineStr"/>
      <c r="T112" s="22" t="inlineStr">
        <is>
          <t>DM = registered partner (RFB QSA); no Apollo match</t>
        </is>
      </c>
      <c r="U112" s="24" t="n">
        <v>1343951.77</v>
      </c>
      <c r="V112" s="25" t="inlineStr">
        <is>
          <t>B</t>
        </is>
      </c>
      <c r="W112" s="26" t="inlineStr"/>
      <c r="X112" s="27" t="inlineStr"/>
      <c r="Y112" s="27" t="inlineStr"/>
      <c r="Z112" s="26">
        <f>IF(W112&lt;&gt;"",W112,IFERROR(VLOOKUP(V112,Assumptions!$A$8:$F$12,2,FALSE),0))</f>
        <v/>
      </c>
      <c r="AA112" s="28">
        <f>IF(V112="A",MAX(1,IF(X112&lt;&gt;"",X112,IFERROR(VLOOKUP(V112,Assumptions!$A$8:$F$12,3,FALSE),3))+IF(Y112&lt;&gt;"",Y112,IFERROR(VLOOKUP(V112,Assumptions!$A$8:$F$12,4,FALSE),8))/2-MAX(0,IF(AS112="",0,YEAR(TODAY())-AS112)-IFERROR(VLOOKUP(V112,Assumptions!$A$8:$F$12,5,FALSE),1.5))),IFERROR(VLOOKUP(V112,Assumptions!$A$8:$F$12,5,FALSE),2.5)+IF(X112&lt;&gt;"",X112,IFERROR(VLOOKUP(V112,Assumptions!$A$8:$F$12,3,FALSE),3))+IF(Y112&lt;&gt;"",Y112,IFERROR(VLOOKUP(V112,Assumptions!$A$8:$F$12,4,FALSE),8))/2)</f>
        <v/>
      </c>
      <c r="AB112" s="24">
        <f>U112*Z112/(1+Assumptions!$B$3)^AA112</f>
        <v/>
      </c>
      <c r="AC112" s="27">
        <f>IF(U112=0,"",ROUND(AB112/U112*100,1))</f>
        <v/>
      </c>
      <c r="AD112" s="29">
        <f>AB112*Assumptions!$B$4</f>
        <v/>
      </c>
      <c r="AE112" s="27">
        <f>IF(U112=0,"",ROUND(AD112/U112*100,1))</f>
        <v/>
      </c>
      <c r="AF112" s="29">
        <f>AB112-AD112</f>
        <v/>
      </c>
      <c r="AG112" s="27">
        <f>IF(U112=0,"",ROUND((AB112-AD112)/U112*100,1))</f>
        <v/>
      </c>
      <c r="AH112" s="34" t="inlineStr">
        <is>
          <t>NO TOTALS — list prints none; check page</t>
        </is>
      </c>
      <c r="AI112" s="31" t="inlineStr">
        <is>
          <t>https://scalzilliaj.com.br/sgc/download.php?file=files/processo_documento/processo_documento11421222052026_1_.pdf&amp;nome=08. Lista de credores do edital do art. 52, §1º da LREF</t>
        </is>
      </c>
      <c r="AJ112" s="30" t="inlineStr">
        <is>
          <t>p3 r11</t>
        </is>
      </c>
      <c r="AK112" s="30" t="inlineStr">
        <is>
          <t>p3: R$ 1.343.951,77</t>
        </is>
      </c>
      <c r="AL112" s="30" t="inlineStr">
        <is>
          <t>Unclassified list</t>
        </is>
      </c>
      <c r="AM112" s="30" t="inlineStr"/>
      <c r="AN112" s="30" t="inlineStr">
        <is>
          <t>NONE FOUND</t>
        </is>
      </c>
      <c r="AO112" s="32" t="inlineStr">
        <is>
          <t>5011369-81.2026.8.09.0093</t>
        </is>
      </c>
      <c r="AP112" s="32" t="inlineStr">
        <is>
          <t>TJGO</t>
        </is>
      </c>
      <c r="AQ112" s="32" t="inlineStr"/>
      <c r="AR112" s="32" t="inlineStr">
        <is>
          <t>DataJud: no closure/falência movement</t>
        </is>
      </c>
      <c r="AS112" s="32" t="n">
        <v>2026</v>
      </c>
      <c r="AT112" s="32" t="inlineStr">
        <is>
          <t>live case, no plan document yet; case no. from the portal record, not printed on the list</t>
        </is>
      </c>
      <c r="AU112" s="32" t="inlineStr"/>
      <c r="AV112" s="32" t="inlineStr">
        <is>
          <t>portal page title / URL — not printed on the list</t>
        </is>
      </c>
      <c r="AW112" s="32" t="inlineStr"/>
      <c r="AX112" s="32" t="inlineStr">
        <is>
          <t>CAMPINAS</t>
        </is>
      </c>
      <c r="AY112" s="32" t="inlineStr">
        <is>
          <t>SP</t>
        </is>
      </c>
      <c r="AZ112" s="32" t="inlineStr">
        <is>
          <t>Comércio atacadista de algodão</t>
        </is>
      </c>
      <c r="BA112" s="32" t="inlineStr">
        <is>
          <t>não ME/EPP</t>
        </is>
      </c>
      <c r="BB112" s="33" t="n">
        <v>80000000</v>
      </c>
      <c r="BC112" s="32" t="inlineStr">
        <is>
          <t>MID-MARKET</t>
        </is>
      </c>
      <c r="BD112" s="32" t="inlineStr">
        <is>
          <t>19684286</t>
        </is>
      </c>
      <c r="BE112" s="32" t="n">
        <v>1</v>
      </c>
      <c r="BF112" s="32" t="inlineStr">
        <is>
          <t>list prints no totals</t>
        </is>
      </c>
    </row>
    <row r="113">
      <c r="A113" s="17" t="inlineStr">
        <is>
          <t>WHITE MARTINS GASES INDUSTRIAIS LTDA</t>
        </is>
      </c>
      <c r="B113" s="18" t="n">
        <v>1341862.73</v>
      </c>
      <c r="C113" s="19" t="inlineStr">
        <is>
          <t>ASSOCIAÇÃO DE CARIDADE SANTA CASA DO RIO GRANDE</t>
        </is>
      </c>
      <c r="D113" s="20" t="inlineStr">
        <is>
          <t>NEW</t>
        </is>
      </c>
      <c r="E113" s="21" t="inlineStr"/>
      <c r="F113" s="20" t="inlineStr"/>
      <c r="G113" s="21" t="inlineStr"/>
      <c r="H113" s="20" t="inlineStr"/>
      <c r="I113" s="22" t="inlineStr">
        <is>
          <t>Claudio Ferreira</t>
        </is>
      </c>
      <c r="J113" s="22" t="inlineStr">
        <is>
          <t>Supervisor Contas a Receber</t>
        </is>
      </c>
      <c r="K113" s="22" t="inlineStr">
        <is>
          <t>(21) 3279-9000</t>
        </is>
      </c>
      <c r="L113" s="22" t="inlineStr"/>
      <c r="M113" s="22" t="inlineStr"/>
      <c r="N113" s="22" t="inlineStr"/>
      <c r="O113" s="22" t="inlineStr"/>
      <c r="P113" s="22" t="inlineStr">
        <is>
          <t>CARLOS FERREIRA DE MARCO</t>
        </is>
      </c>
      <c r="Q113" s="22" t="inlineStr">
        <is>
          <t>Administrador (RFB partner)</t>
        </is>
      </c>
      <c r="R113" s="22" t="inlineStr"/>
      <c r="S113" s="22" t="inlineStr"/>
      <c r="T113" s="22" t="inlineStr">
        <is>
          <t>DM: DM; LARGE CORP; no work email in Apollo for DM</t>
        </is>
      </c>
      <c r="U113" s="24" t="n">
        <v>1341862.73</v>
      </c>
      <c r="V113" s="25" t="inlineStr">
        <is>
          <t>B</t>
        </is>
      </c>
      <c r="W113" s="26" t="inlineStr"/>
      <c r="X113" s="27" t="inlineStr"/>
      <c r="Y113" s="27" t="inlineStr"/>
      <c r="Z113" s="26">
        <f>IF(W113&lt;&gt;"",W113,IFERROR(VLOOKUP(V113,Assumptions!$A$8:$F$12,2,FALSE),0))</f>
        <v/>
      </c>
      <c r="AA113" s="28">
        <f>IF(V113="A",MAX(1,IF(X113&lt;&gt;"",X113,IFERROR(VLOOKUP(V113,Assumptions!$A$8:$F$12,3,FALSE),3))+IF(Y113&lt;&gt;"",Y113,IFERROR(VLOOKUP(V113,Assumptions!$A$8:$F$12,4,FALSE),8))/2-MAX(0,IF(AS113="",0,YEAR(TODAY())-AS113)-IFERROR(VLOOKUP(V113,Assumptions!$A$8:$F$12,5,FALSE),1.5))),IFERROR(VLOOKUP(V113,Assumptions!$A$8:$F$12,5,FALSE),2.5)+IF(X113&lt;&gt;"",X113,IFERROR(VLOOKUP(V113,Assumptions!$A$8:$F$12,3,FALSE),3))+IF(Y113&lt;&gt;"",Y113,IFERROR(VLOOKUP(V113,Assumptions!$A$8:$F$12,4,FALSE),8))/2)</f>
        <v/>
      </c>
      <c r="AB113" s="24">
        <f>U113*Z113/(1+Assumptions!$B$3)^AA113</f>
        <v/>
      </c>
      <c r="AC113" s="27">
        <f>IF(U113=0,"",ROUND(AB113/U113*100,1))</f>
        <v/>
      </c>
      <c r="AD113" s="29">
        <f>AB113*Assumptions!$B$4</f>
        <v/>
      </c>
      <c r="AE113" s="27">
        <f>IF(U113=0,"",ROUND(AD113/U113*100,1))</f>
        <v/>
      </c>
      <c r="AF113" s="29">
        <f>AB113-AD113</f>
        <v/>
      </c>
      <c r="AG113" s="27">
        <f>IF(U113=0,"",ROUND((AB113-AD113)/U113*100,1))</f>
        <v/>
      </c>
      <c r="AH113" s="34" t="inlineStr">
        <is>
          <t>NO TOTALS — list prints none; check page</t>
        </is>
      </c>
      <c r="AI113" s="31" t="inlineStr">
        <is>
          <t>https://scalzilliaj.com.br/sgc/download.php?file=files/processo_documento/processo_documento09120721032023_1_.pdf&amp;nome=15 - Edital do art. 7º, §2º e 53 da Lei 11.101/2005 (segunda lista de credores e recebimento do plano))</t>
        </is>
      </c>
      <c r="AJ113" s="30" t="inlineStr">
        <is>
          <t>p30 r37</t>
        </is>
      </c>
      <c r="AK113" s="30" t="inlineStr">
        <is>
          <t>p30: R$ 1.341.862,73</t>
        </is>
      </c>
      <c r="AL113" s="30" t="inlineStr">
        <is>
          <t>AJ list (art. 7 §2)</t>
        </is>
      </c>
      <c r="AM113" s="30" t="inlineStr">
        <is>
          <t>2023-03-21</t>
        </is>
      </c>
      <c r="AN113" s="30" t="inlineStr">
        <is>
          <t>NONE FOUND</t>
        </is>
      </c>
      <c r="AO113" s="32" t="inlineStr">
        <is>
          <t>5012306-16.2022.8.21.0023</t>
        </is>
      </c>
      <c r="AP113" s="32" t="inlineStr">
        <is>
          <t>TJRS</t>
        </is>
      </c>
      <c r="AQ113" s="32" t="inlineStr">
        <is>
          <t>Recuperação judicial</t>
        </is>
      </c>
      <c r="AR113" s="32" t="inlineStr">
        <is>
          <t>DataJud: no closure/falência movement</t>
        </is>
      </c>
      <c r="AS113" s="32" t="n">
        <v>2022</v>
      </c>
      <c r="AT113" s="32" t="inlineStr">
        <is>
          <t>live case, no plan document yet; atypical debtor (associação/clube/hospital/produtor rural): admissibility or claim subjection may be contested</t>
        </is>
      </c>
      <c r="AU113" s="32" t="inlineStr"/>
      <c r="AV113" s="32" t="inlineStr">
        <is>
          <t>printed on the list (read twice)</t>
        </is>
      </c>
      <c r="AW113" s="32" t="inlineStr"/>
      <c r="AX113" s="32" t="inlineStr">
        <is>
          <t>RIO DE JANEIRO</t>
        </is>
      </c>
      <c r="AY113" s="32" t="inlineStr">
        <is>
          <t>RJ</t>
        </is>
      </c>
      <c r="AZ113" s="32" t="inlineStr">
        <is>
          <t>Atividades de consultoria em gestão empresarial, exceto consultoria técnica específica</t>
        </is>
      </c>
      <c r="BA113" s="32" t="inlineStr">
        <is>
          <t>não ME/EPP</t>
        </is>
      </c>
      <c r="BB113" s="33" t="n">
        <v>8532698000</v>
      </c>
      <c r="BC113" s="32" t="inlineStr">
        <is>
          <t>LARGE CORP</t>
        </is>
      </c>
      <c r="BD113" s="32" t="inlineStr">
        <is>
          <t>35820448</t>
        </is>
      </c>
      <c r="BE113" s="32" t="n">
        <v>1</v>
      </c>
      <c r="BF113" s="32" t="inlineStr">
        <is>
          <t>list prints no totals</t>
        </is>
      </c>
    </row>
    <row r="114">
      <c r="A114" s="17" t="inlineStr">
        <is>
          <t>GERDAU ACOS LONGOS S.A.</t>
        </is>
      </c>
      <c r="B114" s="18" t="n">
        <v>1340193.75</v>
      </c>
      <c r="C114" s="19" t="inlineStr">
        <is>
          <t>GRUPO EGESA (Egesa Engenharia S.A. + 9 group companies; see group members)</t>
        </is>
      </c>
      <c r="D114" s="20" t="inlineStr">
        <is>
          <t>NEW</t>
        </is>
      </c>
      <c r="E114" s="21" t="inlineStr"/>
      <c r="F114" s="20" t="inlineStr"/>
      <c r="G114" s="21" t="inlineStr"/>
      <c r="H114" s="20" t="inlineStr"/>
      <c r="I114" s="22" t="inlineStr">
        <is>
          <t>Guilherme Freitas</t>
        </is>
      </c>
      <c r="J114" s="22" t="inlineStr">
        <is>
          <t>Coordenador de Crédito e Cobrança</t>
        </is>
      </c>
      <c r="K114" s="22" t="inlineStr">
        <is>
          <t>(11) 3094-6600</t>
        </is>
      </c>
      <c r="L114" s="22" t="inlineStr"/>
      <c r="M114" s="22" t="inlineStr"/>
      <c r="N114" s="22" t="inlineStr">
        <is>
          <t>guilherme.freitas@gerdau.com.br</t>
        </is>
      </c>
      <c r="O114" s="22" t="inlineStr">
        <is>
          <t>verified</t>
        </is>
      </c>
      <c r="P114" s="22" t="inlineStr">
        <is>
          <t>GUSTAVO WERNECK DA CUNHA</t>
        </is>
      </c>
      <c r="Q114" s="22" t="inlineStr">
        <is>
          <t>Presidente (RFB partner)</t>
        </is>
      </c>
      <c r="R114" s="22" t="inlineStr"/>
      <c r="S114" s="22" t="inlineStr"/>
      <c r="T114" s="22" t="inlineStr">
        <is>
          <t>DM: has_email, phone Yes; large corp</t>
        </is>
      </c>
      <c r="U114" s="24" t="n">
        <v>1340193.75</v>
      </c>
      <c r="V114" s="25" t="inlineStr">
        <is>
          <t>B</t>
        </is>
      </c>
      <c r="W114" s="26" t="inlineStr"/>
      <c r="X114" s="27" t="inlineStr"/>
      <c r="Y114" s="27" t="inlineStr"/>
      <c r="Z114" s="26">
        <f>IF(W114&lt;&gt;"",W114,IFERROR(VLOOKUP(V114,Assumptions!$A$8:$F$12,2,FALSE),0))</f>
        <v/>
      </c>
      <c r="AA114" s="28">
        <f>IF(V114="A",MAX(1,IF(X114&lt;&gt;"",X114,IFERROR(VLOOKUP(V114,Assumptions!$A$8:$F$12,3,FALSE),3))+IF(Y114&lt;&gt;"",Y114,IFERROR(VLOOKUP(V114,Assumptions!$A$8:$F$12,4,FALSE),8))/2-MAX(0,IF(AS114="",0,YEAR(TODAY())-AS114)-IFERROR(VLOOKUP(V114,Assumptions!$A$8:$F$12,5,FALSE),1.5))),IFERROR(VLOOKUP(V114,Assumptions!$A$8:$F$12,5,FALSE),2.5)+IF(X114&lt;&gt;"",X114,IFERROR(VLOOKUP(V114,Assumptions!$A$8:$F$12,3,FALSE),3))+IF(Y114&lt;&gt;"",Y114,IFERROR(VLOOKUP(V114,Assumptions!$A$8:$F$12,4,FALSE),8))/2)</f>
        <v/>
      </c>
      <c r="AB114" s="24">
        <f>U114*Z114/(1+Assumptions!$B$3)^AA114</f>
        <v/>
      </c>
      <c r="AC114" s="27">
        <f>IF(U114=0,"",ROUND(AB114/U114*100,1))</f>
        <v/>
      </c>
      <c r="AD114" s="29">
        <f>AB114*Assumptions!$B$4</f>
        <v/>
      </c>
      <c r="AE114" s="27">
        <f>IF(U114=0,"",ROUND(AD114/U114*100,1))</f>
        <v/>
      </c>
      <c r="AF114" s="29">
        <f>AB114-AD114</f>
        <v/>
      </c>
      <c r="AG114" s="27">
        <f>IF(U114=0,"",ROUND((AB114-AD114)/U114*100,1))</f>
        <v/>
      </c>
      <c r="AH114" s="30" t="inlineStr">
        <is>
          <t>OK — totals reconciled</t>
        </is>
      </c>
      <c r="AI114" s="31" t="inlineStr">
        <is>
          <t>https://scalzilliaj.com.br/sgc/download.php?file=files/processo_documento/processo_documento09514021082025_1_.pdf&amp;nome=04 - Relação de credores das Recuperandas</t>
        </is>
      </c>
      <c r="AJ114" s="30" t="inlineStr">
        <is>
          <t>p67 r6; p67 r7; p67 r8</t>
        </is>
      </c>
      <c r="AK114" s="30" t="inlineStr">
        <is>
          <t>p67: R$ 697.078,05; p67: R$ 550.843,32; p67: R$ 92.272,38</t>
        </is>
      </c>
      <c r="AL114" s="30" t="inlineStr">
        <is>
          <t>Debtor list (art. 51)</t>
        </is>
      </c>
      <c r="AM114" s="30" t="inlineStr"/>
      <c r="AN114" s="30" t="inlineStr">
        <is>
          <t>NONE FOUND</t>
        </is>
      </c>
      <c r="AO114" s="32" t="inlineStr">
        <is>
          <t>5088952-81.2025.8.13.0024</t>
        </is>
      </c>
      <c r="AP114" s="32" t="inlineStr">
        <is>
          <t>TJMG</t>
        </is>
      </c>
      <c r="AQ114" s="32" t="inlineStr"/>
      <c r="AR114" s="32" t="inlineStr">
        <is>
          <t>DataJud: no closure/falência movement</t>
        </is>
      </c>
      <c r="AS114" s="32" t="n">
        <v>2025</v>
      </c>
      <c r="AT114" s="32" t="inlineStr">
        <is>
          <t>live case, no plan document yet; case no. from the portal record, not printed on the list</t>
        </is>
      </c>
      <c r="AU114" s="32" t="inlineStr"/>
      <c r="AV114" s="32" t="inlineStr">
        <is>
          <t>portal page title / URL — not printed on the list</t>
        </is>
      </c>
      <c r="AW114" s="32" t="inlineStr"/>
      <c r="AX114" s="32" t="inlineStr">
        <is>
          <t>RIO DE JANEIRO</t>
        </is>
      </c>
      <c r="AY114" s="32" t="inlineStr">
        <is>
          <t>RJ</t>
        </is>
      </c>
      <c r="AZ114" s="32" t="inlineStr">
        <is>
          <t>Produção de laminados longos de aço, exceto tubos</t>
        </is>
      </c>
      <c r="BA114" s="32" t="inlineStr">
        <is>
          <t>não ME/EPP</t>
        </is>
      </c>
      <c r="BB114" s="33" t="n">
        <v>7707648000</v>
      </c>
      <c r="BC114" s="32" t="inlineStr">
        <is>
          <t>LARGE CORP</t>
        </is>
      </c>
      <c r="BD114" s="32" t="inlineStr">
        <is>
          <t>07358761</t>
        </is>
      </c>
      <c r="BE114" s="32" t="n">
        <v>3</v>
      </c>
      <c r="BF114" s="32" t="inlineStr">
        <is>
          <t>case no. corrected by reader case no. from portal record</t>
        </is>
      </c>
    </row>
    <row r="115">
      <c r="A115" s="17" t="inlineStr">
        <is>
          <t>AGROCERES MULTIMIX NUTRICAO ANIMAL LTDA</t>
        </is>
      </c>
      <c r="B115" s="18" t="n">
        <v>1268978.32</v>
      </c>
      <c r="C115" s="19" t="inlineStr">
        <is>
          <t>SUINOCULTURA KUNZLER</t>
        </is>
      </c>
      <c r="D115" s="20" t="inlineStr">
        <is>
          <t>NEW</t>
        </is>
      </c>
      <c r="E115" s="21" t="inlineStr"/>
      <c r="F115" s="20" t="inlineStr"/>
      <c r="G115" s="21" t="inlineStr"/>
      <c r="H115" s="20" t="inlineStr"/>
      <c r="I115" s="22" t="inlineStr">
        <is>
          <t>Renata Campos</t>
        </is>
      </c>
      <c r="J115" s="22" t="inlineStr">
        <is>
          <t>Analista de Crédito e Cobrança Sênior</t>
        </is>
      </c>
      <c r="K115" s="22" t="inlineStr">
        <is>
          <t>(19) 3526-8500</t>
        </is>
      </c>
      <c r="L115" s="22" t="inlineStr"/>
      <c r="M115" s="22" t="inlineStr"/>
      <c r="N115" s="22" t="inlineStr">
        <is>
          <t>renata@agroceres.com</t>
        </is>
      </c>
      <c r="O115" s="22" t="inlineStr">
        <is>
          <t>verified</t>
        </is>
      </c>
      <c r="P115" s="22" t="inlineStr">
        <is>
          <t>Kelly Pedroso</t>
        </is>
      </c>
      <c r="Q115" s="22" t="inlineStr">
        <is>
          <t>Analista de Crédito e Cobrança Jr</t>
        </is>
      </c>
      <c r="R115" s="22" t="inlineStr"/>
      <c r="S115" s="22" t="inlineStr">
        <is>
          <t>pedroso.kelly@agroceresmultimix.com.br</t>
        </is>
      </c>
      <c r="T115" s="22" t="inlineStr">
        <is>
          <t>DM: has_email; BACKUP: backup; backup email is pattern-guessed</t>
        </is>
      </c>
      <c r="U115" s="24" t="n">
        <v>1268978.32</v>
      </c>
      <c r="V115" s="25" t="inlineStr">
        <is>
          <t>B</t>
        </is>
      </c>
      <c r="W115" s="26" t="inlineStr"/>
      <c r="X115" s="27" t="inlineStr"/>
      <c r="Y115" s="27" t="inlineStr"/>
      <c r="Z115" s="26">
        <f>IF(W115&lt;&gt;"",W115,IFERROR(VLOOKUP(V115,Assumptions!$A$8:$F$12,2,FALSE),0))</f>
        <v/>
      </c>
      <c r="AA115" s="28">
        <f>IF(V115="A",MAX(1,IF(X115&lt;&gt;"",X115,IFERROR(VLOOKUP(V115,Assumptions!$A$8:$F$12,3,FALSE),3))+IF(Y115&lt;&gt;"",Y115,IFERROR(VLOOKUP(V115,Assumptions!$A$8:$F$12,4,FALSE),8))/2-MAX(0,IF(AS115="",0,YEAR(TODAY())-AS115)-IFERROR(VLOOKUP(V115,Assumptions!$A$8:$F$12,5,FALSE),1.5))),IFERROR(VLOOKUP(V115,Assumptions!$A$8:$F$12,5,FALSE),2.5)+IF(X115&lt;&gt;"",X115,IFERROR(VLOOKUP(V115,Assumptions!$A$8:$F$12,3,FALSE),3))+IF(Y115&lt;&gt;"",Y115,IFERROR(VLOOKUP(V115,Assumptions!$A$8:$F$12,4,FALSE),8))/2)</f>
        <v/>
      </c>
      <c r="AB115" s="24">
        <f>U115*Z115/(1+Assumptions!$B$3)^AA115</f>
        <v/>
      </c>
      <c r="AC115" s="27">
        <f>IF(U115=0,"",ROUND(AB115/U115*100,1))</f>
        <v/>
      </c>
      <c r="AD115" s="29">
        <f>AB115*Assumptions!$B$4</f>
        <v/>
      </c>
      <c r="AE115" s="27">
        <f>IF(U115=0,"",ROUND(AD115/U115*100,1))</f>
        <v/>
      </c>
      <c r="AF115" s="29">
        <f>AB115-AD115</f>
        <v/>
      </c>
      <c r="AG115" s="27">
        <f>IF(U115=0,"",ROUND((AB115-AD115)/U115*100,1))</f>
        <v/>
      </c>
      <c r="AH115" s="34" t="inlineStr">
        <is>
          <t>NO TOTALS — list prints none; check page</t>
        </is>
      </c>
      <c r="AI115" s="31" t="inlineStr">
        <is>
          <t>https://rlg-aj.com.br/wp-content/uploads/2024/11/07.-Relação-de-credores.pdf</t>
        </is>
      </c>
      <c r="AJ115" s="30" t="inlineStr">
        <is>
          <t>p1 r22</t>
        </is>
      </c>
      <c r="AK115" s="30" t="inlineStr">
        <is>
          <t>p1: R$ 1.268.978,32</t>
        </is>
      </c>
      <c r="AL115" s="30" t="inlineStr">
        <is>
          <t>Unclassified list</t>
        </is>
      </c>
      <c r="AM115" s="30" t="inlineStr"/>
      <c r="AN115" s="30" t="inlineStr">
        <is>
          <t>NONE FOUND</t>
        </is>
      </c>
      <c r="AO115" s="32" t="inlineStr">
        <is>
          <t>5009149-92.2024.8.24.0019</t>
        </is>
      </c>
      <c r="AP115" s="32" t="inlineStr">
        <is>
          <t>TJSC</t>
        </is>
      </c>
      <c r="AQ115" s="32" t="inlineStr">
        <is>
          <t>Recuperação judicial</t>
        </is>
      </c>
      <c r="AR115" s="32" t="inlineStr">
        <is>
          <t>DataJud: no closure/falência movement</t>
        </is>
      </c>
      <c r="AS115" s="32" t="n">
        <v>2024</v>
      </c>
      <c r="AT115" s="32" t="inlineStr">
        <is>
          <t>live case, no plan document yet; case no. from the portal record, not printed on the list</t>
        </is>
      </c>
      <c r="AU115" s="32" t="inlineStr">
        <is>
          <t>55.365.447/0001-56</t>
        </is>
      </c>
      <c r="AV115" s="32" t="inlineStr">
        <is>
          <t>printed on the list (read twice)</t>
        </is>
      </c>
      <c r="AW115" s="32" t="inlineStr"/>
      <c r="AX115" s="32" t="inlineStr">
        <is>
          <t>RIO CLARO</t>
        </is>
      </c>
      <c r="AY115" s="32" t="inlineStr">
        <is>
          <t>SP</t>
        </is>
      </c>
      <c r="AZ115" s="32" t="inlineStr">
        <is>
          <t>Fabricação de alimentos para animais</t>
        </is>
      </c>
      <c r="BA115" s="32" t="inlineStr">
        <is>
          <t>não ME/EPP</t>
        </is>
      </c>
      <c r="BB115" s="33" t="n">
        <v>751230900</v>
      </c>
      <c r="BC115" s="32" t="inlineStr">
        <is>
          <t>MID-MARKET</t>
        </is>
      </c>
      <c r="BD115" s="32" t="inlineStr">
        <is>
          <t>28622744</t>
        </is>
      </c>
      <c r="BE115" s="32" t="n">
        <v>1</v>
      </c>
      <c r="BF115" s="32" t="inlineStr">
        <is>
          <t>list prints no totals</t>
        </is>
      </c>
    </row>
    <row r="116">
      <c r="A116" s="17" t="inlineStr">
        <is>
          <t>PEDREIRA ARAGUAIA LTDA</t>
        </is>
      </c>
      <c r="B116" s="18" t="n">
        <v>1261848.82</v>
      </c>
      <c r="C116" s="19" t="inlineStr">
        <is>
          <t>GRUPO EGESA (Egesa Engenharia S.A. + 9 group companies; see group members)</t>
        </is>
      </c>
      <c r="D116" s="20" t="inlineStr">
        <is>
          <t>NEW</t>
        </is>
      </c>
      <c r="E116" s="21" t="inlineStr"/>
      <c r="F116" s="20" t="inlineStr"/>
      <c r="G116" s="21" t="inlineStr"/>
      <c r="H116" s="20" t="inlineStr"/>
      <c r="I116" s="22" t="inlineStr">
        <is>
          <t>NASSIM MAMED JUNIOR</t>
        </is>
      </c>
      <c r="J116" s="23" t="inlineStr">
        <is>
          <t>Administrador (RFB partner)</t>
        </is>
      </c>
      <c r="K116" s="22" t="inlineStr">
        <is>
          <t>(62) 3284-8484</t>
        </is>
      </c>
      <c r="L116" s="22" t="inlineStr"/>
      <c r="M116" s="22" t="inlineStr"/>
      <c r="N116" s="22" t="inlineStr"/>
      <c r="O116" s="22" t="inlineStr"/>
      <c r="P116" s="22" t="inlineStr"/>
      <c r="Q116" s="22" t="inlineStr"/>
      <c r="R116" s="22" t="inlineStr"/>
      <c r="S116" s="22" t="inlineStr"/>
      <c r="T116" s="22" t="inlineStr">
        <is>
          <t>DM = registered partner (RFB QSA); no Apollo match</t>
        </is>
      </c>
      <c r="U116" s="24" t="n">
        <v>1261848.82</v>
      </c>
      <c r="V116" s="25" t="inlineStr">
        <is>
          <t>B</t>
        </is>
      </c>
      <c r="W116" s="26" t="inlineStr"/>
      <c r="X116" s="27" t="inlineStr"/>
      <c r="Y116" s="27" t="inlineStr"/>
      <c r="Z116" s="26">
        <f>IF(W116&lt;&gt;"",W116,IFERROR(VLOOKUP(V116,Assumptions!$A$8:$F$12,2,FALSE),0))</f>
        <v/>
      </c>
      <c r="AA116" s="28">
        <f>IF(V116="A",MAX(1,IF(X116&lt;&gt;"",X116,IFERROR(VLOOKUP(V116,Assumptions!$A$8:$F$12,3,FALSE),3))+IF(Y116&lt;&gt;"",Y116,IFERROR(VLOOKUP(V116,Assumptions!$A$8:$F$12,4,FALSE),8))/2-MAX(0,IF(AS116="",0,YEAR(TODAY())-AS116)-IFERROR(VLOOKUP(V116,Assumptions!$A$8:$F$12,5,FALSE),1.5))),IFERROR(VLOOKUP(V116,Assumptions!$A$8:$F$12,5,FALSE),2.5)+IF(X116&lt;&gt;"",X116,IFERROR(VLOOKUP(V116,Assumptions!$A$8:$F$12,3,FALSE),3))+IF(Y116&lt;&gt;"",Y116,IFERROR(VLOOKUP(V116,Assumptions!$A$8:$F$12,4,FALSE),8))/2)</f>
        <v/>
      </c>
      <c r="AB116" s="24">
        <f>U116*Z116/(1+Assumptions!$B$3)^AA116</f>
        <v/>
      </c>
      <c r="AC116" s="27">
        <f>IF(U116=0,"",ROUND(AB116/U116*100,1))</f>
        <v/>
      </c>
      <c r="AD116" s="29">
        <f>AB116*Assumptions!$B$4</f>
        <v/>
      </c>
      <c r="AE116" s="27">
        <f>IF(U116=0,"",ROUND(AD116/U116*100,1))</f>
        <v/>
      </c>
      <c r="AF116" s="29">
        <f>AB116-AD116</f>
        <v/>
      </c>
      <c r="AG116" s="27">
        <f>IF(U116=0,"",ROUND((AB116-AD116)/U116*100,1))</f>
        <v/>
      </c>
      <c r="AH116" s="30" t="inlineStr">
        <is>
          <t>OK — totals reconciled</t>
        </is>
      </c>
      <c r="AI116" s="31" t="inlineStr">
        <is>
          <t>https://scalzilliaj.com.br/sgc/download.php?file=files/processo_documento/processo_documento09514021082025_1_.pdf&amp;nome=04 - Relação de credores das Recuperandas</t>
        </is>
      </c>
      <c r="AJ116" s="30" t="inlineStr">
        <is>
          <t>p71 r6</t>
        </is>
      </c>
      <c r="AK116" s="30" t="inlineStr">
        <is>
          <t>p71: R$ 1.261.848,82</t>
        </is>
      </c>
      <c r="AL116" s="30" t="inlineStr">
        <is>
          <t>Debtor list (art. 51)</t>
        </is>
      </c>
      <c r="AM116" s="30" t="inlineStr"/>
      <c r="AN116" s="30" t="inlineStr">
        <is>
          <t>NONE FOUND</t>
        </is>
      </c>
      <c r="AO116" s="32" t="inlineStr">
        <is>
          <t>5088952-81.2025.8.13.0024</t>
        </is>
      </c>
      <c r="AP116" s="32" t="inlineStr">
        <is>
          <t>TJMG</t>
        </is>
      </c>
      <c r="AQ116" s="32" t="inlineStr"/>
      <c r="AR116" s="32" t="inlineStr">
        <is>
          <t>DataJud: no closure/falência movement</t>
        </is>
      </c>
      <c r="AS116" s="32" t="n">
        <v>2025</v>
      </c>
      <c r="AT116" s="32" t="inlineStr">
        <is>
          <t>live case, no plan document yet; case no. from the portal record, not printed on the list</t>
        </is>
      </c>
      <c r="AU116" s="32" t="inlineStr"/>
      <c r="AV116" s="32" t="inlineStr">
        <is>
          <t>portal page title / URL — not printed on the list</t>
        </is>
      </c>
      <c r="AW116" s="32" t="inlineStr"/>
      <c r="AX116" s="32" t="inlineStr">
        <is>
          <t>APARECIDA DE GOIANIA</t>
        </is>
      </c>
      <c r="AY116" s="32" t="inlineStr">
        <is>
          <t>GO</t>
        </is>
      </c>
      <c r="AZ116" s="32" t="inlineStr">
        <is>
          <t>Extração e britamento de pedras e outros materiais para construção e beneficiamento associado</t>
        </is>
      </c>
      <c r="BA116" s="32" t="inlineStr">
        <is>
          <t>não ME/EPP</t>
        </is>
      </c>
      <c r="BB116" s="33" t="n">
        <v>3200000</v>
      </c>
      <c r="BC116" s="32" t="inlineStr">
        <is>
          <t>MID-MARKET</t>
        </is>
      </c>
      <c r="BD116" s="32" t="inlineStr">
        <is>
          <t>00052803</t>
        </is>
      </c>
      <c r="BE116" s="32" t="n">
        <v>1</v>
      </c>
      <c r="BF116" s="32" t="inlineStr">
        <is>
          <t>case no. corrected by reader case no. from portal record</t>
        </is>
      </c>
    </row>
    <row r="117">
      <c r="A117" s="17" t="inlineStr">
        <is>
          <t>CAMINERO INDUSTRIA E COMERCIO DE OLEOS LTDA</t>
        </is>
      </c>
      <c r="B117" s="18" t="n">
        <v>1251475.5</v>
      </c>
      <c r="C117" s="19" t="inlineStr">
        <is>
          <t>Grupo Agromeal</t>
        </is>
      </c>
      <c r="D117" s="20" t="inlineStr">
        <is>
          <t>NEW</t>
        </is>
      </c>
      <c r="E117" s="21" t="inlineStr"/>
      <c r="F117" s="20" t="inlineStr"/>
      <c r="G117" s="21" t="inlineStr"/>
      <c r="H117" s="20" t="inlineStr"/>
      <c r="I117" s="22" t="inlineStr">
        <is>
          <t>DENILSON JORGE DO NASCIMENTO</t>
        </is>
      </c>
      <c r="J117" s="23" t="inlineStr">
        <is>
          <t>Sócio-Administrador (RFB partner)</t>
        </is>
      </c>
      <c r="K117" s="22" t="inlineStr">
        <is>
          <t>(14) 3662-9499</t>
        </is>
      </c>
      <c r="L117" s="22" t="inlineStr"/>
      <c r="M117" s="22" t="inlineStr"/>
      <c r="N117" s="22" t="inlineStr"/>
      <c r="O117" s="22" t="inlineStr"/>
      <c r="P117" s="22" t="inlineStr"/>
      <c r="Q117" s="22" t="inlineStr"/>
      <c r="R117" s="22" t="inlineStr"/>
      <c r="S117" s="22" t="inlineStr"/>
      <c r="T117" s="22" t="inlineStr">
        <is>
          <t>DM = registered partner (RFB QSA); no Apollo match</t>
        </is>
      </c>
      <c r="U117" s="24" t="n">
        <v>1251475.5</v>
      </c>
      <c r="V117" s="25" t="inlineStr">
        <is>
          <t>B</t>
        </is>
      </c>
      <c r="W117" s="26" t="inlineStr"/>
      <c r="X117" s="27" t="inlineStr"/>
      <c r="Y117" s="27" t="inlineStr"/>
      <c r="Z117" s="26">
        <f>IF(W117&lt;&gt;"",W117,IFERROR(VLOOKUP(V117,Assumptions!$A$8:$F$12,2,FALSE),0))</f>
        <v/>
      </c>
      <c r="AA117" s="28">
        <f>IF(V117="A",MAX(1,IF(X117&lt;&gt;"",X117,IFERROR(VLOOKUP(V117,Assumptions!$A$8:$F$12,3,FALSE),3))+IF(Y117&lt;&gt;"",Y117,IFERROR(VLOOKUP(V117,Assumptions!$A$8:$F$12,4,FALSE),8))/2-MAX(0,IF(AS117="",0,YEAR(TODAY())-AS117)-IFERROR(VLOOKUP(V117,Assumptions!$A$8:$F$12,5,FALSE),1.5))),IFERROR(VLOOKUP(V117,Assumptions!$A$8:$F$12,5,FALSE),2.5)+IF(X117&lt;&gt;"",X117,IFERROR(VLOOKUP(V117,Assumptions!$A$8:$F$12,3,FALSE),3))+IF(Y117&lt;&gt;"",Y117,IFERROR(VLOOKUP(V117,Assumptions!$A$8:$F$12,4,FALSE),8))/2)</f>
        <v/>
      </c>
      <c r="AB117" s="24">
        <f>U117*Z117/(1+Assumptions!$B$3)^AA117</f>
        <v/>
      </c>
      <c r="AC117" s="27">
        <f>IF(U117=0,"",ROUND(AB117/U117*100,1))</f>
        <v/>
      </c>
      <c r="AD117" s="29">
        <f>AB117*Assumptions!$B$4</f>
        <v/>
      </c>
      <c r="AE117" s="27">
        <f>IF(U117=0,"",ROUND(AD117/U117*100,1))</f>
        <v/>
      </c>
      <c r="AF117" s="29">
        <f>AB117-AD117</f>
        <v/>
      </c>
      <c r="AG117" s="27">
        <f>IF(U117=0,"",ROUND((AB117-AD117)/U117*100,1))</f>
        <v/>
      </c>
      <c r="AH117" s="35" t="inlineStr">
        <is>
          <t>PARTIAL — class III reconciled, other classes not</t>
        </is>
      </c>
      <c r="AI117" s="31" t="inlineStr">
        <is>
          <t>https://marquesadmjudicial.com.br/sgc/download.php?file=files/processo_documento/processo_documento17040729052024_1_.pdf&amp;nome=Relação Nominal de Credores AJ-Sintética</t>
        </is>
      </c>
      <c r="AJ117" s="30" t="inlineStr">
        <is>
          <t>p10 r12</t>
        </is>
      </c>
      <c r="AK117" s="30" t="inlineStr">
        <is>
          <t>p10: R$ 1.251.475,50</t>
        </is>
      </c>
      <c r="AL117" s="30" t="inlineStr">
        <is>
          <t>AJ list (art. 7 §2)</t>
        </is>
      </c>
      <c r="AM117" s="30" t="inlineStr">
        <is>
          <t>2024-05-27</t>
        </is>
      </c>
      <c r="AN117" s="30" t="inlineStr">
        <is>
          <t>NONE FOUND</t>
        </is>
      </c>
      <c r="AO117" s="32" t="inlineStr">
        <is>
          <t>0003971-03.2023.8.16.0119</t>
        </is>
      </c>
      <c r="AP117" s="32" t="inlineStr">
        <is>
          <t>TJPR</t>
        </is>
      </c>
      <c r="AQ117" s="32" t="inlineStr">
        <is>
          <t>Recuperação judicial</t>
        </is>
      </c>
      <c r="AR117" s="32" t="inlineStr">
        <is>
          <t>DataJud: no closure/falência movement</t>
        </is>
      </c>
      <c r="AS117" s="32" t="n">
        <v>2023</v>
      </c>
      <c r="AT117" s="32" t="inlineStr">
        <is>
          <t>live case, no plan document yet</t>
        </is>
      </c>
      <c r="AU117" s="32" t="inlineStr">
        <is>
          <t>11.624.776/0001-07</t>
        </is>
      </c>
      <c r="AV117" s="32" t="inlineStr">
        <is>
          <t>printed on the list (read twice)</t>
        </is>
      </c>
      <c r="AW117" s="32" t="inlineStr"/>
      <c r="AX117" s="32" t="inlineStr">
        <is>
          <t>BARIRI</t>
        </is>
      </c>
      <c r="AY117" s="32" t="inlineStr">
        <is>
          <t>SP</t>
        </is>
      </c>
      <c r="AZ117" s="32" t="inlineStr">
        <is>
          <t>Fabricação de margarina e outras gorduras vegetais e de óleos não-comestíveis de animais</t>
        </is>
      </c>
      <c r="BA117" s="32" t="inlineStr">
        <is>
          <t>não ME/EPP</t>
        </is>
      </c>
      <c r="BB117" s="33" t="n">
        <v>120000</v>
      </c>
      <c r="BC117" s="32" t="inlineStr">
        <is>
          <t>MID-MARKET</t>
        </is>
      </c>
      <c r="BD117" s="32" t="inlineStr">
        <is>
          <t>00474698</t>
        </is>
      </c>
      <c r="BE117" s="32" t="n">
        <v>1</v>
      </c>
      <c r="BF117" s="32" t="inlineStr">
        <is>
          <t>class III reconciled (doc partial)</t>
        </is>
      </c>
    </row>
    <row r="118">
      <c r="A118" s="17" t="inlineStr">
        <is>
          <t>DIMACI MATERIAL CIRURGICO LTDA</t>
        </is>
      </c>
      <c r="B118" s="18" t="n">
        <v>1222974.01</v>
      </c>
      <c r="C118" s="19" t="inlineStr">
        <is>
          <t>ASSOCIAÇÃO DE CARIDADE SANTA CASA DO RIO GRANDE</t>
        </is>
      </c>
      <c r="D118" s="20" t="inlineStr">
        <is>
          <t>NEW</t>
        </is>
      </c>
      <c r="E118" s="21" t="inlineStr"/>
      <c r="F118" s="20" t="inlineStr"/>
      <c r="G118" s="21" t="inlineStr"/>
      <c r="H118" s="20" t="inlineStr"/>
      <c r="I118" s="22" t="inlineStr">
        <is>
          <t>CARLOS JUNIOR RIEDI</t>
        </is>
      </c>
      <c r="J118" s="23" t="inlineStr">
        <is>
          <t>Sócio-Administrador (RFB partner)</t>
        </is>
      </c>
      <c r="K118" s="22" t="inlineStr">
        <is>
          <t>(51) 3330-6111</t>
        </is>
      </c>
      <c r="L118" s="22" t="inlineStr"/>
      <c r="M118" s="22" t="inlineStr"/>
      <c r="N118" s="22" t="inlineStr"/>
      <c r="O118" s="22" t="inlineStr"/>
      <c r="P118" s="22" t="inlineStr">
        <is>
          <t>PAULO CESAR LAPINSCKI</t>
        </is>
      </c>
      <c r="Q118" s="22" t="inlineStr">
        <is>
          <t>Administrador (RFB partner)</t>
        </is>
      </c>
      <c r="R118" s="22" t="inlineStr"/>
      <c r="S118" s="22" t="inlineStr"/>
      <c r="T118" s="22" t="inlineStr">
        <is>
          <t>DM = registered partner (RFB QSA); Apollo pick demoted to backup (non-finance role)</t>
        </is>
      </c>
      <c r="U118" s="24" t="n">
        <v>1222974.01</v>
      </c>
      <c r="V118" s="25" t="inlineStr">
        <is>
          <t>B</t>
        </is>
      </c>
      <c r="W118" s="26" t="inlineStr"/>
      <c r="X118" s="27" t="inlineStr"/>
      <c r="Y118" s="27" t="inlineStr"/>
      <c r="Z118" s="26">
        <f>IF(W118&lt;&gt;"",W118,IFERROR(VLOOKUP(V118,Assumptions!$A$8:$F$12,2,FALSE),0))</f>
        <v/>
      </c>
      <c r="AA118" s="28">
        <f>IF(V118="A",MAX(1,IF(X118&lt;&gt;"",X118,IFERROR(VLOOKUP(V118,Assumptions!$A$8:$F$12,3,FALSE),3))+IF(Y118&lt;&gt;"",Y118,IFERROR(VLOOKUP(V118,Assumptions!$A$8:$F$12,4,FALSE),8))/2-MAX(0,IF(AS118="",0,YEAR(TODAY())-AS118)-IFERROR(VLOOKUP(V118,Assumptions!$A$8:$F$12,5,FALSE),1.5))),IFERROR(VLOOKUP(V118,Assumptions!$A$8:$F$12,5,FALSE),2.5)+IF(X118&lt;&gt;"",X118,IFERROR(VLOOKUP(V118,Assumptions!$A$8:$F$12,3,FALSE),3))+IF(Y118&lt;&gt;"",Y118,IFERROR(VLOOKUP(V118,Assumptions!$A$8:$F$12,4,FALSE),8))/2)</f>
        <v/>
      </c>
      <c r="AB118" s="24">
        <f>U118*Z118/(1+Assumptions!$B$3)^AA118</f>
        <v/>
      </c>
      <c r="AC118" s="27">
        <f>IF(U118=0,"",ROUND(AB118/U118*100,1))</f>
        <v/>
      </c>
      <c r="AD118" s="29">
        <f>AB118*Assumptions!$B$4</f>
        <v/>
      </c>
      <c r="AE118" s="27">
        <f>IF(U118=0,"",ROUND(AD118/U118*100,1))</f>
        <v/>
      </c>
      <c r="AF118" s="29">
        <f>AB118-AD118</f>
        <v/>
      </c>
      <c r="AG118" s="27">
        <f>IF(U118=0,"",ROUND((AB118-AD118)/U118*100,1))</f>
        <v/>
      </c>
      <c r="AH118" s="34" t="inlineStr">
        <is>
          <t>NO TOTALS — list prints none; check page</t>
        </is>
      </c>
      <c r="AI118" s="31" t="inlineStr">
        <is>
          <t>https://scalzilliaj.com.br/sgc/download.php?file=files/processo_documento/processo_documento09120721032023_1_.pdf&amp;nome=15 - Edital do art. 7º, §2º e 53 da Lei 11.101/2005 (segunda lista de credores e recebimento do plano))</t>
        </is>
      </c>
      <c r="AJ118" s="30" t="inlineStr">
        <is>
          <t>p27 r6</t>
        </is>
      </c>
      <c r="AK118" s="30" t="inlineStr">
        <is>
          <t>p27: R$ 1.222.974,01</t>
        </is>
      </c>
      <c r="AL118" s="30" t="inlineStr">
        <is>
          <t>AJ list (art. 7 §2)</t>
        </is>
      </c>
      <c r="AM118" s="30" t="inlineStr">
        <is>
          <t>2023-03-21</t>
        </is>
      </c>
      <c r="AN118" s="30" t="inlineStr">
        <is>
          <t>NONE FOUND</t>
        </is>
      </c>
      <c r="AO118" s="32" t="inlineStr">
        <is>
          <t>5012306-16.2022.8.21.0023</t>
        </is>
      </c>
      <c r="AP118" s="32" t="inlineStr">
        <is>
          <t>TJRS</t>
        </is>
      </c>
      <c r="AQ118" s="32" t="inlineStr">
        <is>
          <t>Recuperação judicial</t>
        </is>
      </c>
      <c r="AR118" s="32" t="inlineStr">
        <is>
          <t>DataJud: no closure/falência movement</t>
        </is>
      </c>
      <c r="AS118" s="32" t="n">
        <v>2022</v>
      </c>
      <c r="AT118" s="32" t="inlineStr">
        <is>
          <t>live case, no plan document yet; atypical debtor (associação/clube/hospital/produtor rural): admissibility or claim subjection may be contested</t>
        </is>
      </c>
      <c r="AU118" s="32" t="inlineStr"/>
      <c r="AV118" s="32" t="inlineStr">
        <is>
          <t>printed on the list (read twice)</t>
        </is>
      </c>
      <c r="AW118" s="32" t="inlineStr"/>
      <c r="AX118" s="32" t="inlineStr">
        <is>
          <t>ELDORADO DO SUL</t>
        </is>
      </c>
      <c r="AY118" s="32" t="inlineStr">
        <is>
          <t>RS</t>
        </is>
      </c>
      <c r="AZ118" s="32" t="inlineStr">
        <is>
          <t>Comércio atacadista de medicamentos e drogas de uso humano</t>
        </is>
      </c>
      <c r="BA118" s="32" t="inlineStr">
        <is>
          <t>não ME/EPP</t>
        </is>
      </c>
      <c r="BB118" s="33" t="n">
        <v>61477400</v>
      </c>
      <c r="BC118" s="32" t="inlineStr">
        <is>
          <t>MID-MARKET</t>
        </is>
      </c>
      <c r="BD118" s="32" t="inlineStr">
        <is>
          <t>90251109</t>
        </is>
      </c>
      <c r="BE118" s="32" t="n">
        <v>1</v>
      </c>
      <c r="BF118" s="32" t="inlineStr">
        <is>
          <t>list prints no totals</t>
        </is>
      </c>
    </row>
    <row r="119">
      <c r="A119" s="17" t="inlineStr">
        <is>
          <t>GONCALVES &amp; TORTOLA S/A</t>
        </is>
      </c>
      <c r="B119" s="18" t="n">
        <v>1218354.25</v>
      </c>
      <c r="C119" s="19" t="inlineStr">
        <is>
          <t>Grupo Agromeal</t>
        </is>
      </c>
      <c r="D119" s="20" t="inlineStr">
        <is>
          <t>NEW</t>
        </is>
      </c>
      <c r="E119" s="21" t="inlineStr"/>
      <c r="F119" s="20" t="inlineStr"/>
      <c r="G119" s="21" t="inlineStr"/>
      <c r="H119" s="20" t="inlineStr"/>
      <c r="I119" s="22" t="inlineStr">
        <is>
          <t>RAFAEL GONCALVES TORTOLA</t>
        </is>
      </c>
      <c r="J119" s="23" t="inlineStr">
        <is>
          <t>Presidente (RFB partner)</t>
        </is>
      </c>
      <c r="K119" s="22" t="inlineStr">
        <is>
          <t>(44) 3218-3605</t>
        </is>
      </c>
      <c r="L119" s="22" t="inlineStr"/>
      <c r="M119" s="22" t="inlineStr"/>
      <c r="N119" s="22" t="inlineStr"/>
      <c r="O119" s="22" t="inlineStr"/>
      <c r="P119" s="22" t="inlineStr">
        <is>
          <t>VINICIUS DEMORI MARTINI GONCALVES</t>
        </is>
      </c>
      <c r="Q119" s="22" t="inlineStr">
        <is>
          <t>Administrador (RFB partner)</t>
        </is>
      </c>
      <c r="R119" s="22" t="inlineStr"/>
      <c r="S119" s="22" t="inlineStr"/>
      <c r="T119" s="22" t="inlineStr">
        <is>
          <t>DM = registered partner (RFB QSA); no Apollo match</t>
        </is>
      </c>
      <c r="U119" s="24" t="n">
        <v>1218354.25</v>
      </c>
      <c r="V119" s="25" t="inlineStr">
        <is>
          <t>B</t>
        </is>
      </c>
      <c r="W119" s="26" t="inlineStr"/>
      <c r="X119" s="27" t="inlineStr"/>
      <c r="Y119" s="27" t="inlineStr"/>
      <c r="Z119" s="26">
        <f>IF(W119&lt;&gt;"",W119,IFERROR(VLOOKUP(V119,Assumptions!$A$8:$F$12,2,FALSE),0))</f>
        <v/>
      </c>
      <c r="AA119" s="28">
        <f>IF(V119="A",MAX(1,IF(X119&lt;&gt;"",X119,IFERROR(VLOOKUP(V119,Assumptions!$A$8:$F$12,3,FALSE),3))+IF(Y119&lt;&gt;"",Y119,IFERROR(VLOOKUP(V119,Assumptions!$A$8:$F$12,4,FALSE),8))/2-MAX(0,IF(AS119="",0,YEAR(TODAY())-AS119)-IFERROR(VLOOKUP(V119,Assumptions!$A$8:$F$12,5,FALSE),1.5))),IFERROR(VLOOKUP(V119,Assumptions!$A$8:$F$12,5,FALSE),2.5)+IF(X119&lt;&gt;"",X119,IFERROR(VLOOKUP(V119,Assumptions!$A$8:$F$12,3,FALSE),3))+IF(Y119&lt;&gt;"",Y119,IFERROR(VLOOKUP(V119,Assumptions!$A$8:$F$12,4,FALSE),8))/2)</f>
        <v/>
      </c>
      <c r="AB119" s="24">
        <f>U119*Z119/(1+Assumptions!$B$3)^AA119</f>
        <v/>
      </c>
      <c r="AC119" s="27">
        <f>IF(U119=0,"",ROUND(AB119/U119*100,1))</f>
        <v/>
      </c>
      <c r="AD119" s="29">
        <f>AB119*Assumptions!$B$4</f>
        <v/>
      </c>
      <c r="AE119" s="27">
        <f>IF(U119=0,"",ROUND(AD119/U119*100,1))</f>
        <v/>
      </c>
      <c r="AF119" s="29">
        <f>AB119-AD119</f>
        <v/>
      </c>
      <c r="AG119" s="27">
        <f>IF(U119=0,"",ROUND((AB119-AD119)/U119*100,1))</f>
        <v/>
      </c>
      <c r="AH119" s="35" t="inlineStr">
        <is>
          <t>PARTIAL — class III reconciled, other classes not</t>
        </is>
      </c>
      <c r="AI119" s="31" t="inlineStr">
        <is>
          <t>https://marquesadmjudicial.com.br/sgc/download.php?file=files/processo_documento/processo_documento17040729052024_1_.pdf&amp;nome=Relação Nominal de Credores AJ-Sintética</t>
        </is>
      </c>
      <c r="AJ119" s="30" t="inlineStr">
        <is>
          <t>p11 r11; p11 r12; p11 r13; p11 r14</t>
        </is>
      </c>
      <c r="AK119" s="30" t="inlineStr">
        <is>
          <t>p11: R$ 749.027,25; p11: R$ 73.168,00; p11: R$ 368.143,00; p11: R$ 28.016,00</t>
        </is>
      </c>
      <c r="AL119" s="30" t="inlineStr">
        <is>
          <t>AJ list (art. 7 §2)</t>
        </is>
      </c>
      <c r="AM119" s="30" t="inlineStr">
        <is>
          <t>2024-05-27</t>
        </is>
      </c>
      <c r="AN119" s="30" t="inlineStr">
        <is>
          <t>NONE FOUND</t>
        </is>
      </c>
      <c r="AO119" s="32" t="inlineStr">
        <is>
          <t>0003971-03.2023.8.16.0119</t>
        </is>
      </c>
      <c r="AP119" s="32" t="inlineStr">
        <is>
          <t>TJPR</t>
        </is>
      </c>
      <c r="AQ119" s="32" t="inlineStr">
        <is>
          <t>Recuperação judicial</t>
        </is>
      </c>
      <c r="AR119" s="32" t="inlineStr">
        <is>
          <t>DataJud: no closure/falência movement</t>
        </is>
      </c>
      <c r="AS119" s="32" t="n">
        <v>2023</v>
      </c>
      <c r="AT119" s="32" t="inlineStr">
        <is>
          <t>live case, no plan document yet</t>
        </is>
      </c>
      <c r="AU119" s="32" t="inlineStr">
        <is>
          <t>11.624.776/0001-07</t>
        </is>
      </c>
      <c r="AV119" s="32" t="inlineStr">
        <is>
          <t>printed on the list (read twice)</t>
        </is>
      </c>
      <c r="AW119" s="32" t="inlineStr"/>
      <c r="AX119" s="32" t="inlineStr">
        <is>
          <t>MARINGA</t>
        </is>
      </c>
      <c r="AY119" s="32" t="inlineStr">
        <is>
          <t>PR</t>
        </is>
      </c>
      <c r="AZ119" s="32" t="inlineStr">
        <is>
          <t>Abate de aves</t>
        </is>
      </c>
      <c r="BA119" s="32" t="inlineStr">
        <is>
          <t>não ME/EPP</t>
        </is>
      </c>
      <c r="BB119" s="33" t="n">
        <v>614400000</v>
      </c>
      <c r="BC119" s="32" t="inlineStr">
        <is>
          <t>LARGE CORP</t>
        </is>
      </c>
      <c r="BD119" s="32" t="inlineStr">
        <is>
          <t>85070068</t>
        </is>
      </c>
      <c r="BE119" s="32" t="n">
        <v>4</v>
      </c>
      <c r="BF119" s="32" t="inlineStr">
        <is>
          <t>class III reconciled (doc partial)</t>
        </is>
      </c>
    </row>
    <row r="120">
      <c r="A120" s="17" t="inlineStr">
        <is>
          <t>RAIZEN S.A.</t>
        </is>
      </c>
      <c r="B120" s="18" t="n">
        <v>2280760.72</v>
      </c>
      <c r="C120" s="37" t="inlineStr">
        <is>
          <t>(debtor not identified — see proof)</t>
        </is>
      </c>
      <c r="D120" s="20" t="inlineStr">
        <is>
          <t>NEW</t>
        </is>
      </c>
      <c r="E120" s="21" t="inlineStr"/>
      <c r="F120" s="20" t="inlineStr"/>
      <c r="G120" s="21" t="inlineStr"/>
      <c r="H120" s="20" t="inlineStr"/>
      <c r="I120" s="22" t="inlineStr">
        <is>
          <t>Fabio Franceschi</t>
        </is>
      </c>
      <c r="J120" s="22" t="inlineStr">
        <is>
          <t>Coordenador de Contas a Receber</t>
        </is>
      </c>
      <c r="K120" s="22" t="inlineStr">
        <is>
          <t>(19) 3423-8000</t>
        </is>
      </c>
      <c r="L120" s="22" t="inlineStr"/>
      <c r="M120" s="22" t="inlineStr"/>
      <c r="N120" s="22" t="inlineStr">
        <is>
          <t>fabio.franceschi@raizen.com</t>
        </is>
      </c>
      <c r="O120" s="22" t="inlineStr">
        <is>
          <t>verified</t>
        </is>
      </c>
      <c r="P120" s="22" t="inlineStr">
        <is>
          <t>Carla Barbosa</t>
        </is>
      </c>
      <c r="Q120" s="22" t="inlineStr">
        <is>
          <t>Gestão de Contas a Receber</t>
        </is>
      </c>
      <c r="R120" s="22" t="inlineStr"/>
      <c r="S120" s="22" t="inlineStr">
        <is>
          <t>carla.barbosa@raizen.com</t>
        </is>
      </c>
      <c r="T120" s="22" t="inlineStr">
        <is>
          <t>DM: has_email; large corp; BACKUP: backup, has_email, phone Yes</t>
        </is>
      </c>
      <c r="U120" s="24" t="n">
        <v>2280760.72</v>
      </c>
      <c r="V120" s="38" t="inlineStr">
        <is>
          <t>U</t>
        </is>
      </c>
      <c r="W120" s="26" t="inlineStr"/>
      <c r="X120" s="27" t="inlineStr"/>
      <c r="Y120" s="27" t="inlineStr"/>
      <c r="Z120" s="26">
        <f>IF(W120&lt;&gt;"",W120,IFERROR(VLOOKUP(V120,Assumptions!$A$8:$F$12,2,FALSE),0))</f>
        <v/>
      </c>
      <c r="AA120" s="28">
        <f>IF(V120="A",MAX(1,IF(X120&lt;&gt;"",X120,IFERROR(VLOOKUP(V120,Assumptions!$A$8:$F$12,3,FALSE),3))+IF(Y120&lt;&gt;"",Y120,IFERROR(VLOOKUP(V120,Assumptions!$A$8:$F$12,4,FALSE),8))/2-MAX(0,IF(AS120="",0,YEAR(TODAY())-AS120)-IFERROR(VLOOKUP(V120,Assumptions!$A$8:$F$12,5,FALSE),1.5))),IFERROR(VLOOKUP(V120,Assumptions!$A$8:$F$12,5,FALSE),2.5)+IF(X120&lt;&gt;"",X120,IFERROR(VLOOKUP(V120,Assumptions!$A$8:$F$12,3,FALSE),3))+IF(Y120&lt;&gt;"",Y120,IFERROR(VLOOKUP(V120,Assumptions!$A$8:$F$12,4,FALSE),8))/2)</f>
        <v/>
      </c>
      <c r="AB120" s="24">
        <f>U120*Z120/(1+Assumptions!$B$3)^AA120</f>
        <v/>
      </c>
      <c r="AC120" s="27">
        <f>IF(U120=0,"",ROUND(AB120/U120*100,1))</f>
        <v/>
      </c>
      <c r="AD120" s="29">
        <f>AB120*Assumptions!$B$4</f>
        <v/>
      </c>
      <c r="AE120" s="27">
        <f>IF(U120=0,"",ROUND(AD120/U120*100,1))</f>
        <v/>
      </c>
      <c r="AF120" s="29">
        <f>AB120-AD120</f>
        <v/>
      </c>
      <c r="AG120" s="27">
        <f>IF(U120=0,"",ROUND((AB120-AD120)/U120*100,1))</f>
        <v/>
      </c>
      <c r="AH120" s="30" t="inlineStr">
        <is>
          <t>OK — totals reconciled</t>
        </is>
      </c>
      <c r="AI120" s="31" t="inlineStr">
        <is>
          <t>https://ajruiz.com.br/sites/default/files/public/arquivos-processos/2023-11/4_relacao_de_credores_analitica_art._51_iii_da_lre.pdf</t>
        </is>
      </c>
      <c r="AJ120" s="30" t="inlineStr">
        <is>
          <t>p3 r49</t>
        </is>
      </c>
      <c r="AK120" s="30" t="inlineStr">
        <is>
          <t>p3: R$ 2.280.760,72</t>
        </is>
      </c>
      <c r="AL120" s="30" t="inlineStr">
        <is>
          <t>Unclassified list</t>
        </is>
      </c>
      <c r="AM120" s="30" t="inlineStr"/>
      <c r="AN120" s="30" t="inlineStr">
        <is>
          <t>NONE FOUND</t>
        </is>
      </c>
      <c r="AO120" s="32" t="inlineStr">
        <is>
          <t>(not printed)</t>
        </is>
      </c>
      <c r="AP120" s="32" t="inlineStr"/>
      <c r="AQ120" s="32" t="inlineStr"/>
      <c r="AR120" s="32" t="inlineStr"/>
      <c r="AS120" s="32" t="inlineStr"/>
      <c r="AT120" s="32" t="inlineStr">
        <is>
          <t>RJ case number not identified on the document</t>
        </is>
      </c>
      <c r="AU120" s="32" t="inlineStr"/>
      <c r="AV120" s="32" t="inlineStr">
        <is>
          <t>not identified</t>
        </is>
      </c>
      <c r="AW120" s="32" t="inlineStr"/>
      <c r="AX120" s="32" t="inlineStr">
        <is>
          <t>RIO DE JANEIRO</t>
        </is>
      </c>
      <c r="AY120" s="32" t="inlineStr">
        <is>
          <t>RJ</t>
        </is>
      </c>
      <c r="AZ120" s="32" t="inlineStr">
        <is>
          <t>Comércio atacadista de álcool carburante, biodiesel, gasolina e demais derivados de petróleo, exceto lubrificantes, não realizado por transportador re</t>
        </is>
      </c>
      <c r="BA120" s="32" t="inlineStr">
        <is>
          <t>não ME/EPP</t>
        </is>
      </c>
      <c r="BB120" s="33" t="n">
        <v>6859670000</v>
      </c>
      <c r="BC120" s="32" t="inlineStr">
        <is>
          <t>LARGE CORP</t>
        </is>
      </c>
      <c r="BD120" s="32" t="inlineStr">
        <is>
          <t>33453598</t>
        </is>
      </c>
      <c r="BE120" s="32" t="n">
        <v>1</v>
      </c>
      <c r="BF120" s="32" t="inlineStr">
        <is>
          <t>case no. corrected by reader</t>
        </is>
      </c>
    </row>
    <row r="121">
      <c r="A121" s="17" t="inlineStr">
        <is>
          <t>BRADESCO SAUDE S/A</t>
        </is>
      </c>
      <c r="B121" s="18" t="n">
        <v>1213228.4</v>
      </c>
      <c r="C121" s="19" t="inlineStr">
        <is>
          <t>TOP TEXTIL EMBALAGENS LTDA</t>
        </is>
      </c>
      <c r="D121" s="20" t="inlineStr">
        <is>
          <t>NEW</t>
        </is>
      </c>
      <c r="E121" s="21" t="inlineStr"/>
      <c r="F121" s="20" t="inlineStr"/>
      <c r="G121" s="21" t="inlineStr"/>
      <c r="H121" s="20" t="inlineStr"/>
      <c r="I121" s="22" t="inlineStr">
        <is>
          <t>Mariana Sbano</t>
        </is>
      </c>
      <c r="J121" s="22" t="inlineStr">
        <is>
          <t>Legal Coordinator</t>
        </is>
      </c>
      <c r="K121" s="22" t="inlineStr">
        <is>
          <t>(21) 2503-1111</t>
        </is>
      </c>
      <c r="L121" s="22" t="inlineStr"/>
      <c r="M121" s="22" t="inlineStr"/>
      <c r="N121" s="22" t="inlineStr"/>
      <c r="O121" s="22" t="inlineStr"/>
      <c r="P121" s="22" t="inlineStr">
        <is>
          <t>Carla Cordeiro</t>
        </is>
      </c>
      <c r="Q121" s="22" t="inlineStr">
        <is>
          <t>Suporte Jurídico</t>
        </is>
      </c>
      <c r="R121" s="22" t="inlineStr"/>
      <c r="S121" s="22" t="inlineStr">
        <is>
          <t>carla.cordeiro@bradescosaude.com.br</t>
        </is>
      </c>
      <c r="T121" s="22" t="inlineStr">
        <is>
          <t>DM: DM; no work email in Apollo for DM; BACKUP: backup; backup email is pattern-guessed</t>
        </is>
      </c>
      <c r="U121" s="24" t="n">
        <v>1213228.4</v>
      </c>
      <c r="V121" s="25" t="inlineStr">
        <is>
          <t>B</t>
        </is>
      </c>
      <c r="W121" s="26" t="inlineStr"/>
      <c r="X121" s="27" t="inlineStr"/>
      <c r="Y121" s="27" t="inlineStr"/>
      <c r="Z121" s="26">
        <f>IF(W121&lt;&gt;"",W121,IFERROR(VLOOKUP(V121,Assumptions!$A$8:$F$12,2,FALSE),0))</f>
        <v/>
      </c>
      <c r="AA121" s="28">
        <f>IF(V121="A",MAX(1,IF(X121&lt;&gt;"",X121,IFERROR(VLOOKUP(V121,Assumptions!$A$8:$F$12,3,FALSE),3))+IF(Y121&lt;&gt;"",Y121,IFERROR(VLOOKUP(V121,Assumptions!$A$8:$F$12,4,FALSE),8))/2-MAX(0,IF(AS121="",0,YEAR(TODAY())-AS121)-IFERROR(VLOOKUP(V121,Assumptions!$A$8:$F$12,5,FALSE),1.5))),IFERROR(VLOOKUP(V121,Assumptions!$A$8:$F$12,5,FALSE),2.5)+IF(X121&lt;&gt;"",X121,IFERROR(VLOOKUP(V121,Assumptions!$A$8:$F$12,3,FALSE),3))+IF(Y121&lt;&gt;"",Y121,IFERROR(VLOOKUP(V121,Assumptions!$A$8:$F$12,4,FALSE),8))/2)</f>
        <v/>
      </c>
      <c r="AB121" s="24">
        <f>U121*Z121/(1+Assumptions!$B$3)^AA121</f>
        <v/>
      </c>
      <c r="AC121" s="27">
        <f>IF(U121=0,"",ROUND(AB121/U121*100,1))</f>
        <v/>
      </c>
      <c r="AD121" s="29">
        <f>AB121*Assumptions!$B$4</f>
        <v/>
      </c>
      <c r="AE121" s="27">
        <f>IF(U121=0,"",ROUND(AD121/U121*100,1))</f>
        <v/>
      </c>
      <c r="AF121" s="29">
        <f>AB121-AD121</f>
        <v/>
      </c>
      <c r="AG121" s="27">
        <f>IF(U121=0,"",ROUND((AB121-AD121)/U121*100,1))</f>
        <v/>
      </c>
      <c r="AH121" s="34" t="inlineStr">
        <is>
          <t>NO TOTALS — list prints none; check page</t>
        </is>
      </c>
      <c r="AI121" s="31" t="inlineStr">
        <is>
          <t>https://cataliseaj.com.br/sgc/download.php?file=files/processo_documento/processo_documento15092204102024_1_.pdf&amp;nome=02. RELAÇÃO DE CREDORES</t>
        </is>
      </c>
      <c r="AJ121" s="30" t="inlineStr">
        <is>
          <t>p2 r12</t>
        </is>
      </c>
      <c r="AK121" s="30" t="inlineStr">
        <is>
          <t>p2: R$ 1.213.228,40</t>
        </is>
      </c>
      <c r="AL121" s="30" t="inlineStr">
        <is>
          <t>Debtor list (art. 51)</t>
        </is>
      </c>
      <c r="AM121" s="30" t="inlineStr"/>
      <c r="AN121" s="30" t="inlineStr">
        <is>
          <t>NONE FOUND</t>
        </is>
      </c>
      <c r="AO121" s="32" t="inlineStr">
        <is>
          <t>5011460-87.2023.8.24.0020</t>
        </is>
      </c>
      <c r="AP121" s="32" t="inlineStr">
        <is>
          <t>TJSC</t>
        </is>
      </c>
      <c r="AQ121" s="32" t="inlineStr">
        <is>
          <t>Recuperação judicial</t>
        </is>
      </c>
      <c r="AR121" s="32" t="inlineStr">
        <is>
          <t>DataJud: no closure/falência movement</t>
        </is>
      </c>
      <c r="AS121" s="32" t="n">
        <v>2023</v>
      </c>
      <c r="AT121" s="32" t="inlineStr">
        <is>
          <t>live case, no plan document yet; case no. from the portal record, not printed on the list</t>
        </is>
      </c>
      <c r="AU121" s="32" t="inlineStr">
        <is>
          <t>26.588.741/0001-29</t>
        </is>
      </c>
      <c r="AV121" s="32" t="inlineStr">
        <is>
          <t>printed on the list (read twice)</t>
        </is>
      </c>
      <c r="AW121" s="32" t="inlineStr"/>
      <c r="AX121" s="32" t="inlineStr">
        <is>
          <t>RIO DE JANEIRO</t>
        </is>
      </c>
      <c r="AY121" s="32" t="inlineStr">
        <is>
          <t>RJ</t>
        </is>
      </c>
      <c r="AZ121" s="32" t="inlineStr">
        <is>
          <t>Sociedade seguradora de seguros saúde</t>
        </is>
      </c>
      <c r="BA121" s="32" t="inlineStr">
        <is>
          <t>não ME/EPP</t>
        </is>
      </c>
      <c r="BB121" s="33" t="n">
        <v>4400199000</v>
      </c>
      <c r="BC121" s="32" t="inlineStr">
        <is>
          <t>LARGE CORP</t>
        </is>
      </c>
      <c r="BD121" s="32" t="inlineStr">
        <is>
          <t>92693118</t>
        </is>
      </c>
      <c r="BE121" s="32" t="n">
        <v>1</v>
      </c>
      <c r="BF121" s="32" t="inlineStr">
        <is>
          <t>list prints no totals</t>
        </is>
      </c>
    </row>
    <row r="122">
      <c r="A122" s="17" t="inlineStr">
        <is>
          <t>VALVITALIA SPA</t>
        </is>
      </c>
      <c r="B122" s="18" t="n">
        <v>1203895.06</v>
      </c>
      <c r="C122" s="19" t="inlineStr">
        <is>
          <t>GRUPO EGESA (Egesa Engenharia S.A. + 9 group companies; see group members)</t>
        </is>
      </c>
      <c r="D122" s="20" t="inlineStr">
        <is>
          <t>NEW</t>
        </is>
      </c>
      <c r="E122" s="21" t="inlineStr"/>
      <c r="F122" s="20" t="inlineStr"/>
      <c r="G122" s="21" t="inlineStr"/>
      <c r="H122" s="20" t="inlineStr"/>
      <c r="I122" s="22" t="inlineStr"/>
      <c r="J122" s="22" t="inlineStr"/>
      <c r="K122" s="22" t="inlineStr"/>
      <c r="L122" s="22" t="inlineStr"/>
      <c r="M122" s="22" t="inlineStr"/>
      <c r="N122" s="22" t="inlineStr"/>
      <c r="O122" s="22" t="inlineStr"/>
      <c r="P122" s="22" t="inlineStr"/>
      <c r="Q122" s="22" t="inlineStr"/>
      <c r="R122" s="22" t="inlineStr"/>
      <c r="S122" s="22" t="inlineStr"/>
      <c r="T122" s="22" t="inlineStr">
        <is>
          <t>no named contact found; NO ROUTE IN: no phone or email on file</t>
        </is>
      </c>
      <c r="U122" s="24" t="n">
        <v>1203895.06</v>
      </c>
      <c r="V122" s="25" t="inlineStr">
        <is>
          <t>B</t>
        </is>
      </c>
      <c r="W122" s="26" t="inlineStr"/>
      <c r="X122" s="27" t="inlineStr"/>
      <c r="Y122" s="27" t="inlineStr"/>
      <c r="Z122" s="26">
        <f>IF(W122&lt;&gt;"",W122,IFERROR(VLOOKUP(V122,Assumptions!$A$8:$F$12,2,FALSE),0))</f>
        <v/>
      </c>
      <c r="AA122" s="28">
        <f>IF(V122="A",MAX(1,IF(X122&lt;&gt;"",X122,IFERROR(VLOOKUP(V122,Assumptions!$A$8:$F$12,3,FALSE),3))+IF(Y122&lt;&gt;"",Y122,IFERROR(VLOOKUP(V122,Assumptions!$A$8:$F$12,4,FALSE),8))/2-MAX(0,IF(AS122="",0,YEAR(TODAY())-AS122)-IFERROR(VLOOKUP(V122,Assumptions!$A$8:$F$12,5,FALSE),1.5))),IFERROR(VLOOKUP(V122,Assumptions!$A$8:$F$12,5,FALSE),2.5)+IF(X122&lt;&gt;"",X122,IFERROR(VLOOKUP(V122,Assumptions!$A$8:$F$12,3,FALSE),3))+IF(Y122&lt;&gt;"",Y122,IFERROR(VLOOKUP(V122,Assumptions!$A$8:$F$12,4,FALSE),8))/2)</f>
        <v/>
      </c>
      <c r="AB122" s="24">
        <f>U122*Z122/(1+Assumptions!$B$3)^AA122</f>
        <v/>
      </c>
      <c r="AC122" s="27">
        <f>IF(U122=0,"",ROUND(AB122/U122*100,1))</f>
        <v/>
      </c>
      <c r="AD122" s="29">
        <f>AB122*Assumptions!$B$4</f>
        <v/>
      </c>
      <c r="AE122" s="27">
        <f>IF(U122=0,"",ROUND(AD122/U122*100,1))</f>
        <v/>
      </c>
      <c r="AF122" s="29">
        <f>AB122-AD122</f>
        <v/>
      </c>
      <c r="AG122" s="27">
        <f>IF(U122=0,"",ROUND((AB122-AD122)/U122*100,1))</f>
        <v/>
      </c>
      <c r="AH122" s="30" t="inlineStr">
        <is>
          <t>OK — totals reconciled</t>
        </is>
      </c>
      <c r="AI122" s="31" t="inlineStr">
        <is>
          <t>https://scalzilliaj.com.br/sgc/download.php?file=files/processo_documento/processo_documento09514021082025_1_.pdf&amp;nome=04 - Relação de credores das Recuperandas</t>
        </is>
      </c>
      <c r="AJ122" s="30" t="inlineStr">
        <is>
          <t>p76 r1; p76 r2; p76 r3; p76 r4</t>
        </is>
      </c>
      <c r="AK122" s="30" t="inlineStr">
        <is>
          <t>p76: R$ 647.429,36; p76: R$ 494.340,20; p76: R$ 35.000,37; p76: R$ 27.125,13</t>
        </is>
      </c>
      <c r="AL122" s="30" t="inlineStr">
        <is>
          <t>Debtor list (art. 51)</t>
        </is>
      </c>
      <c r="AM122" s="30" t="inlineStr"/>
      <c r="AN122" s="30" t="inlineStr">
        <is>
          <t>NONE FOUND</t>
        </is>
      </c>
      <c r="AO122" s="32" t="inlineStr">
        <is>
          <t>5088952-81.2025.8.13.0024</t>
        </is>
      </c>
      <c r="AP122" s="32" t="inlineStr">
        <is>
          <t>TJMG</t>
        </is>
      </c>
      <c r="AQ122" s="32" t="inlineStr"/>
      <c r="AR122" s="32" t="inlineStr">
        <is>
          <t>DataJud: no closure/falência movement</t>
        </is>
      </c>
      <c r="AS122" s="32" t="n">
        <v>2025</v>
      </c>
      <c r="AT122" s="32" t="inlineStr">
        <is>
          <t>live case, no plan document yet; case no. from the portal record, not printed on the list</t>
        </is>
      </c>
      <c r="AU122" s="32" t="inlineStr"/>
      <c r="AV122" s="32" t="inlineStr">
        <is>
          <t>portal page title / URL — not printed on the list</t>
        </is>
      </c>
      <c r="AW122" s="32" t="inlineStr"/>
      <c r="AX122" s="32" t="inlineStr">
        <is>
          <t>EXTERIOR</t>
        </is>
      </c>
      <c r="AY122" s="32" t="inlineStr">
        <is>
          <t>EX</t>
        </is>
      </c>
      <c r="AZ122" s="32" t="inlineStr">
        <is>
          <t>Holdings de instituições não-financeiras</t>
        </is>
      </c>
      <c r="BA122" s="32" t="inlineStr">
        <is>
          <t>não ME/EPP</t>
        </is>
      </c>
      <c r="BB122" s="33" t="inlineStr"/>
      <c r="BC122" s="32" t="inlineStr">
        <is>
          <t>UNKNOWN</t>
        </is>
      </c>
      <c r="BD122" s="32" t="inlineStr">
        <is>
          <t>12692416</t>
        </is>
      </c>
      <c r="BE122" s="32" t="n">
        <v>4</v>
      </c>
      <c r="BF122" s="32" t="inlineStr">
        <is>
          <t>case no. corrected by reader case no. from portal record no route in</t>
        </is>
      </c>
    </row>
    <row r="123">
      <c r="A123" s="17" t="inlineStr">
        <is>
          <t>EMC TECNOLOGIA LTDA</t>
        </is>
      </c>
      <c r="B123" s="18" t="n">
        <v>1200491.42</v>
      </c>
      <c r="C123" s="19" t="inlineStr">
        <is>
          <t>GRUPO EGESA (Egesa Engenharia S.A. + 9 group companies; see group members)</t>
        </is>
      </c>
      <c r="D123" s="20" t="inlineStr">
        <is>
          <t>NEW</t>
        </is>
      </c>
      <c r="E123" s="21" t="inlineStr"/>
      <c r="F123" s="20" t="inlineStr"/>
      <c r="G123" s="21" t="inlineStr"/>
      <c r="H123" s="20" t="inlineStr"/>
      <c r="I123" s="22" t="inlineStr">
        <is>
          <t>Denise Maia</t>
        </is>
      </c>
      <c r="J123" s="22" t="inlineStr">
        <is>
          <t>Diretora Administrativo Financeira</t>
        </is>
      </c>
      <c r="K123" s="22" t="inlineStr">
        <is>
          <t>(31) 2121-2121</t>
        </is>
      </c>
      <c r="L123" s="22" t="inlineStr">
        <is>
          <t>(31) 2121-2105</t>
        </is>
      </c>
      <c r="M123" s="22" t="inlineStr"/>
      <c r="N123" s="22" t="inlineStr">
        <is>
          <t>denise@emc.com.br</t>
        </is>
      </c>
      <c r="O123" s="22" t="inlineStr">
        <is>
          <t>verified</t>
        </is>
      </c>
      <c r="P123" s="22" t="inlineStr">
        <is>
          <t>Eduardo Carvalho</t>
        </is>
      </c>
      <c r="Q123" s="22" t="inlineStr">
        <is>
          <t>Diretor Geral</t>
        </is>
      </c>
      <c r="R123" s="22" t="inlineStr"/>
      <c r="S123" s="22" t="inlineStr">
        <is>
          <t>eduardo@emc.com.br</t>
        </is>
      </c>
      <c r="T123" s="22" t="inlineStr">
        <is>
          <t>DM: has_email, phone Yes; BACKUP: backup, has_email, phone Yes</t>
        </is>
      </c>
      <c r="U123" s="24" t="n">
        <v>1200491.42</v>
      </c>
      <c r="V123" s="25" t="inlineStr">
        <is>
          <t>B</t>
        </is>
      </c>
      <c r="W123" s="26" t="inlineStr"/>
      <c r="X123" s="27" t="inlineStr"/>
      <c r="Y123" s="27" t="inlineStr"/>
      <c r="Z123" s="26">
        <f>IF(W123&lt;&gt;"",W123,IFERROR(VLOOKUP(V123,Assumptions!$A$8:$F$12,2,FALSE),0))</f>
        <v/>
      </c>
      <c r="AA123" s="28">
        <f>IF(V123="A",MAX(1,IF(X123&lt;&gt;"",X123,IFERROR(VLOOKUP(V123,Assumptions!$A$8:$F$12,3,FALSE),3))+IF(Y123&lt;&gt;"",Y123,IFERROR(VLOOKUP(V123,Assumptions!$A$8:$F$12,4,FALSE),8))/2-MAX(0,IF(AS123="",0,YEAR(TODAY())-AS123)-IFERROR(VLOOKUP(V123,Assumptions!$A$8:$F$12,5,FALSE),1.5))),IFERROR(VLOOKUP(V123,Assumptions!$A$8:$F$12,5,FALSE),2.5)+IF(X123&lt;&gt;"",X123,IFERROR(VLOOKUP(V123,Assumptions!$A$8:$F$12,3,FALSE),3))+IF(Y123&lt;&gt;"",Y123,IFERROR(VLOOKUP(V123,Assumptions!$A$8:$F$12,4,FALSE),8))/2)</f>
        <v/>
      </c>
      <c r="AB123" s="24">
        <f>U123*Z123/(1+Assumptions!$B$3)^AA123</f>
        <v/>
      </c>
      <c r="AC123" s="27">
        <f>IF(U123=0,"",ROUND(AB123/U123*100,1))</f>
        <v/>
      </c>
      <c r="AD123" s="29">
        <f>AB123*Assumptions!$B$4</f>
        <v/>
      </c>
      <c r="AE123" s="27">
        <f>IF(U123=0,"",ROUND(AD123/U123*100,1))</f>
        <v/>
      </c>
      <c r="AF123" s="29">
        <f>AB123-AD123</f>
        <v/>
      </c>
      <c r="AG123" s="27">
        <f>IF(U123=0,"",ROUND((AB123-AD123)/U123*100,1))</f>
        <v/>
      </c>
      <c r="AH123" s="30" t="inlineStr">
        <is>
          <t>OK — totals reconciled</t>
        </is>
      </c>
      <c r="AI123" s="31" t="inlineStr">
        <is>
          <t>https://scalzilliaj.com.br/sgc/download.php?file=files/processo_documento/processo_documento09514021082025_1_.pdf&amp;nome=04 - Relação de credores das Recuperandas</t>
        </is>
      </c>
      <c r="AJ123" s="30" t="inlineStr">
        <is>
          <t>p65 r17; p66 r1; p66 r2; p66 r3; p66 r4</t>
        </is>
      </c>
      <c r="AK123" s="30" t="inlineStr">
        <is>
          <t>p65: R$ 30.422,33; p66: R$ 965.893,27; p66: R$ 105.447,29; p66: R$ 80.265,53; p66: R$ 18.463,00</t>
        </is>
      </c>
      <c r="AL123" s="30" t="inlineStr">
        <is>
          <t>Debtor list (art. 51)</t>
        </is>
      </c>
      <c r="AM123" s="30" t="inlineStr"/>
      <c r="AN123" s="30" t="inlineStr">
        <is>
          <t>NONE FOUND</t>
        </is>
      </c>
      <c r="AO123" s="32" t="inlineStr">
        <is>
          <t>5088952-81.2025.8.13.0024</t>
        </is>
      </c>
      <c r="AP123" s="32" t="inlineStr">
        <is>
          <t>TJMG</t>
        </is>
      </c>
      <c r="AQ123" s="32" t="inlineStr"/>
      <c r="AR123" s="32" t="inlineStr">
        <is>
          <t>DataJud: no closure/falência movement</t>
        </is>
      </c>
      <c r="AS123" s="32" t="n">
        <v>2025</v>
      </c>
      <c r="AT123" s="32" t="inlineStr">
        <is>
          <t>live case, no plan document yet; case no. from the portal record, not printed on the list</t>
        </is>
      </c>
      <c r="AU123" s="32" t="inlineStr"/>
      <c r="AV123" s="32" t="inlineStr">
        <is>
          <t>portal page title / URL — not printed on the list</t>
        </is>
      </c>
      <c r="AW123" s="32" t="inlineStr"/>
      <c r="AX123" s="32" t="inlineStr">
        <is>
          <t>BELO HORIZONTE</t>
        </is>
      </c>
      <c r="AY123" s="32" t="inlineStr">
        <is>
          <t>MG</t>
        </is>
      </c>
      <c r="AZ123" s="32" t="inlineStr">
        <is>
          <t>Aluguel de máquinas e equipamentos para escritórios</t>
        </is>
      </c>
      <c r="BA123" s="32" t="inlineStr">
        <is>
          <t>não ME/EPP</t>
        </is>
      </c>
      <c r="BB123" s="33" t="n">
        <v>100000000</v>
      </c>
      <c r="BC123" s="32" t="inlineStr">
        <is>
          <t>MID-MARKET</t>
        </is>
      </c>
      <c r="BD123" s="32" t="inlineStr">
        <is>
          <t>22261093</t>
        </is>
      </c>
      <c r="BE123" s="32" t="n">
        <v>5</v>
      </c>
      <c r="BF123" s="32" t="inlineStr">
        <is>
          <t>case no. corrected by reader case no. from portal record</t>
        </is>
      </c>
    </row>
    <row r="124">
      <c r="A124" s="17" t="inlineStr">
        <is>
          <t>MTM BURGER COMERCIO DE ALIMENTOS LTDA</t>
        </is>
      </c>
      <c r="B124" s="18" t="n">
        <v>1200000</v>
      </c>
      <c r="C124" s="19" t="inlineStr">
        <is>
          <t>Grupo Tendas</t>
        </is>
      </c>
      <c r="D124" s="20" t="inlineStr">
        <is>
          <t>NEW</t>
        </is>
      </c>
      <c r="E124" s="21" t="inlineStr"/>
      <c r="F124" s="20" t="inlineStr"/>
      <c r="G124" s="21" t="inlineStr"/>
      <c r="H124" s="20" t="inlineStr"/>
      <c r="I124" s="22" t="inlineStr">
        <is>
          <t>MATHEUS LOBO DUARTE</t>
        </is>
      </c>
      <c r="J124" s="23" t="inlineStr">
        <is>
          <t>Sócio-Administrador (RFB partner)</t>
        </is>
      </c>
      <c r="K124" s="22" t="inlineStr">
        <is>
          <t>(62) 9334-8515</t>
        </is>
      </c>
      <c r="L124" s="22" t="inlineStr">
        <is>
          <t>(62) 9356-1942</t>
        </is>
      </c>
      <c r="M124" s="22" t="inlineStr"/>
      <c r="N124" s="22" t="inlineStr"/>
      <c r="O124" s="22" t="inlineStr"/>
      <c r="P124" s="22" t="inlineStr"/>
      <c r="Q124" s="22" t="inlineStr"/>
      <c r="R124" s="22" t="inlineStr"/>
      <c r="S124" s="22" t="inlineStr"/>
      <c r="T124" s="22" t="inlineStr">
        <is>
          <t>DM = registered partner (RFB QSA); no Apollo match</t>
        </is>
      </c>
      <c r="U124" s="24" t="n">
        <v>1200000</v>
      </c>
      <c r="V124" s="25" t="inlineStr">
        <is>
          <t>B</t>
        </is>
      </c>
      <c r="W124" s="26" t="inlineStr"/>
      <c r="X124" s="27" t="inlineStr"/>
      <c r="Y124" s="27" t="inlineStr"/>
      <c r="Z124" s="26">
        <f>IF(W124&lt;&gt;"",W124,IFERROR(VLOOKUP(V124,Assumptions!$A$8:$F$12,2,FALSE),0))</f>
        <v/>
      </c>
      <c r="AA124" s="28">
        <f>IF(V124="A",MAX(1,IF(X124&lt;&gt;"",X124,IFERROR(VLOOKUP(V124,Assumptions!$A$8:$F$12,3,FALSE),3))+IF(Y124&lt;&gt;"",Y124,IFERROR(VLOOKUP(V124,Assumptions!$A$8:$F$12,4,FALSE),8))/2-MAX(0,IF(AS124="",0,YEAR(TODAY())-AS124)-IFERROR(VLOOKUP(V124,Assumptions!$A$8:$F$12,5,FALSE),1.5))),IFERROR(VLOOKUP(V124,Assumptions!$A$8:$F$12,5,FALSE),2.5)+IF(X124&lt;&gt;"",X124,IFERROR(VLOOKUP(V124,Assumptions!$A$8:$F$12,3,FALSE),3))+IF(Y124&lt;&gt;"",Y124,IFERROR(VLOOKUP(V124,Assumptions!$A$8:$F$12,4,FALSE),8))/2)</f>
        <v/>
      </c>
      <c r="AB124" s="24">
        <f>U124*Z124/(1+Assumptions!$B$3)^AA124</f>
        <v/>
      </c>
      <c r="AC124" s="27">
        <f>IF(U124=0,"",ROUND(AB124/U124*100,1))</f>
        <v/>
      </c>
      <c r="AD124" s="29">
        <f>AB124*Assumptions!$B$4</f>
        <v/>
      </c>
      <c r="AE124" s="27">
        <f>IF(U124=0,"",ROUND(AD124/U124*100,1))</f>
        <v/>
      </c>
      <c r="AF124" s="29">
        <f>AB124-AD124</f>
        <v/>
      </c>
      <c r="AG124" s="27">
        <f>IF(U124=0,"",ROUND((AB124-AD124)/U124*100,1))</f>
        <v/>
      </c>
      <c r="AH124" s="34" t="inlineStr">
        <is>
          <t>NO TOTALS — list prints none; check page</t>
        </is>
      </c>
      <c r="AI124" s="31" t="inlineStr">
        <is>
          <t>https://stenius.com.br/wp-content/uploads/2026/08/1°-EDITAL-GRUPO-TENDAS.pdf</t>
        </is>
      </c>
      <c r="AJ124" s="30" t="inlineStr">
        <is>
          <t>p5 r25</t>
        </is>
      </c>
      <c r="AK124" s="30" t="inlineStr">
        <is>
          <t>p5: R$ 1.200.000,00</t>
        </is>
      </c>
      <c r="AL124" s="30" t="inlineStr">
        <is>
          <t>AJ list (art. 7 §2)</t>
        </is>
      </c>
      <c r="AM124" s="30" t="inlineStr">
        <is>
          <t>2026-08-13</t>
        </is>
      </c>
      <c r="AN124" s="30" t="inlineStr">
        <is>
          <t>NONE FOUND</t>
        </is>
      </c>
      <c r="AO124" s="32" t="inlineStr">
        <is>
          <t>5401053-70.2026.8.09.0051</t>
        </is>
      </c>
      <c r="AP124" s="32" t="inlineStr">
        <is>
          <t>TJGO</t>
        </is>
      </c>
      <c r="AQ124" s="32" t="inlineStr">
        <is>
          <t>Recuperação judicial</t>
        </is>
      </c>
      <c r="AR124" s="32" t="inlineStr">
        <is>
          <t>DataJud: no closure/falência movement</t>
        </is>
      </c>
      <c r="AS124" s="32" t="n">
        <v>2026</v>
      </c>
      <c r="AT124" s="32" t="inlineStr">
        <is>
          <t>live case, no plan document yet</t>
        </is>
      </c>
      <c r="AU124" s="32" t="inlineStr">
        <is>
          <t>05.047.886/0001-42</t>
        </is>
      </c>
      <c r="AV124" s="32" t="inlineStr">
        <is>
          <t>printed on the list (read twice)</t>
        </is>
      </c>
      <c r="AW124" s="32" t="inlineStr"/>
      <c r="AX124" s="32" t="inlineStr">
        <is>
          <t>GOIANIA</t>
        </is>
      </c>
      <c r="AY124" s="32" t="inlineStr">
        <is>
          <t>GO</t>
        </is>
      </c>
      <c r="AZ124" s="32" t="inlineStr">
        <is>
          <t>Restaurantes e similares</t>
        </is>
      </c>
      <c r="BA124" s="32" t="inlineStr">
        <is>
          <t>não ME/EPP</t>
        </is>
      </c>
      <c r="BB124" s="33" t="n">
        <v>300000</v>
      </c>
      <c r="BC124" s="32" t="inlineStr">
        <is>
          <t>MID-MARKET</t>
        </is>
      </c>
      <c r="BD124" s="32" t="inlineStr">
        <is>
          <t>20120709</t>
        </is>
      </c>
      <c r="BE124" s="32" t="n">
        <v>1</v>
      </c>
      <c r="BF124" s="32" t="inlineStr">
        <is>
          <t>list prints no totals</t>
        </is>
      </c>
    </row>
    <row r="125">
      <c r="A125" s="17" t="inlineStr">
        <is>
          <t>NORTEAGRI COMERCIO E REPRESENTACOES DE INSUMOS AGROPECUARIOS LTDA</t>
        </is>
      </c>
      <c r="B125" s="18" t="n">
        <v>1155000</v>
      </c>
      <c r="C125" s="19" t="inlineStr">
        <is>
          <t>Grupo Tendas</t>
        </is>
      </c>
      <c r="D125" s="20" t="inlineStr">
        <is>
          <t>NEW</t>
        </is>
      </c>
      <c r="E125" s="21" t="inlineStr"/>
      <c r="F125" s="20" t="inlineStr"/>
      <c r="G125" s="21" t="inlineStr"/>
      <c r="H125" s="20" t="inlineStr"/>
      <c r="I125" s="22" t="inlineStr">
        <is>
          <t>Dionatan Follmann</t>
        </is>
      </c>
      <c r="J125" s="22" t="inlineStr">
        <is>
          <t>Manager / Subsidiary Manager</t>
        </is>
      </c>
      <c r="K125" s="22" t="inlineStr">
        <is>
          <t>(94) 9192-4705</t>
        </is>
      </c>
      <c r="L125" s="22" t="inlineStr"/>
      <c r="M125" s="22" t="inlineStr"/>
      <c r="N125" s="22" t="inlineStr"/>
      <c r="O125" s="22" t="inlineStr"/>
      <c r="P125" s="22" t="inlineStr">
        <is>
          <t>LUIS EDUARDO PAIVA GARCIA</t>
        </is>
      </c>
      <c r="Q125" s="22" t="inlineStr">
        <is>
          <t>Sócio-Administrador (RFB partner)</t>
        </is>
      </c>
      <c r="R125" s="22" t="inlineStr"/>
      <c r="S125" s="22" t="inlineStr"/>
      <c r="T125" s="22" t="inlineStr">
        <is>
          <t>DM: weak; no work email in Apollo for DM</t>
        </is>
      </c>
      <c r="U125" s="24" t="n">
        <v>1155000</v>
      </c>
      <c r="V125" s="25" t="inlineStr">
        <is>
          <t>B</t>
        </is>
      </c>
      <c r="W125" s="26" t="inlineStr"/>
      <c r="X125" s="27" t="inlineStr"/>
      <c r="Y125" s="27" t="inlineStr"/>
      <c r="Z125" s="26">
        <f>IF(W125&lt;&gt;"",W125,IFERROR(VLOOKUP(V125,Assumptions!$A$8:$F$12,2,FALSE),0))</f>
        <v/>
      </c>
      <c r="AA125" s="28">
        <f>IF(V125="A",MAX(1,IF(X125&lt;&gt;"",X125,IFERROR(VLOOKUP(V125,Assumptions!$A$8:$F$12,3,FALSE),3))+IF(Y125&lt;&gt;"",Y125,IFERROR(VLOOKUP(V125,Assumptions!$A$8:$F$12,4,FALSE),8))/2-MAX(0,IF(AS125="",0,YEAR(TODAY())-AS125)-IFERROR(VLOOKUP(V125,Assumptions!$A$8:$F$12,5,FALSE),1.5))),IFERROR(VLOOKUP(V125,Assumptions!$A$8:$F$12,5,FALSE),2.5)+IF(X125&lt;&gt;"",X125,IFERROR(VLOOKUP(V125,Assumptions!$A$8:$F$12,3,FALSE),3))+IF(Y125&lt;&gt;"",Y125,IFERROR(VLOOKUP(V125,Assumptions!$A$8:$F$12,4,FALSE),8))/2)</f>
        <v/>
      </c>
      <c r="AB125" s="24">
        <f>U125*Z125/(1+Assumptions!$B$3)^AA125</f>
        <v/>
      </c>
      <c r="AC125" s="27">
        <f>IF(U125=0,"",ROUND(AB125/U125*100,1))</f>
        <v/>
      </c>
      <c r="AD125" s="29">
        <f>AB125*Assumptions!$B$4</f>
        <v/>
      </c>
      <c r="AE125" s="27">
        <f>IF(U125=0,"",ROUND(AD125/U125*100,1))</f>
        <v/>
      </c>
      <c r="AF125" s="29">
        <f>AB125-AD125</f>
        <v/>
      </c>
      <c r="AG125" s="27">
        <f>IF(U125=0,"",ROUND((AB125-AD125)/U125*100,1))</f>
        <v/>
      </c>
      <c r="AH125" s="34" t="inlineStr">
        <is>
          <t>NO TOTALS — list prints none; check page</t>
        </is>
      </c>
      <c r="AI125" s="31" t="inlineStr">
        <is>
          <t>https://stenius.com.br/wp-content/uploads/2026/08/1°-EDITAL-GRUPO-TENDAS.pdf</t>
        </is>
      </c>
      <c r="AJ125" s="30" t="inlineStr">
        <is>
          <t>p5 r27</t>
        </is>
      </c>
      <c r="AK125" s="30" t="inlineStr">
        <is>
          <t>p5: R$ 1.155.000,00</t>
        </is>
      </c>
      <c r="AL125" s="30" t="inlineStr">
        <is>
          <t>AJ list (art. 7 §2)</t>
        </is>
      </c>
      <c r="AM125" s="30" t="inlineStr">
        <is>
          <t>2026-08-13</t>
        </is>
      </c>
      <c r="AN125" s="30" t="inlineStr">
        <is>
          <t>NONE FOUND</t>
        </is>
      </c>
      <c r="AO125" s="32" t="inlineStr">
        <is>
          <t>5401053-70.2026.8.09.0051</t>
        </is>
      </c>
      <c r="AP125" s="32" t="inlineStr">
        <is>
          <t>TJGO</t>
        </is>
      </c>
      <c r="AQ125" s="32" t="inlineStr">
        <is>
          <t>Recuperação judicial</t>
        </is>
      </c>
      <c r="AR125" s="32" t="inlineStr">
        <is>
          <t>DataJud: no closure/falência movement</t>
        </is>
      </c>
      <c r="AS125" s="32" t="n">
        <v>2026</v>
      </c>
      <c r="AT125" s="32" t="inlineStr">
        <is>
          <t>live case, no plan document yet</t>
        </is>
      </c>
      <c r="AU125" s="32" t="inlineStr">
        <is>
          <t>05.047.886/0001-42</t>
        </is>
      </c>
      <c r="AV125" s="32" t="inlineStr">
        <is>
          <t>printed on the list (read twice)</t>
        </is>
      </c>
      <c r="AW125" s="32" t="inlineStr"/>
      <c r="AX125" s="32" t="inlineStr">
        <is>
          <t>REDENCAO</t>
        </is>
      </c>
      <c r="AY125" s="32" t="inlineStr">
        <is>
          <t>PA</t>
        </is>
      </c>
      <c r="AZ125" s="32" t="inlineStr">
        <is>
          <t>Comércio atacadista de mercadorias em geral, com predominância de insumos agropecuários</t>
        </is>
      </c>
      <c r="BA125" s="32" t="inlineStr">
        <is>
          <t>não ME/EPP</t>
        </is>
      </c>
      <c r="BB125" s="33" t="n">
        <v>35000000</v>
      </c>
      <c r="BC125" s="32" t="inlineStr">
        <is>
          <t>MID-MARKET</t>
        </is>
      </c>
      <c r="BD125" s="32" t="inlineStr">
        <is>
          <t>20431395</t>
        </is>
      </c>
      <c r="BE125" s="32" t="n">
        <v>1</v>
      </c>
      <c r="BF125" s="32" t="inlineStr">
        <is>
          <t>list prints no totals</t>
        </is>
      </c>
    </row>
    <row r="126">
      <c r="A126" s="17" t="inlineStr">
        <is>
          <t>AGROSUL INDUSTRIA AGRICOLA LTDA EM RECUPERACAO JUDICIAL</t>
        </is>
      </c>
      <c r="B126" s="18" t="n">
        <v>1153122.7</v>
      </c>
      <c r="C126" s="19" t="inlineStr">
        <is>
          <t>Alto Uruguai Indústria e Comércio de Óleos Ltda</t>
        </is>
      </c>
      <c r="D126" s="20" t="inlineStr">
        <is>
          <t>NEW</t>
        </is>
      </c>
      <c r="E126" s="21" t="inlineStr"/>
      <c r="F126" s="20" t="inlineStr"/>
      <c r="G126" s="21" t="inlineStr"/>
      <c r="H126" s="20" t="inlineStr"/>
      <c r="I126" s="22" t="inlineStr">
        <is>
          <t>VOLMIR DIAS</t>
        </is>
      </c>
      <c r="J126" s="23" t="inlineStr">
        <is>
          <t>Administrador (RFB partner)</t>
        </is>
      </c>
      <c r="K126" s="22" t="inlineStr">
        <is>
          <t>(49) 9937-2777</t>
        </is>
      </c>
      <c r="L126" s="22" t="inlineStr"/>
      <c r="M126" s="22" t="inlineStr"/>
      <c r="N126" s="22" t="inlineStr"/>
      <c r="O126" s="22" t="inlineStr"/>
      <c r="P126" s="22" t="inlineStr"/>
      <c r="Q126" s="22" t="inlineStr"/>
      <c r="R126" s="22" t="inlineStr"/>
      <c r="S126" s="22" t="inlineStr"/>
      <c r="T126" s="22" t="inlineStr">
        <is>
          <t>DM = registered partner (RFB QSA); no Apollo match</t>
        </is>
      </c>
      <c r="U126" s="24" t="n">
        <v>1153122.7</v>
      </c>
      <c r="V126" s="25" t="inlineStr">
        <is>
          <t>B</t>
        </is>
      </c>
      <c r="W126" s="26" t="inlineStr"/>
      <c r="X126" s="27" t="inlineStr"/>
      <c r="Y126" s="27" t="inlineStr"/>
      <c r="Z126" s="26">
        <f>IF(W126&lt;&gt;"",W126,IFERROR(VLOOKUP(V126,Assumptions!$A$8:$F$12,2,FALSE),0))</f>
        <v/>
      </c>
      <c r="AA126" s="28">
        <f>IF(V126="A",MAX(1,IF(X126&lt;&gt;"",X126,IFERROR(VLOOKUP(V126,Assumptions!$A$8:$F$12,3,FALSE),3))+IF(Y126&lt;&gt;"",Y126,IFERROR(VLOOKUP(V126,Assumptions!$A$8:$F$12,4,FALSE),8))/2-MAX(0,IF(AS126="",0,YEAR(TODAY())-AS126)-IFERROR(VLOOKUP(V126,Assumptions!$A$8:$F$12,5,FALSE),1.5))),IFERROR(VLOOKUP(V126,Assumptions!$A$8:$F$12,5,FALSE),2.5)+IF(X126&lt;&gt;"",X126,IFERROR(VLOOKUP(V126,Assumptions!$A$8:$F$12,3,FALSE),3))+IF(Y126&lt;&gt;"",Y126,IFERROR(VLOOKUP(V126,Assumptions!$A$8:$F$12,4,FALSE),8))/2)</f>
        <v/>
      </c>
      <c r="AB126" s="24">
        <f>U126*Z126/(1+Assumptions!$B$3)^AA126</f>
        <v/>
      </c>
      <c r="AC126" s="27">
        <f>IF(U126=0,"",ROUND(AB126/U126*100,1))</f>
        <v/>
      </c>
      <c r="AD126" s="29">
        <f>AB126*Assumptions!$B$4</f>
        <v/>
      </c>
      <c r="AE126" s="27">
        <f>IF(U126=0,"",ROUND(AD126/U126*100,1))</f>
        <v/>
      </c>
      <c r="AF126" s="29">
        <f>AB126-AD126</f>
        <v/>
      </c>
      <c r="AG126" s="27">
        <f>IF(U126=0,"",ROUND((AB126-AD126)/U126*100,1))</f>
        <v/>
      </c>
      <c r="AH126" s="30" t="inlineStr">
        <is>
          <t>OK — totals reconciled</t>
        </is>
      </c>
      <c r="AI126" s="31" t="inlineStr">
        <is>
          <t>https://ajruiz.com.br/sites/default/files/public/arquivos-processos/2026-06/alto_uruguai_qgc_junho.2026.pdf</t>
        </is>
      </c>
      <c r="AJ126" s="30" t="inlineStr">
        <is>
          <t>p1 r4</t>
        </is>
      </c>
      <c r="AK126" s="30" t="inlineStr">
        <is>
          <t>p1: R$ 1.153.122,70</t>
        </is>
      </c>
      <c r="AL126" s="30" t="inlineStr">
        <is>
          <t>Unclassified list</t>
        </is>
      </c>
      <c r="AM126" s="30" t="inlineStr"/>
      <c r="AN126" s="30" t="inlineStr">
        <is>
          <t>NONE FOUND</t>
        </is>
      </c>
      <c r="AO126" s="32" t="inlineStr">
        <is>
          <t>5012743-51.2023.8.24.0019</t>
        </is>
      </c>
      <c r="AP126" s="32" t="inlineStr">
        <is>
          <t>TJSC</t>
        </is>
      </c>
      <c r="AQ126" s="32" t="inlineStr">
        <is>
          <t>Recuperação judicial</t>
        </is>
      </c>
      <c r="AR126" s="32" t="inlineStr">
        <is>
          <t>DataJud: no closure/falência movement</t>
        </is>
      </c>
      <c r="AS126" s="32" t="n">
        <v>2023</v>
      </c>
      <c r="AT126" s="32" t="inlineStr">
        <is>
          <t>live case, no plan document yet</t>
        </is>
      </c>
      <c r="AU126" s="32" t="inlineStr"/>
      <c r="AV126" s="32" t="inlineStr">
        <is>
          <t>printed on the list (read twice)</t>
        </is>
      </c>
      <c r="AW126" s="32" t="inlineStr"/>
      <c r="AX126" s="32" t="inlineStr">
        <is>
          <t>GUATAMBU</t>
        </is>
      </c>
      <c r="AY126" s="32" t="inlineStr">
        <is>
          <t>SC</t>
        </is>
      </c>
      <c r="AZ126" s="32" t="inlineStr">
        <is>
          <t>Comércio atacadista de alimentos para animais</t>
        </is>
      </c>
      <c r="BA126" s="32" t="inlineStr">
        <is>
          <t>não ME/EPP</t>
        </is>
      </c>
      <c r="BB126" s="33" t="n">
        <v>250000</v>
      </c>
      <c r="BC126" s="32" t="inlineStr">
        <is>
          <t>MID-MARKET</t>
        </is>
      </c>
      <c r="BD126" s="32" t="inlineStr">
        <is>
          <t>19108689</t>
        </is>
      </c>
      <c r="BE126" s="32" t="n">
        <v>1</v>
      </c>
      <c r="BF126" s="32" t="inlineStr"/>
    </row>
    <row r="127">
      <c r="A127" s="17" t="inlineStr">
        <is>
          <t>PAMPARAFIA-INDUSTRIA E COMERCIO DE EMBALAGENS LTDA</t>
        </is>
      </c>
      <c r="B127" s="18" t="n">
        <v>1139759.72</v>
      </c>
      <c r="C127" s="19" t="inlineStr">
        <is>
          <t>TOP TEXTIL EMBALAGENS LTDA</t>
        </is>
      </c>
      <c r="D127" s="20" t="inlineStr">
        <is>
          <t>NEW</t>
        </is>
      </c>
      <c r="E127" s="21" t="inlineStr"/>
      <c r="F127" s="20" t="inlineStr"/>
      <c r="G127" s="21" t="inlineStr"/>
      <c r="H127" s="20" t="inlineStr"/>
      <c r="I127" s="22" t="inlineStr">
        <is>
          <t>SERGIO AIME</t>
        </is>
      </c>
      <c r="J127" s="23" t="inlineStr">
        <is>
          <t>Sócio-Administrador (RFB partner)</t>
        </is>
      </c>
      <c r="K127" s="22" t="inlineStr">
        <is>
          <t>(51) 3249-1877</t>
        </is>
      </c>
      <c r="L127" s="22" t="inlineStr"/>
      <c r="M127" s="22" t="inlineStr"/>
      <c r="N127" s="22" t="inlineStr"/>
      <c r="O127" s="22" t="inlineStr"/>
      <c r="P127" s="22" t="inlineStr"/>
      <c r="Q127" s="22" t="inlineStr"/>
      <c r="R127" s="22" t="inlineStr"/>
      <c r="S127" s="22" t="inlineStr"/>
      <c r="T127" s="22" t="inlineStr">
        <is>
          <t>DM = registered partner (RFB QSA); no Apollo match</t>
        </is>
      </c>
      <c r="U127" s="24" t="n">
        <v>1139759.72</v>
      </c>
      <c r="V127" s="25" t="inlineStr">
        <is>
          <t>B</t>
        </is>
      </c>
      <c r="W127" s="26" t="inlineStr"/>
      <c r="X127" s="27" t="inlineStr"/>
      <c r="Y127" s="27" t="inlineStr"/>
      <c r="Z127" s="26">
        <f>IF(W127&lt;&gt;"",W127,IFERROR(VLOOKUP(V127,Assumptions!$A$8:$F$12,2,FALSE),0))</f>
        <v/>
      </c>
      <c r="AA127" s="28">
        <f>IF(V127="A",MAX(1,IF(X127&lt;&gt;"",X127,IFERROR(VLOOKUP(V127,Assumptions!$A$8:$F$12,3,FALSE),3))+IF(Y127&lt;&gt;"",Y127,IFERROR(VLOOKUP(V127,Assumptions!$A$8:$F$12,4,FALSE),8))/2-MAX(0,IF(AS127="",0,YEAR(TODAY())-AS127)-IFERROR(VLOOKUP(V127,Assumptions!$A$8:$F$12,5,FALSE),1.5))),IFERROR(VLOOKUP(V127,Assumptions!$A$8:$F$12,5,FALSE),2.5)+IF(X127&lt;&gt;"",X127,IFERROR(VLOOKUP(V127,Assumptions!$A$8:$F$12,3,FALSE),3))+IF(Y127&lt;&gt;"",Y127,IFERROR(VLOOKUP(V127,Assumptions!$A$8:$F$12,4,FALSE),8))/2)</f>
        <v/>
      </c>
      <c r="AB127" s="24">
        <f>U127*Z127/(1+Assumptions!$B$3)^AA127</f>
        <v/>
      </c>
      <c r="AC127" s="27">
        <f>IF(U127=0,"",ROUND(AB127/U127*100,1))</f>
        <v/>
      </c>
      <c r="AD127" s="29">
        <f>AB127*Assumptions!$B$4</f>
        <v/>
      </c>
      <c r="AE127" s="27">
        <f>IF(U127=0,"",ROUND(AD127/U127*100,1))</f>
        <v/>
      </c>
      <c r="AF127" s="29">
        <f>AB127-AD127</f>
        <v/>
      </c>
      <c r="AG127" s="27">
        <f>IF(U127=0,"",ROUND((AB127-AD127)/U127*100,1))</f>
        <v/>
      </c>
      <c r="AH127" s="34" t="inlineStr">
        <is>
          <t>NO TOTALS — list prints none; check page</t>
        </is>
      </c>
      <c r="AI127" s="31" t="inlineStr">
        <is>
          <t>https://cataliseaj.com.br/sgc/download.php?file=files/processo_documento/processo_documento15092204102024_1_.pdf&amp;nome=02. RELAÇÃO DE CREDORES</t>
        </is>
      </c>
      <c r="AJ127" s="30" t="inlineStr">
        <is>
          <t>p3 r1; p3 r2</t>
        </is>
      </c>
      <c r="AK127" s="30" t="inlineStr">
        <is>
          <t>p3: R$ 183.130,09; p3: R$ 956.629,63</t>
        </is>
      </c>
      <c r="AL127" s="30" t="inlineStr">
        <is>
          <t>Debtor list (art. 51)</t>
        </is>
      </c>
      <c r="AM127" s="30" t="inlineStr"/>
      <c r="AN127" s="30" t="inlineStr">
        <is>
          <t>NONE FOUND</t>
        </is>
      </c>
      <c r="AO127" s="32" t="inlineStr">
        <is>
          <t>5011460-87.2023.8.24.0020</t>
        </is>
      </c>
      <c r="AP127" s="32" t="inlineStr">
        <is>
          <t>TJSC</t>
        </is>
      </c>
      <c r="AQ127" s="32" t="inlineStr">
        <is>
          <t>Recuperação judicial</t>
        </is>
      </c>
      <c r="AR127" s="32" t="inlineStr">
        <is>
          <t>DataJud: no closure/falência movement</t>
        </is>
      </c>
      <c r="AS127" s="32" t="n">
        <v>2023</v>
      </c>
      <c r="AT127" s="32" t="inlineStr">
        <is>
          <t>live case, no plan document yet; case no. from the portal record, not printed on the list</t>
        </is>
      </c>
      <c r="AU127" s="32" t="inlineStr">
        <is>
          <t>26.588.741/0001-29</t>
        </is>
      </c>
      <c r="AV127" s="32" t="inlineStr">
        <is>
          <t>printed on the list (read twice)</t>
        </is>
      </c>
      <c r="AW127" s="32" t="inlineStr"/>
      <c r="AX127" s="32" t="inlineStr">
        <is>
          <t>PORTO ALEGRE</t>
        </is>
      </c>
      <c r="AY127" s="32" t="inlineStr">
        <is>
          <t>RS</t>
        </is>
      </c>
      <c r="AZ127" s="32" t="inlineStr">
        <is>
          <t>Tecelagem de fios de fibras artificiais e sintéticas</t>
        </is>
      </c>
      <c r="BA127" s="32" t="inlineStr">
        <is>
          <t>não ME/EPP</t>
        </is>
      </c>
      <c r="BB127" s="33" t="n">
        <v>5000000</v>
      </c>
      <c r="BC127" s="32" t="inlineStr">
        <is>
          <t>MID-MARKET</t>
        </is>
      </c>
      <c r="BD127" s="32" t="inlineStr">
        <is>
          <t>07944839</t>
        </is>
      </c>
      <c r="BE127" s="32" t="n">
        <v>2</v>
      </c>
      <c r="BF127" s="32" t="inlineStr">
        <is>
          <t>list prints no totals</t>
        </is>
      </c>
    </row>
    <row r="128">
      <c r="A128" s="17" t="inlineStr">
        <is>
          <t>AGROQUIMICA BRASINHA LTDA</t>
        </is>
      </c>
      <c r="B128" s="18" t="n">
        <v>1138844</v>
      </c>
      <c r="C128" s="19" t="inlineStr">
        <is>
          <t>Grupo Agromeal</t>
        </is>
      </c>
      <c r="D128" s="20" t="inlineStr">
        <is>
          <t>NEW</t>
        </is>
      </c>
      <c r="E128" s="21" t="inlineStr"/>
      <c r="F128" s="20" t="inlineStr"/>
      <c r="G128" s="21" t="inlineStr"/>
      <c r="H128" s="20" t="inlineStr"/>
      <c r="I128" s="22" t="inlineStr">
        <is>
          <t>MARCIO ALEXANDRO BRASINHA DA SILVA</t>
        </is>
      </c>
      <c r="J128" s="23" t="inlineStr">
        <is>
          <t>Sócio-Administrador (RFB partner)</t>
        </is>
      </c>
      <c r="K128" s="22" t="inlineStr">
        <is>
          <t>(44) 3045-3700</t>
        </is>
      </c>
      <c r="L128" s="22" t="inlineStr"/>
      <c r="M128" s="22" t="inlineStr"/>
      <c r="N128" s="22" t="inlineStr"/>
      <c r="O128" s="22" t="inlineStr"/>
      <c r="P128" s="22" t="inlineStr"/>
      <c r="Q128" s="22" t="inlineStr"/>
      <c r="R128" s="22" t="inlineStr"/>
      <c r="S128" s="22" t="inlineStr"/>
      <c r="T128" s="22" t="inlineStr">
        <is>
          <t>DM = registered partner (RFB QSA); no Apollo match</t>
        </is>
      </c>
      <c r="U128" s="24" t="n">
        <v>1138844</v>
      </c>
      <c r="V128" s="25" t="inlineStr">
        <is>
          <t>B</t>
        </is>
      </c>
      <c r="W128" s="26" t="inlineStr"/>
      <c r="X128" s="27" t="inlineStr"/>
      <c r="Y128" s="27" t="inlineStr"/>
      <c r="Z128" s="26">
        <f>IF(W128&lt;&gt;"",W128,IFERROR(VLOOKUP(V128,Assumptions!$A$8:$F$12,2,FALSE),0))</f>
        <v/>
      </c>
      <c r="AA128" s="28">
        <f>IF(V128="A",MAX(1,IF(X128&lt;&gt;"",X128,IFERROR(VLOOKUP(V128,Assumptions!$A$8:$F$12,3,FALSE),3))+IF(Y128&lt;&gt;"",Y128,IFERROR(VLOOKUP(V128,Assumptions!$A$8:$F$12,4,FALSE),8))/2-MAX(0,IF(AS128="",0,YEAR(TODAY())-AS128)-IFERROR(VLOOKUP(V128,Assumptions!$A$8:$F$12,5,FALSE),1.5))),IFERROR(VLOOKUP(V128,Assumptions!$A$8:$F$12,5,FALSE),2.5)+IF(X128&lt;&gt;"",X128,IFERROR(VLOOKUP(V128,Assumptions!$A$8:$F$12,3,FALSE),3))+IF(Y128&lt;&gt;"",Y128,IFERROR(VLOOKUP(V128,Assumptions!$A$8:$F$12,4,FALSE),8))/2)</f>
        <v/>
      </c>
      <c r="AB128" s="24">
        <f>U128*Z128/(1+Assumptions!$B$3)^AA128</f>
        <v/>
      </c>
      <c r="AC128" s="27">
        <f>IF(U128=0,"",ROUND(AB128/U128*100,1))</f>
        <v/>
      </c>
      <c r="AD128" s="29">
        <f>AB128*Assumptions!$B$4</f>
        <v/>
      </c>
      <c r="AE128" s="27">
        <f>IF(U128=0,"",ROUND(AD128/U128*100,1))</f>
        <v/>
      </c>
      <c r="AF128" s="29">
        <f>AB128-AD128</f>
        <v/>
      </c>
      <c r="AG128" s="27">
        <f>IF(U128=0,"",ROUND((AB128-AD128)/U128*100,1))</f>
        <v/>
      </c>
      <c r="AH128" s="35" t="inlineStr">
        <is>
          <t>PARTIAL — class III reconciled, other classes not</t>
        </is>
      </c>
      <c r="AI128" s="31" t="inlineStr">
        <is>
          <t>https://marquesadmjudicial.com.br/sgc/download.php?file=files/processo_documento/processo_documento17040729052024_1_.pdf&amp;nome=Relação Nominal de Credores AJ-Sintética</t>
        </is>
      </c>
      <c r="AJ128" s="30" t="inlineStr">
        <is>
          <t>p9 r6</t>
        </is>
      </c>
      <c r="AK128" s="30" t="inlineStr">
        <is>
          <t>p9: R$ 1.138.844,00</t>
        </is>
      </c>
      <c r="AL128" s="30" t="inlineStr">
        <is>
          <t>AJ list (art. 7 §2)</t>
        </is>
      </c>
      <c r="AM128" s="30" t="inlineStr">
        <is>
          <t>2024-05-27</t>
        </is>
      </c>
      <c r="AN128" s="30" t="inlineStr">
        <is>
          <t>NONE FOUND</t>
        </is>
      </c>
      <c r="AO128" s="32" t="inlineStr">
        <is>
          <t>0003971-03.2023.8.16.0119</t>
        </is>
      </c>
      <c r="AP128" s="32" t="inlineStr">
        <is>
          <t>TJPR</t>
        </is>
      </c>
      <c r="AQ128" s="32" t="inlineStr">
        <is>
          <t>Recuperação judicial</t>
        </is>
      </c>
      <c r="AR128" s="32" t="inlineStr">
        <is>
          <t>DataJud: no closure/falência movement</t>
        </is>
      </c>
      <c r="AS128" s="32" t="n">
        <v>2023</v>
      </c>
      <c r="AT128" s="32" t="inlineStr">
        <is>
          <t>live case, no plan document yet</t>
        </is>
      </c>
      <c r="AU128" s="32" t="inlineStr">
        <is>
          <t>11.624.776/0001-07</t>
        </is>
      </c>
      <c r="AV128" s="32" t="inlineStr">
        <is>
          <t>printed on the list (read twice)</t>
        </is>
      </c>
      <c r="AW128" s="32" t="inlineStr"/>
      <c r="AX128" s="32" t="inlineStr">
        <is>
          <t>NOVA ESPERANCA</t>
        </is>
      </c>
      <c r="AY128" s="32" t="inlineStr">
        <is>
          <t>PR</t>
        </is>
      </c>
      <c r="AZ128" s="32" t="inlineStr">
        <is>
          <t>Preparação de subprodutos do abate</t>
        </is>
      </c>
      <c r="BA128" s="32" t="inlineStr">
        <is>
          <t>não ME/EPP</t>
        </is>
      </c>
      <c r="BB128" s="33" t="n">
        <v>1610000</v>
      </c>
      <c r="BC128" s="32" t="inlineStr">
        <is>
          <t>MID-MARKET</t>
        </is>
      </c>
      <c r="BD128" s="32" t="inlineStr">
        <is>
          <t>05696101</t>
        </is>
      </c>
      <c r="BE128" s="32" t="n">
        <v>1</v>
      </c>
      <c r="BF128" s="32" t="inlineStr">
        <is>
          <t>class III reconciled (doc partial)</t>
        </is>
      </c>
    </row>
    <row r="129">
      <c r="A129" s="17" t="inlineStr">
        <is>
          <t>SOMA/RS PRODUTOS HOSPITALARES LTDA.</t>
        </is>
      </c>
      <c r="B129" s="18" t="n">
        <v>1137831.84</v>
      </c>
      <c r="C129" s="19" t="inlineStr">
        <is>
          <t>ASSOCIAÇÃO DE CARIDADE SANTA CASA DO RIO GRANDE</t>
        </is>
      </c>
      <c r="D129" s="20" t="inlineStr">
        <is>
          <t>NEW</t>
        </is>
      </c>
      <c r="E129" s="21" t="inlineStr"/>
      <c r="F129" s="20" t="inlineStr"/>
      <c r="G129" s="21" t="inlineStr"/>
      <c r="H129" s="20" t="inlineStr"/>
      <c r="I129" s="22" t="inlineStr">
        <is>
          <t>MARCELO LAPINSCKI</t>
        </is>
      </c>
      <c r="J129" s="23" t="inlineStr">
        <is>
          <t>Sócio-Administrador (RFB partner)</t>
        </is>
      </c>
      <c r="K129" s="22" t="inlineStr">
        <is>
          <t>(51) 3347-9000</t>
        </is>
      </c>
      <c r="L129" s="22" t="inlineStr"/>
      <c r="M129" s="22" t="inlineStr"/>
      <c r="N129" s="22" t="inlineStr"/>
      <c r="O129" s="22" t="inlineStr"/>
      <c r="P129" s="22" t="inlineStr">
        <is>
          <t>Manoel Jaderson</t>
        </is>
      </c>
      <c r="Q129" s="22" t="inlineStr">
        <is>
          <t>IT Infrastructure Coordinator</t>
        </is>
      </c>
      <c r="R129" s="22" t="inlineStr"/>
      <c r="S129" s="22" t="inlineStr">
        <is>
          <t>ti.rs@somahospitalar.com.br</t>
        </is>
      </c>
      <c r="T129" s="22" t="inlineStr">
        <is>
          <t>DM = registered partner (RFB QSA); Apollo pick demoted to backup (non-finance role); BACKUP: backup, has_email, phone Yes</t>
        </is>
      </c>
      <c r="U129" s="24" t="n">
        <v>1137831.84</v>
      </c>
      <c r="V129" s="25" t="inlineStr">
        <is>
          <t>B</t>
        </is>
      </c>
      <c r="W129" s="26" t="inlineStr"/>
      <c r="X129" s="27" t="inlineStr"/>
      <c r="Y129" s="27" t="inlineStr"/>
      <c r="Z129" s="26">
        <f>IF(W129&lt;&gt;"",W129,IFERROR(VLOOKUP(V129,Assumptions!$A$8:$F$12,2,FALSE),0))</f>
        <v/>
      </c>
      <c r="AA129" s="28">
        <f>IF(V129="A",MAX(1,IF(X129&lt;&gt;"",X129,IFERROR(VLOOKUP(V129,Assumptions!$A$8:$F$12,3,FALSE),3))+IF(Y129&lt;&gt;"",Y129,IFERROR(VLOOKUP(V129,Assumptions!$A$8:$F$12,4,FALSE),8))/2-MAX(0,IF(AS129="",0,YEAR(TODAY())-AS129)-IFERROR(VLOOKUP(V129,Assumptions!$A$8:$F$12,5,FALSE),1.5))),IFERROR(VLOOKUP(V129,Assumptions!$A$8:$F$12,5,FALSE),2.5)+IF(X129&lt;&gt;"",X129,IFERROR(VLOOKUP(V129,Assumptions!$A$8:$F$12,3,FALSE),3))+IF(Y129&lt;&gt;"",Y129,IFERROR(VLOOKUP(V129,Assumptions!$A$8:$F$12,4,FALSE),8))/2)</f>
        <v/>
      </c>
      <c r="AB129" s="24">
        <f>U129*Z129/(1+Assumptions!$B$3)^AA129</f>
        <v/>
      </c>
      <c r="AC129" s="27">
        <f>IF(U129=0,"",ROUND(AB129/U129*100,1))</f>
        <v/>
      </c>
      <c r="AD129" s="29">
        <f>AB129*Assumptions!$B$4</f>
        <v/>
      </c>
      <c r="AE129" s="27">
        <f>IF(U129=0,"",ROUND(AD129/U129*100,1))</f>
        <v/>
      </c>
      <c r="AF129" s="29">
        <f>AB129-AD129</f>
        <v/>
      </c>
      <c r="AG129" s="27">
        <f>IF(U129=0,"",ROUND((AB129-AD129)/U129*100,1))</f>
        <v/>
      </c>
      <c r="AH129" s="34" t="inlineStr">
        <is>
          <t>NO TOTALS — list prints none; check page</t>
        </is>
      </c>
      <c r="AI129" s="31" t="inlineStr">
        <is>
          <t>https://scalzilliaj.com.br/sgc/download.php?file=files/processo_documento/processo_documento09120721032023_1_.pdf&amp;nome=15 - Edital do art. 7º, §2º e 53 da Lei 11.101/2005 (segunda lista de credores e recebimento do plano))</t>
        </is>
      </c>
      <c r="AJ129" s="30" t="inlineStr">
        <is>
          <t>p29 r40</t>
        </is>
      </c>
      <c r="AK129" s="30" t="inlineStr">
        <is>
          <t>p29: R$ 1.137.831,84</t>
        </is>
      </c>
      <c r="AL129" s="30" t="inlineStr">
        <is>
          <t>AJ list (art. 7 §2)</t>
        </is>
      </c>
      <c r="AM129" s="30" t="inlineStr">
        <is>
          <t>2023-03-21</t>
        </is>
      </c>
      <c r="AN129" s="30" t="inlineStr">
        <is>
          <t>NONE FOUND</t>
        </is>
      </c>
      <c r="AO129" s="32" t="inlineStr">
        <is>
          <t>5012306-16.2022.8.21.0023</t>
        </is>
      </c>
      <c r="AP129" s="32" t="inlineStr">
        <is>
          <t>TJRS</t>
        </is>
      </c>
      <c r="AQ129" s="32" t="inlineStr">
        <is>
          <t>Recuperação judicial</t>
        </is>
      </c>
      <c r="AR129" s="32" t="inlineStr">
        <is>
          <t>DataJud: no closure/falência movement</t>
        </is>
      </c>
      <c r="AS129" s="32" t="n">
        <v>2022</v>
      </c>
      <c r="AT129" s="32" t="inlineStr">
        <is>
          <t>live case, no plan document yet; atypical debtor (associação/clube/hospital/produtor rural): admissibility or claim subjection may be contested</t>
        </is>
      </c>
      <c r="AU129" s="32" t="inlineStr"/>
      <c r="AV129" s="32" t="inlineStr">
        <is>
          <t>printed on the list (read twice)</t>
        </is>
      </c>
      <c r="AW129" s="32" t="inlineStr"/>
      <c r="AX129" s="32" t="inlineStr">
        <is>
          <t>ELDORADO DO SUL</t>
        </is>
      </c>
      <c r="AY129" s="32" t="inlineStr">
        <is>
          <t>RS</t>
        </is>
      </c>
      <c r="AZ129" s="32" t="inlineStr">
        <is>
          <t>Comércio atacadista de instrumentos e materiais para uso médico, cirúrgico, hospitalar e de laboratórios</t>
        </is>
      </c>
      <c r="BA129" s="32" t="inlineStr">
        <is>
          <t>não ME/EPP</t>
        </is>
      </c>
      <c r="BB129" s="33" t="n">
        <v>10000000</v>
      </c>
      <c r="BC129" s="32" t="inlineStr">
        <is>
          <t>MID-MARKET</t>
        </is>
      </c>
      <c r="BD129" s="32" t="inlineStr">
        <is>
          <t>06294126</t>
        </is>
      </c>
      <c r="BE129" s="32" t="n">
        <v>1</v>
      </c>
      <c r="BF129" s="32" t="inlineStr">
        <is>
          <t>list prints no totals</t>
        </is>
      </c>
    </row>
    <row r="130">
      <c r="A130" s="17" t="inlineStr">
        <is>
          <t>INTER TELECOM - COMERCIO E LOCACAO DE EQUIPAMENTOS DE COMUNICACAO LTDA</t>
        </is>
      </c>
      <c r="B130" s="18" t="n">
        <v>1125816.11</v>
      </c>
      <c r="C130" s="19" t="inlineStr">
        <is>
          <t>GRUPO EGESA (Egesa Engenharia S.A. + 9 group companies; see group members)</t>
        </is>
      </c>
      <c r="D130" s="20" t="inlineStr">
        <is>
          <t>NEW</t>
        </is>
      </c>
      <c r="E130" s="21" t="inlineStr"/>
      <c r="F130" s="20" t="inlineStr"/>
      <c r="G130" s="21" t="inlineStr"/>
      <c r="H130" s="20" t="inlineStr"/>
      <c r="I130" s="22" t="inlineStr">
        <is>
          <t>FRANCISCA APARECIDA D ANGELO PALOMARES</t>
        </is>
      </c>
      <c r="J130" s="23" t="inlineStr">
        <is>
          <t>Sócio-Administrador (RFB partner)</t>
        </is>
      </c>
      <c r="K130" s="22" t="inlineStr">
        <is>
          <t>(11) 4221-1746</t>
        </is>
      </c>
      <c r="L130" s="22" t="inlineStr"/>
      <c r="M130" s="22" t="inlineStr"/>
      <c r="N130" s="22" t="inlineStr"/>
      <c r="O130" s="22" t="inlineStr"/>
      <c r="P130" s="22" t="inlineStr"/>
      <c r="Q130" s="22" t="inlineStr"/>
      <c r="R130" s="22" t="inlineStr"/>
      <c r="S130" s="22" t="inlineStr"/>
      <c r="T130" s="22" t="inlineStr">
        <is>
          <t>DM = registered partner (RFB QSA); no Apollo match</t>
        </is>
      </c>
      <c r="U130" s="24" t="n">
        <v>1125816.11</v>
      </c>
      <c r="V130" s="25" t="inlineStr">
        <is>
          <t>B</t>
        </is>
      </c>
      <c r="W130" s="26" t="inlineStr"/>
      <c r="X130" s="27" t="inlineStr"/>
      <c r="Y130" s="27" t="inlineStr"/>
      <c r="Z130" s="26">
        <f>IF(W130&lt;&gt;"",W130,IFERROR(VLOOKUP(V130,Assumptions!$A$8:$F$12,2,FALSE),0))</f>
        <v/>
      </c>
      <c r="AA130" s="28">
        <f>IF(V130="A",MAX(1,IF(X130&lt;&gt;"",X130,IFERROR(VLOOKUP(V130,Assumptions!$A$8:$F$12,3,FALSE),3))+IF(Y130&lt;&gt;"",Y130,IFERROR(VLOOKUP(V130,Assumptions!$A$8:$F$12,4,FALSE),8))/2-MAX(0,IF(AS130="",0,YEAR(TODAY())-AS130)-IFERROR(VLOOKUP(V130,Assumptions!$A$8:$F$12,5,FALSE),1.5))),IFERROR(VLOOKUP(V130,Assumptions!$A$8:$F$12,5,FALSE),2.5)+IF(X130&lt;&gt;"",X130,IFERROR(VLOOKUP(V130,Assumptions!$A$8:$F$12,3,FALSE),3))+IF(Y130&lt;&gt;"",Y130,IFERROR(VLOOKUP(V130,Assumptions!$A$8:$F$12,4,FALSE),8))/2)</f>
        <v/>
      </c>
      <c r="AB130" s="24">
        <f>U130*Z130/(1+Assumptions!$B$3)^AA130</f>
        <v/>
      </c>
      <c r="AC130" s="27">
        <f>IF(U130=0,"",ROUND(AB130/U130*100,1))</f>
        <v/>
      </c>
      <c r="AD130" s="29">
        <f>AB130*Assumptions!$B$4</f>
        <v/>
      </c>
      <c r="AE130" s="27">
        <f>IF(U130=0,"",ROUND(AD130/U130*100,1))</f>
        <v/>
      </c>
      <c r="AF130" s="29">
        <f>AB130-AD130</f>
        <v/>
      </c>
      <c r="AG130" s="27">
        <f>IF(U130=0,"",ROUND((AB130-AD130)/U130*100,1))</f>
        <v/>
      </c>
      <c r="AH130" s="30" t="inlineStr">
        <is>
          <t>OK — totals reconciled</t>
        </is>
      </c>
      <c r="AI130" s="31" t="inlineStr">
        <is>
          <t>https://scalzilliaj.com.br/sgc/download.php?file=files/processo_documento/processo_documento09514021082025_1_.pdf&amp;nome=04 - Relação de credores das Recuperandas</t>
        </is>
      </c>
      <c r="AJ130" s="30" t="inlineStr">
        <is>
          <t>p68 r7</t>
        </is>
      </c>
      <c r="AK130" s="30" t="inlineStr">
        <is>
          <t>p68: R$ 1.125.816,11</t>
        </is>
      </c>
      <c r="AL130" s="30" t="inlineStr">
        <is>
          <t>Debtor list (art. 51)</t>
        </is>
      </c>
      <c r="AM130" s="30" t="inlineStr"/>
      <c r="AN130" s="30" t="inlineStr">
        <is>
          <t>NONE FOUND</t>
        </is>
      </c>
      <c r="AO130" s="32" t="inlineStr">
        <is>
          <t>5088952-81.2025.8.13.0024</t>
        </is>
      </c>
      <c r="AP130" s="32" t="inlineStr">
        <is>
          <t>TJMG</t>
        </is>
      </c>
      <c r="AQ130" s="32" t="inlineStr"/>
      <c r="AR130" s="32" t="inlineStr">
        <is>
          <t>DataJud: no closure/falência movement</t>
        </is>
      </c>
      <c r="AS130" s="32" t="n">
        <v>2025</v>
      </c>
      <c r="AT130" s="32" t="inlineStr">
        <is>
          <t>live case, no plan document yet; case no. from the portal record, not printed on the list</t>
        </is>
      </c>
      <c r="AU130" s="32" t="inlineStr"/>
      <c r="AV130" s="32" t="inlineStr">
        <is>
          <t>portal page title / URL — not printed on the list</t>
        </is>
      </c>
      <c r="AW130" s="32" t="inlineStr"/>
      <c r="AX130" s="32" t="inlineStr">
        <is>
          <t>SAO CAETANO DO SUL</t>
        </is>
      </c>
      <c r="AY130" s="32" t="inlineStr">
        <is>
          <t>SP</t>
        </is>
      </c>
      <c r="AZ130" s="32" t="inlineStr">
        <is>
          <t>Comércio varejista especializado de equipamentos de telefonia e comunicação</t>
        </is>
      </c>
      <c r="BA130" s="32" t="inlineStr">
        <is>
          <t>não ME/EPP</t>
        </is>
      </c>
      <c r="BB130" s="33" t="n">
        <v>1000000</v>
      </c>
      <c r="BC130" s="32" t="inlineStr">
        <is>
          <t>MID-MARKET</t>
        </is>
      </c>
      <c r="BD130" s="32" t="inlineStr">
        <is>
          <t>06936357</t>
        </is>
      </c>
      <c r="BE130" s="32" t="n">
        <v>1</v>
      </c>
      <c r="BF130" s="32" t="inlineStr">
        <is>
          <t>case no. corrected by reader case no. from portal record</t>
        </is>
      </c>
    </row>
    <row r="131">
      <c r="A131" s="17" t="inlineStr">
        <is>
          <t>TAG INDUSTRIA E LAMINACAO LTDA</t>
        </is>
      </c>
      <c r="B131" s="18" t="n">
        <v>1122336.63</v>
      </c>
      <c r="C131" s="19" t="inlineStr">
        <is>
          <t>REAL DISTRIBUIDORA ÚNICA RIO COMÉRCIO DE REFRIGERAÇÃO LTDA.</t>
        </is>
      </c>
      <c r="D131" s="20" t="inlineStr">
        <is>
          <t>NEW</t>
        </is>
      </c>
      <c r="E131" s="21" t="inlineStr"/>
      <c r="F131" s="20" t="inlineStr"/>
      <c r="G131" s="21" t="inlineStr"/>
      <c r="H131" s="20" t="inlineStr"/>
      <c r="I131" s="22" t="inlineStr">
        <is>
          <t>TIAGO RODRIGO DETTILIO</t>
        </is>
      </c>
      <c r="J131" s="23" t="inlineStr">
        <is>
          <t>Administrador (RFB partner)</t>
        </is>
      </c>
      <c r="K131" s="22" t="inlineStr">
        <is>
          <t>(11) 4463-4833</t>
        </is>
      </c>
      <c r="L131" s="22" t="inlineStr"/>
      <c r="M131" s="22" t="inlineStr"/>
      <c r="N131" s="22" t="inlineStr"/>
      <c r="O131" s="22" t="inlineStr"/>
      <c r="P131" s="22" t="inlineStr">
        <is>
          <t>WEBER MICAEL DA SILVA</t>
        </is>
      </c>
      <c r="Q131" s="22" t="inlineStr">
        <is>
          <t>Administrador (RFB partner)</t>
        </is>
      </c>
      <c r="R131" s="22" t="inlineStr"/>
      <c r="S131" s="22" t="inlineStr"/>
      <c r="T131" s="22" t="inlineStr">
        <is>
          <t>DM = registered partner (RFB QSA); no Apollo match</t>
        </is>
      </c>
      <c r="U131" s="24" t="n">
        <v>1122336.63</v>
      </c>
      <c r="V131" s="25" t="inlineStr">
        <is>
          <t>B</t>
        </is>
      </c>
      <c r="W131" s="26" t="inlineStr"/>
      <c r="X131" s="27" t="inlineStr"/>
      <c r="Y131" s="27" t="inlineStr"/>
      <c r="Z131" s="26">
        <f>IF(W131&lt;&gt;"",W131,IFERROR(VLOOKUP(V131,Assumptions!$A$8:$F$12,2,FALSE),0))</f>
        <v/>
      </c>
      <c r="AA131" s="28">
        <f>IF(V131="A",MAX(1,IF(X131&lt;&gt;"",X131,IFERROR(VLOOKUP(V131,Assumptions!$A$8:$F$12,3,FALSE),3))+IF(Y131&lt;&gt;"",Y131,IFERROR(VLOOKUP(V131,Assumptions!$A$8:$F$12,4,FALSE),8))/2-MAX(0,IF(AS131="",0,YEAR(TODAY())-AS131)-IFERROR(VLOOKUP(V131,Assumptions!$A$8:$F$12,5,FALSE),1.5))),IFERROR(VLOOKUP(V131,Assumptions!$A$8:$F$12,5,FALSE),2.5)+IF(X131&lt;&gt;"",X131,IFERROR(VLOOKUP(V131,Assumptions!$A$8:$F$12,3,FALSE),3))+IF(Y131&lt;&gt;"",Y131,IFERROR(VLOOKUP(V131,Assumptions!$A$8:$F$12,4,FALSE),8))/2)</f>
        <v/>
      </c>
      <c r="AB131" s="24">
        <f>U131*Z131/(1+Assumptions!$B$3)^AA131</f>
        <v/>
      </c>
      <c r="AC131" s="27">
        <f>IF(U131=0,"",ROUND(AB131/U131*100,1))</f>
        <v/>
      </c>
      <c r="AD131" s="29">
        <f>AB131*Assumptions!$B$4</f>
        <v/>
      </c>
      <c r="AE131" s="27">
        <f>IF(U131=0,"",ROUND(AD131/U131*100,1))</f>
        <v/>
      </c>
      <c r="AF131" s="29">
        <f>AB131-AD131</f>
        <v/>
      </c>
      <c r="AG131" s="27">
        <f>IF(U131=0,"",ROUND((AB131-AD131)/U131*100,1))</f>
        <v/>
      </c>
      <c r="AH131" s="30" t="inlineStr">
        <is>
          <t>OK — totals reconciled</t>
        </is>
      </c>
      <c r="AI131" s="31" t="inlineStr">
        <is>
          <t>https://inova-aj.com.br/wp-content/uploads/2026/08/1a-Relacao-de-Credores-Real.pdf</t>
        </is>
      </c>
      <c r="AJ131" s="30" t="inlineStr">
        <is>
          <t>p2 r7</t>
        </is>
      </c>
      <c r="AK131" s="30" t="inlineStr">
        <is>
          <t>p2: R$ 1.122.336,63</t>
        </is>
      </c>
      <c r="AL131" s="30" t="inlineStr">
        <is>
          <t>AJ list (art. 7 §2)</t>
        </is>
      </c>
      <c r="AM131" s="30" t="inlineStr">
        <is>
          <t>2023-06-05</t>
        </is>
      </c>
      <c r="AN131" s="30" t="inlineStr">
        <is>
          <t>NONE FOUND</t>
        </is>
      </c>
      <c r="AO131" s="32" t="inlineStr">
        <is>
          <t>0873061-47.2023.8.19.0001</t>
        </is>
      </c>
      <c r="AP131" s="32" t="inlineStr">
        <is>
          <t>TJRJ</t>
        </is>
      </c>
      <c r="AQ131" s="32" t="inlineStr">
        <is>
          <t>Recuperação judicial</t>
        </is>
      </c>
      <c r="AR131" s="32" t="inlineStr">
        <is>
          <t>not in DataJud</t>
        </is>
      </c>
      <c r="AS131" s="32" t="n">
        <v>2023</v>
      </c>
      <c r="AT131" s="32" t="inlineStr">
        <is>
          <t>live case, no plan document yet; case no. from the portal record, not printed on the list</t>
        </is>
      </c>
      <c r="AU131" s="32" t="inlineStr"/>
      <c r="AV131" s="32" t="inlineStr">
        <is>
          <t>printed on the list (read twice)</t>
        </is>
      </c>
      <c r="AW131" s="32" t="inlineStr"/>
      <c r="AX131" s="32" t="inlineStr">
        <is>
          <t>SAO PAULO</t>
        </is>
      </c>
      <c r="AY131" s="32" t="inlineStr">
        <is>
          <t>SP</t>
        </is>
      </c>
      <c r="AZ131" s="32" t="inlineStr">
        <is>
          <t>Outras atividades profissionais, científicas e técnicas não especificadas anteriormente</t>
        </is>
      </c>
      <c r="BA131" s="32" t="inlineStr">
        <is>
          <t>não ME/EPP</t>
        </is>
      </c>
      <c r="BB131" s="33" t="n">
        <v>10000000</v>
      </c>
      <c r="BC131" s="32" t="inlineStr">
        <is>
          <t>MID-MARKET</t>
        </is>
      </c>
      <c r="BD131" s="32" t="inlineStr">
        <is>
          <t>33233778</t>
        </is>
      </c>
      <c r="BE131" s="32" t="n">
        <v>1</v>
      </c>
      <c r="BF131" s="32" t="inlineStr">
        <is>
          <t>ALT_VALUE:R$816.060,00</t>
        </is>
      </c>
    </row>
    <row r="132">
      <c r="A132" s="17" t="inlineStr">
        <is>
          <t>THUNDER TOOLS COMERCIO DE MATERIAIS PARA CONSTRUCAO LTDA</t>
        </is>
      </c>
      <c r="B132" s="18" t="n">
        <v>1114761.56</v>
      </c>
      <c r="C132" s="19" t="inlineStr">
        <is>
          <t>JA SANTOS IMPORTACAO E EXPORTACAO DE FERRAMENTAS LTDA</t>
        </is>
      </c>
      <c r="D132" s="20" t="inlineStr">
        <is>
          <t>NEW</t>
        </is>
      </c>
      <c r="E132" s="21" t="inlineStr"/>
      <c r="F132" s="20" t="inlineStr"/>
      <c r="G132" s="21" t="inlineStr"/>
      <c r="H132" s="20" t="inlineStr"/>
      <c r="I132" s="22" t="inlineStr">
        <is>
          <t>BEATRIZ MARQUES RISSARDO</t>
        </is>
      </c>
      <c r="J132" s="23" t="inlineStr">
        <is>
          <t>Sócio-Administrador (RFB partner)</t>
        </is>
      </c>
      <c r="K132" s="22" t="inlineStr">
        <is>
          <t>(11) 2937-4916</t>
        </is>
      </c>
      <c r="L132" s="22" t="inlineStr"/>
      <c r="M132" s="22" t="inlineStr"/>
      <c r="N132" s="22" t="inlineStr"/>
      <c r="O132" s="22" t="inlineStr"/>
      <c r="P132" s="22" t="inlineStr"/>
      <c r="Q132" s="22" t="inlineStr"/>
      <c r="R132" s="22" t="inlineStr"/>
      <c r="S132" s="22" t="inlineStr"/>
      <c r="T132" s="22" t="inlineStr">
        <is>
          <t>DM = registered partner (RFB QSA); no Apollo match</t>
        </is>
      </c>
      <c r="U132" s="24" t="n">
        <v>1114761.56</v>
      </c>
      <c r="V132" s="25" t="inlineStr">
        <is>
          <t>B</t>
        </is>
      </c>
      <c r="W132" s="26" t="inlineStr"/>
      <c r="X132" s="27" t="inlineStr"/>
      <c r="Y132" s="27" t="inlineStr"/>
      <c r="Z132" s="26">
        <f>IF(W132&lt;&gt;"",W132,IFERROR(VLOOKUP(V132,Assumptions!$A$8:$F$12,2,FALSE),0))</f>
        <v/>
      </c>
      <c r="AA132" s="28">
        <f>IF(V132="A",MAX(1,IF(X132&lt;&gt;"",X132,IFERROR(VLOOKUP(V132,Assumptions!$A$8:$F$12,3,FALSE),3))+IF(Y132&lt;&gt;"",Y132,IFERROR(VLOOKUP(V132,Assumptions!$A$8:$F$12,4,FALSE),8))/2-MAX(0,IF(AS132="",0,YEAR(TODAY())-AS132)-IFERROR(VLOOKUP(V132,Assumptions!$A$8:$F$12,5,FALSE),1.5))),IFERROR(VLOOKUP(V132,Assumptions!$A$8:$F$12,5,FALSE),2.5)+IF(X132&lt;&gt;"",X132,IFERROR(VLOOKUP(V132,Assumptions!$A$8:$F$12,3,FALSE),3))+IF(Y132&lt;&gt;"",Y132,IFERROR(VLOOKUP(V132,Assumptions!$A$8:$F$12,4,FALSE),8))/2)</f>
        <v/>
      </c>
      <c r="AB132" s="24">
        <f>U132*Z132/(1+Assumptions!$B$3)^AA132</f>
        <v/>
      </c>
      <c r="AC132" s="27">
        <f>IF(U132=0,"",ROUND(AB132/U132*100,1))</f>
        <v/>
      </c>
      <c r="AD132" s="29">
        <f>AB132*Assumptions!$B$4</f>
        <v/>
      </c>
      <c r="AE132" s="27">
        <f>IF(U132=0,"",ROUND(AD132/U132*100,1))</f>
        <v/>
      </c>
      <c r="AF132" s="29">
        <f>AB132-AD132</f>
        <v/>
      </c>
      <c r="AG132" s="27">
        <f>IF(U132=0,"",ROUND((AB132-AD132)/U132*100,1))</f>
        <v/>
      </c>
      <c r="AH132" s="30" t="inlineStr">
        <is>
          <t>OK — totals reconciled</t>
        </is>
      </c>
      <c r="AI132" s="31" t="inlineStr">
        <is>
          <t>https://vivanteaj.com.br/wp-content/uploads/2024/11/1a-lista-de-credores-JA-Santos.pdf</t>
        </is>
      </c>
      <c r="AJ132" s="30" t="inlineStr">
        <is>
          <t>p1 r36</t>
        </is>
      </c>
      <c r="AK132" s="30" t="inlineStr">
        <is>
          <t>p1: R$ 1.114.761,56</t>
        </is>
      </c>
      <c r="AL132" s="30" t="inlineStr">
        <is>
          <t>Unclassified list</t>
        </is>
      </c>
      <c r="AM132" s="30" t="inlineStr">
        <is>
          <t>2022-11-02</t>
        </is>
      </c>
      <c r="AN132" s="30" t="inlineStr">
        <is>
          <t>PLAN FILED (art. 53), not granted</t>
        </is>
      </c>
      <c r="AO132" s="32" t="inlineStr">
        <is>
          <t>1018313-46.2024.8.26.0100</t>
        </is>
      </c>
      <c r="AP132" s="32" t="inlineStr">
        <is>
          <t>TJSP</t>
        </is>
      </c>
      <c r="AQ132" s="32" t="inlineStr">
        <is>
          <t>Recuperação judicial</t>
        </is>
      </c>
      <c r="AR132" s="32" t="inlineStr">
        <is>
          <t>DataJud: no closure/falência movement</t>
        </is>
      </c>
      <c r="AS132" s="32" t="n">
        <v>2024</v>
      </c>
      <c r="AT132" s="32" t="inlineStr">
        <is>
          <t>plan filed (art. 53), not yet granted; case no. from the portal record, not printed on the list</t>
        </is>
      </c>
      <c r="AU132" s="32" t="inlineStr">
        <is>
          <t>15.408.785/0001-03</t>
        </is>
      </c>
      <c r="AV132" s="32" t="inlineStr">
        <is>
          <t>printed on the list (read twice)</t>
        </is>
      </c>
      <c r="AW132" s="32" t="inlineStr"/>
      <c r="AX132" s="32" t="inlineStr">
        <is>
          <t>DIADEMA</t>
        </is>
      </c>
      <c r="AY132" s="32" t="inlineStr">
        <is>
          <t>SP</t>
        </is>
      </c>
      <c r="AZ132" s="32" t="inlineStr">
        <is>
          <t>Comércio atacadista de materiais de construção em geral</t>
        </is>
      </c>
      <c r="BA132" s="32" t="inlineStr">
        <is>
          <t>EMPRESA DE PEQUENO PORTE</t>
        </is>
      </c>
      <c r="BB132" s="33" t="n">
        <v>104500</v>
      </c>
      <c r="BC132" s="32" t="inlineStr">
        <is>
          <t>SMALL</t>
        </is>
      </c>
      <c r="BD132" s="32" t="inlineStr">
        <is>
          <t>36635483</t>
        </is>
      </c>
      <c r="BE132" s="32" t="n">
        <v>1</v>
      </c>
      <c r="BF132" s="32" t="inlineStr"/>
    </row>
    <row r="133">
      <c r="A133" s="17" t="inlineStr">
        <is>
          <t>LABORATORIO TEUTO BRASILEIRO S/A</t>
        </is>
      </c>
      <c r="B133" s="18" t="n">
        <v>1105911.24</v>
      </c>
      <c r="C133" s="19" t="inlineStr">
        <is>
          <t>GRUPO DP4</t>
        </is>
      </c>
      <c r="D133" s="20" t="inlineStr">
        <is>
          <t>NEW</t>
        </is>
      </c>
      <c r="E133" s="21" t="inlineStr"/>
      <c r="F133" s="20" t="inlineStr"/>
      <c r="G133" s="21" t="inlineStr"/>
      <c r="H133" s="20" t="inlineStr"/>
      <c r="I133" s="22" t="inlineStr">
        <is>
          <t>Luiz Lyra</t>
        </is>
      </c>
      <c r="J133" s="22" t="inlineStr">
        <is>
          <t>Financial Director</t>
        </is>
      </c>
      <c r="K133" s="22" t="inlineStr">
        <is>
          <t>(62) 3310-2000</t>
        </is>
      </c>
      <c r="L133" s="22" t="inlineStr">
        <is>
          <t>(62) 3310-2033</t>
        </is>
      </c>
      <c r="M133" s="22" t="inlineStr"/>
      <c r="N133" s="22" t="inlineStr">
        <is>
          <t>luiz.lyra@teuto.com.br</t>
        </is>
      </c>
      <c r="O133" s="22" t="inlineStr">
        <is>
          <t>verified</t>
        </is>
      </c>
      <c r="P133" s="22" t="inlineStr">
        <is>
          <t>Elizamar Sousa</t>
        </is>
      </c>
      <c r="Q133" s="22" t="inlineStr">
        <is>
          <t>Controller</t>
        </is>
      </c>
      <c r="R133" s="22" t="inlineStr"/>
      <c r="S133" s="22" t="inlineStr">
        <is>
          <t>elizamar.costa@teuto.com.br</t>
        </is>
      </c>
      <c r="T133" s="22" t="inlineStr">
        <is>
          <t>DM: has_email, phone Yes; BACKUP: backup, has_email, phone Yes</t>
        </is>
      </c>
      <c r="U133" s="24" t="n">
        <v>1105911.24</v>
      </c>
      <c r="V133" s="25" t="inlineStr">
        <is>
          <t>B</t>
        </is>
      </c>
      <c r="W133" s="26" t="inlineStr"/>
      <c r="X133" s="27" t="inlineStr"/>
      <c r="Y133" s="27" t="inlineStr"/>
      <c r="Z133" s="26">
        <f>IF(W133&lt;&gt;"",W133,IFERROR(VLOOKUP(V133,Assumptions!$A$8:$F$12,2,FALSE),0))</f>
        <v/>
      </c>
      <c r="AA133" s="28">
        <f>IF(V133="A",MAX(1,IF(X133&lt;&gt;"",X133,IFERROR(VLOOKUP(V133,Assumptions!$A$8:$F$12,3,FALSE),3))+IF(Y133&lt;&gt;"",Y133,IFERROR(VLOOKUP(V133,Assumptions!$A$8:$F$12,4,FALSE),8))/2-MAX(0,IF(AS133="",0,YEAR(TODAY())-AS133)-IFERROR(VLOOKUP(V133,Assumptions!$A$8:$F$12,5,FALSE),1.5))),IFERROR(VLOOKUP(V133,Assumptions!$A$8:$F$12,5,FALSE),2.5)+IF(X133&lt;&gt;"",X133,IFERROR(VLOOKUP(V133,Assumptions!$A$8:$F$12,3,FALSE),3))+IF(Y133&lt;&gt;"",Y133,IFERROR(VLOOKUP(V133,Assumptions!$A$8:$F$12,4,FALSE),8))/2)</f>
        <v/>
      </c>
      <c r="AB133" s="24">
        <f>U133*Z133/(1+Assumptions!$B$3)^AA133</f>
        <v/>
      </c>
      <c r="AC133" s="27">
        <f>IF(U133=0,"",ROUND(AB133/U133*100,1))</f>
        <v/>
      </c>
      <c r="AD133" s="29">
        <f>AB133*Assumptions!$B$4</f>
        <v/>
      </c>
      <c r="AE133" s="27">
        <f>IF(U133=0,"",ROUND(AD133/U133*100,1))</f>
        <v/>
      </c>
      <c r="AF133" s="29">
        <f>AB133-AD133</f>
        <v/>
      </c>
      <c r="AG133" s="27">
        <f>IF(U133=0,"",ROUND((AB133-AD133)/U133*100,1))</f>
        <v/>
      </c>
      <c r="AH133" s="35" t="inlineStr">
        <is>
          <t>PARTIAL — class III reconciled, other classes not</t>
        </is>
      </c>
      <c r="AI133" s="31" t="inlineStr">
        <is>
          <t>https://marquesadmjudicial.com.br/sgc/download.php?file=files/processo_documento/processo_documento15293208032024_1_.pdf&amp;nome=Relação Nominal de Credores da AJ-Sintética</t>
        </is>
      </c>
      <c r="AJ133" s="30" t="inlineStr">
        <is>
          <t>p27 r12</t>
        </is>
      </c>
      <c r="AK133" s="30" t="inlineStr">
        <is>
          <t>p27: R$ 1.105.911,24</t>
        </is>
      </c>
      <c r="AL133" s="30" t="inlineStr">
        <is>
          <t>AJ list (art. 7 §2)</t>
        </is>
      </c>
      <c r="AM133" s="30" t="inlineStr">
        <is>
          <t>2023-03-02</t>
        </is>
      </c>
      <c r="AN133" s="30" t="inlineStr">
        <is>
          <t>NONE FOUND</t>
        </is>
      </c>
      <c r="AO133" s="32" t="inlineStr">
        <is>
          <t>0005010-98.2023.8.16.0001</t>
        </is>
      </c>
      <c r="AP133" s="32" t="inlineStr">
        <is>
          <t>TJPR</t>
        </is>
      </c>
      <c r="AQ133" s="32" t="inlineStr">
        <is>
          <t>Recuperação judicial</t>
        </is>
      </c>
      <c r="AR133" s="32" t="inlineStr">
        <is>
          <t>DataJud: no closure/falência movement</t>
        </is>
      </c>
      <c r="AS133" s="32" t="n">
        <v>2023</v>
      </c>
      <c r="AT133" s="32" t="inlineStr">
        <is>
          <t>live case, no plan document yet</t>
        </is>
      </c>
      <c r="AU133" s="32" t="inlineStr"/>
      <c r="AV133" s="32" t="inlineStr">
        <is>
          <t>printed on the list (read twice)</t>
        </is>
      </c>
      <c r="AW133" s="32" t="inlineStr"/>
      <c r="AX133" s="32" t="inlineStr">
        <is>
          <t>ANAPOLIS</t>
        </is>
      </c>
      <c r="AY133" s="32" t="inlineStr">
        <is>
          <t>GO</t>
        </is>
      </c>
      <c r="AZ133" s="32" t="inlineStr">
        <is>
          <t>Fabricação de medicamentos alopáticos para uso humano</t>
        </is>
      </c>
      <c r="BA133" s="32" t="inlineStr">
        <is>
          <t>não ME/EPP</t>
        </is>
      </c>
      <c r="BB133" s="33" t="n">
        <v>661946700</v>
      </c>
      <c r="BC133" s="32" t="inlineStr">
        <is>
          <t>LARGE CORP</t>
        </is>
      </c>
      <c r="BD133" s="32" t="inlineStr">
        <is>
          <t>17159229</t>
        </is>
      </c>
      <c r="BE133" s="32" t="n">
        <v>1</v>
      </c>
      <c r="BF133" s="32" t="inlineStr">
        <is>
          <t>class III reconciled (doc partial)</t>
        </is>
      </c>
    </row>
    <row r="134">
      <c r="A134" s="17" t="inlineStr">
        <is>
          <t>TERRAMAQ PECAS E SERVICOS LTDA</t>
        </is>
      </c>
      <c r="B134" s="18" t="n">
        <v>1091422.69</v>
      </c>
      <c r="C134" s="19" t="inlineStr">
        <is>
          <t>CLUBE NÁUTICO CAPIBARIBE</t>
        </is>
      </c>
      <c r="D134" s="20" t="inlineStr">
        <is>
          <t>NEW</t>
        </is>
      </c>
      <c r="E134" s="21" t="inlineStr"/>
      <c r="F134" s="20" t="inlineStr"/>
      <c r="G134" s="21" t="inlineStr"/>
      <c r="H134" s="20" t="inlineStr"/>
      <c r="I134" s="22" t="inlineStr">
        <is>
          <t>PEDRO MOZART DOS PASSOS</t>
        </is>
      </c>
      <c r="J134" s="23" t="inlineStr">
        <is>
          <t>Sócio-Administrador (RFB partner)</t>
        </is>
      </c>
      <c r="K134" s="22" t="inlineStr">
        <is>
          <t>(81) 3222-8756</t>
        </is>
      </c>
      <c r="L134" s="22" t="inlineStr"/>
      <c r="M134" s="22" t="inlineStr"/>
      <c r="N134" s="22" t="inlineStr"/>
      <c r="O134" s="22" t="inlineStr"/>
      <c r="P134" s="22" t="inlineStr"/>
      <c r="Q134" s="22" t="inlineStr"/>
      <c r="R134" s="22" t="inlineStr"/>
      <c r="S134" s="22" t="inlineStr"/>
      <c r="T134" s="22" t="inlineStr">
        <is>
          <t>DM = registered partner (RFB QSA); no Apollo match</t>
        </is>
      </c>
      <c r="U134" s="24" t="n">
        <v>1091422.69</v>
      </c>
      <c r="V134" s="25" t="inlineStr">
        <is>
          <t>B</t>
        </is>
      </c>
      <c r="W134" s="26" t="inlineStr"/>
      <c r="X134" s="27" t="inlineStr"/>
      <c r="Y134" s="27" t="inlineStr"/>
      <c r="Z134" s="26">
        <f>IF(W134&lt;&gt;"",W134,IFERROR(VLOOKUP(V134,Assumptions!$A$8:$F$12,2,FALSE),0))</f>
        <v/>
      </c>
      <c r="AA134" s="28">
        <f>IF(V134="A",MAX(1,IF(X134&lt;&gt;"",X134,IFERROR(VLOOKUP(V134,Assumptions!$A$8:$F$12,3,FALSE),3))+IF(Y134&lt;&gt;"",Y134,IFERROR(VLOOKUP(V134,Assumptions!$A$8:$F$12,4,FALSE),8))/2-MAX(0,IF(AS134="",0,YEAR(TODAY())-AS134)-IFERROR(VLOOKUP(V134,Assumptions!$A$8:$F$12,5,FALSE),1.5))),IFERROR(VLOOKUP(V134,Assumptions!$A$8:$F$12,5,FALSE),2.5)+IF(X134&lt;&gt;"",X134,IFERROR(VLOOKUP(V134,Assumptions!$A$8:$F$12,3,FALSE),3))+IF(Y134&lt;&gt;"",Y134,IFERROR(VLOOKUP(V134,Assumptions!$A$8:$F$12,4,FALSE),8))/2)</f>
        <v/>
      </c>
      <c r="AB134" s="24">
        <f>U134*Z134/(1+Assumptions!$B$3)^AA134</f>
        <v/>
      </c>
      <c r="AC134" s="27">
        <f>IF(U134=0,"",ROUND(AB134/U134*100,1))</f>
        <v/>
      </c>
      <c r="AD134" s="29">
        <f>AB134*Assumptions!$B$4</f>
        <v/>
      </c>
      <c r="AE134" s="27">
        <f>IF(U134=0,"",ROUND(AD134/U134*100,1))</f>
        <v/>
      </c>
      <c r="AF134" s="29">
        <f>AB134-AD134</f>
        <v/>
      </c>
      <c r="AG134" s="27">
        <f>IF(U134=0,"",ROUND((AB134-AD134)/U134*100,1))</f>
        <v/>
      </c>
      <c r="AH134" s="35" t="inlineStr">
        <is>
          <t>PARTIAL — class III reconciled, other classes not</t>
        </is>
      </c>
      <c r="AI134" s="31" t="inlineStr">
        <is>
          <t>https://lrflideres.com.br/wp-content/plugins/download-attachments/includes/download.php?id=5589</t>
        </is>
      </c>
      <c r="AJ134" s="30" t="inlineStr">
        <is>
          <t>p12 r48</t>
        </is>
      </c>
      <c r="AK134" s="30" t="inlineStr">
        <is>
          <t>p12: R$ 1.091.422,69</t>
        </is>
      </c>
      <c r="AL134" s="30" t="inlineStr">
        <is>
          <t>AJ list (art. 7 §2)</t>
        </is>
      </c>
      <c r="AM134" s="30" t="inlineStr">
        <is>
          <t>2023-11-27</t>
        </is>
      </c>
      <c r="AN134" s="30" t="inlineStr">
        <is>
          <t>NONE FOUND</t>
        </is>
      </c>
      <c r="AO134" s="32" t="inlineStr">
        <is>
          <t>0011283-80.2023.8.17.2001</t>
        </is>
      </c>
      <c r="AP134" s="32" t="inlineStr">
        <is>
          <t>TJPE</t>
        </is>
      </c>
      <c r="AQ134" s="32" t="inlineStr">
        <is>
          <t>Recuperação judicial</t>
        </is>
      </c>
      <c r="AR134" s="32" t="inlineStr">
        <is>
          <t>DataJud: no closure/falência movement</t>
        </is>
      </c>
      <c r="AS134" s="32" t="n">
        <v>2023</v>
      </c>
      <c r="AT134" s="32" t="inlineStr">
        <is>
          <t>live case, no plan document yet; atypical debtor (associação/clube/hospital/produtor rural): admissibility or claim subjection may be contested</t>
        </is>
      </c>
      <c r="AU134" s="32" t="inlineStr">
        <is>
          <t>08.145.021/0001-07</t>
        </is>
      </c>
      <c r="AV134" s="32" t="inlineStr">
        <is>
          <t>printed on the list (read twice)</t>
        </is>
      </c>
      <c r="AW134" s="32" t="inlineStr"/>
      <c r="AX134" s="32" t="inlineStr">
        <is>
          <t>RECIFE</t>
        </is>
      </c>
      <c r="AY134" s="32" t="inlineStr">
        <is>
          <t>PE</t>
        </is>
      </c>
      <c r="AZ134" s="32" t="inlineStr">
        <is>
          <t>Comércio atacadista de máquinas, aparelhos e equipamentos para uso agropecuário; partes e peças</t>
        </is>
      </c>
      <c r="BA134" s="32" t="inlineStr">
        <is>
          <t>EMPRESA DE PEQUENO PORTE</t>
        </is>
      </c>
      <c r="BB134" s="33" t="n">
        <v>25000</v>
      </c>
      <c r="BC134" s="32" t="inlineStr">
        <is>
          <t>SMALL</t>
        </is>
      </c>
      <c r="BD134" s="32" t="inlineStr">
        <is>
          <t>01790923</t>
        </is>
      </c>
      <c r="BE134" s="32" t="n">
        <v>1</v>
      </c>
      <c r="BF134" s="32" t="inlineStr">
        <is>
          <t>class III reconciled (doc partial)</t>
        </is>
      </c>
    </row>
    <row r="135">
      <c r="A135" s="17" t="inlineStr">
        <is>
          <t>OMRON HEALTHCARE BRASIL COMERCIO E DISTRIBUICAO DE PRODUTOS MEDICOS LTDA</t>
        </is>
      </c>
      <c r="B135" s="18" t="n">
        <v>1077222.82</v>
      </c>
      <c r="C135" s="19" t="inlineStr">
        <is>
          <t>GRUPO DP4</t>
        </is>
      </c>
      <c r="D135" s="20" t="inlineStr">
        <is>
          <t>NEW</t>
        </is>
      </c>
      <c r="E135" s="21" t="inlineStr"/>
      <c r="F135" s="20" t="inlineStr"/>
      <c r="G135" s="21" t="inlineStr"/>
      <c r="H135" s="20" t="inlineStr"/>
      <c r="I135" s="22" t="inlineStr">
        <is>
          <t>Michelle Herrero</t>
        </is>
      </c>
      <c r="J135" s="22" t="inlineStr">
        <is>
          <t>Gerente de Análise de Planejamento Financeiro</t>
        </is>
      </c>
      <c r="K135" s="22" t="inlineStr">
        <is>
          <t>(11) 3149-3046</t>
        </is>
      </c>
      <c r="L135" s="22" t="inlineStr"/>
      <c r="M135" s="22" t="inlineStr"/>
      <c r="N135" s="22" t="inlineStr"/>
      <c r="O135" s="22" t="inlineStr"/>
      <c r="P135" s="22" t="inlineStr">
        <is>
          <t>AMANDA CIBELE DA SILVA</t>
        </is>
      </c>
      <c r="Q135" s="22" t="inlineStr">
        <is>
          <t>Administrador (RFB partner)</t>
        </is>
      </c>
      <c r="R135" s="22" t="inlineStr"/>
      <c r="S135" s="22" t="inlineStr"/>
      <c r="T135" s="22" t="inlineStr">
        <is>
          <t>DM: phone Yes; no work email in Apollo for DM</t>
        </is>
      </c>
      <c r="U135" s="24" t="n">
        <v>1077222.82</v>
      </c>
      <c r="V135" s="25" t="inlineStr">
        <is>
          <t>B</t>
        </is>
      </c>
      <c r="W135" s="26" t="inlineStr"/>
      <c r="X135" s="27" t="inlineStr"/>
      <c r="Y135" s="27" t="inlineStr"/>
      <c r="Z135" s="26">
        <f>IF(W135&lt;&gt;"",W135,IFERROR(VLOOKUP(V135,Assumptions!$A$8:$F$12,2,FALSE),0))</f>
        <v/>
      </c>
      <c r="AA135" s="28">
        <f>IF(V135="A",MAX(1,IF(X135&lt;&gt;"",X135,IFERROR(VLOOKUP(V135,Assumptions!$A$8:$F$12,3,FALSE),3))+IF(Y135&lt;&gt;"",Y135,IFERROR(VLOOKUP(V135,Assumptions!$A$8:$F$12,4,FALSE),8))/2-MAX(0,IF(AS135="",0,YEAR(TODAY())-AS135)-IFERROR(VLOOKUP(V135,Assumptions!$A$8:$F$12,5,FALSE),1.5))),IFERROR(VLOOKUP(V135,Assumptions!$A$8:$F$12,5,FALSE),2.5)+IF(X135&lt;&gt;"",X135,IFERROR(VLOOKUP(V135,Assumptions!$A$8:$F$12,3,FALSE),3))+IF(Y135&lt;&gt;"",Y135,IFERROR(VLOOKUP(V135,Assumptions!$A$8:$F$12,4,FALSE),8))/2)</f>
        <v/>
      </c>
      <c r="AB135" s="24">
        <f>U135*Z135/(1+Assumptions!$B$3)^AA135</f>
        <v/>
      </c>
      <c r="AC135" s="27">
        <f>IF(U135=0,"",ROUND(AB135/U135*100,1))</f>
        <v/>
      </c>
      <c r="AD135" s="29">
        <f>AB135*Assumptions!$B$4</f>
        <v/>
      </c>
      <c r="AE135" s="27">
        <f>IF(U135=0,"",ROUND(AD135/U135*100,1))</f>
        <v/>
      </c>
      <c r="AF135" s="29">
        <f>AB135-AD135</f>
        <v/>
      </c>
      <c r="AG135" s="27">
        <f>IF(U135=0,"",ROUND((AB135-AD135)/U135*100,1))</f>
        <v/>
      </c>
      <c r="AH135" s="35" t="inlineStr">
        <is>
          <t>PARTIAL — class III reconciled, other classes not</t>
        </is>
      </c>
      <c r="AI135" s="31" t="inlineStr">
        <is>
          <t>https://marquesadmjudicial.com.br/sgc/download.php?file=files/processo_documento/processo_documento15293208032024_1_.pdf&amp;nome=Relação Nominal de Credores da AJ-Sintética</t>
        </is>
      </c>
      <c r="AJ135" s="30" t="inlineStr">
        <is>
          <t>p30 r2</t>
        </is>
      </c>
      <c r="AK135" s="30" t="inlineStr">
        <is>
          <t>p30: R$ 1.077.222,82</t>
        </is>
      </c>
      <c r="AL135" s="30" t="inlineStr">
        <is>
          <t>AJ list (art. 7 §2)</t>
        </is>
      </c>
      <c r="AM135" s="30" t="inlineStr">
        <is>
          <t>2023-03-02</t>
        </is>
      </c>
      <c r="AN135" s="30" t="inlineStr">
        <is>
          <t>NONE FOUND</t>
        </is>
      </c>
      <c r="AO135" s="32" t="inlineStr">
        <is>
          <t>0005010-98.2023.8.16.0001</t>
        </is>
      </c>
      <c r="AP135" s="32" t="inlineStr">
        <is>
          <t>TJPR</t>
        </is>
      </c>
      <c r="AQ135" s="32" t="inlineStr">
        <is>
          <t>Recuperação judicial</t>
        </is>
      </c>
      <c r="AR135" s="32" t="inlineStr">
        <is>
          <t>DataJud: no closure/falência movement</t>
        </is>
      </c>
      <c r="AS135" s="32" t="n">
        <v>2023</v>
      </c>
      <c r="AT135" s="32" t="inlineStr">
        <is>
          <t>live case, no plan document yet</t>
        </is>
      </c>
      <c r="AU135" s="32" t="inlineStr"/>
      <c r="AV135" s="32" t="inlineStr">
        <is>
          <t>printed on the list (read twice)</t>
        </is>
      </c>
      <c r="AW135" s="32" t="inlineStr"/>
      <c r="AX135" s="32" t="inlineStr">
        <is>
          <t>SAO PAULO</t>
        </is>
      </c>
      <c r="AY135" s="32" t="inlineStr">
        <is>
          <t>SP</t>
        </is>
      </c>
      <c r="AZ135" s="32" t="inlineStr">
        <is>
          <t>Comércio atacadista de máquinas, aparelhos e equipamentos para uso odonto-médico-hospitalar; partes e peças</t>
        </is>
      </c>
      <c r="BA135" s="32" t="inlineStr">
        <is>
          <t>não ME/EPP</t>
        </is>
      </c>
      <c r="BB135" s="33" t="n">
        <v>511505800</v>
      </c>
      <c r="BC135" s="32" t="inlineStr">
        <is>
          <t>MID-MARKET</t>
        </is>
      </c>
      <c r="BD135" s="32" t="inlineStr">
        <is>
          <t>10345462</t>
        </is>
      </c>
      <c r="BE135" s="32" t="n">
        <v>1</v>
      </c>
      <c r="BF135" s="32" t="inlineStr">
        <is>
          <t>class III reconciled (doc partial)</t>
        </is>
      </c>
    </row>
    <row r="136">
      <c r="A136" s="17" t="inlineStr">
        <is>
          <t>PLASTICOS TANGARA LTDA</t>
        </is>
      </c>
      <c r="B136" s="18" t="n">
        <v>1070557.39</v>
      </c>
      <c r="C136" s="19" t="inlineStr">
        <is>
          <t>AZEPLAST INDÚSTRIA E COMÉRCIO LTDA</t>
        </is>
      </c>
      <c r="D136" s="20" t="inlineStr">
        <is>
          <t>NEW</t>
        </is>
      </c>
      <c r="E136" s="21" t="inlineStr"/>
      <c r="F136" s="20" t="inlineStr"/>
      <c r="G136" s="21" t="inlineStr"/>
      <c r="H136" s="20" t="inlineStr"/>
      <c r="I136" s="22" t="inlineStr">
        <is>
          <t>PAULO RICARDO SORGATTO</t>
        </is>
      </c>
      <c r="J136" s="23" t="inlineStr">
        <is>
          <t>Sócio-Administrador (RFB partner)</t>
        </is>
      </c>
      <c r="K136" s="22" t="inlineStr">
        <is>
          <t>(49) 3532-1511</t>
        </is>
      </c>
      <c r="L136" s="22" t="inlineStr"/>
      <c r="M136" s="22" t="inlineStr"/>
      <c r="N136" s="22" t="inlineStr"/>
      <c r="O136" s="22" t="inlineStr"/>
      <c r="P136" s="22" t="inlineStr"/>
      <c r="Q136" s="22" t="inlineStr"/>
      <c r="R136" s="22" t="inlineStr"/>
      <c r="S136" s="22" t="inlineStr"/>
      <c r="T136" s="22" t="inlineStr">
        <is>
          <t>DM = registered partner (RFB QSA); no Apollo match</t>
        </is>
      </c>
      <c r="U136" s="24" t="n">
        <v>1070557.39</v>
      </c>
      <c r="V136" s="25" t="inlineStr">
        <is>
          <t>B</t>
        </is>
      </c>
      <c r="W136" s="26" t="inlineStr"/>
      <c r="X136" s="27" t="inlineStr"/>
      <c r="Y136" s="27" t="inlineStr"/>
      <c r="Z136" s="26">
        <f>IF(W136&lt;&gt;"",W136,IFERROR(VLOOKUP(V136,Assumptions!$A$8:$F$12,2,FALSE),0))</f>
        <v/>
      </c>
      <c r="AA136" s="28">
        <f>IF(V136="A",MAX(1,IF(X136&lt;&gt;"",X136,IFERROR(VLOOKUP(V136,Assumptions!$A$8:$F$12,3,FALSE),3))+IF(Y136&lt;&gt;"",Y136,IFERROR(VLOOKUP(V136,Assumptions!$A$8:$F$12,4,FALSE),8))/2-MAX(0,IF(AS136="",0,YEAR(TODAY())-AS136)-IFERROR(VLOOKUP(V136,Assumptions!$A$8:$F$12,5,FALSE),1.5))),IFERROR(VLOOKUP(V136,Assumptions!$A$8:$F$12,5,FALSE),2.5)+IF(X136&lt;&gt;"",X136,IFERROR(VLOOKUP(V136,Assumptions!$A$8:$F$12,3,FALSE),3))+IF(Y136&lt;&gt;"",Y136,IFERROR(VLOOKUP(V136,Assumptions!$A$8:$F$12,4,FALSE),8))/2)</f>
        <v/>
      </c>
      <c r="AB136" s="24">
        <f>U136*Z136/(1+Assumptions!$B$3)^AA136</f>
        <v/>
      </c>
      <c r="AC136" s="27">
        <f>IF(U136=0,"",ROUND(AB136/U136*100,1))</f>
        <v/>
      </c>
      <c r="AD136" s="29">
        <f>AB136*Assumptions!$B$4</f>
        <v/>
      </c>
      <c r="AE136" s="27">
        <f>IF(U136=0,"",ROUND(AD136/U136*100,1))</f>
        <v/>
      </c>
      <c r="AF136" s="29">
        <f>AB136-AD136</f>
        <v/>
      </c>
      <c r="AG136" s="27">
        <f>IF(U136=0,"",ROUND((AB136-AD136)/U136*100,1))</f>
        <v/>
      </c>
      <c r="AH136" s="35" t="inlineStr">
        <is>
          <t>PARTIAL — class III reconciled, other classes not</t>
        </is>
      </c>
      <c r="AI136" s="31" t="inlineStr">
        <is>
          <t>https://ajruiz.com.br/sites/default/files/public/arquivos-processos/2026-08/qgc_azeplast_julho_2026.pdf</t>
        </is>
      </c>
      <c r="AJ136" s="30" t="inlineStr">
        <is>
          <t>p2 r6</t>
        </is>
      </c>
      <c r="AK136" s="30" t="inlineStr">
        <is>
          <t>p2: R$ 1.070.557,39</t>
        </is>
      </c>
      <c r="AL136" s="30" t="inlineStr">
        <is>
          <t>QGC (art. 18)</t>
        </is>
      </c>
      <c r="AM136" s="30" t="inlineStr"/>
      <c r="AN136" s="30" t="inlineStr">
        <is>
          <t>NONE FOUND</t>
        </is>
      </c>
      <c r="AO136" s="32" t="inlineStr">
        <is>
          <t>5008793-34.2023.8.24.0019</t>
        </is>
      </c>
      <c r="AP136" s="32" t="inlineStr">
        <is>
          <t>TJSC</t>
        </is>
      </c>
      <c r="AQ136" s="32" t="inlineStr">
        <is>
          <t>Recuperação judicial</t>
        </is>
      </c>
      <c r="AR136" s="32" t="inlineStr">
        <is>
          <t>DataJud: no closure/falência movement</t>
        </is>
      </c>
      <c r="AS136" s="32" t="n">
        <v>2023</v>
      </c>
      <c r="AT136" s="32" t="inlineStr">
        <is>
          <t>live case, no plan document yet</t>
        </is>
      </c>
      <c r="AU136" s="32" t="inlineStr"/>
      <c r="AV136" s="32" t="inlineStr">
        <is>
          <t>printed on the list (read twice)</t>
        </is>
      </c>
      <c r="AW136" s="32" t="inlineStr"/>
      <c r="AX136" s="32" t="inlineStr">
        <is>
          <t>TANGARA</t>
        </is>
      </c>
      <c r="AY136" s="32" t="inlineStr">
        <is>
          <t>SC</t>
        </is>
      </c>
      <c r="AZ136" s="32" t="inlineStr">
        <is>
          <t>Comércio atacadista especializado em outros produtos intermediários não especificados anteriormente</t>
        </is>
      </c>
      <c r="BA136" s="32" t="inlineStr">
        <is>
          <t>não ME/EPP</t>
        </is>
      </c>
      <c r="BB136" s="33" t="n">
        <v>10000</v>
      </c>
      <c r="BC136" s="32" t="inlineStr">
        <is>
          <t>MID-MARKET</t>
        </is>
      </c>
      <c r="BD136" s="32" t="inlineStr">
        <is>
          <t>11230832</t>
        </is>
      </c>
      <c r="BE136" s="32" t="n">
        <v>1</v>
      </c>
      <c r="BF136" s="32" t="inlineStr">
        <is>
          <t>class III reconciled (doc partial)</t>
        </is>
      </c>
    </row>
    <row r="137">
      <c r="A137" s="17" t="inlineStr">
        <is>
          <t>MILIUM GO1 LTDA</t>
        </is>
      </c>
      <c r="B137" s="18" t="n">
        <v>1057681.86</v>
      </c>
      <c r="C137" s="19" t="inlineStr">
        <is>
          <t>GRUPO FERRARI (ALEX, ALEXANDRE , ANDRIELLE FERRARI MANTELLI, ARCIR LUIS, ERICA SANTOS ASSIS LIMA, FERNANDO MANTELLI, IDELSI, TALITA LEITE SILVA, AGROPECUARIA FERRARI LTDA E FERRARI ARMAZENS GERAIS)</t>
        </is>
      </c>
      <c r="D137" s="20" t="inlineStr">
        <is>
          <t>NEW</t>
        </is>
      </c>
      <c r="E137" s="21" t="inlineStr"/>
      <c r="F137" s="20" t="inlineStr"/>
      <c r="G137" s="21" t="inlineStr"/>
      <c r="H137" s="20" t="inlineStr"/>
      <c r="I137" s="22" t="inlineStr">
        <is>
          <t>Antonio Fernandes</t>
        </is>
      </c>
      <c r="J137" s="22" t="inlineStr">
        <is>
          <t>Diretor Conselheiro</t>
        </is>
      </c>
      <c r="K137" s="22" t="inlineStr">
        <is>
          <t>(55) 3512-6744</t>
        </is>
      </c>
      <c r="L137" s="22" t="inlineStr"/>
      <c r="M137" s="22" t="inlineStr"/>
      <c r="N137" s="22" t="inlineStr"/>
      <c r="O137" s="22" t="inlineStr"/>
      <c r="P137" s="22" t="inlineStr">
        <is>
          <t>Eduardo Piazera</t>
        </is>
      </c>
      <c r="Q137" s="22" t="inlineStr">
        <is>
          <t>Legal Director</t>
        </is>
      </c>
      <c r="R137" s="22" t="inlineStr"/>
      <c r="S137" s="22" t="inlineStr">
        <is>
          <t>eduardo.piazera@milium.com.br</t>
        </is>
      </c>
      <c r="T137" s="22" t="inlineStr">
        <is>
          <t>DM: phone Yes; no work email in Apollo for DM; BACKUP: backup, has_email, phone Yes</t>
        </is>
      </c>
      <c r="U137" s="24" t="n">
        <v>1057681.86</v>
      </c>
      <c r="V137" s="25" t="inlineStr">
        <is>
          <t>B</t>
        </is>
      </c>
      <c r="W137" s="26" t="inlineStr"/>
      <c r="X137" s="27" t="inlineStr"/>
      <c r="Y137" s="27" t="inlineStr"/>
      <c r="Z137" s="26">
        <f>IF(W137&lt;&gt;"",W137,IFERROR(VLOOKUP(V137,Assumptions!$A$8:$F$12,2,FALSE),0))</f>
        <v/>
      </c>
      <c r="AA137" s="28">
        <f>IF(V137="A",MAX(1,IF(X137&lt;&gt;"",X137,IFERROR(VLOOKUP(V137,Assumptions!$A$8:$F$12,3,FALSE),3))+IF(Y137&lt;&gt;"",Y137,IFERROR(VLOOKUP(V137,Assumptions!$A$8:$F$12,4,FALSE),8))/2-MAX(0,IF(AS137="",0,YEAR(TODAY())-AS137)-IFERROR(VLOOKUP(V137,Assumptions!$A$8:$F$12,5,FALSE),1.5))),IFERROR(VLOOKUP(V137,Assumptions!$A$8:$F$12,5,FALSE),2.5)+IF(X137&lt;&gt;"",X137,IFERROR(VLOOKUP(V137,Assumptions!$A$8:$F$12,3,FALSE),3))+IF(Y137&lt;&gt;"",Y137,IFERROR(VLOOKUP(V137,Assumptions!$A$8:$F$12,4,FALSE),8))/2)</f>
        <v/>
      </c>
      <c r="AB137" s="24">
        <f>U137*Z137/(1+Assumptions!$B$3)^AA137</f>
        <v/>
      </c>
      <c r="AC137" s="27">
        <f>IF(U137=0,"",ROUND(AB137/U137*100,1))</f>
        <v/>
      </c>
      <c r="AD137" s="29">
        <f>AB137*Assumptions!$B$4</f>
        <v/>
      </c>
      <c r="AE137" s="27">
        <f>IF(U137=0,"",ROUND(AD137/U137*100,1))</f>
        <v/>
      </c>
      <c r="AF137" s="29">
        <f>AB137-AD137</f>
        <v/>
      </c>
      <c r="AG137" s="27">
        <f>IF(U137=0,"",ROUND((AB137-AD137)/U137*100,1))</f>
        <v/>
      </c>
      <c r="AH137" s="34" t="inlineStr">
        <is>
          <t>NO TOTALS — list prints none; check page</t>
        </is>
      </c>
      <c r="AI137" s="31" t="inlineStr">
        <is>
          <t>https://scalzilliaj.com.br/sgc/download.php?file=files/processo_documento/processo_documento11421222052026_1_.pdf&amp;nome=08. Lista de credores do edital do art. 52, §1º da LREF</t>
        </is>
      </c>
      <c r="AJ137" s="30" t="inlineStr">
        <is>
          <t>p4 r3</t>
        </is>
      </c>
      <c r="AK137" s="30" t="inlineStr">
        <is>
          <t>p4: R$ 1.057.681,86</t>
        </is>
      </c>
      <c r="AL137" s="30" t="inlineStr">
        <is>
          <t>Unclassified list</t>
        </is>
      </c>
      <c r="AM137" s="30" t="inlineStr"/>
      <c r="AN137" s="30" t="inlineStr">
        <is>
          <t>NONE FOUND</t>
        </is>
      </c>
      <c r="AO137" s="32" t="inlineStr">
        <is>
          <t>5011369-81.2026.8.09.0093</t>
        </is>
      </c>
      <c r="AP137" s="32" t="inlineStr">
        <is>
          <t>TJGO</t>
        </is>
      </c>
      <c r="AQ137" s="32" t="inlineStr"/>
      <c r="AR137" s="32" t="inlineStr">
        <is>
          <t>DataJud: no closure/falência movement</t>
        </is>
      </c>
      <c r="AS137" s="32" t="n">
        <v>2026</v>
      </c>
      <c r="AT137" s="32" t="inlineStr">
        <is>
          <t>live case, no plan document yet; case no. from the portal record, not printed on the list</t>
        </is>
      </c>
      <c r="AU137" s="32" t="inlineStr"/>
      <c r="AV137" s="32" t="inlineStr">
        <is>
          <t>portal page title / URL — not printed on the list</t>
        </is>
      </c>
      <c r="AW137" s="32" t="inlineStr"/>
      <c r="AX137" s="32" t="inlineStr">
        <is>
          <t>RIO VERDE</t>
        </is>
      </c>
      <c r="AY137" s="32" t="inlineStr">
        <is>
          <t>GO</t>
        </is>
      </c>
      <c r="AZ137" s="32" t="inlineStr">
        <is>
          <t>Comércio atacadista de defensivos agrícolas, adubos, fertilizantes e corretivos do solo</t>
        </is>
      </c>
      <c r="BA137" s="32" t="inlineStr">
        <is>
          <t>não ME/EPP</t>
        </is>
      </c>
      <c r="BB137" s="33" t="n">
        <v>9625251</v>
      </c>
      <c r="BC137" s="32" t="inlineStr">
        <is>
          <t>MID-MARKET</t>
        </is>
      </c>
      <c r="BD137" s="32" t="inlineStr">
        <is>
          <t>49802148</t>
        </is>
      </c>
      <c r="BE137" s="32" t="n">
        <v>1</v>
      </c>
      <c r="BF137" s="32" t="inlineStr">
        <is>
          <t>list prints no totals</t>
        </is>
      </c>
    </row>
    <row r="138">
      <c r="A138" s="17" t="inlineStr">
        <is>
          <t>FARMABASE SAUDE ANIMAL LTDA</t>
        </is>
      </c>
      <c r="B138" s="18" t="n">
        <v>1057231.29</v>
      </c>
      <c r="C138" s="19" t="inlineStr">
        <is>
          <t>SUINOCULTURA KUNZLER</t>
        </is>
      </c>
      <c r="D138" s="20" t="inlineStr">
        <is>
          <t>NEW</t>
        </is>
      </c>
      <c r="E138" s="21" t="inlineStr"/>
      <c r="F138" s="20" t="inlineStr"/>
      <c r="G138" s="21" t="inlineStr"/>
      <c r="H138" s="20" t="inlineStr"/>
      <c r="I138" s="22" t="inlineStr">
        <is>
          <t>Leticia Haicki</t>
        </is>
      </c>
      <c r="J138" s="22" t="inlineStr">
        <is>
          <t>Coordenadora Jurídica LatAm</t>
        </is>
      </c>
      <c r="K138" s="22" t="inlineStr">
        <is>
          <t>(19) 3837-9900</t>
        </is>
      </c>
      <c r="L138" s="22" t="inlineStr">
        <is>
          <t>(19) 3837-9999</t>
        </is>
      </c>
      <c r="M138" s="22" t="inlineStr"/>
      <c r="N138" s="22" t="inlineStr">
        <is>
          <t>leticia.haicki@farmabase.com</t>
        </is>
      </c>
      <c r="O138" s="22" t="inlineStr">
        <is>
          <t>verified</t>
        </is>
      </c>
      <c r="P138" s="22" t="inlineStr">
        <is>
          <t>Renan Farina</t>
        </is>
      </c>
      <c r="Q138" s="22" t="inlineStr">
        <is>
          <t>Commercial Coordinator</t>
        </is>
      </c>
      <c r="R138" s="22" t="inlineStr"/>
      <c r="S138" s="22" t="inlineStr">
        <is>
          <t>renan.farina@farmabase.com</t>
        </is>
      </c>
      <c r="T138" s="22" t="inlineStr">
        <is>
          <t>DM: has_email, phone Yes; BACKUP: backup, has_email, phone Yes</t>
        </is>
      </c>
      <c r="U138" s="24" t="n">
        <v>1057231.29</v>
      </c>
      <c r="V138" s="25" t="inlineStr">
        <is>
          <t>B</t>
        </is>
      </c>
      <c r="W138" s="26" t="inlineStr"/>
      <c r="X138" s="27" t="inlineStr"/>
      <c r="Y138" s="27" t="inlineStr"/>
      <c r="Z138" s="26">
        <f>IF(W138&lt;&gt;"",W138,IFERROR(VLOOKUP(V138,Assumptions!$A$8:$F$12,2,FALSE),0))</f>
        <v/>
      </c>
      <c r="AA138" s="28">
        <f>IF(V138="A",MAX(1,IF(X138&lt;&gt;"",X138,IFERROR(VLOOKUP(V138,Assumptions!$A$8:$F$12,3,FALSE),3))+IF(Y138&lt;&gt;"",Y138,IFERROR(VLOOKUP(V138,Assumptions!$A$8:$F$12,4,FALSE),8))/2-MAX(0,IF(AS138="",0,YEAR(TODAY())-AS138)-IFERROR(VLOOKUP(V138,Assumptions!$A$8:$F$12,5,FALSE),1.5))),IFERROR(VLOOKUP(V138,Assumptions!$A$8:$F$12,5,FALSE),2.5)+IF(X138&lt;&gt;"",X138,IFERROR(VLOOKUP(V138,Assumptions!$A$8:$F$12,3,FALSE),3))+IF(Y138&lt;&gt;"",Y138,IFERROR(VLOOKUP(V138,Assumptions!$A$8:$F$12,4,FALSE),8))/2)</f>
        <v/>
      </c>
      <c r="AB138" s="24">
        <f>U138*Z138/(1+Assumptions!$B$3)^AA138</f>
        <v/>
      </c>
      <c r="AC138" s="27">
        <f>IF(U138=0,"",ROUND(AB138/U138*100,1))</f>
        <v/>
      </c>
      <c r="AD138" s="29">
        <f>AB138*Assumptions!$B$4</f>
        <v/>
      </c>
      <c r="AE138" s="27">
        <f>IF(U138=0,"",ROUND(AD138/U138*100,1))</f>
        <v/>
      </c>
      <c r="AF138" s="29">
        <f>AB138-AD138</f>
        <v/>
      </c>
      <c r="AG138" s="27">
        <f>IF(U138=0,"",ROUND((AB138-AD138)/U138*100,1))</f>
        <v/>
      </c>
      <c r="AH138" s="34" t="inlineStr">
        <is>
          <t>NO TOTALS — list prints none; check page</t>
        </is>
      </c>
      <c r="AI138" s="31" t="inlineStr">
        <is>
          <t>https://rlg-aj.com.br/wp-content/uploads/2024/11/07.-Relação-de-credores.pdf</t>
        </is>
      </c>
      <c r="AJ138" s="30" t="inlineStr">
        <is>
          <t>p1 r34</t>
        </is>
      </c>
      <c r="AK138" s="30" t="inlineStr">
        <is>
          <t>p1: R$ 1.057.231,29</t>
        </is>
      </c>
      <c r="AL138" s="30" t="inlineStr">
        <is>
          <t>Unclassified list</t>
        </is>
      </c>
      <c r="AM138" s="30" t="inlineStr"/>
      <c r="AN138" s="30" t="inlineStr">
        <is>
          <t>NONE FOUND</t>
        </is>
      </c>
      <c r="AO138" s="32" t="inlineStr">
        <is>
          <t>5009149-92.2024.8.24.0019</t>
        </is>
      </c>
      <c r="AP138" s="32" t="inlineStr">
        <is>
          <t>TJSC</t>
        </is>
      </c>
      <c r="AQ138" s="32" t="inlineStr">
        <is>
          <t>Recuperação judicial</t>
        </is>
      </c>
      <c r="AR138" s="32" t="inlineStr">
        <is>
          <t>DataJud: no closure/falência movement</t>
        </is>
      </c>
      <c r="AS138" s="32" t="n">
        <v>2024</v>
      </c>
      <c r="AT138" s="32" t="inlineStr">
        <is>
          <t>live case, no plan document yet; case no. from the portal record, not printed on the list</t>
        </is>
      </c>
      <c r="AU138" s="32" t="inlineStr">
        <is>
          <t>55.365.447/0001-56</t>
        </is>
      </c>
      <c r="AV138" s="32" t="inlineStr">
        <is>
          <t>printed on the list (read twice)</t>
        </is>
      </c>
      <c r="AW138" s="32" t="inlineStr"/>
      <c r="AX138" s="32" t="inlineStr">
        <is>
          <t>JAGUARIUNA</t>
        </is>
      </c>
      <c r="AY138" s="32" t="inlineStr">
        <is>
          <t>SP</t>
        </is>
      </c>
      <c r="AZ138" s="32" t="inlineStr">
        <is>
          <t>Fabricação de medicamentos para uso veterinário</t>
        </is>
      </c>
      <c r="BA138" s="32" t="inlineStr">
        <is>
          <t>não ME/EPP</t>
        </is>
      </c>
      <c r="BB138" s="33" t="n">
        <v>7905182</v>
      </c>
      <c r="BC138" s="32" t="inlineStr">
        <is>
          <t>MID-MARKET</t>
        </is>
      </c>
      <c r="BD138" s="32" t="inlineStr">
        <is>
          <t>73174377</t>
        </is>
      </c>
      <c r="BE138" s="32" t="n">
        <v>1</v>
      </c>
      <c r="BF138" s="32" t="inlineStr">
        <is>
          <t>list prints no totals</t>
        </is>
      </c>
    </row>
    <row r="139">
      <c r="A139" s="17" t="inlineStr">
        <is>
          <t>BACUPARI AGROINDUSTRIA LTDA</t>
        </is>
      </c>
      <c r="B139" s="18" t="n">
        <v>4500000</v>
      </c>
      <c r="C139" s="19" t="inlineStr">
        <is>
          <t>GRUPO 3E</t>
        </is>
      </c>
      <c r="D139" s="20" t="inlineStr">
        <is>
          <t>NEW</t>
        </is>
      </c>
      <c r="E139" s="21" t="inlineStr"/>
      <c r="F139" s="20" t="inlineStr"/>
      <c r="G139" s="21" t="inlineStr"/>
      <c r="H139" s="20" t="inlineStr"/>
      <c r="I139" s="22" t="inlineStr">
        <is>
          <t>ANA PAOLA BRANDAO RAZEM ABRAO</t>
        </is>
      </c>
      <c r="J139" s="23" t="inlineStr">
        <is>
          <t>Sócio-Administrador (RFB partner)</t>
        </is>
      </c>
      <c r="K139" s="22" t="inlineStr">
        <is>
          <t>(61) 9655-6611</t>
        </is>
      </c>
      <c r="L139" s="22" t="inlineStr"/>
      <c r="M139" s="22" t="inlineStr"/>
      <c r="N139" s="22" t="inlineStr"/>
      <c r="O139" s="22" t="inlineStr"/>
      <c r="P139" s="22" t="inlineStr">
        <is>
          <t>RAUL FRANCISCO MADUREIRA DE LIMA</t>
        </is>
      </c>
      <c r="Q139" s="22" t="inlineStr">
        <is>
          <t>Sócio-Administrador (RFB partner)</t>
        </is>
      </c>
      <c r="R139" s="22" t="inlineStr"/>
      <c r="S139" s="22" t="inlineStr"/>
      <c r="T139" s="22" t="inlineStr">
        <is>
          <t>DM = registered partner (RFB QSA); no Apollo match</t>
        </is>
      </c>
      <c r="U139" s="24" t="n">
        <v>4500000</v>
      </c>
      <c r="V139" s="25" t="inlineStr">
        <is>
          <t>B</t>
        </is>
      </c>
      <c r="W139" s="26" t="n">
        <v>0.12</v>
      </c>
      <c r="X139" s="27" t="n">
        <v>2</v>
      </c>
      <c r="Y139" s="27" t="n">
        <v>13</v>
      </c>
      <c r="Z139" s="26">
        <f>IF(W139&lt;&gt;"",W139,IFERROR(VLOOKUP(V139,Assumptions!$A$8:$F$12,2,FALSE),0))</f>
        <v/>
      </c>
      <c r="AA139" s="28">
        <f>IF(V139="A",MAX(1,IF(X139&lt;&gt;"",X139,IFERROR(VLOOKUP(V139,Assumptions!$A$8:$F$12,3,FALSE),3))+IF(Y139&lt;&gt;"",Y139,IFERROR(VLOOKUP(V139,Assumptions!$A$8:$F$12,4,FALSE),8))/2-MAX(0,IF(AS139="",0,YEAR(TODAY())-AS139)-IFERROR(VLOOKUP(V139,Assumptions!$A$8:$F$12,5,FALSE),1.5))),IFERROR(VLOOKUP(V139,Assumptions!$A$8:$F$12,5,FALSE),2.5)+IF(X139&lt;&gt;"",X139,IFERROR(VLOOKUP(V139,Assumptions!$A$8:$F$12,3,FALSE),3))+IF(Y139&lt;&gt;"",Y139,IFERROR(VLOOKUP(V139,Assumptions!$A$8:$F$12,4,FALSE),8))/2)</f>
        <v/>
      </c>
      <c r="AB139" s="24">
        <f>U139*Z139/(1+Assumptions!$B$3)^AA139</f>
        <v/>
      </c>
      <c r="AC139" s="27">
        <f>IF(U139=0,"",ROUND(AB139/U139*100,1))</f>
        <v/>
      </c>
      <c r="AD139" s="29">
        <f>AB139*Assumptions!$B$4</f>
        <v/>
      </c>
      <c r="AE139" s="27">
        <f>IF(U139=0,"",ROUND(AD139/U139*100,1))</f>
        <v/>
      </c>
      <c r="AF139" s="29">
        <f>AB139-AD139</f>
        <v/>
      </c>
      <c r="AG139" s="27">
        <f>IF(U139=0,"",ROUND((AB139-AD139)/U139*100,1))</f>
        <v/>
      </c>
      <c r="AH139" s="34" t="inlineStr">
        <is>
          <t>NO TOTALS — list prints none; check page</t>
        </is>
      </c>
      <c r="AI139" s="31" t="inlineStr">
        <is>
          <t>https://stenius.com.br/wp-content/uploads/2026/06/EDITAL-GRUPO-3E.pdf</t>
        </is>
      </c>
      <c r="AJ139" s="30" t="inlineStr">
        <is>
          <t>p10 r29</t>
        </is>
      </c>
      <c r="AK139" s="30" t="inlineStr">
        <is>
          <t>p10: R$ 4.500.000,00</t>
        </is>
      </c>
      <c r="AL139" s="30" t="inlineStr">
        <is>
          <t>Debtor list (art. 51)</t>
        </is>
      </c>
      <c r="AM139" s="30" t="inlineStr">
        <is>
          <t>2026-06-22</t>
        </is>
      </c>
      <c r="AN139" s="30" t="inlineStr">
        <is>
          <t>PLAN FILED (art. 53), not granted</t>
        </is>
      </c>
      <c r="AO139" s="32" t="inlineStr">
        <is>
          <t>5341375-33.2026.8.09.0049</t>
        </is>
      </c>
      <c r="AP139" s="32" t="inlineStr">
        <is>
          <t>TJGO</t>
        </is>
      </c>
      <c r="AQ139" s="32" t="inlineStr">
        <is>
          <t>Recuperação judicial</t>
        </is>
      </c>
      <c r="AR139" s="32" t="inlineStr">
        <is>
          <t>DataJud: no closure/falência movement</t>
        </is>
      </c>
      <c r="AS139" s="32" t="n">
        <v>2026</v>
      </c>
      <c r="AT139" s="32" t="inlineStr">
        <is>
          <t>plan filed (art. 53), not yet granted</t>
        </is>
      </c>
      <c r="AU139" s="32" t="inlineStr"/>
      <c r="AV139" s="32" t="inlineStr">
        <is>
          <t>printed on the list (read twice)</t>
        </is>
      </c>
      <c r="AW139" s="32" t="inlineStr">
        <is>
          <t>Plano de Recuperação Judicial Grupo 3E v2.0 (Métis), mov. 321, pp.24-25</t>
        </is>
      </c>
      <c r="AX139" s="32" t="inlineStr">
        <is>
          <t>BRASILIA</t>
        </is>
      </c>
      <c r="AY139" s="32" t="inlineStr">
        <is>
          <t>DF</t>
        </is>
      </c>
      <c r="AZ139" s="32" t="inlineStr">
        <is>
          <t>Compra e venda de imóveis próprios</t>
        </is>
      </c>
      <c r="BA139" s="32" t="inlineStr">
        <is>
          <t>não ME/EPP</t>
        </is>
      </c>
      <c r="BB139" s="33" t="n">
        <v>200000</v>
      </c>
      <c r="BC139" s="32" t="inlineStr">
        <is>
          <t>MID-MARKET</t>
        </is>
      </c>
      <c r="BD139" s="32" t="inlineStr">
        <is>
          <t>19907274</t>
        </is>
      </c>
      <c r="BE139" s="32" t="n">
        <v>1</v>
      </c>
      <c r="BF139" s="32" t="inlineStr">
        <is>
          <t>list prints no totals</t>
        </is>
      </c>
    </row>
    <row r="140">
      <c r="A140" s="17" t="inlineStr">
        <is>
          <t>AGROCERES PIC SUINOS LTDA</t>
        </is>
      </c>
      <c r="B140" s="18" t="n">
        <v>1029654.77</v>
      </c>
      <c r="C140" s="19" t="inlineStr">
        <is>
          <t>SUINOCULTURA KUNZLER</t>
        </is>
      </c>
      <c r="D140" s="20" t="inlineStr">
        <is>
          <t>NEW</t>
        </is>
      </c>
      <c r="E140" s="21" t="inlineStr"/>
      <c r="F140" s="20" t="inlineStr"/>
      <c r="G140" s="21" t="inlineStr"/>
      <c r="H140" s="20" t="inlineStr"/>
      <c r="I140" s="22" t="inlineStr">
        <is>
          <t>ALEXANDRE FURTADO DA ROSA</t>
        </is>
      </c>
      <c r="J140" s="23" t="inlineStr">
        <is>
          <t>Administrador (RFB partner)</t>
        </is>
      </c>
      <c r="K140" s="22" t="inlineStr">
        <is>
          <t>(19) 3526-8500</t>
        </is>
      </c>
      <c r="L140" s="22" t="inlineStr"/>
      <c r="M140" s="22" t="inlineStr"/>
      <c r="N140" s="22" t="inlineStr"/>
      <c r="O140" s="22" t="inlineStr"/>
      <c r="P140" s="22" t="inlineStr">
        <is>
          <t>MARCELO ARAUJO RIBEIRAL</t>
        </is>
      </c>
      <c r="Q140" s="22" t="inlineStr">
        <is>
          <t>Administrador (RFB partner)</t>
        </is>
      </c>
      <c r="R140" s="22" t="inlineStr"/>
      <c r="S140" s="22" t="inlineStr"/>
      <c r="T140" s="22" t="inlineStr">
        <is>
          <t>DM = registered partner (RFB QSA); no Apollo match</t>
        </is>
      </c>
      <c r="U140" s="24" t="n">
        <v>1029654.77</v>
      </c>
      <c r="V140" s="25" t="inlineStr">
        <is>
          <t>B</t>
        </is>
      </c>
      <c r="W140" s="26" t="inlineStr"/>
      <c r="X140" s="27" t="inlineStr"/>
      <c r="Y140" s="27" t="inlineStr"/>
      <c r="Z140" s="26">
        <f>IF(W140&lt;&gt;"",W140,IFERROR(VLOOKUP(V140,Assumptions!$A$8:$F$12,2,FALSE),0))</f>
        <v/>
      </c>
      <c r="AA140" s="28">
        <f>IF(V140="A",MAX(1,IF(X140&lt;&gt;"",X140,IFERROR(VLOOKUP(V140,Assumptions!$A$8:$F$12,3,FALSE),3))+IF(Y140&lt;&gt;"",Y140,IFERROR(VLOOKUP(V140,Assumptions!$A$8:$F$12,4,FALSE),8))/2-MAX(0,IF(AS140="",0,YEAR(TODAY())-AS140)-IFERROR(VLOOKUP(V140,Assumptions!$A$8:$F$12,5,FALSE),1.5))),IFERROR(VLOOKUP(V140,Assumptions!$A$8:$F$12,5,FALSE),2.5)+IF(X140&lt;&gt;"",X140,IFERROR(VLOOKUP(V140,Assumptions!$A$8:$F$12,3,FALSE),3))+IF(Y140&lt;&gt;"",Y140,IFERROR(VLOOKUP(V140,Assumptions!$A$8:$F$12,4,FALSE),8))/2)</f>
        <v/>
      </c>
      <c r="AB140" s="24">
        <f>U140*Z140/(1+Assumptions!$B$3)^AA140</f>
        <v/>
      </c>
      <c r="AC140" s="27">
        <f>IF(U140=0,"",ROUND(AB140/U140*100,1))</f>
        <v/>
      </c>
      <c r="AD140" s="29">
        <f>AB140*Assumptions!$B$4</f>
        <v/>
      </c>
      <c r="AE140" s="27">
        <f>IF(U140=0,"",ROUND(AD140/U140*100,1))</f>
        <v/>
      </c>
      <c r="AF140" s="29">
        <f>AB140-AD140</f>
        <v/>
      </c>
      <c r="AG140" s="27">
        <f>IF(U140=0,"",ROUND((AB140-AD140)/U140*100,1))</f>
        <v/>
      </c>
      <c r="AH140" s="34" t="inlineStr">
        <is>
          <t>NO TOTALS — list prints none; check page</t>
        </is>
      </c>
      <c r="AI140" s="31" t="inlineStr">
        <is>
          <t>https://rlg-aj.com.br/wp-content/uploads/2024/11/07.-Relação-de-credores.pdf</t>
        </is>
      </c>
      <c r="AJ140" s="30" t="inlineStr">
        <is>
          <t>p1 r24</t>
        </is>
      </c>
      <c r="AK140" s="30" t="inlineStr">
        <is>
          <t>p1: R$ 1.029.654,77</t>
        </is>
      </c>
      <c r="AL140" s="30" t="inlineStr">
        <is>
          <t>Unclassified list</t>
        </is>
      </c>
      <c r="AM140" s="30" t="inlineStr"/>
      <c r="AN140" s="30" t="inlineStr">
        <is>
          <t>NONE FOUND</t>
        </is>
      </c>
      <c r="AO140" s="32" t="inlineStr">
        <is>
          <t>5009149-92.2024.8.24.0019</t>
        </is>
      </c>
      <c r="AP140" s="32" t="inlineStr">
        <is>
          <t>TJSC</t>
        </is>
      </c>
      <c r="AQ140" s="32" t="inlineStr">
        <is>
          <t>Recuperação judicial</t>
        </is>
      </c>
      <c r="AR140" s="32" t="inlineStr">
        <is>
          <t>DataJud: no closure/falência movement</t>
        </is>
      </c>
      <c r="AS140" s="32" t="n">
        <v>2024</v>
      </c>
      <c r="AT140" s="32" t="inlineStr">
        <is>
          <t>live case, no plan document yet; case no. from the portal record, not printed on the list</t>
        </is>
      </c>
      <c r="AU140" s="32" t="inlineStr">
        <is>
          <t>55.365.447/0001-56</t>
        </is>
      </c>
      <c r="AV140" s="32" t="inlineStr">
        <is>
          <t>printed on the list (read twice)</t>
        </is>
      </c>
      <c r="AW140" s="32" t="inlineStr"/>
      <c r="AX140" s="32" t="inlineStr">
        <is>
          <t>RIO CLARO</t>
        </is>
      </c>
      <c r="AY140" s="32" t="inlineStr">
        <is>
          <t>SP</t>
        </is>
      </c>
      <c r="AZ140" s="32" t="inlineStr">
        <is>
          <t>Criação de suínos</t>
        </is>
      </c>
      <c r="BA140" s="32" t="inlineStr">
        <is>
          <t>não ME/EPP</t>
        </is>
      </c>
      <c r="BB140" s="33" t="n">
        <v>70693980</v>
      </c>
      <c r="BC140" s="32" t="inlineStr">
        <is>
          <t>MID-MARKET</t>
        </is>
      </c>
      <c r="BD140" s="32" t="inlineStr">
        <is>
          <t>28109395</t>
        </is>
      </c>
      <c r="BE140" s="32" t="n">
        <v>1</v>
      </c>
      <c r="BF140" s="32" t="inlineStr">
        <is>
          <t>list prints no totals</t>
        </is>
      </c>
    </row>
    <row r="141">
      <c r="A141" s="17" t="inlineStr">
        <is>
          <t>TRUCKPAG MEIOS DE PAGAMENTO S/A</t>
        </is>
      </c>
      <c r="B141" s="18" t="n">
        <v>1021319.46</v>
      </c>
      <c r="C141" s="19" t="inlineStr">
        <is>
          <t>GRUPO D&amp;D</t>
        </is>
      </c>
      <c r="D141" s="20" t="inlineStr">
        <is>
          <t>NEW</t>
        </is>
      </c>
      <c r="E141" s="21" t="inlineStr"/>
      <c r="F141" s="20" t="inlineStr"/>
      <c r="G141" s="21" t="inlineStr"/>
      <c r="H141" s="20" t="inlineStr"/>
      <c r="I141" s="22" t="inlineStr">
        <is>
          <t>Karina Dias</t>
        </is>
      </c>
      <c r="J141" s="22" t="inlineStr">
        <is>
          <t>Business Manager</t>
        </is>
      </c>
      <c r="K141" s="22" t="inlineStr">
        <is>
          <t>(45) 3229-8773</t>
        </is>
      </c>
      <c r="L141" s="22" t="inlineStr">
        <is>
          <t>(45) 3229-8741</t>
        </is>
      </c>
      <c r="M141" s="22" t="inlineStr"/>
      <c r="N141" s="22" t="inlineStr">
        <is>
          <t>karina.dias@truckpag.com.br</t>
        </is>
      </c>
      <c r="O141" s="22" t="inlineStr">
        <is>
          <t>verified</t>
        </is>
      </c>
      <c r="P141" s="22" t="inlineStr">
        <is>
          <t>KASSIO VINICIUS SEEFELD</t>
        </is>
      </c>
      <c r="Q141" s="22" t="inlineStr">
        <is>
          <t>Presidente (RFB partner)</t>
        </is>
      </c>
      <c r="R141" s="22" t="inlineStr"/>
      <c r="S141" s="22" t="inlineStr"/>
      <c r="T141" s="22" t="inlineStr">
        <is>
          <t>DM: weak, has_email, phone Yes</t>
        </is>
      </c>
      <c r="U141" s="24" t="n">
        <v>1021319.46</v>
      </c>
      <c r="V141" s="25" t="inlineStr">
        <is>
          <t>B</t>
        </is>
      </c>
      <c r="W141" s="26" t="inlineStr"/>
      <c r="X141" s="27" t="inlineStr"/>
      <c r="Y141" s="27" t="inlineStr"/>
      <c r="Z141" s="26">
        <f>IF(W141&lt;&gt;"",W141,IFERROR(VLOOKUP(V141,Assumptions!$A$8:$F$12,2,FALSE),0))</f>
        <v/>
      </c>
      <c r="AA141" s="28">
        <f>IF(V141="A",MAX(1,IF(X141&lt;&gt;"",X141,IFERROR(VLOOKUP(V141,Assumptions!$A$8:$F$12,3,FALSE),3))+IF(Y141&lt;&gt;"",Y141,IFERROR(VLOOKUP(V141,Assumptions!$A$8:$F$12,4,FALSE),8))/2-MAX(0,IF(AS141="",0,YEAR(TODAY())-AS141)-IFERROR(VLOOKUP(V141,Assumptions!$A$8:$F$12,5,FALSE),1.5))),IFERROR(VLOOKUP(V141,Assumptions!$A$8:$F$12,5,FALSE),2.5)+IF(X141&lt;&gt;"",X141,IFERROR(VLOOKUP(V141,Assumptions!$A$8:$F$12,3,FALSE),3))+IF(Y141&lt;&gt;"",Y141,IFERROR(VLOOKUP(V141,Assumptions!$A$8:$F$12,4,FALSE),8))/2)</f>
        <v/>
      </c>
      <c r="AB141" s="24">
        <f>U141*Z141/(1+Assumptions!$B$3)^AA141</f>
        <v/>
      </c>
      <c r="AC141" s="27">
        <f>IF(U141=0,"",ROUND(AB141/U141*100,1))</f>
        <v/>
      </c>
      <c r="AD141" s="29">
        <f>AB141*Assumptions!$B$4</f>
        <v/>
      </c>
      <c r="AE141" s="27">
        <f>IF(U141=0,"",ROUND(AD141/U141*100,1))</f>
        <v/>
      </c>
      <c r="AF141" s="29">
        <f>AB141-AD141</f>
        <v/>
      </c>
      <c r="AG141" s="27">
        <f>IF(U141=0,"",ROUND((AB141-AD141)/U141*100,1))</f>
        <v/>
      </c>
      <c r="AH141" s="35" t="inlineStr">
        <is>
          <t>PARTIAL — class III reconciled, other classes not</t>
        </is>
      </c>
      <c r="AI141" s="31" t="inlineStr">
        <is>
          <t>https://marquesadmjudicial.com.br/sgc/download.php?file=files/processo_documento/processo_documento20014127022025_1_.pdf&amp;nome=Relação Nominal de Credores</t>
        </is>
      </c>
      <c r="AJ141" s="30" t="inlineStr">
        <is>
          <t>p6 r6</t>
        </is>
      </c>
      <c r="AK141" s="30" t="inlineStr">
        <is>
          <t>p6: R$ 1.021.319,46</t>
        </is>
      </c>
      <c r="AL141" s="30" t="inlineStr">
        <is>
          <t>AJ list (art. 7 §2)</t>
        </is>
      </c>
      <c r="AM141" s="30" t="inlineStr">
        <is>
          <t>2024-11-08</t>
        </is>
      </c>
      <c r="AN141" s="30" t="inlineStr">
        <is>
          <t>NONE FOUND</t>
        </is>
      </c>
      <c r="AO141" s="32" t="inlineStr">
        <is>
          <t>0001943-40.2024.8.16.0115</t>
        </is>
      </c>
      <c r="AP141" s="32" t="inlineStr">
        <is>
          <t>TJPR</t>
        </is>
      </c>
      <c r="AQ141" s="32" t="inlineStr">
        <is>
          <t>Recuperação judicial</t>
        </is>
      </c>
      <c r="AR141" s="32" t="inlineStr">
        <is>
          <t>DataJud: no closure/falência movement</t>
        </is>
      </c>
      <c r="AS141" s="32" t="n">
        <v>2024</v>
      </c>
      <c r="AT141" s="32" t="inlineStr">
        <is>
          <t>live case, no plan document yet</t>
        </is>
      </c>
      <c r="AU141" s="32" t="inlineStr"/>
      <c r="AV141" s="32" t="inlineStr">
        <is>
          <t>printed on the list (read twice)</t>
        </is>
      </c>
      <c r="AW141" s="32" t="inlineStr"/>
      <c r="AX141" s="32" t="inlineStr">
        <is>
          <t>SANTANA DE PARNAIBA</t>
        </is>
      </c>
      <c r="AY141" s="32" t="inlineStr">
        <is>
          <t>SP</t>
        </is>
      </c>
      <c r="AZ141" s="32" t="inlineStr">
        <is>
          <t>Atividades de intermediação e agenciamento de serviços e negócios em geral, exceto imobiliários</t>
        </is>
      </c>
      <c r="BA141" s="32" t="inlineStr">
        <is>
          <t>não ME/EPP</t>
        </is>
      </c>
      <c r="BB141" s="33" t="n">
        <v>2012100</v>
      </c>
      <c r="BC141" s="32" t="inlineStr">
        <is>
          <t>MID-MARKET</t>
        </is>
      </c>
      <c r="BD141" s="32" t="inlineStr">
        <is>
          <t>31443324</t>
        </is>
      </c>
      <c r="BE141" s="32" t="n">
        <v>1</v>
      </c>
      <c r="BF141" s="32" t="inlineStr">
        <is>
          <t>class III reconciled (doc partial)</t>
        </is>
      </c>
    </row>
    <row r="142">
      <c r="A142" s="17" t="inlineStr">
        <is>
          <t>MICROMAZZA INDUSTRIA DE VALVULAS LTDA</t>
        </is>
      </c>
      <c r="B142" s="18" t="n">
        <v>1006062.4</v>
      </c>
      <c r="C142" s="19" t="inlineStr">
        <is>
          <t>GRUPO EGESA (Egesa Engenharia S.A. + 9 group companies; see group members)</t>
        </is>
      </c>
      <c r="D142" s="20" t="inlineStr">
        <is>
          <t>NEW</t>
        </is>
      </c>
      <c r="E142" s="21" t="inlineStr"/>
      <c r="F142" s="20" t="inlineStr"/>
      <c r="G142" s="21" t="inlineStr"/>
      <c r="H142" s="20" t="inlineStr"/>
      <c r="I142" s="22" t="inlineStr">
        <is>
          <t>FERNANDA CAMANA</t>
        </is>
      </c>
      <c r="J142" s="23" t="inlineStr">
        <is>
          <t>Administrador (RFB partner)</t>
        </is>
      </c>
      <c r="K142" s="22" t="inlineStr">
        <is>
          <t>(54) 3447-2700</t>
        </is>
      </c>
      <c r="L142" s="22" t="inlineStr"/>
      <c r="M142" s="22" t="inlineStr"/>
      <c r="N142" s="22" t="inlineStr"/>
      <c r="O142" s="22" t="inlineStr"/>
      <c r="P142" s="22" t="inlineStr">
        <is>
          <t>Karla Ticz</t>
        </is>
      </c>
      <c r="Q142" s="22" t="inlineStr">
        <is>
          <t>Senior Accounting Analyst</t>
        </is>
      </c>
      <c r="R142" s="22" t="inlineStr"/>
      <c r="S142" s="22" t="inlineStr">
        <is>
          <t>karla@micromazza.ind.br</t>
        </is>
      </c>
      <c r="T142" s="22" t="inlineStr">
        <is>
          <t>DM = registered partner (RFB QSA); Apollo pick demoted to backup (non-finance role); BACKUP: weak, has_email</t>
        </is>
      </c>
      <c r="U142" s="24" t="n">
        <v>1006062.4</v>
      </c>
      <c r="V142" s="25" t="inlineStr">
        <is>
          <t>B</t>
        </is>
      </c>
      <c r="W142" s="26" t="inlineStr"/>
      <c r="X142" s="27" t="inlineStr"/>
      <c r="Y142" s="27" t="inlineStr"/>
      <c r="Z142" s="26">
        <f>IF(W142&lt;&gt;"",W142,IFERROR(VLOOKUP(V142,Assumptions!$A$8:$F$12,2,FALSE),0))</f>
        <v/>
      </c>
      <c r="AA142" s="28">
        <f>IF(V142="A",MAX(1,IF(X142&lt;&gt;"",X142,IFERROR(VLOOKUP(V142,Assumptions!$A$8:$F$12,3,FALSE),3))+IF(Y142&lt;&gt;"",Y142,IFERROR(VLOOKUP(V142,Assumptions!$A$8:$F$12,4,FALSE),8))/2-MAX(0,IF(AS142="",0,YEAR(TODAY())-AS142)-IFERROR(VLOOKUP(V142,Assumptions!$A$8:$F$12,5,FALSE),1.5))),IFERROR(VLOOKUP(V142,Assumptions!$A$8:$F$12,5,FALSE),2.5)+IF(X142&lt;&gt;"",X142,IFERROR(VLOOKUP(V142,Assumptions!$A$8:$F$12,3,FALSE),3))+IF(Y142&lt;&gt;"",Y142,IFERROR(VLOOKUP(V142,Assumptions!$A$8:$F$12,4,FALSE),8))/2)</f>
        <v/>
      </c>
      <c r="AB142" s="24">
        <f>U142*Z142/(1+Assumptions!$B$3)^AA142</f>
        <v/>
      </c>
      <c r="AC142" s="27">
        <f>IF(U142=0,"",ROUND(AB142/U142*100,1))</f>
        <v/>
      </c>
      <c r="AD142" s="29">
        <f>AB142*Assumptions!$B$4</f>
        <v/>
      </c>
      <c r="AE142" s="27">
        <f>IF(U142=0,"",ROUND(AD142/U142*100,1))</f>
        <v/>
      </c>
      <c r="AF142" s="29">
        <f>AB142-AD142</f>
        <v/>
      </c>
      <c r="AG142" s="27">
        <f>IF(U142=0,"",ROUND((AB142-AD142)/U142*100,1))</f>
        <v/>
      </c>
      <c r="AH142" s="30" t="inlineStr">
        <is>
          <t>OK — totals reconciled</t>
        </is>
      </c>
      <c r="AI142" s="31" t="inlineStr">
        <is>
          <t>https://scalzilliaj.com.br/sgc/download.php?file=files/processo_documento/processo_documento09514021082025_1_.pdf&amp;nome=04 - Relação de credores das Recuperandas</t>
        </is>
      </c>
      <c r="AJ142" s="30" t="inlineStr">
        <is>
          <t>p69 r18</t>
        </is>
      </c>
      <c r="AK142" s="30" t="inlineStr">
        <is>
          <t>p69: R$ 1.006.062,40</t>
        </is>
      </c>
      <c r="AL142" s="30" t="inlineStr">
        <is>
          <t>Debtor list (art. 51)</t>
        </is>
      </c>
      <c r="AM142" s="30" t="inlineStr"/>
      <c r="AN142" s="30" t="inlineStr">
        <is>
          <t>NONE FOUND</t>
        </is>
      </c>
      <c r="AO142" s="32" t="inlineStr">
        <is>
          <t>5088952-81.2025.8.13.0024</t>
        </is>
      </c>
      <c r="AP142" s="32" t="inlineStr">
        <is>
          <t>TJMG</t>
        </is>
      </c>
      <c r="AQ142" s="32" t="inlineStr"/>
      <c r="AR142" s="32" t="inlineStr">
        <is>
          <t>DataJud: no closure/falência movement</t>
        </is>
      </c>
      <c r="AS142" s="32" t="n">
        <v>2025</v>
      </c>
      <c r="AT142" s="32" t="inlineStr">
        <is>
          <t>live case, no plan document yet; case no. from the portal record, not printed on the list</t>
        </is>
      </c>
      <c r="AU142" s="32" t="inlineStr"/>
      <c r="AV142" s="32" t="inlineStr">
        <is>
          <t>portal page title / URL — not printed on the list</t>
        </is>
      </c>
      <c r="AW142" s="32" t="inlineStr"/>
      <c r="AX142" s="32" t="inlineStr">
        <is>
          <t>VILA FLORES</t>
        </is>
      </c>
      <c r="AY142" s="32" t="inlineStr">
        <is>
          <t>RS</t>
        </is>
      </c>
      <c r="AZ142" s="32" t="inlineStr">
        <is>
          <t>Fabricação de válvulas, registros e dispositivos semelhantes, peças e acessórios</t>
        </is>
      </c>
      <c r="BA142" s="32" t="inlineStr">
        <is>
          <t>não ME/EPP</t>
        </is>
      </c>
      <c r="BB142" s="33" t="n">
        <v>9000000</v>
      </c>
      <c r="BC142" s="32" t="inlineStr">
        <is>
          <t>MID-MARKET</t>
        </is>
      </c>
      <c r="BD142" s="32" t="inlineStr">
        <is>
          <t>72096100</t>
        </is>
      </c>
      <c r="BE142" s="32" t="n">
        <v>1</v>
      </c>
      <c r="BF142" s="32" t="inlineStr">
        <is>
          <t>case no. corrected by reader case no. from portal record</t>
        </is>
      </c>
    </row>
    <row r="143">
      <c r="A143" s="17" t="inlineStr">
        <is>
          <t>INDUSTRIA E COMERCIO DE PRODUTOS AGRICOLAS NEWFERT LTDA</t>
        </is>
      </c>
      <c r="B143" s="18" t="n">
        <v>1002340</v>
      </c>
      <c r="C143" s="19" t="inlineStr">
        <is>
          <t>Agroforte Agropecuaria Ltda</t>
        </is>
      </c>
      <c r="D143" s="20" t="inlineStr">
        <is>
          <t>NEW</t>
        </is>
      </c>
      <c r="E143" s="21" t="inlineStr"/>
      <c r="F143" s="20" t="inlineStr"/>
      <c r="G143" s="21" t="inlineStr"/>
      <c r="H143" s="20" t="inlineStr"/>
      <c r="I143" s="22" t="inlineStr">
        <is>
          <t>LUIS HIDEKI TAKAHARA</t>
        </is>
      </c>
      <c r="J143" s="23" t="inlineStr">
        <is>
          <t>Sócio-Administrador (RFB partner)</t>
        </is>
      </c>
      <c r="K143" s="22" t="inlineStr">
        <is>
          <t>(45) 4102-0950</t>
        </is>
      </c>
      <c r="L143" s="22" t="inlineStr"/>
      <c r="M143" s="22" t="inlineStr"/>
      <c r="N143" s="22" t="inlineStr"/>
      <c r="O143" s="22" t="inlineStr"/>
      <c r="P143" s="22" t="inlineStr"/>
      <c r="Q143" s="22" t="inlineStr"/>
      <c r="R143" s="22" t="inlineStr"/>
      <c r="S143" s="22" t="inlineStr"/>
      <c r="T143" s="22" t="inlineStr">
        <is>
          <t>DM = registered partner (RFB QSA); no Apollo match</t>
        </is>
      </c>
      <c r="U143" s="24" t="n">
        <v>1002340</v>
      </c>
      <c r="V143" s="25" t="inlineStr">
        <is>
          <t>B</t>
        </is>
      </c>
      <c r="W143" s="26" t="inlineStr"/>
      <c r="X143" s="27" t="inlineStr"/>
      <c r="Y143" s="27" t="inlineStr"/>
      <c r="Z143" s="26">
        <f>IF(W143&lt;&gt;"",W143,IFERROR(VLOOKUP(V143,Assumptions!$A$8:$F$12,2,FALSE),0))</f>
        <v/>
      </c>
      <c r="AA143" s="28">
        <f>IF(V143="A",MAX(1,IF(X143&lt;&gt;"",X143,IFERROR(VLOOKUP(V143,Assumptions!$A$8:$F$12,3,FALSE),3))+IF(Y143&lt;&gt;"",Y143,IFERROR(VLOOKUP(V143,Assumptions!$A$8:$F$12,4,FALSE),8))/2-MAX(0,IF(AS143="",0,YEAR(TODAY())-AS143)-IFERROR(VLOOKUP(V143,Assumptions!$A$8:$F$12,5,FALSE),1.5))),IFERROR(VLOOKUP(V143,Assumptions!$A$8:$F$12,5,FALSE),2.5)+IF(X143&lt;&gt;"",X143,IFERROR(VLOOKUP(V143,Assumptions!$A$8:$F$12,3,FALSE),3))+IF(Y143&lt;&gt;"",Y143,IFERROR(VLOOKUP(V143,Assumptions!$A$8:$F$12,4,FALSE),8))/2)</f>
        <v/>
      </c>
      <c r="AB143" s="24">
        <f>U143*Z143/(1+Assumptions!$B$3)^AA143</f>
        <v/>
      </c>
      <c r="AC143" s="27">
        <f>IF(U143=0,"",ROUND(AB143/U143*100,1))</f>
        <v/>
      </c>
      <c r="AD143" s="29">
        <f>AB143*Assumptions!$B$4</f>
        <v/>
      </c>
      <c r="AE143" s="27">
        <f>IF(U143=0,"",ROUND(AD143/U143*100,1))</f>
        <v/>
      </c>
      <c r="AF143" s="29">
        <f>AB143-AD143</f>
        <v/>
      </c>
      <c r="AG143" s="27">
        <f>IF(U143=0,"",ROUND((AB143-AD143)/U143*100,1))</f>
        <v/>
      </c>
      <c r="AH143" s="35" t="inlineStr">
        <is>
          <t>PARTIAL — class III reconciled, other classes not</t>
        </is>
      </c>
      <c r="AI143" s="31" t="inlineStr">
        <is>
          <t>https://marquesadmjudicial.com.br/sgc/download.php?file=files/processo_documento/processo_documento11370527032026_1_.pdf&amp;nome=Quadro Geral de Credores (QGC) -AJ Anterior</t>
        </is>
      </c>
      <c r="AJ143" s="30" t="inlineStr">
        <is>
          <t>p2 r5</t>
        </is>
      </c>
      <c r="AK143" s="30" t="inlineStr">
        <is>
          <t>p2: R$ 1.002.340,00</t>
        </is>
      </c>
      <c r="AL143" s="30" t="inlineStr">
        <is>
          <t>QGC (art. 18)</t>
        </is>
      </c>
      <c r="AM143" s="30" t="inlineStr">
        <is>
          <t>2025-09-22</t>
        </is>
      </c>
      <c r="AN143" s="30" t="inlineStr">
        <is>
          <t>NONE FOUND</t>
        </is>
      </c>
      <c r="AO143" s="32" t="inlineStr">
        <is>
          <t>0031120-52.2024.8.16.0017</t>
        </is>
      </c>
      <c r="AP143" s="32" t="inlineStr">
        <is>
          <t>TJPR</t>
        </is>
      </c>
      <c r="AQ143" s="32" t="inlineStr">
        <is>
          <t>Recuperação judicial</t>
        </is>
      </c>
      <c r="AR143" s="32" t="inlineStr">
        <is>
          <t>DataJud: no closure/falência movement</t>
        </is>
      </c>
      <c r="AS143" s="32" t="n">
        <v>2024</v>
      </c>
      <c r="AT143" s="32" t="inlineStr">
        <is>
          <t>live case, no plan document yet</t>
        </is>
      </c>
      <c r="AU143" s="32" t="inlineStr">
        <is>
          <t>33.286.454/0001-20</t>
        </is>
      </c>
      <c r="AV143" s="32" t="inlineStr">
        <is>
          <t>printed on the list (read twice)</t>
        </is>
      </c>
      <c r="AW143" s="32" t="inlineStr"/>
      <c r="AX143" s="32" t="inlineStr">
        <is>
          <t>PIRAJUBA</t>
        </is>
      </c>
      <c r="AY143" s="32" t="inlineStr">
        <is>
          <t>MG</t>
        </is>
      </c>
      <c r="AZ143" s="32" t="inlineStr">
        <is>
          <t>Fabricação de adubos e fertilizantes, exceto organo-minerais</t>
        </is>
      </c>
      <c r="BA143" s="32" t="inlineStr">
        <is>
          <t>EMPRESA DE PEQUENO PORTE</t>
        </is>
      </c>
      <c r="BB143" s="33" t="n">
        <v>1343000</v>
      </c>
      <c r="BC143" s="32" t="inlineStr">
        <is>
          <t>SMALL</t>
        </is>
      </c>
      <c r="BD143" s="32" t="inlineStr">
        <is>
          <t>32847622</t>
        </is>
      </c>
      <c r="BE143" s="32" t="n">
        <v>1</v>
      </c>
      <c r="BF143" s="32" t="inlineStr">
        <is>
          <t>class III reconciled (doc partial)</t>
        </is>
      </c>
    </row>
    <row r="144">
      <c r="A144" s="17" t="inlineStr">
        <is>
          <t>NAZCA DISTRIBUIDORA DE COSMETICOS LTDA</t>
        </is>
      </c>
      <c r="B144" s="18" t="n">
        <v>999930.72</v>
      </c>
      <c r="C144" s="19" t="inlineStr">
        <is>
          <t>GRUPO DP4</t>
        </is>
      </c>
      <c r="D144" s="20" t="inlineStr">
        <is>
          <t>NEW</t>
        </is>
      </c>
      <c r="E144" s="21" t="inlineStr"/>
      <c r="F144" s="20" t="inlineStr"/>
      <c r="G144" s="21" t="inlineStr"/>
      <c r="H144" s="20" t="inlineStr"/>
      <c r="I144" s="22" t="inlineStr">
        <is>
          <t>JOSE DURVAL CARINHATO</t>
        </is>
      </c>
      <c r="J144" s="23" t="inlineStr">
        <is>
          <t>Administrador (RFB partner)</t>
        </is>
      </c>
      <c r="K144" s="22" t="inlineStr">
        <is>
          <t>(11) 4061-6000</t>
        </is>
      </c>
      <c r="L144" s="22" t="inlineStr"/>
      <c r="M144" s="22" t="inlineStr"/>
      <c r="N144" s="22" t="inlineStr"/>
      <c r="O144" s="22" t="inlineStr"/>
      <c r="P144" s="22" t="inlineStr">
        <is>
          <t>MARCOS FERNANDO CARINHATO</t>
        </is>
      </c>
      <c r="Q144" s="22" t="inlineStr">
        <is>
          <t>Administrador (RFB partner)</t>
        </is>
      </c>
      <c r="R144" s="22" t="inlineStr"/>
      <c r="S144" s="22" t="inlineStr"/>
      <c r="T144" s="22" t="inlineStr">
        <is>
          <t>DM = registered partner (RFB QSA); no Apollo match</t>
        </is>
      </c>
      <c r="U144" s="24" t="n">
        <v>999930.72</v>
      </c>
      <c r="V144" s="25" t="inlineStr">
        <is>
          <t>B</t>
        </is>
      </c>
      <c r="W144" s="26" t="inlineStr"/>
      <c r="X144" s="27" t="inlineStr"/>
      <c r="Y144" s="27" t="inlineStr"/>
      <c r="Z144" s="26">
        <f>IF(W144&lt;&gt;"",W144,IFERROR(VLOOKUP(V144,Assumptions!$A$8:$F$12,2,FALSE),0))</f>
        <v/>
      </c>
      <c r="AA144" s="28">
        <f>IF(V144="A",MAX(1,IF(X144&lt;&gt;"",X144,IFERROR(VLOOKUP(V144,Assumptions!$A$8:$F$12,3,FALSE),3))+IF(Y144&lt;&gt;"",Y144,IFERROR(VLOOKUP(V144,Assumptions!$A$8:$F$12,4,FALSE),8))/2-MAX(0,IF(AS144="",0,YEAR(TODAY())-AS144)-IFERROR(VLOOKUP(V144,Assumptions!$A$8:$F$12,5,FALSE),1.5))),IFERROR(VLOOKUP(V144,Assumptions!$A$8:$F$12,5,FALSE),2.5)+IF(X144&lt;&gt;"",X144,IFERROR(VLOOKUP(V144,Assumptions!$A$8:$F$12,3,FALSE),3))+IF(Y144&lt;&gt;"",Y144,IFERROR(VLOOKUP(V144,Assumptions!$A$8:$F$12,4,FALSE),8))/2)</f>
        <v/>
      </c>
      <c r="AB144" s="24">
        <f>U144*Z144/(1+Assumptions!$B$3)^AA144</f>
        <v/>
      </c>
      <c r="AC144" s="27">
        <f>IF(U144=0,"",ROUND(AB144/U144*100,1))</f>
        <v/>
      </c>
      <c r="AD144" s="29">
        <f>AB144*Assumptions!$B$4</f>
        <v/>
      </c>
      <c r="AE144" s="27">
        <f>IF(U144=0,"",ROUND(AD144/U144*100,1))</f>
        <v/>
      </c>
      <c r="AF144" s="29">
        <f>AB144-AD144</f>
        <v/>
      </c>
      <c r="AG144" s="27">
        <f>IF(U144=0,"",ROUND((AB144-AD144)/U144*100,1))</f>
        <v/>
      </c>
      <c r="AH144" s="35" t="inlineStr">
        <is>
          <t>PARTIAL — class III reconciled, other classes not</t>
        </is>
      </c>
      <c r="AI144" s="31" t="inlineStr">
        <is>
          <t>https://marquesadmjudicial.com.br/sgc/download.php?file=files/processo_documento/processo_documento15293208032024_1_.pdf&amp;nome=Relação Nominal de Credores da AJ-Sintética</t>
        </is>
      </c>
      <c r="AJ144" s="30" t="inlineStr">
        <is>
          <t>p29 r11</t>
        </is>
      </c>
      <c r="AK144" s="30" t="inlineStr">
        <is>
          <t>p29: R$ 999.930,72</t>
        </is>
      </c>
      <c r="AL144" s="30" t="inlineStr">
        <is>
          <t>AJ list (art. 7 §2)</t>
        </is>
      </c>
      <c r="AM144" s="30" t="inlineStr">
        <is>
          <t>2023-03-02</t>
        </is>
      </c>
      <c r="AN144" s="30" t="inlineStr">
        <is>
          <t>NONE FOUND</t>
        </is>
      </c>
      <c r="AO144" s="32" t="inlineStr">
        <is>
          <t>0005010-98.2023.8.16.0001</t>
        </is>
      </c>
      <c r="AP144" s="32" t="inlineStr">
        <is>
          <t>TJPR</t>
        </is>
      </c>
      <c r="AQ144" s="32" t="inlineStr">
        <is>
          <t>Recuperação judicial</t>
        </is>
      </c>
      <c r="AR144" s="32" t="inlineStr">
        <is>
          <t>DataJud: no closure/falência movement</t>
        </is>
      </c>
      <c r="AS144" s="32" t="n">
        <v>2023</v>
      </c>
      <c r="AT144" s="32" t="inlineStr">
        <is>
          <t>live case, no plan document yet</t>
        </is>
      </c>
      <c r="AU144" s="32" t="inlineStr"/>
      <c r="AV144" s="32" t="inlineStr">
        <is>
          <t>printed on the list (read twice)</t>
        </is>
      </c>
      <c r="AW144" s="32" t="inlineStr"/>
      <c r="AX144" s="32" t="inlineStr">
        <is>
          <t>DIADEMA</t>
        </is>
      </c>
      <c r="AY144" s="32" t="inlineStr">
        <is>
          <t>SP</t>
        </is>
      </c>
      <c r="AZ144" s="32" t="inlineStr">
        <is>
          <t>Comércio atacadista de cosméticos e produtos de perfumaria</t>
        </is>
      </c>
      <c r="BA144" s="32" t="inlineStr">
        <is>
          <t>não ME/EPP</t>
        </is>
      </c>
      <c r="BB144" s="33" t="n">
        <v>4800000</v>
      </c>
      <c r="BC144" s="32" t="inlineStr">
        <is>
          <t>MID-MARKET</t>
        </is>
      </c>
      <c r="BD144" s="32" t="inlineStr">
        <is>
          <t>08509682</t>
        </is>
      </c>
      <c r="BE144" s="32" t="n">
        <v>1</v>
      </c>
      <c r="BF144" s="32" t="inlineStr">
        <is>
          <t>class III reconciled (doc partial)</t>
        </is>
      </c>
    </row>
    <row r="145">
      <c r="A145" s="17" t="inlineStr">
        <is>
          <t>BRASQUIMICA PRODUTOS ASFALTICOS LTDA</t>
        </is>
      </c>
      <c r="B145" s="18" t="n">
        <v>3879789.49</v>
      </c>
      <c r="C145" s="19" t="inlineStr">
        <is>
          <t>CONSTRUTORA ANDRADE GUEDES LTDA</t>
        </is>
      </c>
      <c r="D145" s="20" t="inlineStr">
        <is>
          <t>NEW</t>
        </is>
      </c>
      <c r="E145" s="21" t="inlineStr"/>
      <c r="F145" s="20" t="inlineStr"/>
      <c r="G145" s="21" t="inlineStr"/>
      <c r="H145" s="20" t="inlineStr"/>
      <c r="I145" s="22" t="inlineStr">
        <is>
          <t>Kelmara Pereira</t>
        </is>
      </c>
      <c r="J145" s="22" t="inlineStr">
        <is>
          <t>Technical Manager</t>
        </is>
      </c>
      <c r="K145" s="22" t="inlineStr">
        <is>
          <t>(71) 3118-2100</t>
        </is>
      </c>
      <c r="L145" s="22" t="inlineStr"/>
      <c r="M145" s="22" t="inlineStr"/>
      <c r="N145" s="22" t="inlineStr"/>
      <c r="O145" s="22" t="inlineStr"/>
      <c r="P145" s="22" t="inlineStr">
        <is>
          <t>ALBERTO GARRIDO PINON</t>
        </is>
      </c>
      <c r="Q145" s="22" t="inlineStr">
        <is>
          <t>Administrador (RFB partner)</t>
        </is>
      </c>
      <c r="R145" s="22" t="inlineStr"/>
      <c r="S145" s="22" t="inlineStr"/>
      <c r="T145" s="22" t="inlineStr">
        <is>
          <t>DM: weak; no work email in Apollo for DM</t>
        </is>
      </c>
      <c r="U145" s="24" t="n">
        <v>3879789.49</v>
      </c>
      <c r="V145" s="39" t="inlineStr">
        <is>
          <t>C</t>
        </is>
      </c>
      <c r="W145" s="26" t="inlineStr"/>
      <c r="X145" s="27" t="inlineStr"/>
      <c r="Y145" s="27" t="inlineStr"/>
      <c r="Z145" s="26">
        <f>IF(W145&lt;&gt;"",W145,IFERROR(VLOOKUP(V145,Assumptions!$A$8:$F$12,2,FALSE),0))</f>
        <v/>
      </c>
      <c r="AA145" s="28">
        <f>IF(V145="A",MAX(1,IF(X145&lt;&gt;"",X145,IFERROR(VLOOKUP(V145,Assumptions!$A$8:$F$12,3,FALSE),3))+IF(Y145&lt;&gt;"",Y145,IFERROR(VLOOKUP(V145,Assumptions!$A$8:$F$12,4,FALSE),8))/2-MAX(0,IF(AS145="",0,YEAR(TODAY())-AS145)-IFERROR(VLOOKUP(V145,Assumptions!$A$8:$F$12,5,FALSE),1.5))),IFERROR(VLOOKUP(V145,Assumptions!$A$8:$F$12,5,FALSE),2.5)+IF(X145&lt;&gt;"",X145,IFERROR(VLOOKUP(V145,Assumptions!$A$8:$F$12,3,FALSE),3))+IF(Y145&lt;&gt;"",Y145,IFERROR(VLOOKUP(V145,Assumptions!$A$8:$F$12,4,FALSE),8))/2)</f>
        <v/>
      </c>
      <c r="AB145" s="24">
        <f>U145*Z145/(1+Assumptions!$B$3)^AA145</f>
        <v/>
      </c>
      <c r="AC145" s="27">
        <f>IF(U145=0,"",ROUND(AB145/U145*100,1))</f>
        <v/>
      </c>
      <c r="AD145" s="29">
        <f>AB145*Assumptions!$B$4</f>
        <v/>
      </c>
      <c r="AE145" s="27">
        <f>IF(U145=0,"",ROUND(AD145/U145*100,1))</f>
        <v/>
      </c>
      <c r="AF145" s="29">
        <f>AB145-AD145</f>
        <v/>
      </c>
      <c r="AG145" s="27">
        <f>IF(U145=0,"",ROUND((AB145-AD145)/U145*100,1))</f>
        <v/>
      </c>
      <c r="AH145" s="34" t="inlineStr">
        <is>
          <t>NO TOTALS — list prints none; check page</t>
        </is>
      </c>
      <c r="AI145" s="31" t="inlineStr">
        <is>
          <t>https://diligence.adm.br/wp-content/plugins/download-attachments/includes/download.php?id=4599</t>
        </is>
      </c>
      <c r="AJ145" s="30" t="inlineStr">
        <is>
          <t>p10 r10</t>
        </is>
      </c>
      <c r="AK145" s="30" t="inlineStr">
        <is>
          <t>p10: R$ 3.879.789,49</t>
        </is>
      </c>
      <c r="AL145" s="30" t="inlineStr">
        <is>
          <t>AJ list (art. 7 §2)</t>
        </is>
      </c>
      <c r="AM145" s="30" t="inlineStr">
        <is>
          <t>2024-06-25</t>
        </is>
      </c>
      <c r="AN145" s="30" t="inlineStr">
        <is>
          <t>NONE FOUND</t>
        </is>
      </c>
      <c r="AO145" s="32" t="inlineStr">
        <is>
          <t>0000880-57.2020.8.17.2001</t>
        </is>
      </c>
      <c r="AP145" s="32" t="inlineStr">
        <is>
          <t>TJPE</t>
        </is>
      </c>
      <c r="AQ145" s="32" t="inlineStr">
        <is>
          <t>Recuperação judicial</t>
        </is>
      </c>
      <c r="AR145" s="32" t="inlineStr">
        <is>
          <t>DataJud: no closure/falência movement</t>
        </is>
      </c>
      <c r="AS145" s="32" t="n">
        <v>2020</v>
      </c>
      <c r="AT145" s="32" t="inlineStr">
        <is>
          <t>6y since filing; plan not in our documents</t>
        </is>
      </c>
      <c r="AU145" s="32" t="inlineStr">
        <is>
          <t>08.073.264/0001-87</t>
        </is>
      </c>
      <c r="AV145" s="32" t="inlineStr">
        <is>
          <t>printed on the list (read twice)</t>
        </is>
      </c>
      <c r="AW145" s="32" t="inlineStr"/>
      <c r="AX145" s="32" t="inlineStr">
        <is>
          <t>SALVADOR</t>
        </is>
      </c>
      <c r="AY145" s="32" t="inlineStr">
        <is>
          <t>BA</t>
        </is>
      </c>
      <c r="AZ145" s="32" t="inlineStr">
        <is>
          <t>Comércio atacadista de outros produtos químicos e petroquímicos não especificados anteriormente</t>
        </is>
      </c>
      <c r="BA145" s="32" t="inlineStr">
        <is>
          <t>não ME/EPP</t>
        </is>
      </c>
      <c r="BB145" s="33" t="n">
        <v>78060000</v>
      </c>
      <c r="BC145" s="32" t="inlineStr">
        <is>
          <t>MID-MARKET</t>
        </is>
      </c>
      <c r="BD145" s="32" t="inlineStr">
        <is>
          <t>13829957</t>
        </is>
      </c>
      <c r="BE145" s="32" t="n">
        <v>1</v>
      </c>
      <c r="BF145" s="32" t="inlineStr">
        <is>
          <t>ALT_VALUE:R$3.849.447,97 ALT_VALUE:R$30.341,52 list prints no totals</t>
        </is>
      </c>
    </row>
    <row r="146">
      <c r="A146" s="17" t="inlineStr">
        <is>
          <t>UNIMED MACEIO COOPERATIVA DE TRABALHO MEDICO</t>
        </is>
      </c>
      <c r="B146" s="18" t="n">
        <v>3860405.37</v>
      </c>
      <c r="C146" s="19" t="inlineStr">
        <is>
          <t>GRUPO ARNON DE MELLO</t>
        </is>
      </c>
      <c r="D146" s="20" t="inlineStr">
        <is>
          <t>NEW</t>
        </is>
      </c>
      <c r="E146" s="21" t="inlineStr"/>
      <c r="F146" s="20" t="inlineStr"/>
      <c r="G146" s="21" t="inlineStr"/>
      <c r="H146" s="20" t="inlineStr"/>
      <c r="I146" s="22" t="inlineStr">
        <is>
          <t>Eder Soares</t>
        </is>
      </c>
      <c r="J146" s="22" t="inlineStr">
        <is>
          <t>Financial Administrative Director</t>
        </is>
      </c>
      <c r="K146" s="22" t="inlineStr">
        <is>
          <t>(82) 2121-1600</t>
        </is>
      </c>
      <c r="L146" s="22" t="inlineStr">
        <is>
          <t>(82) 2121-1746</t>
        </is>
      </c>
      <c r="M146" s="22" t="inlineStr"/>
      <c r="N146" s="22" t="inlineStr">
        <is>
          <t>eder.soares@unimedmaceio.com.br</t>
        </is>
      </c>
      <c r="O146" s="22" t="inlineStr">
        <is>
          <t>verified</t>
        </is>
      </c>
      <c r="P146" s="22" t="inlineStr">
        <is>
          <t>DANIEL DE MACEDO VERAS</t>
        </is>
      </c>
      <c r="Q146" s="22" t="inlineStr">
        <is>
          <t>Presidente (RFB partner)</t>
        </is>
      </c>
      <c r="R146" s="22" t="inlineStr"/>
      <c r="S146" s="22" t="inlineStr"/>
      <c r="T146" s="22" t="inlineStr">
        <is>
          <t>DM: DM</t>
        </is>
      </c>
      <c r="U146" s="24" t="n">
        <v>3860405.37</v>
      </c>
      <c r="V146" s="39" t="inlineStr">
        <is>
          <t>C</t>
        </is>
      </c>
      <c r="W146" s="26" t="inlineStr"/>
      <c r="X146" s="27" t="inlineStr"/>
      <c r="Y146" s="27" t="inlineStr"/>
      <c r="Z146" s="26">
        <f>IF(W146&lt;&gt;"",W146,IFERROR(VLOOKUP(V146,Assumptions!$A$8:$F$12,2,FALSE),0))</f>
        <v/>
      </c>
      <c r="AA146" s="28">
        <f>IF(V146="A",MAX(1,IF(X146&lt;&gt;"",X146,IFERROR(VLOOKUP(V146,Assumptions!$A$8:$F$12,3,FALSE),3))+IF(Y146&lt;&gt;"",Y146,IFERROR(VLOOKUP(V146,Assumptions!$A$8:$F$12,4,FALSE),8))/2-MAX(0,IF(AS146="",0,YEAR(TODAY())-AS146)-IFERROR(VLOOKUP(V146,Assumptions!$A$8:$F$12,5,FALSE),1.5))),IFERROR(VLOOKUP(V146,Assumptions!$A$8:$F$12,5,FALSE),2.5)+IF(X146&lt;&gt;"",X146,IFERROR(VLOOKUP(V146,Assumptions!$A$8:$F$12,3,FALSE),3))+IF(Y146&lt;&gt;"",Y146,IFERROR(VLOOKUP(V146,Assumptions!$A$8:$F$12,4,FALSE),8))/2)</f>
        <v/>
      </c>
      <c r="AB146" s="24">
        <f>U146*Z146/(1+Assumptions!$B$3)^AA146</f>
        <v/>
      </c>
      <c r="AC146" s="27">
        <f>IF(U146=0,"",ROUND(AB146/U146*100,1))</f>
        <v/>
      </c>
      <c r="AD146" s="29">
        <f>AB146*Assumptions!$B$4</f>
        <v/>
      </c>
      <c r="AE146" s="27">
        <f>IF(U146=0,"",ROUND(AD146/U146*100,1))</f>
        <v/>
      </c>
      <c r="AF146" s="29">
        <f>AB146-AD146</f>
        <v/>
      </c>
      <c r="AG146" s="27">
        <f>IF(U146=0,"",ROUND((AB146-AD146)/U146*100,1))</f>
        <v/>
      </c>
      <c r="AH146" s="34" t="inlineStr">
        <is>
          <t>NO TOTALS — list prints none; check page</t>
        </is>
      </c>
      <c r="AI146" s="31" t="inlineStr">
        <is>
          <t>https://recuperacaojudicial.squarespace.com/s/RJ-Grupo-Arnon-de-Melo-Lista-de-Credores-Consolidada-abril-2022.pdf</t>
        </is>
      </c>
      <c r="AJ146" s="30" t="inlineStr">
        <is>
          <t>p9 r42</t>
        </is>
      </c>
      <c r="AK146" s="30" t="inlineStr">
        <is>
          <t>p9: R$ 3.860.405,37</t>
        </is>
      </c>
      <c r="AL146" s="30" t="inlineStr">
        <is>
          <t>AJ list (art. 7 §2)</t>
        </is>
      </c>
      <c r="AM146" s="30" t="inlineStr"/>
      <c r="AN146" s="30" t="inlineStr">
        <is>
          <t>NONE FOUND</t>
        </is>
      </c>
      <c r="AO146" s="32" t="inlineStr">
        <is>
          <t>0700256-03.2019.8.02.0066</t>
        </is>
      </c>
      <c r="AP146" s="32" t="inlineStr">
        <is>
          <t>TJAL</t>
        </is>
      </c>
      <c r="AQ146" s="32" t="inlineStr">
        <is>
          <t>Recuperação judicial</t>
        </is>
      </c>
      <c r="AR146" s="32" t="inlineStr">
        <is>
          <t>not in DataJud</t>
        </is>
      </c>
      <c r="AS146" s="32" t="n">
        <v>2019</v>
      </c>
      <c r="AT146" s="32" t="inlineStr">
        <is>
          <t>7y since filing; plan not in our documents</t>
        </is>
      </c>
      <c r="AU146" s="32" t="inlineStr">
        <is>
          <t>12.503.801/0001-59</t>
        </is>
      </c>
      <c r="AV146" s="32" t="inlineStr">
        <is>
          <t>printed on the list (read twice)</t>
        </is>
      </c>
      <c r="AW146" s="32" t="inlineStr"/>
      <c r="AX146" s="32" t="inlineStr">
        <is>
          <t>MACEIO</t>
        </is>
      </c>
      <c r="AY146" s="32" t="inlineStr">
        <is>
          <t>AL</t>
        </is>
      </c>
      <c r="AZ146" s="32" t="inlineStr">
        <is>
          <t>Planos de saúde</t>
        </is>
      </c>
      <c r="BA146" s="32" t="inlineStr">
        <is>
          <t>não ME/EPP</t>
        </is>
      </c>
      <c r="BB146" s="33" t="inlineStr"/>
      <c r="BC146" s="32" t="inlineStr">
        <is>
          <t>UNKNOWN</t>
        </is>
      </c>
      <c r="BD146" s="32" t="inlineStr">
        <is>
          <t>12442737</t>
        </is>
      </c>
      <c r="BE146" s="32" t="n">
        <v>1</v>
      </c>
      <c r="BF146" s="32" t="inlineStr">
        <is>
          <t>list prints no totals</t>
        </is>
      </c>
    </row>
    <row r="147">
      <c r="A147" s="17" t="inlineStr">
        <is>
          <t>AT PLAN ASSISTENCIA TECNICA PLANEJ E MONTAGENS LTDA</t>
        </is>
      </c>
      <c r="B147" s="18" t="n">
        <v>980241.47</v>
      </c>
      <c r="C147" s="19" t="inlineStr">
        <is>
          <t>GRUPO EGESA (Egesa Engenharia S.A. + 9 group companies; see group members)</t>
        </is>
      </c>
      <c r="D147" s="20" t="inlineStr">
        <is>
          <t>NEW</t>
        </is>
      </c>
      <c r="E147" s="21" t="inlineStr"/>
      <c r="F147" s="20" t="inlineStr"/>
      <c r="G147" s="21" t="inlineStr"/>
      <c r="H147" s="20" t="inlineStr"/>
      <c r="I147" s="22" t="inlineStr">
        <is>
          <t>NEWTON AMARES BUENO</t>
        </is>
      </c>
      <c r="J147" s="23" t="inlineStr">
        <is>
          <t>Sócio-Administrador (RFB partner)</t>
        </is>
      </c>
      <c r="K147" s="22" t="inlineStr">
        <is>
          <t>(11) 3837-9673</t>
        </is>
      </c>
      <c r="L147" s="22" t="inlineStr"/>
      <c r="M147" s="22" t="inlineStr"/>
      <c r="N147" s="22" t="inlineStr"/>
      <c r="O147" s="22" t="inlineStr"/>
      <c r="P147" s="22" t="inlineStr"/>
      <c r="Q147" s="22" t="inlineStr"/>
      <c r="R147" s="22" t="inlineStr"/>
      <c r="S147" s="22" t="inlineStr"/>
      <c r="T147" s="22" t="inlineStr">
        <is>
          <t>DM = registered partner (RFB QSA); no Apollo match</t>
        </is>
      </c>
      <c r="U147" s="24" t="n">
        <v>980241.47</v>
      </c>
      <c r="V147" s="25" t="inlineStr">
        <is>
          <t>B</t>
        </is>
      </c>
      <c r="W147" s="26" t="inlineStr"/>
      <c r="X147" s="27" t="inlineStr"/>
      <c r="Y147" s="27" t="inlineStr"/>
      <c r="Z147" s="26">
        <f>IF(W147&lt;&gt;"",W147,IFERROR(VLOOKUP(V147,Assumptions!$A$8:$F$12,2,FALSE),0))</f>
        <v/>
      </c>
      <c r="AA147" s="28">
        <f>IF(V147="A",MAX(1,IF(X147&lt;&gt;"",X147,IFERROR(VLOOKUP(V147,Assumptions!$A$8:$F$12,3,FALSE),3))+IF(Y147&lt;&gt;"",Y147,IFERROR(VLOOKUP(V147,Assumptions!$A$8:$F$12,4,FALSE),8))/2-MAX(0,IF(AS147="",0,YEAR(TODAY())-AS147)-IFERROR(VLOOKUP(V147,Assumptions!$A$8:$F$12,5,FALSE),1.5))),IFERROR(VLOOKUP(V147,Assumptions!$A$8:$F$12,5,FALSE),2.5)+IF(X147&lt;&gt;"",X147,IFERROR(VLOOKUP(V147,Assumptions!$A$8:$F$12,3,FALSE),3))+IF(Y147&lt;&gt;"",Y147,IFERROR(VLOOKUP(V147,Assumptions!$A$8:$F$12,4,FALSE),8))/2)</f>
        <v/>
      </c>
      <c r="AB147" s="24">
        <f>U147*Z147/(1+Assumptions!$B$3)^AA147</f>
        <v/>
      </c>
      <c r="AC147" s="27">
        <f>IF(U147=0,"",ROUND(AB147/U147*100,1))</f>
        <v/>
      </c>
      <c r="AD147" s="29">
        <f>AB147*Assumptions!$B$4</f>
        <v/>
      </c>
      <c r="AE147" s="27">
        <f>IF(U147=0,"",ROUND(AD147/U147*100,1))</f>
        <v/>
      </c>
      <c r="AF147" s="29">
        <f>AB147-AD147</f>
        <v/>
      </c>
      <c r="AG147" s="27">
        <f>IF(U147=0,"",ROUND((AB147-AD147)/U147*100,1))</f>
        <v/>
      </c>
      <c r="AH147" s="30" t="inlineStr">
        <is>
          <t>OK — totals reconciled</t>
        </is>
      </c>
      <c r="AI147" s="31" t="inlineStr">
        <is>
          <t>https://scalzilliaj.com.br/sgc/download.php?file=files/processo_documento/processo_documento09514021082025_1_.pdf&amp;nome=04 - Relação de credores das Recuperandas</t>
        </is>
      </c>
      <c r="AJ147" s="30" t="inlineStr">
        <is>
          <t>p62 r13</t>
        </is>
      </c>
      <c r="AK147" s="30" t="inlineStr">
        <is>
          <t>p62: R$ 980.241,47</t>
        </is>
      </c>
      <c r="AL147" s="30" t="inlineStr">
        <is>
          <t>Debtor list (art. 51)</t>
        </is>
      </c>
      <c r="AM147" s="30" t="inlineStr"/>
      <c r="AN147" s="30" t="inlineStr">
        <is>
          <t>NONE FOUND</t>
        </is>
      </c>
      <c r="AO147" s="32" t="inlineStr">
        <is>
          <t>5088952-81.2025.8.13.0024</t>
        </is>
      </c>
      <c r="AP147" s="32" t="inlineStr">
        <is>
          <t>TJMG</t>
        </is>
      </c>
      <c r="AQ147" s="32" t="inlineStr"/>
      <c r="AR147" s="32" t="inlineStr">
        <is>
          <t>DataJud: no closure/falência movement</t>
        </is>
      </c>
      <c r="AS147" s="32" t="n">
        <v>2025</v>
      </c>
      <c r="AT147" s="32" t="inlineStr">
        <is>
          <t>live case, no plan document yet; case no. from the portal record, not printed on the list</t>
        </is>
      </c>
      <c r="AU147" s="32" t="inlineStr"/>
      <c r="AV147" s="32" t="inlineStr">
        <is>
          <t>portal page title / URL — not printed on the list</t>
        </is>
      </c>
      <c r="AW147" s="32" t="inlineStr"/>
      <c r="AX147" s="32" t="inlineStr">
        <is>
          <t>SANTANA DE PARNAIBA</t>
        </is>
      </c>
      <c r="AY147" s="32" t="inlineStr">
        <is>
          <t>SP</t>
        </is>
      </c>
      <c r="AZ147" s="32" t="inlineStr">
        <is>
          <t>Manutenção e reparação de máquinas e aparelhos de refrigeração e ventilação para uso industrial e comercial</t>
        </is>
      </c>
      <c r="BA147" s="32" t="inlineStr">
        <is>
          <t>não ME/EPP</t>
        </is>
      </c>
      <c r="BB147" s="33" t="n">
        <v>250000</v>
      </c>
      <c r="BC147" s="32" t="inlineStr">
        <is>
          <t>MID-MARKET</t>
        </is>
      </c>
      <c r="BD147" s="32" t="inlineStr">
        <is>
          <t>58099458</t>
        </is>
      </c>
      <c r="BE147" s="32" t="n">
        <v>1</v>
      </c>
      <c r="BF147" s="32" t="inlineStr">
        <is>
          <t>case no. corrected by reader case no. from portal record</t>
        </is>
      </c>
    </row>
    <row r="148">
      <c r="A148" s="17" t="inlineStr">
        <is>
          <t>COOPERATIVA AGROINDUSTRIAL TRADICAO</t>
        </is>
      </c>
      <c r="B148" s="18" t="n">
        <v>979566</v>
      </c>
      <c r="C148" s="19" t="inlineStr">
        <is>
          <t>SUINOCULTURA KUNZLER</t>
        </is>
      </c>
      <c r="D148" s="20" t="inlineStr">
        <is>
          <t>NEW</t>
        </is>
      </c>
      <c r="E148" s="21" t="inlineStr"/>
      <c r="F148" s="20" t="inlineStr"/>
      <c r="G148" s="21" t="inlineStr"/>
      <c r="H148" s="20" t="inlineStr"/>
      <c r="I148" s="22" t="inlineStr">
        <is>
          <t>FERNANDO ALAN TONUS</t>
        </is>
      </c>
      <c r="J148" s="23" t="inlineStr">
        <is>
          <t>Presidente (RFB partner)</t>
        </is>
      </c>
      <c r="K148" s="22" t="inlineStr">
        <is>
          <t>(46) 3220-2000</t>
        </is>
      </c>
      <c r="L148" s="22" t="inlineStr"/>
      <c r="M148" s="22" t="inlineStr"/>
      <c r="N148" s="22" t="inlineStr"/>
      <c r="O148" s="22" t="inlineStr"/>
      <c r="P148" s="22" t="inlineStr">
        <is>
          <t>ADEMIR BEDIN</t>
        </is>
      </c>
      <c r="Q148" s="22" t="inlineStr">
        <is>
          <t>Diretor (RFB partner)</t>
        </is>
      </c>
      <c r="R148" s="22" t="inlineStr"/>
      <c r="S148" s="22" t="inlineStr"/>
      <c r="T148" s="22" t="inlineStr">
        <is>
          <t>DM = registered partner (RFB QSA); no Apollo match</t>
        </is>
      </c>
      <c r="U148" s="24" t="n">
        <v>979566</v>
      </c>
      <c r="V148" s="25" t="inlineStr">
        <is>
          <t>B</t>
        </is>
      </c>
      <c r="W148" s="26" t="inlineStr"/>
      <c r="X148" s="27" t="inlineStr"/>
      <c r="Y148" s="27" t="inlineStr"/>
      <c r="Z148" s="26">
        <f>IF(W148&lt;&gt;"",W148,IFERROR(VLOOKUP(V148,Assumptions!$A$8:$F$12,2,FALSE),0))</f>
        <v/>
      </c>
      <c r="AA148" s="28">
        <f>IF(V148="A",MAX(1,IF(X148&lt;&gt;"",X148,IFERROR(VLOOKUP(V148,Assumptions!$A$8:$F$12,3,FALSE),3))+IF(Y148&lt;&gt;"",Y148,IFERROR(VLOOKUP(V148,Assumptions!$A$8:$F$12,4,FALSE),8))/2-MAX(0,IF(AS148="",0,YEAR(TODAY())-AS148)-IFERROR(VLOOKUP(V148,Assumptions!$A$8:$F$12,5,FALSE),1.5))),IFERROR(VLOOKUP(V148,Assumptions!$A$8:$F$12,5,FALSE),2.5)+IF(X148&lt;&gt;"",X148,IFERROR(VLOOKUP(V148,Assumptions!$A$8:$F$12,3,FALSE),3))+IF(Y148&lt;&gt;"",Y148,IFERROR(VLOOKUP(V148,Assumptions!$A$8:$F$12,4,FALSE),8))/2)</f>
        <v/>
      </c>
      <c r="AB148" s="24">
        <f>U148*Z148/(1+Assumptions!$B$3)^AA148</f>
        <v/>
      </c>
      <c r="AC148" s="27">
        <f>IF(U148=0,"",ROUND(AB148/U148*100,1))</f>
        <v/>
      </c>
      <c r="AD148" s="29">
        <f>AB148*Assumptions!$B$4</f>
        <v/>
      </c>
      <c r="AE148" s="27">
        <f>IF(U148=0,"",ROUND(AD148/U148*100,1))</f>
        <v/>
      </c>
      <c r="AF148" s="29">
        <f>AB148-AD148</f>
        <v/>
      </c>
      <c r="AG148" s="27">
        <f>IF(U148=0,"",ROUND((AB148-AD148)/U148*100,1))</f>
        <v/>
      </c>
      <c r="AH148" s="34" t="inlineStr">
        <is>
          <t>NO TOTALS — list prints none; check page</t>
        </is>
      </c>
      <c r="AI148" s="31" t="inlineStr">
        <is>
          <t>https://rlg-aj.com.br/wp-content/uploads/2024/11/07.-Relação-de-credores.pdf</t>
        </is>
      </c>
      <c r="AJ148" s="30" t="inlineStr">
        <is>
          <t>p1 r28</t>
        </is>
      </c>
      <c r="AK148" s="30" t="inlineStr">
        <is>
          <t>p1: R$ 979.566,00</t>
        </is>
      </c>
      <c r="AL148" s="30" t="inlineStr">
        <is>
          <t>Unclassified list</t>
        </is>
      </c>
      <c r="AM148" s="30" t="inlineStr"/>
      <c r="AN148" s="30" t="inlineStr">
        <is>
          <t>NONE FOUND</t>
        </is>
      </c>
      <c r="AO148" s="32" t="inlineStr">
        <is>
          <t>5009149-92.2024.8.24.0019</t>
        </is>
      </c>
      <c r="AP148" s="32" t="inlineStr">
        <is>
          <t>TJSC</t>
        </is>
      </c>
      <c r="AQ148" s="32" t="inlineStr">
        <is>
          <t>Recuperação judicial</t>
        </is>
      </c>
      <c r="AR148" s="32" t="inlineStr">
        <is>
          <t>DataJud: no closure/falência movement</t>
        </is>
      </c>
      <c r="AS148" s="32" t="n">
        <v>2024</v>
      </c>
      <c r="AT148" s="32" t="inlineStr">
        <is>
          <t>live case, no plan document yet; case no. from the portal record, not printed on the list</t>
        </is>
      </c>
      <c r="AU148" s="32" t="inlineStr">
        <is>
          <t>55.365.447/0001-56</t>
        </is>
      </c>
      <c r="AV148" s="32" t="inlineStr">
        <is>
          <t>printed on the list (read twice)</t>
        </is>
      </c>
      <c r="AW148" s="32" t="inlineStr"/>
      <c r="AX148" s="32" t="inlineStr">
        <is>
          <t>PATO BRANCO</t>
        </is>
      </c>
      <c r="AY148" s="32" t="inlineStr">
        <is>
          <t>PR</t>
        </is>
      </c>
      <c r="AZ148" s="32" t="inlineStr">
        <is>
          <t>Comércio atacadista de defensivos agrícolas, adubos, fertilizantes e corretivos do solo</t>
        </is>
      </c>
      <c r="BA148" s="32" t="inlineStr">
        <is>
          <t>não ME/EPP</t>
        </is>
      </c>
      <c r="BB148" s="33" t="inlineStr"/>
      <c r="BC148" s="32" t="inlineStr">
        <is>
          <t>UNKNOWN</t>
        </is>
      </c>
      <c r="BD148" s="32" t="inlineStr">
        <is>
          <t>05528196</t>
        </is>
      </c>
      <c r="BE148" s="32" t="n">
        <v>1</v>
      </c>
      <c r="BF148" s="32" t="inlineStr">
        <is>
          <t>list prints no totals</t>
        </is>
      </c>
    </row>
    <row r="149">
      <c r="A149" s="17" t="inlineStr">
        <is>
          <t>MINERAX - MINERACAO XAMBIOA LTDA</t>
        </is>
      </c>
      <c r="B149" s="18" t="n">
        <v>962991.9</v>
      </c>
      <c r="C149" s="19" t="inlineStr">
        <is>
          <t>SOJAL COMERCIAL AGRICOLA LTDA e OUTROS</t>
        </is>
      </c>
      <c r="D149" s="20" t="inlineStr">
        <is>
          <t>NEW</t>
        </is>
      </c>
      <c r="E149" s="21" t="inlineStr"/>
      <c r="F149" s="20" t="inlineStr"/>
      <c r="G149" s="21" t="inlineStr"/>
      <c r="H149" s="20" t="inlineStr"/>
      <c r="I149" s="22" t="inlineStr">
        <is>
          <t>FRANCISCO MIGUEL HENDGES</t>
        </is>
      </c>
      <c r="J149" s="23" t="inlineStr">
        <is>
          <t>Administrador (RFB partner)</t>
        </is>
      </c>
      <c r="K149" s="22" t="inlineStr">
        <is>
          <t>(63) 3415-8500</t>
        </is>
      </c>
      <c r="L149" s="22" t="inlineStr"/>
      <c r="M149" s="22" t="inlineStr"/>
      <c r="N149" s="22" t="inlineStr"/>
      <c r="O149" s="22" t="inlineStr"/>
      <c r="P149" s="22" t="inlineStr">
        <is>
          <t>JEREMIAS DEMITO</t>
        </is>
      </c>
      <c r="Q149" s="22" t="inlineStr">
        <is>
          <t>Administrador (RFB partner)</t>
        </is>
      </c>
      <c r="R149" s="22" t="inlineStr"/>
      <c r="S149" s="22" t="inlineStr"/>
      <c r="T149" s="22" t="inlineStr">
        <is>
          <t>DM = registered partner (RFB QSA); no Apollo match</t>
        </is>
      </c>
      <c r="U149" s="24" t="n">
        <v>962991.9</v>
      </c>
      <c r="V149" s="25" t="inlineStr">
        <is>
          <t>B</t>
        </is>
      </c>
      <c r="W149" s="26" t="inlineStr"/>
      <c r="X149" s="27" t="inlineStr"/>
      <c r="Y149" s="27" t="inlineStr"/>
      <c r="Z149" s="26">
        <f>IF(W149&lt;&gt;"",W149,IFERROR(VLOOKUP(V149,Assumptions!$A$8:$F$12,2,FALSE),0))</f>
        <v/>
      </c>
      <c r="AA149" s="28">
        <f>IF(V149="A",MAX(1,IF(X149&lt;&gt;"",X149,IFERROR(VLOOKUP(V149,Assumptions!$A$8:$F$12,3,FALSE),3))+IF(Y149&lt;&gt;"",Y149,IFERROR(VLOOKUP(V149,Assumptions!$A$8:$F$12,4,FALSE),8))/2-MAX(0,IF(AS149="",0,YEAR(TODAY())-AS149)-IFERROR(VLOOKUP(V149,Assumptions!$A$8:$F$12,5,FALSE),1.5))),IFERROR(VLOOKUP(V149,Assumptions!$A$8:$F$12,5,FALSE),2.5)+IF(X149&lt;&gt;"",X149,IFERROR(VLOOKUP(V149,Assumptions!$A$8:$F$12,3,FALSE),3))+IF(Y149&lt;&gt;"",Y149,IFERROR(VLOOKUP(V149,Assumptions!$A$8:$F$12,4,FALSE),8))/2)</f>
        <v/>
      </c>
      <c r="AB149" s="24">
        <f>U149*Z149/(1+Assumptions!$B$3)^AA149</f>
        <v/>
      </c>
      <c r="AC149" s="27">
        <f>IF(U149=0,"",ROUND(AB149/U149*100,1))</f>
        <v/>
      </c>
      <c r="AD149" s="29">
        <f>AB149*Assumptions!$B$4</f>
        <v/>
      </c>
      <c r="AE149" s="27">
        <f>IF(U149=0,"",ROUND(AD149/U149*100,1))</f>
        <v/>
      </c>
      <c r="AF149" s="29">
        <f>AB149-AD149</f>
        <v/>
      </c>
      <c r="AG149" s="27">
        <f>IF(U149=0,"",ROUND((AB149-AD149)/U149*100,1))</f>
        <v/>
      </c>
      <c r="AH149" s="30" t="inlineStr">
        <is>
          <t>OK — totals reconciled</t>
        </is>
      </c>
      <c r="AI149" s="31" t="inlineStr">
        <is>
          <t>https://lrflideres.com.br/wp-content/plugins/download-attachments/includes/download.php?id=6879</t>
        </is>
      </c>
      <c r="AJ149" s="30" t="inlineStr">
        <is>
          <t>p2 r4</t>
        </is>
      </c>
      <c r="AK149" s="30" t="inlineStr">
        <is>
          <t>p2: R$ 962.991,90</t>
        </is>
      </c>
      <c r="AL149" s="30" t="inlineStr">
        <is>
          <t>AJ list (art. 7 §2)</t>
        </is>
      </c>
      <c r="AM149" s="30" t="inlineStr">
        <is>
          <t>2026-01-15</t>
        </is>
      </c>
      <c r="AN149" s="30" t="inlineStr">
        <is>
          <t>NONE FOUND</t>
        </is>
      </c>
      <c r="AO149" s="32" t="inlineStr">
        <is>
          <t>0804401-51.2025.8.14.0039</t>
        </is>
      </c>
      <c r="AP149" s="32" t="inlineStr">
        <is>
          <t>TJPA</t>
        </is>
      </c>
      <c r="AQ149" s="32" t="inlineStr">
        <is>
          <t>Recuperação judicial</t>
        </is>
      </c>
      <c r="AR149" s="32" t="inlineStr">
        <is>
          <t>DataJud: no closure/falência movement</t>
        </is>
      </c>
      <c r="AS149" s="32" t="n">
        <v>2025</v>
      </c>
      <c r="AT149" s="32" t="inlineStr">
        <is>
          <t>live case, no plan document yet</t>
        </is>
      </c>
      <c r="AU149" s="32" t="inlineStr"/>
      <c r="AV149" s="32" t="inlineStr">
        <is>
          <t>printed on the list (read twice)</t>
        </is>
      </c>
      <c r="AW149" s="32" t="inlineStr"/>
      <c r="AX149" s="32" t="inlineStr">
        <is>
          <t>XAMBIOA</t>
        </is>
      </c>
      <c r="AY149" s="32" t="inlineStr">
        <is>
          <t>TO</t>
        </is>
      </c>
      <c r="AZ149" s="32" t="inlineStr">
        <is>
          <t>Extração de calcário e dolomita e beneficiamento associado</t>
        </is>
      </c>
      <c r="BA149" s="32" t="inlineStr">
        <is>
          <t>não ME/EPP</t>
        </is>
      </c>
      <c r="BB149" s="33" t="n">
        <v>6751122</v>
      </c>
      <c r="BC149" s="32" t="inlineStr">
        <is>
          <t>MID-MARKET</t>
        </is>
      </c>
      <c r="BD149" s="32" t="inlineStr">
        <is>
          <t>08886407</t>
        </is>
      </c>
      <c r="BE149" s="32" t="n">
        <v>1</v>
      </c>
      <c r="BF149" s="32" t="inlineStr"/>
    </row>
    <row r="150">
      <c r="A150" s="17" t="inlineStr">
        <is>
          <t>PILLARES PROJETOS E CONSTRUCOES LTDA</t>
        </is>
      </c>
      <c r="B150" s="18" t="n">
        <v>950000</v>
      </c>
      <c r="C150" s="37" t="inlineStr">
        <is>
          <t>(debtor not identified — see proof)</t>
        </is>
      </c>
      <c r="D150" s="20" t="inlineStr">
        <is>
          <t>NEW</t>
        </is>
      </c>
      <c r="E150" s="21" t="inlineStr"/>
      <c r="F150" s="20" t="inlineStr"/>
      <c r="G150" s="21" t="inlineStr"/>
      <c r="H150" s="20" t="inlineStr"/>
      <c r="I150" s="22" t="inlineStr">
        <is>
          <t>MARLENE MARIA PALUDO GOEDERT</t>
        </is>
      </c>
      <c r="J150" s="23" t="inlineStr">
        <is>
          <t>Sócio-Administrador (RFB partner)</t>
        </is>
      </c>
      <c r="K150" s="22" t="inlineStr">
        <is>
          <t>(49) 3441-0655</t>
        </is>
      </c>
      <c r="L150" s="22" t="inlineStr"/>
      <c r="M150" s="22" t="inlineStr"/>
      <c r="N150" s="22" t="inlineStr"/>
      <c r="O150" s="22" t="inlineStr"/>
      <c r="P150" s="22" t="inlineStr">
        <is>
          <t>NADIR MATTIELLO</t>
        </is>
      </c>
      <c r="Q150" s="22" t="inlineStr">
        <is>
          <t>Sócio-Administrador (RFB partner)</t>
        </is>
      </c>
      <c r="R150" s="22" t="inlineStr"/>
      <c r="S150" s="22" t="inlineStr"/>
      <c r="T150" s="22" t="inlineStr">
        <is>
          <t>DM = registered partner (RFB QSA); no Apollo match</t>
        </is>
      </c>
      <c r="U150" s="24" t="n">
        <v>950000</v>
      </c>
      <c r="V150" s="25" t="inlineStr">
        <is>
          <t>B</t>
        </is>
      </c>
      <c r="W150" s="26" t="inlineStr"/>
      <c r="X150" s="27" t="inlineStr"/>
      <c r="Y150" s="27" t="inlineStr"/>
      <c r="Z150" s="26">
        <f>IF(W150&lt;&gt;"",W150,IFERROR(VLOOKUP(V150,Assumptions!$A$8:$F$12,2,FALSE),0))</f>
        <v/>
      </c>
      <c r="AA150" s="28">
        <f>IF(V150="A",MAX(1,IF(X150&lt;&gt;"",X150,IFERROR(VLOOKUP(V150,Assumptions!$A$8:$F$12,3,FALSE),3))+IF(Y150&lt;&gt;"",Y150,IFERROR(VLOOKUP(V150,Assumptions!$A$8:$F$12,4,FALSE),8))/2-MAX(0,IF(AS150="",0,YEAR(TODAY())-AS150)-IFERROR(VLOOKUP(V150,Assumptions!$A$8:$F$12,5,FALSE),1.5))),IFERROR(VLOOKUP(V150,Assumptions!$A$8:$F$12,5,FALSE),2.5)+IF(X150&lt;&gt;"",X150,IFERROR(VLOOKUP(V150,Assumptions!$A$8:$F$12,3,FALSE),3))+IF(Y150&lt;&gt;"",Y150,IFERROR(VLOOKUP(V150,Assumptions!$A$8:$F$12,4,FALSE),8))/2)</f>
        <v/>
      </c>
      <c r="AB150" s="24">
        <f>U150*Z150/(1+Assumptions!$B$3)^AA150</f>
        <v/>
      </c>
      <c r="AC150" s="27">
        <f>IF(U150=0,"",ROUND(AB150/U150*100,1))</f>
        <v/>
      </c>
      <c r="AD150" s="29">
        <f>AB150*Assumptions!$B$4</f>
        <v/>
      </c>
      <c r="AE150" s="27">
        <f>IF(U150=0,"",ROUND(AD150/U150*100,1))</f>
        <v/>
      </c>
      <c r="AF150" s="29">
        <f>AB150-AD150</f>
        <v/>
      </c>
      <c r="AG150" s="27">
        <f>IF(U150=0,"",ROUND((AB150-AD150)/U150*100,1))</f>
        <v/>
      </c>
      <c r="AH150" s="34" t="inlineStr">
        <is>
          <t>NO TOTALS — list prints none; check page</t>
        </is>
      </c>
      <c r="AI150" s="31" t="inlineStr">
        <is>
          <t>https://scalzilliaj.com.br/sgc/download.php?file=files/processo_documento/processo_documento15180810062026_1_.pdf&amp;nome=10 - Relação de credores do art. 7º, §2º, da Lei 11.101/2005</t>
        </is>
      </c>
      <c r="AJ150" s="30" t="inlineStr">
        <is>
          <t>p2 r21</t>
        </is>
      </c>
      <c r="AK150" s="30" t="inlineStr">
        <is>
          <t>p2: R$ 950.000,00</t>
        </is>
      </c>
      <c r="AL150" s="30" t="inlineStr">
        <is>
          <t>AJ list (art. 7 §2)</t>
        </is>
      </c>
      <c r="AM150" s="30" t="inlineStr"/>
      <c r="AN150" s="30" t="inlineStr">
        <is>
          <t>NONE FOUND</t>
        </is>
      </c>
      <c r="AO150" s="32" t="inlineStr">
        <is>
          <t>5009529-81.2025.8.24.0019</t>
        </is>
      </c>
      <c r="AP150" s="32" t="inlineStr">
        <is>
          <t>TJSC</t>
        </is>
      </c>
      <c r="AQ150" s="32" t="inlineStr"/>
      <c r="AR150" s="32" t="inlineStr">
        <is>
          <t>not in DataJud</t>
        </is>
      </c>
      <c r="AS150" s="32" t="n">
        <v>2025</v>
      </c>
      <c r="AT150" s="32" t="inlineStr">
        <is>
          <t>live case, no plan document yet; case no. from the portal record, not printed on the list</t>
        </is>
      </c>
      <c r="AU150" s="32" t="inlineStr"/>
      <c r="AV150" s="32" t="inlineStr">
        <is>
          <t>not identified</t>
        </is>
      </c>
      <c r="AW150" s="32" t="inlineStr"/>
      <c r="AX150" s="32" t="inlineStr">
        <is>
          <t>CONCORDIA</t>
        </is>
      </c>
      <c r="AY150" s="32" t="inlineStr">
        <is>
          <t>SC</t>
        </is>
      </c>
      <c r="AZ150" s="32" t="inlineStr">
        <is>
          <t>Construção de edifícios</t>
        </is>
      </c>
      <c r="BA150" s="32" t="inlineStr">
        <is>
          <t>não ME/EPP</t>
        </is>
      </c>
      <c r="BB150" s="33" t="n">
        <v>386000</v>
      </c>
      <c r="BC150" s="32" t="inlineStr">
        <is>
          <t>MID-MARKET</t>
        </is>
      </c>
      <c r="BD150" s="32" t="inlineStr">
        <is>
          <t>83195628</t>
        </is>
      </c>
      <c r="BE150" s="32" t="n">
        <v>1</v>
      </c>
      <c r="BF150" s="32" t="inlineStr">
        <is>
          <t>list prints no totals</t>
        </is>
      </c>
    </row>
    <row r="151">
      <c r="A151" s="17" t="inlineStr">
        <is>
          <t>NUTRIEN SOLUCOES AGRICOLAS LTDA</t>
        </is>
      </c>
      <c r="B151" s="18" t="n">
        <v>944000</v>
      </c>
      <c r="C151" s="19" t="inlineStr">
        <is>
          <t>GRUPO FERRARI (ALEX, ALEXANDRE , ANDRIELLE FERRARI MANTELLI, ARCIR LUIS, ERICA SANTOS ASSIS LIMA, FERNANDO MANTELLI, IDELSI, TALITA LEITE SILVA, AGROPECUARIA FERRARI LTDA E FERRARI ARMAZENS GERAIS)</t>
        </is>
      </c>
      <c r="D151" s="20" t="inlineStr">
        <is>
          <t>NEW</t>
        </is>
      </c>
      <c r="E151" s="21" t="inlineStr"/>
      <c r="F151" s="20" t="inlineStr"/>
      <c r="G151" s="21" t="inlineStr"/>
      <c r="H151" s="20" t="inlineStr"/>
      <c r="I151" s="22" t="inlineStr">
        <is>
          <t>Thiago Costa</t>
        </is>
      </c>
      <c r="J151" s="22" t="inlineStr">
        <is>
          <t>Gerente Contas a Receber e Centro de Serviços Compartilhados</t>
        </is>
      </c>
      <c r="K151" s="22" t="inlineStr">
        <is>
          <t>(11) 5400-0021</t>
        </is>
      </c>
      <c r="L151" s="22" t="inlineStr"/>
      <c r="M151" s="22" t="inlineStr"/>
      <c r="N151" s="22" t="inlineStr">
        <is>
          <t>thiago.costa@nutrien.com</t>
        </is>
      </c>
      <c r="O151" s="22" t="inlineStr">
        <is>
          <t>verified</t>
        </is>
      </c>
      <c r="P151" s="22" t="inlineStr">
        <is>
          <t>Emerson Freitas</t>
        </is>
      </c>
      <c r="Q151" s="22" t="inlineStr">
        <is>
          <t>Gerente de Tesouraria | Tesouraria Estratégica</t>
        </is>
      </c>
      <c r="R151" s="22" t="inlineStr"/>
      <c r="S151" s="22" t="inlineStr">
        <is>
          <t>emerson.freitas@nutrien.com</t>
        </is>
      </c>
      <c r="T151" s="22" t="inlineStr">
        <is>
          <t>DM: has_email, phone Yes; BACKUP: backup, has_email, phone Yes</t>
        </is>
      </c>
      <c r="U151" s="24" t="n">
        <v>944000</v>
      </c>
      <c r="V151" s="25" t="inlineStr">
        <is>
          <t>B</t>
        </is>
      </c>
      <c r="W151" s="26" t="inlineStr"/>
      <c r="X151" s="27" t="inlineStr"/>
      <c r="Y151" s="27" t="inlineStr"/>
      <c r="Z151" s="26">
        <f>IF(W151&lt;&gt;"",W151,IFERROR(VLOOKUP(V151,Assumptions!$A$8:$F$12,2,FALSE),0))</f>
        <v/>
      </c>
      <c r="AA151" s="28">
        <f>IF(V151="A",MAX(1,IF(X151&lt;&gt;"",X151,IFERROR(VLOOKUP(V151,Assumptions!$A$8:$F$12,3,FALSE),3))+IF(Y151&lt;&gt;"",Y151,IFERROR(VLOOKUP(V151,Assumptions!$A$8:$F$12,4,FALSE),8))/2-MAX(0,IF(AS151="",0,YEAR(TODAY())-AS151)-IFERROR(VLOOKUP(V151,Assumptions!$A$8:$F$12,5,FALSE),1.5))),IFERROR(VLOOKUP(V151,Assumptions!$A$8:$F$12,5,FALSE),2.5)+IF(X151&lt;&gt;"",X151,IFERROR(VLOOKUP(V151,Assumptions!$A$8:$F$12,3,FALSE),3))+IF(Y151&lt;&gt;"",Y151,IFERROR(VLOOKUP(V151,Assumptions!$A$8:$F$12,4,FALSE),8))/2)</f>
        <v/>
      </c>
      <c r="AB151" s="24">
        <f>U151*Z151/(1+Assumptions!$B$3)^AA151</f>
        <v/>
      </c>
      <c r="AC151" s="27">
        <f>IF(U151=0,"",ROUND(AB151/U151*100,1))</f>
        <v/>
      </c>
      <c r="AD151" s="29">
        <f>AB151*Assumptions!$B$4</f>
        <v/>
      </c>
      <c r="AE151" s="27">
        <f>IF(U151=0,"",ROUND(AD151/U151*100,1))</f>
        <v/>
      </c>
      <c r="AF151" s="29">
        <f>AB151-AD151</f>
        <v/>
      </c>
      <c r="AG151" s="27">
        <f>IF(U151=0,"",ROUND((AB151-AD151)/U151*100,1))</f>
        <v/>
      </c>
      <c r="AH151" s="34" t="inlineStr">
        <is>
          <t>NO TOTALS — list prints none; check page</t>
        </is>
      </c>
      <c r="AI151" s="31" t="inlineStr">
        <is>
          <t>https://scalzilliaj.com.br/sgc/download.php?file=files/processo_documento/processo_documento11421222052026_1_.pdf&amp;nome=08. Lista de credores do edital do art. 52, §1º da LREF</t>
        </is>
      </c>
      <c r="AJ151" s="30" t="inlineStr">
        <is>
          <t>p4 r4</t>
        </is>
      </c>
      <c r="AK151" s="30" t="inlineStr">
        <is>
          <t>p4: R$ 944.000,00</t>
        </is>
      </c>
      <c r="AL151" s="30" t="inlineStr">
        <is>
          <t>Unclassified list</t>
        </is>
      </c>
      <c r="AM151" s="30" t="inlineStr"/>
      <c r="AN151" s="30" t="inlineStr">
        <is>
          <t>NONE FOUND</t>
        </is>
      </c>
      <c r="AO151" s="32" t="inlineStr">
        <is>
          <t>5011369-81.2026.8.09.0093</t>
        </is>
      </c>
      <c r="AP151" s="32" t="inlineStr">
        <is>
          <t>TJGO</t>
        </is>
      </c>
      <c r="AQ151" s="32" t="inlineStr"/>
      <c r="AR151" s="32" t="inlineStr">
        <is>
          <t>DataJud: no closure/falência movement</t>
        </is>
      </c>
      <c r="AS151" s="32" t="n">
        <v>2026</v>
      </c>
      <c r="AT151" s="32" t="inlineStr">
        <is>
          <t>live case, no plan document yet; case no. from the portal record, not printed on the list</t>
        </is>
      </c>
      <c r="AU151" s="32" t="inlineStr"/>
      <c r="AV151" s="32" t="inlineStr">
        <is>
          <t>portal page title / URL — not printed on the list</t>
        </is>
      </c>
      <c r="AW151" s="32" t="inlineStr"/>
      <c r="AX151" s="32" t="inlineStr">
        <is>
          <t>SAO PAULO</t>
        </is>
      </c>
      <c r="AY151" s="32" t="inlineStr">
        <is>
          <t>SP</t>
        </is>
      </c>
      <c r="AZ151" s="32" t="inlineStr">
        <is>
          <t>Comércio atacadista de defensivos agrícolas, adubos, fertilizantes e corretivos do solo</t>
        </is>
      </c>
      <c r="BA151" s="32" t="inlineStr">
        <is>
          <t>não ME/EPP</t>
        </is>
      </c>
      <c r="BB151" s="33" t="n">
        <v>12060844000</v>
      </c>
      <c r="BC151" s="32" t="inlineStr">
        <is>
          <t>LARGE CORP</t>
        </is>
      </c>
      <c r="BD151" s="32" t="inlineStr">
        <is>
          <t>88305859</t>
        </is>
      </c>
      <c r="BE151" s="32" t="n">
        <v>1</v>
      </c>
      <c r="BF151" s="32" t="inlineStr">
        <is>
          <t>list prints no totals</t>
        </is>
      </c>
    </row>
    <row r="152">
      <c r="A152" s="17" t="inlineStr">
        <is>
          <t>CREATIVE PROPAGANDA E MARKETING LTDA</t>
        </is>
      </c>
      <c r="B152" s="18" t="n">
        <v>935547.55</v>
      </c>
      <c r="C152" s="19" t="inlineStr">
        <is>
          <t>CLUBE NÁUTICO CAPIBARIBE</t>
        </is>
      </c>
      <c r="D152" s="20" t="inlineStr">
        <is>
          <t>NEW</t>
        </is>
      </c>
      <c r="E152" s="21" t="inlineStr"/>
      <c r="F152" s="20" t="inlineStr"/>
      <c r="G152" s="21" t="inlineStr"/>
      <c r="H152" s="20" t="inlineStr"/>
      <c r="I152" s="22" t="inlineStr">
        <is>
          <t>SIMONE KAMENETZ</t>
        </is>
      </c>
      <c r="J152" s="23" t="inlineStr">
        <is>
          <t>Sócio-Administrador (RFB partner)</t>
        </is>
      </c>
      <c r="K152" s="22" t="inlineStr">
        <is>
          <t>(21) 3295-8800</t>
        </is>
      </c>
      <c r="L152" s="22" t="inlineStr">
        <is>
          <t>(21) 3295-2454</t>
        </is>
      </c>
      <c r="M152" s="22" t="inlineStr"/>
      <c r="N152" s="22" t="inlineStr"/>
      <c r="O152" s="22" t="inlineStr"/>
      <c r="P152" s="22" t="inlineStr">
        <is>
          <t>Sergio Nhuch</t>
        </is>
      </c>
      <c r="Q152" s="22" t="inlineStr">
        <is>
          <t>Business Consultant</t>
        </is>
      </c>
      <c r="R152" s="22" t="inlineStr"/>
      <c r="S152" s="22" t="inlineStr"/>
      <c r="T152" s="22" t="inlineStr">
        <is>
          <t>DM = registered partner (RFB QSA); Apollo pick demoted to backup (non-finance role); BACKUP: weak, phone Yes</t>
        </is>
      </c>
      <c r="U152" s="24" t="n">
        <v>935547.55</v>
      </c>
      <c r="V152" s="25" t="inlineStr">
        <is>
          <t>B</t>
        </is>
      </c>
      <c r="W152" s="26" t="inlineStr"/>
      <c r="X152" s="27" t="inlineStr"/>
      <c r="Y152" s="27" t="inlineStr"/>
      <c r="Z152" s="26">
        <f>IF(W152&lt;&gt;"",W152,IFERROR(VLOOKUP(V152,Assumptions!$A$8:$F$12,2,FALSE),0))</f>
        <v/>
      </c>
      <c r="AA152" s="28">
        <f>IF(V152="A",MAX(1,IF(X152&lt;&gt;"",X152,IFERROR(VLOOKUP(V152,Assumptions!$A$8:$F$12,3,FALSE),3))+IF(Y152&lt;&gt;"",Y152,IFERROR(VLOOKUP(V152,Assumptions!$A$8:$F$12,4,FALSE),8))/2-MAX(0,IF(AS152="",0,YEAR(TODAY())-AS152)-IFERROR(VLOOKUP(V152,Assumptions!$A$8:$F$12,5,FALSE),1.5))),IFERROR(VLOOKUP(V152,Assumptions!$A$8:$F$12,5,FALSE),2.5)+IF(X152&lt;&gt;"",X152,IFERROR(VLOOKUP(V152,Assumptions!$A$8:$F$12,3,FALSE),3))+IF(Y152&lt;&gt;"",Y152,IFERROR(VLOOKUP(V152,Assumptions!$A$8:$F$12,4,FALSE),8))/2)</f>
        <v/>
      </c>
      <c r="AB152" s="24">
        <f>U152*Z152/(1+Assumptions!$B$3)^AA152</f>
        <v/>
      </c>
      <c r="AC152" s="27">
        <f>IF(U152=0,"",ROUND(AB152/U152*100,1))</f>
        <v/>
      </c>
      <c r="AD152" s="29">
        <f>AB152*Assumptions!$B$4</f>
        <v/>
      </c>
      <c r="AE152" s="27">
        <f>IF(U152=0,"",ROUND(AD152/U152*100,1))</f>
        <v/>
      </c>
      <c r="AF152" s="29">
        <f>AB152-AD152</f>
        <v/>
      </c>
      <c r="AG152" s="27">
        <f>IF(U152=0,"",ROUND((AB152-AD152)/U152*100,1))</f>
        <v/>
      </c>
      <c r="AH152" s="35" t="inlineStr">
        <is>
          <t>PARTIAL — class III reconciled, other classes not</t>
        </is>
      </c>
      <c r="AI152" s="31" t="inlineStr">
        <is>
          <t>https://lrflideres.com.br/wp-content/plugins/download-attachments/includes/download.php?id=5589</t>
        </is>
      </c>
      <c r="AJ152" s="30" t="inlineStr">
        <is>
          <t>p12 r1</t>
        </is>
      </c>
      <c r="AK152" s="30" t="inlineStr">
        <is>
          <t>p12: R$ 935.547,55</t>
        </is>
      </c>
      <c r="AL152" s="30" t="inlineStr">
        <is>
          <t>AJ list (art. 7 §2)</t>
        </is>
      </c>
      <c r="AM152" s="30" t="inlineStr">
        <is>
          <t>2023-11-27</t>
        </is>
      </c>
      <c r="AN152" s="30" t="inlineStr">
        <is>
          <t>NONE FOUND</t>
        </is>
      </c>
      <c r="AO152" s="32" t="inlineStr">
        <is>
          <t>0011283-80.2023.8.17.2001</t>
        </is>
      </c>
      <c r="AP152" s="32" t="inlineStr">
        <is>
          <t>TJPE</t>
        </is>
      </c>
      <c r="AQ152" s="32" t="inlineStr">
        <is>
          <t>Recuperação judicial</t>
        </is>
      </c>
      <c r="AR152" s="32" t="inlineStr">
        <is>
          <t>DataJud: no closure/falência movement</t>
        </is>
      </c>
      <c r="AS152" s="32" t="n">
        <v>2023</v>
      </c>
      <c r="AT152" s="32" t="inlineStr">
        <is>
          <t>live case, no plan document yet; atypical debtor (associação/clube/hospital/produtor rural): admissibility or claim subjection may be contested</t>
        </is>
      </c>
      <c r="AU152" s="32" t="inlineStr">
        <is>
          <t>08.145.021/0001-07</t>
        </is>
      </c>
      <c r="AV152" s="32" t="inlineStr">
        <is>
          <t>printed on the list (read twice)</t>
        </is>
      </c>
      <c r="AW152" s="32" t="inlineStr"/>
      <c r="AX152" s="32" t="inlineStr">
        <is>
          <t>RIO DE JANEIRO</t>
        </is>
      </c>
      <c r="AY152" s="32" t="inlineStr">
        <is>
          <t>RJ</t>
        </is>
      </c>
      <c r="AZ152" s="32" t="inlineStr">
        <is>
          <t>Outras atividades de publicidade não especificadas anteriormente</t>
        </is>
      </c>
      <c r="BA152" s="32" t="inlineStr">
        <is>
          <t>MICRO EMPRESA</t>
        </is>
      </c>
      <c r="BB152" s="33" t="n">
        <v>305000</v>
      </c>
      <c r="BC152" s="32" t="inlineStr">
        <is>
          <t>SMALL</t>
        </is>
      </c>
      <c r="BD152" s="32" t="inlineStr">
        <is>
          <t>32184798</t>
        </is>
      </c>
      <c r="BE152" s="32" t="n">
        <v>1</v>
      </c>
      <c r="BF152" s="32" t="inlineStr">
        <is>
          <t>LONG_CHUNK class III reconciled (doc partial)</t>
        </is>
      </c>
    </row>
    <row r="153">
      <c r="A153" s="17" t="inlineStr">
        <is>
          <t>VEJA SERVICOS LTDA</t>
        </is>
      </c>
      <c r="B153" s="18" t="n">
        <v>915348.9300000001</v>
      </c>
      <c r="C153" s="19" t="inlineStr">
        <is>
          <t>GRUPO CATTAN</t>
        </is>
      </c>
      <c r="D153" s="20" t="inlineStr">
        <is>
          <t>NEW</t>
        </is>
      </c>
      <c r="E153" s="21" t="inlineStr"/>
      <c r="F153" s="20" t="inlineStr"/>
      <c r="G153" s="21" t="inlineStr"/>
      <c r="H153" s="20" t="inlineStr"/>
      <c r="I153" s="22" t="inlineStr">
        <is>
          <t>ANA CAROLINA DA SILVA</t>
        </is>
      </c>
      <c r="J153" s="23" t="inlineStr">
        <is>
          <t>Sócio-Administrador (RFB partner)</t>
        </is>
      </c>
      <c r="K153" s="22" t="inlineStr">
        <is>
          <t>(85) 3223-4964</t>
        </is>
      </c>
      <c r="L153" s="22" t="inlineStr"/>
      <c r="M153" s="22" t="inlineStr"/>
      <c r="N153" s="22" t="inlineStr"/>
      <c r="O153" s="22" t="inlineStr"/>
      <c r="P153" s="22" t="inlineStr"/>
      <c r="Q153" s="22" t="inlineStr"/>
      <c r="R153" s="22" t="inlineStr"/>
      <c r="S153" s="22" t="inlineStr"/>
      <c r="T153" s="22" t="inlineStr">
        <is>
          <t>DM = registered partner (RFB QSA); no Apollo match</t>
        </is>
      </c>
      <c r="U153" s="24" t="n">
        <v>915348.9300000001</v>
      </c>
      <c r="V153" s="25" t="inlineStr">
        <is>
          <t>B</t>
        </is>
      </c>
      <c r="W153" s="26" t="inlineStr"/>
      <c r="X153" s="27" t="inlineStr"/>
      <c r="Y153" s="27" t="inlineStr"/>
      <c r="Z153" s="26">
        <f>IF(W153&lt;&gt;"",W153,IFERROR(VLOOKUP(V153,Assumptions!$A$8:$F$12,2,FALSE),0))</f>
        <v/>
      </c>
      <c r="AA153" s="28">
        <f>IF(V153="A",MAX(1,IF(X153&lt;&gt;"",X153,IFERROR(VLOOKUP(V153,Assumptions!$A$8:$F$12,3,FALSE),3))+IF(Y153&lt;&gt;"",Y153,IFERROR(VLOOKUP(V153,Assumptions!$A$8:$F$12,4,FALSE),8))/2-MAX(0,IF(AS153="",0,YEAR(TODAY())-AS153)-IFERROR(VLOOKUP(V153,Assumptions!$A$8:$F$12,5,FALSE),1.5))),IFERROR(VLOOKUP(V153,Assumptions!$A$8:$F$12,5,FALSE),2.5)+IF(X153&lt;&gt;"",X153,IFERROR(VLOOKUP(V153,Assumptions!$A$8:$F$12,3,FALSE),3))+IF(Y153&lt;&gt;"",Y153,IFERROR(VLOOKUP(V153,Assumptions!$A$8:$F$12,4,FALSE),8))/2)</f>
        <v/>
      </c>
      <c r="AB153" s="24">
        <f>U153*Z153/(1+Assumptions!$B$3)^AA153</f>
        <v/>
      </c>
      <c r="AC153" s="27">
        <f>IF(U153=0,"",ROUND(AB153/U153*100,1))</f>
        <v/>
      </c>
      <c r="AD153" s="29">
        <f>AB153*Assumptions!$B$4</f>
        <v/>
      </c>
      <c r="AE153" s="27">
        <f>IF(U153=0,"",ROUND(AD153/U153*100,1))</f>
        <v/>
      </c>
      <c r="AF153" s="29">
        <f>AB153-AD153</f>
        <v/>
      </c>
      <c r="AG153" s="27">
        <f>IF(U153=0,"",ROUND((AB153-AD153)/U153*100,1))</f>
        <v/>
      </c>
      <c r="AH153" s="35" t="inlineStr">
        <is>
          <t>PARTIAL — class III reconciled, other classes not</t>
        </is>
      </c>
      <c r="AI153" s="31" t="inlineStr">
        <is>
          <t>https://lrflideres.com.br/wp-content/plugins/download-attachments/includes/download.php?id=4023</t>
        </is>
      </c>
      <c r="AJ153" s="30" t="inlineStr">
        <is>
          <t>p4 r95; p7 r127; p8 r85; p9 r93</t>
        </is>
      </c>
      <c r="AK153" s="30" t="inlineStr">
        <is>
          <t>p4: R$ 174.543,96; p7: R$ 605.756,16; p8: R$ 2.154,24; p9: R$ 132.894,57</t>
        </is>
      </c>
      <c r="AL153" s="30" t="inlineStr">
        <is>
          <t>Debtor list (art. 51)</t>
        </is>
      </c>
      <c r="AM153" s="30" t="inlineStr"/>
      <c r="AN153" s="30" t="inlineStr">
        <is>
          <t>NONE FOUND</t>
        </is>
      </c>
      <c r="AO153" s="32" t="inlineStr">
        <is>
          <t>0002484-82.2022.8.17.2001</t>
        </is>
      </c>
      <c r="AP153" s="32" t="inlineStr">
        <is>
          <t>TJPE</t>
        </is>
      </c>
      <c r="AQ153" s="32" t="inlineStr">
        <is>
          <t>Recuperação judicial</t>
        </is>
      </c>
      <c r="AR153" s="32" t="inlineStr">
        <is>
          <t>DataJud: no closure/falência movement</t>
        </is>
      </c>
      <c r="AS153" s="32" t="n">
        <v>2022</v>
      </c>
      <c r="AT153" s="32" t="inlineStr">
        <is>
          <t>live case, no plan document yet</t>
        </is>
      </c>
      <c r="AU153" s="32" t="inlineStr"/>
      <c r="AV153" s="32" t="inlineStr">
        <is>
          <t>printed on the list (read twice)</t>
        </is>
      </c>
      <c r="AW153" s="32" t="inlineStr"/>
      <c r="AX153" s="32" t="inlineStr">
        <is>
          <t>FORTALEZA</t>
        </is>
      </c>
      <c r="AY153" s="32" t="inlineStr">
        <is>
          <t>CE</t>
        </is>
      </c>
      <c r="AZ153" s="32" t="inlineStr">
        <is>
          <t>Serviços combinados de escritório e apoio administrativo</t>
        </is>
      </c>
      <c r="BA153" s="32" t="inlineStr">
        <is>
          <t>MICRO EMPRESA</t>
        </is>
      </c>
      <c r="BB153" s="33" t="n">
        <v>94000</v>
      </c>
      <c r="BC153" s="32" t="inlineStr">
        <is>
          <t>SMALL</t>
        </is>
      </c>
      <c r="BD153" s="32" t="inlineStr">
        <is>
          <t>02965637</t>
        </is>
      </c>
      <c r="BE153" s="32" t="n">
        <v>4</v>
      </c>
      <c r="BF153" s="32" t="inlineStr">
        <is>
          <t>class III reconciled (doc partial)</t>
        </is>
      </c>
    </row>
    <row r="154">
      <c r="A154" s="17" t="inlineStr">
        <is>
          <t>INOVAMED HOSPITALAR LTDA</t>
        </is>
      </c>
      <c r="B154" s="18" t="n">
        <v>908703.23</v>
      </c>
      <c r="C154" s="19" t="inlineStr">
        <is>
          <t>ASSOCIAÇÃO DE CARIDADE SANTA CASA DO RIO GRANDE</t>
        </is>
      </c>
      <c r="D154" s="20" t="inlineStr">
        <is>
          <t>NEW</t>
        </is>
      </c>
      <c r="E154" s="21" t="inlineStr"/>
      <c r="F154" s="20" t="inlineStr"/>
      <c r="G154" s="21" t="inlineStr"/>
      <c r="H154" s="20" t="inlineStr"/>
      <c r="I154" s="22" t="inlineStr">
        <is>
          <t>Leticia Openkoski</t>
        </is>
      </c>
      <c r="J154" s="22" t="inlineStr">
        <is>
          <t>Financial</t>
        </is>
      </c>
      <c r="K154" s="22" t="inlineStr">
        <is>
          <t>(54) 2106-7930</t>
        </is>
      </c>
      <c r="L154" s="22" t="inlineStr"/>
      <c r="M154" s="22" t="inlineStr"/>
      <c r="N154" s="22" t="inlineStr">
        <is>
          <t>leticia.o@inovamedhospitalar.com</t>
        </is>
      </c>
      <c r="O154" s="22" t="inlineStr">
        <is>
          <t>verified</t>
        </is>
      </c>
      <c r="P154" s="22" t="inlineStr">
        <is>
          <t>Debora Dassoler</t>
        </is>
      </c>
      <c r="Q154" s="22" t="inlineStr">
        <is>
          <t>Analista Fiscal e Contábil</t>
        </is>
      </c>
      <c r="R154" s="22" t="inlineStr"/>
      <c r="S154" s="22" t="inlineStr">
        <is>
          <t>debora.d@inovamedhospitalar.com</t>
        </is>
      </c>
      <c r="T154" s="22" t="inlineStr">
        <is>
          <t>DM: has_email; BACKUP: backup, has_email</t>
        </is>
      </c>
      <c r="U154" s="24" t="n">
        <v>908703.23</v>
      </c>
      <c r="V154" s="25" t="inlineStr">
        <is>
          <t>B</t>
        </is>
      </c>
      <c r="W154" s="26" t="inlineStr"/>
      <c r="X154" s="27" t="inlineStr"/>
      <c r="Y154" s="27" t="inlineStr"/>
      <c r="Z154" s="26">
        <f>IF(W154&lt;&gt;"",W154,IFERROR(VLOOKUP(V154,Assumptions!$A$8:$F$12,2,FALSE),0))</f>
        <v/>
      </c>
      <c r="AA154" s="28">
        <f>IF(V154="A",MAX(1,IF(X154&lt;&gt;"",X154,IFERROR(VLOOKUP(V154,Assumptions!$A$8:$F$12,3,FALSE),3))+IF(Y154&lt;&gt;"",Y154,IFERROR(VLOOKUP(V154,Assumptions!$A$8:$F$12,4,FALSE),8))/2-MAX(0,IF(AS154="",0,YEAR(TODAY())-AS154)-IFERROR(VLOOKUP(V154,Assumptions!$A$8:$F$12,5,FALSE),1.5))),IFERROR(VLOOKUP(V154,Assumptions!$A$8:$F$12,5,FALSE),2.5)+IF(X154&lt;&gt;"",X154,IFERROR(VLOOKUP(V154,Assumptions!$A$8:$F$12,3,FALSE),3))+IF(Y154&lt;&gt;"",Y154,IFERROR(VLOOKUP(V154,Assumptions!$A$8:$F$12,4,FALSE),8))/2)</f>
        <v/>
      </c>
      <c r="AB154" s="24">
        <f>U154*Z154/(1+Assumptions!$B$3)^AA154</f>
        <v/>
      </c>
      <c r="AC154" s="27">
        <f>IF(U154=0,"",ROUND(AB154/U154*100,1))</f>
        <v/>
      </c>
      <c r="AD154" s="29">
        <f>AB154*Assumptions!$B$4</f>
        <v/>
      </c>
      <c r="AE154" s="27">
        <f>IF(U154=0,"",ROUND(AD154/U154*100,1))</f>
        <v/>
      </c>
      <c r="AF154" s="29">
        <f>AB154-AD154</f>
        <v/>
      </c>
      <c r="AG154" s="27">
        <f>IF(U154=0,"",ROUND((AB154-AD154)/U154*100,1))</f>
        <v/>
      </c>
      <c r="AH154" s="34" t="inlineStr">
        <is>
          <t>NO TOTALS — list prints none; check page</t>
        </is>
      </c>
      <c r="AI154" s="31" t="inlineStr">
        <is>
          <t>https://scalzilliaj.com.br/sgc/download.php?file=files/processo_documento/processo_documento09120721032023_1_.pdf&amp;nome=15 - Edital do art. 7º, §2º e 53 da Lei 11.101/2005 (segunda lista de credores e recebimento do plano))</t>
        </is>
      </c>
      <c r="AJ154" s="30" t="inlineStr">
        <is>
          <t>p28 r2</t>
        </is>
      </c>
      <c r="AK154" s="30" t="inlineStr">
        <is>
          <t>p28: R$ 908.703,23</t>
        </is>
      </c>
      <c r="AL154" s="30" t="inlineStr">
        <is>
          <t>AJ list (art. 7 §2)</t>
        </is>
      </c>
      <c r="AM154" s="30" t="inlineStr">
        <is>
          <t>2023-03-21</t>
        </is>
      </c>
      <c r="AN154" s="30" t="inlineStr">
        <is>
          <t>NONE FOUND</t>
        </is>
      </c>
      <c r="AO154" s="32" t="inlineStr">
        <is>
          <t>5012306-16.2022.8.21.0023</t>
        </is>
      </c>
      <c r="AP154" s="32" t="inlineStr">
        <is>
          <t>TJRS</t>
        </is>
      </c>
      <c r="AQ154" s="32" t="inlineStr">
        <is>
          <t>Recuperação judicial</t>
        </is>
      </c>
      <c r="AR154" s="32" t="inlineStr">
        <is>
          <t>DataJud: no closure/falência movement</t>
        </is>
      </c>
      <c r="AS154" s="32" t="n">
        <v>2022</v>
      </c>
      <c r="AT154" s="32" t="inlineStr">
        <is>
          <t>live case, no plan document yet; atypical debtor (associação/clube/hospital/produtor rural): admissibility or claim subjection may be contested</t>
        </is>
      </c>
      <c r="AU154" s="32" t="inlineStr"/>
      <c r="AV154" s="32" t="inlineStr">
        <is>
          <t>printed on the list (read twice)</t>
        </is>
      </c>
      <c r="AW154" s="32" t="inlineStr"/>
      <c r="AX154" s="32" t="inlineStr">
        <is>
          <t>ERECHIM</t>
        </is>
      </c>
      <c r="AY154" s="32" t="inlineStr">
        <is>
          <t>RS</t>
        </is>
      </c>
      <c r="AZ154" s="32" t="inlineStr">
        <is>
          <t>Comércio atacadista de medicamentos e drogas de uso humano</t>
        </is>
      </c>
      <c r="BA154" s="32" t="inlineStr">
        <is>
          <t>não ME/EPP</t>
        </is>
      </c>
      <c r="BB154" s="33" t="n">
        <v>8004000</v>
      </c>
      <c r="BC154" s="32" t="inlineStr">
        <is>
          <t>MID-MARKET</t>
        </is>
      </c>
      <c r="BD154" s="32" t="inlineStr">
        <is>
          <t>12889035</t>
        </is>
      </c>
      <c r="BE154" s="32" t="n">
        <v>1</v>
      </c>
      <c r="BF154" s="32" t="inlineStr">
        <is>
          <t>list prints no totals</t>
        </is>
      </c>
    </row>
    <row r="155">
      <c r="A155" s="17" t="inlineStr">
        <is>
          <t>INDUSTRIA DE CONFECCOES K-DU LTDA</t>
        </is>
      </c>
      <c r="B155" s="18" t="n">
        <v>908132.39</v>
      </c>
      <c r="C155" s="19" t="inlineStr">
        <is>
          <t>GRUPO CATTAN</t>
        </is>
      </c>
      <c r="D155" s="20" t="inlineStr">
        <is>
          <t>NEW</t>
        </is>
      </c>
      <c r="E155" s="21" t="inlineStr"/>
      <c r="F155" s="20" t="inlineStr"/>
      <c r="G155" s="21" t="inlineStr"/>
      <c r="H155" s="20" t="inlineStr"/>
      <c r="I155" s="22" t="inlineStr">
        <is>
          <t>CLAUDIO CAUDURO</t>
        </is>
      </c>
      <c r="J155" s="23" t="inlineStr">
        <is>
          <t>Sócio-Administrador (RFB partner)</t>
        </is>
      </c>
      <c r="K155" s="22" t="inlineStr">
        <is>
          <t>(46) 3563-1792</t>
        </is>
      </c>
      <c r="L155" s="22" t="inlineStr"/>
      <c r="M155" s="22" t="inlineStr"/>
      <c r="N155" s="22" t="inlineStr"/>
      <c r="O155" s="22" t="inlineStr"/>
      <c r="P155" s="22" t="inlineStr"/>
      <c r="Q155" s="22" t="inlineStr"/>
      <c r="R155" s="22" t="inlineStr"/>
      <c r="S155" s="22" t="inlineStr"/>
      <c r="T155" s="22" t="inlineStr">
        <is>
          <t>DM = registered partner (RFB QSA); no Apollo match</t>
        </is>
      </c>
      <c r="U155" s="24" t="n">
        <v>908132.39</v>
      </c>
      <c r="V155" s="25" t="inlineStr">
        <is>
          <t>B</t>
        </is>
      </c>
      <c r="W155" s="26" t="inlineStr"/>
      <c r="X155" s="27" t="inlineStr"/>
      <c r="Y155" s="27" t="inlineStr"/>
      <c r="Z155" s="26">
        <f>IF(W155&lt;&gt;"",W155,IFERROR(VLOOKUP(V155,Assumptions!$A$8:$F$12,2,FALSE),0))</f>
        <v/>
      </c>
      <c r="AA155" s="28">
        <f>IF(V155="A",MAX(1,IF(X155&lt;&gt;"",X155,IFERROR(VLOOKUP(V155,Assumptions!$A$8:$F$12,3,FALSE),3))+IF(Y155&lt;&gt;"",Y155,IFERROR(VLOOKUP(V155,Assumptions!$A$8:$F$12,4,FALSE),8))/2-MAX(0,IF(AS155="",0,YEAR(TODAY())-AS155)-IFERROR(VLOOKUP(V155,Assumptions!$A$8:$F$12,5,FALSE),1.5))),IFERROR(VLOOKUP(V155,Assumptions!$A$8:$F$12,5,FALSE),2.5)+IF(X155&lt;&gt;"",X155,IFERROR(VLOOKUP(V155,Assumptions!$A$8:$F$12,3,FALSE),3))+IF(Y155&lt;&gt;"",Y155,IFERROR(VLOOKUP(V155,Assumptions!$A$8:$F$12,4,FALSE),8))/2)</f>
        <v/>
      </c>
      <c r="AB155" s="24">
        <f>U155*Z155/(1+Assumptions!$B$3)^AA155</f>
        <v/>
      </c>
      <c r="AC155" s="27">
        <f>IF(U155=0,"",ROUND(AB155/U155*100,1))</f>
        <v/>
      </c>
      <c r="AD155" s="29">
        <f>AB155*Assumptions!$B$4</f>
        <v/>
      </c>
      <c r="AE155" s="27">
        <f>IF(U155=0,"",ROUND(AD155/U155*100,1))</f>
        <v/>
      </c>
      <c r="AF155" s="29">
        <f>AB155-AD155</f>
        <v/>
      </c>
      <c r="AG155" s="27">
        <f>IF(U155=0,"",ROUND((AB155-AD155)/U155*100,1))</f>
        <v/>
      </c>
      <c r="AH155" s="35" t="inlineStr">
        <is>
          <t>PARTIAL — class III reconciled, other classes not</t>
        </is>
      </c>
      <c r="AI155" s="31" t="inlineStr">
        <is>
          <t>https://lrflideres.com.br/wp-content/plugins/download-attachments/includes/download.php?id=4023</t>
        </is>
      </c>
      <c r="AJ155" s="30" t="inlineStr">
        <is>
          <t>p4 r78; p7 r102; p9 r76</t>
        </is>
      </c>
      <c r="AK155" s="30" t="inlineStr">
        <is>
          <t>p4: R$ 271.843,99; p7: R$ 508.146,95; p9: R$ 128.141,45</t>
        </is>
      </c>
      <c r="AL155" s="30" t="inlineStr">
        <is>
          <t>Debtor list (art. 51)</t>
        </is>
      </c>
      <c r="AM155" s="30" t="inlineStr"/>
      <c r="AN155" s="30" t="inlineStr">
        <is>
          <t>NONE FOUND</t>
        </is>
      </c>
      <c r="AO155" s="32" t="inlineStr">
        <is>
          <t>0002484-82.2022.8.17.2001</t>
        </is>
      </c>
      <c r="AP155" s="32" t="inlineStr">
        <is>
          <t>TJPE</t>
        </is>
      </c>
      <c r="AQ155" s="32" t="inlineStr">
        <is>
          <t>Recuperação judicial</t>
        </is>
      </c>
      <c r="AR155" s="32" t="inlineStr">
        <is>
          <t>DataJud: no closure/falência movement</t>
        </is>
      </c>
      <c r="AS155" s="32" t="n">
        <v>2022</v>
      </c>
      <c r="AT155" s="32" t="inlineStr">
        <is>
          <t>live case, no plan document yet</t>
        </is>
      </c>
      <c r="AU155" s="32" t="inlineStr"/>
      <c r="AV155" s="32" t="inlineStr">
        <is>
          <t>printed on the list (read twice)</t>
        </is>
      </c>
      <c r="AW155" s="32" t="inlineStr"/>
      <c r="AX155" s="32" t="inlineStr">
        <is>
          <t>SANTO ANTONIO DO SUDOESTE</t>
        </is>
      </c>
      <c r="AY155" s="32" t="inlineStr">
        <is>
          <t>PR</t>
        </is>
      </c>
      <c r="AZ155" s="32" t="inlineStr">
        <is>
          <t>Confecção de peças de vestuário, exceto roupas íntimas e as confeccionadas sob medida</t>
        </is>
      </c>
      <c r="BA155" s="32" t="inlineStr">
        <is>
          <t>não ME/EPP</t>
        </is>
      </c>
      <c r="BB155" s="33" t="n">
        <v>500000</v>
      </c>
      <c r="BC155" s="32" t="inlineStr">
        <is>
          <t>MID-MARKET</t>
        </is>
      </c>
      <c r="BD155" s="32" t="inlineStr">
        <is>
          <t>10424098</t>
        </is>
      </c>
      <c r="BE155" s="32" t="n">
        <v>3</v>
      </c>
      <c r="BF155" s="32" t="inlineStr">
        <is>
          <t>class III reconciled (doc partial)</t>
        </is>
      </c>
    </row>
    <row r="156">
      <c r="A156" s="17" t="inlineStr">
        <is>
          <t>AGROFIELD ASSESSORIA ADMINISTRATIVA LTDA</t>
        </is>
      </c>
      <c r="B156" s="18" t="n">
        <v>6434083.18</v>
      </c>
      <c r="C156" s="19" t="inlineStr">
        <is>
          <t>COPA FRUIT IMPORTAÇÃO E EXPORTAÇÃO S.A</t>
        </is>
      </c>
      <c r="D156" s="20" t="inlineStr">
        <is>
          <t>NEW</t>
        </is>
      </c>
      <c r="E156" s="21" t="inlineStr"/>
      <c r="F156" s="20" t="inlineStr"/>
      <c r="G156" s="21" t="inlineStr"/>
      <c r="H156" s="20" t="inlineStr"/>
      <c r="I156" s="22" t="inlineStr">
        <is>
          <t>SERGIO LUIZ SILVA DA FONSECA LINS</t>
        </is>
      </c>
      <c r="J156" s="23" t="inlineStr">
        <is>
          <t>Sócio-Administrador (RFB partner)</t>
        </is>
      </c>
      <c r="K156" s="22" t="inlineStr">
        <is>
          <t>(81) 3339-1977</t>
        </is>
      </c>
      <c r="L156" s="22" t="inlineStr"/>
      <c r="M156" s="22" t="inlineStr"/>
      <c r="N156" s="22" t="inlineStr"/>
      <c r="O156" s="22" t="inlineStr"/>
      <c r="P156" s="22" t="inlineStr"/>
      <c r="Q156" s="22" t="inlineStr"/>
      <c r="R156" s="22" t="inlineStr"/>
      <c r="S156" s="22" t="inlineStr"/>
      <c r="T156" s="22" t="inlineStr">
        <is>
          <t>DM = registered partner (RFB QSA); no Apollo match</t>
        </is>
      </c>
      <c r="U156" s="24" t="n">
        <v>6434083.18</v>
      </c>
      <c r="V156" s="40" t="inlineStr">
        <is>
          <t>D</t>
        </is>
      </c>
      <c r="W156" s="26" t="inlineStr"/>
      <c r="X156" s="27" t="inlineStr"/>
      <c r="Y156" s="27" t="inlineStr"/>
      <c r="Z156" s="26">
        <f>IF(W156&lt;&gt;"",W156,IFERROR(VLOOKUP(V156,Assumptions!$A$8:$F$12,2,FALSE),0))</f>
        <v/>
      </c>
      <c r="AA156" s="28">
        <f>IF(V156="A",MAX(1,IF(X156&lt;&gt;"",X156,IFERROR(VLOOKUP(V156,Assumptions!$A$8:$F$12,3,FALSE),3))+IF(Y156&lt;&gt;"",Y156,IFERROR(VLOOKUP(V156,Assumptions!$A$8:$F$12,4,FALSE),8))/2-MAX(0,IF(AS156="",0,YEAR(TODAY())-AS156)-IFERROR(VLOOKUP(V156,Assumptions!$A$8:$F$12,5,FALSE),1.5))),IFERROR(VLOOKUP(V156,Assumptions!$A$8:$F$12,5,FALSE),2.5)+IF(X156&lt;&gt;"",X156,IFERROR(VLOOKUP(V156,Assumptions!$A$8:$F$12,3,FALSE),3))+IF(Y156&lt;&gt;"",Y156,IFERROR(VLOOKUP(V156,Assumptions!$A$8:$F$12,4,FALSE),8))/2)</f>
        <v/>
      </c>
      <c r="AB156" s="24">
        <f>U156*Z156/(1+Assumptions!$B$3)^AA156</f>
        <v/>
      </c>
      <c r="AC156" s="27">
        <f>IF(U156=0,"",ROUND(AB156/U156*100,1))</f>
        <v/>
      </c>
      <c r="AD156" s="29">
        <f>AB156*Assumptions!$B$4</f>
        <v/>
      </c>
      <c r="AE156" s="27">
        <f>IF(U156=0,"",ROUND(AD156/U156*100,1))</f>
        <v/>
      </c>
      <c r="AF156" s="29">
        <f>AB156-AD156</f>
        <v/>
      </c>
      <c r="AG156" s="27">
        <f>IF(U156=0,"",ROUND((AB156-AD156)/U156*100,1))</f>
        <v/>
      </c>
      <c r="AH156" s="34" t="inlineStr">
        <is>
          <t>NO TOTALS — list prints none; check page</t>
        </is>
      </c>
      <c r="AI156" s="31" t="inlineStr">
        <is>
          <t>https://diligence.adm.br/wp-content/plugins/download-attachments/includes/download.php?id=4579</t>
        </is>
      </c>
      <c r="AJ156" s="30" t="inlineStr">
        <is>
          <t>p8 r2</t>
        </is>
      </c>
      <c r="AK156" s="30" t="inlineStr">
        <is>
          <t>p8: R$ 6.434.083,18</t>
        </is>
      </c>
      <c r="AL156" s="30" t="inlineStr">
        <is>
          <t>AJ list (art. 7 §2)</t>
        </is>
      </c>
      <c r="AM156" s="30" t="inlineStr">
        <is>
          <t>2024-06-11</t>
        </is>
      </c>
      <c r="AN156" s="30" t="inlineStr">
        <is>
          <t>NONE FOUND</t>
        </is>
      </c>
      <c r="AO156" s="32" t="inlineStr">
        <is>
          <t>0032731-52.2010.8.17.0001</t>
        </is>
      </c>
      <c r="AP156" s="32" t="inlineStr">
        <is>
          <t>TJPE</t>
        </is>
      </c>
      <c r="AQ156" s="32" t="inlineStr">
        <is>
          <t>Falência</t>
        </is>
      </c>
      <c r="AR156" s="32" t="inlineStr">
        <is>
          <t>not in DataJud</t>
        </is>
      </c>
      <c r="AS156" s="32" t="n">
        <v>2010</v>
      </c>
      <c r="AT156" s="32" t="inlineStr">
        <is>
          <t>falência proceeding (list/name says falida)</t>
        </is>
      </c>
      <c r="AU156" s="32" t="inlineStr">
        <is>
          <t>01.356.809/0001-13</t>
        </is>
      </c>
      <c r="AV156" s="32" t="inlineStr">
        <is>
          <t>printed on the list (read twice)</t>
        </is>
      </c>
      <c r="AW156" s="32" t="inlineStr"/>
      <c r="AX156" s="32" t="inlineStr">
        <is>
          <t>RECIFE</t>
        </is>
      </c>
      <c r="AY156" s="32" t="inlineStr">
        <is>
          <t>PE</t>
        </is>
      </c>
      <c r="AZ156" s="32" t="inlineStr">
        <is>
          <t>Atividades de intermediação e agenciamento de serviços e negócios em geral, exceto imobiliários</t>
        </is>
      </c>
      <c r="BA156" s="32" t="inlineStr">
        <is>
          <t>não ME/EPP</t>
        </is>
      </c>
      <c r="BB156" s="33" t="n">
        <v>100000</v>
      </c>
      <c r="BC156" s="32" t="inlineStr">
        <is>
          <t>MID-MARKET</t>
        </is>
      </c>
      <c r="BD156" s="32" t="inlineStr">
        <is>
          <t>06284974</t>
        </is>
      </c>
      <c r="BE156" s="32" t="n">
        <v>1</v>
      </c>
      <c r="BF156" s="32" t="inlineStr">
        <is>
          <t>list prints no totals</t>
        </is>
      </c>
    </row>
    <row r="157">
      <c r="A157" s="17" t="inlineStr">
        <is>
          <t>RG COPPER INDUSTRIA E COMERCIO DE CONDUTORES ELETRICOS LTDA</t>
        </is>
      </c>
      <c r="B157" s="18" t="n">
        <v>864147.01</v>
      </c>
      <c r="C157" s="19" t="inlineStr">
        <is>
          <t>Grupo Conduscabos</t>
        </is>
      </c>
      <c r="D157" s="20" t="inlineStr">
        <is>
          <t>NEW</t>
        </is>
      </c>
      <c r="E157" s="21" t="inlineStr"/>
      <c r="F157" s="20" t="inlineStr"/>
      <c r="G157" s="21" t="inlineStr"/>
      <c r="H157" s="20" t="inlineStr"/>
      <c r="I157" s="22" t="inlineStr">
        <is>
          <t>GERSON GOMES DA SILVA</t>
        </is>
      </c>
      <c r="J157" s="23" t="inlineStr">
        <is>
          <t>Sócio-Administrador (RFB partner)</t>
        </is>
      </c>
      <c r="K157" s="22" t="inlineStr">
        <is>
          <t>(11) 2507-5535</t>
        </is>
      </c>
      <c r="L157" s="22" t="inlineStr"/>
      <c r="M157" s="22" t="inlineStr"/>
      <c r="N157" s="22" t="inlineStr"/>
      <c r="O157" s="22" t="inlineStr"/>
      <c r="P157" s="22" t="inlineStr">
        <is>
          <t>RODRIGO RIBEIRO DOS SANTOS</t>
        </is>
      </c>
      <c r="Q157" s="22" t="inlineStr">
        <is>
          <t>Sócio-Administrador (RFB partner)</t>
        </is>
      </c>
      <c r="R157" s="22" t="inlineStr"/>
      <c r="S157" s="22" t="inlineStr"/>
      <c r="T157" s="22" t="inlineStr">
        <is>
          <t>DM = registered partner (RFB QSA); no Apollo match</t>
        </is>
      </c>
      <c r="U157" s="24" t="n">
        <v>864147.01</v>
      </c>
      <c r="V157" s="25" t="inlineStr">
        <is>
          <t>B</t>
        </is>
      </c>
      <c r="W157" s="26" t="inlineStr"/>
      <c r="X157" s="27" t="inlineStr"/>
      <c r="Y157" s="27" t="inlineStr"/>
      <c r="Z157" s="26">
        <f>IF(W157&lt;&gt;"",W157,IFERROR(VLOOKUP(V157,Assumptions!$A$8:$F$12,2,FALSE),0))</f>
        <v/>
      </c>
      <c r="AA157" s="28">
        <f>IF(V157="A",MAX(1,IF(X157&lt;&gt;"",X157,IFERROR(VLOOKUP(V157,Assumptions!$A$8:$F$12,3,FALSE),3))+IF(Y157&lt;&gt;"",Y157,IFERROR(VLOOKUP(V157,Assumptions!$A$8:$F$12,4,FALSE),8))/2-MAX(0,IF(AS157="",0,YEAR(TODAY())-AS157)-IFERROR(VLOOKUP(V157,Assumptions!$A$8:$F$12,5,FALSE),1.5))),IFERROR(VLOOKUP(V157,Assumptions!$A$8:$F$12,5,FALSE),2.5)+IF(X157&lt;&gt;"",X157,IFERROR(VLOOKUP(V157,Assumptions!$A$8:$F$12,3,FALSE),3))+IF(Y157&lt;&gt;"",Y157,IFERROR(VLOOKUP(V157,Assumptions!$A$8:$F$12,4,FALSE),8))/2)</f>
        <v/>
      </c>
      <c r="AB157" s="24">
        <f>U157*Z157/(1+Assumptions!$B$3)^AA157</f>
        <v/>
      </c>
      <c r="AC157" s="27">
        <f>IF(U157=0,"",ROUND(AB157/U157*100,1))</f>
        <v/>
      </c>
      <c r="AD157" s="29">
        <f>AB157*Assumptions!$B$4</f>
        <v/>
      </c>
      <c r="AE157" s="27">
        <f>IF(U157=0,"",ROUND(AD157/U157*100,1))</f>
        <v/>
      </c>
      <c r="AF157" s="29">
        <f>AB157-AD157</f>
        <v/>
      </c>
      <c r="AG157" s="27">
        <f>IF(U157=0,"",ROUND((AB157-AD157)/U157*100,1))</f>
        <v/>
      </c>
      <c r="AH157" s="34" t="inlineStr">
        <is>
          <t>NO TOTALS — list prints none; check page</t>
        </is>
      </c>
      <c r="AI157" s="31" t="inlineStr">
        <is>
          <t>https://assistjud.com.br/wp-content/uploads/elementor/forms/65098c80a5824.pdf</t>
        </is>
      </c>
      <c r="AJ157" s="30" t="inlineStr">
        <is>
          <t>p9 r14</t>
        </is>
      </c>
      <c r="AK157" s="30" t="inlineStr">
        <is>
          <t>p9: R$ 864.147,01</t>
        </is>
      </c>
      <c r="AL157" s="30" t="inlineStr">
        <is>
          <t>AJ list (art. 7 §2)</t>
        </is>
      </c>
      <c r="AM157" s="30" t="inlineStr">
        <is>
          <t>2023-09-18</t>
        </is>
      </c>
      <c r="AN157" s="30" t="inlineStr">
        <is>
          <t>NONE FOUND</t>
        </is>
      </c>
      <c r="AO157" s="32" t="inlineStr">
        <is>
          <t>8005129-09.2023.8.05.0039</t>
        </is>
      </c>
      <c r="AP157" s="32" t="inlineStr">
        <is>
          <t>TJBA</t>
        </is>
      </c>
      <c r="AQ157" s="32" t="inlineStr">
        <is>
          <t>Recuperação judicial</t>
        </is>
      </c>
      <c r="AR157" s="32" t="inlineStr">
        <is>
          <t>DataJud: no closure/falência movement</t>
        </is>
      </c>
      <c r="AS157" s="32" t="n">
        <v>2023</v>
      </c>
      <c r="AT157" s="32" t="inlineStr">
        <is>
          <t>live case, no plan document yet</t>
        </is>
      </c>
      <c r="AU157" s="32" t="inlineStr"/>
      <c r="AV157" s="32" t="inlineStr">
        <is>
          <t>printed on the list (read twice)</t>
        </is>
      </c>
      <c r="AW157" s="32" t="inlineStr"/>
      <c r="AX157" s="32" t="inlineStr">
        <is>
          <t>JARDINOPOLIS</t>
        </is>
      </c>
      <c r="AY157" s="32" t="inlineStr">
        <is>
          <t>SP</t>
        </is>
      </c>
      <c r="AZ157" s="32" t="inlineStr">
        <is>
          <t>Fabricação de fios, cabos e condutores elétricos isolados</t>
        </is>
      </c>
      <c r="BA157" s="32" t="inlineStr">
        <is>
          <t>não ME/EPP</t>
        </is>
      </c>
      <c r="BB157" s="33" t="n">
        <v>200000</v>
      </c>
      <c r="BC157" s="32" t="inlineStr">
        <is>
          <t>MID-MARKET</t>
        </is>
      </c>
      <c r="BD157" s="32" t="inlineStr">
        <is>
          <t>21044682</t>
        </is>
      </c>
      <c r="BE157" s="32" t="n">
        <v>1</v>
      </c>
      <c r="BF157" s="32" t="inlineStr">
        <is>
          <t>list prints no totals</t>
        </is>
      </c>
    </row>
    <row r="158">
      <c r="A158" s="17" t="inlineStr">
        <is>
          <t>VIBRA ENERGIA S.A</t>
        </is>
      </c>
      <c r="B158" s="18" t="n">
        <v>1607742.88</v>
      </c>
      <c r="C158" s="37" t="inlineStr">
        <is>
          <t>(debtor not identified — see proof)</t>
        </is>
      </c>
      <c r="D158" s="20" t="inlineStr">
        <is>
          <t>NEW</t>
        </is>
      </c>
      <c r="E158" s="21" t="inlineStr"/>
      <c r="F158" s="20" t="inlineStr"/>
      <c r="G158" s="21" t="inlineStr"/>
      <c r="H158" s="20" t="inlineStr"/>
      <c r="I158" s="22" t="inlineStr">
        <is>
          <t>ERNESTO PERES POUSADA JUNIOR</t>
        </is>
      </c>
      <c r="J158" s="23" t="inlineStr">
        <is>
          <t>Presidente (RFB partner)</t>
        </is>
      </c>
      <c r="K158" s="22" t="inlineStr">
        <is>
          <t>(21) 2354-3151</t>
        </is>
      </c>
      <c r="L158" s="22" t="inlineStr">
        <is>
          <t>(21) 2354-3146</t>
        </is>
      </c>
      <c r="M158" s="22" t="inlineStr"/>
      <c r="N158" s="22" t="inlineStr"/>
      <c r="O158" s="22" t="inlineStr"/>
      <c r="P158" s="22" t="inlineStr">
        <is>
          <t>DANIEL DRUMOND CAMPOS E SILVA</t>
        </is>
      </c>
      <c r="Q158" s="22" t="inlineStr">
        <is>
          <t>Diretor (RFB partner)</t>
        </is>
      </c>
      <c r="R158" s="22" t="inlineStr"/>
      <c r="S158" s="22" t="inlineStr"/>
      <c r="T158" s="22" t="inlineStr">
        <is>
          <t>DM = registered partner (RFB QSA); no Apollo match</t>
        </is>
      </c>
      <c r="U158" s="24" t="n">
        <v>1607742.88</v>
      </c>
      <c r="V158" s="38" t="inlineStr">
        <is>
          <t>U</t>
        </is>
      </c>
      <c r="W158" s="26" t="inlineStr"/>
      <c r="X158" s="27" t="inlineStr"/>
      <c r="Y158" s="27" t="inlineStr"/>
      <c r="Z158" s="26">
        <f>IF(W158&lt;&gt;"",W158,IFERROR(VLOOKUP(V158,Assumptions!$A$8:$F$12,2,FALSE),0))</f>
        <v/>
      </c>
      <c r="AA158" s="28">
        <f>IF(V158="A",MAX(1,IF(X158&lt;&gt;"",X158,IFERROR(VLOOKUP(V158,Assumptions!$A$8:$F$12,3,FALSE),3))+IF(Y158&lt;&gt;"",Y158,IFERROR(VLOOKUP(V158,Assumptions!$A$8:$F$12,4,FALSE),8))/2-MAX(0,IF(AS158="",0,YEAR(TODAY())-AS158)-IFERROR(VLOOKUP(V158,Assumptions!$A$8:$F$12,5,FALSE),1.5))),IFERROR(VLOOKUP(V158,Assumptions!$A$8:$F$12,5,FALSE),2.5)+IF(X158&lt;&gt;"",X158,IFERROR(VLOOKUP(V158,Assumptions!$A$8:$F$12,3,FALSE),3))+IF(Y158&lt;&gt;"",Y158,IFERROR(VLOOKUP(V158,Assumptions!$A$8:$F$12,4,FALSE),8))/2)</f>
        <v/>
      </c>
      <c r="AB158" s="24">
        <f>U158*Z158/(1+Assumptions!$B$3)^AA158</f>
        <v/>
      </c>
      <c r="AC158" s="27">
        <f>IF(U158=0,"",ROUND(AB158/U158*100,1))</f>
        <v/>
      </c>
      <c r="AD158" s="29">
        <f>AB158*Assumptions!$B$4</f>
        <v/>
      </c>
      <c r="AE158" s="27">
        <f>IF(U158=0,"",ROUND(AD158/U158*100,1))</f>
        <v/>
      </c>
      <c r="AF158" s="29">
        <f>AB158-AD158</f>
        <v/>
      </c>
      <c r="AG158" s="27">
        <f>IF(U158=0,"",ROUND((AB158-AD158)/U158*100,1))</f>
        <v/>
      </c>
      <c r="AH158" s="30" t="inlineStr">
        <is>
          <t>OK — totals reconciled</t>
        </is>
      </c>
      <c r="AI158" s="31" t="inlineStr">
        <is>
          <t>https://ajruiz.com.br/sites/default/files/public/arquivos-processos/2023-11/4_relacao_de_credores_analitica_art._51_iii_da_lre.pdf</t>
        </is>
      </c>
      <c r="AJ158" s="30" t="inlineStr">
        <is>
          <t>p3 r43</t>
        </is>
      </c>
      <c r="AK158" s="30" t="inlineStr">
        <is>
          <t>p3: R$ 1.607.742,88</t>
        </is>
      </c>
      <c r="AL158" s="30" t="inlineStr">
        <is>
          <t>Unclassified list</t>
        </is>
      </c>
      <c r="AM158" s="30" t="inlineStr"/>
      <c r="AN158" s="30" t="inlineStr">
        <is>
          <t>NONE FOUND</t>
        </is>
      </c>
      <c r="AO158" s="32" t="inlineStr">
        <is>
          <t>(not printed)</t>
        </is>
      </c>
      <c r="AP158" s="32" t="inlineStr"/>
      <c r="AQ158" s="32" t="inlineStr"/>
      <c r="AR158" s="32" t="inlineStr"/>
      <c r="AS158" s="32" t="inlineStr"/>
      <c r="AT158" s="32" t="inlineStr">
        <is>
          <t>RJ case number not identified on the document</t>
        </is>
      </c>
      <c r="AU158" s="32" t="inlineStr"/>
      <c r="AV158" s="32" t="inlineStr">
        <is>
          <t>not identified</t>
        </is>
      </c>
      <c r="AW158" s="32" t="inlineStr"/>
      <c r="AX158" s="32" t="inlineStr">
        <is>
          <t>RIO DE JANEIRO</t>
        </is>
      </c>
      <c r="AY158" s="32" t="inlineStr">
        <is>
          <t>RJ</t>
        </is>
      </c>
      <c r="AZ158" s="32" t="inlineStr">
        <is>
          <t>Comércio atacadista de álcool carburante, biodiesel, gasolina e demais derivados de petróleo, exceto lubrificantes, não realizado por transportador re</t>
        </is>
      </c>
      <c r="BA158" s="32" t="inlineStr">
        <is>
          <t>não ME/EPP</t>
        </is>
      </c>
      <c r="BB158" s="33" t="n">
        <v>12051386000</v>
      </c>
      <c r="BC158" s="32" t="inlineStr">
        <is>
          <t>LARGE CORP</t>
        </is>
      </c>
      <c r="BD158" s="32" t="inlineStr">
        <is>
          <t>34274233</t>
        </is>
      </c>
      <c r="BE158" s="32" t="n">
        <v>1</v>
      </c>
      <c r="BF158" s="32" t="inlineStr">
        <is>
          <t>case no. corrected by reader</t>
        </is>
      </c>
    </row>
    <row r="159">
      <c r="A159" s="17" t="inlineStr">
        <is>
          <t>CARGILL AGRICOLA S A</t>
        </is>
      </c>
      <c r="B159" s="18" t="n">
        <v>852353.71</v>
      </c>
      <c r="C159" s="19" t="inlineStr">
        <is>
          <t>GRUPO FERRARI (ALEX, ALEXANDRE , ANDRIELLE FERRARI MANTELLI, ARCIR LUIS, ERICA SANTOS ASSIS LIMA, FERNANDO MANTELLI, IDELSI, TALITA LEITE SILVA, AGROPECUARIA FERRARI LTDA E FERRARI ARMAZENS GERAIS)</t>
        </is>
      </c>
      <c r="D159" s="20" t="inlineStr">
        <is>
          <t>NEW</t>
        </is>
      </c>
      <c r="E159" s="21" t="inlineStr"/>
      <c r="F159" s="20" t="inlineStr"/>
      <c r="G159" s="21" t="inlineStr"/>
      <c r="H159" s="20" t="inlineStr"/>
      <c r="I159" s="22" t="inlineStr">
        <is>
          <t>PAULO HUMBERTO ALVES DE SOUSA</t>
        </is>
      </c>
      <c r="J159" s="23" t="inlineStr">
        <is>
          <t>Presidente (RFB partner)</t>
        </is>
      </c>
      <c r="K159" s="22" t="inlineStr">
        <is>
          <t>(11) 5099-3311</t>
        </is>
      </c>
      <c r="L159" s="22" t="inlineStr"/>
      <c r="M159" s="22" t="inlineStr"/>
      <c r="N159" s="22" t="inlineStr"/>
      <c r="O159" s="22" t="inlineStr"/>
      <c r="P159" s="22" t="inlineStr">
        <is>
          <t>ANDREA WANDERLEY DOS ANJOS</t>
        </is>
      </c>
      <c r="Q159" s="22" t="inlineStr">
        <is>
          <t>Diretor (RFB partner)</t>
        </is>
      </c>
      <c r="R159" s="22" t="inlineStr"/>
      <c r="S159" s="22" t="inlineStr"/>
      <c r="T159" s="22" t="inlineStr">
        <is>
          <t>DM = registered partner (RFB QSA); no Apollo match</t>
        </is>
      </c>
      <c r="U159" s="24" t="n">
        <v>852353.71</v>
      </c>
      <c r="V159" s="25" t="inlineStr">
        <is>
          <t>B</t>
        </is>
      </c>
      <c r="W159" s="26" t="inlineStr"/>
      <c r="X159" s="27" t="inlineStr"/>
      <c r="Y159" s="27" t="inlineStr"/>
      <c r="Z159" s="26">
        <f>IF(W159&lt;&gt;"",W159,IFERROR(VLOOKUP(V159,Assumptions!$A$8:$F$12,2,FALSE),0))</f>
        <v/>
      </c>
      <c r="AA159" s="28">
        <f>IF(V159="A",MAX(1,IF(X159&lt;&gt;"",X159,IFERROR(VLOOKUP(V159,Assumptions!$A$8:$F$12,3,FALSE),3))+IF(Y159&lt;&gt;"",Y159,IFERROR(VLOOKUP(V159,Assumptions!$A$8:$F$12,4,FALSE),8))/2-MAX(0,IF(AS159="",0,YEAR(TODAY())-AS159)-IFERROR(VLOOKUP(V159,Assumptions!$A$8:$F$12,5,FALSE),1.5))),IFERROR(VLOOKUP(V159,Assumptions!$A$8:$F$12,5,FALSE),2.5)+IF(X159&lt;&gt;"",X159,IFERROR(VLOOKUP(V159,Assumptions!$A$8:$F$12,3,FALSE),3))+IF(Y159&lt;&gt;"",Y159,IFERROR(VLOOKUP(V159,Assumptions!$A$8:$F$12,4,FALSE),8))/2)</f>
        <v/>
      </c>
      <c r="AB159" s="24">
        <f>U159*Z159/(1+Assumptions!$B$3)^AA159</f>
        <v/>
      </c>
      <c r="AC159" s="27">
        <f>IF(U159=0,"",ROUND(AB159/U159*100,1))</f>
        <v/>
      </c>
      <c r="AD159" s="29">
        <f>AB159*Assumptions!$B$4</f>
        <v/>
      </c>
      <c r="AE159" s="27">
        <f>IF(U159=0,"",ROUND(AD159/U159*100,1))</f>
        <v/>
      </c>
      <c r="AF159" s="29">
        <f>AB159-AD159</f>
        <v/>
      </c>
      <c r="AG159" s="27">
        <f>IF(U159=0,"",ROUND((AB159-AD159)/U159*100,1))</f>
        <v/>
      </c>
      <c r="AH159" s="34" t="inlineStr">
        <is>
          <t>NO TOTALS — list prints none; check page</t>
        </is>
      </c>
      <c r="AI159" s="31" t="inlineStr">
        <is>
          <t>https://scalzilliaj.com.br/sgc/download.php?file=files/processo_documento/processo_documento11421222052026_1_.pdf&amp;nome=08. Lista de credores do edital do art. 52, §1º da LREF</t>
        </is>
      </c>
      <c r="AJ159" s="30" t="inlineStr">
        <is>
          <t>p4 r5</t>
        </is>
      </c>
      <c r="AK159" s="30" t="inlineStr">
        <is>
          <t>p4: R$ 852.353,71</t>
        </is>
      </c>
      <c r="AL159" s="30" t="inlineStr">
        <is>
          <t>Unclassified list</t>
        </is>
      </c>
      <c r="AM159" s="30" t="inlineStr"/>
      <c r="AN159" s="30" t="inlineStr">
        <is>
          <t>NONE FOUND</t>
        </is>
      </c>
      <c r="AO159" s="32" t="inlineStr">
        <is>
          <t>5011369-81.2026.8.09.0093</t>
        </is>
      </c>
      <c r="AP159" s="32" t="inlineStr">
        <is>
          <t>TJGO</t>
        </is>
      </c>
      <c r="AQ159" s="32" t="inlineStr"/>
      <c r="AR159" s="32" t="inlineStr">
        <is>
          <t>DataJud: no closure/falência movement</t>
        </is>
      </c>
      <c r="AS159" s="32" t="n">
        <v>2026</v>
      </c>
      <c r="AT159" s="32" t="inlineStr">
        <is>
          <t>live case, no plan document yet; case no. from the portal record, not printed on the list</t>
        </is>
      </c>
      <c r="AU159" s="32" t="inlineStr"/>
      <c r="AV159" s="32" t="inlineStr">
        <is>
          <t>portal page title / URL — not printed on the list</t>
        </is>
      </c>
      <c r="AW159" s="32" t="inlineStr"/>
      <c r="AX159" s="32" t="inlineStr">
        <is>
          <t>SAO PAULO</t>
        </is>
      </c>
      <c r="AY159" s="32" t="inlineStr">
        <is>
          <t>SP</t>
        </is>
      </c>
      <c r="AZ159" s="32" t="inlineStr">
        <is>
          <t>Fabricação de óleos vegetais refinados, exceto óleo de milho</t>
        </is>
      </c>
      <c r="BA159" s="32" t="inlineStr">
        <is>
          <t>não ME/EPP</t>
        </is>
      </c>
      <c r="BB159" s="33" t="n">
        <v>8179542500</v>
      </c>
      <c r="BC159" s="32" t="inlineStr">
        <is>
          <t>LARGE CORP</t>
        </is>
      </c>
      <c r="BD159" s="32" t="inlineStr">
        <is>
          <t>60498706</t>
        </is>
      </c>
      <c r="BE159" s="32" t="n">
        <v>1</v>
      </c>
      <c r="BF159" s="32" t="inlineStr">
        <is>
          <t>list prints no totals</t>
        </is>
      </c>
    </row>
    <row r="160">
      <c r="A160" s="17" t="inlineStr">
        <is>
          <t>TERRA NOVA AGROINDUSTRIA LTDA</t>
        </is>
      </c>
      <c r="B160" s="18" t="n">
        <v>837280.86</v>
      </c>
      <c r="C160" s="19" t="inlineStr">
        <is>
          <t>Cerealista Safrasul Ltda</t>
        </is>
      </c>
      <c r="D160" s="20" t="inlineStr">
        <is>
          <t>NEW</t>
        </is>
      </c>
      <c r="E160" s="21" t="inlineStr"/>
      <c r="F160" s="20" t="inlineStr"/>
      <c r="G160" s="21" t="inlineStr"/>
      <c r="H160" s="20" t="inlineStr"/>
      <c r="I160" s="22" t="inlineStr">
        <is>
          <t>THALLES DANTAS ROMAO</t>
        </is>
      </c>
      <c r="J160" s="23" t="inlineStr">
        <is>
          <t>Sócio-Administrador (RFB partner)</t>
        </is>
      </c>
      <c r="K160" s="22" t="inlineStr">
        <is>
          <t>(65) 3682-9494</t>
        </is>
      </c>
      <c r="L160" s="22" t="inlineStr">
        <is>
          <t>(65) 8152-0065</t>
        </is>
      </c>
      <c r="M160" s="22" t="inlineStr"/>
      <c r="N160" s="22" t="inlineStr"/>
      <c r="O160" s="22" t="inlineStr"/>
      <c r="P160" s="22" t="inlineStr"/>
      <c r="Q160" s="22" t="inlineStr"/>
      <c r="R160" s="22" t="inlineStr"/>
      <c r="S160" s="22" t="inlineStr"/>
      <c r="T160" s="22" t="inlineStr">
        <is>
          <t>DM = registered partner (RFB QSA); no Apollo match</t>
        </is>
      </c>
      <c r="U160" s="24" t="n">
        <v>837280.86</v>
      </c>
      <c r="V160" s="25" t="inlineStr">
        <is>
          <t>B</t>
        </is>
      </c>
      <c r="W160" s="26" t="inlineStr"/>
      <c r="X160" s="27" t="inlineStr"/>
      <c r="Y160" s="27" t="inlineStr"/>
      <c r="Z160" s="26">
        <f>IF(W160&lt;&gt;"",W160,IFERROR(VLOOKUP(V160,Assumptions!$A$8:$F$12,2,FALSE),0))</f>
        <v/>
      </c>
      <c r="AA160" s="28">
        <f>IF(V160="A",MAX(1,IF(X160&lt;&gt;"",X160,IFERROR(VLOOKUP(V160,Assumptions!$A$8:$F$12,3,FALSE),3))+IF(Y160&lt;&gt;"",Y160,IFERROR(VLOOKUP(V160,Assumptions!$A$8:$F$12,4,FALSE),8))/2-MAX(0,IF(AS160="",0,YEAR(TODAY())-AS160)-IFERROR(VLOOKUP(V160,Assumptions!$A$8:$F$12,5,FALSE),1.5))),IFERROR(VLOOKUP(V160,Assumptions!$A$8:$F$12,5,FALSE),2.5)+IF(X160&lt;&gt;"",X160,IFERROR(VLOOKUP(V160,Assumptions!$A$8:$F$12,3,FALSE),3))+IF(Y160&lt;&gt;"",Y160,IFERROR(VLOOKUP(V160,Assumptions!$A$8:$F$12,4,FALSE),8))/2)</f>
        <v/>
      </c>
      <c r="AB160" s="24">
        <f>U160*Z160/(1+Assumptions!$B$3)^AA160</f>
        <v/>
      </c>
      <c r="AC160" s="27">
        <f>IF(U160=0,"",ROUND(AB160/U160*100,1))</f>
        <v/>
      </c>
      <c r="AD160" s="29">
        <f>AB160*Assumptions!$B$4</f>
        <v/>
      </c>
      <c r="AE160" s="27">
        <f>IF(U160=0,"",ROUND(AD160/U160*100,1))</f>
        <v/>
      </c>
      <c r="AF160" s="29">
        <f>AB160-AD160</f>
        <v/>
      </c>
      <c r="AG160" s="27">
        <f>IF(U160=0,"",ROUND((AB160-AD160)/U160*100,1))</f>
        <v/>
      </c>
      <c r="AH160" s="34" t="inlineStr">
        <is>
          <t>NO TOTALS — list prints none; check page</t>
        </is>
      </c>
      <c r="AI160" s="31" t="inlineStr">
        <is>
          <t>https://ajruiz.com.br/sites/default/files/public/arquivos-processos/2026-01/safrasul_relacao_de_credores_recuperanda.pdf</t>
        </is>
      </c>
      <c r="AJ160" s="30" t="inlineStr">
        <is>
          <t>p8 r38</t>
        </is>
      </c>
      <c r="AK160" s="30" t="inlineStr">
        <is>
          <t>p8: R$ 837.280,86</t>
        </is>
      </c>
      <c r="AL160" s="30" t="inlineStr">
        <is>
          <t>AJ list (art. 7 §2)</t>
        </is>
      </c>
      <c r="AM160" s="30" t="inlineStr">
        <is>
          <t>2026-01-14</t>
        </is>
      </c>
      <c r="AN160" s="30" t="inlineStr">
        <is>
          <t>NONE FOUND</t>
        </is>
      </c>
      <c r="AO160" s="32" t="inlineStr">
        <is>
          <t>4000167-23.2025.8.26.0373</t>
        </is>
      </c>
      <c r="AP160" s="32" t="inlineStr">
        <is>
          <t>TJSP</t>
        </is>
      </c>
      <c r="AQ160" s="32" t="inlineStr">
        <is>
          <t>Recuperação judicial</t>
        </is>
      </c>
      <c r="AR160" s="32" t="inlineStr">
        <is>
          <t>DataJud: no closure/falência movement</t>
        </is>
      </c>
      <c r="AS160" s="32" t="n">
        <v>2025</v>
      </c>
      <c r="AT160" s="32" t="inlineStr">
        <is>
          <t>live case, no plan document yet</t>
        </is>
      </c>
      <c r="AU160" s="32" t="inlineStr"/>
      <c r="AV160" s="32" t="inlineStr">
        <is>
          <t>printed on the list (read twice)</t>
        </is>
      </c>
      <c r="AW160" s="32" t="inlineStr"/>
      <c r="AX160" s="32" t="inlineStr">
        <is>
          <t>VARZEA GRANDE</t>
        </is>
      </c>
      <c r="AY160" s="32" t="inlineStr">
        <is>
          <t>MT</t>
        </is>
      </c>
      <c r="AZ160" s="32" t="inlineStr">
        <is>
          <t>Beneficiamento de arroz</t>
        </is>
      </c>
      <c r="BA160" s="32" t="inlineStr">
        <is>
          <t>não ME/EPP</t>
        </is>
      </c>
      <c r="BB160" s="33" t="n">
        <v>2020000</v>
      </c>
      <c r="BC160" s="32" t="inlineStr">
        <is>
          <t>MID-MARKET</t>
        </is>
      </c>
      <c r="BD160" s="32" t="inlineStr">
        <is>
          <t>07175357</t>
        </is>
      </c>
      <c r="BE160" s="32" t="n">
        <v>1</v>
      </c>
      <c r="BF160" s="32" t="inlineStr">
        <is>
          <t>list prints no totals</t>
        </is>
      </c>
    </row>
    <row r="161">
      <c r="A161" s="17" t="inlineStr">
        <is>
          <t>SEM PARAR INSTITUICAO DE PAGAMENTO LTDA</t>
        </is>
      </c>
      <c r="B161" s="18" t="n">
        <v>825597.87</v>
      </c>
      <c r="C161" s="19" t="inlineStr">
        <is>
          <t>GRUPO D&amp;D</t>
        </is>
      </c>
      <c r="D161" s="20" t="inlineStr">
        <is>
          <t>NEW</t>
        </is>
      </c>
      <c r="E161" s="21" t="inlineStr"/>
      <c r="F161" s="20" t="inlineStr"/>
      <c r="G161" s="21" t="inlineStr"/>
      <c r="H161" s="20" t="inlineStr"/>
      <c r="I161" s="22" t="inlineStr">
        <is>
          <t>Monik Lima</t>
        </is>
      </c>
      <c r="J161" s="22" t="inlineStr">
        <is>
          <t>Coordenador de Tesouraria</t>
        </is>
      </c>
      <c r="K161" s="22" t="inlineStr">
        <is>
          <t>(11) 4573-2300</t>
        </is>
      </c>
      <c r="L161" s="22" t="inlineStr"/>
      <c r="M161" s="22" t="inlineStr"/>
      <c r="N161" s="22" t="inlineStr">
        <is>
          <t>monik.lima@semparar.com.br</t>
        </is>
      </c>
      <c r="O161" s="22" t="inlineStr">
        <is>
          <t>verified</t>
        </is>
      </c>
      <c r="P161" s="22" t="inlineStr">
        <is>
          <t>ANTONIO PAULO CORREA E CONDE</t>
        </is>
      </c>
      <c r="Q161" s="22" t="inlineStr">
        <is>
          <t>Administrador (RFB partner)</t>
        </is>
      </c>
      <c r="R161" s="22" t="inlineStr"/>
      <c r="S161" s="22" t="inlineStr"/>
      <c r="T161" s="22" t="inlineStr">
        <is>
          <t>DM: has_email</t>
        </is>
      </c>
      <c r="U161" s="24" t="n">
        <v>825597.87</v>
      </c>
      <c r="V161" s="25" t="inlineStr">
        <is>
          <t>B</t>
        </is>
      </c>
      <c r="W161" s="26" t="inlineStr"/>
      <c r="X161" s="27" t="inlineStr"/>
      <c r="Y161" s="27" t="inlineStr"/>
      <c r="Z161" s="26">
        <f>IF(W161&lt;&gt;"",W161,IFERROR(VLOOKUP(V161,Assumptions!$A$8:$F$12,2,FALSE),0))</f>
        <v/>
      </c>
      <c r="AA161" s="28">
        <f>IF(V161="A",MAX(1,IF(X161&lt;&gt;"",X161,IFERROR(VLOOKUP(V161,Assumptions!$A$8:$F$12,3,FALSE),3))+IF(Y161&lt;&gt;"",Y161,IFERROR(VLOOKUP(V161,Assumptions!$A$8:$F$12,4,FALSE),8))/2-MAX(0,IF(AS161="",0,YEAR(TODAY())-AS161)-IFERROR(VLOOKUP(V161,Assumptions!$A$8:$F$12,5,FALSE),1.5))),IFERROR(VLOOKUP(V161,Assumptions!$A$8:$F$12,5,FALSE),2.5)+IF(X161&lt;&gt;"",X161,IFERROR(VLOOKUP(V161,Assumptions!$A$8:$F$12,3,FALSE),3))+IF(Y161&lt;&gt;"",Y161,IFERROR(VLOOKUP(V161,Assumptions!$A$8:$F$12,4,FALSE),8))/2)</f>
        <v/>
      </c>
      <c r="AB161" s="24">
        <f>U161*Z161/(1+Assumptions!$B$3)^AA161</f>
        <v/>
      </c>
      <c r="AC161" s="27">
        <f>IF(U161=0,"",ROUND(AB161/U161*100,1))</f>
        <v/>
      </c>
      <c r="AD161" s="29">
        <f>AB161*Assumptions!$B$4</f>
        <v/>
      </c>
      <c r="AE161" s="27">
        <f>IF(U161=0,"",ROUND(AD161/U161*100,1))</f>
        <v/>
      </c>
      <c r="AF161" s="29">
        <f>AB161-AD161</f>
        <v/>
      </c>
      <c r="AG161" s="27">
        <f>IF(U161=0,"",ROUND((AB161-AD161)/U161*100,1))</f>
        <v/>
      </c>
      <c r="AH161" s="35" t="inlineStr">
        <is>
          <t>PARTIAL — class III reconciled, other classes not</t>
        </is>
      </c>
      <c r="AI161" s="31" t="inlineStr">
        <is>
          <t>https://marquesadmjudicial.com.br/sgc/download.php?file=files/processo_documento/processo_documento20014127022025_1_.pdf&amp;nome=Relação Nominal de Credores</t>
        </is>
      </c>
      <c r="AJ161" s="30" t="inlineStr">
        <is>
          <t>p5 r17</t>
        </is>
      </c>
      <c r="AK161" s="30" t="inlineStr">
        <is>
          <t>p5: R$ 825.597,87</t>
        </is>
      </c>
      <c r="AL161" s="30" t="inlineStr">
        <is>
          <t>AJ list (art. 7 §2)</t>
        </is>
      </c>
      <c r="AM161" s="30" t="inlineStr">
        <is>
          <t>2024-11-08</t>
        </is>
      </c>
      <c r="AN161" s="30" t="inlineStr">
        <is>
          <t>NONE FOUND</t>
        </is>
      </c>
      <c r="AO161" s="32" t="inlineStr">
        <is>
          <t>0001943-40.2024.8.16.0115</t>
        </is>
      </c>
      <c r="AP161" s="32" t="inlineStr">
        <is>
          <t>TJPR</t>
        </is>
      </c>
      <c r="AQ161" s="32" t="inlineStr">
        <is>
          <t>Recuperação judicial</t>
        </is>
      </c>
      <c r="AR161" s="32" t="inlineStr">
        <is>
          <t>DataJud: no closure/falência movement</t>
        </is>
      </c>
      <c r="AS161" s="32" t="n">
        <v>2024</v>
      </c>
      <c r="AT161" s="32" t="inlineStr">
        <is>
          <t>live case, no plan document yet</t>
        </is>
      </c>
      <c r="AU161" s="32" t="inlineStr"/>
      <c r="AV161" s="32" t="inlineStr">
        <is>
          <t>printed on the list (read twice)</t>
        </is>
      </c>
      <c r="AW161" s="32" t="inlineStr"/>
      <c r="AX161" s="32" t="inlineStr">
        <is>
          <t>SAO PAULO</t>
        </is>
      </c>
      <c r="AY161" s="32" t="inlineStr">
        <is>
          <t>SP</t>
        </is>
      </c>
      <c r="AZ161" s="32" t="inlineStr">
        <is>
          <t>Outras atividades de serviços prestados principalmente às empresas não especificadas anteriormente</t>
        </is>
      </c>
      <c r="BA161" s="32" t="inlineStr">
        <is>
          <t>não ME/EPP</t>
        </is>
      </c>
      <c r="BB161" s="33" t="n">
        <v>4691251700</v>
      </c>
      <c r="BC161" s="32" t="inlineStr">
        <is>
          <t>LARGE CORP</t>
        </is>
      </c>
      <c r="BD161" s="32" t="inlineStr">
        <is>
          <t>04088208</t>
        </is>
      </c>
      <c r="BE161" s="32" t="n">
        <v>1</v>
      </c>
      <c r="BF161" s="32" t="inlineStr">
        <is>
          <t>class III reconciled (doc partial)</t>
        </is>
      </c>
    </row>
    <row r="162">
      <c r="A162" s="17" t="inlineStr">
        <is>
          <t>RAFITEC SOLUCOES EM PLASTICOS LTDA</t>
        </is>
      </c>
      <c r="B162" s="18" t="n">
        <v>824696.62</v>
      </c>
      <c r="C162" s="19" t="inlineStr">
        <is>
          <t>TOP TEXTIL EMBALAGENS LTDA</t>
        </is>
      </c>
      <c r="D162" s="20" t="inlineStr">
        <is>
          <t>NEW</t>
        </is>
      </c>
      <c r="E162" s="21" t="inlineStr"/>
      <c r="F162" s="20" t="inlineStr"/>
      <c r="G162" s="21" t="inlineStr"/>
      <c r="H162" s="20" t="inlineStr"/>
      <c r="I162" s="22" t="inlineStr">
        <is>
          <t>DIOGO CARBONARI VACCARO</t>
        </is>
      </c>
      <c r="J162" s="23" t="inlineStr">
        <is>
          <t>Administrador (RFB partner)</t>
        </is>
      </c>
      <c r="K162" s="22" t="inlineStr">
        <is>
          <t>(49) 3353-8383</t>
        </is>
      </c>
      <c r="L162" s="22" t="inlineStr"/>
      <c r="M162" s="22" t="inlineStr"/>
      <c r="N162" s="22" t="inlineStr"/>
      <c r="O162" s="22" t="inlineStr"/>
      <c r="P162" s="22" t="inlineStr">
        <is>
          <t>Carlos Eduardo</t>
        </is>
      </c>
      <c r="Q162" s="22" t="inlineStr">
        <is>
          <t>Regional Sales Manager | Key Accounts &amp; Market Development</t>
        </is>
      </c>
      <c r="R162" s="22" t="inlineStr"/>
      <c r="S162" s="22" t="inlineStr">
        <is>
          <t>carlos.eduardo@rafitec.com.br</t>
        </is>
      </c>
      <c r="T162" s="22" t="inlineStr">
        <is>
          <t>DM = registered partner (RFB QSA); Apollo pick demoted to backup (non-finance role); BACKUP: weak, has_email, phone Yes</t>
        </is>
      </c>
      <c r="U162" s="24" t="n">
        <v>824696.62</v>
      </c>
      <c r="V162" s="25" t="inlineStr">
        <is>
          <t>B</t>
        </is>
      </c>
      <c r="W162" s="26" t="inlineStr"/>
      <c r="X162" s="27" t="inlineStr"/>
      <c r="Y162" s="27" t="inlineStr"/>
      <c r="Z162" s="26">
        <f>IF(W162&lt;&gt;"",W162,IFERROR(VLOOKUP(V162,Assumptions!$A$8:$F$12,2,FALSE),0))</f>
        <v/>
      </c>
      <c r="AA162" s="28">
        <f>IF(V162="A",MAX(1,IF(X162&lt;&gt;"",X162,IFERROR(VLOOKUP(V162,Assumptions!$A$8:$F$12,3,FALSE),3))+IF(Y162&lt;&gt;"",Y162,IFERROR(VLOOKUP(V162,Assumptions!$A$8:$F$12,4,FALSE),8))/2-MAX(0,IF(AS162="",0,YEAR(TODAY())-AS162)-IFERROR(VLOOKUP(V162,Assumptions!$A$8:$F$12,5,FALSE),1.5))),IFERROR(VLOOKUP(V162,Assumptions!$A$8:$F$12,5,FALSE),2.5)+IF(X162&lt;&gt;"",X162,IFERROR(VLOOKUP(V162,Assumptions!$A$8:$F$12,3,FALSE),3))+IF(Y162&lt;&gt;"",Y162,IFERROR(VLOOKUP(V162,Assumptions!$A$8:$F$12,4,FALSE),8))/2)</f>
        <v/>
      </c>
      <c r="AB162" s="24">
        <f>U162*Z162/(1+Assumptions!$B$3)^AA162</f>
        <v/>
      </c>
      <c r="AC162" s="27">
        <f>IF(U162=0,"",ROUND(AB162/U162*100,1))</f>
        <v/>
      </c>
      <c r="AD162" s="29">
        <f>AB162*Assumptions!$B$4</f>
        <v/>
      </c>
      <c r="AE162" s="27">
        <f>IF(U162=0,"",ROUND(AD162/U162*100,1))</f>
        <v/>
      </c>
      <c r="AF162" s="29">
        <f>AB162-AD162</f>
        <v/>
      </c>
      <c r="AG162" s="27">
        <f>IF(U162=0,"",ROUND((AB162-AD162)/U162*100,1))</f>
        <v/>
      </c>
      <c r="AH162" s="34" t="inlineStr">
        <is>
          <t>NO TOTALS — list prints none; check page</t>
        </is>
      </c>
      <c r="AI162" s="31" t="inlineStr">
        <is>
          <t>https://cataliseaj.com.br/sgc/download.php?file=files/processo_documento/processo_documento15092204102024_1_.pdf&amp;nome=02. RELAÇÃO DE CREDORES</t>
        </is>
      </c>
      <c r="AJ162" s="30" t="inlineStr">
        <is>
          <t>p3 r8</t>
        </is>
      </c>
      <c r="AK162" s="30" t="inlineStr">
        <is>
          <t>p3: R$ 824.696,62</t>
        </is>
      </c>
      <c r="AL162" s="30" t="inlineStr">
        <is>
          <t>Debtor list (art. 51)</t>
        </is>
      </c>
      <c r="AM162" s="30" t="inlineStr"/>
      <c r="AN162" s="30" t="inlineStr">
        <is>
          <t>NONE FOUND</t>
        </is>
      </c>
      <c r="AO162" s="32" t="inlineStr">
        <is>
          <t>5011460-87.2023.8.24.0020</t>
        </is>
      </c>
      <c r="AP162" s="32" t="inlineStr">
        <is>
          <t>TJSC</t>
        </is>
      </c>
      <c r="AQ162" s="32" t="inlineStr">
        <is>
          <t>Recuperação judicial</t>
        </is>
      </c>
      <c r="AR162" s="32" t="inlineStr">
        <is>
          <t>DataJud: no closure/falência movement</t>
        </is>
      </c>
      <c r="AS162" s="32" t="n">
        <v>2023</v>
      </c>
      <c r="AT162" s="32" t="inlineStr">
        <is>
          <t>live case, no plan document yet; case no. from the portal record, not printed on the list</t>
        </is>
      </c>
      <c r="AU162" s="32" t="inlineStr">
        <is>
          <t>26.588.741/0001-29</t>
        </is>
      </c>
      <c r="AV162" s="32" t="inlineStr">
        <is>
          <t>printed on the list (read twice)</t>
        </is>
      </c>
      <c r="AW162" s="32" t="inlineStr"/>
      <c r="AX162" s="32" t="inlineStr">
        <is>
          <t>XAXIM</t>
        </is>
      </c>
      <c r="AY162" s="32" t="inlineStr">
        <is>
          <t>SC</t>
        </is>
      </c>
      <c r="AZ162" s="32" t="inlineStr">
        <is>
          <t>Fiação de fibras artificiais e sintéticas</t>
        </is>
      </c>
      <c r="BA162" s="32" t="inlineStr">
        <is>
          <t>não ME/EPP</t>
        </is>
      </c>
      <c r="BB162" s="33" t="n">
        <v>80000000</v>
      </c>
      <c r="BC162" s="32" t="inlineStr">
        <is>
          <t>MID-MARKET</t>
        </is>
      </c>
      <c r="BD162" s="32" t="inlineStr">
        <is>
          <t>00763251</t>
        </is>
      </c>
      <c r="BE162" s="32" t="n">
        <v>1</v>
      </c>
      <c r="BF162" s="32" t="inlineStr">
        <is>
          <t>list prints no totals</t>
        </is>
      </c>
    </row>
    <row r="163">
      <c r="A163" s="17" t="inlineStr">
        <is>
          <t>CTS - COMERCIO DE APARAS LTDA</t>
        </is>
      </c>
      <c r="B163" s="18" t="n">
        <v>820372.25</v>
      </c>
      <c r="C163" s="19" t="inlineStr">
        <is>
          <t>AZEPLAST INDÚSTRIA E COMÉRCIO LTDA</t>
        </is>
      </c>
      <c r="D163" s="20" t="inlineStr">
        <is>
          <t>NEW</t>
        </is>
      </c>
      <c r="E163" s="21" t="inlineStr"/>
      <c r="F163" s="20" t="inlineStr"/>
      <c r="G163" s="21" t="inlineStr"/>
      <c r="H163" s="20" t="inlineStr"/>
      <c r="I163" s="22" t="inlineStr">
        <is>
          <t>CELSO BASSO</t>
        </is>
      </c>
      <c r="J163" s="23" t="inlineStr">
        <is>
          <t>Sócio-Administrador (RFB partner)</t>
        </is>
      </c>
      <c r="K163" s="22" t="inlineStr">
        <is>
          <t>(51) 3594-6983</t>
        </is>
      </c>
      <c r="L163" s="22" t="inlineStr"/>
      <c r="M163" s="22" t="inlineStr"/>
      <c r="N163" s="22" t="inlineStr"/>
      <c r="O163" s="22" t="inlineStr"/>
      <c r="P163" s="22" t="inlineStr">
        <is>
          <t>THOMAZ BASSO</t>
        </is>
      </c>
      <c r="Q163" s="22" t="inlineStr">
        <is>
          <t>Sócio-Administrador (RFB partner)</t>
        </is>
      </c>
      <c r="R163" s="22" t="inlineStr"/>
      <c r="S163" s="22" t="inlineStr"/>
      <c r="T163" s="22" t="inlineStr">
        <is>
          <t>DM = registered partner (RFB QSA); no Apollo match</t>
        </is>
      </c>
      <c r="U163" s="24" t="n">
        <v>820372.25</v>
      </c>
      <c r="V163" s="25" t="inlineStr">
        <is>
          <t>B</t>
        </is>
      </c>
      <c r="W163" s="26" t="inlineStr"/>
      <c r="X163" s="27" t="inlineStr"/>
      <c r="Y163" s="27" t="inlineStr"/>
      <c r="Z163" s="26">
        <f>IF(W163&lt;&gt;"",W163,IFERROR(VLOOKUP(V163,Assumptions!$A$8:$F$12,2,FALSE),0))</f>
        <v/>
      </c>
      <c r="AA163" s="28">
        <f>IF(V163="A",MAX(1,IF(X163&lt;&gt;"",X163,IFERROR(VLOOKUP(V163,Assumptions!$A$8:$F$12,3,FALSE),3))+IF(Y163&lt;&gt;"",Y163,IFERROR(VLOOKUP(V163,Assumptions!$A$8:$F$12,4,FALSE),8))/2-MAX(0,IF(AS163="",0,YEAR(TODAY())-AS163)-IFERROR(VLOOKUP(V163,Assumptions!$A$8:$F$12,5,FALSE),1.5))),IFERROR(VLOOKUP(V163,Assumptions!$A$8:$F$12,5,FALSE),2.5)+IF(X163&lt;&gt;"",X163,IFERROR(VLOOKUP(V163,Assumptions!$A$8:$F$12,3,FALSE),3))+IF(Y163&lt;&gt;"",Y163,IFERROR(VLOOKUP(V163,Assumptions!$A$8:$F$12,4,FALSE),8))/2)</f>
        <v/>
      </c>
      <c r="AB163" s="24">
        <f>U163*Z163/(1+Assumptions!$B$3)^AA163</f>
        <v/>
      </c>
      <c r="AC163" s="27">
        <f>IF(U163=0,"",ROUND(AB163/U163*100,1))</f>
        <v/>
      </c>
      <c r="AD163" s="29">
        <f>AB163*Assumptions!$B$4</f>
        <v/>
      </c>
      <c r="AE163" s="27">
        <f>IF(U163=0,"",ROUND(AD163/U163*100,1))</f>
        <v/>
      </c>
      <c r="AF163" s="29">
        <f>AB163-AD163</f>
        <v/>
      </c>
      <c r="AG163" s="27">
        <f>IF(U163=0,"",ROUND((AB163-AD163)/U163*100,1))</f>
        <v/>
      </c>
      <c r="AH163" s="35" t="inlineStr">
        <is>
          <t>PARTIAL — class III reconciled, other classes not</t>
        </is>
      </c>
      <c r="AI163" s="31" t="inlineStr">
        <is>
          <t>https://ajruiz.com.br/sites/default/files/public/arquivos-processos/2026-08/qgc_azeplast_julho_2026.pdf</t>
        </is>
      </c>
      <c r="AJ163" s="30" t="inlineStr">
        <is>
          <t>p1 r23; p1 r24</t>
        </is>
      </c>
      <c r="AK163" s="30" t="inlineStr">
        <is>
          <t>p1: R$ 735.532,60; p1: R$ 84.839,65</t>
        </is>
      </c>
      <c r="AL163" s="30" t="inlineStr">
        <is>
          <t>QGC (art. 18)</t>
        </is>
      </c>
      <c r="AM163" s="30" t="inlineStr"/>
      <c r="AN163" s="30" t="inlineStr">
        <is>
          <t>NONE FOUND</t>
        </is>
      </c>
      <c r="AO163" s="32" t="inlineStr">
        <is>
          <t>5008793-34.2023.8.24.0019</t>
        </is>
      </c>
      <c r="AP163" s="32" t="inlineStr">
        <is>
          <t>TJSC</t>
        </is>
      </c>
      <c r="AQ163" s="32" t="inlineStr">
        <is>
          <t>Recuperação judicial</t>
        </is>
      </c>
      <c r="AR163" s="32" t="inlineStr">
        <is>
          <t>DataJud: no closure/falência movement</t>
        </is>
      </c>
      <c r="AS163" s="32" t="n">
        <v>2023</v>
      </c>
      <c r="AT163" s="32" t="inlineStr">
        <is>
          <t>live case, no plan document yet</t>
        </is>
      </c>
      <c r="AU163" s="32" t="inlineStr"/>
      <c r="AV163" s="32" t="inlineStr">
        <is>
          <t>printed on the list (read twice)</t>
        </is>
      </c>
      <c r="AW163" s="32" t="inlineStr"/>
      <c r="AX163" s="32" t="inlineStr">
        <is>
          <t>CANOAS</t>
        </is>
      </c>
      <c r="AY163" s="32" t="inlineStr">
        <is>
          <t>RS</t>
        </is>
      </c>
      <c r="AZ163" s="32" t="inlineStr">
        <is>
          <t>Recuperação de materiais não especificados anteriormente</t>
        </is>
      </c>
      <c r="BA163" s="32" t="inlineStr">
        <is>
          <t>não ME/EPP</t>
        </is>
      </c>
      <c r="BB163" s="33" t="inlineStr"/>
      <c r="BC163" s="32" t="inlineStr">
        <is>
          <t>UNKNOWN</t>
        </is>
      </c>
      <c r="BD163" s="32" t="inlineStr">
        <is>
          <t>68755545</t>
        </is>
      </c>
      <c r="BE163" s="32" t="n">
        <v>2</v>
      </c>
      <c r="BF163" s="32" t="inlineStr">
        <is>
          <t>class III reconciled (doc partial)</t>
        </is>
      </c>
    </row>
    <row r="164">
      <c r="A164" s="17" t="inlineStr">
        <is>
          <t>CITROTEC INDUSTRIA E COMERCIO LTDA</t>
        </is>
      </c>
      <c r="B164" s="18" t="n">
        <v>820000</v>
      </c>
      <c r="C164" s="19" t="inlineStr">
        <is>
          <t>FLAVOUR MIX IND. E REP. ALIM. E INGR. QUÍMICOS LTDA.</t>
        </is>
      </c>
      <c r="D164" s="20" t="inlineStr">
        <is>
          <t>NEW</t>
        </is>
      </c>
      <c r="E164" s="21" t="inlineStr"/>
      <c r="F164" s="20" t="inlineStr"/>
      <c r="G164" s="21" t="inlineStr"/>
      <c r="H164" s="20" t="inlineStr"/>
      <c r="I164" s="22" t="inlineStr">
        <is>
          <t>BERNARDO JOSE DA CAMARA NETO</t>
        </is>
      </c>
      <c r="J164" s="23" t="inlineStr">
        <is>
          <t>Administrador (RFB partner)</t>
        </is>
      </c>
      <c r="K164" s="22" t="inlineStr">
        <is>
          <t>(16) 3303-9796</t>
        </is>
      </c>
      <c r="L164" s="22" t="inlineStr"/>
      <c r="M164" s="22" t="inlineStr"/>
      <c r="N164" s="22" t="inlineStr"/>
      <c r="O164" s="22" t="inlineStr"/>
      <c r="P164" s="22" t="inlineStr">
        <is>
          <t>Valter Tagliaferro</t>
        </is>
      </c>
      <c r="Q164" s="22" t="inlineStr">
        <is>
          <t>Gerente Comercial Técnico</t>
        </is>
      </c>
      <c r="R164" s="22" t="inlineStr"/>
      <c r="S164" s="22" t="inlineStr">
        <is>
          <t>valter@citrotec.com.br</t>
        </is>
      </c>
      <c r="T164" s="22" t="inlineStr">
        <is>
          <t>DM = registered partner (RFB QSA); Apollo pick demoted to backup (non-finance role); BACKUP: weak, has_email</t>
        </is>
      </c>
      <c r="U164" s="24" t="n">
        <v>820000</v>
      </c>
      <c r="V164" s="25" t="inlineStr">
        <is>
          <t>B</t>
        </is>
      </c>
      <c r="W164" s="26" t="inlineStr"/>
      <c r="X164" s="27" t="inlineStr"/>
      <c r="Y164" s="27" t="inlineStr"/>
      <c r="Z164" s="26">
        <f>IF(W164&lt;&gt;"",W164,IFERROR(VLOOKUP(V164,Assumptions!$A$8:$F$12,2,FALSE),0))</f>
        <v/>
      </c>
      <c r="AA164" s="28">
        <f>IF(V164="A",MAX(1,IF(X164&lt;&gt;"",X164,IFERROR(VLOOKUP(V164,Assumptions!$A$8:$F$12,3,FALSE),3))+IF(Y164&lt;&gt;"",Y164,IFERROR(VLOOKUP(V164,Assumptions!$A$8:$F$12,4,FALSE),8))/2-MAX(0,IF(AS164="",0,YEAR(TODAY())-AS164)-IFERROR(VLOOKUP(V164,Assumptions!$A$8:$F$12,5,FALSE),1.5))),IFERROR(VLOOKUP(V164,Assumptions!$A$8:$F$12,5,FALSE),2.5)+IF(X164&lt;&gt;"",X164,IFERROR(VLOOKUP(V164,Assumptions!$A$8:$F$12,3,FALSE),3))+IF(Y164&lt;&gt;"",Y164,IFERROR(VLOOKUP(V164,Assumptions!$A$8:$F$12,4,FALSE),8))/2)</f>
        <v/>
      </c>
      <c r="AB164" s="24">
        <f>U164*Z164/(1+Assumptions!$B$3)^AA164</f>
        <v/>
      </c>
      <c r="AC164" s="27">
        <f>IF(U164=0,"",ROUND(AB164/U164*100,1))</f>
        <v/>
      </c>
      <c r="AD164" s="29">
        <f>AB164*Assumptions!$B$4</f>
        <v/>
      </c>
      <c r="AE164" s="27">
        <f>IF(U164=0,"",ROUND(AD164/U164*100,1))</f>
        <v/>
      </c>
      <c r="AF164" s="29">
        <f>AB164-AD164</f>
        <v/>
      </c>
      <c r="AG164" s="27">
        <f>IF(U164=0,"",ROUND((AB164-AD164)/U164*100,1))</f>
        <v/>
      </c>
      <c r="AH164" s="34" t="inlineStr">
        <is>
          <t>NO TOTALS — list prints none; check page</t>
        </is>
      </c>
      <c r="AI164" s="31" t="inlineStr">
        <is>
          <t>https://ativosajce.com.br/admin/download.php?file=files/processo_documento/processo_documento13422625032025_1_.pdf&amp;nome=Relação de Credores - Art. 52º § 1º, da Lei nº 11.101/2005 - 25/02/2025</t>
        </is>
      </c>
      <c r="AJ164" s="30" t="inlineStr">
        <is>
          <t>p3 r48; p3 r49; p3 r50; p3 r51; p3 r52; p3 r53; p3 r54; p3 r55</t>
        </is>
      </c>
      <c r="AK164" s="30" t="inlineStr">
        <is>
          <t>[rows shown ≠ face] p3: R$ 360.000,00; p3: R$ 460.000,00; p3: R$ 460.000,00; p3: R$ 460.000,00; p3: R$ 460.000,00; p3: R$ 460.000,00; p3: R$ 460.000,00; p3: R$ 460.000,00</t>
        </is>
      </c>
      <c r="AL164" s="30" t="inlineStr">
        <is>
          <t>Unclassified list</t>
        </is>
      </c>
      <c r="AM164" s="30" t="inlineStr">
        <is>
          <t>2025-02-28</t>
        </is>
      </c>
      <c r="AN164" s="30" t="inlineStr">
        <is>
          <t>NONE FOUND</t>
        </is>
      </c>
      <c r="AO164" s="32" t="inlineStr">
        <is>
          <t>1000119-75.2025.8.26.0354</t>
        </is>
      </c>
      <c r="AP164" s="32" t="inlineStr">
        <is>
          <t>TJSP</t>
        </is>
      </c>
      <c r="AQ164" s="32" t="inlineStr">
        <is>
          <t>Recuperação judicial</t>
        </is>
      </c>
      <c r="AR164" s="32" t="inlineStr">
        <is>
          <t>DataJud: no closure/falência movement</t>
        </is>
      </c>
      <c r="AS164" s="32" t="n">
        <v>2025</v>
      </c>
      <c r="AT164" s="32" t="inlineStr">
        <is>
          <t>live case, no plan document yet; case no. from the portal record, not printed on the list</t>
        </is>
      </c>
      <c r="AU164" s="32" t="inlineStr">
        <is>
          <t>09.357.504/0001-38</t>
        </is>
      </c>
      <c r="AV164" s="32" t="inlineStr">
        <is>
          <t>printed on the list (read twice)</t>
        </is>
      </c>
      <c r="AW164" s="32" t="inlineStr"/>
      <c r="AX164" s="32" t="inlineStr">
        <is>
          <t>ARARAQUARA</t>
        </is>
      </c>
      <c r="AY164" s="32" t="inlineStr">
        <is>
          <t>SP</t>
        </is>
      </c>
      <c r="AZ164" s="32" t="inlineStr">
        <is>
          <t>Fabricação de máquinas e equipamentos para as indústrias de alimentos, bebidas e fumo, peças e acessórios</t>
        </is>
      </c>
      <c r="BA164" s="32" t="inlineStr">
        <is>
          <t>não ME/EPP</t>
        </is>
      </c>
      <c r="BB164" s="33" t="n">
        <v>12500000</v>
      </c>
      <c r="BC164" s="32" t="inlineStr">
        <is>
          <t>MID-MARKET</t>
        </is>
      </c>
      <c r="BD164" s="32" t="inlineStr">
        <is>
          <t>03727941</t>
        </is>
      </c>
      <c r="BE164" s="32" t="n">
        <v>2</v>
      </c>
      <c r="BF164" s="32" t="inlineStr">
        <is>
          <t>list prints no totals</t>
        </is>
      </c>
    </row>
    <row r="165">
      <c r="A165" s="17" t="inlineStr">
        <is>
          <t>MEDQUIMICA INDUSTRIA FARMACEUTICA LTDA.</t>
        </is>
      </c>
      <c r="B165" s="18" t="n">
        <v>801264.79</v>
      </c>
      <c r="C165" s="19" t="inlineStr">
        <is>
          <t>GRUPO DP4</t>
        </is>
      </c>
      <c r="D165" s="20" t="inlineStr">
        <is>
          <t>NEW</t>
        </is>
      </c>
      <c r="E165" s="21" t="inlineStr"/>
      <c r="F165" s="20" t="inlineStr"/>
      <c r="G165" s="21" t="inlineStr"/>
      <c r="H165" s="20" t="inlineStr"/>
      <c r="I165" s="22" t="inlineStr">
        <is>
          <t>Paulo Pestana</t>
        </is>
      </c>
      <c r="J165" s="22" t="inlineStr">
        <is>
          <t>CFO &amp; Head of IT, Sourcing, Legal &amp; Compliance</t>
        </is>
      </c>
      <c r="K165" s="22" t="inlineStr">
        <is>
          <t>(32) 2101-4000</t>
        </is>
      </c>
      <c r="L165" s="22" t="inlineStr"/>
      <c r="M165" s="22" t="inlineStr"/>
      <c r="N165" s="22" t="inlineStr">
        <is>
          <t>paulopestana@lupin.com</t>
        </is>
      </c>
      <c r="O165" s="22" t="inlineStr">
        <is>
          <t>verified</t>
        </is>
      </c>
      <c r="P165" s="22" t="inlineStr">
        <is>
          <t>ALEXANDRE FRANCA</t>
        </is>
      </c>
      <c r="Q165" s="22" t="inlineStr">
        <is>
          <t>Administrador (RFB partner)</t>
        </is>
      </c>
      <c r="R165" s="22" t="inlineStr"/>
      <c r="S165" s="22" t="inlineStr"/>
      <c r="T165" s="22" t="inlineStr">
        <is>
          <t>DM: has_email; VERIFY org: Apollo has this person at 'Lupin'</t>
        </is>
      </c>
      <c r="U165" s="24" t="n">
        <v>801264.79</v>
      </c>
      <c r="V165" s="25" t="inlineStr">
        <is>
          <t>B</t>
        </is>
      </c>
      <c r="W165" s="26" t="inlineStr"/>
      <c r="X165" s="27" t="inlineStr"/>
      <c r="Y165" s="27" t="inlineStr"/>
      <c r="Z165" s="26">
        <f>IF(W165&lt;&gt;"",W165,IFERROR(VLOOKUP(V165,Assumptions!$A$8:$F$12,2,FALSE),0))</f>
        <v/>
      </c>
      <c r="AA165" s="28">
        <f>IF(V165="A",MAX(1,IF(X165&lt;&gt;"",X165,IFERROR(VLOOKUP(V165,Assumptions!$A$8:$F$12,3,FALSE),3))+IF(Y165&lt;&gt;"",Y165,IFERROR(VLOOKUP(V165,Assumptions!$A$8:$F$12,4,FALSE),8))/2-MAX(0,IF(AS165="",0,YEAR(TODAY())-AS165)-IFERROR(VLOOKUP(V165,Assumptions!$A$8:$F$12,5,FALSE),1.5))),IFERROR(VLOOKUP(V165,Assumptions!$A$8:$F$12,5,FALSE),2.5)+IF(X165&lt;&gt;"",X165,IFERROR(VLOOKUP(V165,Assumptions!$A$8:$F$12,3,FALSE),3))+IF(Y165&lt;&gt;"",Y165,IFERROR(VLOOKUP(V165,Assumptions!$A$8:$F$12,4,FALSE),8))/2)</f>
        <v/>
      </c>
      <c r="AB165" s="24">
        <f>U165*Z165/(1+Assumptions!$B$3)^AA165</f>
        <v/>
      </c>
      <c r="AC165" s="27">
        <f>IF(U165=0,"",ROUND(AB165/U165*100,1))</f>
        <v/>
      </c>
      <c r="AD165" s="29">
        <f>AB165*Assumptions!$B$4</f>
        <v/>
      </c>
      <c r="AE165" s="27">
        <f>IF(U165=0,"",ROUND(AD165/U165*100,1))</f>
        <v/>
      </c>
      <c r="AF165" s="29">
        <f>AB165-AD165</f>
        <v/>
      </c>
      <c r="AG165" s="27">
        <f>IF(U165=0,"",ROUND((AB165-AD165)/U165*100,1))</f>
        <v/>
      </c>
      <c r="AH165" s="35" t="inlineStr">
        <is>
          <t>PARTIAL — class III reconciled, other classes not</t>
        </is>
      </c>
      <c r="AI165" s="31" t="inlineStr">
        <is>
          <t>https://marquesadmjudicial.com.br/sgc/download.php?file=files/processo_documento/processo_documento15293208032024_1_.pdf&amp;nome=Relação Nominal de Credores da AJ-Sintética</t>
        </is>
      </c>
      <c r="AJ165" s="30" t="inlineStr">
        <is>
          <t>p29 r2</t>
        </is>
      </c>
      <c r="AK165" s="30" t="inlineStr">
        <is>
          <t>p29: R$ 801.264,79</t>
        </is>
      </c>
      <c r="AL165" s="30" t="inlineStr">
        <is>
          <t>AJ list (art. 7 §2)</t>
        </is>
      </c>
      <c r="AM165" s="30" t="inlineStr">
        <is>
          <t>2023-03-02</t>
        </is>
      </c>
      <c r="AN165" s="30" t="inlineStr">
        <is>
          <t>NONE FOUND</t>
        </is>
      </c>
      <c r="AO165" s="32" t="inlineStr">
        <is>
          <t>0005010-98.2023.8.16.0001</t>
        </is>
      </c>
      <c r="AP165" s="32" t="inlineStr">
        <is>
          <t>TJPR</t>
        </is>
      </c>
      <c r="AQ165" s="32" t="inlineStr">
        <is>
          <t>Recuperação judicial</t>
        </is>
      </c>
      <c r="AR165" s="32" t="inlineStr">
        <is>
          <t>DataJud: no closure/falência movement</t>
        </is>
      </c>
      <c r="AS165" s="32" t="n">
        <v>2023</v>
      </c>
      <c r="AT165" s="32" t="inlineStr">
        <is>
          <t>live case, no plan document yet</t>
        </is>
      </c>
      <c r="AU165" s="32" t="inlineStr"/>
      <c r="AV165" s="32" t="inlineStr">
        <is>
          <t>printed on the list (read twice)</t>
        </is>
      </c>
      <c r="AW165" s="32" t="inlineStr"/>
      <c r="AX165" s="32" t="inlineStr">
        <is>
          <t>JUIZ DE FORA</t>
        </is>
      </c>
      <c r="AY165" s="32" t="inlineStr">
        <is>
          <t>MG</t>
        </is>
      </c>
      <c r="AZ165" s="32" t="inlineStr">
        <is>
          <t>Fabricação de medicamentos alopáticos para uso humano</t>
        </is>
      </c>
      <c r="BA165" s="32" t="inlineStr">
        <is>
          <t>não ME/EPP</t>
        </is>
      </c>
      <c r="BB165" s="33" t="n">
        <v>269738270</v>
      </c>
      <c r="BC165" s="32" t="inlineStr">
        <is>
          <t>MID-MARKET</t>
        </is>
      </c>
      <c r="BD165" s="32" t="inlineStr">
        <is>
          <t>17875154</t>
        </is>
      </c>
      <c r="BE165" s="32" t="n">
        <v>1</v>
      </c>
      <c r="BF165" s="32" t="inlineStr">
        <is>
          <t>class III reconciled (doc partial)</t>
        </is>
      </c>
    </row>
    <row r="166">
      <c r="A166" s="17" t="inlineStr">
        <is>
          <t>SOLUS PECAS AGRICOLAS LTDA</t>
        </is>
      </c>
      <c r="B166" s="18" t="n">
        <v>798077.09</v>
      </c>
      <c r="C166" s="19" t="inlineStr">
        <is>
          <t>Grupo Rech</t>
        </is>
      </c>
      <c r="D166" s="20" t="inlineStr">
        <is>
          <t>NEW</t>
        </is>
      </c>
      <c r="E166" s="21" t="inlineStr"/>
      <c r="F166" s="20" t="inlineStr"/>
      <c r="G166" s="21" t="inlineStr"/>
      <c r="H166" s="20" t="inlineStr"/>
      <c r="I166" s="22" t="inlineStr">
        <is>
          <t>EVANDRO NERI</t>
        </is>
      </c>
      <c r="J166" s="23" t="inlineStr">
        <is>
          <t>Sócio-Administrador (RFB partner)</t>
        </is>
      </c>
      <c r="K166" s="22" t="inlineStr">
        <is>
          <t>(04) 6224-1289</t>
        </is>
      </c>
      <c r="L166" s="22" t="inlineStr"/>
      <c r="M166" s="22" t="inlineStr"/>
      <c r="N166" s="22" t="inlineStr"/>
      <c r="O166" s="22" t="inlineStr"/>
      <c r="P166" s="22" t="inlineStr"/>
      <c r="Q166" s="22" t="inlineStr"/>
      <c r="R166" s="22" t="inlineStr"/>
      <c r="S166" s="22" t="inlineStr"/>
      <c r="T166" s="22" t="inlineStr">
        <is>
          <t>DM = registered partner (RFB QSA); no Apollo match</t>
        </is>
      </c>
      <c r="U166" s="24" t="n">
        <v>798077.09</v>
      </c>
      <c r="V166" s="25" t="inlineStr">
        <is>
          <t>B</t>
        </is>
      </c>
      <c r="W166" s="26" t="inlineStr"/>
      <c r="X166" s="27" t="inlineStr"/>
      <c r="Y166" s="27" t="inlineStr"/>
      <c r="Z166" s="26">
        <f>IF(W166&lt;&gt;"",W166,IFERROR(VLOOKUP(V166,Assumptions!$A$8:$F$12,2,FALSE),0))</f>
        <v/>
      </c>
      <c r="AA166" s="28">
        <f>IF(V166="A",MAX(1,IF(X166&lt;&gt;"",X166,IFERROR(VLOOKUP(V166,Assumptions!$A$8:$F$12,3,FALSE),3))+IF(Y166&lt;&gt;"",Y166,IFERROR(VLOOKUP(V166,Assumptions!$A$8:$F$12,4,FALSE),8))/2-MAX(0,IF(AS166="",0,YEAR(TODAY())-AS166)-IFERROR(VLOOKUP(V166,Assumptions!$A$8:$F$12,5,FALSE),1.5))),IFERROR(VLOOKUP(V166,Assumptions!$A$8:$F$12,5,FALSE),2.5)+IF(X166&lt;&gt;"",X166,IFERROR(VLOOKUP(V166,Assumptions!$A$8:$F$12,3,FALSE),3))+IF(Y166&lt;&gt;"",Y166,IFERROR(VLOOKUP(V166,Assumptions!$A$8:$F$12,4,FALSE),8))/2)</f>
        <v/>
      </c>
      <c r="AB166" s="24">
        <f>U166*Z166/(1+Assumptions!$B$3)^AA166</f>
        <v/>
      </c>
      <c r="AC166" s="27">
        <f>IF(U166=0,"",ROUND(AB166/U166*100,1))</f>
        <v/>
      </c>
      <c r="AD166" s="29">
        <f>AB166*Assumptions!$B$4</f>
        <v/>
      </c>
      <c r="AE166" s="27">
        <f>IF(U166=0,"",ROUND(AD166/U166*100,1))</f>
        <v/>
      </c>
      <c r="AF166" s="29">
        <f>AB166-AD166</f>
        <v/>
      </c>
      <c r="AG166" s="27">
        <f>IF(U166=0,"",ROUND((AB166-AD166)/U166*100,1))</f>
        <v/>
      </c>
      <c r="AH166" s="36" t="inlineStr">
        <is>
          <t>CHECK — source is not a statutory creditor list</t>
        </is>
      </c>
      <c r="AI166" s="31" t="inlineStr">
        <is>
          <t>https://credibilita.com.br/wp-content/uploads/2025/09/Relacao-Credores-29.04.2026.pdf</t>
        </is>
      </c>
      <c r="AJ166" s="30" t="inlineStr">
        <is>
          <t>p2 r18</t>
        </is>
      </c>
      <c r="AK166" s="30" t="inlineStr">
        <is>
          <t>p2: R$ 798.077,09</t>
        </is>
      </c>
      <c r="AL166" s="30" t="inlineStr">
        <is>
          <t>Quorum list — NOT an art. 7/51 list</t>
        </is>
      </c>
      <c r="AM166" s="30" t="inlineStr"/>
      <c r="AN166" s="30" t="inlineStr">
        <is>
          <t>NONE FOUND</t>
        </is>
      </c>
      <c r="AO166" s="32" t="inlineStr">
        <is>
          <t>5057720-48.2025.8.24.0023</t>
        </is>
      </c>
      <c r="AP166" s="32" t="inlineStr">
        <is>
          <t>TJSC</t>
        </is>
      </c>
      <c r="AQ166" s="32" t="inlineStr"/>
      <c r="AR166" s="32" t="inlineStr">
        <is>
          <t>not in DataJud</t>
        </is>
      </c>
      <c r="AS166" s="32" t="n">
        <v>2025</v>
      </c>
      <c r="AT166" s="32" t="inlineStr">
        <is>
          <t>live case, no plan document yet; case no. from the portal record, not printed on the list</t>
        </is>
      </c>
      <c r="AU166" s="32" t="inlineStr"/>
      <c r="AV166" s="32" t="inlineStr">
        <is>
          <t>portal page title / URL — not printed on the list</t>
        </is>
      </c>
      <c r="AW166" s="32" t="inlineStr"/>
      <c r="AX166" s="32" t="inlineStr">
        <is>
          <t>PATO BRANCO</t>
        </is>
      </c>
      <c r="AY166" s="32" t="inlineStr">
        <is>
          <t>PR</t>
        </is>
      </c>
      <c r="AZ166" s="32" t="inlineStr">
        <is>
          <t>Fabricação de máquinas e equipamentos para a agricultura e pecuária, peças e acessórios, exceto para irrigação</t>
        </is>
      </c>
      <c r="BA166" s="32" t="inlineStr">
        <is>
          <t>EMPRESA DE PEQUENO PORTE</t>
        </is>
      </c>
      <c r="BB166" s="33" t="n">
        <v>1540000</v>
      </c>
      <c r="BC166" s="32" t="inlineStr">
        <is>
          <t>SMALL</t>
        </is>
      </c>
      <c r="BD166" s="32" t="inlineStr">
        <is>
          <t>02149075</t>
        </is>
      </c>
      <c r="BE166" s="32" t="n">
        <v>1</v>
      </c>
      <c r="BF166" s="32" t="inlineStr">
        <is>
          <t>list prints no totals case no. corrected by reader</t>
        </is>
      </c>
    </row>
    <row r="167">
      <c r="A167" s="17" t="inlineStr">
        <is>
          <t>PAX BRAZIL AGROINDUSTRIA LTDA</t>
        </is>
      </c>
      <c r="B167" s="18" t="n">
        <v>788640</v>
      </c>
      <c r="C167" s="19" t="inlineStr">
        <is>
          <t>Grupo Agromeal</t>
        </is>
      </c>
      <c r="D167" s="20" t="inlineStr">
        <is>
          <t>NEW</t>
        </is>
      </c>
      <c r="E167" s="21" t="inlineStr"/>
      <c r="F167" s="20" t="inlineStr"/>
      <c r="G167" s="21" t="inlineStr"/>
      <c r="H167" s="20" t="inlineStr"/>
      <c r="I167" s="22" t="inlineStr">
        <is>
          <t>PETRUS ASSEF NUNES</t>
        </is>
      </c>
      <c r="J167" s="23" t="inlineStr">
        <is>
          <t>Sócio-Administrador (RFB partner)</t>
        </is>
      </c>
      <c r="K167" s="22" t="inlineStr">
        <is>
          <t>(11) 3628-7656</t>
        </is>
      </c>
      <c r="L167" s="22" t="inlineStr"/>
      <c r="M167" s="22" t="inlineStr"/>
      <c r="N167" s="22" t="inlineStr"/>
      <c r="O167" s="22" t="inlineStr"/>
      <c r="P167" s="22" t="inlineStr"/>
      <c r="Q167" s="22" t="inlineStr"/>
      <c r="R167" s="22" t="inlineStr"/>
      <c r="S167" s="22" t="inlineStr"/>
      <c r="T167" s="22" t="inlineStr">
        <is>
          <t>DM = registered partner (RFB QSA); no Apollo match</t>
        </is>
      </c>
      <c r="U167" s="24" t="n">
        <v>788640</v>
      </c>
      <c r="V167" s="25" t="inlineStr">
        <is>
          <t>B</t>
        </is>
      </c>
      <c r="W167" s="26" t="inlineStr"/>
      <c r="X167" s="27" t="inlineStr"/>
      <c r="Y167" s="27" t="inlineStr"/>
      <c r="Z167" s="26">
        <f>IF(W167&lt;&gt;"",W167,IFERROR(VLOOKUP(V167,Assumptions!$A$8:$F$12,2,FALSE),0))</f>
        <v/>
      </c>
      <c r="AA167" s="28">
        <f>IF(V167="A",MAX(1,IF(X167&lt;&gt;"",X167,IFERROR(VLOOKUP(V167,Assumptions!$A$8:$F$12,3,FALSE),3))+IF(Y167&lt;&gt;"",Y167,IFERROR(VLOOKUP(V167,Assumptions!$A$8:$F$12,4,FALSE),8))/2-MAX(0,IF(AS167="",0,YEAR(TODAY())-AS167)-IFERROR(VLOOKUP(V167,Assumptions!$A$8:$F$12,5,FALSE),1.5))),IFERROR(VLOOKUP(V167,Assumptions!$A$8:$F$12,5,FALSE),2.5)+IF(X167&lt;&gt;"",X167,IFERROR(VLOOKUP(V167,Assumptions!$A$8:$F$12,3,FALSE),3))+IF(Y167&lt;&gt;"",Y167,IFERROR(VLOOKUP(V167,Assumptions!$A$8:$F$12,4,FALSE),8))/2)</f>
        <v/>
      </c>
      <c r="AB167" s="24">
        <f>U167*Z167/(1+Assumptions!$B$3)^AA167</f>
        <v/>
      </c>
      <c r="AC167" s="27">
        <f>IF(U167=0,"",ROUND(AB167/U167*100,1))</f>
        <v/>
      </c>
      <c r="AD167" s="29">
        <f>AB167*Assumptions!$B$4</f>
        <v/>
      </c>
      <c r="AE167" s="27">
        <f>IF(U167=0,"",ROUND(AD167/U167*100,1))</f>
        <v/>
      </c>
      <c r="AF167" s="29">
        <f>AB167-AD167</f>
        <v/>
      </c>
      <c r="AG167" s="27">
        <f>IF(U167=0,"",ROUND((AB167-AD167)/U167*100,1))</f>
        <v/>
      </c>
      <c r="AH167" s="35" t="inlineStr">
        <is>
          <t>PARTIAL — class III reconciled, other classes not</t>
        </is>
      </c>
      <c r="AI167" s="31" t="inlineStr">
        <is>
          <t>https://marquesadmjudicial.com.br/sgc/download.php?file=files/processo_documento/processo_documento17040729052024_1_.pdf&amp;nome=Relação Nominal de Credores AJ-Sintética</t>
        </is>
      </c>
      <c r="AJ167" s="30" t="inlineStr">
        <is>
          <t>p12 r13</t>
        </is>
      </c>
      <c r="AK167" s="30" t="inlineStr">
        <is>
          <t>p12: R$ 788.640,00</t>
        </is>
      </c>
      <c r="AL167" s="30" t="inlineStr">
        <is>
          <t>AJ list (art. 7 §2)</t>
        </is>
      </c>
      <c r="AM167" s="30" t="inlineStr">
        <is>
          <t>2024-05-27</t>
        </is>
      </c>
      <c r="AN167" s="30" t="inlineStr">
        <is>
          <t>NONE FOUND</t>
        </is>
      </c>
      <c r="AO167" s="32" t="inlineStr">
        <is>
          <t>0003971-03.2023.8.16.0119</t>
        </is>
      </c>
      <c r="AP167" s="32" t="inlineStr">
        <is>
          <t>TJPR</t>
        </is>
      </c>
      <c r="AQ167" s="32" t="inlineStr">
        <is>
          <t>Recuperação judicial</t>
        </is>
      </c>
      <c r="AR167" s="32" t="inlineStr">
        <is>
          <t>DataJud: no closure/falência movement</t>
        </is>
      </c>
      <c r="AS167" s="32" t="n">
        <v>2023</v>
      </c>
      <c r="AT167" s="32" t="inlineStr">
        <is>
          <t>live case, no plan document yet</t>
        </is>
      </c>
      <c r="AU167" s="32" t="inlineStr">
        <is>
          <t>11.624.776/0001-07</t>
        </is>
      </c>
      <c r="AV167" s="32" t="inlineStr">
        <is>
          <t>printed on the list (read twice)</t>
        </is>
      </c>
      <c r="AW167" s="32" t="inlineStr"/>
      <c r="AX167" s="32" t="inlineStr">
        <is>
          <t>SAO PAULO</t>
        </is>
      </c>
      <c r="AY167" s="32" t="inlineStr">
        <is>
          <t>SP</t>
        </is>
      </c>
      <c r="AZ167" s="32" t="inlineStr">
        <is>
          <t>Comércio atacadista de produtos alimentícios em geral</t>
        </is>
      </c>
      <c r="BA167" s="32" t="inlineStr">
        <is>
          <t>não ME/EPP</t>
        </is>
      </c>
      <c r="BB167" s="33" t="n">
        <v>3000000</v>
      </c>
      <c r="BC167" s="32" t="inlineStr">
        <is>
          <t>MID-MARKET</t>
        </is>
      </c>
      <c r="BD167" s="32" t="inlineStr">
        <is>
          <t>13620193</t>
        </is>
      </c>
      <c r="BE167" s="32" t="n">
        <v>1</v>
      </c>
      <c r="BF167" s="32" t="inlineStr">
        <is>
          <t>class III reconciled (doc partial)</t>
        </is>
      </c>
    </row>
    <row r="168">
      <c r="A168" s="17" t="inlineStr">
        <is>
          <t>TRACBEL SA</t>
        </is>
      </c>
      <c r="B168" s="18" t="n">
        <v>786462.95</v>
      </c>
      <c r="C168" s="19" t="inlineStr">
        <is>
          <t>GRUPO EGESA (Egesa Engenharia S.A. + 9 group companies; see group members)</t>
        </is>
      </c>
      <c r="D168" s="20" t="inlineStr">
        <is>
          <t>NEW</t>
        </is>
      </c>
      <c r="E168" s="21" t="inlineStr"/>
      <c r="F168" s="20" t="inlineStr"/>
      <c r="G168" s="21" t="inlineStr"/>
      <c r="H168" s="20" t="inlineStr"/>
      <c r="I168" s="22" t="inlineStr">
        <is>
          <t>Camila Silva</t>
        </is>
      </c>
      <c r="J168" s="22" t="inlineStr">
        <is>
          <t>Diretora Adm Financeiro</t>
        </is>
      </c>
      <c r="K168" s="22" t="inlineStr">
        <is>
          <t>(31) 2104-1800</t>
        </is>
      </c>
      <c r="L168" s="22" t="inlineStr"/>
      <c r="M168" s="22" t="inlineStr"/>
      <c r="N168" s="22" t="inlineStr">
        <is>
          <t>camila.silva@tracbel.com.br</t>
        </is>
      </c>
      <c r="O168" s="22" t="inlineStr">
        <is>
          <t>verified</t>
        </is>
      </c>
      <c r="P168" s="22" t="inlineStr">
        <is>
          <t>Rafaela Assuncao</t>
        </is>
      </c>
      <c r="Q168" s="22" t="inlineStr">
        <is>
          <t>Coordenadora de Contas a Receber</t>
        </is>
      </c>
      <c r="R168" s="22" t="inlineStr"/>
      <c r="S168" s="22" t="inlineStr">
        <is>
          <t>rafaela.assuncao@itaetemaquinas.com.br</t>
        </is>
      </c>
      <c r="T168" s="22" t="inlineStr">
        <is>
          <t>DM: has_email, phone Yes; BACKUP: backup, has_email</t>
        </is>
      </c>
      <c r="U168" s="24" t="n">
        <v>786462.95</v>
      </c>
      <c r="V168" s="25" t="inlineStr">
        <is>
          <t>B</t>
        </is>
      </c>
      <c r="W168" s="26" t="inlineStr"/>
      <c r="X168" s="27" t="inlineStr"/>
      <c r="Y168" s="27" t="inlineStr"/>
      <c r="Z168" s="26">
        <f>IF(W168&lt;&gt;"",W168,IFERROR(VLOOKUP(V168,Assumptions!$A$8:$F$12,2,FALSE),0))</f>
        <v/>
      </c>
      <c r="AA168" s="28">
        <f>IF(V168="A",MAX(1,IF(X168&lt;&gt;"",X168,IFERROR(VLOOKUP(V168,Assumptions!$A$8:$F$12,3,FALSE),3))+IF(Y168&lt;&gt;"",Y168,IFERROR(VLOOKUP(V168,Assumptions!$A$8:$F$12,4,FALSE),8))/2-MAX(0,IF(AS168="",0,YEAR(TODAY())-AS168)-IFERROR(VLOOKUP(V168,Assumptions!$A$8:$F$12,5,FALSE),1.5))),IFERROR(VLOOKUP(V168,Assumptions!$A$8:$F$12,5,FALSE),2.5)+IF(X168&lt;&gt;"",X168,IFERROR(VLOOKUP(V168,Assumptions!$A$8:$F$12,3,FALSE),3))+IF(Y168&lt;&gt;"",Y168,IFERROR(VLOOKUP(V168,Assumptions!$A$8:$F$12,4,FALSE),8))/2)</f>
        <v/>
      </c>
      <c r="AB168" s="24">
        <f>U168*Z168/(1+Assumptions!$B$3)^AA168</f>
        <v/>
      </c>
      <c r="AC168" s="27">
        <f>IF(U168=0,"",ROUND(AB168/U168*100,1))</f>
        <v/>
      </c>
      <c r="AD168" s="29">
        <f>AB168*Assumptions!$B$4</f>
        <v/>
      </c>
      <c r="AE168" s="27">
        <f>IF(U168=0,"",ROUND(AD168/U168*100,1))</f>
        <v/>
      </c>
      <c r="AF168" s="29">
        <f>AB168-AD168</f>
        <v/>
      </c>
      <c r="AG168" s="27">
        <f>IF(U168=0,"",ROUND((AB168-AD168)/U168*100,1))</f>
        <v/>
      </c>
      <c r="AH168" s="30" t="inlineStr">
        <is>
          <t>OK — totals reconciled</t>
        </is>
      </c>
      <c r="AI168" s="31" t="inlineStr">
        <is>
          <t>https://scalzilliaj.com.br/sgc/download.php?file=files/processo_documento/processo_documento09514021082025_1_.pdf&amp;nome=04 - Relação de credores das Recuperandas</t>
        </is>
      </c>
      <c r="AJ168" s="30" t="inlineStr">
        <is>
          <t>p74 r10</t>
        </is>
      </c>
      <c r="AK168" s="30" t="inlineStr">
        <is>
          <t>p74: R$ 786.462,95</t>
        </is>
      </c>
      <c r="AL168" s="30" t="inlineStr">
        <is>
          <t>Debtor list (art. 51)</t>
        </is>
      </c>
      <c r="AM168" s="30" t="inlineStr"/>
      <c r="AN168" s="30" t="inlineStr">
        <is>
          <t>NONE FOUND</t>
        </is>
      </c>
      <c r="AO168" s="32" t="inlineStr">
        <is>
          <t>5088952-81.2025.8.13.0024</t>
        </is>
      </c>
      <c r="AP168" s="32" t="inlineStr">
        <is>
          <t>TJMG</t>
        </is>
      </c>
      <c r="AQ168" s="32" t="inlineStr"/>
      <c r="AR168" s="32" t="inlineStr">
        <is>
          <t>DataJud: no closure/falência movement</t>
        </is>
      </c>
      <c r="AS168" s="32" t="n">
        <v>2025</v>
      </c>
      <c r="AT168" s="32" t="inlineStr">
        <is>
          <t>live case, no plan document yet; case no. from the portal record, not printed on the list</t>
        </is>
      </c>
      <c r="AU168" s="32" t="inlineStr"/>
      <c r="AV168" s="32" t="inlineStr">
        <is>
          <t>portal page title / URL — not printed on the list</t>
        </is>
      </c>
      <c r="AW168" s="32" t="inlineStr"/>
      <c r="AX168" s="32" t="inlineStr">
        <is>
          <t>CONTAGEM</t>
        </is>
      </c>
      <c r="AY168" s="32" t="inlineStr">
        <is>
          <t>MG</t>
        </is>
      </c>
      <c r="AZ168" s="32" t="inlineStr">
        <is>
          <t>Comércio atacadista de máquinas, equipamentos para terraplenagem, mineração e construção; partes e peças</t>
        </is>
      </c>
      <c r="BA168" s="32" t="inlineStr">
        <is>
          <t>não ME/EPP</t>
        </is>
      </c>
      <c r="BB168" s="33" t="n">
        <v>136265060</v>
      </c>
      <c r="BC168" s="32" t="inlineStr">
        <is>
          <t>MID-MARKET</t>
        </is>
      </c>
      <c r="BD168" s="32" t="inlineStr">
        <is>
          <t>17312448</t>
        </is>
      </c>
      <c r="BE168" s="32" t="n">
        <v>1</v>
      </c>
      <c r="BF168" s="32" t="inlineStr">
        <is>
          <t>case no. corrected by reader case no. from portal record</t>
        </is>
      </c>
    </row>
    <row r="169">
      <c r="A169" s="17" t="inlineStr">
        <is>
          <t>PORTAL DO AEROPORTO LOGISTICA LTDA</t>
        </is>
      </c>
      <c r="B169" s="18" t="n">
        <v>780881.58</v>
      </c>
      <c r="C169" s="19" t="inlineStr">
        <is>
          <t>GRUPO DP4</t>
        </is>
      </c>
      <c r="D169" s="20" t="inlineStr">
        <is>
          <t>NEW</t>
        </is>
      </c>
      <c r="E169" s="21" t="inlineStr"/>
      <c r="F169" s="20" t="inlineStr"/>
      <c r="G169" s="21" t="inlineStr"/>
      <c r="H169" s="20" t="inlineStr"/>
      <c r="I169" s="22" t="inlineStr">
        <is>
          <t>CARLOS ROBERTO MARASSI</t>
        </is>
      </c>
      <c r="J169" s="23" t="inlineStr">
        <is>
          <t>Administrador (RFB partner)</t>
        </is>
      </c>
      <c r="K169" s="22" t="inlineStr">
        <is>
          <t>(41) 3134-4003</t>
        </is>
      </c>
      <c r="L169" s="22" t="inlineStr"/>
      <c r="M169" s="22" t="inlineStr"/>
      <c r="N169" s="22" t="inlineStr"/>
      <c r="O169" s="22" t="inlineStr"/>
      <c r="P169" s="22" t="inlineStr"/>
      <c r="Q169" s="22" t="inlineStr"/>
      <c r="R169" s="22" t="inlineStr"/>
      <c r="S169" s="22" t="inlineStr"/>
      <c r="T169" s="22" t="inlineStr">
        <is>
          <t>DM = registered partner (RFB QSA); no Apollo match</t>
        </is>
      </c>
      <c r="U169" s="24" t="n">
        <v>780881.58</v>
      </c>
      <c r="V169" s="25" t="inlineStr">
        <is>
          <t>B</t>
        </is>
      </c>
      <c r="W169" s="26" t="inlineStr"/>
      <c r="X169" s="27" t="inlineStr"/>
      <c r="Y169" s="27" t="inlineStr"/>
      <c r="Z169" s="26">
        <f>IF(W169&lt;&gt;"",W169,IFERROR(VLOOKUP(V169,Assumptions!$A$8:$F$12,2,FALSE),0))</f>
        <v/>
      </c>
      <c r="AA169" s="28">
        <f>IF(V169="A",MAX(1,IF(X169&lt;&gt;"",X169,IFERROR(VLOOKUP(V169,Assumptions!$A$8:$F$12,3,FALSE),3))+IF(Y169&lt;&gt;"",Y169,IFERROR(VLOOKUP(V169,Assumptions!$A$8:$F$12,4,FALSE),8))/2-MAX(0,IF(AS169="",0,YEAR(TODAY())-AS169)-IFERROR(VLOOKUP(V169,Assumptions!$A$8:$F$12,5,FALSE),1.5))),IFERROR(VLOOKUP(V169,Assumptions!$A$8:$F$12,5,FALSE),2.5)+IF(X169&lt;&gt;"",X169,IFERROR(VLOOKUP(V169,Assumptions!$A$8:$F$12,3,FALSE),3))+IF(Y169&lt;&gt;"",Y169,IFERROR(VLOOKUP(V169,Assumptions!$A$8:$F$12,4,FALSE),8))/2)</f>
        <v/>
      </c>
      <c r="AB169" s="24">
        <f>U169*Z169/(1+Assumptions!$B$3)^AA169</f>
        <v/>
      </c>
      <c r="AC169" s="27">
        <f>IF(U169=0,"",ROUND(AB169/U169*100,1))</f>
        <v/>
      </c>
      <c r="AD169" s="29">
        <f>AB169*Assumptions!$B$4</f>
        <v/>
      </c>
      <c r="AE169" s="27">
        <f>IF(U169=0,"",ROUND(AD169/U169*100,1))</f>
        <v/>
      </c>
      <c r="AF169" s="29">
        <f>AB169-AD169</f>
        <v/>
      </c>
      <c r="AG169" s="27">
        <f>IF(U169=0,"",ROUND((AB169-AD169)/U169*100,1))</f>
        <v/>
      </c>
      <c r="AH169" s="35" t="inlineStr">
        <is>
          <t>PARTIAL — class III reconciled, other classes not</t>
        </is>
      </c>
      <c r="AI169" s="31" t="inlineStr">
        <is>
          <t>https://marquesadmjudicial.com.br/sgc/download.php?file=files/processo_documento/processo_documento15293208032024_1_.pdf&amp;nome=Relação Nominal de Credores da AJ-Sintética</t>
        </is>
      </c>
      <c r="AJ169" s="30" t="inlineStr">
        <is>
          <t>p30 r8</t>
        </is>
      </c>
      <c r="AK169" s="30" t="inlineStr">
        <is>
          <t>p30: R$ 780.881,58</t>
        </is>
      </c>
      <c r="AL169" s="30" t="inlineStr">
        <is>
          <t>AJ list (art. 7 §2)</t>
        </is>
      </c>
      <c r="AM169" s="30" t="inlineStr">
        <is>
          <t>2023-03-02</t>
        </is>
      </c>
      <c r="AN169" s="30" t="inlineStr">
        <is>
          <t>NONE FOUND</t>
        </is>
      </c>
      <c r="AO169" s="32" t="inlineStr">
        <is>
          <t>0005010-98.2023.8.16.0001</t>
        </is>
      </c>
      <c r="AP169" s="32" t="inlineStr">
        <is>
          <t>TJPR</t>
        </is>
      </c>
      <c r="AQ169" s="32" t="inlineStr">
        <is>
          <t>Recuperação judicial</t>
        </is>
      </c>
      <c r="AR169" s="32" t="inlineStr">
        <is>
          <t>DataJud: no closure/falência movement</t>
        </is>
      </c>
      <c r="AS169" s="32" t="n">
        <v>2023</v>
      </c>
      <c r="AT169" s="32" t="inlineStr">
        <is>
          <t>live case, no plan document yet</t>
        </is>
      </c>
      <c r="AU169" s="32" t="inlineStr"/>
      <c r="AV169" s="32" t="inlineStr">
        <is>
          <t>printed on the list (read twice)</t>
        </is>
      </c>
      <c r="AW169" s="32" t="inlineStr"/>
      <c r="AX169" s="32" t="inlineStr">
        <is>
          <t>SAO JOSE DOS PINHAIS</t>
        </is>
      </c>
      <c r="AY169" s="32" t="inlineStr">
        <is>
          <t>PR</t>
        </is>
      </c>
      <c r="AZ169" s="32" t="inlineStr">
        <is>
          <t>Aluguel de imóveis próprios</t>
        </is>
      </c>
      <c r="BA169" s="32" t="inlineStr">
        <is>
          <t>não ME/EPP</t>
        </is>
      </c>
      <c r="BB169" s="33" t="n">
        <v>4500000</v>
      </c>
      <c r="BC169" s="32" t="inlineStr">
        <is>
          <t>MID-MARKET</t>
        </is>
      </c>
      <c r="BD169" s="32" t="inlineStr">
        <is>
          <t>13477127</t>
        </is>
      </c>
      <c r="BE169" s="32" t="n">
        <v>1</v>
      </c>
      <c r="BF169" s="32" t="inlineStr">
        <is>
          <t>class III reconciled (doc partial)</t>
        </is>
      </c>
    </row>
    <row r="170">
      <c r="A170" s="17" t="inlineStr">
        <is>
          <t>CENTENARO PNEUS LTDA</t>
        </is>
      </c>
      <c r="B170" s="18" t="n">
        <v>770043</v>
      </c>
      <c r="C170" s="19" t="inlineStr">
        <is>
          <t>GRUPO D&amp;D</t>
        </is>
      </c>
      <c r="D170" s="20" t="inlineStr">
        <is>
          <t>NEW</t>
        </is>
      </c>
      <c r="E170" s="21" t="inlineStr"/>
      <c r="F170" s="20" t="inlineStr"/>
      <c r="G170" s="21" t="inlineStr"/>
      <c r="H170" s="20" t="inlineStr"/>
      <c r="I170" s="22" t="inlineStr">
        <is>
          <t>EDUARDO MATHEUS TRENTIN</t>
        </is>
      </c>
      <c r="J170" s="23" t="inlineStr">
        <is>
          <t>Sócio-Administrador (RFB partner)</t>
        </is>
      </c>
      <c r="K170" s="22" t="inlineStr">
        <is>
          <t>(67) 3317-2277</t>
        </is>
      </c>
      <c r="L170" s="22" t="inlineStr"/>
      <c r="M170" s="22" t="inlineStr"/>
      <c r="N170" s="22" t="inlineStr"/>
      <c r="O170" s="22" t="inlineStr"/>
      <c r="P170" s="22" t="inlineStr">
        <is>
          <t>JACKELINE DE SOUZA LOCATELLI</t>
        </is>
      </c>
      <c r="Q170" s="22" t="inlineStr">
        <is>
          <t>Sócio-Administrador (RFB partner)</t>
        </is>
      </c>
      <c r="R170" s="22" t="inlineStr"/>
      <c r="S170" s="22" t="inlineStr"/>
      <c r="T170" s="22" t="inlineStr">
        <is>
          <t>DM = registered partner (RFB QSA); no Apollo match</t>
        </is>
      </c>
      <c r="U170" s="24" t="n">
        <v>770043</v>
      </c>
      <c r="V170" s="25" t="inlineStr">
        <is>
          <t>B</t>
        </is>
      </c>
      <c r="W170" s="26" t="inlineStr"/>
      <c r="X170" s="27" t="inlineStr"/>
      <c r="Y170" s="27" t="inlineStr"/>
      <c r="Z170" s="26">
        <f>IF(W170&lt;&gt;"",W170,IFERROR(VLOOKUP(V170,Assumptions!$A$8:$F$12,2,FALSE),0))</f>
        <v/>
      </c>
      <c r="AA170" s="28">
        <f>IF(V170="A",MAX(1,IF(X170&lt;&gt;"",X170,IFERROR(VLOOKUP(V170,Assumptions!$A$8:$F$12,3,FALSE),3))+IF(Y170&lt;&gt;"",Y170,IFERROR(VLOOKUP(V170,Assumptions!$A$8:$F$12,4,FALSE),8))/2-MAX(0,IF(AS170="",0,YEAR(TODAY())-AS170)-IFERROR(VLOOKUP(V170,Assumptions!$A$8:$F$12,5,FALSE),1.5))),IFERROR(VLOOKUP(V170,Assumptions!$A$8:$F$12,5,FALSE),2.5)+IF(X170&lt;&gt;"",X170,IFERROR(VLOOKUP(V170,Assumptions!$A$8:$F$12,3,FALSE),3))+IF(Y170&lt;&gt;"",Y170,IFERROR(VLOOKUP(V170,Assumptions!$A$8:$F$12,4,FALSE),8))/2)</f>
        <v/>
      </c>
      <c r="AB170" s="24">
        <f>U170*Z170/(1+Assumptions!$B$3)^AA170</f>
        <v/>
      </c>
      <c r="AC170" s="27">
        <f>IF(U170=0,"",ROUND(AB170/U170*100,1))</f>
        <v/>
      </c>
      <c r="AD170" s="29">
        <f>AB170*Assumptions!$B$4</f>
        <v/>
      </c>
      <c r="AE170" s="27">
        <f>IF(U170=0,"",ROUND(AD170/U170*100,1))</f>
        <v/>
      </c>
      <c r="AF170" s="29">
        <f>AB170-AD170</f>
        <v/>
      </c>
      <c r="AG170" s="27">
        <f>IF(U170=0,"",ROUND((AB170-AD170)/U170*100,1))</f>
        <v/>
      </c>
      <c r="AH170" s="35" t="inlineStr">
        <is>
          <t>PARTIAL — class III reconciled, other classes not</t>
        </is>
      </c>
      <c r="AI170" s="31" t="inlineStr">
        <is>
          <t>https://marquesadmjudicial.com.br/sgc/download.php?file=files/processo_documento/processo_documento20014127022025_1_.pdf&amp;nome=Relação Nominal de Credores</t>
        </is>
      </c>
      <c r="AJ170" s="30" t="inlineStr">
        <is>
          <t>p4 r11</t>
        </is>
      </c>
      <c r="AK170" s="30" t="inlineStr">
        <is>
          <t>p4: R$ 770.043,00</t>
        </is>
      </c>
      <c r="AL170" s="30" t="inlineStr">
        <is>
          <t>AJ list (art. 7 §2)</t>
        </is>
      </c>
      <c r="AM170" s="30" t="inlineStr">
        <is>
          <t>2024-11-08</t>
        </is>
      </c>
      <c r="AN170" s="30" t="inlineStr">
        <is>
          <t>NONE FOUND</t>
        </is>
      </c>
      <c r="AO170" s="32" t="inlineStr">
        <is>
          <t>0001943-40.2024.8.16.0115</t>
        </is>
      </c>
      <c r="AP170" s="32" t="inlineStr">
        <is>
          <t>TJPR</t>
        </is>
      </c>
      <c r="AQ170" s="32" t="inlineStr">
        <is>
          <t>Recuperação judicial</t>
        </is>
      </c>
      <c r="AR170" s="32" t="inlineStr">
        <is>
          <t>DataJud: no closure/falência movement</t>
        </is>
      </c>
      <c r="AS170" s="32" t="n">
        <v>2024</v>
      </c>
      <c r="AT170" s="32" t="inlineStr">
        <is>
          <t>live case, no plan document yet</t>
        </is>
      </c>
      <c r="AU170" s="32" t="inlineStr"/>
      <c r="AV170" s="32" t="inlineStr">
        <is>
          <t>printed on the list (read twice)</t>
        </is>
      </c>
      <c r="AW170" s="32" t="inlineStr"/>
      <c r="AX170" s="32" t="inlineStr">
        <is>
          <t>CAMPO GRANDE</t>
        </is>
      </c>
      <c r="AY170" s="32" t="inlineStr">
        <is>
          <t>MS</t>
        </is>
      </c>
      <c r="AZ170" s="32" t="inlineStr">
        <is>
          <t>Comércio a varejo de pneumáticos e câmaras-de-ar</t>
        </is>
      </c>
      <c r="BA170" s="32" t="inlineStr">
        <is>
          <t>não ME/EPP</t>
        </is>
      </c>
      <c r="BB170" s="33" t="n">
        <v>150000</v>
      </c>
      <c r="BC170" s="32" t="inlineStr">
        <is>
          <t>MID-MARKET</t>
        </is>
      </c>
      <c r="BD170" s="32" t="inlineStr">
        <is>
          <t>48833163</t>
        </is>
      </c>
      <c r="BE170" s="32" t="n">
        <v>1</v>
      </c>
      <c r="BF170" s="32" t="inlineStr">
        <is>
          <t>class III reconciled (doc partial)</t>
        </is>
      </c>
    </row>
    <row r="171">
      <c r="A171" s="17" t="inlineStr">
        <is>
          <t>PARADOX JEANS CONFECCOES DE ROUPAS E TECIDOS LTDA</t>
        </is>
      </c>
      <c r="B171" s="18" t="n">
        <v>769232.88</v>
      </c>
      <c r="C171" s="19" t="inlineStr">
        <is>
          <t>GRUPO CATTAN</t>
        </is>
      </c>
      <c r="D171" s="20" t="inlineStr">
        <is>
          <t>NEW</t>
        </is>
      </c>
      <c r="E171" s="21" t="inlineStr"/>
      <c r="F171" s="20" t="inlineStr"/>
      <c r="G171" s="21" t="inlineStr"/>
      <c r="H171" s="20" t="inlineStr"/>
      <c r="I171" s="22" t="inlineStr">
        <is>
          <t>JOE EL SAMED</t>
        </is>
      </c>
      <c r="J171" s="23" t="inlineStr">
        <is>
          <t>Sócio-Administrador (RFB partner)</t>
        </is>
      </c>
      <c r="K171" s="22" t="inlineStr">
        <is>
          <t>(11) 2693-6106</t>
        </is>
      </c>
      <c r="L171" s="22" t="inlineStr"/>
      <c r="M171" s="22" t="inlineStr"/>
      <c r="N171" s="22" t="inlineStr"/>
      <c r="O171" s="22" t="inlineStr"/>
      <c r="P171" s="22" t="inlineStr"/>
      <c r="Q171" s="22" t="inlineStr"/>
      <c r="R171" s="22" t="inlineStr"/>
      <c r="S171" s="22" t="inlineStr"/>
      <c r="T171" s="22" t="inlineStr">
        <is>
          <t>DM = registered partner (RFB QSA); no Apollo match</t>
        </is>
      </c>
      <c r="U171" s="24" t="n">
        <v>769232.88</v>
      </c>
      <c r="V171" s="25" t="inlineStr">
        <is>
          <t>B</t>
        </is>
      </c>
      <c r="W171" s="26" t="inlineStr"/>
      <c r="X171" s="27" t="inlineStr"/>
      <c r="Y171" s="27" t="inlineStr"/>
      <c r="Z171" s="26">
        <f>IF(W171&lt;&gt;"",W171,IFERROR(VLOOKUP(V171,Assumptions!$A$8:$F$12,2,FALSE),0))</f>
        <v/>
      </c>
      <c r="AA171" s="28">
        <f>IF(V171="A",MAX(1,IF(X171&lt;&gt;"",X171,IFERROR(VLOOKUP(V171,Assumptions!$A$8:$F$12,3,FALSE),3))+IF(Y171&lt;&gt;"",Y171,IFERROR(VLOOKUP(V171,Assumptions!$A$8:$F$12,4,FALSE),8))/2-MAX(0,IF(AS171="",0,YEAR(TODAY())-AS171)-IFERROR(VLOOKUP(V171,Assumptions!$A$8:$F$12,5,FALSE),1.5))),IFERROR(VLOOKUP(V171,Assumptions!$A$8:$F$12,5,FALSE),2.5)+IF(X171&lt;&gt;"",X171,IFERROR(VLOOKUP(V171,Assumptions!$A$8:$F$12,3,FALSE),3))+IF(Y171&lt;&gt;"",Y171,IFERROR(VLOOKUP(V171,Assumptions!$A$8:$F$12,4,FALSE),8))/2)</f>
        <v/>
      </c>
      <c r="AB171" s="24">
        <f>U171*Z171/(1+Assumptions!$B$3)^AA171</f>
        <v/>
      </c>
      <c r="AC171" s="27">
        <f>IF(U171=0,"",ROUND(AB171/U171*100,1))</f>
        <v/>
      </c>
      <c r="AD171" s="29">
        <f>AB171*Assumptions!$B$4</f>
        <v/>
      </c>
      <c r="AE171" s="27">
        <f>IF(U171=0,"",ROUND(AD171/U171*100,1))</f>
        <v/>
      </c>
      <c r="AF171" s="29">
        <f>AB171-AD171</f>
        <v/>
      </c>
      <c r="AG171" s="27">
        <f>IF(U171=0,"",ROUND((AB171-AD171)/U171*100,1))</f>
        <v/>
      </c>
      <c r="AH171" s="35" t="inlineStr">
        <is>
          <t>PARTIAL — class III reconciled, other classes not</t>
        </is>
      </c>
      <c r="AI171" s="31" t="inlineStr">
        <is>
          <t>https://lrflideres.com.br/wp-content/plugins/download-attachments/includes/download.php?id=4023</t>
        </is>
      </c>
      <c r="AJ171" s="30" t="inlineStr">
        <is>
          <t>p7 r115; p9 r86</t>
        </is>
      </c>
      <c r="AK171" s="30" t="inlineStr">
        <is>
          <t>p7: R$ 663.239,28; p9: R$ 105.993,60</t>
        </is>
      </c>
      <c r="AL171" s="30" t="inlineStr">
        <is>
          <t>Debtor list (art. 51)</t>
        </is>
      </c>
      <c r="AM171" s="30" t="inlineStr"/>
      <c r="AN171" s="30" t="inlineStr">
        <is>
          <t>NONE FOUND</t>
        </is>
      </c>
      <c r="AO171" s="32" t="inlineStr">
        <is>
          <t>0002484-82.2022.8.17.2001</t>
        </is>
      </c>
      <c r="AP171" s="32" t="inlineStr">
        <is>
          <t>TJPE</t>
        </is>
      </c>
      <c r="AQ171" s="32" t="inlineStr">
        <is>
          <t>Recuperação judicial</t>
        </is>
      </c>
      <c r="AR171" s="32" t="inlineStr">
        <is>
          <t>DataJud: no closure/falência movement</t>
        </is>
      </c>
      <c r="AS171" s="32" t="n">
        <v>2022</v>
      </c>
      <c r="AT171" s="32" t="inlineStr">
        <is>
          <t>live case, no plan document yet</t>
        </is>
      </c>
      <c r="AU171" s="32" t="inlineStr"/>
      <c r="AV171" s="32" t="inlineStr">
        <is>
          <t>printed on the list (read twice)</t>
        </is>
      </c>
      <c r="AW171" s="32" t="inlineStr"/>
      <c r="AX171" s="32" t="inlineStr">
        <is>
          <t>SAO PAULO</t>
        </is>
      </c>
      <c r="AY171" s="32" t="inlineStr">
        <is>
          <t>SP</t>
        </is>
      </c>
      <c r="AZ171" s="32" t="inlineStr">
        <is>
          <t>Confecção de peças de vestuário, exceto roupas íntimas e as confeccionadas sob medida</t>
        </is>
      </c>
      <c r="BA171" s="32" t="inlineStr">
        <is>
          <t>não ME/EPP</t>
        </is>
      </c>
      <c r="BB171" s="33" t="n">
        <v>150000</v>
      </c>
      <c r="BC171" s="32" t="inlineStr">
        <is>
          <t>MID-MARKET</t>
        </is>
      </c>
      <c r="BD171" s="32" t="inlineStr">
        <is>
          <t>21577893</t>
        </is>
      </c>
      <c r="BE171" s="32" t="n">
        <v>2</v>
      </c>
      <c r="BF171" s="32" t="inlineStr">
        <is>
          <t>class III reconciled (doc partial)</t>
        </is>
      </c>
    </row>
    <row r="172">
      <c r="A172" s="17" t="inlineStr">
        <is>
          <t>RSG GESTAO DE ATIVOS LTDA</t>
        </is>
      </c>
      <c r="B172" s="18" t="n">
        <v>760513.79</v>
      </c>
      <c r="C172" s="19" t="inlineStr">
        <is>
          <t>GAMAC IMPORTACAO E EXPORTACAO LTDA (EM RECUPERAÇÃO JUDICIAL)</t>
        </is>
      </c>
      <c r="D172" s="20" t="inlineStr">
        <is>
          <t>NEW</t>
        </is>
      </c>
      <c r="E172" s="21" t="inlineStr"/>
      <c r="F172" s="20" t="inlineStr"/>
      <c r="G172" s="21" t="inlineStr"/>
      <c r="H172" s="20" t="inlineStr"/>
      <c r="I172" s="22" t="inlineStr">
        <is>
          <t>RODRIGO CANO PASSOS</t>
        </is>
      </c>
      <c r="J172" s="23" t="inlineStr">
        <is>
          <t>Administrador (RFB partner)</t>
        </is>
      </c>
      <c r="K172" s="22" t="inlineStr">
        <is>
          <t>(47) 3248-6000</t>
        </is>
      </c>
      <c r="L172" s="22" t="inlineStr"/>
      <c r="M172" s="22" t="inlineStr"/>
      <c r="N172" s="22" t="inlineStr"/>
      <c r="O172" s="22" t="inlineStr"/>
      <c r="P172" s="22" t="inlineStr">
        <is>
          <t>WILLIAM RAMOS</t>
        </is>
      </c>
      <c r="Q172" s="22" t="inlineStr">
        <is>
          <t>Administrador (RFB partner)</t>
        </is>
      </c>
      <c r="R172" s="22" t="inlineStr"/>
      <c r="S172" s="22" t="inlineStr"/>
      <c r="T172" s="22" t="inlineStr">
        <is>
          <t>DM = registered partner (RFB QSA); no Apollo match</t>
        </is>
      </c>
      <c r="U172" s="24" t="n">
        <v>760513.79</v>
      </c>
      <c r="V172" s="25" t="inlineStr">
        <is>
          <t>B</t>
        </is>
      </c>
      <c r="W172" s="26" t="inlineStr"/>
      <c r="X172" s="27" t="inlineStr"/>
      <c r="Y172" s="27" t="inlineStr"/>
      <c r="Z172" s="26">
        <f>IF(W172&lt;&gt;"",W172,IFERROR(VLOOKUP(V172,Assumptions!$A$8:$F$12,2,FALSE),0))</f>
        <v/>
      </c>
      <c r="AA172" s="28">
        <f>IF(V172="A",MAX(1,IF(X172&lt;&gt;"",X172,IFERROR(VLOOKUP(V172,Assumptions!$A$8:$F$12,3,FALSE),3))+IF(Y172&lt;&gt;"",Y172,IFERROR(VLOOKUP(V172,Assumptions!$A$8:$F$12,4,FALSE),8))/2-MAX(0,IF(AS172="",0,YEAR(TODAY())-AS172)-IFERROR(VLOOKUP(V172,Assumptions!$A$8:$F$12,5,FALSE),1.5))),IFERROR(VLOOKUP(V172,Assumptions!$A$8:$F$12,5,FALSE),2.5)+IF(X172&lt;&gt;"",X172,IFERROR(VLOOKUP(V172,Assumptions!$A$8:$F$12,3,FALSE),3))+IF(Y172&lt;&gt;"",Y172,IFERROR(VLOOKUP(V172,Assumptions!$A$8:$F$12,4,FALSE),8))/2)</f>
        <v/>
      </c>
      <c r="AB172" s="24">
        <f>U172*Z172/(1+Assumptions!$B$3)^AA172</f>
        <v/>
      </c>
      <c r="AC172" s="27">
        <f>IF(U172=0,"",ROUND(AB172/U172*100,1))</f>
        <v/>
      </c>
      <c r="AD172" s="29">
        <f>AB172*Assumptions!$B$4</f>
        <v/>
      </c>
      <c r="AE172" s="27">
        <f>IF(U172=0,"",ROUND(AD172/U172*100,1))</f>
        <v/>
      </c>
      <c r="AF172" s="29">
        <f>AB172-AD172</f>
        <v/>
      </c>
      <c r="AG172" s="27">
        <f>IF(U172=0,"",ROUND((AB172-AD172)/U172*100,1))</f>
        <v/>
      </c>
      <c r="AH172" s="34" t="inlineStr">
        <is>
          <t>NO TOTALS — list prints none; check page</t>
        </is>
      </c>
      <c r="AI172" s="31" t="inlineStr">
        <is>
          <t>https://scalzilliaj.com.br/sgc/download.php?file=files/processo_documento/processo_documento10141405032024_1_.pdf&amp;nome=10 - Edital do art. 7º, §2º da Lei 11.101/2005 (segunda lista de credores)</t>
        </is>
      </c>
      <c r="AJ172" s="30" t="inlineStr">
        <is>
          <t>p2 r15</t>
        </is>
      </c>
      <c r="AK172" s="30" t="inlineStr">
        <is>
          <t>p2: R$ 760.513,79</t>
        </is>
      </c>
      <c r="AL172" s="30" t="inlineStr">
        <is>
          <t>QGC (art. 18)</t>
        </is>
      </c>
      <c r="AM172" s="30" t="inlineStr">
        <is>
          <t>2024-03-05</t>
        </is>
      </c>
      <c r="AN172" s="30" t="inlineStr">
        <is>
          <t>NONE FOUND</t>
        </is>
      </c>
      <c r="AO172" s="32" t="inlineStr">
        <is>
          <t>5012295-78.2023.8.24.0019</t>
        </is>
      </c>
      <c r="AP172" s="32" t="inlineStr">
        <is>
          <t>TJSC</t>
        </is>
      </c>
      <c r="AQ172" s="32" t="inlineStr">
        <is>
          <t>Recuperação judicial</t>
        </is>
      </c>
      <c r="AR172" s="32" t="inlineStr">
        <is>
          <t>DataJud: no closure/falência movement</t>
        </is>
      </c>
      <c r="AS172" s="32" t="n">
        <v>2023</v>
      </c>
      <c r="AT172" s="32" t="inlineStr">
        <is>
          <t>live case, no plan document yet</t>
        </is>
      </c>
      <c r="AU172" s="32" t="inlineStr"/>
      <c r="AV172" s="32" t="inlineStr">
        <is>
          <t>printed on the list (read twice)</t>
        </is>
      </c>
      <c r="AW172" s="32" t="inlineStr"/>
      <c r="AX172" s="32" t="inlineStr">
        <is>
          <t>ITAJAI</t>
        </is>
      </c>
      <c r="AY172" s="32" t="inlineStr">
        <is>
          <t>SC</t>
        </is>
      </c>
      <c r="AZ172" s="32" t="inlineStr">
        <is>
          <t>Gestão de ativos intangíveis não-financeiros</t>
        </is>
      </c>
      <c r="BA172" s="32" t="inlineStr">
        <is>
          <t>não ME/EPP</t>
        </is>
      </c>
      <c r="BB172" s="33" t="n">
        <v>100000</v>
      </c>
      <c r="BC172" s="32" t="inlineStr">
        <is>
          <t>MID-MARKET</t>
        </is>
      </c>
      <c r="BD172" s="32" t="inlineStr">
        <is>
          <t>30080657</t>
        </is>
      </c>
      <c r="BE172" s="32" t="n">
        <v>1</v>
      </c>
      <c r="BF172" s="32" t="inlineStr">
        <is>
          <t>list prints no totals</t>
        </is>
      </c>
    </row>
    <row r="173">
      <c r="A173" s="17" t="inlineStr">
        <is>
          <t>UNIPETRO NOVA ANDRADINA DISTRIBUIDORA DE PETROLEO LTDA</t>
        </is>
      </c>
      <c r="B173" s="18" t="n">
        <v>753950</v>
      </c>
      <c r="C173" s="19" t="inlineStr">
        <is>
          <t>ENIVALDO BARELLA TIRONI, MATEUS MANHANI BARELLA, LEILA REGINA MANHANI BARELLA, B&amp;F AGRO COMÉRCIO DE GRÃOS E INSUMOS AGRÍCOLAS LTDA, BARELLA &amp; FILHOS LTDA E M M LOCAÇÃO EIRELI</t>
        </is>
      </c>
      <c r="D173" s="20" t="inlineStr">
        <is>
          <t>NEW</t>
        </is>
      </c>
      <c r="E173" s="21" t="inlineStr"/>
      <c r="F173" s="20" t="inlineStr"/>
      <c r="G173" s="21" t="inlineStr"/>
      <c r="H173" s="20" t="inlineStr"/>
      <c r="I173" s="22" t="inlineStr">
        <is>
          <t>Carlos Batista</t>
        </is>
      </c>
      <c r="J173" s="22" t="inlineStr">
        <is>
          <t>General Manager</t>
        </is>
      </c>
      <c r="K173" s="22" t="inlineStr">
        <is>
          <t>(11) 3990-4090</t>
        </is>
      </c>
      <c r="L173" s="22" t="inlineStr"/>
      <c r="M173" s="22" t="inlineStr"/>
      <c r="N173" s="22" t="inlineStr">
        <is>
          <t>gerencia@unipetroprudente.com.br</t>
        </is>
      </c>
      <c r="O173" s="22" t="inlineStr">
        <is>
          <t>verified</t>
        </is>
      </c>
      <c r="P173" s="22" t="inlineStr">
        <is>
          <t>ALVARO RODRIGUES ANTUNES DE FARIA</t>
        </is>
      </c>
      <c r="Q173" s="22" t="inlineStr">
        <is>
          <t>Sócio-Administrador (RFB partner)</t>
        </is>
      </c>
      <c r="R173" s="22" t="inlineStr"/>
      <c r="S173" s="22" t="inlineStr"/>
      <c r="T173" s="22" t="inlineStr">
        <is>
          <t>DM: VERIFY org: Apollo lists Unipetro Prudente (SP), target is Unipetro Nova Andradina (MS); has_email</t>
        </is>
      </c>
      <c r="U173" s="24" t="n">
        <v>753950</v>
      </c>
      <c r="V173" s="25" t="inlineStr">
        <is>
          <t>B</t>
        </is>
      </c>
      <c r="W173" s="26" t="inlineStr"/>
      <c r="X173" s="27" t="inlineStr"/>
      <c r="Y173" s="27" t="inlineStr"/>
      <c r="Z173" s="26">
        <f>IF(W173&lt;&gt;"",W173,IFERROR(VLOOKUP(V173,Assumptions!$A$8:$F$12,2,FALSE),0))</f>
        <v/>
      </c>
      <c r="AA173" s="28">
        <f>IF(V173="A",MAX(1,IF(X173&lt;&gt;"",X173,IFERROR(VLOOKUP(V173,Assumptions!$A$8:$F$12,3,FALSE),3))+IF(Y173&lt;&gt;"",Y173,IFERROR(VLOOKUP(V173,Assumptions!$A$8:$F$12,4,FALSE),8))/2-MAX(0,IF(AS173="",0,YEAR(TODAY())-AS173)-IFERROR(VLOOKUP(V173,Assumptions!$A$8:$F$12,5,FALSE),1.5))),IFERROR(VLOOKUP(V173,Assumptions!$A$8:$F$12,5,FALSE),2.5)+IF(X173&lt;&gt;"",X173,IFERROR(VLOOKUP(V173,Assumptions!$A$8:$F$12,3,FALSE),3))+IF(Y173&lt;&gt;"",Y173,IFERROR(VLOOKUP(V173,Assumptions!$A$8:$F$12,4,FALSE),8))/2)</f>
        <v/>
      </c>
      <c r="AB173" s="24">
        <f>U173*Z173/(1+Assumptions!$B$3)^AA173</f>
        <v/>
      </c>
      <c r="AC173" s="27">
        <f>IF(U173=0,"",ROUND(AB173/U173*100,1))</f>
        <v/>
      </c>
      <c r="AD173" s="29">
        <f>AB173*Assumptions!$B$4</f>
        <v/>
      </c>
      <c r="AE173" s="27">
        <f>IF(U173=0,"",ROUND(AD173/U173*100,1))</f>
        <v/>
      </c>
      <c r="AF173" s="29">
        <f>AB173-AD173</f>
        <v/>
      </c>
      <c r="AG173" s="27">
        <f>IF(U173=0,"",ROUND((AB173-AD173)/U173*100,1))</f>
        <v/>
      </c>
      <c r="AH173" s="34" t="inlineStr">
        <is>
          <t>NO TOTALS — list prints none; check page</t>
        </is>
      </c>
      <c r="AI173" s="31" t="inlineStr">
        <is>
          <t>https://scalzilliaj.com.br/sgc/download.php?file=files/processo_documento/processo_documento15542620022025_1_.pdf&amp;nome=11 - Relação de credores - art. 7º, §2º, da LREF</t>
        </is>
      </c>
      <c r="AJ173" s="30" t="inlineStr">
        <is>
          <t>p1 r4</t>
        </is>
      </c>
      <c r="AK173" s="30" t="inlineStr">
        <is>
          <t>p1: R$ 753.950,00</t>
        </is>
      </c>
      <c r="AL173" s="30" t="inlineStr">
        <is>
          <t>AJ list (art. 7 §2)</t>
        </is>
      </c>
      <c r="AM173" s="30" t="inlineStr">
        <is>
          <t>2025-02-19</t>
        </is>
      </c>
      <c r="AN173" s="30" t="inlineStr">
        <is>
          <t>NONE FOUND</t>
        </is>
      </c>
      <c r="AO173" s="32" t="inlineStr">
        <is>
          <t>0028131-73.2024.8.16.0017</t>
        </is>
      </c>
      <c r="AP173" s="32" t="inlineStr">
        <is>
          <t>TJPR</t>
        </is>
      </c>
      <c r="AQ173" s="32" t="inlineStr">
        <is>
          <t>Recuperação judicial</t>
        </is>
      </c>
      <c r="AR173" s="32" t="inlineStr">
        <is>
          <t>DataJud: no closure/falência movement</t>
        </is>
      </c>
      <c r="AS173" s="32" t="n">
        <v>2024</v>
      </c>
      <c r="AT173" s="32" t="inlineStr">
        <is>
          <t>live case, no plan document yet</t>
        </is>
      </c>
      <c r="AU173" s="32" t="inlineStr"/>
      <c r="AV173" s="32" t="inlineStr">
        <is>
          <t>printed on the list (read twice)</t>
        </is>
      </c>
      <c r="AW173" s="32" t="inlineStr"/>
      <c r="AX173" s="32" t="inlineStr">
        <is>
          <t>NOVA ANDRADINA</t>
        </is>
      </c>
      <c r="AY173" s="32" t="inlineStr">
        <is>
          <t>MS</t>
        </is>
      </c>
      <c r="AZ173" s="32" t="inlineStr">
        <is>
          <t>Comércio atacadista de combustíveis realizado por transportador retalhista (T.R.R.)</t>
        </is>
      </c>
      <c r="BA173" s="32" t="inlineStr">
        <is>
          <t>não ME/EPP</t>
        </is>
      </c>
      <c r="BB173" s="33" t="n">
        <v>800000</v>
      </c>
      <c r="BC173" s="32" t="inlineStr">
        <is>
          <t>MID-MARKET</t>
        </is>
      </c>
      <c r="BD173" s="32" t="inlineStr">
        <is>
          <t>00210633</t>
        </is>
      </c>
      <c r="BE173" s="32" t="n">
        <v>1</v>
      </c>
      <c r="BF173" s="32" t="inlineStr">
        <is>
          <t>list prints no totals</t>
        </is>
      </c>
    </row>
    <row r="174">
      <c r="A174" s="17" t="inlineStr">
        <is>
          <t>EUCATEX S A INDUSTRIA E COMERCIO</t>
        </is>
      </c>
      <c r="B174" s="18" t="n">
        <v>1400000</v>
      </c>
      <c r="C174" s="37" t="inlineStr">
        <is>
          <t>(debtor not identified — see proof)</t>
        </is>
      </c>
      <c r="D174" s="20" t="inlineStr">
        <is>
          <t>NEW</t>
        </is>
      </c>
      <c r="E174" s="21" t="inlineStr"/>
      <c r="F174" s="20" t="inlineStr"/>
      <c r="G174" s="21" t="inlineStr"/>
      <c r="H174" s="20" t="inlineStr"/>
      <c r="I174" s="22" t="inlineStr">
        <is>
          <t>Carlos Oliveira</t>
        </is>
      </c>
      <c r="J174" s="22" t="inlineStr">
        <is>
          <t>Supervisor de Crédito e Contas a Receber</t>
        </is>
      </c>
      <c r="K174" s="22" t="inlineStr">
        <is>
          <t>(11) 3049-2427</t>
        </is>
      </c>
      <c r="L174" s="22" t="inlineStr"/>
      <c r="M174" s="22" t="inlineStr"/>
      <c r="N174" s="22" t="inlineStr"/>
      <c r="O174" s="22" t="inlineStr"/>
      <c r="P174" s="22" t="inlineStr">
        <is>
          <t>FLAVIO MALUF</t>
        </is>
      </c>
      <c r="Q174" s="22" t="inlineStr">
        <is>
          <t>Presidente (RFB partner)</t>
        </is>
      </c>
      <c r="R174" s="22" t="inlineStr"/>
      <c r="S174" s="22" t="inlineStr"/>
      <c r="T174" s="22" t="inlineStr">
        <is>
          <t>DM: phone Yes; no work email in Apollo for DM</t>
        </is>
      </c>
      <c r="U174" s="24" t="n">
        <v>1400000</v>
      </c>
      <c r="V174" s="38" t="inlineStr">
        <is>
          <t>U</t>
        </is>
      </c>
      <c r="W174" s="26" t="inlineStr"/>
      <c r="X174" s="27" t="inlineStr"/>
      <c r="Y174" s="27" t="inlineStr"/>
      <c r="Z174" s="26">
        <f>IF(W174&lt;&gt;"",W174,IFERROR(VLOOKUP(V174,Assumptions!$A$8:$F$12,2,FALSE),0))</f>
        <v/>
      </c>
      <c r="AA174" s="28">
        <f>IF(V174="A",MAX(1,IF(X174&lt;&gt;"",X174,IFERROR(VLOOKUP(V174,Assumptions!$A$8:$F$12,3,FALSE),3))+IF(Y174&lt;&gt;"",Y174,IFERROR(VLOOKUP(V174,Assumptions!$A$8:$F$12,4,FALSE),8))/2-MAX(0,IF(AS174="",0,YEAR(TODAY())-AS174)-IFERROR(VLOOKUP(V174,Assumptions!$A$8:$F$12,5,FALSE),1.5))),IFERROR(VLOOKUP(V174,Assumptions!$A$8:$F$12,5,FALSE),2.5)+IF(X174&lt;&gt;"",X174,IFERROR(VLOOKUP(V174,Assumptions!$A$8:$F$12,3,FALSE),3))+IF(Y174&lt;&gt;"",Y174,IFERROR(VLOOKUP(V174,Assumptions!$A$8:$F$12,4,FALSE),8))/2)</f>
        <v/>
      </c>
      <c r="AB174" s="24">
        <f>U174*Z174/(1+Assumptions!$B$3)^AA174</f>
        <v/>
      </c>
      <c r="AC174" s="27">
        <f>IF(U174=0,"",ROUND(AB174/U174*100,1))</f>
        <v/>
      </c>
      <c r="AD174" s="29">
        <f>AB174*Assumptions!$B$4</f>
        <v/>
      </c>
      <c r="AE174" s="27">
        <f>IF(U174=0,"",ROUND(AD174/U174*100,1))</f>
        <v/>
      </c>
      <c r="AF174" s="29">
        <f>AB174-AD174</f>
        <v/>
      </c>
      <c r="AG174" s="27">
        <f>IF(U174=0,"",ROUND((AB174-AD174)/U174*100,1))</f>
        <v/>
      </c>
      <c r="AH174" s="30" t="inlineStr">
        <is>
          <t>OK — totals reconciled</t>
        </is>
      </c>
      <c r="AI174" s="31" t="inlineStr">
        <is>
          <t>https://ajruiz.com.br/sites/default/files/public/arquivos-processos/2023-11/4_relacao_de_credores_analitica_art._51_iii_da_lre.pdf</t>
        </is>
      </c>
      <c r="AJ174" s="30" t="inlineStr">
        <is>
          <t>p3 r6</t>
        </is>
      </c>
      <c r="AK174" s="30" t="inlineStr">
        <is>
          <t>p3: R$ 1.400.000,00</t>
        </is>
      </c>
      <c r="AL174" s="30" t="inlineStr">
        <is>
          <t>Unclassified list</t>
        </is>
      </c>
      <c r="AM174" s="30" t="inlineStr"/>
      <c r="AN174" s="30" t="inlineStr">
        <is>
          <t>NONE FOUND</t>
        </is>
      </c>
      <c r="AO174" s="32" t="inlineStr">
        <is>
          <t>(not printed)</t>
        </is>
      </c>
      <c r="AP174" s="32" t="inlineStr"/>
      <c r="AQ174" s="32" t="inlineStr"/>
      <c r="AR174" s="32" t="inlineStr"/>
      <c r="AS174" s="32" t="inlineStr"/>
      <c r="AT174" s="32" t="inlineStr">
        <is>
          <t>RJ case number not identified on the document</t>
        </is>
      </c>
      <c r="AU174" s="32" t="inlineStr"/>
      <c r="AV174" s="32" t="inlineStr">
        <is>
          <t>not identified</t>
        </is>
      </c>
      <c r="AW174" s="32" t="inlineStr"/>
      <c r="AX174" s="32" t="inlineStr">
        <is>
          <t>SAO PAULO</t>
        </is>
      </c>
      <c r="AY174" s="32" t="inlineStr">
        <is>
          <t>SP</t>
        </is>
      </c>
      <c r="AZ174" s="32" t="inlineStr">
        <is>
          <t>Fabricação de madeira laminada e de chapas de madeira compensada, prensada e aglomerada</t>
        </is>
      </c>
      <c r="BA174" s="32" t="inlineStr">
        <is>
          <t>não ME/EPP</t>
        </is>
      </c>
      <c r="BB174" s="33" t="n">
        <v>1485246600</v>
      </c>
      <c r="BC174" s="32" t="inlineStr">
        <is>
          <t>LARGE CORP</t>
        </is>
      </c>
      <c r="BD174" s="32" t="inlineStr">
        <is>
          <t>56643018</t>
        </is>
      </c>
      <c r="BE174" s="32" t="n">
        <v>1</v>
      </c>
      <c r="BF174" s="32" t="inlineStr">
        <is>
          <t>case no. corrected by reader</t>
        </is>
      </c>
    </row>
    <row r="175">
      <c r="A175" s="17" t="inlineStr">
        <is>
          <t>IMPROTEC COMERCIO DE MATERIAL CIRURGICO SA</t>
        </is>
      </c>
      <c r="B175" s="18" t="n">
        <v>730000</v>
      </c>
      <c r="C175" s="19" t="inlineStr">
        <is>
          <t>ASSOCIAÇÃO DE CARIDADE SANTA CASA DO RIO GRANDE</t>
        </is>
      </c>
      <c r="D175" s="20" t="inlineStr">
        <is>
          <t>NEW</t>
        </is>
      </c>
      <c r="E175" s="21" t="inlineStr"/>
      <c r="F175" s="20" t="inlineStr"/>
      <c r="G175" s="21" t="inlineStr"/>
      <c r="H175" s="20" t="inlineStr"/>
      <c r="I175" s="22" t="inlineStr">
        <is>
          <t>FRANCISCO JOSE DAMBROS</t>
        </is>
      </c>
      <c r="J175" s="23" t="inlineStr">
        <is>
          <t>Diretor (RFB partner)</t>
        </is>
      </c>
      <c r="K175" s="22" t="inlineStr">
        <is>
          <t>(51) 3361-4560</t>
        </is>
      </c>
      <c r="L175" s="22" t="inlineStr"/>
      <c r="M175" s="22" t="inlineStr"/>
      <c r="N175" s="22" t="inlineStr"/>
      <c r="O175" s="22" t="inlineStr"/>
      <c r="P175" s="22" t="inlineStr"/>
      <c r="Q175" s="22" t="inlineStr"/>
      <c r="R175" s="22" t="inlineStr"/>
      <c r="S175" s="22" t="inlineStr"/>
      <c r="T175" s="22" t="inlineStr">
        <is>
          <t>DM = registered partner (RFB QSA); no Apollo match</t>
        </is>
      </c>
      <c r="U175" s="24" t="n">
        <v>730000</v>
      </c>
      <c r="V175" s="25" t="inlineStr">
        <is>
          <t>B</t>
        </is>
      </c>
      <c r="W175" s="26" t="inlineStr"/>
      <c r="X175" s="27" t="inlineStr"/>
      <c r="Y175" s="27" t="inlineStr"/>
      <c r="Z175" s="26">
        <f>IF(W175&lt;&gt;"",W175,IFERROR(VLOOKUP(V175,Assumptions!$A$8:$F$12,2,FALSE),0))</f>
        <v/>
      </c>
      <c r="AA175" s="28">
        <f>IF(V175="A",MAX(1,IF(X175&lt;&gt;"",X175,IFERROR(VLOOKUP(V175,Assumptions!$A$8:$F$12,3,FALSE),3))+IF(Y175&lt;&gt;"",Y175,IFERROR(VLOOKUP(V175,Assumptions!$A$8:$F$12,4,FALSE),8))/2-MAX(0,IF(AS175="",0,YEAR(TODAY())-AS175)-IFERROR(VLOOKUP(V175,Assumptions!$A$8:$F$12,5,FALSE),1.5))),IFERROR(VLOOKUP(V175,Assumptions!$A$8:$F$12,5,FALSE),2.5)+IF(X175&lt;&gt;"",X175,IFERROR(VLOOKUP(V175,Assumptions!$A$8:$F$12,3,FALSE),3))+IF(Y175&lt;&gt;"",Y175,IFERROR(VLOOKUP(V175,Assumptions!$A$8:$F$12,4,FALSE),8))/2)</f>
        <v/>
      </c>
      <c r="AB175" s="24">
        <f>U175*Z175/(1+Assumptions!$B$3)^AA175</f>
        <v/>
      </c>
      <c r="AC175" s="27">
        <f>IF(U175=0,"",ROUND(AB175/U175*100,1))</f>
        <v/>
      </c>
      <c r="AD175" s="29">
        <f>AB175*Assumptions!$B$4</f>
        <v/>
      </c>
      <c r="AE175" s="27">
        <f>IF(U175=0,"",ROUND(AD175/U175*100,1))</f>
        <v/>
      </c>
      <c r="AF175" s="29">
        <f>AB175-AD175</f>
        <v/>
      </c>
      <c r="AG175" s="27">
        <f>IF(U175=0,"",ROUND((AB175-AD175)/U175*100,1))</f>
        <v/>
      </c>
      <c r="AH175" s="34" t="inlineStr">
        <is>
          <t>NO TOTALS — list prints none; check page</t>
        </is>
      </c>
      <c r="AI175" s="31" t="inlineStr">
        <is>
          <t>https://scalzilliaj.com.br/sgc/download.php?file=files/processo_documento/processo_documento09120721032023_1_.pdf&amp;nome=15 - Edital do art. 7º, §2º e 53 da Lei 11.101/2005 (segunda lista de credores e recebimento do plano))</t>
        </is>
      </c>
      <c r="AJ175" s="30" t="inlineStr">
        <is>
          <t>p27 r55</t>
        </is>
      </c>
      <c r="AK175" s="30" t="inlineStr">
        <is>
          <t>p27: R$ 730.000,00</t>
        </is>
      </c>
      <c r="AL175" s="30" t="inlineStr">
        <is>
          <t>AJ list (art. 7 §2)</t>
        </is>
      </c>
      <c r="AM175" s="30" t="inlineStr">
        <is>
          <t>2023-03-21</t>
        </is>
      </c>
      <c r="AN175" s="30" t="inlineStr">
        <is>
          <t>NONE FOUND</t>
        </is>
      </c>
      <c r="AO175" s="32" t="inlineStr">
        <is>
          <t>5012306-16.2022.8.21.0023</t>
        </is>
      </c>
      <c r="AP175" s="32" t="inlineStr">
        <is>
          <t>TJRS</t>
        </is>
      </c>
      <c r="AQ175" s="32" t="inlineStr">
        <is>
          <t>Recuperação judicial</t>
        </is>
      </c>
      <c r="AR175" s="32" t="inlineStr">
        <is>
          <t>DataJud: no closure/falência movement</t>
        </is>
      </c>
      <c r="AS175" s="32" t="n">
        <v>2022</v>
      </c>
      <c r="AT175" s="32" t="inlineStr">
        <is>
          <t>live case, no plan document yet; atypical debtor (associação/clube/hospital/produtor rural): admissibility or claim subjection may be contested</t>
        </is>
      </c>
      <c r="AU175" s="32" t="inlineStr"/>
      <c r="AV175" s="32" t="inlineStr">
        <is>
          <t>printed on the list (read twice)</t>
        </is>
      </c>
      <c r="AW175" s="32" t="inlineStr"/>
      <c r="AX175" s="32" t="inlineStr">
        <is>
          <t>PORTO ALEGRE</t>
        </is>
      </c>
      <c r="AY175" s="32" t="inlineStr">
        <is>
          <t>RS</t>
        </is>
      </c>
      <c r="AZ175" s="32" t="inlineStr">
        <is>
          <t>Comércio atacadista de instrumentos e materiais para uso médico, cirúrgico, hospitalar e de laboratórios</t>
        </is>
      </c>
      <c r="BA175" s="32" t="inlineStr">
        <is>
          <t>não ME/EPP</t>
        </is>
      </c>
      <c r="BB175" s="33" t="n">
        <v>3000000</v>
      </c>
      <c r="BC175" s="32" t="inlineStr">
        <is>
          <t>MID-MARKET</t>
        </is>
      </c>
      <c r="BD175" s="32" t="inlineStr">
        <is>
          <t>94868742</t>
        </is>
      </c>
      <c r="BE175" s="32" t="n">
        <v>1</v>
      </c>
      <c r="BF175" s="32" t="inlineStr">
        <is>
          <t>list prints no totals</t>
        </is>
      </c>
    </row>
    <row r="176">
      <c r="A176" s="17" t="inlineStr">
        <is>
          <t>SH INDUSTRIA TEXTIL LTDA.</t>
        </is>
      </c>
      <c r="B176" s="18" t="n">
        <v>723908</v>
      </c>
      <c r="C176" s="19" t="inlineStr">
        <is>
          <t>GRUPO CATTAN</t>
        </is>
      </c>
      <c r="D176" s="20" t="inlineStr">
        <is>
          <t>NEW</t>
        </is>
      </c>
      <c r="E176" s="21" t="inlineStr"/>
      <c r="F176" s="20" t="inlineStr"/>
      <c r="G176" s="21" t="inlineStr"/>
      <c r="H176" s="20" t="inlineStr"/>
      <c r="I176" s="22" t="inlineStr">
        <is>
          <t>IVANILDE CRISTINA DE PAULA HAMMES</t>
        </is>
      </c>
      <c r="J176" s="23" t="inlineStr">
        <is>
          <t>Sócio-Administrador (RFB partner)</t>
        </is>
      </c>
      <c r="K176" s="22" t="inlineStr">
        <is>
          <t>(24) 2103-9003</t>
        </is>
      </c>
      <c r="L176" s="22" t="inlineStr"/>
      <c r="M176" s="22" t="inlineStr"/>
      <c r="N176" s="22" t="inlineStr"/>
      <c r="O176" s="22" t="inlineStr"/>
      <c r="P176" s="22" t="inlineStr">
        <is>
          <t>MARLAN SCHERER HAMMES</t>
        </is>
      </c>
      <c r="Q176" s="22" t="inlineStr">
        <is>
          <t>Sócio-Administrador (RFB partner)</t>
        </is>
      </c>
      <c r="R176" s="22" t="inlineStr"/>
      <c r="S176" s="22" t="inlineStr"/>
      <c r="T176" s="22" t="inlineStr">
        <is>
          <t>DM = registered partner (RFB QSA); no Apollo match</t>
        </is>
      </c>
      <c r="U176" s="24" t="n">
        <v>723908</v>
      </c>
      <c r="V176" s="25" t="inlineStr">
        <is>
          <t>B</t>
        </is>
      </c>
      <c r="W176" s="26" t="inlineStr"/>
      <c r="X176" s="27" t="inlineStr"/>
      <c r="Y176" s="27" t="inlineStr"/>
      <c r="Z176" s="26">
        <f>IF(W176&lt;&gt;"",W176,IFERROR(VLOOKUP(V176,Assumptions!$A$8:$F$12,2,FALSE),0))</f>
        <v/>
      </c>
      <c r="AA176" s="28">
        <f>IF(V176="A",MAX(1,IF(X176&lt;&gt;"",X176,IFERROR(VLOOKUP(V176,Assumptions!$A$8:$F$12,3,FALSE),3))+IF(Y176&lt;&gt;"",Y176,IFERROR(VLOOKUP(V176,Assumptions!$A$8:$F$12,4,FALSE),8))/2-MAX(0,IF(AS176="",0,YEAR(TODAY())-AS176)-IFERROR(VLOOKUP(V176,Assumptions!$A$8:$F$12,5,FALSE),1.5))),IFERROR(VLOOKUP(V176,Assumptions!$A$8:$F$12,5,FALSE),2.5)+IF(X176&lt;&gt;"",X176,IFERROR(VLOOKUP(V176,Assumptions!$A$8:$F$12,3,FALSE),3))+IF(Y176&lt;&gt;"",Y176,IFERROR(VLOOKUP(V176,Assumptions!$A$8:$F$12,4,FALSE),8))/2)</f>
        <v/>
      </c>
      <c r="AB176" s="24">
        <f>U176*Z176/(1+Assumptions!$B$3)^AA176</f>
        <v/>
      </c>
      <c r="AC176" s="27">
        <f>IF(U176=0,"",ROUND(AB176/U176*100,1))</f>
        <v/>
      </c>
      <c r="AD176" s="29">
        <f>AB176*Assumptions!$B$4</f>
        <v/>
      </c>
      <c r="AE176" s="27">
        <f>IF(U176=0,"",ROUND(AD176/U176*100,1))</f>
        <v/>
      </c>
      <c r="AF176" s="29">
        <f>AB176-AD176</f>
        <v/>
      </c>
      <c r="AG176" s="27">
        <f>IF(U176=0,"",ROUND((AB176-AD176)/U176*100,1))</f>
        <v/>
      </c>
      <c r="AH176" s="35" t="inlineStr">
        <is>
          <t>PARTIAL — class III reconciled, other classes not</t>
        </is>
      </c>
      <c r="AI176" s="31" t="inlineStr">
        <is>
          <t>https://lrflideres.com.br/wp-content/plugins/download-attachments/includes/download.php?id=4023</t>
        </is>
      </c>
      <c r="AJ176" s="30" t="inlineStr">
        <is>
          <t>p4 r91</t>
        </is>
      </c>
      <c r="AK176" s="30" t="inlineStr">
        <is>
          <t>p4: R$ 723.908,00</t>
        </is>
      </c>
      <c r="AL176" s="30" t="inlineStr">
        <is>
          <t>Debtor list (art. 51)</t>
        </is>
      </c>
      <c r="AM176" s="30" t="inlineStr"/>
      <c r="AN176" s="30" t="inlineStr">
        <is>
          <t>NONE FOUND</t>
        </is>
      </c>
      <c r="AO176" s="32" t="inlineStr">
        <is>
          <t>0002484-82.2022.8.17.2001</t>
        </is>
      </c>
      <c r="AP176" s="32" t="inlineStr">
        <is>
          <t>TJPE</t>
        </is>
      </c>
      <c r="AQ176" s="32" t="inlineStr">
        <is>
          <t>Recuperação judicial</t>
        </is>
      </c>
      <c r="AR176" s="32" t="inlineStr">
        <is>
          <t>DataJud: no closure/falência movement</t>
        </is>
      </c>
      <c r="AS176" s="32" t="n">
        <v>2022</v>
      </c>
      <c r="AT176" s="32" t="inlineStr">
        <is>
          <t>live case, no plan document yet</t>
        </is>
      </c>
      <c r="AU176" s="32" t="inlineStr"/>
      <c r="AV176" s="32" t="inlineStr">
        <is>
          <t>printed on the list (read twice)</t>
        </is>
      </c>
      <c r="AW176" s="32" t="inlineStr"/>
      <c r="AX176" s="32" t="inlineStr">
        <is>
          <t>PETROPOLIS</t>
        </is>
      </c>
      <c r="AY176" s="32" t="inlineStr">
        <is>
          <t>RJ</t>
        </is>
      </c>
      <c r="AZ176" s="32" t="inlineStr">
        <is>
          <t>Fabricação de tecidos de malha</t>
        </is>
      </c>
      <c r="BA176" s="32" t="inlineStr">
        <is>
          <t>não ME/EPP</t>
        </is>
      </c>
      <c r="BB176" s="33" t="n">
        <v>1000000</v>
      </c>
      <c r="BC176" s="32" t="inlineStr">
        <is>
          <t>MID-MARKET</t>
        </is>
      </c>
      <c r="BD176" s="32" t="inlineStr">
        <is>
          <t>07790530</t>
        </is>
      </c>
      <c r="BE176" s="32" t="n">
        <v>1</v>
      </c>
      <c r="BF176" s="32" t="inlineStr">
        <is>
          <t>class III reconciled (doc partial)</t>
        </is>
      </c>
    </row>
    <row r="177">
      <c r="A177" s="17" t="inlineStr">
        <is>
          <t>LOROTTI EMPREENDIMENTOS IMOBILIARIOS LTDA</t>
        </is>
      </c>
      <c r="B177" s="18" t="n">
        <v>3159739.59</v>
      </c>
      <c r="C177" s="19" t="inlineStr">
        <is>
          <t>GRUPO 3E</t>
        </is>
      </c>
      <c r="D177" s="20" t="inlineStr">
        <is>
          <t>NEW</t>
        </is>
      </c>
      <c r="E177" s="21" t="inlineStr"/>
      <c r="F177" s="20" t="inlineStr"/>
      <c r="G177" s="21" t="inlineStr"/>
      <c r="H177" s="20" t="inlineStr"/>
      <c r="I177" s="22" t="inlineStr">
        <is>
          <t>ALINE RAZEM ABRAO</t>
        </is>
      </c>
      <c r="J177" s="23" t="inlineStr">
        <is>
          <t>Sócio-Administrador (RFB partner)</t>
        </is>
      </c>
      <c r="K177" s="22" t="inlineStr">
        <is>
          <t>(61) 3366-4288</t>
        </is>
      </c>
      <c r="L177" s="22" t="inlineStr"/>
      <c r="M177" s="22" t="inlineStr"/>
      <c r="N177" s="22" t="inlineStr"/>
      <c r="O177" s="22" t="inlineStr"/>
      <c r="P177" s="22" t="inlineStr">
        <is>
          <t>ANA PAOLA BRANDAO RAZEM ABRAO</t>
        </is>
      </c>
      <c r="Q177" s="22" t="inlineStr">
        <is>
          <t>Sócio-Administrador (RFB partner)</t>
        </is>
      </c>
      <c r="R177" s="22" t="inlineStr"/>
      <c r="S177" s="22" t="inlineStr"/>
      <c r="T177" s="22" t="inlineStr">
        <is>
          <t>DM = registered partner (RFB QSA); no Apollo match</t>
        </is>
      </c>
      <c r="U177" s="24" t="n">
        <v>3159739.59</v>
      </c>
      <c r="V177" s="25" t="inlineStr">
        <is>
          <t>B</t>
        </is>
      </c>
      <c r="W177" s="26" t="n">
        <v>0.12</v>
      </c>
      <c r="X177" s="27" t="n">
        <v>2</v>
      </c>
      <c r="Y177" s="27" t="n">
        <v>13</v>
      </c>
      <c r="Z177" s="26">
        <f>IF(W177&lt;&gt;"",W177,IFERROR(VLOOKUP(V177,Assumptions!$A$8:$F$12,2,FALSE),0))</f>
        <v/>
      </c>
      <c r="AA177" s="28">
        <f>IF(V177="A",MAX(1,IF(X177&lt;&gt;"",X177,IFERROR(VLOOKUP(V177,Assumptions!$A$8:$F$12,3,FALSE),3))+IF(Y177&lt;&gt;"",Y177,IFERROR(VLOOKUP(V177,Assumptions!$A$8:$F$12,4,FALSE),8))/2-MAX(0,IF(AS177="",0,YEAR(TODAY())-AS177)-IFERROR(VLOOKUP(V177,Assumptions!$A$8:$F$12,5,FALSE),1.5))),IFERROR(VLOOKUP(V177,Assumptions!$A$8:$F$12,5,FALSE),2.5)+IF(X177&lt;&gt;"",X177,IFERROR(VLOOKUP(V177,Assumptions!$A$8:$F$12,3,FALSE),3))+IF(Y177&lt;&gt;"",Y177,IFERROR(VLOOKUP(V177,Assumptions!$A$8:$F$12,4,FALSE),8))/2)</f>
        <v/>
      </c>
      <c r="AB177" s="24">
        <f>U177*Z177/(1+Assumptions!$B$3)^AA177</f>
        <v/>
      </c>
      <c r="AC177" s="27">
        <f>IF(U177=0,"",ROUND(AB177/U177*100,1))</f>
        <v/>
      </c>
      <c r="AD177" s="29">
        <f>AB177*Assumptions!$B$4</f>
        <v/>
      </c>
      <c r="AE177" s="27">
        <f>IF(U177=0,"",ROUND(AD177/U177*100,1))</f>
        <v/>
      </c>
      <c r="AF177" s="29">
        <f>AB177-AD177</f>
        <v/>
      </c>
      <c r="AG177" s="27">
        <f>IF(U177=0,"",ROUND((AB177-AD177)/U177*100,1))</f>
        <v/>
      </c>
      <c r="AH177" s="34" t="inlineStr">
        <is>
          <t>NO TOTALS — list prints none; check page</t>
        </is>
      </c>
      <c r="AI177" s="31" t="inlineStr">
        <is>
          <t>https://stenius.com.br/wp-content/uploads/2026/06/EDITAL-GRUPO-3E.pdf</t>
        </is>
      </c>
      <c r="AJ177" s="30" t="inlineStr">
        <is>
          <t>p15 r31</t>
        </is>
      </c>
      <c r="AK177" s="30" t="inlineStr">
        <is>
          <t>p15: R$ 3.159.739,59</t>
        </is>
      </c>
      <c r="AL177" s="30" t="inlineStr">
        <is>
          <t>Debtor list (art. 51)</t>
        </is>
      </c>
      <c r="AM177" s="30" t="inlineStr">
        <is>
          <t>2026-06-22</t>
        </is>
      </c>
      <c r="AN177" s="30" t="inlineStr">
        <is>
          <t>PLAN FILED (art. 53), not granted</t>
        </is>
      </c>
      <c r="AO177" s="32" t="inlineStr">
        <is>
          <t>5341375-33.2026.8.09.0049</t>
        </is>
      </c>
      <c r="AP177" s="32" t="inlineStr">
        <is>
          <t>TJGO</t>
        </is>
      </c>
      <c r="AQ177" s="32" t="inlineStr">
        <is>
          <t>Recuperação judicial</t>
        </is>
      </c>
      <c r="AR177" s="32" t="inlineStr">
        <is>
          <t>DataJud: no closure/falência movement</t>
        </is>
      </c>
      <c r="AS177" s="32" t="n">
        <v>2026</v>
      </c>
      <c r="AT177" s="32" t="inlineStr">
        <is>
          <t>plan filed (art. 53), not yet granted</t>
        </is>
      </c>
      <c r="AU177" s="32" t="inlineStr"/>
      <c r="AV177" s="32" t="inlineStr">
        <is>
          <t>printed on the list (read twice)</t>
        </is>
      </c>
      <c r="AW177" s="32" t="inlineStr">
        <is>
          <t>Plano de Recuperação Judicial Grupo 3E v2.0 (Métis), mov. 321, pp.24-25</t>
        </is>
      </c>
      <c r="AX177" s="32" t="inlineStr">
        <is>
          <t>BRASILIA</t>
        </is>
      </c>
      <c r="AY177" s="32" t="inlineStr">
        <is>
          <t>DF</t>
        </is>
      </c>
      <c r="AZ177" s="32" t="inlineStr">
        <is>
          <t>Construção de edifícios</t>
        </is>
      </c>
      <c r="BA177" s="32" t="inlineStr">
        <is>
          <t>não ME/EPP</t>
        </is>
      </c>
      <c r="BB177" s="33" t="n">
        <v>10000</v>
      </c>
      <c r="BC177" s="32" t="inlineStr">
        <is>
          <t>MID-MARKET</t>
        </is>
      </c>
      <c r="BD177" s="32" t="inlineStr">
        <is>
          <t>10505803</t>
        </is>
      </c>
      <c r="BE177" s="32" t="n">
        <v>1</v>
      </c>
      <c r="BF177" s="32" t="inlineStr">
        <is>
          <t>list prints no totals</t>
        </is>
      </c>
    </row>
    <row r="178">
      <c r="A178" s="17" t="inlineStr">
        <is>
          <t>CG LOCACAO DE GUINDASTES LTDA.</t>
        </is>
      </c>
      <c r="B178" s="18" t="n">
        <v>706167.48</v>
      </c>
      <c r="C178" s="19" t="inlineStr">
        <is>
          <t>GRUPO EGESA (Egesa Engenharia S.A. + 9 group companies; see group members)</t>
        </is>
      </c>
      <c r="D178" s="20" t="inlineStr">
        <is>
          <t>NEW</t>
        </is>
      </c>
      <c r="E178" s="21" t="inlineStr"/>
      <c r="F178" s="20" t="inlineStr"/>
      <c r="G178" s="21" t="inlineStr"/>
      <c r="H178" s="20" t="inlineStr"/>
      <c r="I178" s="22" t="inlineStr">
        <is>
          <t>ANDREA LOUCATELLI CARRAMENHA</t>
        </is>
      </c>
      <c r="J178" s="23" t="inlineStr">
        <is>
          <t>Sócio-Administrador (RFB partner)</t>
        </is>
      </c>
      <c r="K178" s="22" t="inlineStr">
        <is>
          <t>(11) 6916-3000</t>
        </is>
      </c>
      <c r="L178" s="22" t="inlineStr"/>
      <c r="M178" s="22" t="inlineStr"/>
      <c r="N178" s="22" t="inlineStr"/>
      <c r="O178" s="22" t="inlineStr"/>
      <c r="P178" s="22" t="inlineStr">
        <is>
          <t>LUIS APARECIDO LOUCATELLI</t>
        </is>
      </c>
      <c r="Q178" s="22" t="inlineStr">
        <is>
          <t>Sócio-Administrador (RFB partner)</t>
        </is>
      </c>
      <c r="R178" s="22" t="inlineStr"/>
      <c r="S178" s="22" t="inlineStr"/>
      <c r="T178" s="22" t="inlineStr">
        <is>
          <t>DM = registered partner (RFB QSA); no Apollo match</t>
        </is>
      </c>
      <c r="U178" s="24" t="n">
        <v>706167.48</v>
      </c>
      <c r="V178" s="25" t="inlineStr">
        <is>
          <t>B</t>
        </is>
      </c>
      <c r="W178" s="26" t="inlineStr"/>
      <c r="X178" s="27" t="inlineStr"/>
      <c r="Y178" s="27" t="inlineStr"/>
      <c r="Z178" s="26">
        <f>IF(W178&lt;&gt;"",W178,IFERROR(VLOOKUP(V178,Assumptions!$A$8:$F$12,2,FALSE),0))</f>
        <v/>
      </c>
      <c r="AA178" s="28">
        <f>IF(V178="A",MAX(1,IF(X178&lt;&gt;"",X178,IFERROR(VLOOKUP(V178,Assumptions!$A$8:$F$12,3,FALSE),3))+IF(Y178&lt;&gt;"",Y178,IFERROR(VLOOKUP(V178,Assumptions!$A$8:$F$12,4,FALSE),8))/2-MAX(0,IF(AS178="",0,YEAR(TODAY())-AS178)-IFERROR(VLOOKUP(V178,Assumptions!$A$8:$F$12,5,FALSE),1.5))),IFERROR(VLOOKUP(V178,Assumptions!$A$8:$F$12,5,FALSE),2.5)+IF(X178&lt;&gt;"",X178,IFERROR(VLOOKUP(V178,Assumptions!$A$8:$F$12,3,FALSE),3))+IF(Y178&lt;&gt;"",Y178,IFERROR(VLOOKUP(V178,Assumptions!$A$8:$F$12,4,FALSE),8))/2)</f>
        <v/>
      </c>
      <c r="AB178" s="24">
        <f>U178*Z178/(1+Assumptions!$B$3)^AA178</f>
        <v/>
      </c>
      <c r="AC178" s="27">
        <f>IF(U178=0,"",ROUND(AB178/U178*100,1))</f>
        <v/>
      </c>
      <c r="AD178" s="29">
        <f>AB178*Assumptions!$B$4</f>
        <v/>
      </c>
      <c r="AE178" s="27">
        <f>IF(U178=0,"",ROUND(AD178/U178*100,1))</f>
        <v/>
      </c>
      <c r="AF178" s="29">
        <f>AB178-AD178</f>
        <v/>
      </c>
      <c r="AG178" s="27">
        <f>IF(U178=0,"",ROUND((AB178-AD178)/U178*100,1))</f>
        <v/>
      </c>
      <c r="AH178" s="30" t="inlineStr">
        <is>
          <t>OK — totals reconciled</t>
        </is>
      </c>
      <c r="AI178" s="31" t="inlineStr">
        <is>
          <t>https://scalzilliaj.com.br/sgc/download.php?file=files/processo_documento/processo_documento09514021082025_1_.pdf&amp;nome=04 - Relação de credores das Recuperandas</t>
        </is>
      </c>
      <c r="AJ178" s="30" t="inlineStr">
        <is>
          <t>p64 r6</t>
        </is>
      </c>
      <c r="AK178" s="30" t="inlineStr">
        <is>
          <t>p64: R$ 706.167,48</t>
        </is>
      </c>
      <c r="AL178" s="30" t="inlineStr">
        <is>
          <t>Debtor list (art. 51)</t>
        </is>
      </c>
      <c r="AM178" s="30" t="inlineStr"/>
      <c r="AN178" s="30" t="inlineStr">
        <is>
          <t>NONE FOUND</t>
        </is>
      </c>
      <c r="AO178" s="32" t="inlineStr">
        <is>
          <t>5088952-81.2025.8.13.0024</t>
        </is>
      </c>
      <c r="AP178" s="32" t="inlineStr">
        <is>
          <t>TJMG</t>
        </is>
      </c>
      <c r="AQ178" s="32" t="inlineStr"/>
      <c r="AR178" s="32" t="inlineStr">
        <is>
          <t>DataJud: no closure/falência movement</t>
        </is>
      </c>
      <c r="AS178" s="32" t="n">
        <v>2025</v>
      </c>
      <c r="AT178" s="32" t="inlineStr">
        <is>
          <t>live case, no plan document yet; case no. from the portal record, not printed on the list</t>
        </is>
      </c>
      <c r="AU178" s="32" t="inlineStr"/>
      <c r="AV178" s="32" t="inlineStr">
        <is>
          <t>portal page title / URL — not printed on the list</t>
        </is>
      </c>
      <c r="AW178" s="32" t="inlineStr"/>
      <c r="AX178" s="32" t="inlineStr">
        <is>
          <t>SAO PAULO</t>
        </is>
      </c>
      <c r="AY178" s="32" t="inlineStr">
        <is>
          <t>SP</t>
        </is>
      </c>
      <c r="AZ178" s="32" t="inlineStr">
        <is>
          <t>Aluguel de máquinas e equipamentos para construção sem operador, exceto andaimes</t>
        </is>
      </c>
      <c r="BA178" s="32" t="inlineStr">
        <is>
          <t>não ME/EPP</t>
        </is>
      </c>
      <c r="BB178" s="33" t="n">
        <v>5000000</v>
      </c>
      <c r="BC178" s="32" t="inlineStr">
        <is>
          <t>MID-MARKET</t>
        </is>
      </c>
      <c r="BD178" s="32" t="inlineStr">
        <is>
          <t>08226396</t>
        </is>
      </c>
      <c r="BE178" s="32" t="n">
        <v>1</v>
      </c>
      <c r="BF178" s="32" t="inlineStr">
        <is>
          <t>case no. corrected by reader case no. from portal record</t>
        </is>
      </c>
    </row>
    <row r="179">
      <c r="A179" s="17" t="inlineStr">
        <is>
          <t>JRS EMPREENDIMENTOS IMOBILIARIOS LTDA</t>
        </is>
      </c>
      <c r="B179" s="18" t="n">
        <v>698356</v>
      </c>
      <c r="C179" s="19" t="inlineStr">
        <is>
          <t>Grupo Rech</t>
        </is>
      </c>
      <c r="D179" s="20" t="inlineStr">
        <is>
          <t>NEW</t>
        </is>
      </c>
      <c r="E179" s="21" t="inlineStr"/>
      <c r="F179" s="20" t="inlineStr"/>
      <c r="G179" s="21" t="inlineStr"/>
      <c r="H179" s="20" t="inlineStr"/>
      <c r="I179" s="22" t="inlineStr">
        <is>
          <t>Camila Leao</t>
        </is>
      </c>
      <c r="J179" s="22" t="inlineStr">
        <is>
          <t>Operations Manager</t>
        </is>
      </c>
      <c r="K179" s="22" t="inlineStr">
        <is>
          <t>(65) 3388-2518</t>
        </is>
      </c>
      <c r="L179" s="22" t="inlineStr">
        <is>
          <t>(65) 3388-2548</t>
        </is>
      </c>
      <c r="M179" s="22" t="inlineStr"/>
      <c r="N179" s="22" t="inlineStr"/>
      <c r="O179" s="22" t="inlineStr"/>
      <c r="P179" s="22" t="inlineStr">
        <is>
          <t>CLAUDIO CESAR CUSTODIO</t>
        </is>
      </c>
      <c r="Q179" s="22" t="inlineStr">
        <is>
          <t>Sócio-Administrador (RFB partner)</t>
        </is>
      </c>
      <c r="R179" s="22" t="inlineStr"/>
      <c r="S179" s="22" t="inlineStr"/>
      <c r="T179" s="22" t="inlineStr">
        <is>
          <t>DM: DM email unavailable; NOT A BANK (real estate); Apollo org JRS Skyline Empreendimentos Imobiliários (Extrema-MG) - VERIFY org matches MT creditor; no work email in Apollo for DM</t>
        </is>
      </c>
      <c r="U179" s="24" t="n">
        <v>698356</v>
      </c>
      <c r="V179" s="25" t="inlineStr">
        <is>
          <t>B</t>
        </is>
      </c>
      <c r="W179" s="26" t="inlineStr"/>
      <c r="X179" s="27" t="inlineStr"/>
      <c r="Y179" s="27" t="inlineStr"/>
      <c r="Z179" s="26">
        <f>IF(W179&lt;&gt;"",W179,IFERROR(VLOOKUP(V179,Assumptions!$A$8:$F$12,2,FALSE),0))</f>
        <v/>
      </c>
      <c r="AA179" s="28">
        <f>IF(V179="A",MAX(1,IF(X179&lt;&gt;"",X179,IFERROR(VLOOKUP(V179,Assumptions!$A$8:$F$12,3,FALSE),3))+IF(Y179&lt;&gt;"",Y179,IFERROR(VLOOKUP(V179,Assumptions!$A$8:$F$12,4,FALSE),8))/2-MAX(0,IF(AS179="",0,YEAR(TODAY())-AS179)-IFERROR(VLOOKUP(V179,Assumptions!$A$8:$F$12,5,FALSE),1.5))),IFERROR(VLOOKUP(V179,Assumptions!$A$8:$F$12,5,FALSE),2.5)+IF(X179&lt;&gt;"",X179,IFERROR(VLOOKUP(V179,Assumptions!$A$8:$F$12,3,FALSE),3))+IF(Y179&lt;&gt;"",Y179,IFERROR(VLOOKUP(V179,Assumptions!$A$8:$F$12,4,FALSE),8))/2)</f>
        <v/>
      </c>
      <c r="AB179" s="24">
        <f>U179*Z179/(1+Assumptions!$B$3)^AA179</f>
        <v/>
      </c>
      <c r="AC179" s="27">
        <f>IF(U179=0,"",ROUND(AB179/U179*100,1))</f>
        <v/>
      </c>
      <c r="AD179" s="29">
        <f>AB179*Assumptions!$B$4</f>
        <v/>
      </c>
      <c r="AE179" s="27">
        <f>IF(U179=0,"",ROUND(AD179/U179*100,1))</f>
        <v/>
      </c>
      <c r="AF179" s="29">
        <f>AB179-AD179</f>
        <v/>
      </c>
      <c r="AG179" s="27">
        <f>IF(U179=0,"",ROUND((AB179-AD179)/U179*100,1))</f>
        <v/>
      </c>
      <c r="AH179" s="36" t="inlineStr">
        <is>
          <t>CHECK — source is not a statutory creditor list</t>
        </is>
      </c>
      <c r="AI179" s="31" t="inlineStr">
        <is>
          <t>https://credibilita.com.br/wp-content/uploads/2025/09/Relacao-Credores-29.04.2026.pdf</t>
        </is>
      </c>
      <c r="AJ179" s="30" t="inlineStr">
        <is>
          <t>p1 r30</t>
        </is>
      </c>
      <c r="AK179" s="30" t="inlineStr">
        <is>
          <t>p1: R$ 698.356,00</t>
        </is>
      </c>
      <c r="AL179" s="30" t="inlineStr">
        <is>
          <t>Quorum list — NOT an art. 7/51 list</t>
        </is>
      </c>
      <c r="AM179" s="30" t="inlineStr"/>
      <c r="AN179" s="30" t="inlineStr">
        <is>
          <t>NONE FOUND</t>
        </is>
      </c>
      <c r="AO179" s="32" t="inlineStr">
        <is>
          <t>5057720-48.2025.8.24.0023</t>
        </is>
      </c>
      <c r="AP179" s="32" t="inlineStr">
        <is>
          <t>TJSC</t>
        </is>
      </c>
      <c r="AQ179" s="32" t="inlineStr"/>
      <c r="AR179" s="32" t="inlineStr">
        <is>
          <t>not in DataJud</t>
        </is>
      </c>
      <c r="AS179" s="32" t="n">
        <v>2025</v>
      </c>
      <c r="AT179" s="32" t="inlineStr">
        <is>
          <t>live case, no plan document yet; case no. from the portal record, not printed on the list</t>
        </is>
      </c>
      <c r="AU179" s="32" t="inlineStr"/>
      <c r="AV179" s="32" t="inlineStr">
        <is>
          <t>portal page title / URL — not printed on the list</t>
        </is>
      </c>
      <c r="AW179" s="32" t="inlineStr"/>
      <c r="AX179" s="32" t="inlineStr">
        <is>
          <t>VARZEA GRANDE</t>
        </is>
      </c>
      <c r="AY179" s="32" t="inlineStr">
        <is>
          <t>MT</t>
        </is>
      </c>
      <c r="AZ179" s="32" t="inlineStr">
        <is>
          <t>Outras sociedades de participação, exceto holdings</t>
        </is>
      </c>
      <c r="BA179" s="32" t="inlineStr">
        <is>
          <t>não ME/EPP</t>
        </is>
      </c>
      <c r="BB179" s="33" t="n">
        <v>23907388</v>
      </c>
      <c r="BC179" s="32" t="inlineStr">
        <is>
          <t>MID-MARKET</t>
        </is>
      </c>
      <c r="BD179" s="32" t="inlineStr">
        <is>
          <t>12107667</t>
        </is>
      </c>
      <c r="BE179" s="32" t="n">
        <v>1</v>
      </c>
      <c r="BF179" s="32" t="inlineStr">
        <is>
          <t>list prints no totals case no. corrected by reader</t>
        </is>
      </c>
    </row>
    <row r="180">
      <c r="A180" s="17" t="inlineStr">
        <is>
          <t>GE HEALTHCARE DO BRASIL COMERCIO E SERVICOS PARA EQUIPAMENTOS MEDICO-HOSPITALARES LTDA</t>
        </is>
      </c>
      <c r="B180" s="18" t="n">
        <v>693357.04</v>
      </c>
      <c r="C180" s="19" t="inlineStr">
        <is>
          <t>ASSOCIAÇÃO DE CARIDADE SANTA CASA DO RIO GRANDE</t>
        </is>
      </c>
      <c r="D180" s="20" t="inlineStr">
        <is>
          <t>NEW</t>
        </is>
      </c>
      <c r="E180" s="21" t="inlineStr"/>
      <c r="F180" s="20" t="inlineStr"/>
      <c r="G180" s="21" t="inlineStr"/>
      <c r="H180" s="20" t="inlineStr"/>
      <c r="I180" s="22" t="inlineStr">
        <is>
          <t>ANTONIO SABRE NASSER FILHO</t>
        </is>
      </c>
      <c r="J180" s="23" t="inlineStr">
        <is>
          <t>Administrador (RFB partner)</t>
        </is>
      </c>
      <c r="K180" s="22" t="inlineStr">
        <is>
          <t>(11) 3067-8181</t>
        </is>
      </c>
      <c r="L180" s="22" t="inlineStr">
        <is>
          <t>(11) 3067-8095</t>
        </is>
      </c>
      <c r="M180" s="22" t="inlineStr"/>
      <c r="N180" s="22" t="inlineStr"/>
      <c r="O180" s="22" t="inlineStr"/>
      <c r="P180" s="22" t="inlineStr">
        <is>
          <t>CAROLINE BURRIEL ZAMPOLLO</t>
        </is>
      </c>
      <c r="Q180" s="22" t="inlineStr">
        <is>
          <t>Administrador (RFB partner)</t>
        </is>
      </c>
      <c r="R180" s="22" t="inlineStr"/>
      <c r="S180" s="22" t="inlineStr"/>
      <c r="T180" s="22" t="inlineStr">
        <is>
          <t>DM = registered partner (RFB QSA); no Apollo match</t>
        </is>
      </c>
      <c r="U180" s="24" t="n">
        <v>693357.04</v>
      </c>
      <c r="V180" s="25" t="inlineStr">
        <is>
          <t>B</t>
        </is>
      </c>
      <c r="W180" s="26" t="inlineStr"/>
      <c r="X180" s="27" t="inlineStr"/>
      <c r="Y180" s="27" t="inlineStr"/>
      <c r="Z180" s="26">
        <f>IF(W180&lt;&gt;"",W180,IFERROR(VLOOKUP(V180,Assumptions!$A$8:$F$12,2,FALSE),0))</f>
        <v/>
      </c>
      <c r="AA180" s="28">
        <f>IF(V180="A",MAX(1,IF(X180&lt;&gt;"",X180,IFERROR(VLOOKUP(V180,Assumptions!$A$8:$F$12,3,FALSE),3))+IF(Y180&lt;&gt;"",Y180,IFERROR(VLOOKUP(V180,Assumptions!$A$8:$F$12,4,FALSE),8))/2-MAX(0,IF(AS180="",0,YEAR(TODAY())-AS180)-IFERROR(VLOOKUP(V180,Assumptions!$A$8:$F$12,5,FALSE),1.5))),IFERROR(VLOOKUP(V180,Assumptions!$A$8:$F$12,5,FALSE),2.5)+IF(X180&lt;&gt;"",X180,IFERROR(VLOOKUP(V180,Assumptions!$A$8:$F$12,3,FALSE),3))+IF(Y180&lt;&gt;"",Y180,IFERROR(VLOOKUP(V180,Assumptions!$A$8:$F$12,4,FALSE),8))/2)</f>
        <v/>
      </c>
      <c r="AB180" s="24">
        <f>U180*Z180/(1+Assumptions!$B$3)^AA180</f>
        <v/>
      </c>
      <c r="AC180" s="27">
        <f>IF(U180=0,"",ROUND(AB180/U180*100,1))</f>
        <v/>
      </c>
      <c r="AD180" s="29">
        <f>AB180*Assumptions!$B$4</f>
        <v/>
      </c>
      <c r="AE180" s="27">
        <f>IF(U180=0,"",ROUND(AD180/U180*100,1))</f>
        <v/>
      </c>
      <c r="AF180" s="29">
        <f>AB180-AD180</f>
        <v/>
      </c>
      <c r="AG180" s="27">
        <f>IF(U180=0,"",ROUND((AB180-AD180)/U180*100,1))</f>
        <v/>
      </c>
      <c r="AH180" s="34" t="inlineStr">
        <is>
          <t>NO TOTALS — list prints none; check page</t>
        </is>
      </c>
      <c r="AI180" s="31" t="inlineStr">
        <is>
          <t>https://scalzilliaj.com.br/sgc/download.php?file=files/processo_documento/processo_documento09120721032023_1_.pdf&amp;nome=15 - Edital do art. 7º, §2º e 53 da Lei 11.101/2005 (segunda lista de credores e recebimento do plano))</t>
        </is>
      </c>
      <c r="AJ180" s="30" t="inlineStr">
        <is>
          <t>p27 r39</t>
        </is>
      </c>
      <c r="AK180" s="30" t="inlineStr">
        <is>
          <t>p27: R$ 693.357,04</t>
        </is>
      </c>
      <c r="AL180" s="30" t="inlineStr">
        <is>
          <t>AJ list (art. 7 §2)</t>
        </is>
      </c>
      <c r="AM180" s="30" t="inlineStr">
        <is>
          <t>2023-03-21</t>
        </is>
      </c>
      <c r="AN180" s="30" t="inlineStr">
        <is>
          <t>NONE FOUND</t>
        </is>
      </c>
      <c r="AO180" s="32" t="inlineStr">
        <is>
          <t>5012306-16.2022.8.21.0023</t>
        </is>
      </c>
      <c r="AP180" s="32" t="inlineStr">
        <is>
          <t>TJRS</t>
        </is>
      </c>
      <c r="AQ180" s="32" t="inlineStr">
        <is>
          <t>Recuperação judicial</t>
        </is>
      </c>
      <c r="AR180" s="32" t="inlineStr">
        <is>
          <t>DataJud: no closure/falência movement</t>
        </is>
      </c>
      <c r="AS180" s="32" t="n">
        <v>2022</v>
      </c>
      <c r="AT180" s="32" t="inlineStr">
        <is>
          <t>live case, no plan document yet; atypical debtor (associação/clube/hospital/produtor rural): admissibility or claim subjection may be contested</t>
        </is>
      </c>
      <c r="AU180" s="32" t="inlineStr"/>
      <c r="AV180" s="32" t="inlineStr">
        <is>
          <t>printed on the list (read twice)</t>
        </is>
      </c>
      <c r="AW180" s="32" t="inlineStr"/>
      <c r="AX180" s="32" t="inlineStr">
        <is>
          <t>SAO PAULO</t>
        </is>
      </c>
      <c r="AY180" s="32" t="inlineStr">
        <is>
          <t>SP</t>
        </is>
      </c>
      <c r="AZ180" s="32" t="inlineStr">
        <is>
          <t>Comércio atacadista de máquinas, aparelhos e equipamentos para uso odonto-médico-hospitalar; partes e peças</t>
        </is>
      </c>
      <c r="BA180" s="32" t="inlineStr">
        <is>
          <t>não ME/EPP</t>
        </is>
      </c>
      <c r="BB180" s="33" t="n">
        <v>1016689700</v>
      </c>
      <c r="BC180" s="32" t="inlineStr">
        <is>
          <t>LARGE CORP</t>
        </is>
      </c>
      <c r="BD180" s="32" t="inlineStr">
        <is>
          <t>00029372</t>
        </is>
      </c>
      <c r="BE180" s="32" t="n">
        <v>1</v>
      </c>
      <c r="BF180" s="32" t="inlineStr">
        <is>
          <t>list prints no totals</t>
        </is>
      </c>
    </row>
    <row r="181">
      <c r="A181" s="17" t="inlineStr">
        <is>
          <t>CAMPO BOM INSUMOS AGRICOLAS LTDA</t>
        </is>
      </c>
      <c r="B181" s="18" t="n">
        <v>691120</v>
      </c>
      <c r="C181" s="19" t="inlineStr">
        <is>
          <t>GRUPO FERRARI (ALEX, ALEXANDRE , ANDRIELLE FERRARI MANTELLI, ARCIR LUIS, ERICA SANTOS ASSIS LIMA, FERNANDO MANTELLI, IDELSI, TALITA LEITE SILVA, AGROPECUARIA FERRARI LTDA E FERRARI ARMAZENS GERAIS)</t>
        </is>
      </c>
      <c r="D181" s="20" t="inlineStr">
        <is>
          <t>NEW</t>
        </is>
      </c>
      <c r="E181" s="21" t="inlineStr"/>
      <c r="F181" s="20" t="inlineStr"/>
      <c r="G181" s="21" t="inlineStr"/>
      <c r="H181" s="20" t="inlineStr"/>
      <c r="I181" s="22" t="inlineStr">
        <is>
          <t>ANDREIA PATRICIA MAGGIONI MOURA</t>
        </is>
      </c>
      <c r="J181" s="23" t="inlineStr">
        <is>
          <t>Sócio-Administrador (RFB partner)</t>
        </is>
      </c>
      <c r="K181" s="22" t="inlineStr">
        <is>
          <t>(64) 3636-2178</t>
        </is>
      </c>
      <c r="L181" s="22" t="inlineStr"/>
      <c r="M181" s="22" t="inlineStr"/>
      <c r="N181" s="22" t="inlineStr"/>
      <c r="O181" s="22" t="inlineStr"/>
      <c r="P181" s="22" t="inlineStr">
        <is>
          <t>FAGNER DE MOURA COSTA</t>
        </is>
      </c>
      <c r="Q181" s="22" t="inlineStr">
        <is>
          <t>Sócio-Administrador (RFB partner)</t>
        </is>
      </c>
      <c r="R181" s="22" t="inlineStr"/>
      <c r="S181" s="22" t="inlineStr"/>
      <c r="T181" s="22" t="inlineStr">
        <is>
          <t>DM = registered partner (RFB QSA); no Apollo match</t>
        </is>
      </c>
      <c r="U181" s="24" t="n">
        <v>691120</v>
      </c>
      <c r="V181" s="25" t="inlineStr">
        <is>
          <t>B</t>
        </is>
      </c>
      <c r="W181" s="26" t="inlineStr"/>
      <c r="X181" s="27" t="inlineStr"/>
      <c r="Y181" s="27" t="inlineStr"/>
      <c r="Z181" s="26">
        <f>IF(W181&lt;&gt;"",W181,IFERROR(VLOOKUP(V181,Assumptions!$A$8:$F$12,2,FALSE),0))</f>
        <v/>
      </c>
      <c r="AA181" s="28">
        <f>IF(V181="A",MAX(1,IF(X181&lt;&gt;"",X181,IFERROR(VLOOKUP(V181,Assumptions!$A$8:$F$12,3,FALSE),3))+IF(Y181&lt;&gt;"",Y181,IFERROR(VLOOKUP(V181,Assumptions!$A$8:$F$12,4,FALSE),8))/2-MAX(0,IF(AS181="",0,YEAR(TODAY())-AS181)-IFERROR(VLOOKUP(V181,Assumptions!$A$8:$F$12,5,FALSE),1.5))),IFERROR(VLOOKUP(V181,Assumptions!$A$8:$F$12,5,FALSE),2.5)+IF(X181&lt;&gt;"",X181,IFERROR(VLOOKUP(V181,Assumptions!$A$8:$F$12,3,FALSE),3))+IF(Y181&lt;&gt;"",Y181,IFERROR(VLOOKUP(V181,Assumptions!$A$8:$F$12,4,FALSE),8))/2)</f>
        <v/>
      </c>
      <c r="AB181" s="24">
        <f>U181*Z181/(1+Assumptions!$B$3)^AA181</f>
        <v/>
      </c>
      <c r="AC181" s="27">
        <f>IF(U181=0,"",ROUND(AB181/U181*100,1))</f>
        <v/>
      </c>
      <c r="AD181" s="29">
        <f>AB181*Assumptions!$B$4</f>
        <v/>
      </c>
      <c r="AE181" s="27">
        <f>IF(U181=0,"",ROUND(AD181/U181*100,1))</f>
        <v/>
      </c>
      <c r="AF181" s="29">
        <f>AB181-AD181</f>
        <v/>
      </c>
      <c r="AG181" s="27">
        <f>IF(U181=0,"",ROUND((AB181-AD181)/U181*100,1))</f>
        <v/>
      </c>
      <c r="AH181" s="34" t="inlineStr">
        <is>
          <t>NO TOTALS — list prints none; check page</t>
        </is>
      </c>
      <c r="AI181" s="31" t="inlineStr">
        <is>
          <t>https://scalzilliaj.com.br/sgc/download.php?file=files/processo_documento/processo_documento11421222052026_1_.pdf&amp;nome=08. Lista de credores do edital do art. 52, §1º da LREF</t>
        </is>
      </c>
      <c r="AJ181" s="30" t="inlineStr">
        <is>
          <t>p2 r2</t>
        </is>
      </c>
      <c r="AK181" s="30" t="inlineStr">
        <is>
          <t>p2: R$ 691.120,00</t>
        </is>
      </c>
      <c r="AL181" s="30" t="inlineStr">
        <is>
          <t>Unclassified list</t>
        </is>
      </c>
      <c r="AM181" s="30" t="inlineStr"/>
      <c r="AN181" s="30" t="inlineStr">
        <is>
          <t>NONE FOUND</t>
        </is>
      </c>
      <c r="AO181" s="32" t="inlineStr">
        <is>
          <t>5011369-81.2026.8.09.0093</t>
        </is>
      </c>
      <c r="AP181" s="32" t="inlineStr">
        <is>
          <t>TJGO</t>
        </is>
      </c>
      <c r="AQ181" s="32" t="inlineStr"/>
      <c r="AR181" s="32" t="inlineStr">
        <is>
          <t>DataJud: no closure/falência movement</t>
        </is>
      </c>
      <c r="AS181" s="32" t="n">
        <v>2026</v>
      </c>
      <c r="AT181" s="32" t="inlineStr">
        <is>
          <t>live case, no plan document yet; case no. from the portal record, not printed on the list</t>
        </is>
      </c>
      <c r="AU181" s="32" t="inlineStr"/>
      <c r="AV181" s="32" t="inlineStr">
        <is>
          <t>portal page title / URL — not printed on the list</t>
        </is>
      </c>
      <c r="AW181" s="32" t="inlineStr"/>
      <c r="AX181" s="32" t="inlineStr">
        <is>
          <t>JATAI</t>
        </is>
      </c>
      <c r="AY181" s="32" t="inlineStr">
        <is>
          <t>GO</t>
        </is>
      </c>
      <c r="AZ181" s="32" t="inlineStr">
        <is>
          <t>Comércio atacadista de defensivos agrícolas, adubos, fertilizantes e corretivos do solo</t>
        </is>
      </c>
      <c r="BA181" s="32" t="inlineStr">
        <is>
          <t>não ME/EPP</t>
        </is>
      </c>
      <c r="BB181" s="33" t="n">
        <v>500000</v>
      </c>
      <c r="BC181" s="32" t="inlineStr">
        <is>
          <t>MID-MARKET</t>
        </is>
      </c>
      <c r="BD181" s="32" t="inlineStr">
        <is>
          <t>08078241</t>
        </is>
      </c>
      <c r="BE181" s="32" t="n">
        <v>1</v>
      </c>
      <c r="BF181" s="32" t="inlineStr">
        <is>
          <t>list prints no totals</t>
        </is>
      </c>
    </row>
    <row r="182">
      <c r="A182" s="17" t="inlineStr">
        <is>
          <t>NUTRIEN SOLUCOES AGRICOLAS LTDA</t>
        </is>
      </c>
      <c r="B182" s="18" t="n">
        <v>3009813.42</v>
      </c>
      <c r="C182" s="19" t="inlineStr">
        <is>
          <t>GRUPO 3E</t>
        </is>
      </c>
      <c r="D182" s="20" t="inlineStr">
        <is>
          <t>NEW</t>
        </is>
      </c>
      <c r="E182" s="21" t="inlineStr"/>
      <c r="F182" s="20" t="inlineStr"/>
      <c r="G182" s="21" t="inlineStr"/>
      <c r="H182" s="20" t="inlineStr"/>
      <c r="I182" s="22" t="inlineStr">
        <is>
          <t>Thiago Costa</t>
        </is>
      </c>
      <c r="J182" s="22" t="inlineStr">
        <is>
          <t>Gerente Contas a Receber e Centro de Serviços Compartilhados</t>
        </is>
      </c>
      <c r="K182" s="22" t="inlineStr">
        <is>
          <t>(11) 5400-0021</t>
        </is>
      </c>
      <c r="L182" s="22" t="inlineStr"/>
      <c r="M182" s="22" t="inlineStr"/>
      <c r="N182" s="22" t="inlineStr">
        <is>
          <t>thiago.costa@nutrien.com</t>
        </is>
      </c>
      <c r="O182" s="22" t="inlineStr">
        <is>
          <t>verified</t>
        </is>
      </c>
      <c r="P182" s="22" t="inlineStr">
        <is>
          <t>Emerson Freitas</t>
        </is>
      </c>
      <c r="Q182" s="22" t="inlineStr">
        <is>
          <t>Gerente de Tesouraria | Tesouraria Estratégica</t>
        </is>
      </c>
      <c r="R182" s="22" t="inlineStr"/>
      <c r="S182" s="22" t="inlineStr">
        <is>
          <t>emerson.freitas@nutrien.com</t>
        </is>
      </c>
      <c r="T182" s="22" t="inlineStr">
        <is>
          <t>DM: has_email, phone Yes; BACKUP: backup, has_email, phone Yes</t>
        </is>
      </c>
      <c r="U182" s="24" t="n">
        <v>3009813.42</v>
      </c>
      <c r="V182" s="25" t="inlineStr">
        <is>
          <t>B</t>
        </is>
      </c>
      <c r="W182" s="26" t="n">
        <v>0.12</v>
      </c>
      <c r="X182" s="27" t="n">
        <v>2</v>
      </c>
      <c r="Y182" s="27" t="n">
        <v>13</v>
      </c>
      <c r="Z182" s="26">
        <f>IF(W182&lt;&gt;"",W182,IFERROR(VLOOKUP(V182,Assumptions!$A$8:$F$12,2,FALSE),0))</f>
        <v/>
      </c>
      <c r="AA182" s="28">
        <f>IF(V182="A",MAX(1,IF(X182&lt;&gt;"",X182,IFERROR(VLOOKUP(V182,Assumptions!$A$8:$F$12,3,FALSE),3))+IF(Y182&lt;&gt;"",Y182,IFERROR(VLOOKUP(V182,Assumptions!$A$8:$F$12,4,FALSE),8))/2-MAX(0,IF(AS182="",0,YEAR(TODAY())-AS182)-IFERROR(VLOOKUP(V182,Assumptions!$A$8:$F$12,5,FALSE),1.5))),IFERROR(VLOOKUP(V182,Assumptions!$A$8:$F$12,5,FALSE),2.5)+IF(X182&lt;&gt;"",X182,IFERROR(VLOOKUP(V182,Assumptions!$A$8:$F$12,3,FALSE),3))+IF(Y182&lt;&gt;"",Y182,IFERROR(VLOOKUP(V182,Assumptions!$A$8:$F$12,4,FALSE),8))/2)</f>
        <v/>
      </c>
      <c r="AB182" s="24">
        <f>U182*Z182/(1+Assumptions!$B$3)^AA182</f>
        <v/>
      </c>
      <c r="AC182" s="27">
        <f>IF(U182=0,"",ROUND(AB182/U182*100,1))</f>
        <v/>
      </c>
      <c r="AD182" s="29">
        <f>AB182*Assumptions!$B$4</f>
        <v/>
      </c>
      <c r="AE182" s="27">
        <f>IF(U182=0,"",ROUND(AD182/U182*100,1))</f>
        <v/>
      </c>
      <c r="AF182" s="29">
        <f>AB182-AD182</f>
        <v/>
      </c>
      <c r="AG182" s="27">
        <f>IF(U182=0,"",ROUND((AB182-AD182)/U182*100,1))</f>
        <v/>
      </c>
      <c r="AH182" s="34" t="inlineStr">
        <is>
          <t>NO TOTALS — list prints none; check page</t>
        </is>
      </c>
      <c r="AI182" s="31" t="inlineStr">
        <is>
          <t>https://stenius.com.br/wp-content/uploads/2026/06/EDITAL-GRUPO-3E.pdf</t>
        </is>
      </c>
      <c r="AJ182" s="30" t="inlineStr">
        <is>
          <t>p16 r30</t>
        </is>
      </c>
      <c r="AK182" s="30" t="inlineStr">
        <is>
          <t>p16: R$ 3.009.813,42</t>
        </is>
      </c>
      <c r="AL182" s="30" t="inlineStr">
        <is>
          <t>Debtor list (art. 51)</t>
        </is>
      </c>
      <c r="AM182" s="30" t="inlineStr">
        <is>
          <t>2026-06-22</t>
        </is>
      </c>
      <c r="AN182" s="30" t="inlineStr">
        <is>
          <t>PLAN FILED (art. 53), not granted</t>
        </is>
      </c>
      <c r="AO182" s="32" t="inlineStr">
        <is>
          <t>5341375-33.2026.8.09.0049</t>
        </is>
      </c>
      <c r="AP182" s="32" t="inlineStr">
        <is>
          <t>TJGO</t>
        </is>
      </c>
      <c r="AQ182" s="32" t="inlineStr">
        <is>
          <t>Recuperação judicial</t>
        </is>
      </c>
      <c r="AR182" s="32" t="inlineStr">
        <is>
          <t>DataJud: no closure/falência movement</t>
        </is>
      </c>
      <c r="AS182" s="32" t="n">
        <v>2026</v>
      </c>
      <c r="AT182" s="32" t="inlineStr">
        <is>
          <t>plan filed (art. 53), not yet granted</t>
        </is>
      </c>
      <c r="AU182" s="32" t="inlineStr"/>
      <c r="AV182" s="32" t="inlineStr">
        <is>
          <t>printed on the list (read twice)</t>
        </is>
      </c>
      <c r="AW182" s="32" t="inlineStr">
        <is>
          <t>Plano de Recuperação Judicial Grupo 3E v2.0 (Métis), mov. 321, pp.24-25</t>
        </is>
      </c>
      <c r="AX182" s="32" t="inlineStr">
        <is>
          <t>SAO PAULO</t>
        </is>
      </c>
      <c r="AY182" s="32" t="inlineStr">
        <is>
          <t>SP</t>
        </is>
      </c>
      <c r="AZ182" s="32" t="inlineStr">
        <is>
          <t>Comércio atacadista de defensivos agrícolas, adubos, fertilizantes e corretivos do solo</t>
        </is>
      </c>
      <c r="BA182" s="32" t="inlineStr">
        <is>
          <t>não ME/EPP</t>
        </is>
      </c>
      <c r="BB182" s="33" t="n">
        <v>12060844000</v>
      </c>
      <c r="BC182" s="32" t="inlineStr">
        <is>
          <t>LARGE CORP</t>
        </is>
      </c>
      <c r="BD182" s="32" t="inlineStr">
        <is>
          <t>88305859</t>
        </is>
      </c>
      <c r="BE182" s="32" t="n">
        <v>1</v>
      </c>
      <c r="BF182" s="32" t="inlineStr">
        <is>
          <t>list prints no totals</t>
        </is>
      </c>
    </row>
    <row r="183">
      <c r="A183" s="17" t="inlineStr">
        <is>
          <t>COOPERATIVA UNIMED CENTRAL DE COOPERATIVAS UNIMED DO RIO GRANDE DO SUL LTDA</t>
        </is>
      </c>
      <c r="B183" s="18" t="n">
        <v>686964.09</v>
      </c>
      <c r="C183" s="19" t="inlineStr">
        <is>
          <t>ASSOCIAÇÃO DE CARIDADE SANTA CASA DO RIO GRANDE</t>
        </is>
      </c>
      <c r="D183" s="20" t="inlineStr">
        <is>
          <t>NEW</t>
        </is>
      </c>
      <c r="E183" s="21" t="inlineStr"/>
      <c r="F183" s="20" t="inlineStr"/>
      <c r="G183" s="21" t="inlineStr"/>
      <c r="H183" s="20" t="inlineStr"/>
      <c r="I183" s="22" t="inlineStr">
        <is>
          <t>JORGE GUILHERME ROBINSON</t>
        </is>
      </c>
      <c r="J183" s="23" t="inlineStr">
        <is>
          <t>Presidente (RFB partner)</t>
        </is>
      </c>
      <c r="K183" s="22" t="inlineStr">
        <is>
          <t>(51) 3462-6400</t>
        </is>
      </c>
      <c r="L183" s="22" t="inlineStr">
        <is>
          <t>(51) 3462-6428</t>
        </is>
      </c>
      <c r="M183" s="22" t="inlineStr"/>
      <c r="N183" s="22" t="inlineStr"/>
      <c r="O183" s="22" t="inlineStr"/>
      <c r="P183" s="22" t="inlineStr">
        <is>
          <t>HENDLEY RESCHKE</t>
        </is>
      </c>
      <c r="Q183" s="22" t="inlineStr">
        <is>
          <t>Administrador (RFB partner)</t>
        </is>
      </c>
      <c r="R183" s="22" t="inlineStr"/>
      <c r="S183" s="22" t="inlineStr"/>
      <c r="T183" s="22" t="inlineStr">
        <is>
          <t>DM = registered partner (RFB QSA); no Apollo match</t>
        </is>
      </c>
      <c r="U183" s="24" t="n">
        <v>686964.09</v>
      </c>
      <c r="V183" s="25" t="inlineStr">
        <is>
          <t>B</t>
        </is>
      </c>
      <c r="W183" s="26" t="inlineStr"/>
      <c r="X183" s="27" t="inlineStr"/>
      <c r="Y183" s="27" t="inlineStr"/>
      <c r="Z183" s="26">
        <f>IF(W183&lt;&gt;"",W183,IFERROR(VLOOKUP(V183,Assumptions!$A$8:$F$12,2,FALSE),0))</f>
        <v/>
      </c>
      <c r="AA183" s="28">
        <f>IF(V183="A",MAX(1,IF(X183&lt;&gt;"",X183,IFERROR(VLOOKUP(V183,Assumptions!$A$8:$F$12,3,FALSE),3))+IF(Y183&lt;&gt;"",Y183,IFERROR(VLOOKUP(V183,Assumptions!$A$8:$F$12,4,FALSE),8))/2-MAX(0,IF(AS183="",0,YEAR(TODAY())-AS183)-IFERROR(VLOOKUP(V183,Assumptions!$A$8:$F$12,5,FALSE),1.5))),IFERROR(VLOOKUP(V183,Assumptions!$A$8:$F$12,5,FALSE),2.5)+IF(X183&lt;&gt;"",X183,IFERROR(VLOOKUP(V183,Assumptions!$A$8:$F$12,3,FALSE),3))+IF(Y183&lt;&gt;"",Y183,IFERROR(VLOOKUP(V183,Assumptions!$A$8:$F$12,4,FALSE),8))/2)</f>
        <v/>
      </c>
      <c r="AB183" s="24">
        <f>U183*Z183/(1+Assumptions!$B$3)^AA183</f>
        <v/>
      </c>
      <c r="AC183" s="27">
        <f>IF(U183=0,"",ROUND(AB183/U183*100,1))</f>
        <v/>
      </c>
      <c r="AD183" s="29">
        <f>AB183*Assumptions!$B$4</f>
        <v/>
      </c>
      <c r="AE183" s="27">
        <f>IF(U183=0,"",ROUND(AD183/U183*100,1))</f>
        <v/>
      </c>
      <c r="AF183" s="29">
        <f>AB183-AD183</f>
        <v/>
      </c>
      <c r="AG183" s="27">
        <f>IF(U183=0,"",ROUND((AB183-AD183)/U183*100,1))</f>
        <v/>
      </c>
      <c r="AH183" s="34" t="inlineStr">
        <is>
          <t>NO TOTALS — list prints none; check page</t>
        </is>
      </c>
      <c r="AI183" s="31" t="inlineStr">
        <is>
          <t>https://scalzilliaj.com.br/sgc/download.php?file=files/processo_documento/processo_documento09120721032023_1_.pdf&amp;nome=15 - Edital do art. 7º, §2º e 53 da Lei 11.101/2005 (segunda lista de credores e recebimento do plano))</t>
        </is>
      </c>
      <c r="AJ183" s="30" t="inlineStr">
        <is>
          <t>p26 r48</t>
        </is>
      </c>
      <c r="AK183" s="30" t="inlineStr">
        <is>
          <t>p26: R$ 686.964,09</t>
        </is>
      </c>
      <c r="AL183" s="30" t="inlineStr">
        <is>
          <t>AJ list (art. 7 §2)</t>
        </is>
      </c>
      <c r="AM183" s="30" t="inlineStr">
        <is>
          <t>2023-03-21</t>
        </is>
      </c>
      <c r="AN183" s="30" t="inlineStr">
        <is>
          <t>NONE FOUND</t>
        </is>
      </c>
      <c r="AO183" s="32" t="inlineStr">
        <is>
          <t>5012306-16.2022.8.21.0023</t>
        </is>
      </c>
      <c r="AP183" s="32" t="inlineStr">
        <is>
          <t>TJRS</t>
        </is>
      </c>
      <c r="AQ183" s="32" t="inlineStr">
        <is>
          <t>Recuperação judicial</t>
        </is>
      </c>
      <c r="AR183" s="32" t="inlineStr">
        <is>
          <t>DataJud: no closure/falência movement</t>
        </is>
      </c>
      <c r="AS183" s="32" t="n">
        <v>2022</v>
      </c>
      <c r="AT183" s="32" t="inlineStr">
        <is>
          <t>live case, no plan document yet; atypical debtor (associação/clube/hospital/produtor rural): admissibility or claim subjection may be contested</t>
        </is>
      </c>
      <c r="AU183" s="32" t="inlineStr"/>
      <c r="AV183" s="32" t="inlineStr">
        <is>
          <t>printed on the list (read twice)</t>
        </is>
      </c>
      <c r="AW183" s="32" t="inlineStr"/>
      <c r="AX183" s="32" t="inlineStr">
        <is>
          <t>CANOAS</t>
        </is>
      </c>
      <c r="AY183" s="32" t="inlineStr">
        <is>
          <t>RS</t>
        </is>
      </c>
      <c r="AZ183" s="32" t="inlineStr">
        <is>
          <t>Comércio atacadista de instrumentos e materiais para uso médico, cirúrgico, hospitalar e de laboratórios</t>
        </is>
      </c>
      <c r="BA183" s="32" t="inlineStr">
        <is>
          <t>não ME/EPP</t>
        </is>
      </c>
      <c r="BB183" s="33" t="inlineStr"/>
      <c r="BC183" s="32" t="inlineStr">
        <is>
          <t>UNKNOWN</t>
        </is>
      </c>
      <c r="BD183" s="32" t="inlineStr">
        <is>
          <t>02494715</t>
        </is>
      </c>
      <c r="BE183" s="32" t="n">
        <v>1</v>
      </c>
      <c r="BF183" s="32" t="inlineStr">
        <is>
          <t>list prints no totals</t>
        </is>
      </c>
    </row>
    <row r="184">
      <c r="A184" s="17" t="inlineStr">
        <is>
          <t>MMB SPORTS PARTICIPACOES LTDA</t>
        </is>
      </c>
      <c r="B184" s="18" t="n">
        <v>680417.28</v>
      </c>
      <c r="C184" s="19" t="inlineStr">
        <is>
          <t>CLUBE NÁUTICO CAPIBARIBE</t>
        </is>
      </c>
      <c r="D184" s="20" t="inlineStr">
        <is>
          <t>NEW</t>
        </is>
      </c>
      <c r="E184" s="21" t="inlineStr"/>
      <c r="F184" s="20" t="inlineStr"/>
      <c r="G184" s="21" t="inlineStr"/>
      <c r="H184" s="20" t="inlineStr"/>
      <c r="I184" s="22" t="inlineStr">
        <is>
          <t>MARCIO CARVALHO BITTENCOURT</t>
        </is>
      </c>
      <c r="J184" s="23" t="inlineStr">
        <is>
          <t>Sócio-Administrador (RFB partner)</t>
        </is>
      </c>
      <c r="K184" s="22" t="inlineStr">
        <is>
          <t>(21) 9711-8264</t>
        </is>
      </c>
      <c r="L184" s="22" t="inlineStr"/>
      <c r="M184" s="22" t="inlineStr"/>
      <c r="N184" s="22" t="inlineStr"/>
      <c r="O184" s="22" t="inlineStr"/>
      <c r="P184" s="22" t="inlineStr"/>
      <c r="Q184" s="22" t="inlineStr"/>
      <c r="R184" s="22" t="inlineStr"/>
      <c r="S184" s="22" t="inlineStr"/>
      <c r="T184" s="22" t="inlineStr">
        <is>
          <t>DM = registered partner (RFB QSA); no Apollo match</t>
        </is>
      </c>
      <c r="U184" s="24" t="n">
        <v>680417.28</v>
      </c>
      <c r="V184" s="25" t="inlineStr">
        <is>
          <t>B</t>
        </is>
      </c>
      <c r="W184" s="26" t="inlineStr"/>
      <c r="X184" s="27" t="inlineStr"/>
      <c r="Y184" s="27" t="inlineStr"/>
      <c r="Z184" s="26">
        <f>IF(W184&lt;&gt;"",W184,IFERROR(VLOOKUP(V184,Assumptions!$A$8:$F$12,2,FALSE),0))</f>
        <v/>
      </c>
      <c r="AA184" s="28">
        <f>IF(V184="A",MAX(1,IF(X184&lt;&gt;"",X184,IFERROR(VLOOKUP(V184,Assumptions!$A$8:$F$12,3,FALSE),3))+IF(Y184&lt;&gt;"",Y184,IFERROR(VLOOKUP(V184,Assumptions!$A$8:$F$12,4,FALSE),8))/2-MAX(0,IF(AS184="",0,YEAR(TODAY())-AS184)-IFERROR(VLOOKUP(V184,Assumptions!$A$8:$F$12,5,FALSE),1.5))),IFERROR(VLOOKUP(V184,Assumptions!$A$8:$F$12,5,FALSE),2.5)+IF(X184&lt;&gt;"",X184,IFERROR(VLOOKUP(V184,Assumptions!$A$8:$F$12,3,FALSE),3))+IF(Y184&lt;&gt;"",Y184,IFERROR(VLOOKUP(V184,Assumptions!$A$8:$F$12,4,FALSE),8))/2)</f>
        <v/>
      </c>
      <c r="AB184" s="24">
        <f>U184*Z184/(1+Assumptions!$B$3)^AA184</f>
        <v/>
      </c>
      <c r="AC184" s="27">
        <f>IF(U184=0,"",ROUND(AB184/U184*100,1))</f>
        <v/>
      </c>
      <c r="AD184" s="29">
        <f>AB184*Assumptions!$B$4</f>
        <v/>
      </c>
      <c r="AE184" s="27">
        <f>IF(U184=0,"",ROUND(AD184/U184*100,1))</f>
        <v/>
      </c>
      <c r="AF184" s="29">
        <f>AB184-AD184</f>
        <v/>
      </c>
      <c r="AG184" s="27">
        <f>IF(U184=0,"",ROUND((AB184-AD184)/U184*100,1))</f>
        <v/>
      </c>
      <c r="AH184" s="35" t="inlineStr">
        <is>
          <t>PARTIAL — class III reconciled, other classes not</t>
        </is>
      </c>
      <c r="AI184" s="31" t="inlineStr">
        <is>
          <t>https://lrflideres.com.br/wp-content/plugins/download-attachments/includes/download.php?id=5589</t>
        </is>
      </c>
      <c r="AJ184" s="30" t="inlineStr">
        <is>
          <t>p12 r34</t>
        </is>
      </c>
      <c r="AK184" s="30" t="inlineStr">
        <is>
          <t>p12: R$ 680.417,28</t>
        </is>
      </c>
      <c r="AL184" s="30" t="inlineStr">
        <is>
          <t>AJ list (art. 7 §2)</t>
        </is>
      </c>
      <c r="AM184" s="30" t="inlineStr">
        <is>
          <t>2023-11-27</t>
        </is>
      </c>
      <c r="AN184" s="30" t="inlineStr">
        <is>
          <t>NONE FOUND</t>
        </is>
      </c>
      <c r="AO184" s="32" t="inlineStr">
        <is>
          <t>0011283-80.2023.8.17.2001</t>
        </is>
      </c>
      <c r="AP184" s="32" t="inlineStr">
        <is>
          <t>TJPE</t>
        </is>
      </c>
      <c r="AQ184" s="32" t="inlineStr">
        <is>
          <t>Recuperação judicial</t>
        </is>
      </c>
      <c r="AR184" s="32" t="inlineStr">
        <is>
          <t>DataJud: no closure/falência movement</t>
        </is>
      </c>
      <c r="AS184" s="32" t="n">
        <v>2023</v>
      </c>
      <c r="AT184" s="32" t="inlineStr">
        <is>
          <t>live case, no plan document yet; atypical debtor (associação/clube/hospital/produtor rural): admissibility or claim subjection may be contested</t>
        </is>
      </c>
      <c r="AU184" s="32" t="inlineStr">
        <is>
          <t>08.145.021/0001-07</t>
        </is>
      </c>
      <c r="AV184" s="32" t="inlineStr">
        <is>
          <t>printed on the list (read twice)</t>
        </is>
      </c>
      <c r="AW184" s="32" t="inlineStr"/>
      <c r="AX184" s="32" t="inlineStr">
        <is>
          <t>RIO DE JANEIRO</t>
        </is>
      </c>
      <c r="AY184" s="32" t="inlineStr">
        <is>
          <t>RJ</t>
        </is>
      </c>
      <c r="AZ184" s="32" t="inlineStr">
        <is>
          <t>Outras atividades de publicidade não especificadas anteriormente</t>
        </is>
      </c>
      <c r="BA184" s="32" t="inlineStr">
        <is>
          <t>MICRO EMPRESA</t>
        </is>
      </c>
      <c r="BB184" s="33" t="n">
        <v>5000</v>
      </c>
      <c r="BC184" s="32" t="inlineStr">
        <is>
          <t>SMALL</t>
        </is>
      </c>
      <c r="BD184" s="32" t="inlineStr">
        <is>
          <t>10394384</t>
        </is>
      </c>
      <c r="BE184" s="32" t="n">
        <v>1</v>
      </c>
      <c r="BF184" s="32" t="inlineStr">
        <is>
          <t>class III reconciled (doc partial)</t>
        </is>
      </c>
    </row>
    <row r="185">
      <c r="A185" s="17" t="inlineStr">
        <is>
          <t>FAN STORE ENTRETENIMENTO S.A</t>
        </is>
      </c>
      <c r="B185" s="18" t="n">
        <v>677400.38</v>
      </c>
      <c r="C185" s="19" t="inlineStr">
        <is>
          <t>GRUPO CATTAN</t>
        </is>
      </c>
      <c r="D185" s="20" t="inlineStr">
        <is>
          <t>NEW</t>
        </is>
      </c>
      <c r="E185" s="21" t="inlineStr"/>
      <c r="F185" s="20" t="inlineStr"/>
      <c r="G185" s="21" t="inlineStr"/>
      <c r="H185" s="20" t="inlineStr"/>
      <c r="I185" s="22" t="inlineStr">
        <is>
          <t>BRUNO DE MARCHI FILHO</t>
        </is>
      </c>
      <c r="J185" s="23" t="inlineStr">
        <is>
          <t>Diretor (RFB partner)</t>
        </is>
      </c>
      <c r="K185" s="22" t="inlineStr">
        <is>
          <t>(14) 3604-2024</t>
        </is>
      </c>
      <c r="L185" s="22" t="inlineStr"/>
      <c r="M185" s="22" t="inlineStr"/>
      <c r="N185" s="22" t="inlineStr"/>
      <c r="O185" s="22" t="inlineStr"/>
      <c r="P185" s="22" t="inlineStr"/>
      <c r="Q185" s="22" t="inlineStr"/>
      <c r="R185" s="22" t="inlineStr"/>
      <c r="S185" s="22" t="inlineStr"/>
      <c r="T185" s="22" t="inlineStr">
        <is>
          <t>DM = registered partner (RFB QSA); no Apollo match</t>
        </is>
      </c>
      <c r="U185" s="24" t="n">
        <v>677400.38</v>
      </c>
      <c r="V185" s="25" t="inlineStr">
        <is>
          <t>B</t>
        </is>
      </c>
      <c r="W185" s="26" t="inlineStr"/>
      <c r="X185" s="27" t="inlineStr"/>
      <c r="Y185" s="27" t="inlineStr"/>
      <c r="Z185" s="26">
        <f>IF(W185&lt;&gt;"",W185,IFERROR(VLOOKUP(V185,Assumptions!$A$8:$F$12,2,FALSE),0))</f>
        <v/>
      </c>
      <c r="AA185" s="28">
        <f>IF(V185="A",MAX(1,IF(X185&lt;&gt;"",X185,IFERROR(VLOOKUP(V185,Assumptions!$A$8:$F$12,3,FALSE),3))+IF(Y185&lt;&gt;"",Y185,IFERROR(VLOOKUP(V185,Assumptions!$A$8:$F$12,4,FALSE),8))/2-MAX(0,IF(AS185="",0,YEAR(TODAY())-AS185)-IFERROR(VLOOKUP(V185,Assumptions!$A$8:$F$12,5,FALSE),1.5))),IFERROR(VLOOKUP(V185,Assumptions!$A$8:$F$12,5,FALSE),2.5)+IF(X185&lt;&gt;"",X185,IFERROR(VLOOKUP(V185,Assumptions!$A$8:$F$12,3,FALSE),3))+IF(Y185&lt;&gt;"",Y185,IFERROR(VLOOKUP(V185,Assumptions!$A$8:$F$12,4,FALSE),8))/2)</f>
        <v/>
      </c>
      <c r="AB185" s="24">
        <f>U185*Z185/(1+Assumptions!$B$3)^AA185</f>
        <v/>
      </c>
      <c r="AC185" s="27">
        <f>IF(U185=0,"",ROUND(AB185/U185*100,1))</f>
        <v/>
      </c>
      <c r="AD185" s="29">
        <f>AB185*Assumptions!$B$4</f>
        <v/>
      </c>
      <c r="AE185" s="27">
        <f>IF(U185=0,"",ROUND(AD185/U185*100,1))</f>
        <v/>
      </c>
      <c r="AF185" s="29">
        <f>AB185-AD185</f>
        <v/>
      </c>
      <c r="AG185" s="27">
        <f>IF(U185=0,"",ROUND((AB185-AD185)/U185*100,1))</f>
        <v/>
      </c>
      <c r="AH185" s="35" t="inlineStr">
        <is>
          <t>PARTIAL — class III reconciled, other classes not</t>
        </is>
      </c>
      <c r="AI185" s="31" t="inlineStr">
        <is>
          <t>https://lrflideres.com.br/wp-content/plugins/download-attachments/includes/download.php?id=4023</t>
        </is>
      </c>
      <c r="AJ185" s="30" t="inlineStr">
        <is>
          <t>p4 r71; p7 r95; p9 r70</t>
        </is>
      </c>
      <c r="AK185" s="30" t="inlineStr">
        <is>
          <t>p4: R$ 25.111,29; p7: R$ 553.175,46; p9: R$ 99.113,63</t>
        </is>
      </c>
      <c r="AL185" s="30" t="inlineStr">
        <is>
          <t>Debtor list (art. 51)</t>
        </is>
      </c>
      <c r="AM185" s="30" t="inlineStr"/>
      <c r="AN185" s="30" t="inlineStr">
        <is>
          <t>NONE FOUND</t>
        </is>
      </c>
      <c r="AO185" s="32" t="inlineStr">
        <is>
          <t>0002484-82.2022.8.17.2001</t>
        </is>
      </c>
      <c r="AP185" s="32" t="inlineStr">
        <is>
          <t>TJPE</t>
        </is>
      </c>
      <c r="AQ185" s="32" t="inlineStr">
        <is>
          <t>Recuperação judicial</t>
        </is>
      </c>
      <c r="AR185" s="32" t="inlineStr">
        <is>
          <t>DataJud: no closure/falência movement</t>
        </is>
      </c>
      <c r="AS185" s="32" t="n">
        <v>2022</v>
      </c>
      <c r="AT185" s="32" t="inlineStr">
        <is>
          <t>live case, no plan document yet</t>
        </is>
      </c>
      <c r="AU185" s="32" t="inlineStr"/>
      <c r="AV185" s="32" t="inlineStr">
        <is>
          <t>printed on the list (read twice)</t>
        </is>
      </c>
      <c r="AW185" s="32" t="inlineStr"/>
      <c r="AX185" s="32" t="inlineStr">
        <is>
          <t>BARRA BONITA</t>
        </is>
      </c>
      <c r="AY185" s="32" t="inlineStr">
        <is>
          <t>SP</t>
        </is>
      </c>
      <c r="AZ185" s="32" t="inlineStr">
        <is>
          <t>Estamparia e texturização em fios, tecidos, artefatos têxteis e peças do vestuário</t>
        </is>
      </c>
      <c r="BA185" s="32" t="inlineStr">
        <is>
          <t>não ME/EPP</t>
        </is>
      </c>
      <c r="BB185" s="33" t="n">
        <v>18411122</v>
      </c>
      <c r="BC185" s="32" t="inlineStr">
        <is>
          <t>MID-MARKET</t>
        </is>
      </c>
      <c r="BD185" s="32" t="inlineStr">
        <is>
          <t>01424397</t>
        </is>
      </c>
      <c r="BE185" s="32" t="n">
        <v>3</v>
      </c>
      <c r="BF185" s="32" t="inlineStr">
        <is>
          <t>class III reconciled (doc partial)</t>
        </is>
      </c>
    </row>
    <row r="186">
      <c r="A186" s="17" t="inlineStr">
        <is>
          <t>MACCAFERRI DO BRASIL LTDA</t>
        </is>
      </c>
      <c r="B186" s="18" t="n">
        <v>676208.62</v>
      </c>
      <c r="C186" s="19" t="inlineStr">
        <is>
          <t>GRUPO EGESA (Egesa Engenharia S.A. + 9 group companies; see group members)</t>
        </is>
      </c>
      <c r="D186" s="20" t="inlineStr">
        <is>
          <t>NEW</t>
        </is>
      </c>
      <c r="E186" s="21" t="inlineStr"/>
      <c r="F186" s="20" t="inlineStr"/>
      <c r="G186" s="21" t="inlineStr"/>
      <c r="H186" s="20" t="inlineStr"/>
      <c r="I186" s="22" t="inlineStr">
        <is>
          <t>ALEXANDRE MARCOS TEXEIRA</t>
        </is>
      </c>
      <c r="J186" s="23" t="inlineStr">
        <is>
          <t>Administrador (RFB partner)</t>
        </is>
      </c>
      <c r="K186" s="22" t="inlineStr">
        <is>
          <t>(11) 4525-5000</t>
        </is>
      </c>
      <c r="L186" s="22" t="inlineStr">
        <is>
          <t>(11) 4525-5056</t>
        </is>
      </c>
      <c r="M186" s="22" t="inlineStr"/>
      <c r="N186" s="22" t="inlineStr"/>
      <c r="O186" s="22" t="inlineStr"/>
      <c r="P186" s="22" t="inlineStr">
        <is>
          <t>LEILA SOARES REGO BENEDUZZI</t>
        </is>
      </c>
      <c r="Q186" s="22" t="inlineStr">
        <is>
          <t>Administrador (RFB partner)</t>
        </is>
      </c>
      <c r="R186" s="22" t="inlineStr"/>
      <c r="S186" s="22" t="inlineStr"/>
      <c r="T186" s="22" t="inlineStr">
        <is>
          <t>DM = registered partner (RFB QSA); no Apollo match</t>
        </is>
      </c>
      <c r="U186" s="24" t="n">
        <v>676208.62</v>
      </c>
      <c r="V186" s="25" t="inlineStr">
        <is>
          <t>B</t>
        </is>
      </c>
      <c r="W186" s="26" t="inlineStr"/>
      <c r="X186" s="27" t="inlineStr"/>
      <c r="Y186" s="27" t="inlineStr"/>
      <c r="Z186" s="26">
        <f>IF(W186&lt;&gt;"",W186,IFERROR(VLOOKUP(V186,Assumptions!$A$8:$F$12,2,FALSE),0))</f>
        <v/>
      </c>
      <c r="AA186" s="28">
        <f>IF(V186="A",MAX(1,IF(X186&lt;&gt;"",X186,IFERROR(VLOOKUP(V186,Assumptions!$A$8:$F$12,3,FALSE),3))+IF(Y186&lt;&gt;"",Y186,IFERROR(VLOOKUP(V186,Assumptions!$A$8:$F$12,4,FALSE),8))/2-MAX(0,IF(AS186="",0,YEAR(TODAY())-AS186)-IFERROR(VLOOKUP(V186,Assumptions!$A$8:$F$12,5,FALSE),1.5))),IFERROR(VLOOKUP(V186,Assumptions!$A$8:$F$12,5,FALSE),2.5)+IF(X186&lt;&gt;"",X186,IFERROR(VLOOKUP(V186,Assumptions!$A$8:$F$12,3,FALSE),3))+IF(Y186&lt;&gt;"",Y186,IFERROR(VLOOKUP(V186,Assumptions!$A$8:$F$12,4,FALSE),8))/2)</f>
        <v/>
      </c>
      <c r="AB186" s="24">
        <f>U186*Z186/(1+Assumptions!$B$3)^AA186</f>
        <v/>
      </c>
      <c r="AC186" s="27">
        <f>IF(U186=0,"",ROUND(AB186/U186*100,1))</f>
        <v/>
      </c>
      <c r="AD186" s="29">
        <f>AB186*Assumptions!$B$4</f>
        <v/>
      </c>
      <c r="AE186" s="27">
        <f>IF(U186=0,"",ROUND(AD186/U186*100,1))</f>
        <v/>
      </c>
      <c r="AF186" s="29">
        <f>AB186-AD186</f>
        <v/>
      </c>
      <c r="AG186" s="27">
        <f>IF(U186=0,"",ROUND((AB186-AD186)/U186*100,1))</f>
        <v/>
      </c>
      <c r="AH186" s="30" t="inlineStr">
        <is>
          <t>OK — totals reconciled</t>
        </is>
      </c>
      <c r="AI186" s="31" t="inlineStr">
        <is>
          <t>https://scalzilliaj.com.br/sgc/download.php?file=files/processo_documento/processo_documento09514021082025_1_.pdf&amp;nome=04 - Relação de credores das Recuperandas</t>
        </is>
      </c>
      <c r="AJ186" s="30" t="inlineStr">
        <is>
          <t>p69 r10</t>
        </is>
      </c>
      <c r="AK186" s="30" t="inlineStr">
        <is>
          <t>p69: R$ 676.208,62</t>
        </is>
      </c>
      <c r="AL186" s="30" t="inlineStr">
        <is>
          <t>Debtor list (art. 51)</t>
        </is>
      </c>
      <c r="AM186" s="30" t="inlineStr"/>
      <c r="AN186" s="30" t="inlineStr">
        <is>
          <t>NONE FOUND</t>
        </is>
      </c>
      <c r="AO186" s="32" t="inlineStr">
        <is>
          <t>5088952-81.2025.8.13.0024</t>
        </is>
      </c>
      <c r="AP186" s="32" t="inlineStr">
        <is>
          <t>TJMG</t>
        </is>
      </c>
      <c r="AQ186" s="32" t="inlineStr"/>
      <c r="AR186" s="32" t="inlineStr">
        <is>
          <t>DataJud: no closure/falência movement</t>
        </is>
      </c>
      <c r="AS186" s="32" t="n">
        <v>2025</v>
      </c>
      <c r="AT186" s="32" t="inlineStr">
        <is>
          <t>live case, no plan document yet; case no. from the portal record, not printed on the list</t>
        </is>
      </c>
      <c r="AU186" s="32" t="inlineStr"/>
      <c r="AV186" s="32" t="inlineStr">
        <is>
          <t>portal page title / URL — not printed on the list</t>
        </is>
      </c>
      <c r="AW186" s="32" t="inlineStr"/>
      <c r="AX186" s="32" t="inlineStr">
        <is>
          <t>JUNDIAI</t>
        </is>
      </c>
      <c r="AY186" s="32" t="inlineStr">
        <is>
          <t>SP</t>
        </is>
      </c>
      <c r="AZ186" s="32" t="inlineStr">
        <is>
          <t>Fabricação de outros produtos de metal não especificados anteriormente</t>
        </is>
      </c>
      <c r="BA186" s="32" t="inlineStr">
        <is>
          <t>não ME/EPP</t>
        </is>
      </c>
      <c r="BB186" s="33" t="n">
        <v>120387980</v>
      </c>
      <c r="BC186" s="32" t="inlineStr">
        <is>
          <t>MID-MARKET</t>
        </is>
      </c>
      <c r="BD186" s="32" t="inlineStr">
        <is>
          <t>43876960</t>
        </is>
      </c>
      <c r="BE186" s="32" t="n">
        <v>1</v>
      </c>
      <c r="BF186" s="32" t="inlineStr">
        <is>
          <t>case no. corrected by reader case no. from portal record</t>
        </is>
      </c>
    </row>
    <row r="187">
      <c r="A187" s="17" t="inlineStr">
        <is>
          <t>MAXINUTRI SUPLEMENTOS NUTRICIONAIS LTDA</t>
        </is>
      </c>
      <c r="B187" s="18" t="n">
        <v>664358.4399999999</v>
      </c>
      <c r="C187" s="19" t="inlineStr">
        <is>
          <t>GRUPO DP4</t>
        </is>
      </c>
      <c r="D187" s="20" t="inlineStr">
        <is>
          <t>NEW</t>
        </is>
      </c>
      <c r="E187" s="21" t="inlineStr"/>
      <c r="F187" s="20" t="inlineStr"/>
      <c r="G187" s="21" t="inlineStr"/>
      <c r="H187" s="20" t="inlineStr"/>
      <c r="I187" s="22" t="inlineStr">
        <is>
          <t>Janderson Gandra</t>
        </is>
      </c>
      <c r="J187" s="22" t="inlineStr">
        <is>
          <t>Financial and Administrative Director</t>
        </is>
      </c>
      <c r="K187" s="22" t="inlineStr">
        <is>
          <t>(43) 3274-5262</t>
        </is>
      </c>
      <c r="L187" s="22" t="inlineStr"/>
      <c r="M187" s="22" t="inlineStr"/>
      <c r="N187" s="22" t="inlineStr">
        <is>
          <t>janderson@maxinutri.com.br</t>
        </is>
      </c>
      <c r="O187" s="22" t="inlineStr">
        <is>
          <t>verified</t>
        </is>
      </c>
      <c r="P187" s="22" t="inlineStr">
        <is>
          <t>FERNANDO FERDINANDI</t>
        </is>
      </c>
      <c r="Q187" s="22" t="inlineStr">
        <is>
          <t>Administrador (RFB partner)</t>
        </is>
      </c>
      <c r="R187" s="22" t="inlineStr"/>
      <c r="S187" s="22" t="inlineStr"/>
      <c r="T187" s="22" t="inlineStr">
        <is>
          <t>DM: DM; email verified</t>
        </is>
      </c>
      <c r="U187" s="24" t="n">
        <v>664358.4399999999</v>
      </c>
      <c r="V187" s="25" t="inlineStr">
        <is>
          <t>B</t>
        </is>
      </c>
      <c r="W187" s="26" t="inlineStr"/>
      <c r="X187" s="27" t="inlineStr"/>
      <c r="Y187" s="27" t="inlineStr"/>
      <c r="Z187" s="26">
        <f>IF(W187&lt;&gt;"",W187,IFERROR(VLOOKUP(V187,Assumptions!$A$8:$F$12,2,FALSE),0))</f>
        <v/>
      </c>
      <c r="AA187" s="28">
        <f>IF(V187="A",MAX(1,IF(X187&lt;&gt;"",X187,IFERROR(VLOOKUP(V187,Assumptions!$A$8:$F$12,3,FALSE),3))+IF(Y187&lt;&gt;"",Y187,IFERROR(VLOOKUP(V187,Assumptions!$A$8:$F$12,4,FALSE),8))/2-MAX(0,IF(AS187="",0,YEAR(TODAY())-AS187)-IFERROR(VLOOKUP(V187,Assumptions!$A$8:$F$12,5,FALSE),1.5))),IFERROR(VLOOKUP(V187,Assumptions!$A$8:$F$12,5,FALSE),2.5)+IF(X187&lt;&gt;"",X187,IFERROR(VLOOKUP(V187,Assumptions!$A$8:$F$12,3,FALSE),3))+IF(Y187&lt;&gt;"",Y187,IFERROR(VLOOKUP(V187,Assumptions!$A$8:$F$12,4,FALSE),8))/2)</f>
        <v/>
      </c>
      <c r="AB187" s="24">
        <f>U187*Z187/(1+Assumptions!$B$3)^AA187</f>
        <v/>
      </c>
      <c r="AC187" s="27">
        <f>IF(U187=0,"",ROUND(AB187/U187*100,1))</f>
        <v/>
      </c>
      <c r="AD187" s="29">
        <f>AB187*Assumptions!$B$4</f>
        <v/>
      </c>
      <c r="AE187" s="27">
        <f>IF(U187=0,"",ROUND(AD187/U187*100,1))</f>
        <v/>
      </c>
      <c r="AF187" s="29">
        <f>AB187-AD187</f>
        <v/>
      </c>
      <c r="AG187" s="27">
        <f>IF(U187=0,"",ROUND((AB187-AD187)/U187*100,1))</f>
        <v/>
      </c>
      <c r="AH187" s="35" t="inlineStr">
        <is>
          <t>PARTIAL — class III reconciled, other classes not</t>
        </is>
      </c>
      <c r="AI187" s="31" t="inlineStr">
        <is>
          <t>https://marquesadmjudicial.com.br/sgc/download.php?file=files/processo_documento/processo_documento15293208032024_1_.pdf&amp;nome=Relação Nominal de Credores da AJ-Sintética</t>
        </is>
      </c>
      <c r="AJ187" s="30" t="inlineStr">
        <is>
          <t>p28 r12</t>
        </is>
      </c>
      <c r="AK187" s="30" t="inlineStr">
        <is>
          <t>p28: R$ 664.358,44</t>
        </is>
      </c>
      <c r="AL187" s="30" t="inlineStr">
        <is>
          <t>AJ list (art. 7 §2)</t>
        </is>
      </c>
      <c r="AM187" s="30" t="inlineStr">
        <is>
          <t>2023-03-02</t>
        </is>
      </c>
      <c r="AN187" s="30" t="inlineStr">
        <is>
          <t>NONE FOUND</t>
        </is>
      </c>
      <c r="AO187" s="32" t="inlineStr">
        <is>
          <t>0005010-98.2023.8.16.0001</t>
        </is>
      </c>
      <c r="AP187" s="32" t="inlineStr">
        <is>
          <t>TJPR</t>
        </is>
      </c>
      <c r="AQ187" s="32" t="inlineStr">
        <is>
          <t>Recuperação judicial</t>
        </is>
      </c>
      <c r="AR187" s="32" t="inlineStr">
        <is>
          <t>DataJud: no closure/falência movement</t>
        </is>
      </c>
      <c r="AS187" s="32" t="n">
        <v>2023</v>
      </c>
      <c r="AT187" s="32" t="inlineStr">
        <is>
          <t>live case, no plan document yet</t>
        </is>
      </c>
      <c r="AU187" s="32" t="inlineStr"/>
      <c r="AV187" s="32" t="inlineStr">
        <is>
          <t>printed on the list (read twice)</t>
        </is>
      </c>
      <c r="AW187" s="32" t="inlineStr"/>
      <c r="AX187" s="32" t="inlineStr">
        <is>
          <t>ARAPONGAS</t>
        </is>
      </c>
      <c r="AY187" s="32" t="inlineStr">
        <is>
          <t>PR</t>
        </is>
      </c>
      <c r="AZ187" s="32" t="inlineStr">
        <is>
          <t>Fabricação de outros produtos alimentícios não especificados anteriormente</t>
        </is>
      </c>
      <c r="BA187" s="32" t="inlineStr">
        <is>
          <t>não ME/EPP</t>
        </is>
      </c>
      <c r="BB187" s="33" t="n">
        <v>200000</v>
      </c>
      <c r="BC187" s="32" t="inlineStr">
        <is>
          <t>MID-MARKET</t>
        </is>
      </c>
      <c r="BD187" s="32" t="inlineStr">
        <is>
          <t>39452556</t>
        </is>
      </c>
      <c r="BE187" s="32" t="n">
        <v>1</v>
      </c>
      <c r="BF187" s="32" t="inlineStr">
        <is>
          <t>class III reconciled (doc partial)</t>
        </is>
      </c>
    </row>
    <row r="188">
      <c r="A188" s="17" t="inlineStr">
        <is>
          <t>SUECA ROLAMENTOS E SOLUCOES INDUSTRIAIS LTDA</t>
        </is>
      </c>
      <c r="B188" s="18" t="n">
        <v>657691.6</v>
      </c>
      <c r="C188" s="19" t="inlineStr">
        <is>
          <t>Grupo Rech</t>
        </is>
      </c>
      <c r="D188" s="20" t="inlineStr">
        <is>
          <t>NEW</t>
        </is>
      </c>
      <c r="E188" s="21" t="inlineStr"/>
      <c r="F188" s="20" t="inlineStr"/>
      <c r="G188" s="21" t="inlineStr"/>
      <c r="H188" s="20" t="inlineStr"/>
      <c r="I188" s="22" t="inlineStr">
        <is>
          <t>ARTHUR CALEFFI</t>
        </is>
      </c>
      <c r="J188" s="23" t="inlineStr">
        <is>
          <t>Sócio-Administrador (RFB partner)</t>
        </is>
      </c>
      <c r="K188" s="22" t="inlineStr">
        <is>
          <t>(51) 3337-8477</t>
        </is>
      </c>
      <c r="L188" s="22" t="inlineStr"/>
      <c r="M188" s="22" t="inlineStr"/>
      <c r="N188" s="22" t="inlineStr"/>
      <c r="O188" s="22" t="inlineStr"/>
      <c r="P188" s="22" t="inlineStr">
        <is>
          <t>Hamiltom Malagues</t>
        </is>
      </c>
      <c r="Q188" s="22" t="inlineStr">
        <is>
          <t>Encarregado de Compras</t>
        </is>
      </c>
      <c r="R188" s="22" t="inlineStr"/>
      <c r="S188" s="22" t="inlineStr">
        <is>
          <t>hamiltom@sueca.com.br</t>
        </is>
      </c>
      <c r="T188" s="22" t="inlineStr">
        <is>
          <t>DM = registered partner (RFB QSA); Apollo pick demoted to backup (non-finance role); BACKUP: weak, has_email, phone Yes</t>
        </is>
      </c>
      <c r="U188" s="24" t="n">
        <v>657691.6</v>
      </c>
      <c r="V188" s="25" t="inlineStr">
        <is>
          <t>B</t>
        </is>
      </c>
      <c r="W188" s="26" t="inlineStr"/>
      <c r="X188" s="27" t="inlineStr"/>
      <c r="Y188" s="27" t="inlineStr"/>
      <c r="Z188" s="26">
        <f>IF(W188&lt;&gt;"",W188,IFERROR(VLOOKUP(V188,Assumptions!$A$8:$F$12,2,FALSE),0))</f>
        <v/>
      </c>
      <c r="AA188" s="28">
        <f>IF(V188="A",MAX(1,IF(X188&lt;&gt;"",X188,IFERROR(VLOOKUP(V188,Assumptions!$A$8:$F$12,3,FALSE),3))+IF(Y188&lt;&gt;"",Y188,IFERROR(VLOOKUP(V188,Assumptions!$A$8:$F$12,4,FALSE),8))/2-MAX(0,IF(AS188="",0,YEAR(TODAY())-AS188)-IFERROR(VLOOKUP(V188,Assumptions!$A$8:$F$12,5,FALSE),1.5))),IFERROR(VLOOKUP(V188,Assumptions!$A$8:$F$12,5,FALSE),2.5)+IF(X188&lt;&gt;"",X188,IFERROR(VLOOKUP(V188,Assumptions!$A$8:$F$12,3,FALSE),3))+IF(Y188&lt;&gt;"",Y188,IFERROR(VLOOKUP(V188,Assumptions!$A$8:$F$12,4,FALSE),8))/2)</f>
        <v/>
      </c>
      <c r="AB188" s="24">
        <f>U188*Z188/(1+Assumptions!$B$3)^AA188</f>
        <v/>
      </c>
      <c r="AC188" s="27">
        <f>IF(U188=0,"",ROUND(AB188/U188*100,1))</f>
        <v/>
      </c>
      <c r="AD188" s="29">
        <f>AB188*Assumptions!$B$4</f>
        <v/>
      </c>
      <c r="AE188" s="27">
        <f>IF(U188=0,"",ROUND(AD188/U188*100,1))</f>
        <v/>
      </c>
      <c r="AF188" s="29">
        <f>AB188-AD188</f>
        <v/>
      </c>
      <c r="AG188" s="27">
        <f>IF(U188=0,"",ROUND((AB188-AD188)/U188*100,1))</f>
        <v/>
      </c>
      <c r="AH188" s="36" t="inlineStr">
        <is>
          <t>CHECK — source is not a statutory creditor list</t>
        </is>
      </c>
      <c r="AI188" s="31" t="inlineStr">
        <is>
          <t>https://credibilita.com.br/wp-content/uploads/2025/09/Relacao-Credores-29.04.2026.pdf</t>
        </is>
      </c>
      <c r="AJ188" s="30" t="inlineStr">
        <is>
          <t>p2 r19</t>
        </is>
      </c>
      <c r="AK188" s="30" t="inlineStr">
        <is>
          <t>p2: R$ 657.691,60</t>
        </is>
      </c>
      <c r="AL188" s="30" t="inlineStr">
        <is>
          <t>Quorum list — NOT an art. 7/51 list</t>
        </is>
      </c>
      <c r="AM188" s="30" t="inlineStr"/>
      <c r="AN188" s="30" t="inlineStr">
        <is>
          <t>NONE FOUND</t>
        </is>
      </c>
      <c r="AO188" s="32" t="inlineStr">
        <is>
          <t>5057720-48.2025.8.24.0023</t>
        </is>
      </c>
      <c r="AP188" s="32" t="inlineStr">
        <is>
          <t>TJSC</t>
        </is>
      </c>
      <c r="AQ188" s="32" t="inlineStr"/>
      <c r="AR188" s="32" t="inlineStr">
        <is>
          <t>not in DataJud</t>
        </is>
      </c>
      <c r="AS188" s="32" t="n">
        <v>2025</v>
      </c>
      <c r="AT188" s="32" t="inlineStr">
        <is>
          <t>live case, no plan document yet; case no. from the portal record, not printed on the list</t>
        </is>
      </c>
      <c r="AU188" s="32" t="inlineStr"/>
      <c r="AV188" s="32" t="inlineStr">
        <is>
          <t>portal page title / URL — not printed on the list</t>
        </is>
      </c>
      <c r="AW188" s="32" t="inlineStr"/>
      <c r="AX188" s="32" t="inlineStr">
        <is>
          <t>PORTO ALEGRE</t>
        </is>
      </c>
      <c r="AY188" s="32" t="inlineStr">
        <is>
          <t>RS</t>
        </is>
      </c>
      <c r="AZ188" s="32" t="inlineStr">
        <is>
          <t>Comércio atacadista de Máquinas e equipamentos para uso industrial; partes e peças</t>
        </is>
      </c>
      <c r="BA188" s="32" t="inlineStr">
        <is>
          <t>não ME/EPP</t>
        </is>
      </c>
      <c r="BB188" s="33" t="n">
        <v>600000</v>
      </c>
      <c r="BC188" s="32" t="inlineStr">
        <is>
          <t>MID-MARKET</t>
        </is>
      </c>
      <c r="BD188" s="32" t="inlineStr">
        <is>
          <t>02410500</t>
        </is>
      </c>
      <c r="BE188" s="32" t="n">
        <v>1</v>
      </c>
      <c r="BF188" s="32" t="inlineStr">
        <is>
          <t>list prints no totals case no. corrected by reader</t>
        </is>
      </c>
    </row>
    <row r="189">
      <c r="A189" s="17" t="inlineStr">
        <is>
          <t>KSPG AUTOMOTIVE BRAZIL LTDA.</t>
        </is>
      </c>
      <c r="B189" s="18" t="n">
        <v>651861.65</v>
      </c>
      <c r="C189" s="19" t="inlineStr">
        <is>
          <t>Grupo Rech</t>
        </is>
      </c>
      <c r="D189" s="20" t="inlineStr">
        <is>
          <t>NEW</t>
        </is>
      </c>
      <c r="E189" s="21" t="inlineStr"/>
      <c r="F189" s="20" t="inlineStr"/>
      <c r="G189" s="21" t="inlineStr"/>
      <c r="H189" s="20" t="inlineStr"/>
      <c r="I189" s="22" t="inlineStr">
        <is>
          <t>FLAVIO PEREIRA SOTO</t>
        </is>
      </c>
      <c r="J189" s="23" t="inlineStr">
        <is>
          <t>Administrador (RFB partner)</t>
        </is>
      </c>
      <c r="K189" s="22" t="inlineStr">
        <is>
          <t>(19) 3466-9842</t>
        </is>
      </c>
      <c r="L189" s="22" t="inlineStr">
        <is>
          <t>(19) 3466-9777</t>
        </is>
      </c>
      <c r="M189" s="22" t="inlineStr"/>
      <c r="N189" s="22" t="inlineStr"/>
      <c r="O189" s="22" t="inlineStr"/>
      <c r="P189" s="22" t="inlineStr"/>
      <c r="Q189" s="22" t="inlineStr"/>
      <c r="R189" s="22" t="inlineStr"/>
      <c r="S189" s="22" t="inlineStr"/>
      <c r="T189" s="22" t="inlineStr">
        <is>
          <t>DM = registered partner (RFB QSA); no Apollo match</t>
        </is>
      </c>
      <c r="U189" s="24" t="n">
        <v>651861.65</v>
      </c>
      <c r="V189" s="25" t="inlineStr">
        <is>
          <t>B</t>
        </is>
      </c>
      <c r="W189" s="26" t="inlineStr"/>
      <c r="X189" s="27" t="inlineStr"/>
      <c r="Y189" s="27" t="inlineStr"/>
      <c r="Z189" s="26">
        <f>IF(W189&lt;&gt;"",W189,IFERROR(VLOOKUP(V189,Assumptions!$A$8:$F$12,2,FALSE),0))</f>
        <v/>
      </c>
      <c r="AA189" s="28">
        <f>IF(V189="A",MAX(1,IF(X189&lt;&gt;"",X189,IFERROR(VLOOKUP(V189,Assumptions!$A$8:$F$12,3,FALSE),3))+IF(Y189&lt;&gt;"",Y189,IFERROR(VLOOKUP(V189,Assumptions!$A$8:$F$12,4,FALSE),8))/2-MAX(0,IF(AS189="",0,YEAR(TODAY())-AS189)-IFERROR(VLOOKUP(V189,Assumptions!$A$8:$F$12,5,FALSE),1.5))),IFERROR(VLOOKUP(V189,Assumptions!$A$8:$F$12,5,FALSE),2.5)+IF(X189&lt;&gt;"",X189,IFERROR(VLOOKUP(V189,Assumptions!$A$8:$F$12,3,FALSE),3))+IF(Y189&lt;&gt;"",Y189,IFERROR(VLOOKUP(V189,Assumptions!$A$8:$F$12,4,FALSE),8))/2)</f>
        <v/>
      </c>
      <c r="AB189" s="24">
        <f>U189*Z189/(1+Assumptions!$B$3)^AA189</f>
        <v/>
      </c>
      <c r="AC189" s="27">
        <f>IF(U189=0,"",ROUND(AB189/U189*100,1))</f>
        <v/>
      </c>
      <c r="AD189" s="29">
        <f>AB189*Assumptions!$B$4</f>
        <v/>
      </c>
      <c r="AE189" s="27">
        <f>IF(U189=0,"",ROUND(AD189/U189*100,1))</f>
        <v/>
      </c>
      <c r="AF189" s="29">
        <f>AB189-AD189</f>
        <v/>
      </c>
      <c r="AG189" s="27">
        <f>IF(U189=0,"",ROUND((AB189-AD189)/U189*100,1))</f>
        <v/>
      </c>
      <c r="AH189" s="36" t="inlineStr">
        <is>
          <t>CHECK — source is not a statutory creditor list</t>
        </is>
      </c>
      <c r="AI189" s="31" t="inlineStr">
        <is>
          <t>https://credibilita.com.br/wp-content/uploads/2025/09/Relacao-Credores-29.04.2026.pdf</t>
        </is>
      </c>
      <c r="AJ189" s="30" t="inlineStr">
        <is>
          <t>p1 r32</t>
        </is>
      </c>
      <c r="AK189" s="30" t="inlineStr">
        <is>
          <t>p1: R$ 651.861,65</t>
        </is>
      </c>
      <c r="AL189" s="30" t="inlineStr">
        <is>
          <t>Quorum list — NOT an art. 7/51 list</t>
        </is>
      </c>
      <c r="AM189" s="30" t="inlineStr"/>
      <c r="AN189" s="30" t="inlineStr">
        <is>
          <t>NONE FOUND</t>
        </is>
      </c>
      <c r="AO189" s="32" t="inlineStr">
        <is>
          <t>5057720-48.2025.8.24.0023</t>
        </is>
      </c>
      <c r="AP189" s="32" t="inlineStr">
        <is>
          <t>TJSC</t>
        </is>
      </c>
      <c r="AQ189" s="32" t="inlineStr"/>
      <c r="AR189" s="32" t="inlineStr">
        <is>
          <t>not in DataJud</t>
        </is>
      </c>
      <c r="AS189" s="32" t="n">
        <v>2025</v>
      </c>
      <c r="AT189" s="32" t="inlineStr">
        <is>
          <t>live case, no plan document yet; case no. from the portal record, not printed on the list</t>
        </is>
      </c>
      <c r="AU189" s="32" t="inlineStr"/>
      <c r="AV189" s="32" t="inlineStr">
        <is>
          <t>portal page title / URL — not printed on the list</t>
        </is>
      </c>
      <c r="AW189" s="32" t="inlineStr"/>
      <c r="AX189" s="32" t="inlineStr">
        <is>
          <t>NOVA ODESSA</t>
        </is>
      </c>
      <c r="AY189" s="32" t="inlineStr">
        <is>
          <t>SP</t>
        </is>
      </c>
      <c r="AZ189" s="32" t="inlineStr">
        <is>
          <t>Fabricação de peças e acessórios para o sistema motor de veículos automotores</t>
        </is>
      </c>
      <c r="BA189" s="32" t="inlineStr">
        <is>
          <t>não ME/EPP</t>
        </is>
      </c>
      <c r="BB189" s="33" t="n">
        <v>395637150</v>
      </c>
      <c r="BC189" s="32" t="inlineStr">
        <is>
          <t>MID-MARKET</t>
        </is>
      </c>
      <c r="BD189" s="32" t="inlineStr">
        <is>
          <t>57576274</t>
        </is>
      </c>
      <c r="BE189" s="32" t="n">
        <v>1</v>
      </c>
      <c r="BF189" s="32" t="inlineStr">
        <is>
          <t>list prints no totals case no. corrected by reader</t>
        </is>
      </c>
    </row>
    <row r="190">
      <c r="A190" s="17" t="inlineStr">
        <is>
          <t>INCOTERM SOLUCOES EM MEDICAO LTDA</t>
        </is>
      </c>
      <c r="B190" s="18" t="n">
        <v>650761.62</v>
      </c>
      <c r="C190" s="19" t="inlineStr">
        <is>
          <t>GRUPO DP4</t>
        </is>
      </c>
      <c r="D190" s="20" t="inlineStr">
        <is>
          <t>NEW</t>
        </is>
      </c>
      <c r="E190" s="21" t="inlineStr"/>
      <c r="F190" s="20" t="inlineStr"/>
      <c r="G190" s="21" t="inlineStr"/>
      <c r="H190" s="20" t="inlineStr"/>
      <c r="I190" s="22" t="inlineStr">
        <is>
          <t>ANDREAS WEIMER</t>
        </is>
      </c>
      <c r="J190" s="23" t="inlineStr">
        <is>
          <t>Sócio-Administrador (RFB partner)</t>
        </is>
      </c>
      <c r="K190" s="22" t="inlineStr">
        <is>
          <t>(51) 3245-7112</t>
        </is>
      </c>
      <c r="L190" s="22" t="inlineStr">
        <is>
          <t>(51) 3245-7157</t>
        </is>
      </c>
      <c r="M190" s="22" t="inlineStr"/>
      <c r="N190" s="22" t="inlineStr"/>
      <c r="O190" s="22" t="inlineStr"/>
      <c r="P190" s="22" t="inlineStr"/>
      <c r="Q190" s="22" t="inlineStr"/>
      <c r="R190" s="22" t="inlineStr"/>
      <c r="S190" s="22" t="inlineStr"/>
      <c r="T190" s="22" t="inlineStr">
        <is>
          <t>DM = registered partner (RFB QSA); no Apollo match</t>
        </is>
      </c>
      <c r="U190" s="24" t="n">
        <v>650761.62</v>
      </c>
      <c r="V190" s="25" t="inlineStr">
        <is>
          <t>B</t>
        </is>
      </c>
      <c r="W190" s="26" t="inlineStr"/>
      <c r="X190" s="27" t="inlineStr"/>
      <c r="Y190" s="27" t="inlineStr"/>
      <c r="Z190" s="26">
        <f>IF(W190&lt;&gt;"",W190,IFERROR(VLOOKUP(V190,Assumptions!$A$8:$F$12,2,FALSE),0))</f>
        <v/>
      </c>
      <c r="AA190" s="28">
        <f>IF(V190="A",MAX(1,IF(X190&lt;&gt;"",X190,IFERROR(VLOOKUP(V190,Assumptions!$A$8:$F$12,3,FALSE),3))+IF(Y190&lt;&gt;"",Y190,IFERROR(VLOOKUP(V190,Assumptions!$A$8:$F$12,4,FALSE),8))/2-MAX(0,IF(AS190="",0,YEAR(TODAY())-AS190)-IFERROR(VLOOKUP(V190,Assumptions!$A$8:$F$12,5,FALSE),1.5))),IFERROR(VLOOKUP(V190,Assumptions!$A$8:$F$12,5,FALSE),2.5)+IF(X190&lt;&gt;"",X190,IFERROR(VLOOKUP(V190,Assumptions!$A$8:$F$12,3,FALSE),3))+IF(Y190&lt;&gt;"",Y190,IFERROR(VLOOKUP(V190,Assumptions!$A$8:$F$12,4,FALSE),8))/2)</f>
        <v/>
      </c>
      <c r="AB190" s="24">
        <f>U190*Z190/(1+Assumptions!$B$3)^AA190</f>
        <v/>
      </c>
      <c r="AC190" s="27">
        <f>IF(U190=0,"",ROUND(AB190/U190*100,1))</f>
        <v/>
      </c>
      <c r="AD190" s="29">
        <f>AB190*Assumptions!$B$4</f>
        <v/>
      </c>
      <c r="AE190" s="27">
        <f>IF(U190=0,"",ROUND(AD190/U190*100,1))</f>
        <v/>
      </c>
      <c r="AF190" s="29">
        <f>AB190-AD190</f>
        <v/>
      </c>
      <c r="AG190" s="27">
        <f>IF(U190=0,"",ROUND((AB190-AD190)/U190*100,1))</f>
        <v/>
      </c>
      <c r="AH190" s="35" t="inlineStr">
        <is>
          <t>PARTIAL — class III reconciled, other classes not</t>
        </is>
      </c>
      <c r="AI190" s="31" t="inlineStr">
        <is>
          <t>https://marquesadmjudicial.com.br/sgc/download.php?file=files/processo_documento/processo_documento15293208032024_1_.pdf&amp;nome=Relação Nominal de Credores da AJ-Sintética</t>
        </is>
      </c>
      <c r="AJ190" s="30" t="inlineStr">
        <is>
          <t>p26 r11</t>
        </is>
      </c>
      <c r="AK190" s="30" t="inlineStr">
        <is>
          <t>p26: R$ 650.761,62</t>
        </is>
      </c>
      <c r="AL190" s="30" t="inlineStr">
        <is>
          <t>AJ list (art. 7 §2)</t>
        </is>
      </c>
      <c r="AM190" s="30" t="inlineStr">
        <is>
          <t>2023-03-02</t>
        </is>
      </c>
      <c r="AN190" s="30" t="inlineStr">
        <is>
          <t>NONE FOUND</t>
        </is>
      </c>
      <c r="AO190" s="32" t="inlineStr">
        <is>
          <t>0005010-98.2023.8.16.0001</t>
        </is>
      </c>
      <c r="AP190" s="32" t="inlineStr">
        <is>
          <t>TJPR</t>
        </is>
      </c>
      <c r="AQ190" s="32" t="inlineStr">
        <is>
          <t>Recuperação judicial</t>
        </is>
      </c>
      <c r="AR190" s="32" t="inlineStr">
        <is>
          <t>DataJud: no closure/falência movement</t>
        </is>
      </c>
      <c r="AS190" s="32" t="n">
        <v>2023</v>
      </c>
      <c r="AT190" s="32" t="inlineStr">
        <is>
          <t>live case, no plan document yet</t>
        </is>
      </c>
      <c r="AU190" s="32" t="inlineStr"/>
      <c r="AV190" s="32" t="inlineStr">
        <is>
          <t>printed on the list (read twice)</t>
        </is>
      </c>
      <c r="AW190" s="32" t="inlineStr"/>
      <c r="AX190" s="32" t="inlineStr">
        <is>
          <t>PORTO ALEGRE</t>
        </is>
      </c>
      <c r="AY190" s="32" t="inlineStr">
        <is>
          <t>RS</t>
        </is>
      </c>
      <c r="AZ190" s="32" t="inlineStr">
        <is>
          <t>Fabricação de aparelhos e equipamentos de medida, teste e controle</t>
        </is>
      </c>
      <c r="BA190" s="32" t="inlineStr">
        <is>
          <t>não ME/EPP</t>
        </is>
      </c>
      <c r="BB190" s="33" t="n">
        <v>30000000</v>
      </c>
      <c r="BC190" s="32" t="inlineStr">
        <is>
          <t>MID-MARKET</t>
        </is>
      </c>
      <c r="BD190" s="32" t="inlineStr">
        <is>
          <t>87156352</t>
        </is>
      </c>
      <c r="BE190" s="32" t="n">
        <v>1</v>
      </c>
      <c r="BF190" s="32" t="inlineStr">
        <is>
          <t>class III reconciled (doc partial)</t>
        </is>
      </c>
    </row>
    <row r="191">
      <c r="A191" s="17" t="inlineStr">
        <is>
          <t>MAGNUM DISTRIBUIDORA DE PNEUS S/A</t>
        </is>
      </c>
      <c r="B191" s="18" t="n">
        <v>644893.08</v>
      </c>
      <c r="C191" s="19" t="inlineStr">
        <is>
          <t>SECULAR COMÉRCIO CONSTRUÇÃO E REPRESENTAÇÃO LTDA - ME, EM RECUPERAÇÃO JUDICIAL</t>
        </is>
      </c>
      <c r="D191" s="20" t="inlineStr">
        <is>
          <t>NEW</t>
        </is>
      </c>
      <c r="E191" s="21" t="inlineStr"/>
      <c r="F191" s="20" t="inlineStr"/>
      <c r="G191" s="21" t="inlineStr"/>
      <c r="H191" s="20" t="inlineStr"/>
      <c r="I191" s="22" t="inlineStr">
        <is>
          <t>Rafaela Almeida</t>
        </is>
      </c>
      <c r="J191" s="22" t="inlineStr">
        <is>
          <t>Coordenadora de Câmbio e Tesouraria</t>
        </is>
      </c>
      <c r="K191" s="22" t="inlineStr">
        <is>
          <t>(81) 3797-6245</t>
        </is>
      </c>
      <c r="L191" s="22" t="inlineStr">
        <is>
          <t>(81) 3797-6246</t>
        </is>
      </c>
      <c r="M191" s="22" t="inlineStr"/>
      <c r="N191" s="22" t="inlineStr"/>
      <c r="O191" s="22" t="inlineStr"/>
      <c r="P191" s="22" t="inlineStr">
        <is>
          <t>Gilsilene Furtado</t>
        </is>
      </c>
      <c r="Q191" s="22" t="inlineStr">
        <is>
          <t>Analista Financeiro Contas a Receber</t>
        </is>
      </c>
      <c r="R191" s="22" t="inlineStr"/>
      <c r="S191" s="22" t="inlineStr">
        <is>
          <t>gfurtado@magnumtires.com.br</t>
        </is>
      </c>
      <c r="T191" s="22" t="inlineStr">
        <is>
          <t>no work email in Apollo for DM; BACKUP: backup, has_email</t>
        </is>
      </c>
      <c r="U191" s="24" t="n">
        <v>644893.08</v>
      </c>
      <c r="V191" s="25" t="inlineStr">
        <is>
          <t>B</t>
        </is>
      </c>
      <c r="W191" s="26" t="inlineStr"/>
      <c r="X191" s="27" t="inlineStr"/>
      <c r="Y191" s="27" t="inlineStr"/>
      <c r="Z191" s="26">
        <f>IF(W191&lt;&gt;"",W191,IFERROR(VLOOKUP(V191,Assumptions!$A$8:$F$12,2,FALSE),0))</f>
        <v/>
      </c>
      <c r="AA191" s="28">
        <f>IF(V191="A",MAX(1,IF(X191&lt;&gt;"",X191,IFERROR(VLOOKUP(V191,Assumptions!$A$8:$F$12,3,FALSE),3))+IF(Y191&lt;&gt;"",Y191,IFERROR(VLOOKUP(V191,Assumptions!$A$8:$F$12,4,FALSE),8))/2-MAX(0,IF(AS191="",0,YEAR(TODAY())-AS191)-IFERROR(VLOOKUP(V191,Assumptions!$A$8:$F$12,5,FALSE),1.5))),IFERROR(VLOOKUP(V191,Assumptions!$A$8:$F$12,5,FALSE),2.5)+IF(X191&lt;&gt;"",X191,IFERROR(VLOOKUP(V191,Assumptions!$A$8:$F$12,3,FALSE),3))+IF(Y191&lt;&gt;"",Y191,IFERROR(VLOOKUP(V191,Assumptions!$A$8:$F$12,4,FALSE),8))/2)</f>
        <v/>
      </c>
      <c r="AB191" s="24">
        <f>U191*Z191/(1+Assumptions!$B$3)^AA191</f>
        <v/>
      </c>
      <c r="AC191" s="27">
        <f>IF(U191=0,"",ROUND(AB191/U191*100,1))</f>
        <v/>
      </c>
      <c r="AD191" s="29">
        <f>AB191*Assumptions!$B$4</f>
        <v/>
      </c>
      <c r="AE191" s="27">
        <f>IF(U191=0,"",ROUND(AD191/U191*100,1))</f>
        <v/>
      </c>
      <c r="AF191" s="29">
        <f>AB191-AD191</f>
        <v/>
      </c>
      <c r="AG191" s="27">
        <f>IF(U191=0,"",ROUND((AB191-AD191)/U191*100,1))</f>
        <v/>
      </c>
      <c r="AH191" s="30" t="inlineStr">
        <is>
          <t>OK — totals reconciled</t>
        </is>
      </c>
      <c r="AI191" s="31" t="inlineStr">
        <is>
          <t>https://lrflideres.com.br/wp-content/uploads/2022/08/4.-EDITAL-2a-LISTA-DE-CREDORES.pdf</t>
        </is>
      </c>
      <c r="AJ191" s="30" t="inlineStr">
        <is>
          <t>p1 r21</t>
        </is>
      </c>
      <c r="AK191" s="30" t="inlineStr">
        <is>
          <t>p1: R$ 644.893,08</t>
        </is>
      </c>
      <c r="AL191" s="30" t="inlineStr">
        <is>
          <t>AJ list (art. 7 §2)</t>
        </is>
      </c>
      <c r="AM191" s="30" t="inlineStr">
        <is>
          <t>2023-12-04</t>
        </is>
      </c>
      <c r="AN191" s="30" t="inlineStr">
        <is>
          <t>NONE FOUND</t>
        </is>
      </c>
      <c r="AO191" s="32" t="inlineStr">
        <is>
          <t>0804204-35.2022.8.15.0731</t>
        </is>
      </c>
      <c r="AP191" s="32" t="inlineStr">
        <is>
          <t>TJPB</t>
        </is>
      </c>
      <c r="AQ191" s="32" t="inlineStr">
        <is>
          <t>Recuperação judicial</t>
        </is>
      </c>
      <c r="AR191" s="32" t="inlineStr">
        <is>
          <t>DataJud: no closure/falência movement</t>
        </is>
      </c>
      <c r="AS191" s="32" t="n">
        <v>2022</v>
      </c>
      <c r="AT191" s="32" t="inlineStr">
        <is>
          <t>live case, no plan document yet</t>
        </is>
      </c>
      <c r="AU191" s="32" t="inlineStr"/>
      <c r="AV191" s="32" t="inlineStr">
        <is>
          <t>printed on the list (read twice)</t>
        </is>
      </c>
      <c r="AW191" s="32" t="inlineStr"/>
      <c r="AX191" s="32" t="inlineStr">
        <is>
          <t>JABOATAO DOS GUARARAPES</t>
        </is>
      </c>
      <c r="AY191" s="32" t="inlineStr">
        <is>
          <t>PE</t>
        </is>
      </c>
      <c r="AZ191" s="32" t="inlineStr">
        <is>
          <t>Comércio por atacado de pneumáticos e câmaras-de-ar</t>
        </is>
      </c>
      <c r="BA191" s="32" t="inlineStr">
        <is>
          <t>não ME/EPP</t>
        </is>
      </c>
      <c r="BB191" s="33" t="n">
        <v>44080948</v>
      </c>
      <c r="BC191" s="32" t="inlineStr">
        <is>
          <t>MID-MARKET</t>
        </is>
      </c>
      <c r="BD191" s="32" t="inlineStr">
        <is>
          <t>19403406</t>
        </is>
      </c>
      <c r="BE191" s="32" t="n">
        <v>1</v>
      </c>
      <c r="BF191" s="32" t="inlineStr"/>
    </row>
    <row r="192">
      <c r="A192" s="17" t="inlineStr">
        <is>
          <t>COMPANHIA ENERGETICA DE PERNAMBUCO</t>
        </is>
      </c>
      <c r="B192" s="18" t="n">
        <v>628007.87</v>
      </c>
      <c r="C192" s="19" t="inlineStr">
        <is>
          <t>GRUPO DIVINA</t>
        </is>
      </c>
      <c r="D192" s="20" t="inlineStr">
        <is>
          <t>NEW</t>
        </is>
      </c>
      <c r="E192" s="21" t="inlineStr"/>
      <c r="F192" s="20" t="inlineStr"/>
      <c r="G192" s="21" t="inlineStr"/>
      <c r="H192" s="20" t="inlineStr"/>
      <c r="I192" s="22" t="inlineStr">
        <is>
          <t>SAULO CABRAL E SILVA</t>
        </is>
      </c>
      <c r="J192" s="23" t="inlineStr">
        <is>
          <t>Presidente (RFB partner)</t>
        </is>
      </c>
      <c r="K192" s="22" t="inlineStr">
        <is>
          <t>(81) 3217-5226</t>
        </is>
      </c>
      <c r="L192" s="22" t="inlineStr"/>
      <c r="M192" s="22" t="inlineStr"/>
      <c r="N192" s="22" t="inlineStr"/>
      <c r="O192" s="22" t="inlineStr"/>
      <c r="P192" s="22" t="inlineStr">
        <is>
          <t>FABIANO DA ROSA CARVALHO</t>
        </is>
      </c>
      <c r="Q192" s="22" t="inlineStr">
        <is>
          <t>Diretor (RFB partner)</t>
        </is>
      </c>
      <c r="R192" s="22" t="inlineStr"/>
      <c r="S192" s="22" t="inlineStr"/>
      <c r="T192" s="22" t="inlineStr">
        <is>
          <t>DM = registered partner (RFB QSA); no Apollo match</t>
        </is>
      </c>
      <c r="U192" s="24" t="n">
        <v>628007.87</v>
      </c>
      <c r="V192" s="25" t="inlineStr">
        <is>
          <t>B</t>
        </is>
      </c>
      <c r="W192" s="26" t="inlineStr"/>
      <c r="X192" s="27" t="inlineStr"/>
      <c r="Y192" s="27" t="inlineStr"/>
      <c r="Z192" s="26">
        <f>IF(W192&lt;&gt;"",W192,IFERROR(VLOOKUP(V192,Assumptions!$A$8:$F$12,2,FALSE),0))</f>
        <v/>
      </c>
      <c r="AA192" s="28">
        <f>IF(V192="A",MAX(1,IF(X192&lt;&gt;"",X192,IFERROR(VLOOKUP(V192,Assumptions!$A$8:$F$12,3,FALSE),3))+IF(Y192&lt;&gt;"",Y192,IFERROR(VLOOKUP(V192,Assumptions!$A$8:$F$12,4,FALSE),8))/2-MAX(0,IF(AS192="",0,YEAR(TODAY())-AS192)-IFERROR(VLOOKUP(V192,Assumptions!$A$8:$F$12,5,FALSE),1.5))),IFERROR(VLOOKUP(V192,Assumptions!$A$8:$F$12,5,FALSE),2.5)+IF(X192&lt;&gt;"",X192,IFERROR(VLOOKUP(V192,Assumptions!$A$8:$F$12,3,FALSE),3))+IF(Y192&lt;&gt;"",Y192,IFERROR(VLOOKUP(V192,Assumptions!$A$8:$F$12,4,FALSE),8))/2)</f>
        <v/>
      </c>
      <c r="AB192" s="24">
        <f>U192*Z192/(1+Assumptions!$B$3)^AA192</f>
        <v/>
      </c>
      <c r="AC192" s="27">
        <f>IF(U192=0,"",ROUND(AB192/U192*100,1))</f>
        <v/>
      </c>
      <c r="AD192" s="29">
        <f>AB192*Assumptions!$B$4</f>
        <v/>
      </c>
      <c r="AE192" s="27">
        <f>IF(U192=0,"",ROUND(AD192/U192*100,1))</f>
        <v/>
      </c>
      <c r="AF192" s="29">
        <f>AB192-AD192</f>
        <v/>
      </c>
      <c r="AG192" s="27">
        <f>IF(U192=0,"",ROUND((AB192-AD192)/U192*100,1))</f>
        <v/>
      </c>
      <c r="AH192" s="35" t="inlineStr">
        <is>
          <t>PARTIAL — class III reconciled, other classes not</t>
        </is>
      </c>
      <c r="AI192" s="31" t="inlineStr">
        <is>
          <t>https://lrflideres.com.br/wp-content/plugins/download-attachments/includes/download.php?id=6252</t>
        </is>
      </c>
      <c r="AJ192" s="30" t="inlineStr">
        <is>
          <t>p2 r63</t>
        </is>
      </c>
      <c r="AK192" s="30" t="inlineStr">
        <is>
          <t>p2: R$ 628.007,87</t>
        </is>
      </c>
      <c r="AL192" s="30" t="inlineStr">
        <is>
          <t>AJ list (art. 7 §2)</t>
        </is>
      </c>
      <c r="AM192" s="30" t="inlineStr">
        <is>
          <t>2024-11-27</t>
        </is>
      </c>
      <c r="AN192" s="30" t="inlineStr">
        <is>
          <t>NONE FOUND</t>
        </is>
      </c>
      <c r="AO192" s="32" t="inlineStr">
        <is>
          <t>0000721-61.2024.8.17.2620</t>
        </is>
      </c>
      <c r="AP192" s="32" t="inlineStr">
        <is>
          <t>TJPE</t>
        </is>
      </c>
      <c r="AQ192" s="32" t="inlineStr">
        <is>
          <t>Recuperação judicial</t>
        </is>
      </c>
      <c r="AR192" s="32" t="inlineStr">
        <is>
          <t>DataJud: no closure/falência movement</t>
        </is>
      </c>
      <c r="AS192" s="32" t="n">
        <v>2024</v>
      </c>
      <c r="AT192" s="32" t="inlineStr">
        <is>
          <t>live case, no plan document yet</t>
        </is>
      </c>
      <c r="AU192" s="32" t="inlineStr">
        <is>
          <t>08.785.522/0001-58</t>
        </is>
      </c>
      <c r="AV192" s="32" t="inlineStr">
        <is>
          <t>printed on the list (read twice)</t>
        </is>
      </c>
      <c r="AW192" s="32" t="inlineStr"/>
      <c r="AX192" s="32" t="inlineStr">
        <is>
          <t>RECIFE</t>
        </is>
      </c>
      <c r="AY192" s="32" t="inlineStr">
        <is>
          <t>PE</t>
        </is>
      </c>
      <c r="AZ192" s="32" t="inlineStr">
        <is>
          <t>Distribuição de energia elétrica</t>
        </is>
      </c>
      <c r="BA192" s="32" t="inlineStr">
        <is>
          <t>não ME/EPP</t>
        </is>
      </c>
      <c r="BB192" s="33" t="n">
        <v>1663177700</v>
      </c>
      <c r="BC192" s="32" t="inlineStr">
        <is>
          <t>LARGE CORP</t>
        </is>
      </c>
      <c r="BD192" s="32" t="inlineStr">
        <is>
          <t>10835932</t>
        </is>
      </c>
      <c r="BE192" s="32" t="n">
        <v>1</v>
      </c>
      <c r="BF192" s="32" t="inlineStr">
        <is>
          <t>class III reconciled (doc partial)</t>
        </is>
      </c>
    </row>
    <row r="193">
      <c r="A193" s="17" t="inlineStr">
        <is>
          <t>ALGAR AVIATION TAXI AEREO S/A</t>
        </is>
      </c>
      <c r="B193" s="18" t="n">
        <v>620879.4300000001</v>
      </c>
      <c r="C193" s="19" t="inlineStr">
        <is>
          <t>GRUPO EGESA (Egesa Engenharia S.A. + 9 group companies; see group members)</t>
        </is>
      </c>
      <c r="D193" s="20" t="inlineStr">
        <is>
          <t>NEW</t>
        </is>
      </c>
      <c r="E193" s="21" t="inlineStr"/>
      <c r="F193" s="20" t="inlineStr"/>
      <c r="G193" s="21" t="inlineStr"/>
      <c r="H193" s="20" t="inlineStr"/>
      <c r="I193" s="22" t="inlineStr">
        <is>
          <t>FERNANDA APARECIDA SANTOS</t>
        </is>
      </c>
      <c r="J193" s="23" t="inlineStr">
        <is>
          <t>Diretor (RFB partner)</t>
        </is>
      </c>
      <c r="K193" s="22" t="inlineStr">
        <is>
          <t>(34) 2589-4663</t>
        </is>
      </c>
      <c r="L193" s="22" t="inlineStr">
        <is>
          <t>(34) 2589-4662</t>
        </is>
      </c>
      <c r="M193" s="22" t="inlineStr"/>
      <c r="N193" s="22" t="inlineStr"/>
      <c r="O193" s="22" t="inlineStr"/>
      <c r="P193" s="22" t="inlineStr">
        <is>
          <t>LUCIANA FERREIRA NEVES VASCONCELOS</t>
        </is>
      </c>
      <c r="Q193" s="22" t="inlineStr">
        <is>
          <t>Diretor (RFB partner)</t>
        </is>
      </c>
      <c r="R193" s="22" t="inlineStr"/>
      <c r="S193" s="22" t="inlineStr"/>
      <c r="T193" s="22" t="inlineStr">
        <is>
          <t>DM = registered partner (RFB QSA); no Apollo match</t>
        </is>
      </c>
      <c r="U193" s="24" t="n">
        <v>620879.4300000001</v>
      </c>
      <c r="V193" s="25" t="inlineStr">
        <is>
          <t>B</t>
        </is>
      </c>
      <c r="W193" s="26" t="inlineStr"/>
      <c r="X193" s="27" t="inlineStr"/>
      <c r="Y193" s="27" t="inlineStr"/>
      <c r="Z193" s="26">
        <f>IF(W193&lt;&gt;"",W193,IFERROR(VLOOKUP(V193,Assumptions!$A$8:$F$12,2,FALSE),0))</f>
        <v/>
      </c>
      <c r="AA193" s="28">
        <f>IF(V193="A",MAX(1,IF(X193&lt;&gt;"",X193,IFERROR(VLOOKUP(V193,Assumptions!$A$8:$F$12,3,FALSE),3))+IF(Y193&lt;&gt;"",Y193,IFERROR(VLOOKUP(V193,Assumptions!$A$8:$F$12,4,FALSE),8))/2-MAX(0,IF(AS193="",0,YEAR(TODAY())-AS193)-IFERROR(VLOOKUP(V193,Assumptions!$A$8:$F$12,5,FALSE),1.5))),IFERROR(VLOOKUP(V193,Assumptions!$A$8:$F$12,5,FALSE),2.5)+IF(X193&lt;&gt;"",X193,IFERROR(VLOOKUP(V193,Assumptions!$A$8:$F$12,3,FALSE),3))+IF(Y193&lt;&gt;"",Y193,IFERROR(VLOOKUP(V193,Assumptions!$A$8:$F$12,4,FALSE),8))/2)</f>
        <v/>
      </c>
      <c r="AB193" s="24">
        <f>U193*Z193/(1+Assumptions!$B$3)^AA193</f>
        <v/>
      </c>
      <c r="AC193" s="27">
        <f>IF(U193=0,"",ROUND(AB193/U193*100,1))</f>
        <v/>
      </c>
      <c r="AD193" s="29">
        <f>AB193*Assumptions!$B$4</f>
        <v/>
      </c>
      <c r="AE193" s="27">
        <f>IF(U193=0,"",ROUND(AD193/U193*100,1))</f>
        <v/>
      </c>
      <c r="AF193" s="29">
        <f>AB193-AD193</f>
        <v/>
      </c>
      <c r="AG193" s="27">
        <f>IF(U193=0,"",ROUND((AB193-AD193)/U193*100,1))</f>
        <v/>
      </c>
      <c r="AH193" s="30" t="inlineStr">
        <is>
          <t>OK — totals reconciled</t>
        </is>
      </c>
      <c r="AI193" s="31" t="inlineStr">
        <is>
          <t>https://scalzilliaj.com.br/sgc/download.php?file=files/processo_documento/processo_documento09514021082025_1_.pdf&amp;nome=04 - Relação de credores das Recuperandas</t>
        </is>
      </c>
      <c r="AJ193" s="30" t="inlineStr">
        <is>
          <t>p62 r1</t>
        </is>
      </c>
      <c r="AK193" s="30" t="inlineStr">
        <is>
          <t>p62: R$ 620.879,43</t>
        </is>
      </c>
      <c r="AL193" s="30" t="inlineStr">
        <is>
          <t>Debtor list (art. 51)</t>
        </is>
      </c>
      <c r="AM193" s="30" t="inlineStr"/>
      <c r="AN193" s="30" t="inlineStr">
        <is>
          <t>NONE FOUND</t>
        </is>
      </c>
      <c r="AO193" s="32" t="inlineStr">
        <is>
          <t>5088952-81.2025.8.13.0024</t>
        </is>
      </c>
      <c r="AP193" s="32" t="inlineStr">
        <is>
          <t>TJMG</t>
        </is>
      </c>
      <c r="AQ193" s="32" t="inlineStr"/>
      <c r="AR193" s="32" t="inlineStr">
        <is>
          <t>DataJud: no closure/falência movement</t>
        </is>
      </c>
      <c r="AS193" s="32" t="n">
        <v>2025</v>
      </c>
      <c r="AT193" s="32" t="inlineStr">
        <is>
          <t>live case, no plan document yet; case no. from the portal record, not printed on the list</t>
        </is>
      </c>
      <c r="AU193" s="32" t="inlineStr"/>
      <c r="AV193" s="32" t="inlineStr">
        <is>
          <t>portal page title / URL — not printed on the list</t>
        </is>
      </c>
      <c r="AW193" s="32" t="inlineStr"/>
      <c r="AX193" s="32" t="inlineStr">
        <is>
          <t>UBERLANDIA</t>
        </is>
      </c>
      <c r="AY193" s="32" t="inlineStr">
        <is>
          <t>MG</t>
        </is>
      </c>
      <c r="AZ193" s="32" t="inlineStr">
        <is>
          <t>Serviço de táxi aéreo e locação de aeronaves com tripulação</t>
        </is>
      </c>
      <c r="BA193" s="32" t="inlineStr">
        <is>
          <t>não ME/EPP</t>
        </is>
      </c>
      <c r="BB193" s="33" t="n">
        <v>80520610</v>
      </c>
      <c r="BC193" s="32" t="inlineStr">
        <is>
          <t>MID-MARKET</t>
        </is>
      </c>
      <c r="BD193" s="32" t="inlineStr">
        <is>
          <t>17186172</t>
        </is>
      </c>
      <c r="BE193" s="32" t="n">
        <v>1</v>
      </c>
      <c r="BF193" s="32" t="inlineStr">
        <is>
          <t>case no. corrected by reader case no. from portal record</t>
        </is>
      </c>
    </row>
    <row r="194">
      <c r="A194" s="17" t="inlineStr">
        <is>
          <t>CONFECCOES ALTA MODA LTDA</t>
        </is>
      </c>
      <c r="B194" s="18" t="n">
        <v>619038.5600000001</v>
      </c>
      <c r="C194" s="19" t="inlineStr">
        <is>
          <t>GRUPO CATTAN</t>
        </is>
      </c>
      <c r="D194" s="20" t="inlineStr">
        <is>
          <t>NEW</t>
        </is>
      </c>
      <c r="E194" s="21" t="inlineStr"/>
      <c r="F194" s="20" t="inlineStr"/>
      <c r="G194" s="21" t="inlineStr"/>
      <c r="H194" s="20" t="inlineStr"/>
      <c r="I194" s="22" t="inlineStr">
        <is>
          <t>Viviane Daufembach</t>
        </is>
      </c>
      <c r="J194" s="22" t="inlineStr">
        <is>
          <t>Key Account Manager</t>
        </is>
      </c>
      <c r="K194" s="22" t="inlineStr">
        <is>
          <t>(11) 2698-0111</t>
        </is>
      </c>
      <c r="L194" s="22" t="inlineStr"/>
      <c r="M194" s="22" t="inlineStr"/>
      <c r="N194" s="22" t="inlineStr"/>
      <c r="O194" s="22" t="inlineStr"/>
      <c r="P194" s="22" t="inlineStr">
        <is>
          <t>Paula Garcia</t>
        </is>
      </c>
      <c r="Q194" s="22" t="inlineStr">
        <is>
          <t>HR Supervisor</t>
        </is>
      </c>
      <c r="R194" s="22" t="inlineStr"/>
      <c r="S194" s="22" t="inlineStr">
        <is>
          <t>rh@biotipo.com.br</t>
        </is>
      </c>
      <c r="T194" s="22" t="inlineStr">
        <is>
          <t>DM: weak, phone Yes; no work email in Apollo for DM; BACKUP: backup, has_email, phone Yes</t>
        </is>
      </c>
      <c r="U194" s="24" t="n">
        <v>619038.5600000001</v>
      </c>
      <c r="V194" s="25" t="inlineStr">
        <is>
          <t>B</t>
        </is>
      </c>
      <c r="W194" s="26" t="inlineStr"/>
      <c r="X194" s="27" t="inlineStr"/>
      <c r="Y194" s="27" t="inlineStr"/>
      <c r="Z194" s="26">
        <f>IF(W194&lt;&gt;"",W194,IFERROR(VLOOKUP(V194,Assumptions!$A$8:$F$12,2,FALSE),0))</f>
        <v/>
      </c>
      <c r="AA194" s="28">
        <f>IF(V194="A",MAX(1,IF(X194&lt;&gt;"",X194,IFERROR(VLOOKUP(V194,Assumptions!$A$8:$F$12,3,FALSE),3))+IF(Y194&lt;&gt;"",Y194,IFERROR(VLOOKUP(V194,Assumptions!$A$8:$F$12,4,FALSE),8))/2-MAX(0,IF(AS194="",0,YEAR(TODAY())-AS194)-IFERROR(VLOOKUP(V194,Assumptions!$A$8:$F$12,5,FALSE),1.5))),IFERROR(VLOOKUP(V194,Assumptions!$A$8:$F$12,5,FALSE),2.5)+IF(X194&lt;&gt;"",X194,IFERROR(VLOOKUP(V194,Assumptions!$A$8:$F$12,3,FALSE),3))+IF(Y194&lt;&gt;"",Y194,IFERROR(VLOOKUP(V194,Assumptions!$A$8:$F$12,4,FALSE),8))/2)</f>
        <v/>
      </c>
      <c r="AB194" s="24">
        <f>U194*Z194/(1+Assumptions!$B$3)^AA194</f>
        <v/>
      </c>
      <c r="AC194" s="27">
        <f>IF(U194=0,"",ROUND(AB194/U194*100,1))</f>
        <v/>
      </c>
      <c r="AD194" s="29">
        <f>AB194*Assumptions!$B$4</f>
        <v/>
      </c>
      <c r="AE194" s="27">
        <f>IF(U194=0,"",ROUND(AD194/U194*100,1))</f>
        <v/>
      </c>
      <c r="AF194" s="29">
        <f>AB194-AD194</f>
        <v/>
      </c>
      <c r="AG194" s="27">
        <f>IF(U194=0,"",ROUND((AB194-AD194)/U194*100,1))</f>
        <v/>
      </c>
      <c r="AH194" s="35" t="inlineStr">
        <is>
          <t>PARTIAL — class III reconciled, other classes not</t>
        </is>
      </c>
      <c r="AI194" s="31" t="inlineStr">
        <is>
          <t>https://lrflideres.com.br/wp-content/plugins/download-attachments/includes/download.php?id=4023</t>
        </is>
      </c>
      <c r="AJ194" s="30" t="inlineStr">
        <is>
          <t>p7 r86; p9 r64</t>
        </is>
      </c>
      <c r="AK194" s="30" t="inlineStr">
        <is>
          <t>p7: R$ 522.841,76; p9: R$ 96.196,80</t>
        </is>
      </c>
      <c r="AL194" s="30" t="inlineStr">
        <is>
          <t>Debtor list (art. 51)</t>
        </is>
      </c>
      <c r="AM194" s="30" t="inlineStr"/>
      <c r="AN194" s="30" t="inlineStr">
        <is>
          <t>NONE FOUND</t>
        </is>
      </c>
      <c r="AO194" s="32" t="inlineStr">
        <is>
          <t>0002484-82.2022.8.17.2001</t>
        </is>
      </c>
      <c r="AP194" s="32" t="inlineStr">
        <is>
          <t>TJPE</t>
        </is>
      </c>
      <c r="AQ194" s="32" t="inlineStr">
        <is>
          <t>Recuperação judicial</t>
        </is>
      </c>
      <c r="AR194" s="32" t="inlineStr">
        <is>
          <t>DataJud: no closure/falência movement</t>
        </is>
      </c>
      <c r="AS194" s="32" t="n">
        <v>2022</v>
      </c>
      <c r="AT194" s="32" t="inlineStr">
        <is>
          <t>live case, no plan document yet</t>
        </is>
      </c>
      <c r="AU194" s="32" t="inlineStr"/>
      <c r="AV194" s="32" t="inlineStr">
        <is>
          <t>printed on the list (read twice)</t>
        </is>
      </c>
      <c r="AW194" s="32" t="inlineStr"/>
      <c r="AX194" s="32" t="inlineStr">
        <is>
          <t>SAO PAULO</t>
        </is>
      </c>
      <c r="AY194" s="32" t="inlineStr">
        <is>
          <t>SP</t>
        </is>
      </c>
      <c r="AZ194" s="32" t="inlineStr">
        <is>
          <t>Confecção de peças de vestuário, exceto roupas íntimas e as confeccionadas sob medida</t>
        </is>
      </c>
      <c r="BA194" s="32" t="inlineStr">
        <is>
          <t>não ME/EPP</t>
        </is>
      </c>
      <c r="BB194" s="33" t="n">
        <v>61000000</v>
      </c>
      <c r="BC194" s="32" t="inlineStr">
        <is>
          <t>MID-MARKET</t>
        </is>
      </c>
      <c r="BD194" s="32" t="inlineStr">
        <is>
          <t>04273385</t>
        </is>
      </c>
      <c r="BE194" s="32" t="n">
        <v>2</v>
      </c>
      <c r="BF194" s="32" t="inlineStr">
        <is>
          <t>class III reconciled (doc partial)</t>
        </is>
      </c>
    </row>
    <row r="195">
      <c r="A195" s="17" t="inlineStr">
        <is>
          <t>TOTALCLEAN - COMERCIO DE PRODUTOS DE HIGIENE E LIMPEZA LTDA</t>
        </is>
      </c>
      <c r="B195" s="18" t="n">
        <v>617079.91</v>
      </c>
      <c r="C195" s="19" t="inlineStr">
        <is>
          <t>ASSOCIAÇÃO DE CARIDADE SANTA CASA DO RIO GRANDE</t>
        </is>
      </c>
      <c r="D195" s="20" t="inlineStr">
        <is>
          <t>NEW</t>
        </is>
      </c>
      <c r="E195" s="21" t="inlineStr"/>
      <c r="F195" s="20" t="inlineStr"/>
      <c r="G195" s="21" t="inlineStr"/>
      <c r="H195" s="20" t="inlineStr"/>
      <c r="I195" s="22" t="inlineStr">
        <is>
          <t>JOSE NEI PARODES</t>
        </is>
      </c>
      <c r="J195" s="23" t="inlineStr">
        <is>
          <t>Sócio-Administrador (RFB partner)</t>
        </is>
      </c>
      <c r="K195" s="22" t="inlineStr">
        <is>
          <t>(53) 8402-0212</t>
        </is>
      </c>
      <c r="L195" s="22" t="inlineStr"/>
      <c r="M195" s="22" t="inlineStr"/>
      <c r="N195" s="22" t="inlineStr"/>
      <c r="O195" s="22" t="inlineStr"/>
      <c r="P195" s="22" t="inlineStr"/>
      <c r="Q195" s="22" t="inlineStr"/>
      <c r="R195" s="22" t="inlineStr"/>
      <c r="S195" s="22" t="inlineStr"/>
      <c r="T195" s="22" t="inlineStr">
        <is>
          <t>DM = registered partner (RFB QSA); no Apollo match</t>
        </is>
      </c>
      <c r="U195" s="24" t="n">
        <v>617079.91</v>
      </c>
      <c r="V195" s="25" t="inlineStr">
        <is>
          <t>B</t>
        </is>
      </c>
      <c r="W195" s="26" t="inlineStr"/>
      <c r="X195" s="27" t="inlineStr"/>
      <c r="Y195" s="27" t="inlineStr"/>
      <c r="Z195" s="26">
        <f>IF(W195&lt;&gt;"",W195,IFERROR(VLOOKUP(V195,Assumptions!$A$8:$F$12,2,FALSE),0))</f>
        <v/>
      </c>
      <c r="AA195" s="28">
        <f>IF(V195="A",MAX(1,IF(X195&lt;&gt;"",X195,IFERROR(VLOOKUP(V195,Assumptions!$A$8:$F$12,3,FALSE),3))+IF(Y195&lt;&gt;"",Y195,IFERROR(VLOOKUP(V195,Assumptions!$A$8:$F$12,4,FALSE),8))/2-MAX(0,IF(AS195="",0,YEAR(TODAY())-AS195)-IFERROR(VLOOKUP(V195,Assumptions!$A$8:$F$12,5,FALSE),1.5))),IFERROR(VLOOKUP(V195,Assumptions!$A$8:$F$12,5,FALSE),2.5)+IF(X195&lt;&gt;"",X195,IFERROR(VLOOKUP(V195,Assumptions!$A$8:$F$12,3,FALSE),3))+IF(Y195&lt;&gt;"",Y195,IFERROR(VLOOKUP(V195,Assumptions!$A$8:$F$12,4,FALSE),8))/2)</f>
        <v/>
      </c>
      <c r="AB195" s="24">
        <f>U195*Z195/(1+Assumptions!$B$3)^AA195</f>
        <v/>
      </c>
      <c r="AC195" s="27">
        <f>IF(U195=0,"",ROUND(AB195/U195*100,1))</f>
        <v/>
      </c>
      <c r="AD195" s="29">
        <f>AB195*Assumptions!$B$4</f>
        <v/>
      </c>
      <c r="AE195" s="27">
        <f>IF(U195=0,"",ROUND(AD195/U195*100,1))</f>
        <v/>
      </c>
      <c r="AF195" s="29">
        <f>AB195-AD195</f>
        <v/>
      </c>
      <c r="AG195" s="27">
        <f>IF(U195=0,"",ROUND((AB195-AD195)/U195*100,1))</f>
        <v/>
      </c>
      <c r="AH195" s="34" t="inlineStr">
        <is>
          <t>NO TOTALS — list prints none; check page</t>
        </is>
      </c>
      <c r="AI195" s="31" t="inlineStr">
        <is>
          <t>https://scalzilliaj.com.br/sgc/download.php?file=files/processo_documento/processo_documento09120721032023_1_.pdf&amp;nome=15 - Edital do art. 7º, §2º e 53 da Lei 11.101/2005 (segunda lista de credores e recebimento do plano))</t>
        </is>
      </c>
      <c r="AJ195" s="30" t="inlineStr">
        <is>
          <t>p30 r21</t>
        </is>
      </c>
      <c r="AK195" s="30" t="inlineStr">
        <is>
          <t>p30: R$ 617.079,91</t>
        </is>
      </c>
      <c r="AL195" s="30" t="inlineStr">
        <is>
          <t>AJ list (art. 7 §2)</t>
        </is>
      </c>
      <c r="AM195" s="30" t="inlineStr">
        <is>
          <t>2023-03-21</t>
        </is>
      </c>
      <c r="AN195" s="30" t="inlineStr">
        <is>
          <t>NONE FOUND</t>
        </is>
      </c>
      <c r="AO195" s="32" t="inlineStr">
        <is>
          <t>5012306-16.2022.8.21.0023</t>
        </is>
      </c>
      <c r="AP195" s="32" t="inlineStr">
        <is>
          <t>TJRS</t>
        </is>
      </c>
      <c r="AQ195" s="32" t="inlineStr">
        <is>
          <t>Recuperação judicial</t>
        </is>
      </c>
      <c r="AR195" s="32" t="inlineStr">
        <is>
          <t>DataJud: no closure/falência movement</t>
        </is>
      </c>
      <c r="AS195" s="32" t="n">
        <v>2022</v>
      </c>
      <c r="AT195" s="32" t="inlineStr">
        <is>
          <t>live case, no plan document yet; atypical debtor (associação/clube/hospital/produtor rural): admissibility or claim subjection may be contested</t>
        </is>
      </c>
      <c r="AU195" s="32" t="inlineStr"/>
      <c r="AV195" s="32" t="inlineStr">
        <is>
          <t>printed on the list (read twice)</t>
        </is>
      </c>
      <c r="AW195" s="32" t="inlineStr"/>
      <c r="AX195" s="32" t="inlineStr">
        <is>
          <t>PELOTAS</t>
        </is>
      </c>
      <c r="AY195" s="32" t="inlineStr">
        <is>
          <t>RS</t>
        </is>
      </c>
      <c r="AZ195" s="32" t="inlineStr">
        <is>
          <t>Comércio atacadista de produtos de higiene, limpeza e conservação domiciliar</t>
        </is>
      </c>
      <c r="BA195" s="32" t="inlineStr">
        <is>
          <t>MICRO EMPRESA</t>
        </is>
      </c>
      <c r="BB195" s="33" t="n">
        <v>20000</v>
      </c>
      <c r="BC195" s="32" t="inlineStr">
        <is>
          <t>SMALL</t>
        </is>
      </c>
      <c r="BD195" s="32" t="inlineStr">
        <is>
          <t>07911181</t>
        </is>
      </c>
      <c r="BE195" s="32" t="n">
        <v>1</v>
      </c>
      <c r="BF195" s="32" t="inlineStr">
        <is>
          <t>list prints no totals</t>
        </is>
      </c>
    </row>
    <row r="196">
      <c r="A196" s="17" t="inlineStr">
        <is>
          <t>RBG PRODUTOS THERAPEUTICOS S/A</t>
        </is>
      </c>
      <c r="B196" s="18" t="n">
        <v>616054.5</v>
      </c>
      <c r="C196" s="19" t="inlineStr">
        <is>
          <t>ASSOCIAÇÃO DE CARIDADE SANTA CASA DO RIO GRANDE</t>
        </is>
      </c>
      <c r="D196" s="20" t="inlineStr">
        <is>
          <t>NEW</t>
        </is>
      </c>
      <c r="E196" s="21" t="inlineStr"/>
      <c r="F196" s="20" t="inlineStr"/>
      <c r="G196" s="21" t="inlineStr"/>
      <c r="H196" s="20" t="inlineStr"/>
      <c r="I196" s="22" t="inlineStr">
        <is>
          <t>Tatiana Ghisleri</t>
        </is>
      </c>
      <c r="J196" s="22" t="inlineStr">
        <is>
          <t>Manager</t>
        </is>
      </c>
      <c r="K196" s="22" t="inlineStr">
        <is>
          <t>(51) 3382-3350</t>
        </is>
      </c>
      <c r="L196" s="22" t="inlineStr"/>
      <c r="M196" s="22" t="inlineStr"/>
      <c r="N196" s="22" t="inlineStr">
        <is>
          <t>tatiana@rbgmedical.com.br</t>
        </is>
      </c>
      <c r="O196" s="22" t="inlineStr">
        <is>
          <t>verified</t>
        </is>
      </c>
      <c r="P196" s="22" t="inlineStr">
        <is>
          <t>Maura Louzada</t>
        </is>
      </c>
      <c r="Q196" s="22" t="inlineStr">
        <is>
          <t>Advogada Compliance e DPO</t>
        </is>
      </c>
      <c r="R196" s="22" t="inlineStr"/>
      <c r="S196" s="22" t="inlineStr">
        <is>
          <t>maura@rbgmedical.com.br</t>
        </is>
      </c>
      <c r="T196" s="22" t="inlineStr">
        <is>
          <t>DM: has_email, phone Yes; BACKUP: backup, has_email</t>
        </is>
      </c>
      <c r="U196" s="24" t="n">
        <v>616054.5</v>
      </c>
      <c r="V196" s="25" t="inlineStr">
        <is>
          <t>B</t>
        </is>
      </c>
      <c r="W196" s="26" t="inlineStr"/>
      <c r="X196" s="27" t="inlineStr"/>
      <c r="Y196" s="27" t="inlineStr"/>
      <c r="Z196" s="26">
        <f>IF(W196&lt;&gt;"",W196,IFERROR(VLOOKUP(V196,Assumptions!$A$8:$F$12,2,FALSE),0))</f>
        <v/>
      </c>
      <c r="AA196" s="28">
        <f>IF(V196="A",MAX(1,IF(X196&lt;&gt;"",X196,IFERROR(VLOOKUP(V196,Assumptions!$A$8:$F$12,3,FALSE),3))+IF(Y196&lt;&gt;"",Y196,IFERROR(VLOOKUP(V196,Assumptions!$A$8:$F$12,4,FALSE),8))/2-MAX(0,IF(AS196="",0,YEAR(TODAY())-AS196)-IFERROR(VLOOKUP(V196,Assumptions!$A$8:$F$12,5,FALSE),1.5))),IFERROR(VLOOKUP(V196,Assumptions!$A$8:$F$12,5,FALSE),2.5)+IF(X196&lt;&gt;"",X196,IFERROR(VLOOKUP(V196,Assumptions!$A$8:$F$12,3,FALSE),3))+IF(Y196&lt;&gt;"",Y196,IFERROR(VLOOKUP(V196,Assumptions!$A$8:$F$12,4,FALSE),8))/2)</f>
        <v/>
      </c>
      <c r="AB196" s="24">
        <f>U196*Z196/(1+Assumptions!$B$3)^AA196</f>
        <v/>
      </c>
      <c r="AC196" s="27">
        <f>IF(U196=0,"",ROUND(AB196/U196*100,1))</f>
        <v/>
      </c>
      <c r="AD196" s="29">
        <f>AB196*Assumptions!$B$4</f>
        <v/>
      </c>
      <c r="AE196" s="27">
        <f>IF(U196=0,"",ROUND(AD196/U196*100,1))</f>
        <v/>
      </c>
      <c r="AF196" s="29">
        <f>AB196-AD196</f>
        <v/>
      </c>
      <c r="AG196" s="27">
        <f>IF(U196=0,"",ROUND((AB196-AD196)/U196*100,1))</f>
        <v/>
      </c>
      <c r="AH196" s="34" t="inlineStr">
        <is>
          <t>NO TOTALS — list prints none; check page</t>
        </is>
      </c>
      <c r="AI196" s="31" t="inlineStr">
        <is>
          <t>https://scalzilliaj.com.br/sgc/download.php?file=files/processo_documento/processo_documento09120721032023_1_.pdf&amp;nome=15 - Edital do art. 7º, §2º e 53 da Lei 11.101/2005 (segunda lista de credores e recebimento do plano))</t>
        </is>
      </c>
      <c r="AJ196" s="30" t="inlineStr">
        <is>
          <t>p29 r30</t>
        </is>
      </c>
      <c r="AK196" s="30" t="inlineStr">
        <is>
          <t>p29: R$ 616.054,50</t>
        </is>
      </c>
      <c r="AL196" s="30" t="inlineStr">
        <is>
          <t>AJ list (art. 7 §2)</t>
        </is>
      </c>
      <c r="AM196" s="30" t="inlineStr">
        <is>
          <t>2023-03-21</t>
        </is>
      </c>
      <c r="AN196" s="30" t="inlineStr">
        <is>
          <t>NONE FOUND</t>
        </is>
      </c>
      <c r="AO196" s="32" t="inlineStr">
        <is>
          <t>5012306-16.2022.8.21.0023</t>
        </is>
      </c>
      <c r="AP196" s="32" t="inlineStr">
        <is>
          <t>TJRS</t>
        </is>
      </c>
      <c r="AQ196" s="32" t="inlineStr">
        <is>
          <t>Recuperação judicial</t>
        </is>
      </c>
      <c r="AR196" s="32" t="inlineStr">
        <is>
          <t>DataJud: no closure/falência movement</t>
        </is>
      </c>
      <c r="AS196" s="32" t="n">
        <v>2022</v>
      </c>
      <c r="AT196" s="32" t="inlineStr">
        <is>
          <t>live case, no plan document yet; atypical debtor (associação/clube/hospital/produtor rural): admissibility or claim subjection may be contested</t>
        </is>
      </c>
      <c r="AU196" s="32" t="inlineStr"/>
      <c r="AV196" s="32" t="inlineStr">
        <is>
          <t>printed on the list (read twice)</t>
        </is>
      </c>
      <c r="AW196" s="32" t="inlineStr"/>
      <c r="AX196" s="32" t="inlineStr">
        <is>
          <t>PORTO ALEGRE</t>
        </is>
      </c>
      <c r="AY196" s="32" t="inlineStr">
        <is>
          <t>RS</t>
        </is>
      </c>
      <c r="AZ196" s="32" t="inlineStr">
        <is>
          <t>Comércio atacadista de instrumentos e materiais para uso médico, cirúrgico, hospitalar e de laboratórios</t>
        </is>
      </c>
      <c r="BA196" s="32" t="inlineStr">
        <is>
          <t>não ME/EPP</t>
        </is>
      </c>
      <c r="BB196" s="33" t="n">
        <v>7000000</v>
      </c>
      <c r="BC196" s="32" t="inlineStr">
        <is>
          <t>MID-MARKET</t>
        </is>
      </c>
      <c r="BD196" s="32" t="inlineStr">
        <is>
          <t>03882840</t>
        </is>
      </c>
      <c r="BE196" s="32" t="n">
        <v>1</v>
      </c>
      <c r="BF196" s="32" t="inlineStr">
        <is>
          <t>list prints no totals</t>
        </is>
      </c>
    </row>
    <row r="197">
      <c r="A197" s="17" t="inlineStr">
        <is>
          <t>CIAPETRO DISTRIBUIDORA DE COMBUSTIVEIS LTDA</t>
        </is>
      </c>
      <c r="B197" s="18" t="n">
        <v>614493.12</v>
      </c>
      <c r="C197" s="19" t="inlineStr">
        <is>
          <t>GRUPO D&amp;D</t>
        </is>
      </c>
      <c r="D197" s="20" t="inlineStr">
        <is>
          <t>NEW</t>
        </is>
      </c>
      <c r="E197" s="21" t="inlineStr"/>
      <c r="F197" s="20" t="inlineStr"/>
      <c r="G197" s="21" t="inlineStr"/>
      <c r="H197" s="20" t="inlineStr"/>
      <c r="I197" s="22" t="inlineStr">
        <is>
          <t>MARCELO RODRIGUES DE OLIVEIRA</t>
        </is>
      </c>
      <c r="J197" s="23" t="inlineStr">
        <is>
          <t>Administrador (RFB partner)</t>
        </is>
      </c>
      <c r="K197" s="22" t="inlineStr">
        <is>
          <t>(44) 3619-6400</t>
        </is>
      </c>
      <c r="L197" s="22" t="inlineStr"/>
      <c r="M197" s="22" t="inlineStr"/>
      <c r="N197" s="22" t="inlineStr"/>
      <c r="O197" s="22" t="inlineStr"/>
      <c r="P197" s="22" t="inlineStr"/>
      <c r="Q197" s="22" t="inlineStr"/>
      <c r="R197" s="22" t="inlineStr"/>
      <c r="S197" s="22" t="inlineStr"/>
      <c r="T197" s="22" t="inlineStr">
        <is>
          <t>DM = registered partner (RFB QSA); no Apollo match</t>
        </is>
      </c>
      <c r="U197" s="24" t="n">
        <v>614493.12</v>
      </c>
      <c r="V197" s="25" t="inlineStr">
        <is>
          <t>B</t>
        </is>
      </c>
      <c r="W197" s="26" t="inlineStr"/>
      <c r="X197" s="27" t="inlineStr"/>
      <c r="Y197" s="27" t="inlineStr"/>
      <c r="Z197" s="26">
        <f>IF(W197&lt;&gt;"",W197,IFERROR(VLOOKUP(V197,Assumptions!$A$8:$F$12,2,FALSE),0))</f>
        <v/>
      </c>
      <c r="AA197" s="28">
        <f>IF(V197="A",MAX(1,IF(X197&lt;&gt;"",X197,IFERROR(VLOOKUP(V197,Assumptions!$A$8:$F$12,3,FALSE),3))+IF(Y197&lt;&gt;"",Y197,IFERROR(VLOOKUP(V197,Assumptions!$A$8:$F$12,4,FALSE),8))/2-MAX(0,IF(AS197="",0,YEAR(TODAY())-AS197)-IFERROR(VLOOKUP(V197,Assumptions!$A$8:$F$12,5,FALSE),1.5))),IFERROR(VLOOKUP(V197,Assumptions!$A$8:$F$12,5,FALSE),2.5)+IF(X197&lt;&gt;"",X197,IFERROR(VLOOKUP(V197,Assumptions!$A$8:$F$12,3,FALSE),3))+IF(Y197&lt;&gt;"",Y197,IFERROR(VLOOKUP(V197,Assumptions!$A$8:$F$12,4,FALSE),8))/2)</f>
        <v/>
      </c>
      <c r="AB197" s="24">
        <f>U197*Z197/(1+Assumptions!$B$3)^AA197</f>
        <v/>
      </c>
      <c r="AC197" s="27">
        <f>IF(U197=0,"",ROUND(AB197/U197*100,1))</f>
        <v/>
      </c>
      <c r="AD197" s="29">
        <f>AB197*Assumptions!$B$4</f>
        <v/>
      </c>
      <c r="AE197" s="27">
        <f>IF(U197=0,"",ROUND(AD197/U197*100,1))</f>
        <v/>
      </c>
      <c r="AF197" s="29">
        <f>AB197-AD197</f>
        <v/>
      </c>
      <c r="AG197" s="27">
        <f>IF(U197=0,"",ROUND((AB197-AD197)/U197*100,1))</f>
        <v/>
      </c>
      <c r="AH197" s="35" t="inlineStr">
        <is>
          <t>PARTIAL — class III reconciled, other classes not</t>
        </is>
      </c>
      <c r="AI197" s="31" t="inlineStr">
        <is>
          <t>https://marquesadmjudicial.com.br/sgc/download.php?file=files/processo_documento/processo_documento20014127022025_1_.pdf&amp;nome=Relação Nominal de Credores</t>
        </is>
      </c>
      <c r="AJ197" s="30" t="inlineStr">
        <is>
          <t>p4 r12</t>
        </is>
      </c>
      <c r="AK197" s="30" t="inlineStr">
        <is>
          <t>p4: R$ 614.493,12</t>
        </is>
      </c>
      <c r="AL197" s="30" t="inlineStr">
        <is>
          <t>AJ list (art. 7 §2)</t>
        </is>
      </c>
      <c r="AM197" s="30" t="inlineStr">
        <is>
          <t>2024-11-08</t>
        </is>
      </c>
      <c r="AN197" s="30" t="inlineStr">
        <is>
          <t>NONE FOUND</t>
        </is>
      </c>
      <c r="AO197" s="32" t="inlineStr">
        <is>
          <t>0001943-40.2024.8.16.0115</t>
        </is>
      </c>
      <c r="AP197" s="32" t="inlineStr">
        <is>
          <t>TJPR</t>
        </is>
      </c>
      <c r="AQ197" s="32" t="inlineStr">
        <is>
          <t>Recuperação judicial</t>
        </is>
      </c>
      <c r="AR197" s="32" t="inlineStr">
        <is>
          <t>DataJud: no closure/falência movement</t>
        </is>
      </c>
      <c r="AS197" s="32" t="n">
        <v>2024</v>
      </c>
      <c r="AT197" s="32" t="inlineStr">
        <is>
          <t>live case, no plan document yet</t>
        </is>
      </c>
      <c r="AU197" s="32" t="inlineStr"/>
      <c r="AV197" s="32" t="inlineStr">
        <is>
          <t>printed on the list (read twice)</t>
        </is>
      </c>
      <c r="AW197" s="32" t="inlineStr"/>
      <c r="AX197" s="32" t="inlineStr">
        <is>
          <t>CIANORTE</t>
        </is>
      </c>
      <c r="AY197" s="32" t="inlineStr">
        <is>
          <t>PR</t>
        </is>
      </c>
      <c r="AZ197" s="32" t="inlineStr">
        <is>
          <t>Comércio atacadista de álcool carburante, biodiesel, gasolina e demais derivados de petróleo, exceto lubrificantes, não realizado por transportador re</t>
        </is>
      </c>
      <c r="BA197" s="32" t="inlineStr">
        <is>
          <t>não ME/EPP</t>
        </is>
      </c>
      <c r="BB197" s="33" t="n">
        <v>41000000</v>
      </c>
      <c r="BC197" s="32" t="inlineStr">
        <is>
          <t>MID-MARKET</t>
        </is>
      </c>
      <c r="BD197" s="32" t="inlineStr">
        <is>
          <t>01466091</t>
        </is>
      </c>
      <c r="BE197" s="32" t="n">
        <v>1</v>
      </c>
      <c r="BF197" s="32" t="inlineStr">
        <is>
          <t>class III reconciled (doc partial)</t>
        </is>
      </c>
    </row>
    <row r="198">
      <c r="A198" s="17" t="inlineStr">
        <is>
          <t>ROSINA ALIMENTOS LTDA</t>
        </is>
      </c>
      <c r="B198" s="18" t="n">
        <v>614157.33</v>
      </c>
      <c r="C198" s="19" t="inlineStr">
        <is>
          <t>Cerealista Safrasul Ltda</t>
        </is>
      </c>
      <c r="D198" s="20" t="inlineStr">
        <is>
          <t>NEW</t>
        </is>
      </c>
      <c r="E198" s="21" t="inlineStr"/>
      <c r="F198" s="20" t="inlineStr"/>
      <c r="G198" s="21" t="inlineStr"/>
      <c r="H198" s="20" t="inlineStr"/>
      <c r="I198" s="22" t="inlineStr">
        <is>
          <t>Ale Scotton</t>
        </is>
      </c>
      <c r="J198" s="22" t="inlineStr">
        <is>
          <t>Financial</t>
        </is>
      </c>
      <c r="K198" s="22" t="inlineStr"/>
      <c r="L198" s="22" t="inlineStr"/>
      <c r="M198" s="22" t="inlineStr"/>
      <c r="N198" s="22" t="inlineStr"/>
      <c r="O198" s="22" t="inlineStr"/>
      <c r="P198" s="22" t="inlineStr">
        <is>
          <t>OMERO OLAVO SCHAKER</t>
        </is>
      </c>
      <c r="Q198" s="22" t="inlineStr">
        <is>
          <t>Sócio-Administrador (RFB partner)</t>
        </is>
      </c>
      <c r="R198" s="22" t="inlineStr"/>
      <c r="S198" s="22" t="inlineStr"/>
      <c r="T198" s="22" t="inlineStr">
        <is>
          <t>DM: weak, phone Yes; no work email in Apollo for DM; NO ROUTE IN: no phone or email on file</t>
        </is>
      </c>
      <c r="U198" s="24" t="n">
        <v>614157.33</v>
      </c>
      <c r="V198" s="25" t="inlineStr">
        <is>
          <t>B</t>
        </is>
      </c>
      <c r="W198" s="26" t="inlineStr"/>
      <c r="X198" s="27" t="inlineStr"/>
      <c r="Y198" s="27" t="inlineStr"/>
      <c r="Z198" s="26">
        <f>IF(W198&lt;&gt;"",W198,IFERROR(VLOOKUP(V198,Assumptions!$A$8:$F$12,2,FALSE),0))</f>
        <v/>
      </c>
      <c r="AA198" s="28">
        <f>IF(V198="A",MAX(1,IF(X198&lt;&gt;"",X198,IFERROR(VLOOKUP(V198,Assumptions!$A$8:$F$12,3,FALSE),3))+IF(Y198&lt;&gt;"",Y198,IFERROR(VLOOKUP(V198,Assumptions!$A$8:$F$12,4,FALSE),8))/2-MAX(0,IF(AS198="",0,YEAR(TODAY())-AS198)-IFERROR(VLOOKUP(V198,Assumptions!$A$8:$F$12,5,FALSE),1.5))),IFERROR(VLOOKUP(V198,Assumptions!$A$8:$F$12,5,FALSE),2.5)+IF(X198&lt;&gt;"",X198,IFERROR(VLOOKUP(V198,Assumptions!$A$8:$F$12,3,FALSE),3))+IF(Y198&lt;&gt;"",Y198,IFERROR(VLOOKUP(V198,Assumptions!$A$8:$F$12,4,FALSE),8))/2)</f>
        <v/>
      </c>
      <c r="AB198" s="24">
        <f>U198*Z198/(1+Assumptions!$B$3)^AA198</f>
        <v/>
      </c>
      <c r="AC198" s="27">
        <f>IF(U198=0,"",ROUND(AB198/U198*100,1))</f>
        <v/>
      </c>
      <c r="AD198" s="29">
        <f>AB198*Assumptions!$B$4</f>
        <v/>
      </c>
      <c r="AE198" s="27">
        <f>IF(U198=0,"",ROUND(AD198/U198*100,1))</f>
        <v/>
      </c>
      <c r="AF198" s="29">
        <f>AB198-AD198</f>
        <v/>
      </c>
      <c r="AG198" s="27">
        <f>IF(U198=0,"",ROUND((AB198-AD198)/U198*100,1))</f>
        <v/>
      </c>
      <c r="AH198" s="34" t="inlineStr">
        <is>
          <t>NO TOTALS — list prints none; check page</t>
        </is>
      </c>
      <c r="AI198" s="31" t="inlineStr">
        <is>
          <t>https://ajruiz.com.br/sites/default/files/public/arquivos-processos/2026-01/safrasul_relacao_de_credores_recuperanda.pdf</t>
        </is>
      </c>
      <c r="AJ198" s="30" t="inlineStr">
        <is>
          <t>p8 r37</t>
        </is>
      </c>
      <c r="AK198" s="30" t="inlineStr">
        <is>
          <t>p8: R$ 614.157,33</t>
        </is>
      </c>
      <c r="AL198" s="30" t="inlineStr">
        <is>
          <t>AJ list (art. 7 §2)</t>
        </is>
      </c>
      <c r="AM198" s="30" t="inlineStr">
        <is>
          <t>2026-01-14</t>
        </is>
      </c>
      <c r="AN198" s="30" t="inlineStr">
        <is>
          <t>NONE FOUND</t>
        </is>
      </c>
      <c r="AO198" s="32" t="inlineStr">
        <is>
          <t>4000167-23.2025.8.26.0373</t>
        </is>
      </c>
      <c r="AP198" s="32" t="inlineStr">
        <is>
          <t>TJSP</t>
        </is>
      </c>
      <c r="AQ198" s="32" t="inlineStr">
        <is>
          <t>Recuperação judicial</t>
        </is>
      </c>
      <c r="AR198" s="32" t="inlineStr">
        <is>
          <t>DataJud: no closure/falência movement</t>
        </is>
      </c>
      <c r="AS198" s="32" t="n">
        <v>2025</v>
      </c>
      <c r="AT198" s="32" t="inlineStr">
        <is>
          <t>live case, no plan document yet</t>
        </is>
      </c>
      <c r="AU198" s="32" t="inlineStr"/>
      <c r="AV198" s="32" t="inlineStr">
        <is>
          <t>printed on the list (read twice)</t>
        </is>
      </c>
      <c r="AW198" s="32" t="inlineStr"/>
      <c r="AX198" s="32" t="inlineStr">
        <is>
          <t>SERTAO SANTANA</t>
        </is>
      </c>
      <c r="AY198" s="32" t="inlineStr">
        <is>
          <t>RS</t>
        </is>
      </c>
      <c r="AZ198" s="32" t="inlineStr">
        <is>
          <t>Beneficiamento de arroz</t>
        </is>
      </c>
      <c r="BA198" s="32" t="inlineStr">
        <is>
          <t>não ME/EPP</t>
        </is>
      </c>
      <c r="BB198" s="33" t="n">
        <v>300000</v>
      </c>
      <c r="BC198" s="32" t="inlineStr">
        <is>
          <t>MID-MARKET</t>
        </is>
      </c>
      <c r="BD198" s="32" t="inlineStr">
        <is>
          <t>04253854</t>
        </is>
      </c>
      <c r="BE198" s="32" t="n">
        <v>1</v>
      </c>
      <c r="BF198" s="32" t="inlineStr">
        <is>
          <t>list prints no totals no route in</t>
        </is>
      </c>
    </row>
    <row r="199">
      <c r="A199" s="17" t="inlineStr">
        <is>
          <t>SOTIN SOLUCOES TECNICAS, INDUSTRIA E COMERCIO LTDA</t>
        </is>
      </c>
      <c r="B199" s="18" t="n">
        <v>611207.1</v>
      </c>
      <c r="C199" s="19" t="inlineStr">
        <is>
          <t>SECULAR COMÉRCIO CONSTRUÇÃO E REPRESENTAÇÃO LTDA - ME, EM RECUPERAÇÃO JUDICIAL</t>
        </is>
      </c>
      <c r="D199" s="20" t="inlineStr">
        <is>
          <t>NEW</t>
        </is>
      </c>
      <c r="E199" s="21" t="inlineStr"/>
      <c r="F199" s="20" t="inlineStr"/>
      <c r="G199" s="21" t="inlineStr"/>
      <c r="H199" s="20" t="inlineStr"/>
      <c r="I199" s="22" t="inlineStr">
        <is>
          <t>SPENCER WILLIAM STELLA JUNIOR</t>
        </is>
      </c>
      <c r="J199" s="23" t="inlineStr">
        <is>
          <t>Sócio-Administrador (RFB partner)</t>
        </is>
      </c>
      <c r="K199" s="22" t="inlineStr">
        <is>
          <t>(11) 4496-8888</t>
        </is>
      </c>
      <c r="L199" s="22" t="inlineStr"/>
      <c r="M199" s="22" t="inlineStr"/>
      <c r="N199" s="22" t="inlineStr"/>
      <c r="O199" s="22" t="inlineStr"/>
      <c r="P199" s="22" t="inlineStr">
        <is>
          <t>Kleber Cavallari</t>
        </is>
      </c>
      <c r="Q199" s="22" t="inlineStr">
        <is>
          <t>Commercial Manager</t>
        </is>
      </c>
      <c r="R199" s="22" t="inlineStr"/>
      <c r="S199" s="22" t="inlineStr">
        <is>
          <t>kleber.cavallari@sotin.com.br</t>
        </is>
      </c>
      <c r="T199" s="22" t="inlineStr">
        <is>
          <t>DM = registered partner (RFB QSA); Apollo pick demoted to backup (non-finance role); BACKUP: has_email, phone Yes</t>
        </is>
      </c>
      <c r="U199" s="24" t="n">
        <v>611207.1</v>
      </c>
      <c r="V199" s="25" t="inlineStr">
        <is>
          <t>B</t>
        </is>
      </c>
      <c r="W199" s="26" t="inlineStr"/>
      <c r="X199" s="27" t="inlineStr"/>
      <c r="Y199" s="27" t="inlineStr"/>
      <c r="Z199" s="26">
        <f>IF(W199&lt;&gt;"",W199,IFERROR(VLOOKUP(V199,Assumptions!$A$8:$F$12,2,FALSE),0))</f>
        <v/>
      </c>
      <c r="AA199" s="28">
        <f>IF(V199="A",MAX(1,IF(X199&lt;&gt;"",X199,IFERROR(VLOOKUP(V199,Assumptions!$A$8:$F$12,3,FALSE),3))+IF(Y199&lt;&gt;"",Y199,IFERROR(VLOOKUP(V199,Assumptions!$A$8:$F$12,4,FALSE),8))/2-MAX(0,IF(AS199="",0,YEAR(TODAY())-AS199)-IFERROR(VLOOKUP(V199,Assumptions!$A$8:$F$12,5,FALSE),1.5))),IFERROR(VLOOKUP(V199,Assumptions!$A$8:$F$12,5,FALSE),2.5)+IF(X199&lt;&gt;"",X199,IFERROR(VLOOKUP(V199,Assumptions!$A$8:$F$12,3,FALSE),3))+IF(Y199&lt;&gt;"",Y199,IFERROR(VLOOKUP(V199,Assumptions!$A$8:$F$12,4,FALSE),8))/2)</f>
        <v/>
      </c>
      <c r="AB199" s="24">
        <f>U199*Z199/(1+Assumptions!$B$3)^AA199</f>
        <v/>
      </c>
      <c r="AC199" s="27">
        <f>IF(U199=0,"",ROUND(AB199/U199*100,1))</f>
        <v/>
      </c>
      <c r="AD199" s="29">
        <f>AB199*Assumptions!$B$4</f>
        <v/>
      </c>
      <c r="AE199" s="27">
        <f>IF(U199=0,"",ROUND(AD199/U199*100,1))</f>
        <v/>
      </c>
      <c r="AF199" s="29">
        <f>AB199-AD199</f>
        <v/>
      </c>
      <c r="AG199" s="27">
        <f>IF(U199=0,"",ROUND((AB199-AD199)/U199*100,1))</f>
        <v/>
      </c>
      <c r="AH199" s="30" t="inlineStr">
        <is>
          <t>OK — totals reconciled</t>
        </is>
      </c>
      <c r="AI199" s="31" t="inlineStr">
        <is>
          <t>https://lrflideres.com.br/wp-content/uploads/2022/08/4.-EDITAL-2a-LISTA-DE-CREDORES.pdf</t>
        </is>
      </c>
      <c r="AJ199" s="30" t="inlineStr">
        <is>
          <t>p2 r9</t>
        </is>
      </c>
      <c r="AK199" s="30" t="inlineStr">
        <is>
          <t>p2: R$ 611.207,10</t>
        </is>
      </c>
      <c r="AL199" s="30" t="inlineStr">
        <is>
          <t>AJ list (art. 7 §2)</t>
        </is>
      </c>
      <c r="AM199" s="30" t="inlineStr">
        <is>
          <t>2023-12-04</t>
        </is>
      </c>
      <c r="AN199" s="30" t="inlineStr">
        <is>
          <t>NONE FOUND</t>
        </is>
      </c>
      <c r="AO199" s="32" t="inlineStr">
        <is>
          <t>0804204-35.2022.8.15.0731</t>
        </is>
      </c>
      <c r="AP199" s="32" t="inlineStr">
        <is>
          <t>TJPB</t>
        </is>
      </c>
      <c r="AQ199" s="32" t="inlineStr">
        <is>
          <t>Recuperação judicial</t>
        </is>
      </c>
      <c r="AR199" s="32" t="inlineStr">
        <is>
          <t>DataJud: no closure/falência movement</t>
        </is>
      </c>
      <c r="AS199" s="32" t="n">
        <v>2022</v>
      </c>
      <c r="AT199" s="32" t="inlineStr">
        <is>
          <t>live case, no plan document yet</t>
        </is>
      </c>
      <c r="AU199" s="32" t="inlineStr"/>
      <c r="AV199" s="32" t="inlineStr">
        <is>
          <t>printed on the list (read twice)</t>
        </is>
      </c>
      <c r="AW199" s="32" t="inlineStr"/>
      <c r="AX199" s="32" t="inlineStr">
        <is>
          <t>JUNDIAI</t>
        </is>
      </c>
      <c r="AY199" s="32" t="inlineStr">
        <is>
          <t>SP</t>
        </is>
      </c>
      <c r="AZ199" s="32" t="inlineStr">
        <is>
          <t>Fabricação de outros produtos de metal não especificados anteriormente</t>
        </is>
      </c>
      <c r="BA199" s="32" t="inlineStr">
        <is>
          <t>não ME/EPP</t>
        </is>
      </c>
      <c r="BB199" s="33" t="n">
        <v>8400000</v>
      </c>
      <c r="BC199" s="32" t="inlineStr">
        <is>
          <t>MID-MARKET</t>
        </is>
      </c>
      <c r="BD199" s="32" t="inlineStr">
        <is>
          <t>38733545</t>
        </is>
      </c>
      <c r="BE199" s="32" t="n">
        <v>1</v>
      </c>
      <c r="BF199" s="32" t="inlineStr"/>
    </row>
    <row r="200">
      <c r="A200" s="17" t="inlineStr">
        <is>
          <t>COBREMACK INDUSTRIA DE CONDUTORES ELETRICOS LIMITADA EM RECUPERACAO JUDICIAL EM RECUPERACAO JUDICIAL</t>
        </is>
      </c>
      <c r="B200" s="18" t="n">
        <v>611009.25</v>
      </c>
      <c r="C200" s="19" t="inlineStr">
        <is>
          <t>Grupo Conduscabos</t>
        </is>
      </c>
      <c r="D200" s="20" t="inlineStr">
        <is>
          <t>NEW</t>
        </is>
      </c>
      <c r="E200" s="21" t="inlineStr"/>
      <c r="F200" s="20" t="inlineStr"/>
      <c r="G200" s="21" t="inlineStr"/>
      <c r="H200" s="20" t="inlineStr"/>
      <c r="I200" s="22" t="inlineStr">
        <is>
          <t>JOSE CARLOS MENDES MATUIAMA</t>
        </is>
      </c>
      <c r="J200" s="23" t="inlineStr">
        <is>
          <t>Sócio-Administrador (RFB partner)</t>
        </is>
      </c>
      <c r="K200" s="22" t="inlineStr">
        <is>
          <t>(11) 4156-5531</t>
        </is>
      </c>
      <c r="L200" s="22" t="inlineStr"/>
      <c r="M200" s="22" t="inlineStr"/>
      <c r="N200" s="22" t="inlineStr"/>
      <c r="O200" s="22" t="inlineStr"/>
      <c r="P200" s="22" t="inlineStr"/>
      <c r="Q200" s="22" t="inlineStr"/>
      <c r="R200" s="22" t="inlineStr"/>
      <c r="S200" s="22" t="inlineStr"/>
      <c r="T200" s="22" t="inlineStr">
        <is>
          <t>DM = registered partner (RFB QSA); no Apollo match</t>
        </is>
      </c>
      <c r="U200" s="24" t="n">
        <v>611009.25</v>
      </c>
      <c r="V200" s="25" t="inlineStr">
        <is>
          <t>B</t>
        </is>
      </c>
      <c r="W200" s="26" t="inlineStr"/>
      <c r="X200" s="27" t="inlineStr"/>
      <c r="Y200" s="27" t="inlineStr"/>
      <c r="Z200" s="26">
        <f>IF(W200&lt;&gt;"",W200,IFERROR(VLOOKUP(V200,Assumptions!$A$8:$F$12,2,FALSE),0))</f>
        <v/>
      </c>
      <c r="AA200" s="28">
        <f>IF(V200="A",MAX(1,IF(X200&lt;&gt;"",X200,IFERROR(VLOOKUP(V200,Assumptions!$A$8:$F$12,3,FALSE),3))+IF(Y200&lt;&gt;"",Y200,IFERROR(VLOOKUP(V200,Assumptions!$A$8:$F$12,4,FALSE),8))/2-MAX(0,IF(AS200="",0,YEAR(TODAY())-AS200)-IFERROR(VLOOKUP(V200,Assumptions!$A$8:$F$12,5,FALSE),1.5))),IFERROR(VLOOKUP(V200,Assumptions!$A$8:$F$12,5,FALSE),2.5)+IF(X200&lt;&gt;"",X200,IFERROR(VLOOKUP(V200,Assumptions!$A$8:$F$12,3,FALSE),3))+IF(Y200&lt;&gt;"",Y200,IFERROR(VLOOKUP(V200,Assumptions!$A$8:$F$12,4,FALSE),8))/2)</f>
        <v/>
      </c>
      <c r="AB200" s="24">
        <f>U200*Z200/(1+Assumptions!$B$3)^AA200</f>
        <v/>
      </c>
      <c r="AC200" s="27">
        <f>IF(U200=0,"",ROUND(AB200/U200*100,1))</f>
        <v/>
      </c>
      <c r="AD200" s="29">
        <f>AB200*Assumptions!$B$4</f>
        <v/>
      </c>
      <c r="AE200" s="27">
        <f>IF(U200=0,"",ROUND(AD200/U200*100,1))</f>
        <v/>
      </c>
      <c r="AF200" s="29">
        <f>AB200-AD200</f>
        <v/>
      </c>
      <c r="AG200" s="27">
        <f>IF(U200=0,"",ROUND((AB200-AD200)/U200*100,1))</f>
        <v/>
      </c>
      <c r="AH200" s="34" t="inlineStr">
        <is>
          <t>NO TOTALS — list prints none; check page</t>
        </is>
      </c>
      <c r="AI200" s="31" t="inlineStr">
        <is>
          <t>https://assistjud.com.br/wp-content/uploads/elementor/forms/65098c80a5824.pdf</t>
        </is>
      </c>
      <c r="AJ200" s="30" t="inlineStr">
        <is>
          <t>p6 r8; p17 r10</t>
        </is>
      </c>
      <c r="AK200" s="30" t="inlineStr">
        <is>
          <t>p6: R$ 420.273,65; p17: R$ 190.735,60</t>
        </is>
      </c>
      <c r="AL200" s="30" t="inlineStr">
        <is>
          <t>AJ list (art. 7 §2)</t>
        </is>
      </c>
      <c r="AM200" s="30" t="inlineStr">
        <is>
          <t>2023-09-18</t>
        </is>
      </c>
      <c r="AN200" s="30" t="inlineStr">
        <is>
          <t>NONE FOUND</t>
        </is>
      </c>
      <c r="AO200" s="32" t="inlineStr">
        <is>
          <t>8005129-09.2023.8.05.0039</t>
        </is>
      </c>
      <c r="AP200" s="32" t="inlineStr">
        <is>
          <t>TJBA</t>
        </is>
      </c>
      <c r="AQ200" s="32" t="inlineStr">
        <is>
          <t>Recuperação judicial</t>
        </is>
      </c>
      <c r="AR200" s="32" t="inlineStr">
        <is>
          <t>DataJud: no closure/falência movement</t>
        </is>
      </c>
      <c r="AS200" s="32" t="n">
        <v>2023</v>
      </c>
      <c r="AT200" s="32" t="inlineStr">
        <is>
          <t>live case, no plan document yet</t>
        </is>
      </c>
      <c r="AU200" s="32" t="inlineStr"/>
      <c r="AV200" s="32" t="inlineStr">
        <is>
          <t>printed on the list (read twice)</t>
        </is>
      </c>
      <c r="AW200" s="32" t="inlineStr"/>
      <c r="AX200" s="32" t="inlineStr">
        <is>
          <t>LAURO DE FREITAS</t>
        </is>
      </c>
      <c r="AY200" s="32" t="inlineStr">
        <is>
          <t>BA</t>
        </is>
      </c>
      <c r="AZ200" s="32" t="inlineStr">
        <is>
          <t>Fabricação de fios, cabos e condutores elétricos isolados</t>
        </is>
      </c>
      <c r="BA200" s="32" t="inlineStr">
        <is>
          <t>não ME/EPP</t>
        </is>
      </c>
      <c r="BB200" s="33" t="n">
        <v>20000000</v>
      </c>
      <c r="BC200" s="32" t="inlineStr">
        <is>
          <t>MID-MARKET</t>
        </is>
      </c>
      <c r="BD200" s="32" t="inlineStr">
        <is>
          <t>11065453</t>
        </is>
      </c>
      <c r="BE200" s="32" t="n">
        <v>2</v>
      </c>
      <c r="BF200" s="32" t="inlineStr">
        <is>
          <t>list prints no totals</t>
        </is>
      </c>
    </row>
    <row r="201">
      <c r="A201" s="17" t="inlineStr">
        <is>
          <t>LOG GOIANIA II</t>
        </is>
      </c>
      <c r="B201" s="18" t="n">
        <v>610696.38</v>
      </c>
      <c r="C201" s="19" t="inlineStr">
        <is>
          <t>Grupo Rech</t>
        </is>
      </c>
      <c r="D201" s="20" t="inlineStr">
        <is>
          <t>NEW</t>
        </is>
      </c>
      <c r="E201" s="21" t="inlineStr"/>
      <c r="F201" s="20" t="inlineStr"/>
      <c r="G201" s="21" t="inlineStr"/>
      <c r="H201" s="20" t="inlineStr"/>
      <c r="I201" s="22" t="inlineStr"/>
      <c r="J201" s="22" t="inlineStr"/>
      <c r="K201" s="22" t="inlineStr">
        <is>
          <t>(31) 3615-8248</t>
        </is>
      </c>
      <c r="L201" s="22" t="inlineStr"/>
      <c r="M201" s="22" t="inlineStr"/>
      <c r="N201" s="22" t="inlineStr"/>
      <c r="O201" s="22" t="inlineStr"/>
      <c r="P201" s="22" t="inlineStr"/>
      <c r="Q201" s="22" t="inlineStr"/>
      <c r="R201" s="22" t="inlineStr"/>
      <c r="S201" s="22" t="inlineStr"/>
      <c r="T201" s="22" t="inlineStr">
        <is>
          <t>no named contact found</t>
        </is>
      </c>
      <c r="U201" s="24" t="n">
        <v>610696.38</v>
      </c>
      <c r="V201" s="25" t="inlineStr">
        <is>
          <t>B</t>
        </is>
      </c>
      <c r="W201" s="26" t="inlineStr"/>
      <c r="X201" s="27" t="inlineStr"/>
      <c r="Y201" s="27" t="inlineStr"/>
      <c r="Z201" s="26">
        <f>IF(W201&lt;&gt;"",W201,IFERROR(VLOOKUP(V201,Assumptions!$A$8:$F$12,2,FALSE),0))</f>
        <v/>
      </c>
      <c r="AA201" s="28">
        <f>IF(V201="A",MAX(1,IF(X201&lt;&gt;"",X201,IFERROR(VLOOKUP(V201,Assumptions!$A$8:$F$12,3,FALSE),3))+IF(Y201&lt;&gt;"",Y201,IFERROR(VLOOKUP(V201,Assumptions!$A$8:$F$12,4,FALSE),8))/2-MAX(0,IF(AS201="",0,YEAR(TODAY())-AS201)-IFERROR(VLOOKUP(V201,Assumptions!$A$8:$F$12,5,FALSE),1.5))),IFERROR(VLOOKUP(V201,Assumptions!$A$8:$F$12,5,FALSE),2.5)+IF(X201&lt;&gt;"",X201,IFERROR(VLOOKUP(V201,Assumptions!$A$8:$F$12,3,FALSE),3))+IF(Y201&lt;&gt;"",Y201,IFERROR(VLOOKUP(V201,Assumptions!$A$8:$F$12,4,FALSE),8))/2)</f>
        <v/>
      </c>
      <c r="AB201" s="24">
        <f>U201*Z201/(1+Assumptions!$B$3)^AA201</f>
        <v/>
      </c>
      <c r="AC201" s="27">
        <f>IF(U201=0,"",ROUND(AB201/U201*100,1))</f>
        <v/>
      </c>
      <c r="AD201" s="29">
        <f>AB201*Assumptions!$B$4</f>
        <v/>
      </c>
      <c r="AE201" s="27">
        <f>IF(U201=0,"",ROUND(AD201/U201*100,1))</f>
        <v/>
      </c>
      <c r="AF201" s="29">
        <f>AB201-AD201</f>
        <v/>
      </c>
      <c r="AG201" s="27">
        <f>IF(U201=0,"",ROUND((AB201-AD201)/U201*100,1))</f>
        <v/>
      </c>
      <c r="AH201" s="36" t="inlineStr">
        <is>
          <t>CHECK — source is not a statutory creditor list</t>
        </is>
      </c>
      <c r="AI201" s="31" t="inlineStr">
        <is>
          <t>https://credibilita.com.br/wp-content/uploads/2025/09/Relacao-Credores-29.04.2026.pdf</t>
        </is>
      </c>
      <c r="AJ201" s="30" t="inlineStr">
        <is>
          <t>p2 r1</t>
        </is>
      </c>
      <c r="AK201" s="30" t="inlineStr">
        <is>
          <t>p2: R$ 610.696,38</t>
        </is>
      </c>
      <c r="AL201" s="30" t="inlineStr">
        <is>
          <t>Quorum list — NOT an art. 7/51 list</t>
        </is>
      </c>
      <c r="AM201" s="30" t="inlineStr"/>
      <c r="AN201" s="30" t="inlineStr">
        <is>
          <t>NONE FOUND</t>
        </is>
      </c>
      <c r="AO201" s="32" t="inlineStr">
        <is>
          <t>5057720-48.2025.8.24.0023</t>
        </is>
      </c>
      <c r="AP201" s="32" t="inlineStr">
        <is>
          <t>TJSC</t>
        </is>
      </c>
      <c r="AQ201" s="32" t="inlineStr"/>
      <c r="AR201" s="32" t="inlineStr">
        <is>
          <t>not in DataJud</t>
        </is>
      </c>
      <c r="AS201" s="32" t="n">
        <v>2025</v>
      </c>
      <c r="AT201" s="32" t="inlineStr">
        <is>
          <t>live case, no plan document yet; case no. from the portal record, not printed on the list</t>
        </is>
      </c>
      <c r="AU201" s="32" t="inlineStr"/>
      <c r="AV201" s="32" t="inlineStr">
        <is>
          <t>portal page title / URL — not printed on the list</t>
        </is>
      </c>
      <c r="AW201" s="32" t="inlineStr"/>
      <c r="AX201" s="32" t="inlineStr">
        <is>
          <t>HIDROLANDIA</t>
        </is>
      </c>
      <c r="AY201" s="32" t="inlineStr">
        <is>
          <t>GO</t>
        </is>
      </c>
      <c r="AZ201" s="32" t="inlineStr">
        <is>
          <t>Condomínios prediais</t>
        </is>
      </c>
      <c r="BA201" s="32" t="inlineStr">
        <is>
          <t>não ME/EPP</t>
        </is>
      </c>
      <c r="BB201" s="33" t="inlineStr"/>
      <c r="BC201" s="32" t="inlineStr">
        <is>
          <t>UNKNOWN</t>
        </is>
      </c>
      <c r="BD201" s="32" t="inlineStr">
        <is>
          <t>47365763</t>
        </is>
      </c>
      <c r="BE201" s="32" t="n">
        <v>1</v>
      </c>
      <c r="BF201" s="32" t="inlineStr">
        <is>
          <t>list prints no totals case no. corrected by reader</t>
        </is>
      </c>
    </row>
    <row r="202">
      <c r="A202" s="17" t="inlineStr">
        <is>
          <t>IPIRANGA PRODUTOS DE PETROLEO S.A.</t>
        </is>
      </c>
      <c r="B202" s="18" t="n">
        <v>608385.4</v>
      </c>
      <c r="C202" s="19" t="inlineStr">
        <is>
          <t>GRUPO D&amp;D</t>
        </is>
      </c>
      <c r="D202" s="20" t="inlineStr">
        <is>
          <t>NEW</t>
        </is>
      </c>
      <c r="E202" s="21" t="inlineStr"/>
      <c r="F202" s="20" t="inlineStr"/>
      <c r="G202" s="21" t="inlineStr"/>
      <c r="H202" s="20" t="inlineStr"/>
      <c r="I202" s="22" t="inlineStr">
        <is>
          <t>CARLOS FREDERICO RESENDE</t>
        </is>
      </c>
      <c r="J202" s="23" t="inlineStr">
        <is>
          <t>Administrador (RFB partner)</t>
        </is>
      </c>
      <c r="K202" s="22" t="inlineStr">
        <is>
          <t>(21) 2574-5858</t>
        </is>
      </c>
      <c r="L202" s="22" t="inlineStr"/>
      <c r="M202" s="22" t="inlineStr"/>
      <c r="N202" s="22" t="inlineStr"/>
      <c r="O202" s="22" t="inlineStr"/>
      <c r="P202" s="22" t="inlineStr">
        <is>
          <t>CRISTIANE SILVA LEITE</t>
        </is>
      </c>
      <c r="Q202" s="22" t="inlineStr">
        <is>
          <t>Diretor (RFB partner)</t>
        </is>
      </c>
      <c r="R202" s="22" t="inlineStr"/>
      <c r="S202" s="22" t="inlineStr"/>
      <c r="T202" s="22" t="inlineStr">
        <is>
          <t>DM = registered partner (RFB QSA); no Apollo match</t>
        </is>
      </c>
      <c r="U202" s="24" t="n">
        <v>608385.4</v>
      </c>
      <c r="V202" s="25" t="inlineStr">
        <is>
          <t>B</t>
        </is>
      </c>
      <c r="W202" s="26" t="inlineStr"/>
      <c r="X202" s="27" t="inlineStr"/>
      <c r="Y202" s="27" t="inlineStr"/>
      <c r="Z202" s="26">
        <f>IF(W202&lt;&gt;"",W202,IFERROR(VLOOKUP(V202,Assumptions!$A$8:$F$12,2,FALSE),0))</f>
        <v/>
      </c>
      <c r="AA202" s="28">
        <f>IF(V202="A",MAX(1,IF(X202&lt;&gt;"",X202,IFERROR(VLOOKUP(V202,Assumptions!$A$8:$F$12,3,FALSE),3))+IF(Y202&lt;&gt;"",Y202,IFERROR(VLOOKUP(V202,Assumptions!$A$8:$F$12,4,FALSE),8))/2-MAX(0,IF(AS202="",0,YEAR(TODAY())-AS202)-IFERROR(VLOOKUP(V202,Assumptions!$A$8:$F$12,5,FALSE),1.5))),IFERROR(VLOOKUP(V202,Assumptions!$A$8:$F$12,5,FALSE),2.5)+IF(X202&lt;&gt;"",X202,IFERROR(VLOOKUP(V202,Assumptions!$A$8:$F$12,3,FALSE),3))+IF(Y202&lt;&gt;"",Y202,IFERROR(VLOOKUP(V202,Assumptions!$A$8:$F$12,4,FALSE),8))/2)</f>
        <v/>
      </c>
      <c r="AB202" s="24">
        <f>U202*Z202/(1+Assumptions!$B$3)^AA202</f>
        <v/>
      </c>
      <c r="AC202" s="27">
        <f>IF(U202=0,"",ROUND(AB202/U202*100,1))</f>
        <v/>
      </c>
      <c r="AD202" s="29">
        <f>AB202*Assumptions!$B$4</f>
        <v/>
      </c>
      <c r="AE202" s="27">
        <f>IF(U202=0,"",ROUND(AD202/U202*100,1))</f>
        <v/>
      </c>
      <c r="AF202" s="29">
        <f>AB202-AD202</f>
        <v/>
      </c>
      <c r="AG202" s="27">
        <f>IF(U202=0,"",ROUND((AB202-AD202)/U202*100,1))</f>
        <v/>
      </c>
      <c r="AH202" s="35" t="inlineStr">
        <is>
          <t>PARTIAL — class III reconciled, other classes not</t>
        </is>
      </c>
      <c r="AI202" s="31" t="inlineStr">
        <is>
          <t>https://marquesadmjudicial.com.br/sgc/download.php?file=files/processo_documento/processo_documento20014127022025_1_.pdf&amp;nome=Relação Nominal de Credores</t>
        </is>
      </c>
      <c r="AJ202" s="30" t="inlineStr">
        <is>
          <t>p5 r5</t>
        </is>
      </c>
      <c r="AK202" s="30" t="inlineStr">
        <is>
          <t>p5: R$ 608.385,40</t>
        </is>
      </c>
      <c r="AL202" s="30" t="inlineStr">
        <is>
          <t>AJ list (art. 7 §2)</t>
        </is>
      </c>
      <c r="AM202" s="30" t="inlineStr">
        <is>
          <t>2024-11-08</t>
        </is>
      </c>
      <c r="AN202" s="30" t="inlineStr">
        <is>
          <t>NONE FOUND</t>
        </is>
      </c>
      <c r="AO202" s="32" t="inlineStr">
        <is>
          <t>0001943-40.2024.8.16.0115</t>
        </is>
      </c>
      <c r="AP202" s="32" t="inlineStr">
        <is>
          <t>TJPR</t>
        </is>
      </c>
      <c r="AQ202" s="32" t="inlineStr">
        <is>
          <t>Recuperação judicial</t>
        </is>
      </c>
      <c r="AR202" s="32" t="inlineStr">
        <is>
          <t>DataJud: no closure/falência movement</t>
        </is>
      </c>
      <c r="AS202" s="32" t="n">
        <v>2024</v>
      </c>
      <c r="AT202" s="32" t="inlineStr">
        <is>
          <t>live case, no plan document yet</t>
        </is>
      </c>
      <c r="AU202" s="32" t="inlineStr"/>
      <c r="AV202" s="32" t="inlineStr">
        <is>
          <t>printed on the list (read twice)</t>
        </is>
      </c>
      <c r="AW202" s="32" t="inlineStr"/>
      <c r="AX202" s="32" t="inlineStr">
        <is>
          <t>RIO DE JANEIRO</t>
        </is>
      </c>
      <c r="AY202" s="32" t="inlineStr">
        <is>
          <t>RJ</t>
        </is>
      </c>
      <c r="AZ202" s="32" t="inlineStr">
        <is>
          <t>Comércio atacadista de álcool carburante, biodiesel, gasolina e demais derivados de petróleo, exceto lubrificantes, não realizado por transportador re</t>
        </is>
      </c>
      <c r="BA202" s="32" t="inlineStr">
        <is>
          <t>não ME/EPP</t>
        </is>
      </c>
      <c r="BB202" s="33" t="n">
        <v>4668601300</v>
      </c>
      <c r="BC202" s="32" t="inlineStr">
        <is>
          <t>LARGE CORP</t>
        </is>
      </c>
      <c r="BD202" s="32" t="inlineStr">
        <is>
          <t>33337122</t>
        </is>
      </c>
      <c r="BE202" s="32" t="n">
        <v>1</v>
      </c>
      <c r="BF202" s="32" t="inlineStr">
        <is>
          <t>class III reconciled (doc partial)</t>
        </is>
      </c>
    </row>
    <row r="203">
      <c r="A203" s="17" t="inlineStr">
        <is>
          <t>ALUMINIO SAO JOSE LTDA.</t>
        </is>
      </c>
      <c r="B203" s="18" t="n">
        <v>596077.15</v>
      </c>
      <c r="C203" s="37" t="inlineStr">
        <is>
          <t>(debtor not identified — see proof)</t>
        </is>
      </c>
      <c r="D203" s="20" t="inlineStr">
        <is>
          <t>NEW</t>
        </is>
      </c>
      <c r="E203" s="21" t="inlineStr"/>
      <c r="F203" s="20" t="inlineStr"/>
      <c r="G203" s="21" t="inlineStr"/>
      <c r="H203" s="20" t="inlineStr"/>
      <c r="I203" s="22" t="inlineStr">
        <is>
          <t>HENRIQUE DE SOUZA</t>
        </is>
      </c>
      <c r="J203" s="23" t="inlineStr">
        <is>
          <t>Sócio-Administrador (RFB partner)</t>
        </is>
      </c>
      <c r="K203" s="22" t="inlineStr">
        <is>
          <t>(48) 2106-6600</t>
        </is>
      </c>
      <c r="L203" s="22" t="inlineStr"/>
      <c r="M203" s="22" t="inlineStr"/>
      <c r="N203" s="22" t="inlineStr"/>
      <c r="O203" s="22" t="inlineStr"/>
      <c r="P203" s="22" t="inlineStr">
        <is>
          <t>Polliana Santos</t>
        </is>
      </c>
      <c r="Q203" s="22" t="inlineStr">
        <is>
          <t>Supervisor de Finanças</t>
        </is>
      </c>
      <c r="R203" s="22" t="inlineStr"/>
      <c r="S203" s="22" t="inlineStr">
        <is>
          <t>polliana@aluminiosaojose.com.br</t>
        </is>
      </c>
      <c r="T203" s="22" t="inlineStr">
        <is>
          <t>DM = registered partner (RFB QSA); Apollo pick demoted to backup (non-finance role); BACKUP: has_email</t>
        </is>
      </c>
      <c r="U203" s="24" t="n">
        <v>596077.15</v>
      </c>
      <c r="V203" s="25" t="inlineStr">
        <is>
          <t>B</t>
        </is>
      </c>
      <c r="W203" s="26" t="inlineStr"/>
      <c r="X203" s="27" t="inlineStr"/>
      <c r="Y203" s="27" t="inlineStr"/>
      <c r="Z203" s="26">
        <f>IF(W203&lt;&gt;"",W203,IFERROR(VLOOKUP(V203,Assumptions!$A$8:$F$12,2,FALSE),0))</f>
        <v/>
      </c>
      <c r="AA203" s="28">
        <f>IF(V203="A",MAX(1,IF(X203&lt;&gt;"",X203,IFERROR(VLOOKUP(V203,Assumptions!$A$8:$F$12,3,FALSE),3))+IF(Y203&lt;&gt;"",Y203,IFERROR(VLOOKUP(V203,Assumptions!$A$8:$F$12,4,FALSE),8))/2-MAX(0,IF(AS203="",0,YEAR(TODAY())-AS203)-IFERROR(VLOOKUP(V203,Assumptions!$A$8:$F$12,5,FALSE),1.5))),IFERROR(VLOOKUP(V203,Assumptions!$A$8:$F$12,5,FALSE),2.5)+IF(X203&lt;&gt;"",X203,IFERROR(VLOOKUP(V203,Assumptions!$A$8:$F$12,3,FALSE),3))+IF(Y203&lt;&gt;"",Y203,IFERROR(VLOOKUP(V203,Assumptions!$A$8:$F$12,4,FALSE),8))/2)</f>
        <v/>
      </c>
      <c r="AB203" s="24">
        <f>U203*Z203/(1+Assumptions!$B$3)^AA203</f>
        <v/>
      </c>
      <c r="AC203" s="27">
        <f>IF(U203=0,"",ROUND(AB203/U203*100,1))</f>
        <v/>
      </c>
      <c r="AD203" s="29">
        <f>AB203*Assumptions!$B$4</f>
        <v/>
      </c>
      <c r="AE203" s="27">
        <f>IF(U203=0,"",ROUND(AD203/U203*100,1))</f>
        <v/>
      </c>
      <c r="AF203" s="29">
        <f>AB203-AD203</f>
        <v/>
      </c>
      <c r="AG203" s="27">
        <f>IF(U203=0,"",ROUND((AB203-AD203)/U203*100,1))</f>
        <v/>
      </c>
      <c r="AH203" s="34" t="inlineStr">
        <is>
          <t>NO TOTALS — list prints none; check page</t>
        </is>
      </c>
      <c r="AI203" s="31" t="inlineStr">
        <is>
          <t>https://scalzilliaj.com.br/sgc/download.php?file=files/processo_documento/processo_documento15180810062026_1_.pdf&amp;nome=10 - Relação de credores do art. 7º, §2º, da Lei 11.101/2005</t>
        </is>
      </c>
      <c r="AJ203" s="30" t="inlineStr">
        <is>
          <t>p1 r17</t>
        </is>
      </c>
      <c r="AK203" s="30" t="inlineStr">
        <is>
          <t>p1: R$ 596.077,15</t>
        </is>
      </c>
      <c r="AL203" s="30" t="inlineStr">
        <is>
          <t>AJ list (art. 7 §2)</t>
        </is>
      </c>
      <c r="AM203" s="30" t="inlineStr"/>
      <c r="AN203" s="30" t="inlineStr">
        <is>
          <t>NONE FOUND</t>
        </is>
      </c>
      <c r="AO203" s="32" t="inlineStr">
        <is>
          <t>5009529-81.2025.8.24.0019</t>
        </is>
      </c>
      <c r="AP203" s="32" t="inlineStr">
        <is>
          <t>TJSC</t>
        </is>
      </c>
      <c r="AQ203" s="32" t="inlineStr"/>
      <c r="AR203" s="32" t="inlineStr">
        <is>
          <t>not in DataJud</t>
        </is>
      </c>
      <c r="AS203" s="32" t="n">
        <v>2025</v>
      </c>
      <c r="AT203" s="32" t="inlineStr">
        <is>
          <t>live case, no plan document yet; case no. from the portal record, not printed on the list</t>
        </is>
      </c>
      <c r="AU203" s="32" t="inlineStr"/>
      <c r="AV203" s="32" t="inlineStr">
        <is>
          <t>not identified</t>
        </is>
      </c>
      <c r="AW203" s="32" t="inlineStr"/>
      <c r="AX203" s="32" t="inlineStr">
        <is>
          <t>SAO JOSE</t>
        </is>
      </c>
      <c r="AY203" s="32" t="inlineStr">
        <is>
          <t>SC</t>
        </is>
      </c>
      <c r="AZ203" s="32" t="inlineStr">
        <is>
          <t>Comércio atacadista de ferragens e ferramentas</t>
        </is>
      </c>
      <c r="BA203" s="32" t="inlineStr">
        <is>
          <t>não ME/EPP</t>
        </is>
      </c>
      <c r="BB203" s="33" t="n">
        <v>12460000</v>
      </c>
      <c r="BC203" s="32" t="inlineStr">
        <is>
          <t>MID-MARKET</t>
        </is>
      </c>
      <c r="BD203" s="32" t="inlineStr">
        <is>
          <t>04954155</t>
        </is>
      </c>
      <c r="BE203" s="32" t="n">
        <v>1</v>
      </c>
      <c r="BF203" s="32" t="inlineStr">
        <is>
          <t>list prints no totals</t>
        </is>
      </c>
    </row>
    <row r="204">
      <c r="A204" s="17" t="inlineStr">
        <is>
          <t>SUPRA EMBALAGENS LTDA</t>
        </is>
      </c>
      <c r="B204" s="18" t="n">
        <v>587814.25</v>
      </c>
      <c r="C204" s="19" t="inlineStr">
        <is>
          <t>TOP TEXTIL EMBALAGENS LTDA</t>
        </is>
      </c>
      <c r="D204" s="20" t="inlineStr">
        <is>
          <t>NEW</t>
        </is>
      </c>
      <c r="E204" s="21" t="inlineStr"/>
      <c r="F204" s="20" t="inlineStr"/>
      <c r="G204" s="21" t="inlineStr"/>
      <c r="H204" s="20" t="inlineStr"/>
      <c r="I204" s="22" t="inlineStr">
        <is>
          <t>EDILSON ARAUJO MARTINS</t>
        </is>
      </c>
      <c r="J204" s="23" t="inlineStr">
        <is>
          <t>Sócio-Administrador (RFB partner)</t>
        </is>
      </c>
      <c r="K204" s="22" t="inlineStr">
        <is>
          <t>(42) 3627-7722</t>
        </is>
      </c>
      <c r="L204" s="22" t="inlineStr"/>
      <c r="M204" s="22" t="inlineStr"/>
      <c r="N204" s="22" t="inlineStr"/>
      <c r="O204" s="22" t="inlineStr"/>
      <c r="P204" s="22" t="inlineStr">
        <is>
          <t>LUIZ CARLOS DE OLIVEIRA</t>
        </is>
      </c>
      <c r="Q204" s="22" t="inlineStr">
        <is>
          <t>Sócio-Administrador (RFB partner)</t>
        </is>
      </c>
      <c r="R204" s="22" t="inlineStr"/>
      <c r="S204" s="22" t="inlineStr"/>
      <c r="T204" s="22" t="inlineStr">
        <is>
          <t>DM = registered partner (RFB QSA); no Apollo match</t>
        </is>
      </c>
      <c r="U204" s="24" t="n">
        <v>587814.25</v>
      </c>
      <c r="V204" s="25" t="inlineStr">
        <is>
          <t>B</t>
        </is>
      </c>
      <c r="W204" s="26" t="inlineStr"/>
      <c r="X204" s="27" t="inlineStr"/>
      <c r="Y204" s="27" t="inlineStr"/>
      <c r="Z204" s="26">
        <f>IF(W204&lt;&gt;"",W204,IFERROR(VLOOKUP(V204,Assumptions!$A$8:$F$12,2,FALSE),0))</f>
        <v/>
      </c>
      <c r="AA204" s="28">
        <f>IF(V204="A",MAX(1,IF(X204&lt;&gt;"",X204,IFERROR(VLOOKUP(V204,Assumptions!$A$8:$F$12,3,FALSE),3))+IF(Y204&lt;&gt;"",Y204,IFERROR(VLOOKUP(V204,Assumptions!$A$8:$F$12,4,FALSE),8))/2-MAX(0,IF(AS204="",0,YEAR(TODAY())-AS204)-IFERROR(VLOOKUP(V204,Assumptions!$A$8:$F$12,5,FALSE),1.5))),IFERROR(VLOOKUP(V204,Assumptions!$A$8:$F$12,5,FALSE),2.5)+IF(X204&lt;&gt;"",X204,IFERROR(VLOOKUP(V204,Assumptions!$A$8:$F$12,3,FALSE),3))+IF(Y204&lt;&gt;"",Y204,IFERROR(VLOOKUP(V204,Assumptions!$A$8:$F$12,4,FALSE),8))/2)</f>
        <v/>
      </c>
      <c r="AB204" s="24">
        <f>U204*Z204/(1+Assumptions!$B$3)^AA204</f>
        <v/>
      </c>
      <c r="AC204" s="27">
        <f>IF(U204=0,"",ROUND(AB204/U204*100,1))</f>
        <v/>
      </c>
      <c r="AD204" s="29">
        <f>AB204*Assumptions!$B$4</f>
        <v/>
      </c>
      <c r="AE204" s="27">
        <f>IF(U204=0,"",ROUND(AD204/U204*100,1))</f>
        <v/>
      </c>
      <c r="AF204" s="29">
        <f>AB204-AD204</f>
        <v/>
      </c>
      <c r="AG204" s="27">
        <f>IF(U204=0,"",ROUND((AB204-AD204)/U204*100,1))</f>
        <v/>
      </c>
      <c r="AH204" s="34" t="inlineStr">
        <is>
          <t>NO TOTALS — list prints none; check page</t>
        </is>
      </c>
      <c r="AI204" s="31" t="inlineStr">
        <is>
          <t>https://cataliseaj.com.br/sgc/download.php?file=files/processo_documento/processo_documento15092204102024_1_.pdf&amp;nome=02. RELAÇÃO DE CREDORES</t>
        </is>
      </c>
      <c r="AJ204" s="30" t="inlineStr">
        <is>
          <t>p3 r22</t>
        </is>
      </c>
      <c r="AK204" s="30" t="inlineStr">
        <is>
          <t>p3: R$ 587.814,25</t>
        </is>
      </c>
      <c r="AL204" s="30" t="inlineStr">
        <is>
          <t>Debtor list (art. 51)</t>
        </is>
      </c>
      <c r="AM204" s="30" t="inlineStr"/>
      <c r="AN204" s="30" t="inlineStr">
        <is>
          <t>NONE FOUND</t>
        </is>
      </c>
      <c r="AO204" s="32" t="inlineStr">
        <is>
          <t>5011460-87.2023.8.24.0020</t>
        </is>
      </c>
      <c r="AP204" s="32" t="inlineStr">
        <is>
          <t>TJSC</t>
        </is>
      </c>
      <c r="AQ204" s="32" t="inlineStr">
        <is>
          <t>Recuperação judicial</t>
        </is>
      </c>
      <c r="AR204" s="32" t="inlineStr">
        <is>
          <t>DataJud: no closure/falência movement</t>
        </is>
      </c>
      <c r="AS204" s="32" t="n">
        <v>2023</v>
      </c>
      <c r="AT204" s="32" t="inlineStr">
        <is>
          <t>live case, no plan document yet; case no. from the portal record, not printed on the list</t>
        </is>
      </c>
      <c r="AU204" s="32" t="inlineStr">
        <is>
          <t>26.588.741/0001-29</t>
        </is>
      </c>
      <c r="AV204" s="32" t="inlineStr">
        <is>
          <t>printed on the list (read twice)</t>
        </is>
      </c>
      <c r="AW204" s="32" t="inlineStr"/>
      <c r="AX204" s="32" t="inlineStr">
        <is>
          <t>GUARAPUAVA</t>
        </is>
      </c>
      <c r="AY204" s="32" t="inlineStr">
        <is>
          <t>PR</t>
        </is>
      </c>
      <c r="AZ204" s="32" t="inlineStr">
        <is>
          <t>Fabricação de embalagens de material plástico</t>
        </is>
      </c>
      <c r="BA204" s="32" t="inlineStr">
        <is>
          <t>não ME/EPP</t>
        </is>
      </c>
      <c r="BB204" s="33" t="n">
        <v>880000</v>
      </c>
      <c r="BC204" s="32" t="inlineStr">
        <is>
          <t>MID-MARKET</t>
        </is>
      </c>
      <c r="BD204" s="32" t="inlineStr">
        <is>
          <t>08582585</t>
        </is>
      </c>
      <c r="BE204" s="32" t="n">
        <v>1</v>
      </c>
      <c r="BF204" s="32" t="inlineStr">
        <is>
          <t>list prints no totals</t>
        </is>
      </c>
    </row>
    <row r="205">
      <c r="A205" s="17" t="inlineStr">
        <is>
          <t>TOTVS S.A.</t>
        </is>
      </c>
      <c r="B205" s="18" t="n">
        <v>584334.6800000001</v>
      </c>
      <c r="C205" s="19" t="inlineStr">
        <is>
          <t>REAL DISTRIBUIDORA ÚNICA RIO COMÉRCIO DE REFRIGERAÇÃO LTDA.</t>
        </is>
      </c>
      <c r="D205" s="20" t="inlineStr">
        <is>
          <t>NEW</t>
        </is>
      </c>
      <c r="E205" s="21" t="inlineStr"/>
      <c r="F205" s="20" t="inlineStr"/>
      <c r="G205" s="21" t="inlineStr"/>
      <c r="H205" s="20" t="inlineStr"/>
      <c r="I205" s="22" t="inlineStr">
        <is>
          <t>Maiara Parisotto</t>
        </is>
      </c>
      <c r="J205" s="22" t="inlineStr">
        <is>
          <t>Gerente de Contas a Receber, Crédito e Cobrança</t>
        </is>
      </c>
      <c r="K205" s="22" t="inlineStr">
        <is>
          <t>(11) 4004-0015</t>
        </is>
      </c>
      <c r="L205" s="22" t="inlineStr"/>
      <c r="M205" s="22" t="inlineStr"/>
      <c r="N205" s="22" t="inlineStr">
        <is>
          <t>maiara.parisotto@totvs.com.br</t>
        </is>
      </c>
      <c r="O205" s="22" t="inlineStr">
        <is>
          <t>verified</t>
        </is>
      </c>
      <c r="P205" s="22" t="inlineStr">
        <is>
          <t>DENNIS HERSZKOWICZ</t>
        </is>
      </c>
      <c r="Q205" s="22" t="inlineStr">
        <is>
          <t>Presidente (RFB partner)</t>
        </is>
      </c>
      <c r="R205" s="22" t="inlineStr"/>
      <c r="S205" s="22" t="inlineStr"/>
      <c r="T205" s="22" t="inlineStr">
        <is>
          <t>DM: has_email, phone Yes; large corp</t>
        </is>
      </c>
      <c r="U205" s="24" t="n">
        <v>584334.6800000001</v>
      </c>
      <c r="V205" s="25" t="inlineStr">
        <is>
          <t>B</t>
        </is>
      </c>
      <c r="W205" s="26" t="inlineStr"/>
      <c r="X205" s="27" t="inlineStr"/>
      <c r="Y205" s="27" t="inlineStr"/>
      <c r="Z205" s="26">
        <f>IF(W205&lt;&gt;"",W205,IFERROR(VLOOKUP(V205,Assumptions!$A$8:$F$12,2,FALSE),0))</f>
        <v/>
      </c>
      <c r="AA205" s="28">
        <f>IF(V205="A",MAX(1,IF(X205&lt;&gt;"",X205,IFERROR(VLOOKUP(V205,Assumptions!$A$8:$F$12,3,FALSE),3))+IF(Y205&lt;&gt;"",Y205,IFERROR(VLOOKUP(V205,Assumptions!$A$8:$F$12,4,FALSE),8))/2-MAX(0,IF(AS205="",0,YEAR(TODAY())-AS205)-IFERROR(VLOOKUP(V205,Assumptions!$A$8:$F$12,5,FALSE),1.5))),IFERROR(VLOOKUP(V205,Assumptions!$A$8:$F$12,5,FALSE),2.5)+IF(X205&lt;&gt;"",X205,IFERROR(VLOOKUP(V205,Assumptions!$A$8:$F$12,3,FALSE),3))+IF(Y205&lt;&gt;"",Y205,IFERROR(VLOOKUP(V205,Assumptions!$A$8:$F$12,4,FALSE),8))/2)</f>
        <v/>
      </c>
      <c r="AB205" s="24">
        <f>U205*Z205/(1+Assumptions!$B$3)^AA205</f>
        <v/>
      </c>
      <c r="AC205" s="27">
        <f>IF(U205=0,"",ROUND(AB205/U205*100,1))</f>
        <v/>
      </c>
      <c r="AD205" s="29">
        <f>AB205*Assumptions!$B$4</f>
        <v/>
      </c>
      <c r="AE205" s="27">
        <f>IF(U205=0,"",ROUND(AD205/U205*100,1))</f>
        <v/>
      </c>
      <c r="AF205" s="29">
        <f>AB205-AD205</f>
        <v/>
      </c>
      <c r="AG205" s="27">
        <f>IF(U205=0,"",ROUND((AB205-AD205)/U205*100,1))</f>
        <v/>
      </c>
      <c r="AH205" s="30" t="inlineStr">
        <is>
          <t>OK — totals reconciled</t>
        </is>
      </c>
      <c r="AI205" s="31" t="inlineStr">
        <is>
          <t>https://inova-aj.com.br/wp-content/uploads/2026/08/1a-Relacao-de-Credores-Real.pdf</t>
        </is>
      </c>
      <c r="AJ205" s="30" t="inlineStr">
        <is>
          <t>p2 r11</t>
        </is>
      </c>
      <c r="AK205" s="30" t="inlineStr">
        <is>
          <t>p2: R$ 584.334,68</t>
        </is>
      </c>
      <c r="AL205" s="30" t="inlineStr">
        <is>
          <t>AJ list (art. 7 §2)</t>
        </is>
      </c>
      <c r="AM205" s="30" t="inlineStr">
        <is>
          <t>2023-06-05</t>
        </is>
      </c>
      <c r="AN205" s="30" t="inlineStr">
        <is>
          <t>NONE FOUND</t>
        </is>
      </c>
      <c r="AO205" s="32" t="inlineStr">
        <is>
          <t>0873061-47.2023.8.19.0001</t>
        </is>
      </c>
      <c r="AP205" s="32" t="inlineStr">
        <is>
          <t>TJRJ</t>
        </is>
      </c>
      <c r="AQ205" s="32" t="inlineStr">
        <is>
          <t>Recuperação judicial</t>
        </is>
      </c>
      <c r="AR205" s="32" t="inlineStr">
        <is>
          <t>not in DataJud</t>
        </is>
      </c>
      <c r="AS205" s="32" t="n">
        <v>2023</v>
      </c>
      <c r="AT205" s="32" t="inlineStr">
        <is>
          <t>live case, no plan document yet; case no. from the portal record, not printed on the list</t>
        </is>
      </c>
      <c r="AU205" s="32" t="inlineStr"/>
      <c r="AV205" s="32" t="inlineStr">
        <is>
          <t>printed on the list (read twice)</t>
        </is>
      </c>
      <c r="AW205" s="32" t="inlineStr"/>
      <c r="AX205" s="32" t="inlineStr">
        <is>
          <t>SAO PAULO</t>
        </is>
      </c>
      <c r="AY205" s="32" t="inlineStr">
        <is>
          <t>SP</t>
        </is>
      </c>
      <c r="AZ205" s="32" t="inlineStr">
        <is>
          <t>Desenvolvimento de programas de computador sob encomenda</t>
        </is>
      </c>
      <c r="BA205" s="32" t="inlineStr">
        <is>
          <t>não ME/EPP</t>
        </is>
      </c>
      <c r="BB205" s="33" t="n">
        <v>2962584600</v>
      </c>
      <c r="BC205" s="32" t="inlineStr">
        <is>
          <t>LARGE CORP</t>
        </is>
      </c>
      <c r="BD205" s="32" t="inlineStr">
        <is>
          <t>53113791</t>
        </is>
      </c>
      <c r="BE205" s="32" t="n">
        <v>1</v>
      </c>
      <c r="BF205" s="32" t="inlineStr">
        <is>
          <t>ALT_VALUE:R$424.874,45</t>
        </is>
      </c>
    </row>
    <row r="206">
      <c r="A206" s="17" t="inlineStr">
        <is>
          <t>LICHT COMERCIO IMPORTACAO E EXPORTACAO LTDA</t>
        </is>
      </c>
      <c r="B206" s="18" t="n">
        <v>583200</v>
      </c>
      <c r="C206" s="37" t="inlineStr">
        <is>
          <t>(debtor not identified — see proof)</t>
        </is>
      </c>
      <c r="D206" s="20" t="inlineStr">
        <is>
          <t>NEW</t>
        </is>
      </c>
      <c r="E206" s="21" t="inlineStr"/>
      <c r="F206" s="20" t="inlineStr"/>
      <c r="G206" s="21" t="inlineStr"/>
      <c r="H206" s="20" t="inlineStr"/>
      <c r="I206" s="22" t="inlineStr">
        <is>
          <t>RODRIGO ABEL TENORIO</t>
        </is>
      </c>
      <c r="J206" s="23" t="inlineStr">
        <is>
          <t>Sócio-Administrador (RFB partner)</t>
        </is>
      </c>
      <c r="K206" s="22" t="inlineStr">
        <is>
          <t>(11) 2724-2007</t>
        </is>
      </c>
      <c r="L206" s="22" t="inlineStr"/>
      <c r="M206" s="22" t="inlineStr"/>
      <c r="N206" s="22" t="inlineStr"/>
      <c r="O206" s="22" t="inlineStr"/>
      <c r="P206" s="22" t="inlineStr"/>
      <c r="Q206" s="22" t="inlineStr"/>
      <c r="R206" s="22" t="inlineStr"/>
      <c r="S206" s="22" t="inlineStr"/>
      <c r="T206" s="22" t="inlineStr">
        <is>
          <t>DM = registered partner (RFB QSA); no Apollo match</t>
        </is>
      </c>
      <c r="U206" s="24" t="n">
        <v>583200</v>
      </c>
      <c r="V206" s="25" t="inlineStr">
        <is>
          <t>B</t>
        </is>
      </c>
      <c r="W206" s="26" t="inlineStr"/>
      <c r="X206" s="27" t="inlineStr"/>
      <c r="Y206" s="27" t="inlineStr"/>
      <c r="Z206" s="26">
        <f>IF(W206&lt;&gt;"",W206,IFERROR(VLOOKUP(V206,Assumptions!$A$8:$F$12,2,FALSE),0))</f>
        <v/>
      </c>
      <c r="AA206" s="28">
        <f>IF(V206="A",MAX(1,IF(X206&lt;&gt;"",X206,IFERROR(VLOOKUP(V206,Assumptions!$A$8:$F$12,3,FALSE),3))+IF(Y206&lt;&gt;"",Y206,IFERROR(VLOOKUP(V206,Assumptions!$A$8:$F$12,4,FALSE),8))/2-MAX(0,IF(AS206="",0,YEAR(TODAY())-AS206)-IFERROR(VLOOKUP(V206,Assumptions!$A$8:$F$12,5,FALSE),1.5))),IFERROR(VLOOKUP(V206,Assumptions!$A$8:$F$12,5,FALSE),2.5)+IF(X206&lt;&gt;"",X206,IFERROR(VLOOKUP(V206,Assumptions!$A$8:$F$12,3,FALSE),3))+IF(Y206&lt;&gt;"",Y206,IFERROR(VLOOKUP(V206,Assumptions!$A$8:$F$12,4,FALSE),8))/2)</f>
        <v/>
      </c>
      <c r="AB206" s="24">
        <f>U206*Z206/(1+Assumptions!$B$3)^AA206</f>
        <v/>
      </c>
      <c r="AC206" s="27">
        <f>IF(U206=0,"",ROUND(AB206/U206*100,1))</f>
        <v/>
      </c>
      <c r="AD206" s="29">
        <f>AB206*Assumptions!$B$4</f>
        <v/>
      </c>
      <c r="AE206" s="27">
        <f>IF(U206=0,"",ROUND(AD206/U206*100,1))</f>
        <v/>
      </c>
      <c r="AF206" s="29">
        <f>AB206-AD206</f>
        <v/>
      </c>
      <c r="AG206" s="27">
        <f>IF(U206=0,"",ROUND((AB206-AD206)/U206*100,1))</f>
        <v/>
      </c>
      <c r="AH206" s="30" t="inlineStr">
        <is>
          <t>OK — totals reconciled</t>
        </is>
      </c>
      <c r="AI206" s="31" t="inlineStr">
        <is>
          <t>https://ajruiz.com.br/sites/default/files/public/arquivos-processos/2024-04/relacao_de_credores_recuperanda_1.pdf</t>
        </is>
      </c>
      <c r="AJ206" s="30" t="inlineStr">
        <is>
          <t>p8 r1; p8 r2; p8 r3; p8 r4; p8 r5; p8 r6; p8 r7; p8 r8; p8 r9</t>
        </is>
      </c>
      <c r="AK206" s="30" t="inlineStr">
        <is>
          <t>[rows shown ≠ face] p8: R$ 70.000,00; p8: R$ 196.000,00; p8: R$ 1.500,00; p8: R$ 52.500,00; p8: R$ 58.800,00; p8: R$ 182.000,00; p8: R$ 196.000,00; p8: R$ 196.000,00; p8: R$ 22.400,00</t>
        </is>
      </c>
      <c r="AL206" s="30" t="inlineStr">
        <is>
          <t>QGC (art. 18)</t>
        </is>
      </c>
      <c r="AM206" s="30" t="inlineStr">
        <is>
          <t>2024-01-31</t>
        </is>
      </c>
      <c r="AN206" s="30" t="inlineStr">
        <is>
          <t>NONE FOUND</t>
        </is>
      </c>
      <c r="AO206" s="32" t="inlineStr">
        <is>
          <t>1022634-27.2024.8.26.0100</t>
        </is>
      </c>
      <c r="AP206" s="32" t="inlineStr">
        <is>
          <t>TJSP</t>
        </is>
      </c>
      <c r="AQ206" s="32" t="inlineStr"/>
      <c r="AR206" s="32" t="inlineStr">
        <is>
          <t>not in DataJud</t>
        </is>
      </c>
      <c r="AS206" s="32" t="n">
        <v>2024</v>
      </c>
      <c r="AT206" s="32" t="inlineStr">
        <is>
          <t>live case, no plan document yet; case no. from the portal record, not printed on the list</t>
        </is>
      </c>
      <c r="AU206" s="32" t="inlineStr"/>
      <c r="AV206" s="32" t="inlineStr">
        <is>
          <t>not identified</t>
        </is>
      </c>
      <c r="AW206" s="32" t="inlineStr"/>
      <c r="AX206" s="32" t="inlineStr">
        <is>
          <t>RIBEIRAO PRETO</t>
        </is>
      </c>
      <c r="AY206" s="32" t="inlineStr">
        <is>
          <t>SP</t>
        </is>
      </c>
      <c r="AZ206" s="32" t="inlineStr">
        <is>
          <t>Serviços combinados de escritório e apoio administrativo</t>
        </is>
      </c>
      <c r="BA206" s="32" t="inlineStr">
        <is>
          <t>não ME/EPP</t>
        </is>
      </c>
      <c r="BB206" s="33" t="n">
        <v>110000</v>
      </c>
      <c r="BC206" s="32" t="inlineStr">
        <is>
          <t>MID-MARKET</t>
        </is>
      </c>
      <c r="BD206" s="32" t="inlineStr">
        <is>
          <t>40777556</t>
        </is>
      </c>
      <c r="BE206" s="32" t="n">
        <v>7</v>
      </c>
      <c r="BF206" s="32" t="inlineStr">
        <is>
          <t>case no. corrected by reader</t>
        </is>
      </c>
    </row>
    <row r="207">
      <c r="A207" s="17" t="inlineStr">
        <is>
          <t>TELEFONICA CLOUD E TECNOLOGIA DO BRASIL S.A.</t>
        </is>
      </c>
      <c r="B207" s="18" t="n">
        <v>581750.48</v>
      </c>
      <c r="C207" s="19" t="inlineStr">
        <is>
          <t>Grupo Rech</t>
        </is>
      </c>
      <c r="D207" s="20" t="inlineStr">
        <is>
          <t>NEW</t>
        </is>
      </c>
      <c r="E207" s="21" t="inlineStr"/>
      <c r="F207" s="20" t="inlineStr"/>
      <c r="G207" s="21" t="inlineStr"/>
      <c r="H207" s="20" t="inlineStr"/>
      <c r="I207" s="22" t="inlineStr">
        <is>
          <t>DEBORA HEREDIA IGNACIO BORTOLASI</t>
        </is>
      </c>
      <c r="J207" s="23" t="inlineStr">
        <is>
          <t>Presidente (RFB partner)</t>
        </is>
      </c>
      <c r="K207" s="22" t="inlineStr">
        <is>
          <t>(11) 3430-2145</t>
        </is>
      </c>
      <c r="L207" s="22" t="inlineStr"/>
      <c r="M207" s="22" t="inlineStr"/>
      <c r="N207" s="22" t="inlineStr"/>
      <c r="O207" s="22" t="inlineStr"/>
      <c r="P207" s="22" t="inlineStr">
        <is>
          <t>BRENO RODRIGO PACHECO DE OLIVEIRA</t>
        </is>
      </c>
      <c r="Q207" s="22" t="inlineStr">
        <is>
          <t>Diretor (RFB partner)</t>
        </is>
      </c>
      <c r="R207" s="22" t="inlineStr"/>
      <c r="S207" s="22" t="inlineStr"/>
      <c r="T207" s="22" t="inlineStr">
        <is>
          <t>DM = registered partner (RFB QSA); no Apollo match</t>
        </is>
      </c>
      <c r="U207" s="24" t="n">
        <v>581750.48</v>
      </c>
      <c r="V207" s="25" t="inlineStr">
        <is>
          <t>B</t>
        </is>
      </c>
      <c r="W207" s="26" t="inlineStr"/>
      <c r="X207" s="27" t="inlineStr"/>
      <c r="Y207" s="27" t="inlineStr"/>
      <c r="Z207" s="26">
        <f>IF(W207&lt;&gt;"",W207,IFERROR(VLOOKUP(V207,Assumptions!$A$8:$F$12,2,FALSE),0))</f>
        <v/>
      </c>
      <c r="AA207" s="28">
        <f>IF(V207="A",MAX(1,IF(X207&lt;&gt;"",X207,IFERROR(VLOOKUP(V207,Assumptions!$A$8:$F$12,3,FALSE),3))+IF(Y207&lt;&gt;"",Y207,IFERROR(VLOOKUP(V207,Assumptions!$A$8:$F$12,4,FALSE),8))/2-MAX(0,IF(AS207="",0,YEAR(TODAY())-AS207)-IFERROR(VLOOKUP(V207,Assumptions!$A$8:$F$12,5,FALSE),1.5))),IFERROR(VLOOKUP(V207,Assumptions!$A$8:$F$12,5,FALSE),2.5)+IF(X207&lt;&gt;"",X207,IFERROR(VLOOKUP(V207,Assumptions!$A$8:$F$12,3,FALSE),3))+IF(Y207&lt;&gt;"",Y207,IFERROR(VLOOKUP(V207,Assumptions!$A$8:$F$12,4,FALSE),8))/2)</f>
        <v/>
      </c>
      <c r="AB207" s="24">
        <f>U207*Z207/(1+Assumptions!$B$3)^AA207</f>
        <v/>
      </c>
      <c r="AC207" s="27">
        <f>IF(U207=0,"",ROUND(AB207/U207*100,1))</f>
        <v/>
      </c>
      <c r="AD207" s="29">
        <f>AB207*Assumptions!$B$4</f>
        <v/>
      </c>
      <c r="AE207" s="27">
        <f>IF(U207=0,"",ROUND(AD207/U207*100,1))</f>
        <v/>
      </c>
      <c r="AF207" s="29">
        <f>AB207-AD207</f>
        <v/>
      </c>
      <c r="AG207" s="27">
        <f>IF(U207=0,"",ROUND((AB207-AD207)/U207*100,1))</f>
        <v/>
      </c>
      <c r="AH207" s="36" t="inlineStr">
        <is>
          <t>CHECK — source is not a statutory creditor list</t>
        </is>
      </c>
      <c r="AI207" s="31" t="inlineStr">
        <is>
          <t>https://credibilita.com.br/wp-content/uploads/2025/09/Relacao-Credores-29.04.2026.pdf</t>
        </is>
      </c>
      <c r="AJ207" s="30" t="inlineStr">
        <is>
          <t>p2 r20</t>
        </is>
      </c>
      <c r="AK207" s="30" t="inlineStr">
        <is>
          <t>p2: R$ 581.750,48</t>
        </is>
      </c>
      <c r="AL207" s="30" t="inlineStr">
        <is>
          <t>Quorum list — NOT an art. 7/51 list</t>
        </is>
      </c>
      <c r="AM207" s="30" t="inlineStr"/>
      <c r="AN207" s="30" t="inlineStr">
        <is>
          <t>NONE FOUND</t>
        </is>
      </c>
      <c r="AO207" s="32" t="inlineStr">
        <is>
          <t>5057720-48.2025.8.24.0023</t>
        </is>
      </c>
      <c r="AP207" s="32" t="inlineStr">
        <is>
          <t>TJSC</t>
        </is>
      </c>
      <c r="AQ207" s="32" t="inlineStr"/>
      <c r="AR207" s="32" t="inlineStr">
        <is>
          <t>not in DataJud</t>
        </is>
      </c>
      <c r="AS207" s="32" t="n">
        <v>2025</v>
      </c>
      <c r="AT207" s="32" t="inlineStr">
        <is>
          <t>live case, no plan document yet; case no. from the portal record, not printed on the list</t>
        </is>
      </c>
      <c r="AU207" s="32" t="inlineStr"/>
      <c r="AV207" s="32" t="inlineStr">
        <is>
          <t>portal page title / URL — not printed on the list</t>
        </is>
      </c>
      <c r="AW207" s="32" t="inlineStr"/>
      <c r="AX207" s="32" t="inlineStr">
        <is>
          <t>SANTANA DE PARNAIBA</t>
        </is>
      </c>
      <c r="AY207" s="32" t="inlineStr">
        <is>
          <t>SP</t>
        </is>
      </c>
      <c r="AZ207" s="32" t="inlineStr">
        <is>
          <t>Consultoria em tecnologia da informação</t>
        </is>
      </c>
      <c r="BA207" s="32" t="inlineStr">
        <is>
          <t>não ME/EPP</t>
        </is>
      </c>
      <c r="BB207" s="33" t="n">
        <v>213236350</v>
      </c>
      <c r="BC207" s="32" t="inlineStr">
        <is>
          <t>MID-MARKET</t>
        </is>
      </c>
      <c r="BD207" s="32" t="inlineStr">
        <is>
          <t>35473014</t>
        </is>
      </c>
      <c r="BE207" s="32" t="n">
        <v>1</v>
      </c>
      <c r="BF207" s="32" t="inlineStr">
        <is>
          <t>list prints no totals case no. corrected by reader</t>
        </is>
      </c>
    </row>
    <row r="208">
      <c r="A208" s="17" t="inlineStr">
        <is>
          <t>ASK CRIOS PRODUTOS QUIMICOS DO BRASIL LTDA</t>
        </is>
      </c>
      <c r="B208" s="18" t="n">
        <v>2270274.68</v>
      </c>
      <c r="C208" s="19" t="inlineStr">
        <is>
          <t>FORMAPLAN FORMAS PLANEJADAS INDÚSTRIA E COMÉRCIO LTDA</t>
        </is>
      </c>
      <c r="D208" s="20" t="inlineStr">
        <is>
          <t>NEW</t>
        </is>
      </c>
      <c r="E208" s="21" t="inlineStr"/>
      <c r="F208" s="20" t="inlineStr"/>
      <c r="G208" s="21" t="inlineStr"/>
      <c r="H208" s="20" t="inlineStr"/>
      <c r="I208" s="22" t="inlineStr">
        <is>
          <t>LUIS ROBERTO OLIVEIRA DEGASPARI</t>
        </is>
      </c>
      <c r="J208" s="23" t="inlineStr">
        <is>
          <t>Administrador (RFB partner)</t>
        </is>
      </c>
      <c r="K208" s="22" t="inlineStr">
        <is>
          <t>(19) 9953-9805</t>
        </is>
      </c>
      <c r="L208" s="22" t="inlineStr"/>
      <c r="M208" s="22" t="inlineStr"/>
      <c r="N208" s="22" t="inlineStr"/>
      <c r="O208" s="22" t="inlineStr"/>
      <c r="P208" s="22" t="inlineStr">
        <is>
          <t>MICHELINE WANDERLEY DE ARAUJO</t>
        </is>
      </c>
      <c r="Q208" s="22" t="inlineStr">
        <is>
          <t>Administrador (RFB partner)</t>
        </is>
      </c>
      <c r="R208" s="22" t="inlineStr"/>
      <c r="S208" s="22" t="inlineStr"/>
      <c r="T208" s="22" t="inlineStr">
        <is>
          <t>DM = registered partner (RFB QSA); no Apollo match</t>
        </is>
      </c>
      <c r="U208" s="24" t="n">
        <v>2270274.68</v>
      </c>
      <c r="V208" s="39" t="inlineStr">
        <is>
          <t>C</t>
        </is>
      </c>
      <c r="W208" s="26" t="inlineStr"/>
      <c r="X208" s="27" t="inlineStr"/>
      <c r="Y208" s="27" t="inlineStr"/>
      <c r="Z208" s="26">
        <f>IF(W208&lt;&gt;"",W208,IFERROR(VLOOKUP(V208,Assumptions!$A$8:$F$12,2,FALSE),0))</f>
        <v/>
      </c>
      <c r="AA208" s="28">
        <f>IF(V208="A",MAX(1,IF(X208&lt;&gt;"",X208,IFERROR(VLOOKUP(V208,Assumptions!$A$8:$F$12,3,FALSE),3))+IF(Y208&lt;&gt;"",Y208,IFERROR(VLOOKUP(V208,Assumptions!$A$8:$F$12,4,FALSE),8))/2-MAX(0,IF(AS208="",0,YEAR(TODAY())-AS208)-IFERROR(VLOOKUP(V208,Assumptions!$A$8:$F$12,5,FALSE),1.5))),IFERROR(VLOOKUP(V208,Assumptions!$A$8:$F$12,5,FALSE),2.5)+IF(X208&lt;&gt;"",X208,IFERROR(VLOOKUP(V208,Assumptions!$A$8:$F$12,3,FALSE),3))+IF(Y208&lt;&gt;"",Y208,IFERROR(VLOOKUP(V208,Assumptions!$A$8:$F$12,4,FALSE),8))/2)</f>
        <v/>
      </c>
      <c r="AB208" s="24">
        <f>U208*Z208/(1+Assumptions!$B$3)^AA208</f>
        <v/>
      </c>
      <c r="AC208" s="27">
        <f>IF(U208=0,"",ROUND(AB208/U208*100,1))</f>
        <v/>
      </c>
      <c r="AD208" s="29">
        <f>AB208*Assumptions!$B$4</f>
        <v/>
      </c>
      <c r="AE208" s="27">
        <f>IF(U208=0,"",ROUND(AD208/U208*100,1))</f>
        <v/>
      </c>
      <c r="AF208" s="29">
        <f>AB208-AD208</f>
        <v/>
      </c>
      <c r="AG208" s="27">
        <f>IF(U208=0,"",ROUND((AB208-AD208)/U208*100,1))</f>
        <v/>
      </c>
      <c r="AH208" s="35" t="inlineStr">
        <is>
          <t>PARTIAL — class III reconciled, other classes not</t>
        </is>
      </c>
      <c r="AI208" s="31" t="inlineStr">
        <is>
          <t>https://marquesadmjudicial.com.br/sgc/download.php?file=files/processo_documento/processo_documento15232121112024_1_.pdf&amp;nome=Relação de Credores</t>
        </is>
      </c>
      <c r="AJ208" s="30" t="inlineStr">
        <is>
          <t>p15 r19</t>
        </is>
      </c>
      <c r="AK208" s="30" t="inlineStr">
        <is>
          <t>p15: R$ 2.270.274,68</t>
        </is>
      </c>
      <c r="AL208" s="30" t="inlineStr">
        <is>
          <t>AJ list (art. 7 §2)</t>
        </is>
      </c>
      <c r="AM208" s="30" t="inlineStr">
        <is>
          <t>2021-01-22</t>
        </is>
      </c>
      <c r="AN208" s="30" t="inlineStr">
        <is>
          <t>NONE FOUND</t>
        </is>
      </c>
      <c r="AO208" s="32" t="inlineStr">
        <is>
          <t>0000410-68.2021.8.16.0174</t>
        </is>
      </c>
      <c r="AP208" s="32" t="inlineStr">
        <is>
          <t>TJPR</t>
        </is>
      </c>
      <c r="AQ208" s="32" t="inlineStr">
        <is>
          <t>Recuperação judicial</t>
        </is>
      </c>
      <c r="AR208" s="32" t="inlineStr">
        <is>
          <t>DataJud: no closure/falência movement</t>
        </is>
      </c>
      <c r="AS208" s="32" t="n">
        <v>2021</v>
      </c>
      <c r="AT208" s="32" t="inlineStr">
        <is>
          <t>5y since filing; plan not in our documents</t>
        </is>
      </c>
      <c r="AU208" s="32" t="inlineStr">
        <is>
          <t>00.262.371/0001-41</t>
        </is>
      </c>
      <c r="AV208" s="32" t="inlineStr">
        <is>
          <t>printed on the list (read twice)</t>
        </is>
      </c>
      <c r="AW208" s="32" t="inlineStr"/>
      <c r="AX208" s="32" t="inlineStr">
        <is>
          <t>RIO CLARO</t>
        </is>
      </c>
      <c r="AY208" s="32" t="inlineStr">
        <is>
          <t>SP</t>
        </is>
      </c>
      <c r="AZ208" s="32" t="inlineStr">
        <is>
          <t>Fabricação de resinas termofixas</t>
        </is>
      </c>
      <c r="BA208" s="32" t="inlineStr">
        <is>
          <t>não ME/EPP</t>
        </is>
      </c>
      <c r="BB208" s="33" t="n">
        <v>25190928</v>
      </c>
      <c r="BC208" s="32" t="inlineStr">
        <is>
          <t>MID-MARKET</t>
        </is>
      </c>
      <c r="BD208" s="32" t="inlineStr">
        <is>
          <t>44246528</t>
        </is>
      </c>
      <c r="BE208" s="32" t="n">
        <v>1</v>
      </c>
      <c r="BF208" s="32" t="inlineStr">
        <is>
          <t>class III reconciled (doc partial)</t>
        </is>
      </c>
    </row>
    <row r="209">
      <c r="A209" s="17" t="inlineStr">
        <is>
          <t>VERTICE CONSTRUTORA E INCORPORADORA LTDA</t>
        </is>
      </c>
      <c r="B209" s="18" t="n">
        <v>580000</v>
      </c>
      <c r="C209" s="37" t="inlineStr">
        <is>
          <t>(debtor not identified — see proof)</t>
        </is>
      </c>
      <c r="D209" s="20" t="inlineStr">
        <is>
          <t>NEW</t>
        </is>
      </c>
      <c r="E209" s="21" t="inlineStr"/>
      <c r="F209" s="20" t="inlineStr"/>
      <c r="G209" s="21" t="inlineStr"/>
      <c r="H209" s="20" t="inlineStr"/>
      <c r="I209" s="22" t="inlineStr">
        <is>
          <t>GIANCARLOS AGNOLETTO</t>
        </is>
      </c>
      <c r="J209" s="23" t="inlineStr">
        <is>
          <t>Sócio-Administrador (RFB partner)</t>
        </is>
      </c>
      <c r="K209" s="22" t="inlineStr">
        <is>
          <t>(49) 3322-1111</t>
        </is>
      </c>
      <c r="L209" s="22" t="inlineStr"/>
      <c r="M209" s="22" t="inlineStr"/>
      <c r="N209" s="22" t="inlineStr"/>
      <c r="O209" s="22" t="inlineStr"/>
      <c r="P209" s="22" t="inlineStr"/>
      <c r="Q209" s="22" t="inlineStr"/>
      <c r="R209" s="22" t="inlineStr"/>
      <c r="S209" s="22" t="inlineStr"/>
      <c r="T209" s="22" t="inlineStr">
        <is>
          <t>DM = registered partner (RFB QSA); no Apollo match</t>
        </is>
      </c>
      <c r="U209" s="24" t="n">
        <v>580000</v>
      </c>
      <c r="V209" s="25" t="inlineStr">
        <is>
          <t>B</t>
        </is>
      </c>
      <c r="W209" s="26" t="inlineStr"/>
      <c r="X209" s="27" t="inlineStr"/>
      <c r="Y209" s="27" t="inlineStr"/>
      <c r="Z209" s="26">
        <f>IF(W209&lt;&gt;"",W209,IFERROR(VLOOKUP(V209,Assumptions!$A$8:$F$12,2,FALSE),0))</f>
        <v/>
      </c>
      <c r="AA209" s="28">
        <f>IF(V209="A",MAX(1,IF(X209&lt;&gt;"",X209,IFERROR(VLOOKUP(V209,Assumptions!$A$8:$F$12,3,FALSE),3))+IF(Y209&lt;&gt;"",Y209,IFERROR(VLOOKUP(V209,Assumptions!$A$8:$F$12,4,FALSE),8))/2-MAX(0,IF(AS209="",0,YEAR(TODAY())-AS209)-IFERROR(VLOOKUP(V209,Assumptions!$A$8:$F$12,5,FALSE),1.5))),IFERROR(VLOOKUP(V209,Assumptions!$A$8:$F$12,5,FALSE),2.5)+IF(X209&lt;&gt;"",X209,IFERROR(VLOOKUP(V209,Assumptions!$A$8:$F$12,3,FALSE),3))+IF(Y209&lt;&gt;"",Y209,IFERROR(VLOOKUP(V209,Assumptions!$A$8:$F$12,4,FALSE),8))/2)</f>
        <v/>
      </c>
      <c r="AB209" s="24">
        <f>U209*Z209/(1+Assumptions!$B$3)^AA209</f>
        <v/>
      </c>
      <c r="AC209" s="27">
        <f>IF(U209=0,"",ROUND(AB209/U209*100,1))</f>
        <v/>
      </c>
      <c r="AD209" s="29">
        <f>AB209*Assumptions!$B$4</f>
        <v/>
      </c>
      <c r="AE209" s="27">
        <f>IF(U209=0,"",ROUND(AD209/U209*100,1))</f>
        <v/>
      </c>
      <c r="AF209" s="29">
        <f>AB209-AD209</f>
        <v/>
      </c>
      <c r="AG209" s="27">
        <f>IF(U209=0,"",ROUND((AB209-AD209)/U209*100,1))</f>
        <v/>
      </c>
      <c r="AH209" s="34" t="inlineStr">
        <is>
          <t>NO TOTALS — list prints none; check page</t>
        </is>
      </c>
      <c r="AI209" s="31" t="inlineStr">
        <is>
          <t>https://scalzilliaj.com.br/sgc/download.php?file=files/processo_documento/processo_documento15180810062026_1_.pdf&amp;nome=10 - Relação de credores do art. 7º, §2º, da Lei 11.101/2005</t>
        </is>
      </c>
      <c r="AJ209" s="30" t="inlineStr">
        <is>
          <t>p2 r43</t>
        </is>
      </c>
      <c r="AK209" s="30" t="inlineStr">
        <is>
          <t>p2: R$ 580.000,00</t>
        </is>
      </c>
      <c r="AL209" s="30" t="inlineStr">
        <is>
          <t>AJ list (art. 7 §2)</t>
        </is>
      </c>
      <c r="AM209" s="30" t="inlineStr"/>
      <c r="AN209" s="30" t="inlineStr">
        <is>
          <t>NONE FOUND</t>
        </is>
      </c>
      <c r="AO209" s="32" t="inlineStr">
        <is>
          <t>5009529-81.2025.8.24.0019</t>
        </is>
      </c>
      <c r="AP209" s="32" t="inlineStr">
        <is>
          <t>TJSC</t>
        </is>
      </c>
      <c r="AQ209" s="32" t="inlineStr"/>
      <c r="AR209" s="32" t="inlineStr">
        <is>
          <t>not in DataJud</t>
        </is>
      </c>
      <c r="AS209" s="32" t="n">
        <v>2025</v>
      </c>
      <c r="AT209" s="32" t="inlineStr">
        <is>
          <t>live case, no plan document yet; case no. from the portal record, not printed on the list</t>
        </is>
      </c>
      <c r="AU209" s="32" t="inlineStr"/>
      <c r="AV209" s="32" t="inlineStr">
        <is>
          <t>not identified</t>
        </is>
      </c>
      <c r="AW209" s="32" t="inlineStr"/>
      <c r="AX209" s="32" t="inlineStr">
        <is>
          <t>CHAPECO</t>
        </is>
      </c>
      <c r="AY209" s="32" t="inlineStr">
        <is>
          <t>SC</t>
        </is>
      </c>
      <c r="AZ209" s="32" t="inlineStr">
        <is>
          <t>Incorporação de empreendimentos imobiliários</t>
        </is>
      </c>
      <c r="BA209" s="32" t="inlineStr">
        <is>
          <t>não ME/EPP</t>
        </is>
      </c>
      <c r="BB209" s="33" t="n">
        <v>1000000</v>
      </c>
      <c r="BC209" s="32" t="inlineStr">
        <is>
          <t>MID-MARKET</t>
        </is>
      </c>
      <c r="BD209" s="32" t="inlineStr">
        <is>
          <t>07120505</t>
        </is>
      </c>
      <c r="BE209" s="32" t="n">
        <v>1</v>
      </c>
      <c r="BF209" s="32" t="inlineStr">
        <is>
          <t>list prints no totals</t>
        </is>
      </c>
    </row>
    <row r="210">
      <c r="A210" s="17" t="inlineStr">
        <is>
          <t>BRANDILI TEXTIL LTDA</t>
        </is>
      </c>
      <c r="B210" s="18" t="n">
        <v>567952.01</v>
      </c>
      <c r="C210" s="19" t="inlineStr">
        <is>
          <t>GRUPO CATTAN</t>
        </is>
      </c>
      <c r="D210" s="20" t="inlineStr">
        <is>
          <t>NEW</t>
        </is>
      </c>
      <c r="E210" s="21" t="inlineStr"/>
      <c r="F210" s="20" t="inlineStr"/>
      <c r="G210" s="21" t="inlineStr"/>
      <c r="H210" s="20" t="inlineStr"/>
      <c r="I210" s="22" t="inlineStr">
        <is>
          <t>Everson Marcon</t>
        </is>
      </c>
      <c r="J210" s="22" t="inlineStr">
        <is>
          <t>Chief Financial Officer</t>
        </is>
      </c>
      <c r="K210" s="22" t="inlineStr">
        <is>
          <t>(47) 3144-6000</t>
        </is>
      </c>
      <c r="L210" s="22" t="inlineStr">
        <is>
          <t>(47) 3353-2401</t>
        </is>
      </c>
      <c r="M210" s="22" t="inlineStr"/>
      <c r="N210" s="22" t="inlineStr">
        <is>
          <t>everson@brandili.com.br</t>
        </is>
      </c>
      <c r="O210" s="22" t="inlineStr">
        <is>
          <t>verified</t>
        </is>
      </c>
      <c r="P210" s="22" t="inlineStr">
        <is>
          <t>Kelly Medina</t>
        </is>
      </c>
      <c r="Q210" s="22" t="inlineStr">
        <is>
          <t>Analista de Crédito e Cobrança Sênior</t>
        </is>
      </c>
      <c r="R210" s="22" t="inlineStr"/>
      <c r="S210" s="22" t="inlineStr">
        <is>
          <t>kelly.medina@brandili.com.br</t>
        </is>
      </c>
      <c r="T210" s="22" t="inlineStr">
        <is>
          <t>DM: has_email, phone Yes; BACKUP: backup, has_email, phone Yes</t>
        </is>
      </c>
      <c r="U210" s="24" t="n">
        <v>567952.01</v>
      </c>
      <c r="V210" s="25" t="inlineStr">
        <is>
          <t>B</t>
        </is>
      </c>
      <c r="W210" s="26" t="inlineStr"/>
      <c r="X210" s="27" t="inlineStr"/>
      <c r="Y210" s="27" t="inlineStr"/>
      <c r="Z210" s="26">
        <f>IF(W210&lt;&gt;"",W210,IFERROR(VLOOKUP(V210,Assumptions!$A$8:$F$12,2,FALSE),0))</f>
        <v/>
      </c>
      <c r="AA210" s="28">
        <f>IF(V210="A",MAX(1,IF(X210&lt;&gt;"",X210,IFERROR(VLOOKUP(V210,Assumptions!$A$8:$F$12,3,FALSE),3))+IF(Y210&lt;&gt;"",Y210,IFERROR(VLOOKUP(V210,Assumptions!$A$8:$F$12,4,FALSE),8))/2-MAX(0,IF(AS210="",0,YEAR(TODAY())-AS210)-IFERROR(VLOOKUP(V210,Assumptions!$A$8:$F$12,5,FALSE),1.5))),IFERROR(VLOOKUP(V210,Assumptions!$A$8:$F$12,5,FALSE),2.5)+IF(X210&lt;&gt;"",X210,IFERROR(VLOOKUP(V210,Assumptions!$A$8:$F$12,3,FALSE),3))+IF(Y210&lt;&gt;"",Y210,IFERROR(VLOOKUP(V210,Assumptions!$A$8:$F$12,4,FALSE),8))/2)</f>
        <v/>
      </c>
      <c r="AB210" s="24">
        <f>U210*Z210/(1+Assumptions!$B$3)^AA210</f>
        <v/>
      </c>
      <c r="AC210" s="27">
        <f>IF(U210=0,"",ROUND(AB210/U210*100,1))</f>
        <v/>
      </c>
      <c r="AD210" s="29">
        <f>AB210*Assumptions!$B$4</f>
        <v/>
      </c>
      <c r="AE210" s="27">
        <f>IF(U210=0,"",ROUND(AD210/U210*100,1))</f>
        <v/>
      </c>
      <c r="AF210" s="29">
        <f>AB210-AD210</f>
        <v/>
      </c>
      <c r="AG210" s="27">
        <f>IF(U210=0,"",ROUND((AB210-AD210)/U210*100,1))</f>
        <v/>
      </c>
      <c r="AH210" s="35" t="inlineStr">
        <is>
          <t>PARTIAL — class III reconciled, other classes not</t>
        </is>
      </c>
      <c r="AI210" s="31" t="inlineStr">
        <is>
          <t>https://lrflideres.com.br/wp-content/plugins/download-attachments/includes/download.php?id=4023</t>
        </is>
      </c>
      <c r="AJ210" s="30" t="inlineStr">
        <is>
          <t>p4 r58; p7 r81; p9 r60</t>
        </is>
      </c>
      <c r="AK210" s="30" t="inlineStr">
        <is>
          <t>p4: R$ 165.914,50; p7: R$ 324.485,33; p9: R$ 77.552,18</t>
        </is>
      </c>
      <c r="AL210" s="30" t="inlineStr">
        <is>
          <t>Debtor list (art. 51)</t>
        </is>
      </c>
      <c r="AM210" s="30" t="inlineStr"/>
      <c r="AN210" s="30" t="inlineStr">
        <is>
          <t>NONE FOUND</t>
        </is>
      </c>
      <c r="AO210" s="32" t="inlineStr">
        <is>
          <t>0002484-82.2022.8.17.2001</t>
        </is>
      </c>
      <c r="AP210" s="32" t="inlineStr">
        <is>
          <t>TJPE</t>
        </is>
      </c>
      <c r="AQ210" s="32" t="inlineStr">
        <is>
          <t>Recuperação judicial</t>
        </is>
      </c>
      <c r="AR210" s="32" t="inlineStr">
        <is>
          <t>DataJud: no closure/falência movement</t>
        </is>
      </c>
      <c r="AS210" s="32" t="n">
        <v>2022</v>
      </c>
      <c r="AT210" s="32" t="inlineStr">
        <is>
          <t>live case, no plan document yet</t>
        </is>
      </c>
      <c r="AU210" s="32" t="inlineStr"/>
      <c r="AV210" s="32" t="inlineStr">
        <is>
          <t>printed on the list (read twice)</t>
        </is>
      </c>
      <c r="AW210" s="32" t="inlineStr"/>
      <c r="AX210" s="32" t="inlineStr">
        <is>
          <t>APIUNA</t>
        </is>
      </c>
      <c r="AY210" s="32" t="inlineStr">
        <is>
          <t>SC</t>
        </is>
      </c>
      <c r="AZ210" s="32" t="inlineStr">
        <is>
          <t>Confecção de peças de vestuário, exceto roupas íntimas e as confeccionadas sob medida</t>
        </is>
      </c>
      <c r="BA210" s="32" t="inlineStr">
        <is>
          <t>não ME/EPP</t>
        </is>
      </c>
      <c r="BB210" s="33" t="n">
        <v>55327336</v>
      </c>
      <c r="BC210" s="32" t="inlineStr">
        <is>
          <t>MID-MARKET</t>
        </is>
      </c>
      <c r="BD210" s="32" t="inlineStr">
        <is>
          <t>84229889</t>
        </is>
      </c>
      <c r="BE210" s="32" t="n">
        <v>3</v>
      </c>
      <c r="BF210" s="32" t="inlineStr">
        <is>
          <t>class III reconciled (doc partial)</t>
        </is>
      </c>
    </row>
    <row r="211">
      <c r="A211" s="17" t="inlineStr">
        <is>
          <t>ESMALTEC S/A</t>
        </is>
      </c>
      <c r="B211" s="18" t="n">
        <v>2210242.75</v>
      </c>
      <c r="C211" s="19" t="inlineStr">
        <is>
          <t>CREDIMÓVEIS NOVOLAR LTDA.</t>
        </is>
      </c>
      <c r="D211" s="20" t="inlineStr">
        <is>
          <t>NEW</t>
        </is>
      </c>
      <c r="E211" s="21" t="inlineStr"/>
      <c r="F211" s="20" t="inlineStr"/>
      <c r="G211" s="21" t="inlineStr"/>
      <c r="H211" s="20" t="inlineStr"/>
      <c r="I211" s="22" t="inlineStr">
        <is>
          <t>Tiago Mota</t>
        </is>
      </c>
      <c r="J211" s="22" t="inlineStr">
        <is>
          <t>Financial Administrative Manager</t>
        </is>
      </c>
      <c r="K211" s="22" t="inlineStr">
        <is>
          <t>(85) 3466-8540</t>
        </is>
      </c>
      <c r="L211" s="22" t="inlineStr"/>
      <c r="M211" s="22" t="inlineStr"/>
      <c r="N211" s="22" t="inlineStr">
        <is>
          <t>tiago.mota@esmaltec.com.br</t>
        </is>
      </c>
      <c r="O211" s="22" t="inlineStr">
        <is>
          <t>verified</t>
        </is>
      </c>
      <c r="P211" s="22" t="inlineStr">
        <is>
          <t>Marcelo Pinto</t>
        </is>
      </c>
      <c r="Q211" s="22" t="inlineStr">
        <is>
          <t>Diretor Superintendente | CEO</t>
        </is>
      </c>
      <c r="R211" s="22" t="inlineStr"/>
      <c r="S211" s="22" t="inlineStr">
        <is>
          <t>marcelo.pinto@esmaltec.com.br</t>
        </is>
      </c>
      <c r="T211" s="22" t="inlineStr">
        <is>
          <t>DM: has_email, phone Yes; BACKUP: backup, has_email, phone Yes</t>
        </is>
      </c>
      <c r="U211" s="24" t="n">
        <v>2210242.75</v>
      </c>
      <c r="V211" s="39" t="inlineStr">
        <is>
          <t>C</t>
        </is>
      </c>
      <c r="W211" s="26" t="inlineStr"/>
      <c r="X211" s="27" t="inlineStr"/>
      <c r="Y211" s="27" t="inlineStr"/>
      <c r="Z211" s="26">
        <f>IF(W211&lt;&gt;"",W211,IFERROR(VLOOKUP(V211,Assumptions!$A$8:$F$12,2,FALSE),0))</f>
        <v/>
      </c>
      <c r="AA211" s="28">
        <f>IF(V211="A",MAX(1,IF(X211&lt;&gt;"",X211,IFERROR(VLOOKUP(V211,Assumptions!$A$8:$F$12,3,FALSE),3))+IF(Y211&lt;&gt;"",Y211,IFERROR(VLOOKUP(V211,Assumptions!$A$8:$F$12,4,FALSE),8))/2-MAX(0,IF(AS211="",0,YEAR(TODAY())-AS211)-IFERROR(VLOOKUP(V211,Assumptions!$A$8:$F$12,5,FALSE),1.5))),IFERROR(VLOOKUP(V211,Assumptions!$A$8:$F$12,5,FALSE),2.5)+IF(X211&lt;&gt;"",X211,IFERROR(VLOOKUP(V211,Assumptions!$A$8:$F$12,3,FALSE),3))+IF(Y211&lt;&gt;"",Y211,IFERROR(VLOOKUP(V211,Assumptions!$A$8:$F$12,4,FALSE),8))/2)</f>
        <v/>
      </c>
      <c r="AB211" s="24">
        <f>U211*Z211/(1+Assumptions!$B$3)^AA211</f>
        <v/>
      </c>
      <c r="AC211" s="27">
        <f>IF(U211=0,"",ROUND(AB211/U211*100,1))</f>
        <v/>
      </c>
      <c r="AD211" s="29">
        <f>AB211*Assumptions!$B$4</f>
        <v/>
      </c>
      <c r="AE211" s="27">
        <f>IF(U211=0,"",ROUND(AD211/U211*100,1))</f>
        <v/>
      </c>
      <c r="AF211" s="29">
        <f>AB211-AD211</f>
        <v/>
      </c>
      <c r="AG211" s="27">
        <f>IF(U211=0,"",ROUND((AB211-AD211)/U211*100,1))</f>
        <v/>
      </c>
      <c r="AH211" s="30" t="inlineStr">
        <is>
          <t>OK — totals reconciled</t>
        </is>
      </c>
      <c r="AI211" s="31" t="inlineStr">
        <is>
          <t>https://recuperacaojudicial.squarespace.com/s/RJ-Credimoveis-QGC-01082025.pdf</t>
        </is>
      </c>
      <c r="AJ211" s="30" t="inlineStr">
        <is>
          <t>p15 r42</t>
        </is>
      </c>
      <c r="AK211" s="30" t="inlineStr">
        <is>
          <t>p15: R$ 2.210.242,75</t>
        </is>
      </c>
      <c r="AL211" s="30" t="inlineStr">
        <is>
          <t>QGC (art. 18)</t>
        </is>
      </c>
      <c r="AM211" s="30" t="inlineStr">
        <is>
          <t>2026-01-28</t>
        </is>
      </c>
      <c r="AN211" s="30" t="inlineStr">
        <is>
          <t>NONE FOUND</t>
        </is>
      </c>
      <c r="AO211" s="32" t="inlineStr">
        <is>
          <t>0007565-40.2020.8.17.2370</t>
        </is>
      </c>
      <c r="AP211" s="32" t="inlineStr">
        <is>
          <t>TJPE</t>
        </is>
      </c>
      <c r="AQ211" s="32" t="inlineStr">
        <is>
          <t>Recuperação judicial</t>
        </is>
      </c>
      <c r="AR211" s="32" t="inlineStr">
        <is>
          <t>DataJud: no closure/falência movement</t>
        </is>
      </c>
      <c r="AS211" s="32" t="n">
        <v>2020</v>
      </c>
      <c r="AT211" s="32" t="inlineStr">
        <is>
          <t>6y since filing; plan not in our documents</t>
        </is>
      </c>
      <c r="AU211" s="32" t="inlineStr">
        <is>
          <t>09.930.165/0001-37</t>
        </is>
      </c>
      <c r="AV211" s="32" t="inlineStr">
        <is>
          <t>printed on the list (read twice)</t>
        </is>
      </c>
      <c r="AW211" s="32" t="inlineStr"/>
      <c r="AX211" s="32" t="inlineStr">
        <is>
          <t>FORTALEZA</t>
        </is>
      </c>
      <c r="AY211" s="32" t="inlineStr">
        <is>
          <t>CE</t>
        </is>
      </c>
      <c r="AZ211" s="32" t="inlineStr">
        <is>
          <t>Fabricação de fogões, refrigeradores e máquinas de lavar e secar para uso doméstico, peças e acessórios</t>
        </is>
      </c>
      <c r="BA211" s="32" t="inlineStr">
        <is>
          <t>não ME/EPP</t>
        </is>
      </c>
      <c r="BB211" s="33" t="n">
        <v>250673000</v>
      </c>
      <c r="BC211" s="32" t="inlineStr">
        <is>
          <t>MID-MARKET</t>
        </is>
      </c>
      <c r="BD211" s="32" t="inlineStr">
        <is>
          <t>02948030</t>
        </is>
      </c>
      <c r="BE211" s="32" t="n">
        <v>1</v>
      </c>
      <c r="BF211" s="32" t="inlineStr"/>
    </row>
    <row r="212">
      <c r="A212" s="17" t="inlineStr">
        <is>
          <t>SANTIN - EQUIPAMENTOS, TRANSPORTES, IMPORTACAO E EXPORTACAO LTDA</t>
        </is>
      </c>
      <c r="B212" s="18" t="n">
        <v>565326.29</v>
      </c>
      <c r="C212" s="19" t="inlineStr">
        <is>
          <t>GRUPO EGESA (Egesa Engenharia S.A. + 9 group companies; see group members)</t>
        </is>
      </c>
      <c r="D212" s="20" t="inlineStr">
        <is>
          <t>NEW</t>
        </is>
      </c>
      <c r="E212" s="21" t="inlineStr"/>
      <c r="F212" s="20" t="inlineStr"/>
      <c r="G212" s="21" t="inlineStr"/>
      <c r="H212" s="20" t="inlineStr"/>
      <c r="I212" s="22" t="inlineStr">
        <is>
          <t>ALEXANDRE BARBIERI SANTIN</t>
        </is>
      </c>
      <c r="J212" s="23" t="inlineStr">
        <is>
          <t>Sócio-Administrador (RFB partner)</t>
        </is>
      </c>
      <c r="K212" s="22" t="inlineStr">
        <is>
          <t>(16) 3393-9999</t>
        </is>
      </c>
      <c r="L212" s="22" t="inlineStr"/>
      <c r="M212" s="22" t="inlineStr"/>
      <c r="N212" s="22" t="inlineStr"/>
      <c r="O212" s="22" t="inlineStr"/>
      <c r="P212" s="22" t="inlineStr">
        <is>
          <t>FERNANDO BARBIERI SANTIN</t>
        </is>
      </c>
      <c r="Q212" s="22" t="inlineStr">
        <is>
          <t>Sócio-Administrador (RFB partner)</t>
        </is>
      </c>
      <c r="R212" s="22" t="inlineStr"/>
      <c r="S212" s="22" t="inlineStr"/>
      <c r="T212" s="22" t="inlineStr">
        <is>
          <t>DM = registered partner (RFB QSA); no Apollo match</t>
        </is>
      </c>
      <c r="U212" s="24" t="n">
        <v>565326.29</v>
      </c>
      <c r="V212" s="25" t="inlineStr">
        <is>
          <t>B</t>
        </is>
      </c>
      <c r="W212" s="26" t="inlineStr"/>
      <c r="X212" s="27" t="inlineStr"/>
      <c r="Y212" s="27" t="inlineStr"/>
      <c r="Z212" s="26">
        <f>IF(W212&lt;&gt;"",W212,IFERROR(VLOOKUP(V212,Assumptions!$A$8:$F$12,2,FALSE),0))</f>
        <v/>
      </c>
      <c r="AA212" s="28">
        <f>IF(V212="A",MAX(1,IF(X212&lt;&gt;"",X212,IFERROR(VLOOKUP(V212,Assumptions!$A$8:$F$12,3,FALSE),3))+IF(Y212&lt;&gt;"",Y212,IFERROR(VLOOKUP(V212,Assumptions!$A$8:$F$12,4,FALSE),8))/2-MAX(0,IF(AS212="",0,YEAR(TODAY())-AS212)-IFERROR(VLOOKUP(V212,Assumptions!$A$8:$F$12,5,FALSE),1.5))),IFERROR(VLOOKUP(V212,Assumptions!$A$8:$F$12,5,FALSE),2.5)+IF(X212&lt;&gt;"",X212,IFERROR(VLOOKUP(V212,Assumptions!$A$8:$F$12,3,FALSE),3))+IF(Y212&lt;&gt;"",Y212,IFERROR(VLOOKUP(V212,Assumptions!$A$8:$F$12,4,FALSE),8))/2)</f>
        <v/>
      </c>
      <c r="AB212" s="24">
        <f>U212*Z212/(1+Assumptions!$B$3)^AA212</f>
        <v/>
      </c>
      <c r="AC212" s="27">
        <f>IF(U212=0,"",ROUND(AB212/U212*100,1))</f>
        <v/>
      </c>
      <c r="AD212" s="29">
        <f>AB212*Assumptions!$B$4</f>
        <v/>
      </c>
      <c r="AE212" s="27">
        <f>IF(U212=0,"",ROUND(AD212/U212*100,1))</f>
        <v/>
      </c>
      <c r="AF212" s="29">
        <f>AB212-AD212</f>
        <v/>
      </c>
      <c r="AG212" s="27">
        <f>IF(U212=0,"",ROUND((AB212-AD212)/U212*100,1))</f>
        <v/>
      </c>
      <c r="AH212" s="30" t="inlineStr">
        <is>
          <t>OK — totals reconciled</t>
        </is>
      </c>
      <c r="AI212" s="31" t="inlineStr">
        <is>
          <t>https://scalzilliaj.com.br/sgc/download.php?file=files/processo_documento/processo_documento09514021082025_1_.pdf&amp;nome=04 - Relação de credores das Recuperandas</t>
        </is>
      </c>
      <c r="AJ212" s="30" t="inlineStr">
        <is>
          <t>p72 r16</t>
        </is>
      </c>
      <c r="AK212" s="30" t="inlineStr">
        <is>
          <t>p72: R$ 565.326,29</t>
        </is>
      </c>
      <c r="AL212" s="30" t="inlineStr">
        <is>
          <t>Debtor list (art. 51)</t>
        </is>
      </c>
      <c r="AM212" s="30" t="inlineStr"/>
      <c r="AN212" s="30" t="inlineStr">
        <is>
          <t>NONE FOUND</t>
        </is>
      </c>
      <c r="AO212" s="32" t="inlineStr">
        <is>
          <t>5088952-81.2025.8.13.0024</t>
        </is>
      </c>
      <c r="AP212" s="32" t="inlineStr">
        <is>
          <t>TJMG</t>
        </is>
      </c>
      <c r="AQ212" s="32" t="inlineStr"/>
      <c r="AR212" s="32" t="inlineStr">
        <is>
          <t>DataJud: no closure/falência movement</t>
        </is>
      </c>
      <c r="AS212" s="32" t="n">
        <v>2025</v>
      </c>
      <c r="AT212" s="32" t="inlineStr">
        <is>
          <t>live case, no plan document yet; case no. from the portal record, not printed on the list</t>
        </is>
      </c>
      <c r="AU212" s="32" t="inlineStr"/>
      <c r="AV212" s="32" t="inlineStr">
        <is>
          <t>portal page title / URL — not printed on the list</t>
        </is>
      </c>
      <c r="AW212" s="32" t="inlineStr"/>
      <c r="AX212" s="32" t="inlineStr">
        <is>
          <t>AMERICO BRASILIENSE</t>
        </is>
      </c>
      <c r="AY212" s="32" t="inlineStr">
        <is>
          <t>SP</t>
        </is>
      </c>
      <c r="AZ212" s="32" t="inlineStr">
        <is>
          <t>Transporte rodoviário de carga, exceto produtos perigosos e mudanças, intermunicipal, interestadual e internacional</t>
        </is>
      </c>
      <c r="BA212" s="32" t="inlineStr">
        <is>
          <t>não ME/EPP</t>
        </is>
      </c>
      <c r="BB212" s="33" t="n">
        <v>4848000</v>
      </c>
      <c r="BC212" s="32" t="inlineStr">
        <is>
          <t>MID-MARKET</t>
        </is>
      </c>
      <c r="BD212" s="32" t="inlineStr">
        <is>
          <t>05134355</t>
        </is>
      </c>
      <c r="BE212" s="32" t="n">
        <v>1</v>
      </c>
      <c r="BF212" s="32" t="inlineStr">
        <is>
          <t>case no. corrected by reader case no. from portal record</t>
        </is>
      </c>
    </row>
    <row r="213">
      <c r="A213" s="17" t="inlineStr">
        <is>
          <t>STRATURA ASFALTOS LTDA.</t>
        </is>
      </c>
      <c r="B213" s="18" t="n">
        <v>2146226.53</v>
      </c>
      <c r="C213" s="19" t="inlineStr">
        <is>
          <t>CONSTRUTORA ANDRADE GUEDES LTDA</t>
        </is>
      </c>
      <c r="D213" s="20" t="inlineStr">
        <is>
          <t>NEW</t>
        </is>
      </c>
      <c r="E213" s="21" t="inlineStr"/>
      <c r="F213" s="20" t="inlineStr"/>
      <c r="G213" s="21" t="inlineStr"/>
      <c r="H213" s="20" t="inlineStr"/>
      <c r="I213" s="22" t="inlineStr">
        <is>
          <t>CARLOS ALBERTO DE AQUINO PINHEIRO JUNIOR</t>
        </is>
      </c>
      <c r="J213" s="23" t="inlineStr">
        <is>
          <t>Administrador (RFB partner)</t>
        </is>
      </c>
      <c r="K213" s="22" t="inlineStr">
        <is>
          <t>(11) 3513-4260</t>
        </is>
      </c>
      <c r="L213" s="22" t="inlineStr"/>
      <c r="M213" s="22" t="inlineStr"/>
      <c r="N213" s="22" t="inlineStr"/>
      <c r="O213" s="22" t="inlineStr"/>
      <c r="P213" s="22" t="inlineStr"/>
      <c r="Q213" s="22" t="inlineStr"/>
      <c r="R213" s="22" t="inlineStr"/>
      <c r="S213" s="22" t="inlineStr"/>
      <c r="T213" s="22" t="inlineStr">
        <is>
          <t>DM = registered partner (RFB QSA); no Apollo match</t>
        </is>
      </c>
      <c r="U213" s="24" t="n">
        <v>2146226.53</v>
      </c>
      <c r="V213" s="39" t="inlineStr">
        <is>
          <t>C</t>
        </is>
      </c>
      <c r="W213" s="26" t="inlineStr"/>
      <c r="X213" s="27" t="inlineStr"/>
      <c r="Y213" s="27" t="inlineStr"/>
      <c r="Z213" s="26">
        <f>IF(W213&lt;&gt;"",W213,IFERROR(VLOOKUP(V213,Assumptions!$A$8:$F$12,2,FALSE),0))</f>
        <v/>
      </c>
      <c r="AA213" s="28">
        <f>IF(V213="A",MAX(1,IF(X213&lt;&gt;"",X213,IFERROR(VLOOKUP(V213,Assumptions!$A$8:$F$12,3,FALSE),3))+IF(Y213&lt;&gt;"",Y213,IFERROR(VLOOKUP(V213,Assumptions!$A$8:$F$12,4,FALSE),8))/2-MAX(0,IF(AS213="",0,YEAR(TODAY())-AS213)-IFERROR(VLOOKUP(V213,Assumptions!$A$8:$F$12,5,FALSE),1.5))),IFERROR(VLOOKUP(V213,Assumptions!$A$8:$F$12,5,FALSE),2.5)+IF(X213&lt;&gt;"",X213,IFERROR(VLOOKUP(V213,Assumptions!$A$8:$F$12,3,FALSE),3))+IF(Y213&lt;&gt;"",Y213,IFERROR(VLOOKUP(V213,Assumptions!$A$8:$F$12,4,FALSE),8))/2)</f>
        <v/>
      </c>
      <c r="AB213" s="24">
        <f>U213*Z213/(1+Assumptions!$B$3)^AA213</f>
        <v/>
      </c>
      <c r="AC213" s="27">
        <f>IF(U213=0,"",ROUND(AB213/U213*100,1))</f>
        <v/>
      </c>
      <c r="AD213" s="29">
        <f>AB213*Assumptions!$B$4</f>
        <v/>
      </c>
      <c r="AE213" s="27">
        <f>IF(U213=0,"",ROUND(AD213/U213*100,1))</f>
        <v/>
      </c>
      <c r="AF213" s="29">
        <f>AB213-AD213</f>
        <v/>
      </c>
      <c r="AG213" s="27">
        <f>IF(U213=0,"",ROUND((AB213-AD213)/U213*100,1))</f>
        <v/>
      </c>
      <c r="AH213" s="34" t="inlineStr">
        <is>
          <t>NO TOTALS — list prints none; check page</t>
        </is>
      </c>
      <c r="AI213" s="31" t="inlineStr">
        <is>
          <t>https://diligence.adm.br/wp-content/plugins/download-attachments/includes/download.php?id=4599</t>
        </is>
      </c>
      <c r="AJ213" s="30" t="inlineStr">
        <is>
          <t>p10 r77</t>
        </is>
      </c>
      <c r="AK213" s="30" t="inlineStr">
        <is>
          <t>p10: R$ 2.146.226,53</t>
        </is>
      </c>
      <c r="AL213" s="30" t="inlineStr">
        <is>
          <t>AJ list (art. 7 §2)</t>
        </is>
      </c>
      <c r="AM213" s="30" t="inlineStr">
        <is>
          <t>2024-06-25</t>
        </is>
      </c>
      <c r="AN213" s="30" t="inlineStr">
        <is>
          <t>NONE FOUND</t>
        </is>
      </c>
      <c r="AO213" s="32" t="inlineStr">
        <is>
          <t>0000880-57.2020.8.17.2001</t>
        </is>
      </c>
      <c r="AP213" s="32" t="inlineStr">
        <is>
          <t>TJPE</t>
        </is>
      </c>
      <c r="AQ213" s="32" t="inlineStr">
        <is>
          <t>Recuperação judicial</t>
        </is>
      </c>
      <c r="AR213" s="32" t="inlineStr">
        <is>
          <t>DataJud: no closure/falência movement</t>
        </is>
      </c>
      <c r="AS213" s="32" t="n">
        <v>2020</v>
      </c>
      <c r="AT213" s="32" t="inlineStr">
        <is>
          <t>6y since filing; plan not in our documents</t>
        </is>
      </c>
      <c r="AU213" s="32" t="inlineStr">
        <is>
          <t>08.073.264/0001-87</t>
        </is>
      </c>
      <c r="AV213" s="32" t="inlineStr">
        <is>
          <t>printed on the list (read twice)</t>
        </is>
      </c>
      <c r="AW213" s="32" t="inlineStr"/>
      <c r="AX213" s="32" t="inlineStr">
        <is>
          <t>SAO PAULO</t>
        </is>
      </c>
      <c r="AY213" s="32" t="inlineStr">
        <is>
          <t>SP</t>
        </is>
      </c>
      <c r="AZ213" s="32" t="inlineStr">
        <is>
          <t>Serviços combinados de escritório e apoio administrativo</t>
        </is>
      </c>
      <c r="BA213" s="32" t="inlineStr">
        <is>
          <t>não ME/EPP</t>
        </is>
      </c>
      <c r="BB213" s="33" t="n">
        <v>217733330</v>
      </c>
      <c r="BC213" s="32" t="inlineStr">
        <is>
          <t>MID-MARKET</t>
        </is>
      </c>
      <c r="BD213" s="32" t="inlineStr">
        <is>
          <t>59128553</t>
        </is>
      </c>
      <c r="BE213" s="32" t="n">
        <v>1</v>
      </c>
      <c r="BF213" s="32" t="inlineStr">
        <is>
          <t>ALT_VALUE:R$1.615.549,86 ALT_VALUE:R$530.676,67 list prints no totals</t>
        </is>
      </c>
    </row>
    <row r="214">
      <c r="A214" s="17" t="inlineStr">
        <is>
          <t>ROMAR F MANN &amp; CIA. LTDA.</t>
        </is>
      </c>
      <c r="B214" s="18" t="n">
        <v>549424.8199999999</v>
      </c>
      <c r="C214" s="19" t="inlineStr">
        <is>
          <t>Grupo Rech</t>
        </is>
      </c>
      <c r="D214" s="20" t="inlineStr">
        <is>
          <t>NEW</t>
        </is>
      </c>
      <c r="E214" s="21" t="inlineStr"/>
      <c r="F214" s="20" t="inlineStr"/>
      <c r="G214" s="21" t="inlineStr"/>
      <c r="H214" s="20" t="inlineStr"/>
      <c r="I214" s="22" t="inlineStr">
        <is>
          <t>MARTA MANN BAIOTTO</t>
        </is>
      </c>
      <c r="J214" s="23" t="inlineStr">
        <is>
          <t>Sócio-Administrador (RFB partner)</t>
        </is>
      </c>
      <c r="K214" s="22" t="inlineStr">
        <is>
          <t>(55) 3539-4000</t>
        </is>
      </c>
      <c r="L214" s="22" t="inlineStr"/>
      <c r="M214" s="22" t="inlineStr"/>
      <c r="N214" s="22" t="inlineStr"/>
      <c r="O214" s="22" t="inlineStr"/>
      <c r="P214" s="22" t="inlineStr"/>
      <c r="Q214" s="22" t="inlineStr"/>
      <c r="R214" s="22" t="inlineStr"/>
      <c r="S214" s="22" t="inlineStr"/>
      <c r="T214" s="22" t="inlineStr">
        <is>
          <t>DM = registered partner (RFB QSA); no Apollo match</t>
        </is>
      </c>
      <c r="U214" s="24" t="n">
        <v>549424.8199999999</v>
      </c>
      <c r="V214" s="25" t="inlineStr">
        <is>
          <t>B</t>
        </is>
      </c>
      <c r="W214" s="26" t="inlineStr"/>
      <c r="X214" s="27" t="inlineStr"/>
      <c r="Y214" s="27" t="inlineStr"/>
      <c r="Z214" s="26">
        <f>IF(W214&lt;&gt;"",W214,IFERROR(VLOOKUP(V214,Assumptions!$A$8:$F$12,2,FALSE),0))</f>
        <v/>
      </c>
      <c r="AA214" s="28">
        <f>IF(V214="A",MAX(1,IF(X214&lt;&gt;"",X214,IFERROR(VLOOKUP(V214,Assumptions!$A$8:$F$12,3,FALSE),3))+IF(Y214&lt;&gt;"",Y214,IFERROR(VLOOKUP(V214,Assumptions!$A$8:$F$12,4,FALSE),8))/2-MAX(0,IF(AS214="",0,YEAR(TODAY())-AS214)-IFERROR(VLOOKUP(V214,Assumptions!$A$8:$F$12,5,FALSE),1.5))),IFERROR(VLOOKUP(V214,Assumptions!$A$8:$F$12,5,FALSE),2.5)+IF(X214&lt;&gt;"",X214,IFERROR(VLOOKUP(V214,Assumptions!$A$8:$F$12,3,FALSE),3))+IF(Y214&lt;&gt;"",Y214,IFERROR(VLOOKUP(V214,Assumptions!$A$8:$F$12,4,FALSE),8))/2)</f>
        <v/>
      </c>
      <c r="AB214" s="24">
        <f>U214*Z214/(1+Assumptions!$B$3)^AA214</f>
        <v/>
      </c>
      <c r="AC214" s="27">
        <f>IF(U214=0,"",ROUND(AB214/U214*100,1))</f>
        <v/>
      </c>
      <c r="AD214" s="29">
        <f>AB214*Assumptions!$B$4</f>
        <v/>
      </c>
      <c r="AE214" s="27">
        <f>IF(U214=0,"",ROUND(AD214/U214*100,1))</f>
        <v/>
      </c>
      <c r="AF214" s="29">
        <f>AB214-AD214</f>
        <v/>
      </c>
      <c r="AG214" s="27">
        <f>IF(U214=0,"",ROUND((AB214-AD214)/U214*100,1))</f>
        <v/>
      </c>
      <c r="AH214" s="36" t="inlineStr">
        <is>
          <t>CHECK — source is not a statutory creditor list</t>
        </is>
      </c>
      <c r="AI214" s="31" t="inlineStr">
        <is>
          <t>https://credibilita.com.br/wp-content/uploads/2025/09/Relacao-Credores-29.04.2026.pdf</t>
        </is>
      </c>
      <c r="AJ214" s="30" t="inlineStr">
        <is>
          <t>p2 r14</t>
        </is>
      </c>
      <c r="AK214" s="30" t="inlineStr">
        <is>
          <t>p2: R$ 549.424,82</t>
        </is>
      </c>
      <c r="AL214" s="30" t="inlineStr">
        <is>
          <t>Quorum list — NOT an art. 7/51 list</t>
        </is>
      </c>
      <c r="AM214" s="30" t="inlineStr"/>
      <c r="AN214" s="30" t="inlineStr">
        <is>
          <t>NONE FOUND</t>
        </is>
      </c>
      <c r="AO214" s="32" t="inlineStr">
        <is>
          <t>5057720-48.2025.8.24.0023</t>
        </is>
      </c>
      <c r="AP214" s="32" t="inlineStr">
        <is>
          <t>TJSC</t>
        </is>
      </c>
      <c r="AQ214" s="32" t="inlineStr"/>
      <c r="AR214" s="32" t="inlineStr">
        <is>
          <t>not in DataJud</t>
        </is>
      </c>
      <c r="AS214" s="32" t="n">
        <v>2025</v>
      </c>
      <c r="AT214" s="32" t="inlineStr">
        <is>
          <t>live case, no plan document yet; case no. from the portal record, not printed on the list</t>
        </is>
      </c>
      <c r="AU214" s="32" t="inlineStr"/>
      <c r="AV214" s="32" t="inlineStr">
        <is>
          <t>portal page title / URL — not printed on the list</t>
        </is>
      </c>
      <c r="AW214" s="32" t="inlineStr"/>
      <c r="AX214" s="32" t="inlineStr">
        <is>
          <t>INDEPENDENCIA</t>
        </is>
      </c>
      <c r="AY214" s="32" t="inlineStr">
        <is>
          <t>RS</t>
        </is>
      </c>
      <c r="AZ214" s="32" t="inlineStr">
        <is>
          <t>Fabricação de máquinas e equipamentos para a agricultura e pecuária, peças e acessórios, exceto para irrigação</t>
        </is>
      </c>
      <c r="BA214" s="32" t="inlineStr">
        <is>
          <t>não ME/EPP</t>
        </is>
      </c>
      <c r="BB214" s="33" t="n">
        <v>152516</v>
      </c>
      <c r="BC214" s="32" t="inlineStr">
        <is>
          <t>MID-MARKET</t>
        </is>
      </c>
      <c r="BD214" s="32" t="inlineStr">
        <is>
          <t>90316407</t>
        </is>
      </c>
      <c r="BE214" s="32" t="n">
        <v>1</v>
      </c>
      <c r="BF214" s="32" t="inlineStr">
        <is>
          <t>list prints no totals case no. corrected by reader</t>
        </is>
      </c>
    </row>
    <row r="215">
      <c r="A215" s="17" t="inlineStr">
        <is>
          <t>CONFECCOES TENDENZA LTDA</t>
        </is>
      </c>
      <c r="B215" s="18" t="n">
        <v>545994.16</v>
      </c>
      <c r="C215" s="19" t="inlineStr">
        <is>
          <t>GRUPO CATTAN</t>
        </is>
      </c>
      <c r="D215" s="20" t="inlineStr">
        <is>
          <t>NEW</t>
        </is>
      </c>
      <c r="E215" s="21" t="inlineStr"/>
      <c r="F215" s="20" t="inlineStr"/>
      <c r="G215" s="21" t="inlineStr"/>
      <c r="H215" s="20" t="inlineStr"/>
      <c r="I215" s="22" t="inlineStr">
        <is>
          <t>JULIANO ALVES FRANCO DE SOUZA</t>
        </is>
      </c>
      <c r="J215" s="23" t="inlineStr">
        <is>
          <t>Sócio-Administrador (RFB partner)</t>
        </is>
      </c>
      <c r="K215" s="22" t="inlineStr">
        <is>
          <t>(19) 3898-9266</t>
        </is>
      </c>
      <c r="L215" s="22" t="inlineStr"/>
      <c r="M215" s="22" t="inlineStr"/>
      <c r="N215" s="22" t="inlineStr"/>
      <c r="O215" s="22" t="inlineStr"/>
      <c r="P215" s="22" t="inlineStr"/>
      <c r="Q215" s="22" t="inlineStr"/>
      <c r="R215" s="22" t="inlineStr"/>
      <c r="S215" s="22" t="inlineStr"/>
      <c r="T215" s="22" t="inlineStr">
        <is>
          <t>DM = registered partner (RFB QSA); no Apollo match</t>
        </is>
      </c>
      <c r="U215" s="24" t="n">
        <v>545994.16</v>
      </c>
      <c r="V215" s="25" t="inlineStr">
        <is>
          <t>B</t>
        </is>
      </c>
      <c r="W215" s="26" t="inlineStr"/>
      <c r="X215" s="27" t="inlineStr"/>
      <c r="Y215" s="27" t="inlineStr"/>
      <c r="Z215" s="26">
        <f>IF(W215&lt;&gt;"",W215,IFERROR(VLOOKUP(V215,Assumptions!$A$8:$F$12,2,FALSE),0))</f>
        <v/>
      </c>
      <c r="AA215" s="28">
        <f>IF(V215="A",MAX(1,IF(X215&lt;&gt;"",X215,IFERROR(VLOOKUP(V215,Assumptions!$A$8:$F$12,3,FALSE),3))+IF(Y215&lt;&gt;"",Y215,IFERROR(VLOOKUP(V215,Assumptions!$A$8:$F$12,4,FALSE),8))/2-MAX(0,IF(AS215="",0,YEAR(TODAY())-AS215)-IFERROR(VLOOKUP(V215,Assumptions!$A$8:$F$12,5,FALSE),1.5))),IFERROR(VLOOKUP(V215,Assumptions!$A$8:$F$12,5,FALSE),2.5)+IF(X215&lt;&gt;"",X215,IFERROR(VLOOKUP(V215,Assumptions!$A$8:$F$12,3,FALSE),3))+IF(Y215&lt;&gt;"",Y215,IFERROR(VLOOKUP(V215,Assumptions!$A$8:$F$12,4,FALSE),8))/2)</f>
        <v/>
      </c>
      <c r="AB215" s="24">
        <f>U215*Z215/(1+Assumptions!$B$3)^AA215</f>
        <v/>
      </c>
      <c r="AC215" s="27">
        <f>IF(U215=0,"",ROUND(AB215/U215*100,1))</f>
        <v/>
      </c>
      <c r="AD215" s="29">
        <f>AB215*Assumptions!$B$4</f>
        <v/>
      </c>
      <c r="AE215" s="27">
        <f>IF(U215=0,"",ROUND(AD215/U215*100,1))</f>
        <v/>
      </c>
      <c r="AF215" s="29">
        <f>AB215-AD215</f>
        <v/>
      </c>
      <c r="AG215" s="27">
        <f>IF(U215=0,"",ROUND((AB215-AD215)/U215*100,1))</f>
        <v/>
      </c>
      <c r="AH215" s="35" t="inlineStr">
        <is>
          <t>PARTIAL — class III reconciled, other classes not</t>
        </is>
      </c>
      <c r="AI215" s="31" t="inlineStr">
        <is>
          <t>https://lrflideres.com.br/wp-content/plugins/download-attachments/includes/download.php?id=4023</t>
        </is>
      </c>
      <c r="AJ215" s="30" t="inlineStr">
        <is>
          <t>p4 r65; p7 r88; p9 r66</t>
        </is>
      </c>
      <c r="AK215" s="30" t="inlineStr">
        <is>
          <t>p4: R$ 28.110,21; p7: R$ 435.997,21; p9: R$ 81.886,74</t>
        </is>
      </c>
      <c r="AL215" s="30" t="inlineStr">
        <is>
          <t>Debtor list (art. 51)</t>
        </is>
      </c>
      <c r="AM215" s="30" t="inlineStr"/>
      <c r="AN215" s="30" t="inlineStr">
        <is>
          <t>NONE FOUND</t>
        </is>
      </c>
      <c r="AO215" s="32" t="inlineStr">
        <is>
          <t>0002484-82.2022.8.17.2001</t>
        </is>
      </c>
      <c r="AP215" s="32" t="inlineStr">
        <is>
          <t>TJPE</t>
        </is>
      </c>
      <c r="AQ215" s="32" t="inlineStr">
        <is>
          <t>Recuperação judicial</t>
        </is>
      </c>
      <c r="AR215" s="32" t="inlineStr">
        <is>
          <t>DataJud: no closure/falência movement</t>
        </is>
      </c>
      <c r="AS215" s="32" t="n">
        <v>2022</v>
      </c>
      <c r="AT215" s="32" t="inlineStr">
        <is>
          <t>live case, no plan document yet</t>
        </is>
      </c>
      <c r="AU215" s="32" t="inlineStr"/>
      <c r="AV215" s="32" t="inlineStr">
        <is>
          <t>printed on the list (read twice)</t>
        </is>
      </c>
      <c r="AW215" s="32" t="inlineStr"/>
      <c r="AX215" s="32" t="inlineStr">
        <is>
          <t>LINDOIA</t>
        </is>
      </c>
      <c r="AY215" s="32" t="inlineStr">
        <is>
          <t>SP</t>
        </is>
      </c>
      <c r="AZ215" s="32" t="inlineStr">
        <is>
          <t>Confecção de peças de vestuário, exceto roupas íntimas e as confeccionadas sob medida</t>
        </is>
      </c>
      <c r="BA215" s="32" t="inlineStr">
        <is>
          <t>não ME/EPP</t>
        </is>
      </c>
      <c r="BB215" s="33" t="n">
        <v>500000</v>
      </c>
      <c r="BC215" s="32" t="inlineStr">
        <is>
          <t>MID-MARKET</t>
        </is>
      </c>
      <c r="BD215" s="32" t="inlineStr">
        <is>
          <t>08953848</t>
        </is>
      </c>
      <c r="BE215" s="32" t="n">
        <v>3</v>
      </c>
      <c r="BF215" s="32" t="inlineStr">
        <is>
          <t>class III reconciled (doc partial)</t>
        </is>
      </c>
    </row>
    <row r="216">
      <c r="A216" s="17" t="inlineStr">
        <is>
          <t>IFOOD BENEFICIOS E SERVICOS LTDA.</t>
        </is>
      </c>
      <c r="B216" s="18" t="n">
        <v>545456.1</v>
      </c>
      <c r="C216" s="19" t="inlineStr">
        <is>
          <t>VENEZA SERVIÇOS ADMINISTRATIVOS LTDA.</t>
        </is>
      </c>
      <c r="D216" s="20" t="inlineStr">
        <is>
          <t>NEW</t>
        </is>
      </c>
      <c r="E216" s="21" t="inlineStr"/>
      <c r="F216" s="20" t="inlineStr"/>
      <c r="G216" s="21" t="inlineStr"/>
      <c r="H216" s="20" t="inlineStr"/>
      <c r="I216" s="22" t="inlineStr">
        <is>
          <t>DIEGO CARNEIRO BARRETO</t>
        </is>
      </c>
      <c r="J216" s="23" t="inlineStr">
        <is>
          <t>Administrador (RFB partner)</t>
        </is>
      </c>
      <c r="K216" s="22" t="inlineStr">
        <is>
          <t>(11) 3634-3360</t>
        </is>
      </c>
      <c r="L216" s="22" t="inlineStr"/>
      <c r="M216" s="22" t="inlineStr"/>
      <c r="N216" s="22" t="inlineStr"/>
      <c r="O216" s="22" t="inlineStr"/>
      <c r="P216" s="22" t="inlineStr">
        <is>
          <t>FLAVIO DE FREITAS STECCA</t>
        </is>
      </c>
      <c r="Q216" s="22" t="inlineStr">
        <is>
          <t>Administrador (RFB partner)</t>
        </is>
      </c>
      <c r="R216" s="22" t="inlineStr"/>
      <c r="S216" s="22" t="inlineStr"/>
      <c r="T216" s="22" t="inlineStr">
        <is>
          <t>DM = registered partner (RFB QSA); no Apollo match</t>
        </is>
      </c>
      <c r="U216" s="24" t="n">
        <v>545456.1</v>
      </c>
      <c r="V216" s="25" t="inlineStr">
        <is>
          <t>B</t>
        </is>
      </c>
      <c r="W216" s="26" t="inlineStr"/>
      <c r="X216" s="27" t="inlineStr"/>
      <c r="Y216" s="27" t="inlineStr"/>
      <c r="Z216" s="26">
        <f>IF(W216&lt;&gt;"",W216,IFERROR(VLOOKUP(V216,Assumptions!$A$8:$F$12,2,FALSE),0))</f>
        <v/>
      </c>
      <c r="AA216" s="28">
        <f>IF(V216="A",MAX(1,IF(X216&lt;&gt;"",X216,IFERROR(VLOOKUP(V216,Assumptions!$A$8:$F$12,3,FALSE),3))+IF(Y216&lt;&gt;"",Y216,IFERROR(VLOOKUP(V216,Assumptions!$A$8:$F$12,4,FALSE),8))/2-MAX(0,IF(AS216="",0,YEAR(TODAY())-AS216)-IFERROR(VLOOKUP(V216,Assumptions!$A$8:$F$12,5,FALSE),1.5))),IFERROR(VLOOKUP(V216,Assumptions!$A$8:$F$12,5,FALSE),2.5)+IF(X216&lt;&gt;"",X216,IFERROR(VLOOKUP(V216,Assumptions!$A$8:$F$12,3,FALSE),3))+IF(Y216&lt;&gt;"",Y216,IFERROR(VLOOKUP(V216,Assumptions!$A$8:$F$12,4,FALSE),8))/2)</f>
        <v/>
      </c>
      <c r="AB216" s="24">
        <f>U216*Z216/(1+Assumptions!$B$3)^AA216</f>
        <v/>
      </c>
      <c r="AC216" s="27">
        <f>IF(U216=0,"",ROUND(AB216/U216*100,1))</f>
        <v/>
      </c>
      <c r="AD216" s="29">
        <f>AB216*Assumptions!$B$4</f>
        <v/>
      </c>
      <c r="AE216" s="27">
        <f>IF(U216=0,"",ROUND(AD216/U216*100,1))</f>
        <v/>
      </c>
      <c r="AF216" s="29">
        <f>AB216-AD216</f>
        <v/>
      </c>
      <c r="AG216" s="27">
        <f>IF(U216=0,"",ROUND((AB216-AD216)/U216*100,1))</f>
        <v/>
      </c>
      <c r="AH216" s="30" t="inlineStr">
        <is>
          <t>OK — totals reconciled</t>
        </is>
      </c>
      <c r="AI216" s="31" t="inlineStr">
        <is>
          <t>https://bugarimecoelho.com.br/ws/media-library/b6b7ea42b9fa2afe30bc728fe00cd5c6/07---edital-do-processamento-da-recuperacao-judicial.pdf</t>
        </is>
      </c>
      <c r="AJ216" s="30" t="inlineStr">
        <is>
          <t>p16 r9</t>
        </is>
      </c>
      <c r="AK216" s="30" t="inlineStr">
        <is>
          <t>p16: R$ 545.456,10</t>
        </is>
      </c>
      <c r="AL216" s="30" t="inlineStr">
        <is>
          <t>Unclassified list</t>
        </is>
      </c>
      <c r="AM216" s="30" t="inlineStr">
        <is>
          <t>2026-07-09</t>
        </is>
      </c>
      <c r="AN216" s="30" t="inlineStr">
        <is>
          <t>NONE FOUND</t>
        </is>
      </c>
      <c r="AO216" s="32" t="inlineStr">
        <is>
          <t>3000117-40.2025.8.06.0512</t>
        </is>
      </c>
      <c r="AP216" s="32" t="inlineStr">
        <is>
          <t>TJCE</t>
        </is>
      </c>
      <c r="AQ216" s="32" t="inlineStr">
        <is>
          <t>Recuperação judicial</t>
        </is>
      </c>
      <c r="AR216" s="32" t="inlineStr">
        <is>
          <t>DataJud: no closure/falência movement</t>
        </is>
      </c>
      <c r="AS216" s="32" t="n">
        <v>2025</v>
      </c>
      <c r="AT216" s="32" t="inlineStr">
        <is>
          <t>live case, no plan document yet</t>
        </is>
      </c>
      <c r="AU216" s="32" t="inlineStr">
        <is>
          <t>11.399.787/0001-22</t>
        </is>
      </c>
      <c r="AV216" s="32" t="inlineStr">
        <is>
          <t>printed on the list (read twice)</t>
        </is>
      </c>
      <c r="AW216" s="32" t="inlineStr"/>
      <c r="AX216" s="32" t="inlineStr">
        <is>
          <t>OSASCO</t>
        </is>
      </c>
      <c r="AY216" s="32" t="inlineStr">
        <is>
          <t>SP</t>
        </is>
      </c>
      <c r="AZ216" s="32" t="inlineStr">
        <is>
          <t>Emissão de vales-alimentação, vales-transporte e similares</t>
        </is>
      </c>
      <c r="BA216" s="32" t="inlineStr">
        <is>
          <t>não ME/EPP</t>
        </is>
      </c>
      <c r="BB216" s="33" t="n">
        <v>470351000</v>
      </c>
      <c r="BC216" s="32" t="inlineStr">
        <is>
          <t>MID-MARKET</t>
        </is>
      </c>
      <c r="BD216" s="32" t="inlineStr">
        <is>
          <t>33157312</t>
        </is>
      </c>
      <c r="BE216" s="32" t="n">
        <v>1</v>
      </c>
      <c r="BF216" s="32" t="inlineStr"/>
    </row>
    <row r="217">
      <c r="A217" s="17" t="inlineStr">
        <is>
          <t>CIA DO JEANS INDUSTRIA, COMERCIO E IMPORTACAO S/A</t>
        </is>
      </c>
      <c r="B217" s="18" t="n">
        <v>541970</v>
      </c>
      <c r="C217" s="19" t="inlineStr">
        <is>
          <t>GRUPO CATTAN</t>
        </is>
      </c>
      <c r="D217" s="20" t="inlineStr">
        <is>
          <t>NEW</t>
        </is>
      </c>
      <c r="E217" s="21" t="inlineStr"/>
      <c r="F217" s="20" t="inlineStr"/>
      <c r="G217" s="21" t="inlineStr"/>
      <c r="H217" s="20" t="inlineStr"/>
      <c r="I217" s="22" t="inlineStr">
        <is>
          <t>FERNANDO ABRAS</t>
        </is>
      </c>
      <c r="J217" s="23" t="inlineStr">
        <is>
          <t>Presidente (RFB partner)</t>
        </is>
      </c>
      <c r="K217" s="22" t="inlineStr">
        <is>
          <t>(31) 3412-5001</t>
        </is>
      </c>
      <c r="L217" s="22" t="inlineStr"/>
      <c r="M217" s="22" t="inlineStr"/>
      <c r="N217" s="22" t="inlineStr"/>
      <c r="O217" s="22" t="inlineStr"/>
      <c r="P217" s="22" t="inlineStr">
        <is>
          <t>ELICASSIO MENDES RODRIGUES</t>
        </is>
      </c>
      <c r="Q217" s="22" t="inlineStr">
        <is>
          <t>Diretor (RFB partner)</t>
        </is>
      </c>
      <c r="R217" s="22" t="inlineStr"/>
      <c r="S217" s="22" t="inlineStr"/>
      <c r="T217" s="22" t="inlineStr">
        <is>
          <t>DM = registered partner (RFB QSA); Apollo pick demoted to backup (non-finance role)</t>
        </is>
      </c>
      <c r="U217" s="24" t="n">
        <v>541970</v>
      </c>
      <c r="V217" s="25" t="inlineStr">
        <is>
          <t>B</t>
        </is>
      </c>
      <c r="W217" s="26" t="inlineStr"/>
      <c r="X217" s="27" t="inlineStr"/>
      <c r="Y217" s="27" t="inlineStr"/>
      <c r="Z217" s="26">
        <f>IF(W217&lt;&gt;"",W217,IFERROR(VLOOKUP(V217,Assumptions!$A$8:$F$12,2,FALSE),0))</f>
        <v/>
      </c>
      <c r="AA217" s="28">
        <f>IF(V217="A",MAX(1,IF(X217&lt;&gt;"",X217,IFERROR(VLOOKUP(V217,Assumptions!$A$8:$F$12,3,FALSE),3))+IF(Y217&lt;&gt;"",Y217,IFERROR(VLOOKUP(V217,Assumptions!$A$8:$F$12,4,FALSE),8))/2-MAX(0,IF(AS217="",0,YEAR(TODAY())-AS217)-IFERROR(VLOOKUP(V217,Assumptions!$A$8:$F$12,5,FALSE),1.5))),IFERROR(VLOOKUP(V217,Assumptions!$A$8:$F$12,5,FALSE),2.5)+IF(X217&lt;&gt;"",X217,IFERROR(VLOOKUP(V217,Assumptions!$A$8:$F$12,3,FALSE),3))+IF(Y217&lt;&gt;"",Y217,IFERROR(VLOOKUP(V217,Assumptions!$A$8:$F$12,4,FALSE),8))/2)</f>
        <v/>
      </c>
      <c r="AB217" s="24">
        <f>U217*Z217/(1+Assumptions!$B$3)^AA217</f>
        <v/>
      </c>
      <c r="AC217" s="27">
        <f>IF(U217=0,"",ROUND(AB217/U217*100,1))</f>
        <v/>
      </c>
      <c r="AD217" s="29">
        <f>AB217*Assumptions!$B$4</f>
        <v/>
      </c>
      <c r="AE217" s="27">
        <f>IF(U217=0,"",ROUND(AD217/U217*100,1))</f>
        <v/>
      </c>
      <c r="AF217" s="29">
        <f>AB217-AD217</f>
        <v/>
      </c>
      <c r="AG217" s="27">
        <f>IF(U217=0,"",ROUND((AB217-AD217)/U217*100,1))</f>
        <v/>
      </c>
      <c r="AH217" s="35" t="inlineStr">
        <is>
          <t>PARTIAL — class III reconciled, other classes not</t>
        </is>
      </c>
      <c r="AI217" s="31" t="inlineStr">
        <is>
          <t>https://lrflideres.com.br/wp-content/plugins/download-attachments/includes/download.php?id=4023</t>
        </is>
      </c>
      <c r="AJ217" s="30" t="inlineStr">
        <is>
          <t>p4 r63</t>
        </is>
      </c>
      <c r="AK217" s="30" t="inlineStr">
        <is>
          <t>p4: R$ 541.970,00</t>
        </is>
      </c>
      <c r="AL217" s="30" t="inlineStr">
        <is>
          <t>Debtor list (art. 51)</t>
        </is>
      </c>
      <c r="AM217" s="30" t="inlineStr"/>
      <c r="AN217" s="30" t="inlineStr">
        <is>
          <t>NONE FOUND</t>
        </is>
      </c>
      <c r="AO217" s="32" t="inlineStr">
        <is>
          <t>0002484-82.2022.8.17.2001</t>
        </is>
      </c>
      <c r="AP217" s="32" t="inlineStr">
        <is>
          <t>TJPE</t>
        </is>
      </c>
      <c r="AQ217" s="32" t="inlineStr">
        <is>
          <t>Recuperação judicial</t>
        </is>
      </c>
      <c r="AR217" s="32" t="inlineStr">
        <is>
          <t>DataJud: no closure/falência movement</t>
        </is>
      </c>
      <c r="AS217" s="32" t="n">
        <v>2022</v>
      </c>
      <c r="AT217" s="32" t="inlineStr">
        <is>
          <t>live case, no plan document yet</t>
        </is>
      </c>
      <c r="AU217" s="32" t="inlineStr"/>
      <c r="AV217" s="32" t="inlineStr">
        <is>
          <t>printed on the list (read twice)</t>
        </is>
      </c>
      <c r="AW217" s="32" t="inlineStr"/>
      <c r="AX217" s="32" t="inlineStr">
        <is>
          <t>COLATINA</t>
        </is>
      </c>
      <c r="AY217" s="32" t="inlineStr">
        <is>
          <t>ES</t>
        </is>
      </c>
      <c r="AZ217" s="32" t="inlineStr">
        <is>
          <t>Confecção de peças de vestuário, exceto roupas íntimas e as confeccionadas sob medida</t>
        </is>
      </c>
      <c r="BA217" s="32" t="inlineStr">
        <is>
          <t>não ME/EPP</t>
        </is>
      </c>
      <c r="BB217" s="33" t="n">
        <v>1880000</v>
      </c>
      <c r="BC217" s="32" t="inlineStr">
        <is>
          <t>MID-MARKET</t>
        </is>
      </c>
      <c r="BD217" s="32" t="inlineStr">
        <is>
          <t>12927088</t>
        </is>
      </c>
      <c r="BE217" s="32" t="n">
        <v>1</v>
      </c>
      <c r="BF217" s="32" t="inlineStr">
        <is>
          <t>class III reconciled (doc partial)</t>
        </is>
      </c>
    </row>
    <row r="218">
      <c r="A218" s="17" t="inlineStr">
        <is>
          <t>PORTOLOG TRANSPORTES LTDA</t>
        </is>
      </c>
      <c r="B218" s="18" t="n">
        <v>540028.76</v>
      </c>
      <c r="C218" s="19" t="inlineStr">
        <is>
          <t>Grupo Rech</t>
        </is>
      </c>
      <c r="D218" s="20" t="inlineStr">
        <is>
          <t>NEW</t>
        </is>
      </c>
      <c r="E218" s="21" t="inlineStr"/>
      <c r="F218" s="20" t="inlineStr"/>
      <c r="G218" s="21" t="inlineStr"/>
      <c r="H218" s="20" t="inlineStr"/>
      <c r="I218" s="22" t="inlineStr">
        <is>
          <t>Bruna Costa</t>
        </is>
      </c>
      <c r="J218" s="22" t="inlineStr">
        <is>
          <t>Administrative Manager (empresária / owner)</t>
        </is>
      </c>
      <c r="K218" s="22" t="inlineStr">
        <is>
          <t>(47) 3344-0990</t>
        </is>
      </c>
      <c r="L218" s="22" t="inlineStr"/>
      <c r="M218" s="22" t="inlineStr"/>
      <c r="N218" s="22" t="inlineStr">
        <is>
          <t>bruna@portolog.com.br</t>
        </is>
      </c>
      <c r="O218" s="22" t="inlineStr">
        <is>
          <t>verified</t>
        </is>
      </c>
      <c r="P218" s="22" t="inlineStr">
        <is>
          <t>Costa Portolog</t>
        </is>
      </c>
      <c r="Q218" s="22" t="inlineStr">
        <is>
          <t>Diretor Administrativo</t>
        </is>
      </c>
      <c r="R218" s="22" t="inlineStr"/>
      <c r="S218" s="22" t="inlineStr">
        <is>
          <t>costa@portolog.com.br</t>
        </is>
      </c>
      <c r="T218" s="22" t="inlineStr">
        <is>
          <t>DM: has_email, phone Yes; BACKUP: backup, has_email</t>
        </is>
      </c>
      <c r="U218" s="24" t="n">
        <v>540028.76</v>
      </c>
      <c r="V218" s="25" t="inlineStr">
        <is>
          <t>B</t>
        </is>
      </c>
      <c r="W218" s="26" t="inlineStr"/>
      <c r="X218" s="27" t="inlineStr"/>
      <c r="Y218" s="27" t="inlineStr"/>
      <c r="Z218" s="26">
        <f>IF(W218&lt;&gt;"",W218,IFERROR(VLOOKUP(V218,Assumptions!$A$8:$F$12,2,FALSE),0))</f>
        <v/>
      </c>
      <c r="AA218" s="28">
        <f>IF(V218="A",MAX(1,IF(X218&lt;&gt;"",X218,IFERROR(VLOOKUP(V218,Assumptions!$A$8:$F$12,3,FALSE),3))+IF(Y218&lt;&gt;"",Y218,IFERROR(VLOOKUP(V218,Assumptions!$A$8:$F$12,4,FALSE),8))/2-MAX(0,IF(AS218="",0,YEAR(TODAY())-AS218)-IFERROR(VLOOKUP(V218,Assumptions!$A$8:$F$12,5,FALSE),1.5))),IFERROR(VLOOKUP(V218,Assumptions!$A$8:$F$12,5,FALSE),2.5)+IF(X218&lt;&gt;"",X218,IFERROR(VLOOKUP(V218,Assumptions!$A$8:$F$12,3,FALSE),3))+IF(Y218&lt;&gt;"",Y218,IFERROR(VLOOKUP(V218,Assumptions!$A$8:$F$12,4,FALSE),8))/2)</f>
        <v/>
      </c>
      <c r="AB218" s="24">
        <f>U218*Z218/(1+Assumptions!$B$3)^AA218</f>
        <v/>
      </c>
      <c r="AC218" s="27">
        <f>IF(U218=0,"",ROUND(AB218/U218*100,1))</f>
        <v/>
      </c>
      <c r="AD218" s="29">
        <f>AB218*Assumptions!$B$4</f>
        <v/>
      </c>
      <c r="AE218" s="27">
        <f>IF(U218=0,"",ROUND(AD218/U218*100,1))</f>
        <v/>
      </c>
      <c r="AF218" s="29">
        <f>AB218-AD218</f>
        <v/>
      </c>
      <c r="AG218" s="27">
        <f>IF(U218=0,"",ROUND((AB218-AD218)/U218*100,1))</f>
        <v/>
      </c>
      <c r="AH218" s="36" t="inlineStr">
        <is>
          <t>CHECK — source is not a statutory creditor list</t>
        </is>
      </c>
      <c r="AI218" s="31" t="inlineStr">
        <is>
          <t>https://credibilita.com.br/wp-content/uploads/2025/09/Relacao-Credores-29.04.2026.pdf</t>
        </is>
      </c>
      <c r="AJ218" s="30" t="inlineStr">
        <is>
          <t>p2 r8</t>
        </is>
      </c>
      <c r="AK218" s="30" t="inlineStr">
        <is>
          <t>p2: R$ 540.028,76</t>
        </is>
      </c>
      <c r="AL218" s="30" t="inlineStr">
        <is>
          <t>Quorum list — NOT an art. 7/51 list</t>
        </is>
      </c>
      <c r="AM218" s="30" t="inlineStr"/>
      <c r="AN218" s="30" t="inlineStr">
        <is>
          <t>NONE FOUND</t>
        </is>
      </c>
      <c r="AO218" s="32" t="inlineStr">
        <is>
          <t>5057720-48.2025.8.24.0023</t>
        </is>
      </c>
      <c r="AP218" s="32" t="inlineStr">
        <is>
          <t>TJSC</t>
        </is>
      </c>
      <c r="AQ218" s="32" t="inlineStr"/>
      <c r="AR218" s="32" t="inlineStr">
        <is>
          <t>not in DataJud</t>
        </is>
      </c>
      <c r="AS218" s="32" t="n">
        <v>2025</v>
      </c>
      <c r="AT218" s="32" t="inlineStr">
        <is>
          <t>live case, no plan document yet; case no. from the portal record, not printed on the list</t>
        </is>
      </c>
      <c r="AU218" s="32" t="inlineStr"/>
      <c r="AV218" s="32" t="inlineStr">
        <is>
          <t>portal page title / URL — not printed on the list</t>
        </is>
      </c>
      <c r="AW218" s="32" t="inlineStr"/>
      <c r="AX218" s="32" t="inlineStr">
        <is>
          <t>ITAJAI</t>
        </is>
      </c>
      <c r="AY218" s="32" t="inlineStr">
        <is>
          <t>SC</t>
        </is>
      </c>
      <c r="AZ218" s="32" t="inlineStr">
        <is>
          <t>Transporte rodoviário de carga, exceto produtos perigosos e mudanças, municipal.</t>
        </is>
      </c>
      <c r="BA218" s="32" t="inlineStr">
        <is>
          <t>não ME/EPP</t>
        </is>
      </c>
      <c r="BB218" s="33" t="n">
        <v>300000</v>
      </c>
      <c r="BC218" s="32" t="inlineStr">
        <is>
          <t>MID-MARKET</t>
        </is>
      </c>
      <c r="BD218" s="32" t="inlineStr">
        <is>
          <t>07746756</t>
        </is>
      </c>
      <c r="BE218" s="32" t="n">
        <v>1</v>
      </c>
      <c r="BF218" s="32" t="inlineStr">
        <is>
          <t>list prints no totals case no. corrected by reader</t>
        </is>
      </c>
    </row>
    <row r="219">
      <c r="A219" s="17" t="inlineStr">
        <is>
          <t>REPOM INSTITUICAO DE PAGAMENTO HUSA S.A</t>
        </is>
      </c>
      <c r="B219" s="18" t="n">
        <v>1008821.27</v>
      </c>
      <c r="C219" s="37" t="inlineStr">
        <is>
          <t>(debtor not identified — see proof)</t>
        </is>
      </c>
      <c r="D219" s="20" t="inlineStr">
        <is>
          <t>NEW</t>
        </is>
      </c>
      <c r="E219" s="21" t="inlineStr"/>
      <c r="F219" s="20" t="inlineStr"/>
      <c r="G219" s="21" t="inlineStr"/>
      <c r="H219" s="20" t="inlineStr"/>
      <c r="I219" s="22" t="inlineStr">
        <is>
          <t>Guilherme Frasson</t>
        </is>
      </c>
      <c r="J219" s="22" t="inlineStr">
        <is>
          <t>Business Controller na Edenred Repom S.A.</t>
        </is>
      </c>
      <c r="K219" s="22" t="inlineStr">
        <is>
          <t>(11) 4191-1161</t>
        </is>
      </c>
      <c r="L219" s="22" t="inlineStr"/>
      <c r="M219" s="22" t="inlineStr"/>
      <c r="N219" s="22" t="inlineStr">
        <is>
          <t>guilherme.frasson@edenred.com</t>
        </is>
      </c>
      <c r="O219" s="22" t="inlineStr">
        <is>
          <t>verified</t>
        </is>
      </c>
      <c r="P219" s="22" t="inlineStr">
        <is>
          <t>Vinicios Fernandes</t>
        </is>
      </c>
      <c r="Q219" s="22" t="inlineStr">
        <is>
          <t>Diretor de BU - Edenred Frete (Repom + Pagbem)</t>
        </is>
      </c>
      <c r="R219" s="22" t="inlineStr"/>
      <c r="S219" s="22" t="inlineStr">
        <is>
          <t>vinicios.fernandes@edenred.com</t>
        </is>
      </c>
      <c r="T219" s="22" t="inlineStr">
        <is>
          <t>DM: has_email, phone Yes; VERIFY org: Apollo has this person at 'Edenred Brasil'; BACKUP: backup, has_email, phone Yes</t>
        </is>
      </c>
      <c r="U219" s="24" t="n">
        <v>1008821.27</v>
      </c>
      <c r="V219" s="38" t="inlineStr">
        <is>
          <t>U</t>
        </is>
      </c>
      <c r="W219" s="26" t="inlineStr"/>
      <c r="X219" s="27" t="inlineStr"/>
      <c r="Y219" s="27" t="inlineStr"/>
      <c r="Z219" s="26">
        <f>IF(W219&lt;&gt;"",W219,IFERROR(VLOOKUP(V219,Assumptions!$A$8:$F$12,2,FALSE),0))</f>
        <v/>
      </c>
      <c r="AA219" s="28">
        <f>IF(V219="A",MAX(1,IF(X219&lt;&gt;"",X219,IFERROR(VLOOKUP(V219,Assumptions!$A$8:$F$12,3,FALSE),3))+IF(Y219&lt;&gt;"",Y219,IFERROR(VLOOKUP(V219,Assumptions!$A$8:$F$12,4,FALSE),8))/2-MAX(0,IF(AS219="",0,YEAR(TODAY())-AS219)-IFERROR(VLOOKUP(V219,Assumptions!$A$8:$F$12,5,FALSE),1.5))),IFERROR(VLOOKUP(V219,Assumptions!$A$8:$F$12,5,FALSE),2.5)+IF(X219&lt;&gt;"",X219,IFERROR(VLOOKUP(V219,Assumptions!$A$8:$F$12,3,FALSE),3))+IF(Y219&lt;&gt;"",Y219,IFERROR(VLOOKUP(V219,Assumptions!$A$8:$F$12,4,FALSE),8))/2)</f>
        <v/>
      </c>
      <c r="AB219" s="24">
        <f>U219*Z219/(1+Assumptions!$B$3)^AA219</f>
        <v/>
      </c>
      <c r="AC219" s="27">
        <f>IF(U219=0,"",ROUND(AB219/U219*100,1))</f>
        <v/>
      </c>
      <c r="AD219" s="29">
        <f>AB219*Assumptions!$B$4</f>
        <v/>
      </c>
      <c r="AE219" s="27">
        <f>IF(U219=0,"",ROUND(AD219/U219*100,1))</f>
        <v/>
      </c>
      <c r="AF219" s="29">
        <f>AB219-AD219</f>
        <v/>
      </c>
      <c r="AG219" s="27">
        <f>IF(U219=0,"",ROUND((AB219-AD219)/U219*100,1))</f>
        <v/>
      </c>
      <c r="AH219" s="30" t="inlineStr">
        <is>
          <t>OK — totals reconciled</t>
        </is>
      </c>
      <c r="AI219" s="31" t="inlineStr">
        <is>
          <t>https://ajruiz.com.br/sites/default/files/public/arquivos-processos/2023-11/4_relacao_de_credores_analitica_art._51_iii_da_lre.pdf</t>
        </is>
      </c>
      <c r="AJ219" s="30" t="inlineStr">
        <is>
          <t>p3 r50</t>
        </is>
      </c>
      <c r="AK219" s="30" t="inlineStr">
        <is>
          <t>p3: R$ 1.008.821,27</t>
        </is>
      </c>
      <c r="AL219" s="30" t="inlineStr">
        <is>
          <t>Unclassified list</t>
        </is>
      </c>
      <c r="AM219" s="30" t="inlineStr"/>
      <c r="AN219" s="30" t="inlineStr">
        <is>
          <t>NONE FOUND</t>
        </is>
      </c>
      <c r="AO219" s="32" t="inlineStr">
        <is>
          <t>(not printed)</t>
        </is>
      </c>
      <c r="AP219" s="32" t="inlineStr"/>
      <c r="AQ219" s="32" t="inlineStr"/>
      <c r="AR219" s="32" t="inlineStr"/>
      <c r="AS219" s="32" t="inlineStr"/>
      <c r="AT219" s="32" t="inlineStr">
        <is>
          <t>RJ case number not identified on the document</t>
        </is>
      </c>
      <c r="AU219" s="32" t="inlineStr"/>
      <c r="AV219" s="32" t="inlineStr">
        <is>
          <t>not identified</t>
        </is>
      </c>
      <c r="AW219" s="32" t="inlineStr"/>
      <c r="AX219" s="32" t="inlineStr">
        <is>
          <t>SAO PAULO</t>
        </is>
      </c>
      <c r="AY219" s="32" t="inlineStr">
        <is>
          <t>SP</t>
        </is>
      </c>
      <c r="AZ219" s="32" t="inlineStr">
        <is>
          <t>Tratamento de dados, provedores de serviços de aplicação e serviços de hospedagem na internet</t>
        </is>
      </c>
      <c r="BA219" s="32" t="inlineStr">
        <is>
          <t>não ME/EPP</t>
        </is>
      </c>
      <c r="BB219" s="33" t="n">
        <v>39852780</v>
      </c>
      <c r="BC219" s="32" t="inlineStr">
        <is>
          <t>MID-MARKET</t>
        </is>
      </c>
      <c r="BD219" s="32" t="inlineStr">
        <is>
          <t>65697260</t>
        </is>
      </c>
      <c r="BE219" s="32" t="n">
        <v>1</v>
      </c>
      <c r="BF219" s="32" t="inlineStr">
        <is>
          <t>case no. corrected by reader</t>
        </is>
      </c>
    </row>
    <row r="220">
      <c r="A220" s="17" t="inlineStr">
        <is>
          <t>GOODYEAR DO BRASIL PRODUTOS DE BORRACHA LTDA</t>
        </is>
      </c>
      <c r="B220" s="18" t="n">
        <v>1007717.64</v>
      </c>
      <c r="C220" s="37" t="inlineStr">
        <is>
          <t>(debtor not identified — see proof)</t>
        </is>
      </c>
      <c r="D220" s="20" t="inlineStr">
        <is>
          <t>NEW</t>
        </is>
      </c>
      <c r="E220" s="21" t="inlineStr"/>
      <c r="F220" s="20" t="inlineStr"/>
      <c r="G220" s="21" t="inlineStr"/>
      <c r="H220" s="20" t="inlineStr"/>
      <c r="I220" s="22" t="inlineStr">
        <is>
          <t>ALFREDO GAMBOA OLIVEROS</t>
        </is>
      </c>
      <c r="J220" s="23" t="inlineStr">
        <is>
          <t>Administrador (RFB partner)</t>
        </is>
      </c>
      <c r="K220" s="22" t="inlineStr">
        <is>
          <t>(11) 2818-4128</t>
        </is>
      </c>
      <c r="L220" s="22" t="inlineStr"/>
      <c r="M220" s="22" t="inlineStr"/>
      <c r="N220" s="22" t="inlineStr"/>
      <c r="O220" s="22" t="inlineStr"/>
      <c r="P220" s="22" t="inlineStr">
        <is>
          <t>ANTONIO DIMAS RONCOLATI</t>
        </is>
      </c>
      <c r="Q220" s="22" t="inlineStr">
        <is>
          <t>Administrador (RFB partner)</t>
        </is>
      </c>
      <c r="R220" s="22" t="inlineStr"/>
      <c r="S220" s="22" t="inlineStr"/>
      <c r="T220" s="22" t="inlineStr">
        <is>
          <t>DM = registered partner (RFB QSA); no Apollo match</t>
        </is>
      </c>
      <c r="U220" s="24" t="n">
        <v>1007717.64</v>
      </c>
      <c r="V220" s="38" t="inlineStr">
        <is>
          <t>U</t>
        </is>
      </c>
      <c r="W220" s="26" t="inlineStr"/>
      <c r="X220" s="27" t="inlineStr"/>
      <c r="Y220" s="27" t="inlineStr"/>
      <c r="Z220" s="26">
        <f>IF(W220&lt;&gt;"",W220,IFERROR(VLOOKUP(V220,Assumptions!$A$8:$F$12,2,FALSE),0))</f>
        <v/>
      </c>
      <c r="AA220" s="28">
        <f>IF(V220="A",MAX(1,IF(X220&lt;&gt;"",X220,IFERROR(VLOOKUP(V220,Assumptions!$A$8:$F$12,3,FALSE),3))+IF(Y220&lt;&gt;"",Y220,IFERROR(VLOOKUP(V220,Assumptions!$A$8:$F$12,4,FALSE),8))/2-MAX(0,IF(AS220="",0,YEAR(TODAY())-AS220)-IFERROR(VLOOKUP(V220,Assumptions!$A$8:$F$12,5,FALSE),1.5))),IFERROR(VLOOKUP(V220,Assumptions!$A$8:$F$12,5,FALSE),2.5)+IF(X220&lt;&gt;"",X220,IFERROR(VLOOKUP(V220,Assumptions!$A$8:$F$12,3,FALSE),3))+IF(Y220&lt;&gt;"",Y220,IFERROR(VLOOKUP(V220,Assumptions!$A$8:$F$12,4,FALSE),8))/2)</f>
        <v/>
      </c>
      <c r="AB220" s="24">
        <f>U220*Z220/(1+Assumptions!$B$3)^AA220</f>
        <v/>
      </c>
      <c r="AC220" s="27">
        <f>IF(U220=0,"",ROUND(AB220/U220*100,1))</f>
        <v/>
      </c>
      <c r="AD220" s="29">
        <f>AB220*Assumptions!$B$4</f>
        <v/>
      </c>
      <c r="AE220" s="27">
        <f>IF(U220=0,"",ROUND(AD220/U220*100,1))</f>
        <v/>
      </c>
      <c r="AF220" s="29">
        <f>AB220-AD220</f>
        <v/>
      </c>
      <c r="AG220" s="27">
        <f>IF(U220=0,"",ROUND((AB220-AD220)/U220*100,1))</f>
        <v/>
      </c>
      <c r="AH220" s="30" t="inlineStr">
        <is>
          <t>OK — totals reconciled</t>
        </is>
      </c>
      <c r="AI220" s="31" t="inlineStr">
        <is>
          <t>https://ajruiz.com.br/sites/default/files/public/arquivos-processos/2023-11/4_relacao_de_credores_analitica_art._51_iii_da_lre.pdf</t>
        </is>
      </c>
      <c r="AJ220" s="30" t="inlineStr">
        <is>
          <t>p3 r12</t>
        </is>
      </c>
      <c r="AK220" s="30" t="inlineStr">
        <is>
          <t>p3: R$ 1.007.717,64</t>
        </is>
      </c>
      <c r="AL220" s="30" t="inlineStr">
        <is>
          <t>Unclassified list</t>
        </is>
      </c>
      <c r="AM220" s="30" t="inlineStr"/>
      <c r="AN220" s="30" t="inlineStr">
        <is>
          <t>NONE FOUND</t>
        </is>
      </c>
      <c r="AO220" s="32" t="inlineStr">
        <is>
          <t>(not printed)</t>
        </is>
      </c>
      <c r="AP220" s="32" t="inlineStr"/>
      <c r="AQ220" s="32" t="inlineStr"/>
      <c r="AR220" s="32" t="inlineStr"/>
      <c r="AS220" s="32" t="inlineStr"/>
      <c r="AT220" s="32" t="inlineStr">
        <is>
          <t>RJ case number not identified on the document</t>
        </is>
      </c>
      <c r="AU220" s="32" t="inlineStr"/>
      <c r="AV220" s="32" t="inlineStr">
        <is>
          <t>not identified</t>
        </is>
      </c>
      <c r="AW220" s="32" t="inlineStr"/>
      <c r="AX220" s="32" t="inlineStr">
        <is>
          <t>SANTA BARBARA D'OESTE</t>
        </is>
      </c>
      <c r="AY220" s="32" t="inlineStr">
        <is>
          <t>SP</t>
        </is>
      </c>
      <c r="AZ220" s="32" t="inlineStr">
        <is>
          <t>Fabricação de pneumáticos e de câmaras-de-ar</t>
        </is>
      </c>
      <c r="BA220" s="32" t="inlineStr">
        <is>
          <t>não ME/EPP</t>
        </is>
      </c>
      <c r="BB220" s="33" t="n">
        <v>1209001100</v>
      </c>
      <c r="BC220" s="32" t="inlineStr">
        <is>
          <t>LARGE CORP</t>
        </is>
      </c>
      <c r="BD220" s="32" t="inlineStr">
        <is>
          <t>60500246</t>
        </is>
      </c>
      <c r="BE220" s="32" t="n">
        <v>1</v>
      </c>
      <c r="BF220" s="32" t="inlineStr">
        <is>
          <t>case no. corrected by reader</t>
        </is>
      </c>
    </row>
    <row r="221">
      <c r="A221" s="17" t="inlineStr">
        <is>
          <t>AGROINDUSTRIAL IRMAOS DALLA COSTA S.A</t>
        </is>
      </c>
      <c r="B221" s="18" t="n">
        <v>535652</v>
      </c>
      <c r="C221" s="19" t="inlineStr">
        <is>
          <t>Grupo Agromeal</t>
        </is>
      </c>
      <c r="D221" s="20" t="inlineStr">
        <is>
          <t>NEW</t>
        </is>
      </c>
      <c r="E221" s="21" t="inlineStr"/>
      <c r="F221" s="20" t="inlineStr"/>
      <c r="G221" s="21" t="inlineStr"/>
      <c r="H221" s="20" t="inlineStr"/>
      <c r="I221" s="22" t="inlineStr">
        <is>
          <t>IVO ANTONIO DALLA COSTA</t>
        </is>
      </c>
      <c r="J221" s="23" t="inlineStr">
        <is>
          <t>Diretor (RFB partner)</t>
        </is>
      </c>
      <c r="K221" s="22" t="inlineStr">
        <is>
          <t>(18) 3265-6500</t>
        </is>
      </c>
      <c r="L221" s="22" t="inlineStr">
        <is>
          <t>(18) 3265-9393</t>
        </is>
      </c>
      <c r="M221" s="22" t="inlineStr"/>
      <c r="N221" s="22" t="inlineStr"/>
      <c r="O221" s="22" t="inlineStr"/>
      <c r="P221" s="22" t="inlineStr">
        <is>
          <t>THIAGO DALLA COSTA</t>
        </is>
      </c>
      <c r="Q221" s="22" t="inlineStr">
        <is>
          <t>Diretor (RFB partner)</t>
        </is>
      </c>
      <c r="R221" s="22" t="inlineStr"/>
      <c r="S221" s="22" t="inlineStr"/>
      <c r="T221" s="22" t="inlineStr">
        <is>
          <t>DM = registered partner (RFB QSA); no Apollo match</t>
        </is>
      </c>
      <c r="U221" s="24" t="n">
        <v>535652</v>
      </c>
      <c r="V221" s="25" t="inlineStr">
        <is>
          <t>B</t>
        </is>
      </c>
      <c r="W221" s="26" t="inlineStr"/>
      <c r="X221" s="27" t="inlineStr"/>
      <c r="Y221" s="27" t="inlineStr"/>
      <c r="Z221" s="26">
        <f>IF(W221&lt;&gt;"",W221,IFERROR(VLOOKUP(V221,Assumptions!$A$8:$F$12,2,FALSE),0))</f>
        <v/>
      </c>
      <c r="AA221" s="28">
        <f>IF(V221="A",MAX(1,IF(X221&lt;&gt;"",X221,IFERROR(VLOOKUP(V221,Assumptions!$A$8:$F$12,3,FALSE),3))+IF(Y221&lt;&gt;"",Y221,IFERROR(VLOOKUP(V221,Assumptions!$A$8:$F$12,4,FALSE),8))/2-MAX(0,IF(AS221="",0,YEAR(TODAY())-AS221)-IFERROR(VLOOKUP(V221,Assumptions!$A$8:$F$12,5,FALSE),1.5))),IFERROR(VLOOKUP(V221,Assumptions!$A$8:$F$12,5,FALSE),2.5)+IF(X221&lt;&gt;"",X221,IFERROR(VLOOKUP(V221,Assumptions!$A$8:$F$12,3,FALSE),3))+IF(Y221&lt;&gt;"",Y221,IFERROR(VLOOKUP(V221,Assumptions!$A$8:$F$12,4,FALSE),8))/2)</f>
        <v/>
      </c>
      <c r="AB221" s="24">
        <f>U221*Z221/(1+Assumptions!$B$3)^AA221</f>
        <v/>
      </c>
      <c r="AC221" s="27">
        <f>IF(U221=0,"",ROUND(AB221/U221*100,1))</f>
        <v/>
      </c>
      <c r="AD221" s="29">
        <f>AB221*Assumptions!$B$4</f>
        <v/>
      </c>
      <c r="AE221" s="27">
        <f>IF(U221=0,"",ROUND(AD221/U221*100,1))</f>
        <v/>
      </c>
      <c r="AF221" s="29">
        <f>AB221-AD221</f>
        <v/>
      </c>
      <c r="AG221" s="27">
        <f>IF(U221=0,"",ROUND((AB221-AD221)/U221*100,1))</f>
        <v/>
      </c>
      <c r="AH221" s="35" t="inlineStr">
        <is>
          <t>PARTIAL — class III reconciled, other classes not</t>
        </is>
      </c>
      <c r="AI221" s="31" t="inlineStr">
        <is>
          <t>https://marquesadmjudicial.com.br/sgc/download.php?file=files/processo_documento/processo_documento17040729052024_1_.pdf&amp;nome=Relação Nominal de Credores AJ-Sintética</t>
        </is>
      </c>
      <c r="AJ221" s="30" t="inlineStr">
        <is>
          <t>p9 r4; p9 r5</t>
        </is>
      </c>
      <c r="AK221" s="30" t="inlineStr">
        <is>
          <t>p9: R$ 433.316,00; p9: R$ 102.336,00</t>
        </is>
      </c>
      <c r="AL221" s="30" t="inlineStr">
        <is>
          <t>AJ list (art. 7 §2)</t>
        </is>
      </c>
      <c r="AM221" s="30" t="inlineStr">
        <is>
          <t>2024-05-27</t>
        </is>
      </c>
      <c r="AN221" s="30" t="inlineStr">
        <is>
          <t>NONE FOUND</t>
        </is>
      </c>
      <c r="AO221" s="32" t="inlineStr">
        <is>
          <t>0003971-03.2023.8.16.0119</t>
        </is>
      </c>
      <c r="AP221" s="32" t="inlineStr">
        <is>
          <t>TJPR</t>
        </is>
      </c>
      <c r="AQ221" s="32" t="inlineStr">
        <is>
          <t>Recuperação judicial</t>
        </is>
      </c>
      <c r="AR221" s="32" t="inlineStr">
        <is>
          <t>DataJud: no closure/falência movement</t>
        </is>
      </c>
      <c r="AS221" s="32" t="n">
        <v>2023</v>
      </c>
      <c r="AT221" s="32" t="inlineStr">
        <is>
          <t>live case, no plan document yet</t>
        </is>
      </c>
      <c r="AU221" s="32" t="inlineStr">
        <is>
          <t>11.624.776/0001-07</t>
        </is>
      </c>
      <c r="AV221" s="32" t="inlineStr">
        <is>
          <t>printed on the list (read twice)</t>
        </is>
      </c>
      <c r="AW221" s="32" t="inlineStr"/>
      <c r="AX221" s="32" t="inlineStr">
        <is>
          <t>RANCHARIA</t>
        </is>
      </c>
      <c r="AY221" s="32" t="inlineStr">
        <is>
          <t>SP</t>
        </is>
      </c>
      <c r="AZ221" s="32" t="inlineStr">
        <is>
          <t>Abate de aves</t>
        </is>
      </c>
      <c r="BA221" s="32" t="inlineStr">
        <is>
          <t>não ME/EPP</t>
        </is>
      </c>
      <c r="BB221" s="33" t="n">
        <v>82394570</v>
      </c>
      <c r="BC221" s="32" t="inlineStr">
        <is>
          <t>MID-MARKET</t>
        </is>
      </c>
      <c r="BD221" s="32" t="inlineStr">
        <is>
          <t>07851247</t>
        </is>
      </c>
      <c r="BE221" s="32" t="n">
        <v>2</v>
      </c>
      <c r="BF221" s="32" t="inlineStr">
        <is>
          <t>class III reconciled (doc partial)</t>
        </is>
      </c>
    </row>
    <row r="222">
      <c r="A222" s="17" t="inlineStr">
        <is>
          <t>TRUST - IMPORTACAO E EXPORTACAO LTDA</t>
        </is>
      </c>
      <c r="B222" s="18" t="n">
        <v>533171.8100000001</v>
      </c>
      <c r="C222" s="19" t="inlineStr">
        <is>
          <t>Cerealista Safrasul Ltda</t>
        </is>
      </c>
      <c r="D222" s="20" t="inlineStr">
        <is>
          <t>NEW</t>
        </is>
      </c>
      <c r="E222" s="21" t="inlineStr"/>
      <c r="F222" s="20" t="inlineStr"/>
      <c r="G222" s="21" t="inlineStr"/>
      <c r="H222" s="20" t="inlineStr"/>
      <c r="I222" s="22" t="inlineStr">
        <is>
          <t>JULIANO D ALMEIDA VICTORINO</t>
        </is>
      </c>
      <c r="J222" s="23" t="inlineStr">
        <is>
          <t>Administrador (RFB partner)</t>
        </is>
      </c>
      <c r="K222" s="22" t="inlineStr">
        <is>
          <t>(47) 3405-8300</t>
        </is>
      </c>
      <c r="L222" s="22" t="inlineStr"/>
      <c r="M222" s="22" t="inlineStr"/>
      <c r="N222" s="22" t="inlineStr"/>
      <c r="O222" s="22" t="inlineStr"/>
      <c r="P222" s="22" t="inlineStr"/>
      <c r="Q222" s="22" t="inlineStr"/>
      <c r="R222" s="22" t="inlineStr"/>
      <c r="S222" s="22" t="inlineStr"/>
      <c r="T222" s="22" t="inlineStr">
        <is>
          <t>DM = registered partner (RFB QSA); no Apollo match</t>
        </is>
      </c>
      <c r="U222" s="24" t="n">
        <v>533171.8100000001</v>
      </c>
      <c r="V222" s="25" t="inlineStr">
        <is>
          <t>B</t>
        </is>
      </c>
      <c r="W222" s="26" t="inlineStr"/>
      <c r="X222" s="27" t="inlineStr"/>
      <c r="Y222" s="27" t="inlineStr"/>
      <c r="Z222" s="26">
        <f>IF(W222&lt;&gt;"",W222,IFERROR(VLOOKUP(V222,Assumptions!$A$8:$F$12,2,FALSE),0))</f>
        <v/>
      </c>
      <c r="AA222" s="28">
        <f>IF(V222="A",MAX(1,IF(X222&lt;&gt;"",X222,IFERROR(VLOOKUP(V222,Assumptions!$A$8:$F$12,3,FALSE),3))+IF(Y222&lt;&gt;"",Y222,IFERROR(VLOOKUP(V222,Assumptions!$A$8:$F$12,4,FALSE),8))/2-MAX(0,IF(AS222="",0,YEAR(TODAY())-AS222)-IFERROR(VLOOKUP(V222,Assumptions!$A$8:$F$12,5,FALSE),1.5))),IFERROR(VLOOKUP(V222,Assumptions!$A$8:$F$12,5,FALSE),2.5)+IF(X222&lt;&gt;"",X222,IFERROR(VLOOKUP(V222,Assumptions!$A$8:$F$12,3,FALSE),3))+IF(Y222&lt;&gt;"",Y222,IFERROR(VLOOKUP(V222,Assumptions!$A$8:$F$12,4,FALSE),8))/2)</f>
        <v/>
      </c>
      <c r="AB222" s="24">
        <f>U222*Z222/(1+Assumptions!$B$3)^AA222</f>
        <v/>
      </c>
      <c r="AC222" s="27">
        <f>IF(U222=0,"",ROUND(AB222/U222*100,1))</f>
        <v/>
      </c>
      <c r="AD222" s="29">
        <f>AB222*Assumptions!$B$4</f>
        <v/>
      </c>
      <c r="AE222" s="27">
        <f>IF(U222=0,"",ROUND(AD222/U222*100,1))</f>
        <v/>
      </c>
      <c r="AF222" s="29">
        <f>AB222-AD222</f>
        <v/>
      </c>
      <c r="AG222" s="27">
        <f>IF(U222=0,"",ROUND((AB222-AD222)/U222*100,1))</f>
        <v/>
      </c>
      <c r="AH222" s="34" t="inlineStr">
        <is>
          <t>NO TOTALS — list prints none; check page</t>
        </is>
      </c>
      <c r="AI222" s="31" t="inlineStr">
        <is>
          <t>https://ajruiz.com.br/sites/default/files/public/arquivos-processos/2026-01/safrasul_relacao_de_credores_recuperanda.pdf</t>
        </is>
      </c>
      <c r="AJ222" s="30" t="inlineStr">
        <is>
          <t>p8 r36</t>
        </is>
      </c>
      <c r="AK222" s="30" t="inlineStr">
        <is>
          <t>p8: R$ 533.171,81</t>
        </is>
      </c>
      <c r="AL222" s="30" t="inlineStr">
        <is>
          <t>AJ list (art. 7 §2)</t>
        </is>
      </c>
      <c r="AM222" s="30" t="inlineStr">
        <is>
          <t>2026-01-14</t>
        </is>
      </c>
      <c r="AN222" s="30" t="inlineStr">
        <is>
          <t>NONE FOUND</t>
        </is>
      </c>
      <c r="AO222" s="32" t="inlineStr">
        <is>
          <t>4000167-23.2025.8.26.0373</t>
        </is>
      </c>
      <c r="AP222" s="32" t="inlineStr">
        <is>
          <t>TJSP</t>
        </is>
      </c>
      <c r="AQ222" s="32" t="inlineStr">
        <is>
          <t>Recuperação judicial</t>
        </is>
      </c>
      <c r="AR222" s="32" t="inlineStr">
        <is>
          <t>DataJud: no closure/falência movement</t>
        </is>
      </c>
      <c r="AS222" s="32" t="n">
        <v>2025</v>
      </c>
      <c r="AT222" s="32" t="inlineStr">
        <is>
          <t>live case, no plan document yet</t>
        </is>
      </c>
      <c r="AU222" s="32" t="inlineStr"/>
      <c r="AV222" s="32" t="inlineStr">
        <is>
          <t>printed on the list (read twice)</t>
        </is>
      </c>
      <c r="AW222" s="32" t="inlineStr"/>
      <c r="AX222" s="32" t="inlineStr">
        <is>
          <t>ITAJAI</t>
        </is>
      </c>
      <c r="AY222" s="32" t="inlineStr">
        <is>
          <t>SC</t>
        </is>
      </c>
      <c r="AZ222" s="32" t="inlineStr">
        <is>
          <t>Comércio atacadista de mercadorias em geral, sem predominância de alimentos ou de insumos agropecuários</t>
        </is>
      </c>
      <c r="BA222" s="32" t="inlineStr">
        <is>
          <t>não ME/EPP</t>
        </is>
      </c>
      <c r="BB222" s="33" t="n">
        <v>800000</v>
      </c>
      <c r="BC222" s="32" t="inlineStr">
        <is>
          <t>MID-MARKET</t>
        </is>
      </c>
      <c r="BD222" s="32" t="inlineStr">
        <is>
          <t>07426908</t>
        </is>
      </c>
      <c r="BE222" s="32" t="n">
        <v>1</v>
      </c>
      <c r="BF222" s="32" t="inlineStr">
        <is>
          <t>list prints no totals</t>
        </is>
      </c>
    </row>
    <row r="223">
      <c r="A223" s="17" t="inlineStr">
        <is>
          <t>ASFALTOS NORDESTE LTDA</t>
        </is>
      </c>
      <c r="B223" s="18" t="n">
        <v>531958.59</v>
      </c>
      <c r="C223" s="19" t="inlineStr">
        <is>
          <t>GRUPO EGESA (Egesa Engenharia S.A. + 9 group companies; see group members)</t>
        </is>
      </c>
      <c r="D223" s="20" t="inlineStr">
        <is>
          <t>NEW</t>
        </is>
      </c>
      <c r="E223" s="21" t="inlineStr"/>
      <c r="F223" s="20" t="inlineStr"/>
      <c r="G223" s="21" t="inlineStr"/>
      <c r="H223" s="20" t="inlineStr"/>
      <c r="I223" s="22" t="inlineStr">
        <is>
          <t>Andre Barbosa</t>
        </is>
      </c>
      <c r="J223" s="22" t="inlineStr">
        <is>
          <t>General Manager</t>
        </is>
      </c>
      <c r="K223" s="22" t="inlineStr">
        <is>
          <t>(85) 3311-2811</t>
        </is>
      </c>
      <c r="L223" s="22" t="inlineStr">
        <is>
          <t>(85) 3311-2844</t>
        </is>
      </c>
      <c r="M223" s="22" t="inlineStr"/>
      <c r="N223" s="22" t="inlineStr">
        <is>
          <t>andre@asfaltosnordeste.com.br</t>
        </is>
      </c>
      <c r="O223" s="22" t="inlineStr">
        <is>
          <t>verified</t>
        </is>
      </c>
      <c r="P223" s="22" t="inlineStr">
        <is>
          <t>Edson Radnai</t>
        </is>
      </c>
      <c r="Q223" s="22" t="inlineStr">
        <is>
          <t>Industrial Manager</t>
        </is>
      </c>
      <c r="R223" s="22" t="inlineStr"/>
      <c r="S223" s="22" t="inlineStr">
        <is>
          <t>edsonradnai@asfaltosnordeste.com.br</t>
        </is>
      </c>
      <c r="T223" s="22" t="inlineStr">
        <is>
          <t>DM: has_email, phone Yes; BACKUP: backup, has_email, phone Yes</t>
        </is>
      </c>
      <c r="U223" s="24" t="n">
        <v>531958.59</v>
      </c>
      <c r="V223" s="25" t="inlineStr">
        <is>
          <t>B</t>
        </is>
      </c>
      <c r="W223" s="26" t="inlineStr"/>
      <c r="X223" s="27" t="inlineStr"/>
      <c r="Y223" s="27" t="inlineStr"/>
      <c r="Z223" s="26">
        <f>IF(W223&lt;&gt;"",W223,IFERROR(VLOOKUP(V223,Assumptions!$A$8:$F$12,2,FALSE),0))</f>
        <v/>
      </c>
      <c r="AA223" s="28">
        <f>IF(V223="A",MAX(1,IF(X223&lt;&gt;"",X223,IFERROR(VLOOKUP(V223,Assumptions!$A$8:$F$12,3,FALSE),3))+IF(Y223&lt;&gt;"",Y223,IFERROR(VLOOKUP(V223,Assumptions!$A$8:$F$12,4,FALSE),8))/2-MAX(0,IF(AS223="",0,YEAR(TODAY())-AS223)-IFERROR(VLOOKUP(V223,Assumptions!$A$8:$F$12,5,FALSE),1.5))),IFERROR(VLOOKUP(V223,Assumptions!$A$8:$F$12,5,FALSE),2.5)+IF(X223&lt;&gt;"",X223,IFERROR(VLOOKUP(V223,Assumptions!$A$8:$F$12,3,FALSE),3))+IF(Y223&lt;&gt;"",Y223,IFERROR(VLOOKUP(V223,Assumptions!$A$8:$F$12,4,FALSE),8))/2)</f>
        <v/>
      </c>
      <c r="AB223" s="24">
        <f>U223*Z223/(1+Assumptions!$B$3)^AA223</f>
        <v/>
      </c>
      <c r="AC223" s="27">
        <f>IF(U223=0,"",ROUND(AB223/U223*100,1))</f>
        <v/>
      </c>
      <c r="AD223" s="29">
        <f>AB223*Assumptions!$B$4</f>
        <v/>
      </c>
      <c r="AE223" s="27">
        <f>IF(U223=0,"",ROUND(AD223/U223*100,1))</f>
        <v/>
      </c>
      <c r="AF223" s="29">
        <f>AB223-AD223</f>
        <v/>
      </c>
      <c r="AG223" s="27">
        <f>IF(U223=0,"",ROUND((AB223-AD223)/U223*100,1))</f>
        <v/>
      </c>
      <c r="AH223" s="30" t="inlineStr">
        <is>
          <t>OK — totals reconciled</t>
        </is>
      </c>
      <c r="AI223" s="31" t="inlineStr">
        <is>
          <t>https://scalzilliaj.com.br/sgc/download.php?file=files/processo_documento/processo_documento09514021082025_1_.pdf&amp;nome=04 - Relação de credores das Recuperandas</t>
        </is>
      </c>
      <c r="AJ223" s="30" t="inlineStr">
        <is>
          <t>p62 r11</t>
        </is>
      </c>
      <c r="AK223" s="30" t="inlineStr">
        <is>
          <t>p62: R$ 531.958,59</t>
        </is>
      </c>
      <c r="AL223" s="30" t="inlineStr">
        <is>
          <t>Debtor list (art. 51)</t>
        </is>
      </c>
      <c r="AM223" s="30" t="inlineStr"/>
      <c r="AN223" s="30" t="inlineStr">
        <is>
          <t>NONE FOUND</t>
        </is>
      </c>
      <c r="AO223" s="32" t="inlineStr">
        <is>
          <t>5088952-81.2025.8.13.0024</t>
        </is>
      </c>
      <c r="AP223" s="32" t="inlineStr">
        <is>
          <t>TJMG</t>
        </is>
      </c>
      <c r="AQ223" s="32" t="inlineStr"/>
      <c r="AR223" s="32" t="inlineStr">
        <is>
          <t>DataJud: no closure/falência movement</t>
        </is>
      </c>
      <c r="AS223" s="32" t="n">
        <v>2025</v>
      </c>
      <c r="AT223" s="32" t="inlineStr">
        <is>
          <t>live case, no plan document yet; case no. from the portal record, not printed on the list</t>
        </is>
      </c>
      <c r="AU223" s="32" t="inlineStr"/>
      <c r="AV223" s="32" t="inlineStr">
        <is>
          <t>portal page title / URL — not printed on the list</t>
        </is>
      </c>
      <c r="AW223" s="32" t="inlineStr"/>
      <c r="AX223" s="32" t="inlineStr">
        <is>
          <t>MARACANAU</t>
        </is>
      </c>
      <c r="AY223" s="32" t="inlineStr">
        <is>
          <t>CE</t>
        </is>
      </c>
      <c r="AZ223" s="32" t="inlineStr">
        <is>
          <t>Fabricação de impermeabilizantes, solventes e produtos afins</t>
        </is>
      </c>
      <c r="BA223" s="32" t="inlineStr">
        <is>
          <t>não ME/EPP</t>
        </is>
      </c>
      <c r="BB223" s="33" t="n">
        <v>21984000</v>
      </c>
      <c r="BC223" s="32" t="inlineStr">
        <is>
          <t>MID-MARKET</t>
        </is>
      </c>
      <c r="BD223" s="32" t="inlineStr">
        <is>
          <t>01791741</t>
        </is>
      </c>
      <c r="BE223" s="32" t="n">
        <v>1</v>
      </c>
      <c r="BF223" s="32" t="inlineStr">
        <is>
          <t>case no. corrected by reader case no. from portal record</t>
        </is>
      </c>
    </row>
    <row r="224">
      <c r="A224" s="17" t="inlineStr">
        <is>
          <t>CALMAP INDUSTRIA DE CALCARIO LTDA</t>
        </is>
      </c>
      <c r="B224" s="18" t="n">
        <v>526042.9300000001</v>
      </c>
      <c r="C224" s="19" t="inlineStr">
        <is>
          <t>SOJAL COMERCIAL AGRICOLA LTDA e OUTROS</t>
        </is>
      </c>
      <c r="D224" s="20" t="inlineStr">
        <is>
          <t>NEW</t>
        </is>
      </c>
      <c r="E224" s="21" t="inlineStr"/>
      <c r="F224" s="20" t="inlineStr"/>
      <c r="G224" s="21" t="inlineStr"/>
      <c r="H224" s="20" t="inlineStr"/>
      <c r="I224" s="22" t="inlineStr">
        <is>
          <t>ANTONIO HOLANDA DE OLIVEIRA NETO</t>
        </is>
      </c>
      <c r="J224" s="23" t="inlineStr">
        <is>
          <t>Sócio-Administrador (RFB partner)</t>
        </is>
      </c>
      <c r="K224" s="22" t="inlineStr">
        <is>
          <t>(85) 3082-0505</t>
        </is>
      </c>
      <c r="L224" s="22" t="inlineStr"/>
      <c r="M224" s="22" t="inlineStr"/>
      <c r="N224" s="22" t="inlineStr"/>
      <c r="O224" s="22" t="inlineStr"/>
      <c r="P224" s="22" t="inlineStr">
        <is>
          <t>Eduardo Silva</t>
        </is>
      </c>
      <c r="Q224" s="22" t="inlineStr">
        <is>
          <t>Administrative Supervisor</t>
        </is>
      </c>
      <c r="R224" s="22" t="inlineStr"/>
      <c r="S224" s="22" t="inlineStr">
        <is>
          <t>eduardo@calmap.com.br</t>
        </is>
      </c>
      <c r="T224" s="22" t="inlineStr">
        <is>
          <t>DM = registered partner (RFB QSA); Apollo pick demoted to backup (non-finance role); BACKUP: has_email</t>
        </is>
      </c>
      <c r="U224" s="24" t="n">
        <v>526042.9300000001</v>
      </c>
      <c r="V224" s="25" t="inlineStr">
        <is>
          <t>B</t>
        </is>
      </c>
      <c r="W224" s="26" t="inlineStr"/>
      <c r="X224" s="27" t="inlineStr"/>
      <c r="Y224" s="27" t="inlineStr"/>
      <c r="Z224" s="26">
        <f>IF(W224&lt;&gt;"",W224,IFERROR(VLOOKUP(V224,Assumptions!$A$8:$F$12,2,FALSE),0))</f>
        <v/>
      </c>
      <c r="AA224" s="28">
        <f>IF(V224="A",MAX(1,IF(X224&lt;&gt;"",X224,IFERROR(VLOOKUP(V224,Assumptions!$A$8:$F$12,3,FALSE),3))+IF(Y224&lt;&gt;"",Y224,IFERROR(VLOOKUP(V224,Assumptions!$A$8:$F$12,4,FALSE),8))/2-MAX(0,IF(AS224="",0,YEAR(TODAY())-AS224)-IFERROR(VLOOKUP(V224,Assumptions!$A$8:$F$12,5,FALSE),1.5))),IFERROR(VLOOKUP(V224,Assumptions!$A$8:$F$12,5,FALSE),2.5)+IF(X224&lt;&gt;"",X224,IFERROR(VLOOKUP(V224,Assumptions!$A$8:$F$12,3,FALSE),3))+IF(Y224&lt;&gt;"",Y224,IFERROR(VLOOKUP(V224,Assumptions!$A$8:$F$12,4,FALSE),8))/2)</f>
        <v/>
      </c>
      <c r="AB224" s="24">
        <f>U224*Z224/(1+Assumptions!$B$3)^AA224</f>
        <v/>
      </c>
      <c r="AC224" s="27">
        <f>IF(U224=0,"",ROUND(AB224/U224*100,1))</f>
        <v/>
      </c>
      <c r="AD224" s="29">
        <f>AB224*Assumptions!$B$4</f>
        <v/>
      </c>
      <c r="AE224" s="27">
        <f>IF(U224=0,"",ROUND(AD224/U224*100,1))</f>
        <v/>
      </c>
      <c r="AF224" s="29">
        <f>AB224-AD224</f>
        <v/>
      </c>
      <c r="AG224" s="27">
        <f>IF(U224=0,"",ROUND((AB224-AD224)/U224*100,1))</f>
        <v/>
      </c>
      <c r="AH224" s="30" t="inlineStr">
        <is>
          <t>OK — totals reconciled</t>
        </is>
      </c>
      <c r="AI224" s="31" t="inlineStr">
        <is>
          <t>https://lrflideres.com.br/wp-content/plugins/download-attachments/includes/download.php?id=6879</t>
        </is>
      </c>
      <c r="AJ224" s="30" t="inlineStr">
        <is>
          <t>p1 r8</t>
        </is>
      </c>
      <c r="AK224" s="30" t="inlineStr">
        <is>
          <t>p1: R$ 526.042,93</t>
        </is>
      </c>
      <c r="AL224" s="30" t="inlineStr">
        <is>
          <t>AJ list (art. 7 §2)</t>
        </is>
      </c>
      <c r="AM224" s="30" t="inlineStr">
        <is>
          <t>2026-01-15</t>
        </is>
      </c>
      <c r="AN224" s="30" t="inlineStr">
        <is>
          <t>NONE FOUND</t>
        </is>
      </c>
      <c r="AO224" s="32" t="inlineStr">
        <is>
          <t>0804401-51.2025.8.14.0039</t>
        </is>
      </c>
      <c r="AP224" s="32" t="inlineStr">
        <is>
          <t>TJPA</t>
        </is>
      </c>
      <c r="AQ224" s="32" t="inlineStr">
        <is>
          <t>Recuperação judicial</t>
        </is>
      </c>
      <c r="AR224" s="32" t="inlineStr">
        <is>
          <t>DataJud: no closure/falência movement</t>
        </is>
      </c>
      <c r="AS224" s="32" t="n">
        <v>2025</v>
      </c>
      <c r="AT224" s="32" t="inlineStr">
        <is>
          <t>live case, no plan document yet</t>
        </is>
      </c>
      <c r="AU224" s="32" t="inlineStr"/>
      <c r="AV224" s="32" t="inlineStr">
        <is>
          <t>printed on the list (read twice)</t>
        </is>
      </c>
      <c r="AW224" s="32" t="inlineStr"/>
      <c r="AX224" s="32" t="inlineStr">
        <is>
          <t>SAO GERALDO DO ARAGUAIA</t>
        </is>
      </c>
      <c r="AY224" s="32" t="inlineStr">
        <is>
          <t>PA</t>
        </is>
      </c>
      <c r="AZ224" s="32" t="inlineStr">
        <is>
          <t>Extração de minerais para fabricação de adubos, fertilizantes e outros produtos químicos</t>
        </is>
      </c>
      <c r="BA224" s="32" t="inlineStr">
        <is>
          <t>não ME/EPP</t>
        </is>
      </c>
      <c r="BB224" s="33" t="n">
        <v>3000000</v>
      </c>
      <c r="BC224" s="32" t="inlineStr">
        <is>
          <t>MID-MARKET</t>
        </is>
      </c>
      <c r="BD224" s="32" t="inlineStr">
        <is>
          <t>10962529</t>
        </is>
      </c>
      <c r="BE224" s="32" t="n">
        <v>1</v>
      </c>
      <c r="BF224" s="32" t="inlineStr"/>
    </row>
    <row r="225">
      <c r="A225" s="17" t="inlineStr">
        <is>
          <t>CEREAIS FORMIGUENSE LTDA</t>
        </is>
      </c>
      <c r="B225" s="18" t="n">
        <v>525000</v>
      </c>
      <c r="C225" s="19" t="inlineStr">
        <is>
          <t>SUINOCULTURA KUNZLER</t>
        </is>
      </c>
      <c r="D225" s="20" t="inlineStr">
        <is>
          <t>NEW</t>
        </is>
      </c>
      <c r="E225" s="21" t="inlineStr"/>
      <c r="F225" s="20" t="inlineStr"/>
      <c r="G225" s="21" t="inlineStr"/>
      <c r="H225" s="20" t="inlineStr"/>
      <c r="I225" s="22" t="inlineStr">
        <is>
          <t>TIAGO DE MARTINI</t>
        </is>
      </c>
      <c r="J225" s="23" t="inlineStr">
        <is>
          <t>Sócio-Administrador (RFB partner)</t>
        </is>
      </c>
      <c r="K225" s="22" t="inlineStr">
        <is>
          <t>(54) 3341-2170</t>
        </is>
      </c>
      <c r="L225" s="22" t="inlineStr"/>
      <c r="M225" s="22" t="inlineStr"/>
      <c r="N225" s="22" t="inlineStr"/>
      <c r="O225" s="22" t="inlineStr"/>
      <c r="P225" s="22" t="inlineStr"/>
      <c r="Q225" s="22" t="inlineStr"/>
      <c r="R225" s="22" t="inlineStr"/>
      <c r="S225" s="22" t="inlineStr"/>
      <c r="T225" s="22" t="inlineStr">
        <is>
          <t>DM = registered partner (RFB QSA); no Apollo match</t>
        </is>
      </c>
      <c r="U225" s="24" t="n">
        <v>525000</v>
      </c>
      <c r="V225" s="25" t="inlineStr">
        <is>
          <t>B</t>
        </is>
      </c>
      <c r="W225" s="26" t="inlineStr"/>
      <c r="X225" s="27" t="inlineStr"/>
      <c r="Y225" s="27" t="inlineStr"/>
      <c r="Z225" s="26">
        <f>IF(W225&lt;&gt;"",W225,IFERROR(VLOOKUP(V225,Assumptions!$A$8:$F$12,2,FALSE),0))</f>
        <v/>
      </c>
      <c r="AA225" s="28">
        <f>IF(V225="A",MAX(1,IF(X225&lt;&gt;"",X225,IFERROR(VLOOKUP(V225,Assumptions!$A$8:$F$12,3,FALSE),3))+IF(Y225&lt;&gt;"",Y225,IFERROR(VLOOKUP(V225,Assumptions!$A$8:$F$12,4,FALSE),8))/2-MAX(0,IF(AS225="",0,YEAR(TODAY())-AS225)-IFERROR(VLOOKUP(V225,Assumptions!$A$8:$F$12,5,FALSE),1.5))),IFERROR(VLOOKUP(V225,Assumptions!$A$8:$F$12,5,FALSE),2.5)+IF(X225&lt;&gt;"",X225,IFERROR(VLOOKUP(V225,Assumptions!$A$8:$F$12,3,FALSE),3))+IF(Y225&lt;&gt;"",Y225,IFERROR(VLOOKUP(V225,Assumptions!$A$8:$F$12,4,FALSE),8))/2)</f>
        <v/>
      </c>
      <c r="AB225" s="24">
        <f>U225*Z225/(1+Assumptions!$B$3)^AA225</f>
        <v/>
      </c>
      <c r="AC225" s="27">
        <f>IF(U225=0,"",ROUND(AB225/U225*100,1))</f>
        <v/>
      </c>
      <c r="AD225" s="29">
        <f>AB225*Assumptions!$B$4</f>
        <v/>
      </c>
      <c r="AE225" s="27">
        <f>IF(U225=0,"",ROUND(AD225/U225*100,1))</f>
        <v/>
      </c>
      <c r="AF225" s="29">
        <f>AB225-AD225</f>
        <v/>
      </c>
      <c r="AG225" s="27">
        <f>IF(U225=0,"",ROUND((AB225-AD225)/U225*100,1))</f>
        <v/>
      </c>
      <c r="AH225" s="34" t="inlineStr">
        <is>
          <t>NO TOTALS — list prints none; check page</t>
        </is>
      </c>
      <c r="AI225" s="31" t="inlineStr">
        <is>
          <t>https://rlg-aj.com.br/wp-content/uploads/2024/11/07.-Relação-de-credores.pdf</t>
        </is>
      </c>
      <c r="AJ225" s="30" t="inlineStr">
        <is>
          <t>p1 r19</t>
        </is>
      </c>
      <c r="AK225" s="30" t="inlineStr">
        <is>
          <t>p1: R$ 525.000,00</t>
        </is>
      </c>
      <c r="AL225" s="30" t="inlineStr">
        <is>
          <t>Unclassified list</t>
        </is>
      </c>
      <c r="AM225" s="30" t="inlineStr"/>
      <c r="AN225" s="30" t="inlineStr">
        <is>
          <t>NONE FOUND</t>
        </is>
      </c>
      <c r="AO225" s="32" t="inlineStr">
        <is>
          <t>5009149-92.2024.8.24.0019</t>
        </is>
      </c>
      <c r="AP225" s="32" t="inlineStr">
        <is>
          <t>TJSC</t>
        </is>
      </c>
      <c r="AQ225" s="32" t="inlineStr">
        <is>
          <t>Recuperação judicial</t>
        </is>
      </c>
      <c r="AR225" s="32" t="inlineStr">
        <is>
          <t>DataJud: no closure/falência movement</t>
        </is>
      </c>
      <c r="AS225" s="32" t="n">
        <v>2024</v>
      </c>
      <c r="AT225" s="32" t="inlineStr">
        <is>
          <t>live case, no plan document yet; case no. from the portal record, not printed on the list</t>
        </is>
      </c>
      <c r="AU225" s="32" t="inlineStr">
        <is>
          <t>55.365.447/0001-56</t>
        </is>
      </c>
      <c r="AV225" s="32" t="inlineStr">
        <is>
          <t>printed on the list (read twice)</t>
        </is>
      </c>
      <c r="AW225" s="32" t="inlineStr"/>
      <c r="AX225" s="32" t="inlineStr">
        <is>
          <t>GETULIO VARGAS</t>
        </is>
      </c>
      <c r="AY225" s="32" t="inlineStr">
        <is>
          <t>RS</t>
        </is>
      </c>
      <c r="AZ225" s="32" t="inlineStr">
        <is>
          <t>Transporte rodoviário de carga, exceto produtos perigosos e mudanças, intermunicipal, interestadual e internacional</t>
        </is>
      </c>
      <c r="BA225" s="32" t="inlineStr">
        <is>
          <t>MICRO EMPRESA</t>
        </is>
      </c>
      <c r="BB225" s="33" t="n">
        <v>200000</v>
      </c>
      <c r="BC225" s="32" t="inlineStr">
        <is>
          <t>SMALL</t>
        </is>
      </c>
      <c r="BD225" s="32" t="inlineStr">
        <is>
          <t>10917212</t>
        </is>
      </c>
      <c r="BE225" s="32" t="n">
        <v>1</v>
      </c>
      <c r="BF225" s="32" t="inlineStr">
        <is>
          <t>list prints no totals</t>
        </is>
      </c>
    </row>
    <row r="226">
      <c r="A226" s="17" t="inlineStr">
        <is>
          <t>IPIRANGA PRODUTOS DE PETROLEO S.A.</t>
        </is>
      </c>
      <c r="B226" s="18" t="n">
        <v>521273.61</v>
      </c>
      <c r="C226" s="19" t="inlineStr">
        <is>
          <t>GRUPO EGESA (Egesa Engenharia S.A. + 9 group companies; see group members)</t>
        </is>
      </c>
      <c r="D226" s="20" t="inlineStr">
        <is>
          <t>NEW</t>
        </is>
      </c>
      <c r="E226" s="21" t="inlineStr"/>
      <c r="F226" s="20" t="inlineStr"/>
      <c r="G226" s="21" t="inlineStr"/>
      <c r="H226" s="20" t="inlineStr"/>
      <c r="I226" s="22" t="inlineStr">
        <is>
          <t>CARLOS FREDERICO RESENDE</t>
        </is>
      </c>
      <c r="J226" s="23" t="inlineStr">
        <is>
          <t>Administrador (RFB partner)</t>
        </is>
      </c>
      <c r="K226" s="22" t="inlineStr">
        <is>
          <t>(21) 2574-5858</t>
        </is>
      </c>
      <c r="L226" s="22" t="inlineStr"/>
      <c r="M226" s="22" t="inlineStr"/>
      <c r="N226" s="22" t="inlineStr"/>
      <c r="O226" s="22" t="inlineStr"/>
      <c r="P226" s="22" t="inlineStr">
        <is>
          <t>CRISTIANE SILVA LEITE</t>
        </is>
      </c>
      <c r="Q226" s="22" t="inlineStr">
        <is>
          <t>Diretor (RFB partner)</t>
        </is>
      </c>
      <c r="R226" s="22" t="inlineStr"/>
      <c r="S226" s="22" t="inlineStr"/>
      <c r="T226" s="22" t="inlineStr">
        <is>
          <t>DM = registered partner (RFB QSA); no Apollo match</t>
        </is>
      </c>
      <c r="U226" s="24" t="n">
        <v>521273.61</v>
      </c>
      <c r="V226" s="25" t="inlineStr">
        <is>
          <t>B</t>
        </is>
      </c>
      <c r="W226" s="26" t="inlineStr"/>
      <c r="X226" s="27" t="inlineStr"/>
      <c r="Y226" s="27" t="inlineStr"/>
      <c r="Z226" s="26">
        <f>IF(W226&lt;&gt;"",W226,IFERROR(VLOOKUP(V226,Assumptions!$A$8:$F$12,2,FALSE),0))</f>
        <v/>
      </c>
      <c r="AA226" s="28">
        <f>IF(V226="A",MAX(1,IF(X226&lt;&gt;"",X226,IFERROR(VLOOKUP(V226,Assumptions!$A$8:$F$12,3,FALSE),3))+IF(Y226&lt;&gt;"",Y226,IFERROR(VLOOKUP(V226,Assumptions!$A$8:$F$12,4,FALSE),8))/2-MAX(0,IF(AS226="",0,YEAR(TODAY())-AS226)-IFERROR(VLOOKUP(V226,Assumptions!$A$8:$F$12,5,FALSE),1.5))),IFERROR(VLOOKUP(V226,Assumptions!$A$8:$F$12,5,FALSE),2.5)+IF(X226&lt;&gt;"",X226,IFERROR(VLOOKUP(V226,Assumptions!$A$8:$F$12,3,FALSE),3))+IF(Y226&lt;&gt;"",Y226,IFERROR(VLOOKUP(V226,Assumptions!$A$8:$F$12,4,FALSE),8))/2)</f>
        <v/>
      </c>
      <c r="AB226" s="24">
        <f>U226*Z226/(1+Assumptions!$B$3)^AA226</f>
        <v/>
      </c>
      <c r="AC226" s="27">
        <f>IF(U226=0,"",ROUND(AB226/U226*100,1))</f>
        <v/>
      </c>
      <c r="AD226" s="29">
        <f>AB226*Assumptions!$B$4</f>
        <v/>
      </c>
      <c r="AE226" s="27">
        <f>IF(U226=0,"",ROUND(AD226/U226*100,1))</f>
        <v/>
      </c>
      <c r="AF226" s="29">
        <f>AB226-AD226</f>
        <v/>
      </c>
      <c r="AG226" s="27">
        <f>IF(U226=0,"",ROUND((AB226-AD226)/U226*100,1))</f>
        <v/>
      </c>
      <c r="AH226" s="30" t="inlineStr">
        <is>
          <t>OK — totals reconciled</t>
        </is>
      </c>
      <c r="AI226" s="31" t="inlineStr">
        <is>
          <t>https://scalzilliaj.com.br/sgc/download.php?file=files/processo_documento/processo_documento09514021082025_1_.pdf&amp;nome=04 - Relação de credores das Recuperandas</t>
        </is>
      </c>
      <c r="AJ226" s="30" t="inlineStr">
        <is>
          <t>p68 r8; p68 r9; p68 r10</t>
        </is>
      </c>
      <c r="AK226" s="30" t="inlineStr">
        <is>
          <t>p68: R$ 103.415,90; p68: R$ 36.620,21; p68: R$ 381.237,50</t>
        </is>
      </c>
      <c r="AL226" s="30" t="inlineStr">
        <is>
          <t>Debtor list (art. 51)</t>
        </is>
      </c>
      <c r="AM226" s="30" t="inlineStr"/>
      <c r="AN226" s="30" t="inlineStr">
        <is>
          <t>NONE FOUND</t>
        </is>
      </c>
      <c r="AO226" s="32" t="inlineStr">
        <is>
          <t>5088952-81.2025.8.13.0024</t>
        </is>
      </c>
      <c r="AP226" s="32" t="inlineStr">
        <is>
          <t>TJMG</t>
        </is>
      </c>
      <c r="AQ226" s="32" t="inlineStr"/>
      <c r="AR226" s="32" t="inlineStr">
        <is>
          <t>DataJud: no closure/falência movement</t>
        </is>
      </c>
      <c r="AS226" s="32" t="n">
        <v>2025</v>
      </c>
      <c r="AT226" s="32" t="inlineStr">
        <is>
          <t>live case, no plan document yet; case no. from the portal record, not printed on the list</t>
        </is>
      </c>
      <c r="AU226" s="32" t="inlineStr"/>
      <c r="AV226" s="32" t="inlineStr">
        <is>
          <t>portal page title / URL — not printed on the list</t>
        </is>
      </c>
      <c r="AW226" s="32" t="inlineStr"/>
      <c r="AX226" s="32" t="inlineStr">
        <is>
          <t>RIO DE JANEIRO</t>
        </is>
      </c>
      <c r="AY226" s="32" t="inlineStr">
        <is>
          <t>RJ</t>
        </is>
      </c>
      <c r="AZ226" s="32" t="inlineStr">
        <is>
          <t>Comércio atacadista de álcool carburante, biodiesel, gasolina e demais derivados de petróleo, exceto lubrificantes, não realizado por transportador re</t>
        </is>
      </c>
      <c r="BA226" s="32" t="inlineStr">
        <is>
          <t>não ME/EPP</t>
        </is>
      </c>
      <c r="BB226" s="33" t="n">
        <v>4668601300</v>
      </c>
      <c r="BC226" s="32" t="inlineStr">
        <is>
          <t>LARGE CORP</t>
        </is>
      </c>
      <c r="BD226" s="32" t="inlineStr">
        <is>
          <t>33337122</t>
        </is>
      </c>
      <c r="BE226" s="32" t="n">
        <v>3</v>
      </c>
      <c r="BF226" s="32" t="inlineStr">
        <is>
          <t>case no. corrected by reader case no. from portal record</t>
        </is>
      </c>
    </row>
    <row r="227">
      <c r="A227" s="17" t="inlineStr">
        <is>
          <t>LUIZ HENRIQUE RICCIARELLI PARTICIPACOES LTDA</t>
        </is>
      </c>
      <c r="B227" s="18" t="n">
        <v>518978.46</v>
      </c>
      <c r="C227" s="19" t="inlineStr">
        <is>
          <t>CENTURY CONSTRUÇÕES COMÉRCIO E SERVIÇOS LTDA.</t>
        </is>
      </c>
      <c r="D227" s="20" t="inlineStr">
        <is>
          <t>NEW</t>
        </is>
      </c>
      <c r="E227" s="21" t="inlineStr"/>
      <c r="F227" s="20" t="inlineStr"/>
      <c r="G227" s="21" t="inlineStr"/>
      <c r="H227" s="20" t="inlineStr"/>
      <c r="I227" s="22" t="inlineStr">
        <is>
          <t>LUIZ HENRIQUE CABRAL RICCIARELLI</t>
        </is>
      </c>
      <c r="J227" s="23" t="inlineStr">
        <is>
          <t>Sócio-Administrador (RFB partner)</t>
        </is>
      </c>
      <c r="K227" s="22" t="inlineStr">
        <is>
          <t>(11) 2365-1427</t>
        </is>
      </c>
      <c r="L227" s="22" t="inlineStr"/>
      <c r="M227" s="22" t="inlineStr"/>
      <c r="N227" s="22" t="inlineStr"/>
      <c r="O227" s="22" t="inlineStr"/>
      <c r="P227" s="22" t="inlineStr"/>
      <c r="Q227" s="22" t="inlineStr"/>
      <c r="R227" s="22" t="inlineStr"/>
      <c r="S227" s="22" t="inlineStr"/>
      <c r="T227" s="22" t="inlineStr">
        <is>
          <t>DM = registered partner (RFB QSA); no Apollo match</t>
        </is>
      </c>
      <c r="U227" s="24" t="n">
        <v>518978.46</v>
      </c>
      <c r="V227" s="25" t="inlineStr">
        <is>
          <t>B</t>
        </is>
      </c>
      <c r="W227" s="26" t="inlineStr"/>
      <c r="X227" s="27" t="inlineStr"/>
      <c r="Y227" s="27" t="inlineStr"/>
      <c r="Z227" s="26">
        <f>IF(W227&lt;&gt;"",W227,IFERROR(VLOOKUP(V227,Assumptions!$A$8:$F$12,2,FALSE),0))</f>
        <v/>
      </c>
      <c r="AA227" s="28">
        <f>IF(V227="A",MAX(1,IF(X227&lt;&gt;"",X227,IFERROR(VLOOKUP(V227,Assumptions!$A$8:$F$12,3,FALSE),3))+IF(Y227&lt;&gt;"",Y227,IFERROR(VLOOKUP(V227,Assumptions!$A$8:$F$12,4,FALSE),8))/2-MAX(0,IF(AS227="",0,YEAR(TODAY())-AS227)-IFERROR(VLOOKUP(V227,Assumptions!$A$8:$F$12,5,FALSE),1.5))),IFERROR(VLOOKUP(V227,Assumptions!$A$8:$F$12,5,FALSE),2.5)+IF(X227&lt;&gt;"",X227,IFERROR(VLOOKUP(V227,Assumptions!$A$8:$F$12,3,FALSE),3))+IF(Y227&lt;&gt;"",Y227,IFERROR(VLOOKUP(V227,Assumptions!$A$8:$F$12,4,FALSE),8))/2)</f>
        <v/>
      </c>
      <c r="AB227" s="24">
        <f>U227*Z227/(1+Assumptions!$B$3)^AA227</f>
        <v/>
      </c>
      <c r="AC227" s="27">
        <f>IF(U227=0,"",ROUND(AB227/U227*100,1))</f>
        <v/>
      </c>
      <c r="AD227" s="29">
        <f>AB227*Assumptions!$B$4</f>
        <v/>
      </c>
      <c r="AE227" s="27">
        <f>IF(U227=0,"",ROUND(AD227/U227*100,1))</f>
        <v/>
      </c>
      <c r="AF227" s="29">
        <f>AB227-AD227</f>
        <v/>
      </c>
      <c r="AG227" s="27">
        <f>IF(U227=0,"",ROUND((AB227-AD227)/U227*100,1))</f>
        <v/>
      </c>
      <c r="AH227" s="34" t="inlineStr">
        <is>
          <t>NO TOTALS — list prints none; check page</t>
        </is>
      </c>
      <c r="AI227" s="31" t="inlineStr">
        <is>
          <t>https://ativosajce.com.br/admin/download.php?file=files/processo_documento/processo_documento16022716122025_1_.pdf&amp;nome=Relação de credores - art. 52, §1º da Lei 11.101/05 - 15/12/2025</t>
        </is>
      </c>
      <c r="AJ227" s="30" t="inlineStr">
        <is>
          <t>p3 r51</t>
        </is>
      </c>
      <c r="AK227" s="30" t="inlineStr">
        <is>
          <t>p3: R$ 518.978,46</t>
        </is>
      </c>
      <c r="AL227" s="30" t="inlineStr">
        <is>
          <t>Unclassified list</t>
        </is>
      </c>
      <c r="AM227" s="30" t="inlineStr"/>
      <c r="AN227" s="30" t="inlineStr">
        <is>
          <t>NONE FOUND</t>
        </is>
      </c>
      <c r="AO227" s="32" t="inlineStr">
        <is>
          <t>4054599-35.2025.8.26.0100</t>
        </is>
      </c>
      <c r="AP227" s="32" t="inlineStr">
        <is>
          <t>TJSP</t>
        </is>
      </c>
      <c r="AQ227" s="32" t="inlineStr">
        <is>
          <t>Recuperação judicial</t>
        </is>
      </c>
      <c r="AR227" s="32" t="inlineStr">
        <is>
          <t>DataJud: no closure/falência movement</t>
        </is>
      </c>
      <c r="AS227" s="32" t="n">
        <v>2025</v>
      </c>
      <c r="AT227" s="32" t="inlineStr">
        <is>
          <t>live case, no plan document yet; case no. from the portal record, not printed on the list</t>
        </is>
      </c>
      <c r="AU227" s="32" t="inlineStr">
        <is>
          <t>03.299.563/0001-10</t>
        </is>
      </c>
      <c r="AV227" s="32" t="inlineStr">
        <is>
          <t>printed on the list (read twice)</t>
        </is>
      </c>
      <c r="AW227" s="32" t="inlineStr"/>
      <c r="AX227" s="32" t="inlineStr">
        <is>
          <t>SAO PAULO</t>
        </is>
      </c>
      <c r="AY227" s="32" t="inlineStr">
        <is>
          <t>SP</t>
        </is>
      </c>
      <c r="AZ227" s="32" t="inlineStr">
        <is>
          <t>Outras sociedades de participação, exceto holdings</t>
        </is>
      </c>
      <c r="BA227" s="32" t="inlineStr">
        <is>
          <t>não ME/EPP</t>
        </is>
      </c>
      <c r="BB227" s="33" t="n">
        <v>1000</v>
      </c>
      <c r="BC227" s="32" t="inlineStr">
        <is>
          <t>MID-MARKET</t>
        </is>
      </c>
      <c r="BD227" s="32" t="inlineStr">
        <is>
          <t>51145521</t>
        </is>
      </c>
      <c r="BE227" s="32" t="n">
        <v>1</v>
      </c>
      <c r="BF227" s="32" t="inlineStr">
        <is>
          <t>list prints no totals</t>
        </is>
      </c>
    </row>
    <row r="228">
      <c r="A228" s="17" t="inlineStr">
        <is>
          <t>POLIMIX CONCRETO LTDA</t>
        </is>
      </c>
      <c r="B228" s="18" t="n">
        <v>518509.3</v>
      </c>
      <c r="C228" s="19" t="inlineStr">
        <is>
          <t>CENTURY CONSTRUÇÕES COMÉRCIO E SERVIÇOS LTDA.</t>
        </is>
      </c>
      <c r="D228" s="20" t="inlineStr">
        <is>
          <t>NEW</t>
        </is>
      </c>
      <c r="E228" s="21" t="inlineStr"/>
      <c r="F228" s="20" t="inlineStr"/>
      <c r="G228" s="21" t="inlineStr"/>
      <c r="H228" s="20" t="inlineStr"/>
      <c r="I228" s="22" t="inlineStr">
        <is>
          <t>ALCINDO ANTONIO CHRUSCIELSKI</t>
        </is>
      </c>
      <c r="J228" s="23" t="inlineStr">
        <is>
          <t>Administrador (RFB partner)</t>
        </is>
      </c>
      <c r="K228" s="22" t="inlineStr">
        <is>
          <t>(11) 4168-0300</t>
        </is>
      </c>
      <c r="L228" s="22" t="inlineStr"/>
      <c r="M228" s="22" t="inlineStr"/>
      <c r="N228" s="22" t="inlineStr"/>
      <c r="O228" s="22" t="inlineStr"/>
      <c r="P228" s="22" t="inlineStr">
        <is>
          <t>ANDERSON JOSE MESSIAS</t>
        </is>
      </c>
      <c r="Q228" s="22" t="inlineStr">
        <is>
          <t>Administrador (RFB partner)</t>
        </is>
      </c>
      <c r="R228" s="22" t="inlineStr"/>
      <c r="S228" s="22" t="inlineStr"/>
      <c r="T228" s="22" t="inlineStr">
        <is>
          <t>DM = registered partner (RFB QSA); no Apollo match</t>
        </is>
      </c>
      <c r="U228" s="24" t="n">
        <v>518509.3</v>
      </c>
      <c r="V228" s="25" t="inlineStr">
        <is>
          <t>B</t>
        </is>
      </c>
      <c r="W228" s="26" t="inlineStr"/>
      <c r="X228" s="27" t="inlineStr"/>
      <c r="Y228" s="27" t="inlineStr"/>
      <c r="Z228" s="26">
        <f>IF(W228&lt;&gt;"",W228,IFERROR(VLOOKUP(V228,Assumptions!$A$8:$F$12,2,FALSE),0))</f>
        <v/>
      </c>
      <c r="AA228" s="28">
        <f>IF(V228="A",MAX(1,IF(X228&lt;&gt;"",X228,IFERROR(VLOOKUP(V228,Assumptions!$A$8:$F$12,3,FALSE),3))+IF(Y228&lt;&gt;"",Y228,IFERROR(VLOOKUP(V228,Assumptions!$A$8:$F$12,4,FALSE),8))/2-MAX(0,IF(AS228="",0,YEAR(TODAY())-AS228)-IFERROR(VLOOKUP(V228,Assumptions!$A$8:$F$12,5,FALSE),1.5))),IFERROR(VLOOKUP(V228,Assumptions!$A$8:$F$12,5,FALSE),2.5)+IF(X228&lt;&gt;"",X228,IFERROR(VLOOKUP(V228,Assumptions!$A$8:$F$12,3,FALSE),3))+IF(Y228&lt;&gt;"",Y228,IFERROR(VLOOKUP(V228,Assumptions!$A$8:$F$12,4,FALSE),8))/2)</f>
        <v/>
      </c>
      <c r="AB228" s="24">
        <f>U228*Z228/(1+Assumptions!$B$3)^AA228</f>
        <v/>
      </c>
      <c r="AC228" s="27">
        <f>IF(U228=0,"",ROUND(AB228/U228*100,1))</f>
        <v/>
      </c>
      <c r="AD228" s="29">
        <f>AB228*Assumptions!$B$4</f>
        <v/>
      </c>
      <c r="AE228" s="27">
        <f>IF(U228=0,"",ROUND(AD228/U228*100,1))</f>
        <v/>
      </c>
      <c r="AF228" s="29">
        <f>AB228-AD228</f>
        <v/>
      </c>
      <c r="AG228" s="27">
        <f>IF(U228=0,"",ROUND((AB228-AD228)/U228*100,1))</f>
        <v/>
      </c>
      <c r="AH228" s="34" t="inlineStr">
        <is>
          <t>NO TOTALS — list prints none; check page</t>
        </is>
      </c>
      <c r="AI228" s="31" t="inlineStr">
        <is>
          <t>https://ativosajce.com.br/admin/download.php?file=files/processo_documento/processo_documento16022716122025_1_.pdf&amp;nome=Relação de credores - art. 52, §1º da Lei 11.101/05 - 15/12/2025</t>
        </is>
      </c>
      <c r="AJ228" s="30" t="inlineStr">
        <is>
          <t>p4 r6; p4 r7; p4 r8; p4 r9</t>
        </is>
      </c>
      <c r="AK228" s="30" t="inlineStr">
        <is>
          <t>p4: R$ 495.329,01; p4: R$ 21.359,40; p4: R$ 1.200,00; p4: R$ 620,89</t>
        </is>
      </c>
      <c r="AL228" s="30" t="inlineStr">
        <is>
          <t>Unclassified list</t>
        </is>
      </c>
      <c r="AM228" s="30" t="inlineStr"/>
      <c r="AN228" s="30" t="inlineStr">
        <is>
          <t>NONE FOUND</t>
        </is>
      </c>
      <c r="AO228" s="32" t="inlineStr">
        <is>
          <t>4054599-35.2025.8.26.0100</t>
        </is>
      </c>
      <c r="AP228" s="32" t="inlineStr">
        <is>
          <t>TJSP</t>
        </is>
      </c>
      <c r="AQ228" s="32" t="inlineStr">
        <is>
          <t>Recuperação judicial</t>
        </is>
      </c>
      <c r="AR228" s="32" t="inlineStr">
        <is>
          <t>DataJud: no closure/falência movement</t>
        </is>
      </c>
      <c r="AS228" s="32" t="n">
        <v>2025</v>
      </c>
      <c r="AT228" s="32" t="inlineStr">
        <is>
          <t>live case, no plan document yet; case no. from the portal record, not printed on the list</t>
        </is>
      </c>
      <c r="AU228" s="32" t="inlineStr">
        <is>
          <t>03.299.563/0001-10</t>
        </is>
      </c>
      <c r="AV228" s="32" t="inlineStr">
        <is>
          <t>printed on the list (read twice)</t>
        </is>
      </c>
      <c r="AW228" s="32" t="inlineStr"/>
      <c r="AX228" s="32" t="inlineStr">
        <is>
          <t>SANTANA DE PARNAIBA</t>
        </is>
      </c>
      <c r="AY228" s="32" t="inlineStr">
        <is>
          <t>SP</t>
        </is>
      </c>
      <c r="AZ228" s="32" t="inlineStr">
        <is>
          <t>Serviços combinados de escritório e apoio administrativo</t>
        </is>
      </c>
      <c r="BA228" s="32" t="inlineStr">
        <is>
          <t>não ME/EPP</t>
        </is>
      </c>
      <c r="BB228" s="33" t="n">
        <v>1135600000</v>
      </c>
      <c r="BC228" s="32" t="inlineStr">
        <is>
          <t>LARGE CORP</t>
        </is>
      </c>
      <c r="BD228" s="32" t="inlineStr">
        <is>
          <t>29067113</t>
        </is>
      </c>
      <c r="BE228" s="32" t="n">
        <v>4</v>
      </c>
      <c r="BF228" s="32" t="inlineStr">
        <is>
          <t>list prints no totals</t>
        </is>
      </c>
    </row>
    <row r="229">
      <c r="A229" s="17" t="inlineStr">
        <is>
          <t>EJF COBRANCAS LTDA</t>
        </is>
      </c>
      <c r="B229" s="18" t="n">
        <v>513802.19</v>
      </c>
      <c r="C229" s="19" t="inlineStr">
        <is>
          <t>Grupo Rech</t>
        </is>
      </c>
      <c r="D229" s="20" t="inlineStr">
        <is>
          <t>NEW</t>
        </is>
      </c>
      <c r="E229" s="21" t="inlineStr"/>
      <c r="F229" s="20" t="inlineStr"/>
      <c r="G229" s="21" t="inlineStr"/>
      <c r="H229" s="20" t="inlineStr"/>
      <c r="I229" s="22" t="inlineStr">
        <is>
          <t>EDUARDO JOSE FRANCA</t>
        </is>
      </c>
      <c r="J229" s="23" t="inlineStr">
        <is>
          <t>Sócio-Administrador (RFB partner)</t>
        </is>
      </c>
      <c r="K229" s="22" t="inlineStr">
        <is>
          <t>(47) 9152-1952</t>
        </is>
      </c>
      <c r="L229" s="22" t="inlineStr"/>
      <c r="M229" s="22" t="inlineStr"/>
      <c r="N229" s="22" t="inlineStr"/>
      <c r="O229" s="22" t="inlineStr"/>
      <c r="P229" s="22" t="inlineStr"/>
      <c r="Q229" s="22" t="inlineStr"/>
      <c r="R229" s="22" t="inlineStr"/>
      <c r="S229" s="22" t="inlineStr"/>
      <c r="T229" s="22" t="inlineStr">
        <is>
          <t>DM = registered partner (RFB QSA); no Apollo match</t>
        </is>
      </c>
      <c r="U229" s="24" t="n">
        <v>513802.19</v>
      </c>
      <c r="V229" s="25" t="inlineStr">
        <is>
          <t>B</t>
        </is>
      </c>
      <c r="W229" s="26" t="inlineStr"/>
      <c r="X229" s="27" t="inlineStr"/>
      <c r="Y229" s="27" t="inlineStr"/>
      <c r="Z229" s="26">
        <f>IF(W229&lt;&gt;"",W229,IFERROR(VLOOKUP(V229,Assumptions!$A$8:$F$12,2,FALSE),0))</f>
        <v/>
      </c>
      <c r="AA229" s="28">
        <f>IF(V229="A",MAX(1,IF(X229&lt;&gt;"",X229,IFERROR(VLOOKUP(V229,Assumptions!$A$8:$F$12,3,FALSE),3))+IF(Y229&lt;&gt;"",Y229,IFERROR(VLOOKUP(V229,Assumptions!$A$8:$F$12,4,FALSE),8))/2-MAX(0,IF(AS229="",0,YEAR(TODAY())-AS229)-IFERROR(VLOOKUP(V229,Assumptions!$A$8:$F$12,5,FALSE),1.5))),IFERROR(VLOOKUP(V229,Assumptions!$A$8:$F$12,5,FALSE),2.5)+IF(X229&lt;&gt;"",X229,IFERROR(VLOOKUP(V229,Assumptions!$A$8:$F$12,3,FALSE),3))+IF(Y229&lt;&gt;"",Y229,IFERROR(VLOOKUP(V229,Assumptions!$A$8:$F$12,4,FALSE),8))/2)</f>
        <v/>
      </c>
      <c r="AB229" s="24">
        <f>U229*Z229/(1+Assumptions!$B$3)^AA229</f>
        <v/>
      </c>
      <c r="AC229" s="27">
        <f>IF(U229=0,"",ROUND(AB229/U229*100,1))</f>
        <v/>
      </c>
      <c r="AD229" s="29">
        <f>AB229*Assumptions!$B$4</f>
        <v/>
      </c>
      <c r="AE229" s="27">
        <f>IF(U229=0,"",ROUND(AD229/U229*100,1))</f>
        <v/>
      </c>
      <c r="AF229" s="29">
        <f>AB229-AD229</f>
        <v/>
      </c>
      <c r="AG229" s="27">
        <f>IF(U229=0,"",ROUND((AB229-AD229)/U229*100,1))</f>
        <v/>
      </c>
      <c r="AH229" s="36" t="inlineStr">
        <is>
          <t>CHECK — source is not a statutory creditor list</t>
        </is>
      </c>
      <c r="AI229" s="31" t="inlineStr">
        <is>
          <t>https://credibilita.com.br/wp-content/uploads/2025/09/Relacao-Credores-29.04.2026.pdf</t>
        </is>
      </c>
      <c r="AJ229" s="30" t="inlineStr">
        <is>
          <t>p1 r21</t>
        </is>
      </c>
      <c r="AK229" s="30" t="inlineStr">
        <is>
          <t>p1: R$ 513.802,19</t>
        </is>
      </c>
      <c r="AL229" s="30" t="inlineStr">
        <is>
          <t>Quorum list — NOT an art. 7/51 list</t>
        </is>
      </c>
      <c r="AM229" s="30" t="inlineStr"/>
      <c r="AN229" s="30" t="inlineStr">
        <is>
          <t>NONE FOUND</t>
        </is>
      </c>
      <c r="AO229" s="32" t="inlineStr">
        <is>
          <t>5057720-48.2025.8.24.0023</t>
        </is>
      </c>
      <c r="AP229" s="32" t="inlineStr">
        <is>
          <t>TJSC</t>
        </is>
      </c>
      <c r="AQ229" s="32" t="inlineStr"/>
      <c r="AR229" s="32" t="inlineStr">
        <is>
          <t>not in DataJud</t>
        </is>
      </c>
      <c r="AS229" s="32" t="n">
        <v>2025</v>
      </c>
      <c r="AT229" s="32" t="inlineStr">
        <is>
          <t>live case, no plan document yet; case no. from the portal record, not printed on the list</t>
        </is>
      </c>
      <c r="AU229" s="32" t="inlineStr"/>
      <c r="AV229" s="32" t="inlineStr">
        <is>
          <t>portal page title / URL — not printed on the list</t>
        </is>
      </c>
      <c r="AW229" s="32" t="inlineStr"/>
      <c r="AX229" s="32" t="inlineStr">
        <is>
          <t>BLUMENAU</t>
        </is>
      </c>
      <c r="AY229" s="32" t="inlineStr">
        <is>
          <t>SC</t>
        </is>
      </c>
      <c r="AZ229" s="32" t="inlineStr">
        <is>
          <t>Atividades de cobranças e informações cadastrais</t>
        </is>
      </c>
      <c r="BA229" s="32" t="inlineStr">
        <is>
          <t>MICRO EMPRESA</t>
        </is>
      </c>
      <c r="BB229" s="33" t="n">
        <v>5000</v>
      </c>
      <c r="BC229" s="32" t="inlineStr">
        <is>
          <t>SMALL</t>
        </is>
      </c>
      <c r="BD229" s="32" t="inlineStr">
        <is>
          <t>39362161</t>
        </is>
      </c>
      <c r="BE229" s="32" t="n">
        <v>1</v>
      </c>
      <c r="BF229" s="32" t="inlineStr">
        <is>
          <t>list prints no totals case no. corrected by reader</t>
        </is>
      </c>
    </row>
    <row r="230">
      <c r="A230" s="17" t="inlineStr">
        <is>
          <t>CONDOMINIO DO ASPEN PARK SHOPPING CENTER II</t>
        </is>
      </c>
      <c r="B230" s="18" t="n">
        <v>511325.79</v>
      </c>
      <c r="C230" s="19" t="inlineStr">
        <is>
          <t>GRUPO MARINGÁ PARK</t>
        </is>
      </c>
      <c r="D230" s="20" t="inlineStr">
        <is>
          <t>NEW</t>
        </is>
      </c>
      <c r="E230" s="21" t="inlineStr"/>
      <c r="F230" s="20" t="inlineStr"/>
      <c r="G230" s="21" t="inlineStr"/>
      <c r="H230" s="20" t="inlineStr"/>
      <c r="I230" s="22" t="inlineStr">
        <is>
          <t>Leandro Denardi</t>
        </is>
      </c>
      <c r="J230" s="22" t="inlineStr">
        <is>
          <t>Superintendent</t>
        </is>
      </c>
      <c r="K230" s="22" t="inlineStr">
        <is>
          <t>(44) 3366-2037</t>
        </is>
      </c>
      <c r="L230" s="22" t="inlineStr">
        <is>
          <t>(44) 9963-5729</t>
        </is>
      </c>
      <c r="M230" s="22" t="inlineStr"/>
      <c r="N230" s="22" t="inlineStr">
        <is>
          <t>leandro@maringapark.com.br</t>
        </is>
      </c>
      <c r="O230" s="22" t="inlineStr">
        <is>
          <t>extrapolated</t>
        </is>
      </c>
      <c r="P230" s="22" t="inlineStr">
        <is>
          <t>Fabio Bueno</t>
        </is>
      </c>
      <c r="Q230" s="22" t="inlineStr">
        <is>
          <t>Human Resources Manager</t>
        </is>
      </c>
      <c r="R230" s="22" t="inlineStr"/>
      <c r="S230" s="22" t="inlineStr">
        <is>
          <t>rh@maringapark.com.br</t>
        </is>
      </c>
      <c r="T230" s="22" t="inlineStr">
        <is>
          <t>BACKUP: backup, has_email, phone Yes</t>
        </is>
      </c>
      <c r="U230" s="24" t="n">
        <v>511325.79</v>
      </c>
      <c r="V230" s="25" t="inlineStr">
        <is>
          <t>B</t>
        </is>
      </c>
      <c r="W230" s="26" t="inlineStr"/>
      <c r="X230" s="27" t="inlineStr"/>
      <c r="Y230" s="27" t="inlineStr"/>
      <c r="Z230" s="26">
        <f>IF(W230&lt;&gt;"",W230,IFERROR(VLOOKUP(V230,Assumptions!$A$8:$F$12,2,FALSE),0))</f>
        <v/>
      </c>
      <c r="AA230" s="28">
        <f>IF(V230="A",MAX(1,IF(X230&lt;&gt;"",X230,IFERROR(VLOOKUP(V230,Assumptions!$A$8:$F$12,3,FALSE),3))+IF(Y230&lt;&gt;"",Y230,IFERROR(VLOOKUP(V230,Assumptions!$A$8:$F$12,4,FALSE),8))/2-MAX(0,IF(AS230="",0,YEAR(TODAY())-AS230)-IFERROR(VLOOKUP(V230,Assumptions!$A$8:$F$12,5,FALSE),1.5))),IFERROR(VLOOKUP(V230,Assumptions!$A$8:$F$12,5,FALSE),2.5)+IF(X230&lt;&gt;"",X230,IFERROR(VLOOKUP(V230,Assumptions!$A$8:$F$12,3,FALSE),3))+IF(Y230&lt;&gt;"",Y230,IFERROR(VLOOKUP(V230,Assumptions!$A$8:$F$12,4,FALSE),8))/2)</f>
        <v/>
      </c>
      <c r="AB230" s="24">
        <f>U230*Z230/(1+Assumptions!$B$3)^AA230</f>
        <v/>
      </c>
      <c r="AC230" s="27">
        <f>IF(U230=0,"",ROUND(AB230/U230*100,1))</f>
        <v/>
      </c>
      <c r="AD230" s="29">
        <f>AB230*Assumptions!$B$4</f>
        <v/>
      </c>
      <c r="AE230" s="27">
        <f>IF(U230=0,"",ROUND(AD230/U230*100,1))</f>
        <v/>
      </c>
      <c r="AF230" s="29">
        <f>AB230-AD230</f>
        <v/>
      </c>
      <c r="AG230" s="27">
        <f>IF(U230=0,"",ROUND((AB230-AD230)/U230*100,1))</f>
        <v/>
      </c>
      <c r="AH230" s="30" t="inlineStr">
        <is>
          <t>OK — totals reconciled</t>
        </is>
      </c>
      <c r="AI230" s="31" t="inlineStr">
        <is>
          <t>https://marquesadmjudicial.com.br/sgc/download.php?file=files/processo_documento/processo_documento19270817122025_1_.pdf&amp;nome=Relação Nominal de Credores AJ</t>
        </is>
      </c>
      <c r="AJ230" s="30" t="inlineStr">
        <is>
          <t>p4 r6</t>
        </is>
      </c>
      <c r="AK230" s="30" t="inlineStr">
        <is>
          <t>p4: R$ 511.325,79</t>
        </is>
      </c>
      <c r="AL230" s="30" t="inlineStr">
        <is>
          <t>AJ list (art. 7 §2)</t>
        </is>
      </c>
      <c r="AM230" s="30" t="inlineStr">
        <is>
          <t>2025-12-17</t>
        </is>
      </c>
      <c r="AN230" s="30" t="inlineStr">
        <is>
          <t>NONE FOUND</t>
        </is>
      </c>
      <c r="AO230" s="32" t="inlineStr">
        <is>
          <t>0016033-22.2025.8.16.0017</t>
        </is>
      </c>
      <c r="AP230" s="32" t="inlineStr">
        <is>
          <t>TJPR</t>
        </is>
      </c>
      <c r="AQ230" s="32" t="inlineStr">
        <is>
          <t>Recuperação judicial</t>
        </is>
      </c>
      <c r="AR230" s="32" t="inlineStr">
        <is>
          <t>DataJud: no closure/falência movement</t>
        </is>
      </c>
      <c r="AS230" s="32" t="n">
        <v>2025</v>
      </c>
      <c r="AT230" s="32" t="inlineStr">
        <is>
          <t>live case, no plan document yet</t>
        </is>
      </c>
      <c r="AU230" s="32" t="inlineStr">
        <is>
          <t>00.073.485/0001-43</t>
        </is>
      </c>
      <c r="AV230" s="32" t="inlineStr">
        <is>
          <t>printed on the list (read twice)</t>
        </is>
      </c>
      <c r="AW230" s="32" t="inlineStr"/>
      <c r="AX230" s="32" t="inlineStr">
        <is>
          <t>MARINGA</t>
        </is>
      </c>
      <c r="AY230" s="32" t="inlineStr">
        <is>
          <t>PR</t>
        </is>
      </c>
      <c r="AZ230" s="32" t="inlineStr">
        <is>
          <t>Condomínios prediais</t>
        </is>
      </c>
      <c r="BA230" s="32" t="inlineStr">
        <is>
          <t>não ME/EPP</t>
        </is>
      </c>
      <c r="BB230" s="33" t="inlineStr"/>
      <c r="BC230" s="32" t="inlineStr">
        <is>
          <t>UNKNOWN</t>
        </is>
      </c>
      <c r="BD230" s="32" t="inlineStr">
        <is>
          <t>03070981</t>
        </is>
      </c>
      <c r="BE230" s="32" t="n">
        <v>1</v>
      </c>
      <c r="BF230" s="32" t="inlineStr"/>
    </row>
    <row r="231">
      <c r="A231" s="17" t="inlineStr">
        <is>
          <t>CEREAL OURO SEMENTES LTDA</t>
        </is>
      </c>
      <c r="B231" s="18" t="n">
        <v>509576.07</v>
      </c>
      <c r="C231" s="19" t="inlineStr">
        <is>
          <t>GRUPO FERRARI (ALEX, ALEXANDRE , ANDRIELLE FERRARI MANTELLI, ARCIR LUIS, ERICA SANTOS ASSIS LIMA, FERNANDO MANTELLI, IDELSI, TALITA LEITE SILVA, AGROPECUARIA FERRARI LTDA E FERRARI ARMAZENS GERAIS)</t>
        </is>
      </c>
      <c r="D231" s="20" t="inlineStr">
        <is>
          <t>NEW</t>
        </is>
      </c>
      <c r="E231" s="21" t="inlineStr"/>
      <c r="F231" s="20" t="inlineStr"/>
      <c r="G231" s="21" t="inlineStr"/>
      <c r="H231" s="20" t="inlineStr"/>
      <c r="I231" s="22" t="inlineStr">
        <is>
          <t>Gustavo Barbosa</t>
        </is>
      </c>
      <c r="J231" s="22" t="inlineStr">
        <is>
          <t>Gerente Produção Sementes Soja</t>
        </is>
      </c>
      <c r="K231" s="22" t="inlineStr">
        <is>
          <t>(64) 2101-6200</t>
        </is>
      </c>
      <c r="L231" s="22" t="inlineStr">
        <is>
          <t>(64) 3612-2009</t>
        </is>
      </c>
      <c r="M231" s="22" t="inlineStr"/>
      <c r="N231" s="22" t="inlineStr">
        <is>
          <t>gustavo.barbosa@cerealouro.com.br</t>
        </is>
      </c>
      <c r="O231" s="22" t="inlineStr">
        <is>
          <t>verified</t>
        </is>
      </c>
      <c r="P231" s="22" t="inlineStr">
        <is>
          <t>ANDRE LIBERATO SCHWENING</t>
        </is>
      </c>
      <c r="Q231" s="22" t="inlineStr">
        <is>
          <t>Sócio-Administrador (RFB partner)</t>
        </is>
      </c>
      <c r="R231" s="22" t="inlineStr"/>
      <c r="S231" s="22" t="inlineStr"/>
      <c r="T231" s="22" t="inlineStr">
        <is>
          <t>DM: weak, has_email, phone Yes</t>
        </is>
      </c>
      <c r="U231" s="24" t="n">
        <v>509576.07</v>
      </c>
      <c r="V231" s="25" t="inlineStr">
        <is>
          <t>B</t>
        </is>
      </c>
      <c r="W231" s="26" t="inlineStr"/>
      <c r="X231" s="27" t="inlineStr"/>
      <c r="Y231" s="27" t="inlineStr"/>
      <c r="Z231" s="26">
        <f>IF(W231&lt;&gt;"",W231,IFERROR(VLOOKUP(V231,Assumptions!$A$8:$F$12,2,FALSE),0))</f>
        <v/>
      </c>
      <c r="AA231" s="28">
        <f>IF(V231="A",MAX(1,IF(X231&lt;&gt;"",X231,IFERROR(VLOOKUP(V231,Assumptions!$A$8:$F$12,3,FALSE),3))+IF(Y231&lt;&gt;"",Y231,IFERROR(VLOOKUP(V231,Assumptions!$A$8:$F$12,4,FALSE),8))/2-MAX(0,IF(AS231="",0,YEAR(TODAY())-AS231)-IFERROR(VLOOKUP(V231,Assumptions!$A$8:$F$12,5,FALSE),1.5))),IFERROR(VLOOKUP(V231,Assumptions!$A$8:$F$12,5,FALSE),2.5)+IF(X231&lt;&gt;"",X231,IFERROR(VLOOKUP(V231,Assumptions!$A$8:$F$12,3,FALSE),3))+IF(Y231&lt;&gt;"",Y231,IFERROR(VLOOKUP(V231,Assumptions!$A$8:$F$12,4,FALSE),8))/2)</f>
        <v/>
      </c>
      <c r="AB231" s="24">
        <f>U231*Z231/(1+Assumptions!$B$3)^AA231</f>
        <v/>
      </c>
      <c r="AC231" s="27">
        <f>IF(U231=0,"",ROUND(AB231/U231*100,1))</f>
        <v/>
      </c>
      <c r="AD231" s="29">
        <f>AB231*Assumptions!$B$4</f>
        <v/>
      </c>
      <c r="AE231" s="27">
        <f>IF(U231=0,"",ROUND(AD231/U231*100,1))</f>
        <v/>
      </c>
      <c r="AF231" s="29">
        <f>AB231-AD231</f>
        <v/>
      </c>
      <c r="AG231" s="27">
        <f>IF(U231=0,"",ROUND((AB231-AD231)/U231*100,1))</f>
        <v/>
      </c>
      <c r="AH231" s="34" t="inlineStr">
        <is>
          <t>NO TOTALS — list prints none; check page</t>
        </is>
      </c>
      <c r="AI231" s="31" t="inlineStr">
        <is>
          <t>https://scalzilliaj.com.br/sgc/download.php?file=files/processo_documento/processo_documento11421222052026_1_.pdf&amp;nome=08. Lista de credores do edital do art. 52, §1º da LREF</t>
        </is>
      </c>
      <c r="AJ231" s="30" t="inlineStr">
        <is>
          <t>p4 r6</t>
        </is>
      </c>
      <c r="AK231" s="30" t="inlineStr">
        <is>
          <t>p4: R$ 509.576,07</t>
        </is>
      </c>
      <c r="AL231" s="30" t="inlineStr">
        <is>
          <t>Unclassified list</t>
        </is>
      </c>
      <c r="AM231" s="30" t="inlineStr"/>
      <c r="AN231" s="30" t="inlineStr">
        <is>
          <t>NONE FOUND</t>
        </is>
      </c>
      <c r="AO231" s="32" t="inlineStr">
        <is>
          <t>5011369-81.2026.8.09.0093</t>
        </is>
      </c>
      <c r="AP231" s="32" t="inlineStr">
        <is>
          <t>TJGO</t>
        </is>
      </c>
      <c r="AQ231" s="32" t="inlineStr"/>
      <c r="AR231" s="32" t="inlineStr">
        <is>
          <t>DataJud: no closure/falência movement</t>
        </is>
      </c>
      <c r="AS231" s="32" t="n">
        <v>2026</v>
      </c>
      <c r="AT231" s="32" t="inlineStr">
        <is>
          <t>live case, no plan document yet; case no. from the portal record, not printed on the list</t>
        </is>
      </c>
      <c r="AU231" s="32" t="inlineStr"/>
      <c r="AV231" s="32" t="inlineStr">
        <is>
          <t>portal page title / URL — not printed on the list</t>
        </is>
      </c>
      <c r="AW231" s="32" t="inlineStr"/>
      <c r="AX231" s="32" t="inlineStr">
        <is>
          <t>RIO VERDE</t>
        </is>
      </c>
      <c r="AY231" s="32" t="inlineStr">
        <is>
          <t>GO</t>
        </is>
      </c>
      <c r="AZ231" s="32" t="inlineStr">
        <is>
          <t>Produção de sementes certificadas, exceto de forrageiras para pasto</t>
        </is>
      </c>
      <c r="BA231" s="32" t="inlineStr">
        <is>
          <t>não ME/EPP</t>
        </is>
      </c>
      <c r="BB231" s="33" t="n">
        <v>4172683</v>
      </c>
      <c r="BC231" s="32" t="inlineStr">
        <is>
          <t>MID-MARKET</t>
        </is>
      </c>
      <c r="BD231" s="32" t="inlineStr">
        <is>
          <t>04712017</t>
        </is>
      </c>
      <c r="BE231" s="32" t="n">
        <v>1</v>
      </c>
      <c r="BF231" s="32" t="inlineStr">
        <is>
          <t>list prints no totals</t>
        </is>
      </c>
    </row>
    <row r="232">
      <c r="A232" s="17" t="inlineStr">
        <is>
          <t>MEDAL METALURGICA DALLA LANA LTDA</t>
        </is>
      </c>
      <c r="B232" s="18" t="n">
        <v>508918.34</v>
      </c>
      <c r="C232" s="19" t="inlineStr">
        <is>
          <t>Grupo Rech</t>
        </is>
      </c>
      <c r="D232" s="20" t="inlineStr">
        <is>
          <t>NEW</t>
        </is>
      </c>
      <c r="E232" s="21" t="inlineStr"/>
      <c r="F232" s="20" t="inlineStr"/>
      <c r="G232" s="21" t="inlineStr"/>
      <c r="H232" s="20" t="inlineStr"/>
      <c r="I232" s="22" t="inlineStr">
        <is>
          <t>ADEMIR LUIZ DALLA LANA</t>
        </is>
      </c>
      <c r="J232" s="23" t="inlineStr">
        <is>
          <t>Administrador (RFB partner)</t>
        </is>
      </c>
      <c r="K232" s="22" t="inlineStr">
        <is>
          <t>(49) 3523-4400</t>
        </is>
      </c>
      <c r="L232" s="22" t="inlineStr"/>
      <c r="M232" s="22" t="inlineStr"/>
      <c r="N232" s="22" t="inlineStr"/>
      <c r="O232" s="22" t="inlineStr"/>
      <c r="P232" s="22" t="inlineStr">
        <is>
          <t>ALTAIR DALLA LANA</t>
        </is>
      </c>
      <c r="Q232" s="22" t="inlineStr">
        <is>
          <t>Administrador (RFB partner)</t>
        </is>
      </c>
      <c r="R232" s="22" t="inlineStr"/>
      <c r="S232" s="22" t="inlineStr"/>
      <c r="T232" s="22" t="inlineStr">
        <is>
          <t>DM = registered partner (RFB QSA); no Apollo match</t>
        </is>
      </c>
      <c r="U232" s="24" t="n">
        <v>508918.34</v>
      </c>
      <c r="V232" s="25" t="inlineStr">
        <is>
          <t>B</t>
        </is>
      </c>
      <c r="W232" s="26" t="inlineStr"/>
      <c r="X232" s="27" t="inlineStr"/>
      <c r="Y232" s="27" t="inlineStr"/>
      <c r="Z232" s="26">
        <f>IF(W232&lt;&gt;"",W232,IFERROR(VLOOKUP(V232,Assumptions!$A$8:$F$12,2,FALSE),0))</f>
        <v/>
      </c>
      <c r="AA232" s="28">
        <f>IF(V232="A",MAX(1,IF(X232&lt;&gt;"",X232,IFERROR(VLOOKUP(V232,Assumptions!$A$8:$F$12,3,FALSE),3))+IF(Y232&lt;&gt;"",Y232,IFERROR(VLOOKUP(V232,Assumptions!$A$8:$F$12,4,FALSE),8))/2-MAX(0,IF(AS232="",0,YEAR(TODAY())-AS232)-IFERROR(VLOOKUP(V232,Assumptions!$A$8:$F$12,5,FALSE),1.5))),IFERROR(VLOOKUP(V232,Assumptions!$A$8:$F$12,5,FALSE),2.5)+IF(X232&lt;&gt;"",X232,IFERROR(VLOOKUP(V232,Assumptions!$A$8:$F$12,3,FALSE),3))+IF(Y232&lt;&gt;"",Y232,IFERROR(VLOOKUP(V232,Assumptions!$A$8:$F$12,4,FALSE),8))/2)</f>
        <v/>
      </c>
      <c r="AB232" s="24">
        <f>U232*Z232/(1+Assumptions!$B$3)^AA232</f>
        <v/>
      </c>
      <c r="AC232" s="27">
        <f>IF(U232=0,"",ROUND(AB232/U232*100,1))</f>
        <v/>
      </c>
      <c r="AD232" s="29">
        <f>AB232*Assumptions!$B$4</f>
        <v/>
      </c>
      <c r="AE232" s="27">
        <f>IF(U232=0,"",ROUND(AD232/U232*100,1))</f>
        <v/>
      </c>
      <c r="AF232" s="29">
        <f>AB232-AD232</f>
        <v/>
      </c>
      <c r="AG232" s="27">
        <f>IF(U232=0,"",ROUND((AB232-AD232)/U232*100,1))</f>
        <v/>
      </c>
      <c r="AH232" s="36" t="inlineStr">
        <is>
          <t>CHECK — source is not a statutory creditor list</t>
        </is>
      </c>
      <c r="AI232" s="31" t="inlineStr">
        <is>
          <t>https://credibilita.com.br/wp-content/uploads/2025/09/Relacao-Credores-29.04.2026.pdf</t>
        </is>
      </c>
      <c r="AJ232" s="30" t="inlineStr">
        <is>
          <t>p2 r4</t>
        </is>
      </c>
      <c r="AK232" s="30" t="inlineStr">
        <is>
          <t>p2: R$ 508.918,34</t>
        </is>
      </c>
      <c r="AL232" s="30" t="inlineStr">
        <is>
          <t>Quorum list — NOT an art. 7/51 list</t>
        </is>
      </c>
      <c r="AM232" s="30" t="inlineStr"/>
      <c r="AN232" s="30" t="inlineStr">
        <is>
          <t>NONE FOUND</t>
        </is>
      </c>
      <c r="AO232" s="32" t="inlineStr">
        <is>
          <t>5057720-48.2025.8.24.0023</t>
        </is>
      </c>
      <c r="AP232" s="32" t="inlineStr">
        <is>
          <t>TJSC</t>
        </is>
      </c>
      <c r="AQ232" s="32" t="inlineStr"/>
      <c r="AR232" s="32" t="inlineStr">
        <is>
          <t>not in DataJud</t>
        </is>
      </c>
      <c r="AS232" s="32" t="n">
        <v>2025</v>
      </c>
      <c r="AT232" s="32" t="inlineStr">
        <is>
          <t>live case, no plan document yet; case no. from the portal record, not printed on the list</t>
        </is>
      </c>
      <c r="AU232" s="32" t="inlineStr"/>
      <c r="AV232" s="32" t="inlineStr">
        <is>
          <t>portal page title / URL — not printed on the list</t>
        </is>
      </c>
      <c r="AW232" s="32" t="inlineStr"/>
      <c r="AX232" s="32" t="inlineStr">
        <is>
          <t>LUZERNA</t>
        </is>
      </c>
      <c r="AY232" s="32" t="inlineStr">
        <is>
          <t>SC</t>
        </is>
      </c>
      <c r="AZ232" s="32" t="inlineStr">
        <is>
          <t>Fabricação de equipamentos hidráulicos e pneumáticos, peças e acessórios, exceto válvulas</t>
        </is>
      </c>
      <c r="BA232" s="32" t="inlineStr">
        <is>
          <t>não ME/EPP</t>
        </is>
      </c>
      <c r="BB232" s="33" t="n">
        <v>5495931</v>
      </c>
      <c r="BC232" s="32" t="inlineStr">
        <is>
          <t>MID-MARKET</t>
        </is>
      </c>
      <c r="BD232" s="32" t="inlineStr">
        <is>
          <t>83610790</t>
        </is>
      </c>
      <c r="BE232" s="32" t="n">
        <v>1</v>
      </c>
      <c r="BF232" s="32" t="inlineStr">
        <is>
          <t>list prints no totals case no. corrected by reader</t>
        </is>
      </c>
    </row>
    <row r="233">
      <c r="A233" s="17" t="inlineStr">
        <is>
          <t>ALTA - AMERICA LATINA TECNOLOGIA AGRICOLA LTDA.</t>
        </is>
      </c>
      <c r="B233" s="18" t="n">
        <v>505000</v>
      </c>
      <c r="C233" s="19" t="inlineStr">
        <is>
          <t>ENIVALDO BARELLA TIRONI, MATEUS MANHANI BARELLA, LEILA REGINA MANHANI BARELLA, B&amp;F AGRO COMÉRCIO DE GRÃOS E INSUMOS AGRÍCOLAS LTDA, BARELLA &amp; FILHOS LTDA E M M LOCAÇÃO EIRELI</t>
        </is>
      </c>
      <c r="D233" s="20" t="inlineStr">
        <is>
          <t>NEW</t>
        </is>
      </c>
      <c r="E233" s="21" t="inlineStr"/>
      <c r="F233" s="20" t="inlineStr"/>
      <c r="G233" s="21" t="inlineStr"/>
      <c r="H233" s="20" t="inlineStr"/>
      <c r="I233" s="22" t="inlineStr">
        <is>
          <t>CESAR DE MEDEIROS NEVES</t>
        </is>
      </c>
      <c r="J233" s="23" t="inlineStr">
        <is>
          <t>Administrador (RFB partner)</t>
        </is>
      </c>
      <c r="K233" s="22" t="inlineStr">
        <is>
          <t>(41) 3071-9000</t>
        </is>
      </c>
      <c r="L233" s="22" t="inlineStr"/>
      <c r="M233" s="22" t="inlineStr"/>
      <c r="N233" s="22" t="inlineStr"/>
      <c r="O233" s="22" t="inlineStr"/>
      <c r="P233" s="22" t="inlineStr">
        <is>
          <t>DANIEL D ANDREA</t>
        </is>
      </c>
      <c r="Q233" s="22" t="inlineStr">
        <is>
          <t>Administrador (RFB partner)</t>
        </is>
      </c>
      <c r="R233" s="22" t="inlineStr"/>
      <c r="S233" s="22" t="inlineStr"/>
      <c r="T233" s="22" t="inlineStr">
        <is>
          <t>DM = registered partner (RFB QSA); no Apollo match</t>
        </is>
      </c>
      <c r="U233" s="24" t="n">
        <v>505000</v>
      </c>
      <c r="V233" s="25" t="inlineStr">
        <is>
          <t>B</t>
        </is>
      </c>
      <c r="W233" s="26" t="inlineStr"/>
      <c r="X233" s="27" t="inlineStr"/>
      <c r="Y233" s="27" t="inlineStr"/>
      <c r="Z233" s="26">
        <f>IF(W233&lt;&gt;"",W233,IFERROR(VLOOKUP(V233,Assumptions!$A$8:$F$12,2,FALSE),0))</f>
        <v/>
      </c>
      <c r="AA233" s="28">
        <f>IF(V233="A",MAX(1,IF(X233&lt;&gt;"",X233,IFERROR(VLOOKUP(V233,Assumptions!$A$8:$F$12,3,FALSE),3))+IF(Y233&lt;&gt;"",Y233,IFERROR(VLOOKUP(V233,Assumptions!$A$8:$F$12,4,FALSE),8))/2-MAX(0,IF(AS233="",0,YEAR(TODAY())-AS233)-IFERROR(VLOOKUP(V233,Assumptions!$A$8:$F$12,5,FALSE),1.5))),IFERROR(VLOOKUP(V233,Assumptions!$A$8:$F$12,5,FALSE),2.5)+IF(X233&lt;&gt;"",X233,IFERROR(VLOOKUP(V233,Assumptions!$A$8:$F$12,3,FALSE),3))+IF(Y233&lt;&gt;"",Y233,IFERROR(VLOOKUP(V233,Assumptions!$A$8:$F$12,4,FALSE),8))/2)</f>
        <v/>
      </c>
      <c r="AB233" s="24">
        <f>U233*Z233/(1+Assumptions!$B$3)^AA233</f>
        <v/>
      </c>
      <c r="AC233" s="27">
        <f>IF(U233=0,"",ROUND(AB233/U233*100,1))</f>
        <v/>
      </c>
      <c r="AD233" s="29">
        <f>AB233*Assumptions!$B$4</f>
        <v/>
      </c>
      <c r="AE233" s="27">
        <f>IF(U233=0,"",ROUND(AD233/U233*100,1))</f>
        <v/>
      </c>
      <c r="AF233" s="29">
        <f>AB233-AD233</f>
        <v/>
      </c>
      <c r="AG233" s="27">
        <f>IF(U233=0,"",ROUND((AB233-AD233)/U233*100,1))</f>
        <v/>
      </c>
      <c r="AH233" s="34" t="inlineStr">
        <is>
          <t>NO TOTALS — list prints none; check page</t>
        </is>
      </c>
      <c r="AI233" s="31" t="inlineStr">
        <is>
          <t>https://scalzilliaj.com.br/sgc/download.php?file=files/processo_documento/processo_documento15542620022025_1_.pdf&amp;nome=11 - Relação de credores - art. 7º, §2º, da LREF</t>
        </is>
      </c>
      <c r="AJ233" s="30" t="inlineStr">
        <is>
          <t>p1 r16</t>
        </is>
      </c>
      <c r="AK233" s="30" t="inlineStr">
        <is>
          <t>p1: R$ 505.000,00</t>
        </is>
      </c>
      <c r="AL233" s="30" t="inlineStr">
        <is>
          <t>AJ list (art. 7 §2)</t>
        </is>
      </c>
      <c r="AM233" s="30" t="inlineStr">
        <is>
          <t>2025-02-19</t>
        </is>
      </c>
      <c r="AN233" s="30" t="inlineStr">
        <is>
          <t>NONE FOUND</t>
        </is>
      </c>
      <c r="AO233" s="32" t="inlineStr">
        <is>
          <t>0028131-73.2024.8.16.0017</t>
        </is>
      </c>
      <c r="AP233" s="32" t="inlineStr">
        <is>
          <t>TJPR</t>
        </is>
      </c>
      <c r="AQ233" s="32" t="inlineStr">
        <is>
          <t>Recuperação judicial</t>
        </is>
      </c>
      <c r="AR233" s="32" t="inlineStr">
        <is>
          <t>DataJud: no closure/falência movement</t>
        </is>
      </c>
      <c r="AS233" s="32" t="n">
        <v>2024</v>
      </c>
      <c r="AT233" s="32" t="inlineStr">
        <is>
          <t>live case, no plan document yet</t>
        </is>
      </c>
      <c r="AU233" s="32" t="inlineStr"/>
      <c r="AV233" s="32" t="inlineStr">
        <is>
          <t>printed on the list (read twice)</t>
        </is>
      </c>
      <c r="AW233" s="32" t="inlineStr"/>
      <c r="AX233" s="32" t="inlineStr">
        <is>
          <t>CURITIBA</t>
        </is>
      </c>
      <c r="AY233" s="32" t="inlineStr">
        <is>
          <t>PR</t>
        </is>
      </c>
      <c r="AZ233" s="32" t="inlineStr">
        <is>
          <t>Comércio atacadista de defensivos agrícolas, adubos, fertilizantes e corretivos do solo</t>
        </is>
      </c>
      <c r="BA233" s="32" t="inlineStr">
        <is>
          <t>não ME/EPP</t>
        </is>
      </c>
      <c r="BB233" s="33" t="n">
        <v>120140760</v>
      </c>
      <c r="BC233" s="32" t="inlineStr">
        <is>
          <t>MID-MARKET</t>
        </is>
      </c>
      <c r="BD233" s="32" t="inlineStr">
        <is>
          <t>10409614</t>
        </is>
      </c>
      <c r="BE233" s="32" t="n">
        <v>1</v>
      </c>
      <c r="BF233" s="32" t="inlineStr">
        <is>
          <t>list prints no totals</t>
        </is>
      </c>
    </row>
    <row r="234">
      <c r="A234" s="17" t="inlineStr">
        <is>
          <t>WORLD BLUE INDUSTRIA E COMERCIO DE CONFECCOES LTDA</t>
        </is>
      </c>
      <c r="B234" s="18" t="n">
        <v>504580.74</v>
      </c>
      <c r="C234" s="19" t="inlineStr">
        <is>
          <t>GRUPO CATTAN</t>
        </is>
      </c>
      <c r="D234" s="20" t="inlineStr">
        <is>
          <t>NEW</t>
        </is>
      </c>
      <c r="E234" s="21" t="inlineStr"/>
      <c r="F234" s="20" t="inlineStr"/>
      <c r="G234" s="21" t="inlineStr"/>
      <c r="H234" s="20" t="inlineStr"/>
      <c r="I234" s="22" t="inlineStr">
        <is>
          <t>DALVAN MIZAEL JUDAH DE OLIVEIRA</t>
        </is>
      </c>
      <c r="J234" s="23" t="inlineStr">
        <is>
          <t>Sócio-Administrador (RFB partner)</t>
        </is>
      </c>
      <c r="K234" s="22" t="inlineStr"/>
      <c r="L234" s="22" t="inlineStr"/>
      <c r="M234" s="22" t="inlineStr"/>
      <c r="N234" s="22" t="inlineStr"/>
      <c r="O234" s="22" t="inlineStr"/>
      <c r="P234" s="22" t="inlineStr">
        <is>
          <t>RAUL DE OLIVEIRA</t>
        </is>
      </c>
      <c r="Q234" s="22" t="inlineStr">
        <is>
          <t>Sócio-Administrador (RFB partner)</t>
        </is>
      </c>
      <c r="R234" s="22" t="inlineStr"/>
      <c r="S234" s="22" t="inlineStr"/>
      <c r="T234" s="22" t="inlineStr">
        <is>
          <t>DM = registered partner (RFB QSA); no Apollo match; NO ROUTE IN: no phone or email on file</t>
        </is>
      </c>
      <c r="U234" s="24" t="n">
        <v>504580.74</v>
      </c>
      <c r="V234" s="25" t="inlineStr">
        <is>
          <t>B</t>
        </is>
      </c>
      <c r="W234" s="26" t="inlineStr"/>
      <c r="X234" s="27" t="inlineStr"/>
      <c r="Y234" s="27" t="inlineStr"/>
      <c r="Z234" s="26">
        <f>IF(W234&lt;&gt;"",W234,IFERROR(VLOOKUP(V234,Assumptions!$A$8:$F$12,2,FALSE),0))</f>
        <v/>
      </c>
      <c r="AA234" s="28">
        <f>IF(V234="A",MAX(1,IF(X234&lt;&gt;"",X234,IFERROR(VLOOKUP(V234,Assumptions!$A$8:$F$12,3,FALSE),3))+IF(Y234&lt;&gt;"",Y234,IFERROR(VLOOKUP(V234,Assumptions!$A$8:$F$12,4,FALSE),8))/2-MAX(0,IF(AS234="",0,YEAR(TODAY())-AS234)-IFERROR(VLOOKUP(V234,Assumptions!$A$8:$F$12,5,FALSE),1.5))),IFERROR(VLOOKUP(V234,Assumptions!$A$8:$F$12,5,FALSE),2.5)+IF(X234&lt;&gt;"",X234,IFERROR(VLOOKUP(V234,Assumptions!$A$8:$F$12,3,FALSE),3))+IF(Y234&lt;&gt;"",Y234,IFERROR(VLOOKUP(V234,Assumptions!$A$8:$F$12,4,FALSE),8))/2)</f>
        <v/>
      </c>
      <c r="AB234" s="24">
        <f>U234*Z234/(1+Assumptions!$B$3)^AA234</f>
        <v/>
      </c>
      <c r="AC234" s="27">
        <f>IF(U234=0,"",ROUND(AB234/U234*100,1))</f>
        <v/>
      </c>
      <c r="AD234" s="29">
        <f>AB234*Assumptions!$B$4</f>
        <v/>
      </c>
      <c r="AE234" s="27">
        <f>IF(U234=0,"",ROUND(AD234/U234*100,1))</f>
        <v/>
      </c>
      <c r="AF234" s="29">
        <f>AB234-AD234</f>
        <v/>
      </c>
      <c r="AG234" s="27">
        <f>IF(U234=0,"",ROUND((AB234-AD234)/U234*100,1))</f>
        <v/>
      </c>
      <c r="AH234" s="35" t="inlineStr">
        <is>
          <t>PARTIAL — class III reconciled, other classes not</t>
        </is>
      </c>
      <c r="AI234" s="31" t="inlineStr">
        <is>
          <t>https://lrflideres.com.br/wp-content/plugins/download-attachments/includes/download.php?id=4023</t>
        </is>
      </c>
      <c r="AJ234" s="30" t="inlineStr">
        <is>
          <t>p4 r97; p7 r129; p9 r95</t>
        </is>
      </c>
      <c r="AK234" s="30" t="inlineStr">
        <is>
          <t>p4: R$ 175.901,47; p7: R$ 252.684,23; p9: R$ 75.995,04</t>
        </is>
      </c>
      <c r="AL234" s="30" t="inlineStr">
        <is>
          <t>Debtor list (art. 51)</t>
        </is>
      </c>
      <c r="AM234" s="30" t="inlineStr"/>
      <c r="AN234" s="30" t="inlineStr">
        <is>
          <t>NONE FOUND</t>
        </is>
      </c>
      <c r="AO234" s="32" t="inlineStr">
        <is>
          <t>0002484-82.2022.8.17.2001</t>
        </is>
      </c>
      <c r="AP234" s="32" t="inlineStr">
        <is>
          <t>TJPE</t>
        </is>
      </c>
      <c r="AQ234" s="32" t="inlineStr">
        <is>
          <t>Recuperação judicial</t>
        </is>
      </c>
      <c r="AR234" s="32" t="inlineStr">
        <is>
          <t>DataJud: no closure/falência movement</t>
        </is>
      </c>
      <c r="AS234" s="32" t="n">
        <v>2022</v>
      </c>
      <c r="AT234" s="32" t="inlineStr">
        <is>
          <t>live case, no plan document yet</t>
        </is>
      </c>
      <c r="AU234" s="32" t="inlineStr"/>
      <c r="AV234" s="32" t="inlineStr">
        <is>
          <t>printed on the list (read twice)</t>
        </is>
      </c>
      <c r="AW234" s="32" t="inlineStr"/>
      <c r="AX234" s="32" t="inlineStr">
        <is>
          <t>BRUSQUE</t>
        </is>
      </c>
      <c r="AY234" s="32" t="inlineStr">
        <is>
          <t>SC</t>
        </is>
      </c>
      <c r="AZ234" s="32" t="inlineStr">
        <is>
          <t>Confecção de peças de vestuário, exceto roupas íntimas e as confeccionadas sob medida</t>
        </is>
      </c>
      <c r="BA234" s="32" t="inlineStr">
        <is>
          <t>não ME/EPP</t>
        </is>
      </c>
      <c r="BB234" s="33" t="n">
        <v>400000</v>
      </c>
      <c r="BC234" s="32" t="inlineStr">
        <is>
          <t>MID-MARKET</t>
        </is>
      </c>
      <c r="BD234" s="32" t="inlineStr">
        <is>
          <t>01358125</t>
        </is>
      </c>
      <c r="BE234" s="32" t="n">
        <v>3</v>
      </c>
      <c r="BF234" s="32" t="inlineStr">
        <is>
          <t>class III reconciled (doc partial) no route in</t>
        </is>
      </c>
    </row>
    <row r="235">
      <c r="A235" s="17" t="inlineStr">
        <is>
          <t>PHARLAB INDUSTRIA FARMACEUTICA S.A</t>
        </is>
      </c>
      <c r="B235" s="18" t="n">
        <v>501630.38</v>
      </c>
      <c r="C235" s="19" t="inlineStr">
        <is>
          <t>GRUPO DP4</t>
        </is>
      </c>
      <c r="D235" s="20" t="inlineStr">
        <is>
          <t>NEW</t>
        </is>
      </c>
      <c r="E235" s="21" t="inlineStr"/>
      <c r="F235" s="20" t="inlineStr"/>
      <c r="G235" s="21" t="inlineStr"/>
      <c r="H235" s="20" t="inlineStr"/>
      <c r="I235" s="22" t="inlineStr">
        <is>
          <t>Fernando Hauck</t>
        </is>
      </c>
      <c r="J235" s="22" t="inlineStr">
        <is>
          <t>CFO</t>
        </is>
      </c>
      <c r="K235" s="22" t="inlineStr">
        <is>
          <t>(37) 3261-9090</t>
        </is>
      </c>
      <c r="L235" s="22" t="inlineStr"/>
      <c r="M235" s="22" t="inlineStr"/>
      <c r="N235" s="22" t="inlineStr">
        <is>
          <t>fernando.hauck@pharlab.com.br</t>
        </is>
      </c>
      <c r="O235" s="22" t="inlineStr">
        <is>
          <t>verified</t>
        </is>
      </c>
      <c r="P235" s="22" t="inlineStr">
        <is>
          <t>Suelen Santos</t>
        </is>
      </c>
      <c r="Q235" s="22" t="inlineStr">
        <is>
          <t>Controller Analyst</t>
        </is>
      </c>
      <c r="R235" s="22" t="inlineStr"/>
      <c r="S235" s="22" t="inlineStr">
        <is>
          <t>suelen.santos@pharlab.com.br</t>
        </is>
      </c>
      <c r="T235" s="22" t="inlineStr">
        <is>
          <t>DM: has_email, phone Yes; BACKUP: backup, has_email, phone Yes</t>
        </is>
      </c>
      <c r="U235" s="24" t="n">
        <v>501630.38</v>
      </c>
      <c r="V235" s="25" t="inlineStr">
        <is>
          <t>B</t>
        </is>
      </c>
      <c r="W235" s="26" t="inlineStr"/>
      <c r="X235" s="27" t="inlineStr"/>
      <c r="Y235" s="27" t="inlineStr"/>
      <c r="Z235" s="26">
        <f>IF(W235&lt;&gt;"",W235,IFERROR(VLOOKUP(V235,Assumptions!$A$8:$F$12,2,FALSE),0))</f>
        <v/>
      </c>
      <c r="AA235" s="28">
        <f>IF(V235="A",MAX(1,IF(X235&lt;&gt;"",X235,IFERROR(VLOOKUP(V235,Assumptions!$A$8:$F$12,3,FALSE),3))+IF(Y235&lt;&gt;"",Y235,IFERROR(VLOOKUP(V235,Assumptions!$A$8:$F$12,4,FALSE),8))/2-MAX(0,IF(AS235="",0,YEAR(TODAY())-AS235)-IFERROR(VLOOKUP(V235,Assumptions!$A$8:$F$12,5,FALSE),1.5))),IFERROR(VLOOKUP(V235,Assumptions!$A$8:$F$12,5,FALSE),2.5)+IF(X235&lt;&gt;"",X235,IFERROR(VLOOKUP(V235,Assumptions!$A$8:$F$12,3,FALSE),3))+IF(Y235&lt;&gt;"",Y235,IFERROR(VLOOKUP(V235,Assumptions!$A$8:$F$12,4,FALSE),8))/2)</f>
        <v/>
      </c>
      <c r="AB235" s="24">
        <f>U235*Z235/(1+Assumptions!$B$3)^AA235</f>
        <v/>
      </c>
      <c r="AC235" s="27">
        <f>IF(U235=0,"",ROUND(AB235/U235*100,1))</f>
        <v/>
      </c>
      <c r="AD235" s="29">
        <f>AB235*Assumptions!$B$4</f>
        <v/>
      </c>
      <c r="AE235" s="27">
        <f>IF(U235=0,"",ROUND(AD235/U235*100,1))</f>
        <v/>
      </c>
      <c r="AF235" s="29">
        <f>AB235-AD235</f>
        <v/>
      </c>
      <c r="AG235" s="27">
        <f>IF(U235=0,"",ROUND((AB235-AD235)/U235*100,1))</f>
        <v/>
      </c>
      <c r="AH235" s="35" t="inlineStr">
        <is>
          <t>PARTIAL — class III reconciled, other classes not</t>
        </is>
      </c>
      <c r="AI235" s="31" t="inlineStr">
        <is>
          <t>https://marquesadmjudicial.com.br/sgc/download.php?file=files/processo_documento/processo_documento15293208032024_1_.pdf&amp;nome=Relação Nominal de Credores da AJ-Sintética</t>
        </is>
      </c>
      <c r="AJ235" s="30" t="inlineStr">
        <is>
          <t>p30 r4</t>
        </is>
      </c>
      <c r="AK235" s="30" t="inlineStr">
        <is>
          <t>p30: R$ 501.630,38</t>
        </is>
      </c>
      <c r="AL235" s="30" t="inlineStr">
        <is>
          <t>AJ list (art. 7 §2)</t>
        </is>
      </c>
      <c r="AM235" s="30" t="inlineStr">
        <is>
          <t>2023-03-02</t>
        </is>
      </c>
      <c r="AN235" s="30" t="inlineStr">
        <is>
          <t>NONE FOUND</t>
        </is>
      </c>
      <c r="AO235" s="32" t="inlineStr">
        <is>
          <t>0005010-98.2023.8.16.0001</t>
        </is>
      </c>
      <c r="AP235" s="32" t="inlineStr">
        <is>
          <t>TJPR</t>
        </is>
      </c>
      <c r="AQ235" s="32" t="inlineStr">
        <is>
          <t>Recuperação judicial</t>
        </is>
      </c>
      <c r="AR235" s="32" t="inlineStr">
        <is>
          <t>DataJud: no closure/falência movement</t>
        </is>
      </c>
      <c r="AS235" s="32" t="n">
        <v>2023</v>
      </c>
      <c r="AT235" s="32" t="inlineStr">
        <is>
          <t>live case, no plan document yet</t>
        </is>
      </c>
      <c r="AU235" s="32" t="inlineStr"/>
      <c r="AV235" s="32" t="inlineStr">
        <is>
          <t>printed on the list (read twice)</t>
        </is>
      </c>
      <c r="AW235" s="32" t="inlineStr"/>
      <c r="AX235" s="32" t="inlineStr">
        <is>
          <t>LAGOA DA PRATA</t>
        </is>
      </c>
      <c r="AY235" s="32" t="inlineStr">
        <is>
          <t>MG</t>
        </is>
      </c>
      <c r="AZ235" s="32" t="inlineStr">
        <is>
          <t>Fabricação de medicamentos alopáticos para uso humano</t>
        </is>
      </c>
      <c r="BA235" s="32" t="inlineStr">
        <is>
          <t>não ME/EPP</t>
        </is>
      </c>
      <c r="BB235" s="33" t="n">
        <v>528359330</v>
      </c>
      <c r="BC235" s="32" t="inlineStr">
        <is>
          <t>LARGE CORP</t>
        </is>
      </c>
      <c r="BD235" s="32" t="inlineStr">
        <is>
          <t>02501297</t>
        </is>
      </c>
      <c r="BE235" s="32" t="n">
        <v>1</v>
      </c>
      <c r="BF235" s="32" t="inlineStr">
        <is>
          <t>class III reconciled (doc partial)</t>
        </is>
      </c>
    </row>
    <row r="236">
      <c r="A236" s="17" t="inlineStr">
        <is>
          <t>ANJUU IMPORTACAO, EXPORTACAO E COMERCIO DE CONFECCOES LTDA</t>
        </is>
      </c>
      <c r="B236" s="18" t="n">
        <v>500703.44</v>
      </c>
      <c r="C236" s="19" t="inlineStr">
        <is>
          <t>GRUPO CATTAN</t>
        </is>
      </c>
      <c r="D236" s="20" t="inlineStr">
        <is>
          <t>NEW</t>
        </is>
      </c>
      <c r="E236" s="21" t="inlineStr"/>
      <c r="F236" s="20" t="inlineStr"/>
      <c r="G236" s="21" t="inlineStr"/>
      <c r="H236" s="20" t="inlineStr"/>
      <c r="I236" s="22" t="inlineStr">
        <is>
          <t>CAROLINA NAHRA CICCONE</t>
        </is>
      </c>
      <c r="J236" s="23" t="inlineStr">
        <is>
          <t>Sócio-Administrador (RFB partner)</t>
        </is>
      </c>
      <c r="K236" s="22" t="inlineStr">
        <is>
          <t>(11) 2081-6261</t>
        </is>
      </c>
      <c r="L236" s="22" t="inlineStr"/>
      <c r="M236" s="22" t="inlineStr"/>
      <c r="N236" s="22" t="inlineStr"/>
      <c r="O236" s="22" t="inlineStr"/>
      <c r="P236" s="22" t="inlineStr">
        <is>
          <t>Claudio Ohashi</t>
        </is>
      </c>
      <c r="Q236" s="22" t="inlineStr">
        <is>
          <t>Consultant</t>
        </is>
      </c>
      <c r="R236" s="22" t="inlineStr"/>
      <c r="S236" s="22" t="inlineStr">
        <is>
          <t>claudio@anjuu.com.br</t>
        </is>
      </c>
      <c r="T236" s="22" t="inlineStr">
        <is>
          <t>DM = registered partner (RFB QSA); Apollo pick demoted to backup (non-finance role); BACKUP: weak, has_email</t>
        </is>
      </c>
      <c r="U236" s="24" t="n">
        <v>500703.44</v>
      </c>
      <c r="V236" s="25" t="inlineStr">
        <is>
          <t>B</t>
        </is>
      </c>
      <c r="W236" s="26" t="inlineStr"/>
      <c r="X236" s="27" t="inlineStr"/>
      <c r="Y236" s="27" t="inlineStr"/>
      <c r="Z236" s="26">
        <f>IF(W236&lt;&gt;"",W236,IFERROR(VLOOKUP(V236,Assumptions!$A$8:$F$12,2,FALSE),0))</f>
        <v/>
      </c>
      <c r="AA236" s="28">
        <f>IF(V236="A",MAX(1,IF(X236&lt;&gt;"",X236,IFERROR(VLOOKUP(V236,Assumptions!$A$8:$F$12,3,FALSE),3))+IF(Y236&lt;&gt;"",Y236,IFERROR(VLOOKUP(V236,Assumptions!$A$8:$F$12,4,FALSE),8))/2-MAX(0,IF(AS236="",0,YEAR(TODAY())-AS236)-IFERROR(VLOOKUP(V236,Assumptions!$A$8:$F$12,5,FALSE),1.5))),IFERROR(VLOOKUP(V236,Assumptions!$A$8:$F$12,5,FALSE),2.5)+IF(X236&lt;&gt;"",X236,IFERROR(VLOOKUP(V236,Assumptions!$A$8:$F$12,3,FALSE),3))+IF(Y236&lt;&gt;"",Y236,IFERROR(VLOOKUP(V236,Assumptions!$A$8:$F$12,4,FALSE),8))/2)</f>
        <v/>
      </c>
      <c r="AB236" s="24">
        <f>U236*Z236/(1+Assumptions!$B$3)^AA236</f>
        <v/>
      </c>
      <c r="AC236" s="27">
        <f>IF(U236=0,"",ROUND(AB236/U236*100,1))</f>
        <v/>
      </c>
      <c r="AD236" s="29">
        <f>AB236*Assumptions!$B$4</f>
        <v/>
      </c>
      <c r="AE236" s="27">
        <f>IF(U236=0,"",ROUND(AD236/U236*100,1))</f>
        <v/>
      </c>
      <c r="AF236" s="29">
        <f>AB236-AD236</f>
        <v/>
      </c>
      <c r="AG236" s="27">
        <f>IF(U236=0,"",ROUND((AB236-AD236)/U236*100,1))</f>
        <v/>
      </c>
      <c r="AH236" s="35" t="inlineStr">
        <is>
          <t>PARTIAL — class III reconciled, other classes not</t>
        </is>
      </c>
      <c r="AI236" s="31" t="inlineStr">
        <is>
          <t>https://lrflideres.com.br/wp-content/plugins/download-attachments/includes/download.php?id=4023</t>
        </is>
      </c>
      <c r="AJ236" s="30" t="inlineStr">
        <is>
          <t>p7 r74; p9 r57</t>
        </is>
      </c>
      <c r="AK236" s="30" t="inlineStr">
        <is>
          <t>p7: R$ 435.826,90; p9: R$ 64.876,54</t>
        </is>
      </c>
      <c r="AL236" s="30" t="inlineStr">
        <is>
          <t>Debtor list (art. 51)</t>
        </is>
      </c>
      <c r="AM236" s="30" t="inlineStr"/>
      <c r="AN236" s="30" t="inlineStr">
        <is>
          <t>NONE FOUND</t>
        </is>
      </c>
      <c r="AO236" s="32" t="inlineStr">
        <is>
          <t>0002484-82.2022.8.17.2001</t>
        </is>
      </c>
      <c r="AP236" s="32" t="inlineStr">
        <is>
          <t>TJPE</t>
        </is>
      </c>
      <c r="AQ236" s="32" t="inlineStr">
        <is>
          <t>Recuperação judicial</t>
        </is>
      </c>
      <c r="AR236" s="32" t="inlineStr">
        <is>
          <t>DataJud: no closure/falência movement</t>
        </is>
      </c>
      <c r="AS236" s="32" t="n">
        <v>2022</v>
      </c>
      <c r="AT236" s="32" t="inlineStr">
        <is>
          <t>live case, no plan document yet</t>
        </is>
      </c>
      <c r="AU236" s="32" t="inlineStr"/>
      <c r="AV236" s="32" t="inlineStr">
        <is>
          <t>printed on the list (read twice)</t>
        </is>
      </c>
      <c r="AW236" s="32" t="inlineStr"/>
      <c r="AX236" s="32" t="inlineStr">
        <is>
          <t>ARAQUARI</t>
        </is>
      </c>
      <c r="AY236" s="32" t="inlineStr">
        <is>
          <t>SC</t>
        </is>
      </c>
      <c r="AZ236" s="32" t="inlineStr">
        <is>
          <t>Comércio atacadista de artigos do vestuário e acessórios, exceto profissionais e de segurança</t>
        </is>
      </c>
      <c r="BA236" s="32" t="inlineStr">
        <is>
          <t>não ME/EPP</t>
        </is>
      </c>
      <c r="BB236" s="33" t="n">
        <v>500000</v>
      </c>
      <c r="BC236" s="32" t="inlineStr">
        <is>
          <t>MID-MARKET</t>
        </is>
      </c>
      <c r="BD236" s="32" t="inlineStr">
        <is>
          <t>12554601</t>
        </is>
      </c>
      <c r="BE236" s="32" t="n">
        <v>2</v>
      </c>
      <c r="BF236" s="32" t="inlineStr">
        <is>
          <t>class III reconciled (doc partial)</t>
        </is>
      </c>
    </row>
    <row r="237">
      <c r="A237" s="17" t="inlineStr">
        <is>
          <t>PREMIERSEG INDUSTRIA E COMERCIO LTDA</t>
        </is>
      </c>
      <c r="B237" s="18" t="n">
        <v>500000</v>
      </c>
      <c r="C237" s="19" t="inlineStr">
        <is>
          <t>GRUPO EGESA (Egesa Engenharia S.A. + 9 group companies; see group members)</t>
        </is>
      </c>
      <c r="D237" s="20" t="inlineStr">
        <is>
          <t>NEW</t>
        </is>
      </c>
      <c r="E237" s="21" t="inlineStr"/>
      <c r="F237" s="20" t="inlineStr"/>
      <c r="G237" s="21" t="inlineStr"/>
      <c r="H237" s="20" t="inlineStr"/>
      <c r="I237" s="22" t="inlineStr">
        <is>
          <t>MARILIA FOCANTE DE CARVALHO</t>
        </is>
      </c>
      <c r="J237" s="23" t="inlineStr">
        <is>
          <t>Sócio-Administrador (RFB partner)</t>
        </is>
      </c>
      <c r="K237" s="22" t="inlineStr">
        <is>
          <t>(11) 2937-2732</t>
        </is>
      </c>
      <c r="L237" s="22" t="inlineStr">
        <is>
          <t>(11) 2937-2759</t>
        </is>
      </c>
      <c r="M237" s="22" t="inlineStr"/>
      <c r="N237" s="22" t="inlineStr"/>
      <c r="O237" s="22" t="inlineStr"/>
      <c r="P237" s="22" t="inlineStr">
        <is>
          <t>VITOR SBEGHEN FILIZZOLA</t>
        </is>
      </c>
      <c r="Q237" s="22" t="inlineStr">
        <is>
          <t>Sócio-Administrador (RFB partner)</t>
        </is>
      </c>
      <c r="R237" s="22" t="inlineStr"/>
      <c r="S237" s="22" t="inlineStr"/>
      <c r="T237" s="22" t="inlineStr">
        <is>
          <t>DM = registered partner (RFB QSA); no Apollo match</t>
        </is>
      </c>
      <c r="U237" s="24" t="n">
        <v>500000</v>
      </c>
      <c r="V237" s="25" t="inlineStr">
        <is>
          <t>B</t>
        </is>
      </c>
      <c r="W237" s="26" t="inlineStr"/>
      <c r="X237" s="27" t="inlineStr"/>
      <c r="Y237" s="27" t="inlineStr"/>
      <c r="Z237" s="26">
        <f>IF(W237&lt;&gt;"",W237,IFERROR(VLOOKUP(V237,Assumptions!$A$8:$F$12,2,FALSE),0))</f>
        <v/>
      </c>
      <c r="AA237" s="28">
        <f>IF(V237="A",MAX(1,IF(X237&lt;&gt;"",X237,IFERROR(VLOOKUP(V237,Assumptions!$A$8:$F$12,3,FALSE),3))+IF(Y237&lt;&gt;"",Y237,IFERROR(VLOOKUP(V237,Assumptions!$A$8:$F$12,4,FALSE),8))/2-MAX(0,IF(AS237="",0,YEAR(TODAY())-AS237)-IFERROR(VLOOKUP(V237,Assumptions!$A$8:$F$12,5,FALSE),1.5))),IFERROR(VLOOKUP(V237,Assumptions!$A$8:$F$12,5,FALSE),2.5)+IF(X237&lt;&gt;"",X237,IFERROR(VLOOKUP(V237,Assumptions!$A$8:$F$12,3,FALSE),3))+IF(Y237&lt;&gt;"",Y237,IFERROR(VLOOKUP(V237,Assumptions!$A$8:$F$12,4,FALSE),8))/2)</f>
        <v/>
      </c>
      <c r="AB237" s="24">
        <f>U237*Z237/(1+Assumptions!$B$3)^AA237</f>
        <v/>
      </c>
      <c r="AC237" s="27">
        <f>IF(U237=0,"",ROUND(AB237/U237*100,1))</f>
        <v/>
      </c>
      <c r="AD237" s="29">
        <f>AB237*Assumptions!$B$4</f>
        <v/>
      </c>
      <c r="AE237" s="27">
        <f>IF(U237=0,"",ROUND(AD237/U237*100,1))</f>
        <v/>
      </c>
      <c r="AF237" s="29">
        <f>AB237-AD237</f>
        <v/>
      </c>
      <c r="AG237" s="27">
        <f>IF(U237=0,"",ROUND((AB237-AD237)/U237*100,1))</f>
        <v/>
      </c>
      <c r="AH237" s="30" t="inlineStr">
        <is>
          <t>OK — totals reconciled</t>
        </is>
      </c>
      <c r="AI237" s="31" t="inlineStr">
        <is>
          <t>https://scalzilliaj.com.br/sgc/download.php?file=files/processo_documento/processo_documento09514021082025_1_.pdf&amp;nome=04 - Relação de credores das Recuperandas</t>
        </is>
      </c>
      <c r="AJ237" s="30" t="inlineStr">
        <is>
          <t>p65 r1</t>
        </is>
      </c>
      <c r="AK237" s="30" t="inlineStr">
        <is>
          <t>p65: R$ 500.000,00</t>
        </is>
      </c>
      <c r="AL237" s="30" t="inlineStr">
        <is>
          <t>Debtor list (art. 51)</t>
        </is>
      </c>
      <c r="AM237" s="30" t="inlineStr"/>
      <c r="AN237" s="30" t="inlineStr">
        <is>
          <t>NONE FOUND</t>
        </is>
      </c>
      <c r="AO237" s="32" t="inlineStr">
        <is>
          <t>5088952-81.2025.8.13.0024</t>
        </is>
      </c>
      <c r="AP237" s="32" t="inlineStr">
        <is>
          <t>TJMG</t>
        </is>
      </c>
      <c r="AQ237" s="32" t="inlineStr"/>
      <c r="AR237" s="32" t="inlineStr">
        <is>
          <t>DataJud: no closure/falência movement</t>
        </is>
      </c>
      <c r="AS237" s="32" t="n">
        <v>2025</v>
      </c>
      <c r="AT237" s="32" t="inlineStr">
        <is>
          <t>live case, no plan document yet; case no. from the portal record, not printed on the list</t>
        </is>
      </c>
      <c r="AU237" s="32" t="inlineStr"/>
      <c r="AV237" s="32" t="inlineStr">
        <is>
          <t>portal page title / URL — not printed on the list</t>
        </is>
      </c>
      <c r="AW237" s="32" t="inlineStr"/>
      <c r="AX237" s="32" t="inlineStr">
        <is>
          <t>GUARULHOS</t>
        </is>
      </c>
      <c r="AY237" s="32" t="inlineStr">
        <is>
          <t>SP</t>
        </is>
      </c>
      <c r="AZ237" s="32" t="inlineStr">
        <is>
          <t>Fabricação de equipamentos e acessórios para segurança pessoal e profissional</t>
        </is>
      </c>
      <c r="BA237" s="32" t="inlineStr">
        <is>
          <t>EMPRESA DE PEQUENO PORTE</t>
        </is>
      </c>
      <c r="BB237" s="33" t="n">
        <v>200000</v>
      </c>
      <c r="BC237" s="32" t="inlineStr">
        <is>
          <t>SMALL</t>
        </is>
      </c>
      <c r="BD237" s="32" t="inlineStr">
        <is>
          <t>13241077</t>
        </is>
      </c>
      <c r="BE237" s="32" t="n">
        <v>1</v>
      </c>
      <c r="BF237" s="32" t="inlineStr">
        <is>
          <t>public by name case no. corrected by reader case no. from portal record</t>
        </is>
      </c>
    </row>
    <row r="238">
      <c r="A238" s="17" t="inlineStr">
        <is>
          <t>GUAIANAS - TRANSPORTES, MINERACAO, TRATAMENTO E REFINO DE OLEO LTDA</t>
        </is>
      </c>
      <c r="B238" s="18" t="n">
        <v>498000</v>
      </c>
      <c r="C238" s="19" t="inlineStr">
        <is>
          <t>Grupo Agromeal</t>
        </is>
      </c>
      <c r="D238" s="20" t="inlineStr">
        <is>
          <t>NEW</t>
        </is>
      </c>
      <c r="E238" s="21" t="inlineStr"/>
      <c r="F238" s="20" t="inlineStr"/>
      <c r="G238" s="21" t="inlineStr"/>
      <c r="H238" s="20" t="inlineStr"/>
      <c r="I238" s="22" t="inlineStr">
        <is>
          <t>MARIA LUCIA BRAMBILLA SAMBINI</t>
        </is>
      </c>
      <c r="J238" s="23" t="inlineStr">
        <is>
          <t>Administrador (RFB partner)</t>
        </is>
      </c>
      <c r="K238" s="22" t="inlineStr">
        <is>
          <t>(44) 3252-2688</t>
        </is>
      </c>
      <c r="L238" s="22" t="inlineStr"/>
      <c r="M238" s="22" t="inlineStr"/>
      <c r="N238" s="22" t="inlineStr"/>
      <c r="O238" s="22" t="inlineStr"/>
      <c r="P238" s="22" t="inlineStr"/>
      <c r="Q238" s="22" t="inlineStr"/>
      <c r="R238" s="22" t="inlineStr"/>
      <c r="S238" s="22" t="inlineStr"/>
      <c r="T238" s="22" t="inlineStr">
        <is>
          <t>DM = registered partner (RFB QSA); no Apollo match</t>
        </is>
      </c>
      <c r="U238" s="24" t="n">
        <v>498000</v>
      </c>
      <c r="V238" s="25" t="inlineStr">
        <is>
          <t>B</t>
        </is>
      </c>
      <c r="W238" s="26" t="inlineStr"/>
      <c r="X238" s="27" t="inlineStr"/>
      <c r="Y238" s="27" t="inlineStr"/>
      <c r="Z238" s="26">
        <f>IF(W238&lt;&gt;"",W238,IFERROR(VLOOKUP(V238,Assumptions!$A$8:$F$12,2,FALSE),0))</f>
        <v/>
      </c>
      <c r="AA238" s="28">
        <f>IF(V238="A",MAX(1,IF(X238&lt;&gt;"",X238,IFERROR(VLOOKUP(V238,Assumptions!$A$8:$F$12,3,FALSE),3))+IF(Y238&lt;&gt;"",Y238,IFERROR(VLOOKUP(V238,Assumptions!$A$8:$F$12,4,FALSE),8))/2-MAX(0,IF(AS238="",0,YEAR(TODAY())-AS238)-IFERROR(VLOOKUP(V238,Assumptions!$A$8:$F$12,5,FALSE),1.5))),IFERROR(VLOOKUP(V238,Assumptions!$A$8:$F$12,5,FALSE),2.5)+IF(X238&lt;&gt;"",X238,IFERROR(VLOOKUP(V238,Assumptions!$A$8:$F$12,3,FALSE),3))+IF(Y238&lt;&gt;"",Y238,IFERROR(VLOOKUP(V238,Assumptions!$A$8:$F$12,4,FALSE),8))/2)</f>
        <v/>
      </c>
      <c r="AB238" s="24">
        <f>U238*Z238/(1+Assumptions!$B$3)^AA238</f>
        <v/>
      </c>
      <c r="AC238" s="27">
        <f>IF(U238=0,"",ROUND(AB238/U238*100,1))</f>
        <v/>
      </c>
      <c r="AD238" s="29">
        <f>AB238*Assumptions!$B$4</f>
        <v/>
      </c>
      <c r="AE238" s="27">
        <f>IF(U238=0,"",ROUND(AD238/U238*100,1))</f>
        <v/>
      </c>
      <c r="AF238" s="29">
        <f>AB238-AD238</f>
        <v/>
      </c>
      <c r="AG238" s="27">
        <f>IF(U238=0,"",ROUND((AB238-AD238)/U238*100,1))</f>
        <v/>
      </c>
      <c r="AH238" s="35" t="inlineStr">
        <is>
          <t>PARTIAL — class III reconciled, other classes not</t>
        </is>
      </c>
      <c r="AI238" s="31" t="inlineStr">
        <is>
          <t>https://marquesadmjudicial.com.br/sgc/download.php?file=files/processo_documento/processo_documento17040729052024_1_.pdf&amp;nome=Relação Nominal de Credores AJ-Sintética</t>
        </is>
      </c>
      <c r="AJ238" s="30" t="inlineStr">
        <is>
          <t>p11 r15</t>
        </is>
      </c>
      <c r="AK238" s="30" t="inlineStr">
        <is>
          <t>p11: R$ 498.000,00</t>
        </is>
      </c>
      <c r="AL238" s="30" t="inlineStr">
        <is>
          <t>AJ list (art. 7 §2)</t>
        </is>
      </c>
      <c r="AM238" s="30" t="inlineStr">
        <is>
          <t>2024-05-27</t>
        </is>
      </c>
      <c r="AN238" s="30" t="inlineStr">
        <is>
          <t>NONE FOUND</t>
        </is>
      </c>
      <c r="AO238" s="32" t="inlineStr">
        <is>
          <t>0003971-03.2023.8.16.0119</t>
        </is>
      </c>
      <c r="AP238" s="32" t="inlineStr">
        <is>
          <t>TJPR</t>
        </is>
      </c>
      <c r="AQ238" s="32" t="inlineStr">
        <is>
          <t>Recuperação judicial</t>
        </is>
      </c>
      <c r="AR238" s="32" t="inlineStr">
        <is>
          <t>DataJud: no closure/falência movement</t>
        </is>
      </c>
      <c r="AS238" s="32" t="n">
        <v>2023</v>
      </c>
      <c r="AT238" s="32" t="inlineStr">
        <is>
          <t>live case, no plan document yet</t>
        </is>
      </c>
      <c r="AU238" s="32" t="inlineStr">
        <is>
          <t>11.624.776/0001-07</t>
        </is>
      </c>
      <c r="AV238" s="32" t="inlineStr">
        <is>
          <t>printed on the list (read twice)</t>
        </is>
      </c>
      <c r="AW238" s="32" t="inlineStr"/>
      <c r="AX238" s="32" t="inlineStr">
        <is>
          <t>NOVA ESPERANCA</t>
        </is>
      </c>
      <c r="AY238" s="32" t="inlineStr">
        <is>
          <t>PR</t>
        </is>
      </c>
      <c r="AZ238" s="32" t="inlineStr">
        <is>
          <t>Transporte rodoviário de carga, exceto produtos perigosos e mudanças, intermunicipal, interestadual e internacional</t>
        </is>
      </c>
      <c r="BA238" s="32" t="inlineStr">
        <is>
          <t>não ME/EPP</t>
        </is>
      </c>
      <c r="BB238" s="33" t="n">
        <v>67000</v>
      </c>
      <c r="BC238" s="32" t="inlineStr">
        <is>
          <t>MID-MARKET</t>
        </is>
      </c>
      <c r="BD238" s="32" t="inlineStr">
        <is>
          <t>00327501</t>
        </is>
      </c>
      <c r="BE238" s="32" t="n">
        <v>1</v>
      </c>
      <c r="BF238" s="32" t="inlineStr">
        <is>
          <t>class III reconciled (doc partial)</t>
        </is>
      </c>
    </row>
    <row r="239">
      <c r="A239" s="17" t="inlineStr">
        <is>
          <t>GREEN PLACE COMERCIO E DISTRIBUICAO LTDA</t>
        </is>
      </c>
      <c r="B239" s="18" t="n">
        <v>488225</v>
      </c>
      <c r="C239" s="19" t="inlineStr">
        <is>
          <t>GRUPO FERRARI (ALEX, ALEXANDRE , ANDRIELLE FERRARI MANTELLI, ARCIR LUIS, ERICA SANTOS ASSIS LIMA, FERNANDO MANTELLI, IDELSI, TALITA LEITE SILVA, AGROPECUARIA FERRARI LTDA E FERRARI ARMAZENS GERAIS)</t>
        </is>
      </c>
      <c r="D239" s="20" t="inlineStr">
        <is>
          <t>NEW</t>
        </is>
      </c>
      <c r="E239" s="21" t="inlineStr"/>
      <c r="F239" s="20" t="inlineStr"/>
      <c r="G239" s="21" t="inlineStr"/>
      <c r="H239" s="20" t="inlineStr"/>
      <c r="I239" s="22" t="inlineStr">
        <is>
          <t>MARCELO PERES</t>
        </is>
      </c>
      <c r="J239" s="23" t="inlineStr">
        <is>
          <t>Administrador (RFB partner)</t>
        </is>
      </c>
      <c r="K239" s="22" t="inlineStr">
        <is>
          <t>(11) 2372-2376</t>
        </is>
      </c>
      <c r="L239" s="22" t="inlineStr"/>
      <c r="M239" s="22" t="inlineStr"/>
      <c r="N239" s="22" t="inlineStr"/>
      <c r="O239" s="22" t="inlineStr"/>
      <c r="P239" s="22" t="inlineStr"/>
      <c r="Q239" s="22" t="inlineStr"/>
      <c r="R239" s="22" t="inlineStr"/>
      <c r="S239" s="22" t="inlineStr"/>
      <c r="T239" s="22" t="inlineStr">
        <is>
          <t>DM = registered partner (RFB QSA); no Apollo match</t>
        </is>
      </c>
      <c r="U239" s="24" t="n">
        <v>488225</v>
      </c>
      <c r="V239" s="25" t="inlineStr">
        <is>
          <t>B</t>
        </is>
      </c>
      <c r="W239" s="26" t="inlineStr"/>
      <c r="X239" s="27" t="inlineStr"/>
      <c r="Y239" s="27" t="inlineStr"/>
      <c r="Z239" s="26">
        <f>IF(W239&lt;&gt;"",W239,IFERROR(VLOOKUP(V239,Assumptions!$A$8:$F$12,2,FALSE),0))</f>
        <v/>
      </c>
      <c r="AA239" s="28">
        <f>IF(V239="A",MAX(1,IF(X239&lt;&gt;"",X239,IFERROR(VLOOKUP(V239,Assumptions!$A$8:$F$12,3,FALSE),3))+IF(Y239&lt;&gt;"",Y239,IFERROR(VLOOKUP(V239,Assumptions!$A$8:$F$12,4,FALSE),8))/2-MAX(0,IF(AS239="",0,YEAR(TODAY())-AS239)-IFERROR(VLOOKUP(V239,Assumptions!$A$8:$F$12,5,FALSE),1.5))),IFERROR(VLOOKUP(V239,Assumptions!$A$8:$F$12,5,FALSE),2.5)+IF(X239&lt;&gt;"",X239,IFERROR(VLOOKUP(V239,Assumptions!$A$8:$F$12,3,FALSE),3))+IF(Y239&lt;&gt;"",Y239,IFERROR(VLOOKUP(V239,Assumptions!$A$8:$F$12,4,FALSE),8))/2)</f>
        <v/>
      </c>
      <c r="AB239" s="24">
        <f>U239*Z239/(1+Assumptions!$B$3)^AA239</f>
        <v/>
      </c>
      <c r="AC239" s="27">
        <f>IF(U239=0,"",ROUND(AB239/U239*100,1))</f>
        <v/>
      </c>
      <c r="AD239" s="29">
        <f>AB239*Assumptions!$B$4</f>
        <v/>
      </c>
      <c r="AE239" s="27">
        <f>IF(U239=0,"",ROUND(AD239/U239*100,1))</f>
        <v/>
      </c>
      <c r="AF239" s="29">
        <f>AB239-AD239</f>
        <v/>
      </c>
      <c r="AG239" s="27">
        <f>IF(U239=0,"",ROUND((AB239-AD239)/U239*100,1))</f>
        <v/>
      </c>
      <c r="AH239" s="34" t="inlineStr">
        <is>
          <t>NO TOTALS — list prints none; check page</t>
        </is>
      </c>
      <c r="AI239" s="31" t="inlineStr">
        <is>
          <t>https://scalzilliaj.com.br/sgc/download.php?file=files/processo_documento/processo_documento11421222052026_1_.pdf&amp;nome=08. Lista de credores do edital do art. 52, §1º da LREF</t>
        </is>
      </c>
      <c r="AJ239" s="30" t="inlineStr">
        <is>
          <t>p4 r7</t>
        </is>
      </c>
      <c r="AK239" s="30" t="inlineStr">
        <is>
          <t>p4: R$ 488.225,00</t>
        </is>
      </c>
      <c r="AL239" s="30" t="inlineStr">
        <is>
          <t>Unclassified list</t>
        </is>
      </c>
      <c r="AM239" s="30" t="inlineStr"/>
      <c r="AN239" s="30" t="inlineStr">
        <is>
          <t>NONE FOUND</t>
        </is>
      </c>
      <c r="AO239" s="32" t="inlineStr">
        <is>
          <t>5011369-81.2026.8.09.0093</t>
        </is>
      </c>
      <c r="AP239" s="32" t="inlineStr">
        <is>
          <t>TJGO</t>
        </is>
      </c>
      <c r="AQ239" s="32" t="inlineStr"/>
      <c r="AR239" s="32" t="inlineStr">
        <is>
          <t>DataJud: no closure/falência movement</t>
        </is>
      </c>
      <c r="AS239" s="32" t="n">
        <v>2026</v>
      </c>
      <c r="AT239" s="32" t="inlineStr">
        <is>
          <t>live case, no plan document yet; case no. from the portal record, not printed on the list</t>
        </is>
      </c>
      <c r="AU239" s="32" t="inlineStr"/>
      <c r="AV239" s="32" t="inlineStr">
        <is>
          <t>portal page title / URL — not printed on the list</t>
        </is>
      </c>
      <c r="AW239" s="32" t="inlineStr"/>
      <c r="AX239" s="32" t="inlineStr">
        <is>
          <t>SAO PAULO</t>
        </is>
      </c>
      <c r="AY239" s="32" t="inlineStr">
        <is>
          <t>SP</t>
        </is>
      </c>
      <c r="AZ239" s="32" t="inlineStr">
        <is>
          <t>Comércio atacadista de defensivos agrícolas, adubos, fertilizantes e corretivos do solo</t>
        </is>
      </c>
      <c r="BA239" s="32" t="inlineStr">
        <is>
          <t>não ME/EPP</t>
        </is>
      </c>
      <c r="BB239" s="33" t="n">
        <v>500000</v>
      </c>
      <c r="BC239" s="32" t="inlineStr">
        <is>
          <t>MID-MARKET</t>
        </is>
      </c>
      <c r="BD239" s="32" t="inlineStr">
        <is>
          <t>26401815</t>
        </is>
      </c>
      <c r="BE239" s="32" t="n">
        <v>1</v>
      </c>
      <c r="BF239" s="32" t="inlineStr">
        <is>
          <t>list prints no totals</t>
        </is>
      </c>
    </row>
    <row r="240">
      <c r="A240" s="17" t="inlineStr">
        <is>
          <t>OLINDA INDUSTRIA E COMERCIO DE COLCHOES LTDA</t>
        </is>
      </c>
      <c r="B240" s="18" t="n">
        <v>1902217.38</v>
      </c>
      <c r="C240" s="19" t="inlineStr">
        <is>
          <t>CREDIMÓVEIS NOVOLAR LTDA.</t>
        </is>
      </c>
      <c r="D240" s="20" t="inlineStr">
        <is>
          <t>NEW</t>
        </is>
      </c>
      <c r="E240" s="21" t="inlineStr"/>
      <c r="F240" s="20" t="inlineStr"/>
      <c r="G240" s="21" t="inlineStr"/>
      <c r="H240" s="20" t="inlineStr"/>
      <c r="I240" s="22" t="inlineStr">
        <is>
          <t>ALEXANDRE MACEDO DIAS</t>
        </is>
      </c>
      <c r="J240" s="23" t="inlineStr">
        <is>
          <t>Administrador (RFB partner)</t>
        </is>
      </c>
      <c r="K240" s="22" t="inlineStr">
        <is>
          <t>(81) 2128-5000</t>
        </is>
      </c>
      <c r="L240" s="22" t="inlineStr"/>
      <c r="M240" s="22" t="inlineStr"/>
      <c r="N240" s="22" t="inlineStr"/>
      <c r="O240" s="22" t="inlineStr"/>
      <c r="P240" s="22" t="inlineStr">
        <is>
          <t>ERNESTO DIAS NETO</t>
        </is>
      </c>
      <c r="Q240" s="22" t="inlineStr">
        <is>
          <t>Administrador (RFB partner)</t>
        </is>
      </c>
      <c r="R240" s="22" t="inlineStr"/>
      <c r="S240" s="22" t="inlineStr"/>
      <c r="T240" s="22" t="inlineStr">
        <is>
          <t>DM = registered partner (RFB QSA); no Apollo match</t>
        </is>
      </c>
      <c r="U240" s="24" t="n">
        <v>1902217.38</v>
      </c>
      <c r="V240" s="39" t="inlineStr">
        <is>
          <t>C</t>
        </is>
      </c>
      <c r="W240" s="26" t="inlineStr"/>
      <c r="X240" s="27" t="inlineStr"/>
      <c r="Y240" s="27" t="inlineStr"/>
      <c r="Z240" s="26">
        <f>IF(W240&lt;&gt;"",W240,IFERROR(VLOOKUP(V240,Assumptions!$A$8:$F$12,2,FALSE),0))</f>
        <v/>
      </c>
      <c r="AA240" s="28">
        <f>IF(V240="A",MAX(1,IF(X240&lt;&gt;"",X240,IFERROR(VLOOKUP(V240,Assumptions!$A$8:$F$12,3,FALSE),3))+IF(Y240&lt;&gt;"",Y240,IFERROR(VLOOKUP(V240,Assumptions!$A$8:$F$12,4,FALSE),8))/2-MAX(0,IF(AS240="",0,YEAR(TODAY())-AS240)-IFERROR(VLOOKUP(V240,Assumptions!$A$8:$F$12,5,FALSE),1.5))),IFERROR(VLOOKUP(V240,Assumptions!$A$8:$F$12,5,FALSE),2.5)+IF(X240&lt;&gt;"",X240,IFERROR(VLOOKUP(V240,Assumptions!$A$8:$F$12,3,FALSE),3))+IF(Y240&lt;&gt;"",Y240,IFERROR(VLOOKUP(V240,Assumptions!$A$8:$F$12,4,FALSE),8))/2)</f>
        <v/>
      </c>
      <c r="AB240" s="24">
        <f>U240*Z240/(1+Assumptions!$B$3)^AA240</f>
        <v/>
      </c>
      <c r="AC240" s="27">
        <f>IF(U240=0,"",ROUND(AB240/U240*100,1))</f>
        <v/>
      </c>
      <c r="AD240" s="29">
        <f>AB240*Assumptions!$B$4</f>
        <v/>
      </c>
      <c r="AE240" s="27">
        <f>IF(U240=0,"",ROUND(AD240/U240*100,1))</f>
        <v/>
      </c>
      <c r="AF240" s="29">
        <f>AB240-AD240</f>
        <v/>
      </c>
      <c r="AG240" s="27">
        <f>IF(U240=0,"",ROUND((AB240-AD240)/U240*100,1))</f>
        <v/>
      </c>
      <c r="AH240" s="30" t="inlineStr">
        <is>
          <t>OK — totals reconciled</t>
        </is>
      </c>
      <c r="AI240" s="31" t="inlineStr">
        <is>
          <t>https://recuperacaojudicial.squarespace.com/s/RJ-Credimoveis-QGC-01082025.pdf</t>
        </is>
      </c>
      <c r="AJ240" s="30" t="inlineStr">
        <is>
          <t>p16 r36</t>
        </is>
      </c>
      <c r="AK240" s="30" t="inlineStr">
        <is>
          <t>p16: R$ 1.902.217,38</t>
        </is>
      </c>
      <c r="AL240" s="30" t="inlineStr">
        <is>
          <t>QGC (art. 18)</t>
        </is>
      </c>
      <c r="AM240" s="30" t="inlineStr">
        <is>
          <t>2026-01-28</t>
        </is>
      </c>
      <c r="AN240" s="30" t="inlineStr">
        <is>
          <t>NONE FOUND</t>
        </is>
      </c>
      <c r="AO240" s="32" t="inlineStr">
        <is>
          <t>0007565-40.2020.8.17.2370</t>
        </is>
      </c>
      <c r="AP240" s="32" t="inlineStr">
        <is>
          <t>TJPE</t>
        </is>
      </c>
      <c r="AQ240" s="32" t="inlineStr">
        <is>
          <t>Recuperação judicial</t>
        </is>
      </c>
      <c r="AR240" s="32" t="inlineStr">
        <is>
          <t>DataJud: no closure/falência movement</t>
        </is>
      </c>
      <c r="AS240" s="32" t="n">
        <v>2020</v>
      </c>
      <c r="AT240" s="32" t="inlineStr">
        <is>
          <t>6y since filing; plan not in our documents</t>
        </is>
      </c>
      <c r="AU240" s="32" t="inlineStr">
        <is>
          <t>09.930.165/0001-37</t>
        </is>
      </c>
      <c r="AV240" s="32" t="inlineStr">
        <is>
          <t>printed on the list (read twice)</t>
        </is>
      </c>
      <c r="AW240" s="32" t="inlineStr"/>
      <c r="AX240" s="32" t="inlineStr">
        <is>
          <t>OLINDA</t>
        </is>
      </c>
      <c r="AY240" s="32" t="inlineStr">
        <is>
          <t>PE</t>
        </is>
      </c>
      <c r="AZ240" s="32" t="inlineStr">
        <is>
          <t>Fabricação de colchões</t>
        </is>
      </c>
      <c r="BA240" s="32" t="inlineStr">
        <is>
          <t>não ME/EPP</t>
        </is>
      </c>
      <c r="BB240" s="33" t="n">
        <v>2400000</v>
      </c>
      <c r="BC240" s="32" t="inlineStr">
        <is>
          <t>MID-MARKET</t>
        </is>
      </c>
      <c r="BD240" s="32" t="inlineStr">
        <is>
          <t>02748323</t>
        </is>
      </c>
      <c r="BE240" s="32" t="n">
        <v>1</v>
      </c>
      <c r="BF240" s="32" t="inlineStr"/>
    </row>
    <row r="241">
      <c r="A241" s="17" t="inlineStr">
        <is>
          <t>FRONTEIRA COMERCIO E REPRESENTACAO DE PRODUTOS AGROPECUARIOS LTDA</t>
        </is>
      </c>
      <c r="B241" s="18" t="n">
        <v>2120225.1</v>
      </c>
      <c r="C241" s="19" t="inlineStr">
        <is>
          <t>GRUPO 3E</t>
        </is>
      </c>
      <c r="D241" s="20" t="inlineStr">
        <is>
          <t>NEW</t>
        </is>
      </c>
      <c r="E241" s="21" t="inlineStr"/>
      <c r="F241" s="20" t="inlineStr"/>
      <c r="G241" s="21" t="inlineStr"/>
      <c r="H241" s="20" t="inlineStr"/>
      <c r="I241" s="22" t="inlineStr">
        <is>
          <t>Thiago Costa</t>
        </is>
      </c>
      <c r="J241" s="22" t="inlineStr">
        <is>
          <t>Gerente Contas a Receber e Centro de Serviços Compartilhados</t>
        </is>
      </c>
      <c r="K241" s="22" t="inlineStr">
        <is>
          <t>(11) 5400-0021</t>
        </is>
      </c>
      <c r="L241" s="22" t="inlineStr"/>
      <c r="M241" s="22" t="inlineStr"/>
      <c r="N241" s="22" t="inlineStr">
        <is>
          <t>thiago.costa@nutrien.com</t>
        </is>
      </c>
      <c r="O241" s="22" t="inlineStr">
        <is>
          <t>verified</t>
        </is>
      </c>
      <c r="P241" s="22" t="inlineStr">
        <is>
          <t>Emerson Freitas</t>
        </is>
      </c>
      <c r="Q241" s="22" t="inlineStr">
        <is>
          <t>Gerente de Tesouraria | Tesouraria Estratégica</t>
        </is>
      </c>
      <c r="R241" s="22" t="inlineStr"/>
      <c r="S241" s="22" t="inlineStr">
        <is>
          <t>emerson.freitas@nutrien.com</t>
        </is>
      </c>
      <c r="T241" s="22" t="inlineStr">
        <is>
          <t>DM: has_email, phone Yes; BACKUP: backup, has_email, phone Yes</t>
        </is>
      </c>
      <c r="U241" s="24" t="n">
        <v>2120225.1</v>
      </c>
      <c r="V241" s="25" t="inlineStr">
        <is>
          <t>B</t>
        </is>
      </c>
      <c r="W241" s="26" t="n">
        <v>0.12</v>
      </c>
      <c r="X241" s="27" t="n">
        <v>2</v>
      </c>
      <c r="Y241" s="27" t="n">
        <v>13</v>
      </c>
      <c r="Z241" s="26">
        <f>IF(W241&lt;&gt;"",W241,IFERROR(VLOOKUP(V241,Assumptions!$A$8:$F$12,2,FALSE),0))</f>
        <v/>
      </c>
      <c r="AA241" s="28">
        <f>IF(V241="A",MAX(1,IF(X241&lt;&gt;"",X241,IFERROR(VLOOKUP(V241,Assumptions!$A$8:$F$12,3,FALSE),3))+IF(Y241&lt;&gt;"",Y241,IFERROR(VLOOKUP(V241,Assumptions!$A$8:$F$12,4,FALSE),8))/2-MAX(0,IF(AS241="",0,YEAR(TODAY())-AS241)-IFERROR(VLOOKUP(V241,Assumptions!$A$8:$F$12,5,FALSE),1.5))),IFERROR(VLOOKUP(V241,Assumptions!$A$8:$F$12,5,FALSE),2.5)+IF(X241&lt;&gt;"",X241,IFERROR(VLOOKUP(V241,Assumptions!$A$8:$F$12,3,FALSE),3))+IF(Y241&lt;&gt;"",Y241,IFERROR(VLOOKUP(V241,Assumptions!$A$8:$F$12,4,FALSE),8))/2)</f>
        <v/>
      </c>
      <c r="AB241" s="24">
        <f>U241*Z241/(1+Assumptions!$B$3)^AA241</f>
        <v/>
      </c>
      <c r="AC241" s="27">
        <f>IF(U241=0,"",ROUND(AB241/U241*100,1))</f>
        <v/>
      </c>
      <c r="AD241" s="29">
        <f>AB241*Assumptions!$B$4</f>
        <v/>
      </c>
      <c r="AE241" s="27">
        <f>IF(U241=0,"",ROUND(AD241/U241*100,1))</f>
        <v/>
      </c>
      <c r="AF241" s="29">
        <f>AB241-AD241</f>
        <v/>
      </c>
      <c r="AG241" s="27">
        <f>IF(U241=0,"",ROUND((AB241-AD241)/U241*100,1))</f>
        <v/>
      </c>
      <c r="AH241" s="34" t="inlineStr">
        <is>
          <t>NO TOTALS — list prints none; check page</t>
        </is>
      </c>
      <c r="AI241" s="31" t="inlineStr">
        <is>
          <t>https://stenius.com.br/wp-content/uploads/2026/06/EDITAL-GRUPO-3E.pdf</t>
        </is>
      </c>
      <c r="AJ241" s="30" t="inlineStr">
        <is>
          <t>p16 r31</t>
        </is>
      </c>
      <c r="AK241" s="30" t="inlineStr">
        <is>
          <t>p16: R$ 2.120.225,10</t>
        </is>
      </c>
      <c r="AL241" s="30" t="inlineStr">
        <is>
          <t>Debtor list (art. 51)</t>
        </is>
      </c>
      <c r="AM241" s="30" t="inlineStr">
        <is>
          <t>2026-06-22</t>
        </is>
      </c>
      <c r="AN241" s="30" t="inlineStr">
        <is>
          <t>PLAN FILED (art. 53), not granted</t>
        </is>
      </c>
      <c r="AO241" s="32" t="inlineStr">
        <is>
          <t>5341375-33.2026.8.09.0049</t>
        </is>
      </c>
      <c r="AP241" s="32" t="inlineStr">
        <is>
          <t>TJGO</t>
        </is>
      </c>
      <c r="AQ241" s="32" t="inlineStr">
        <is>
          <t>Recuperação judicial</t>
        </is>
      </c>
      <c r="AR241" s="32" t="inlineStr">
        <is>
          <t>DataJud: no closure/falência movement</t>
        </is>
      </c>
      <c r="AS241" s="32" t="n">
        <v>2026</v>
      </c>
      <c r="AT241" s="32" t="inlineStr">
        <is>
          <t>plan filed (art. 53), not yet granted</t>
        </is>
      </c>
      <c r="AU241" s="32" t="inlineStr"/>
      <c r="AV241" s="32" t="inlineStr">
        <is>
          <t>printed on the list (read twice)</t>
        </is>
      </c>
      <c r="AW241" s="32" t="inlineStr">
        <is>
          <t>Plano de Recuperação Judicial Grupo 3E v2.0 (Métis), mov. 321, pp.24-25</t>
        </is>
      </c>
      <c r="AX241" s="32" t="inlineStr">
        <is>
          <t>RIO VERDE</t>
        </is>
      </c>
      <c r="AY241" s="32" t="inlineStr">
        <is>
          <t>GO</t>
        </is>
      </c>
      <c r="AZ241" s="32" t="inlineStr">
        <is>
          <t>Comércio atacadista de mercadorias em geral, com predominância de insumos agropecuários</t>
        </is>
      </c>
      <c r="BA241" s="32" t="inlineStr">
        <is>
          <t>não ME/EPP</t>
        </is>
      </c>
      <c r="BB241" s="33" t="n">
        <v>698541950</v>
      </c>
      <c r="BC241" s="32" t="inlineStr">
        <is>
          <t>MID-MARKET</t>
        </is>
      </c>
      <c r="BD241" s="32" t="inlineStr">
        <is>
          <t>36854495</t>
        </is>
      </c>
      <c r="BE241" s="32" t="n">
        <v>1</v>
      </c>
      <c r="BF241" s="32" t="inlineStr">
        <is>
          <t>list prints no totals</t>
        </is>
      </c>
    </row>
    <row r="242">
      <c r="A242" s="17" t="inlineStr">
        <is>
          <t>FRANGOS PIONEIRO INDUSTRIA E COMERCIO DE ALIMENTOS LTDA</t>
        </is>
      </c>
      <c r="B242" s="18" t="n">
        <v>484066.19</v>
      </c>
      <c r="C242" s="19" t="inlineStr">
        <is>
          <t>Grupo Agromeal</t>
        </is>
      </c>
      <c r="D242" s="20" t="inlineStr">
        <is>
          <t>NEW</t>
        </is>
      </c>
      <c r="E242" s="21" t="inlineStr"/>
      <c r="F242" s="20" t="inlineStr"/>
      <c r="G242" s="21" t="inlineStr"/>
      <c r="H242" s="20" t="inlineStr"/>
      <c r="I242" s="22" t="inlineStr">
        <is>
          <t>Anderson Zazula</t>
        </is>
      </c>
      <c r="J242" s="22" t="inlineStr">
        <is>
          <t>Gerente Financeiro e Gestão de Resultados</t>
        </is>
      </c>
      <c r="K242" s="22" t="inlineStr">
        <is>
          <t>(43) 3559-8000</t>
        </is>
      </c>
      <c r="L242" s="22" t="inlineStr"/>
      <c r="M242" s="22" t="inlineStr"/>
      <c r="N242" s="22" t="inlineStr">
        <is>
          <t>anderson@grupopioneiro.com.br</t>
        </is>
      </c>
      <c r="O242" s="22" t="inlineStr">
        <is>
          <t>verified</t>
        </is>
      </c>
      <c r="P242" s="22" t="inlineStr">
        <is>
          <t>Tarcizo Santos</t>
        </is>
      </c>
      <c r="Q242" s="22" t="inlineStr">
        <is>
          <t>Director</t>
        </is>
      </c>
      <c r="R242" s="22" t="inlineStr"/>
      <c r="S242" s="22" t="inlineStr">
        <is>
          <t>tarcizo@grupopioneiro.com.br</t>
        </is>
      </c>
      <c r="T242" s="22" t="inlineStr">
        <is>
          <t>DM: has_email, phone Yes; BACKUP: backup, has_email, phone Yes</t>
        </is>
      </c>
      <c r="U242" s="24" t="n">
        <v>484066.19</v>
      </c>
      <c r="V242" s="25" t="inlineStr">
        <is>
          <t>B</t>
        </is>
      </c>
      <c r="W242" s="26" t="inlineStr"/>
      <c r="X242" s="27" t="inlineStr"/>
      <c r="Y242" s="27" t="inlineStr"/>
      <c r="Z242" s="26">
        <f>IF(W242&lt;&gt;"",W242,IFERROR(VLOOKUP(V242,Assumptions!$A$8:$F$12,2,FALSE),0))</f>
        <v/>
      </c>
      <c r="AA242" s="28">
        <f>IF(V242="A",MAX(1,IF(X242&lt;&gt;"",X242,IFERROR(VLOOKUP(V242,Assumptions!$A$8:$F$12,3,FALSE),3))+IF(Y242&lt;&gt;"",Y242,IFERROR(VLOOKUP(V242,Assumptions!$A$8:$F$12,4,FALSE),8))/2-MAX(0,IF(AS242="",0,YEAR(TODAY())-AS242)-IFERROR(VLOOKUP(V242,Assumptions!$A$8:$F$12,5,FALSE),1.5))),IFERROR(VLOOKUP(V242,Assumptions!$A$8:$F$12,5,FALSE),2.5)+IF(X242&lt;&gt;"",X242,IFERROR(VLOOKUP(V242,Assumptions!$A$8:$F$12,3,FALSE),3))+IF(Y242&lt;&gt;"",Y242,IFERROR(VLOOKUP(V242,Assumptions!$A$8:$F$12,4,FALSE),8))/2)</f>
        <v/>
      </c>
      <c r="AB242" s="24">
        <f>U242*Z242/(1+Assumptions!$B$3)^AA242</f>
        <v/>
      </c>
      <c r="AC242" s="27">
        <f>IF(U242=0,"",ROUND(AB242/U242*100,1))</f>
        <v/>
      </c>
      <c r="AD242" s="29">
        <f>AB242*Assumptions!$B$4</f>
        <v/>
      </c>
      <c r="AE242" s="27">
        <f>IF(U242=0,"",ROUND(AD242/U242*100,1))</f>
        <v/>
      </c>
      <c r="AF242" s="29">
        <f>AB242-AD242</f>
        <v/>
      </c>
      <c r="AG242" s="27">
        <f>IF(U242=0,"",ROUND((AB242-AD242)/U242*100,1))</f>
        <v/>
      </c>
      <c r="AH242" s="35" t="inlineStr">
        <is>
          <t>PARTIAL — class III reconciled, other classes not</t>
        </is>
      </c>
      <c r="AI242" s="31" t="inlineStr">
        <is>
          <t>https://marquesadmjudicial.com.br/sgc/download.php?file=files/processo_documento/processo_documento17040729052024_1_.pdf&amp;nome=Relação Nominal de Credores AJ-Sintética</t>
        </is>
      </c>
      <c r="AJ242" s="30" t="inlineStr">
        <is>
          <t>p11 r6</t>
        </is>
      </c>
      <c r="AK242" s="30" t="inlineStr">
        <is>
          <t>p11: R$ 484.066,19</t>
        </is>
      </c>
      <c r="AL242" s="30" t="inlineStr">
        <is>
          <t>AJ list (art. 7 §2)</t>
        </is>
      </c>
      <c r="AM242" s="30" t="inlineStr">
        <is>
          <t>2024-05-27</t>
        </is>
      </c>
      <c r="AN242" s="30" t="inlineStr">
        <is>
          <t>NONE FOUND</t>
        </is>
      </c>
      <c r="AO242" s="32" t="inlineStr">
        <is>
          <t>0003971-03.2023.8.16.0119</t>
        </is>
      </c>
      <c r="AP242" s="32" t="inlineStr">
        <is>
          <t>TJPR</t>
        </is>
      </c>
      <c r="AQ242" s="32" t="inlineStr">
        <is>
          <t>Recuperação judicial</t>
        </is>
      </c>
      <c r="AR242" s="32" t="inlineStr">
        <is>
          <t>DataJud: no closure/falência movement</t>
        </is>
      </c>
      <c r="AS242" s="32" t="n">
        <v>2023</v>
      </c>
      <c r="AT242" s="32" t="inlineStr">
        <is>
          <t>live case, no plan document yet</t>
        </is>
      </c>
      <c r="AU242" s="32" t="inlineStr">
        <is>
          <t>11.624.776/0001-07</t>
        </is>
      </c>
      <c r="AV242" s="32" t="inlineStr">
        <is>
          <t>printed on the list (read twice)</t>
        </is>
      </c>
      <c r="AW242" s="32" t="inlineStr"/>
      <c r="AX242" s="32" t="inlineStr">
        <is>
          <t>JOAQUIM TAVORA</t>
        </is>
      </c>
      <c r="AY242" s="32" t="inlineStr">
        <is>
          <t>PR</t>
        </is>
      </c>
      <c r="AZ242" s="32" t="inlineStr">
        <is>
          <t>Fabricação de produtos de carne</t>
        </is>
      </c>
      <c r="BA242" s="32" t="inlineStr">
        <is>
          <t>não ME/EPP</t>
        </is>
      </c>
      <c r="BB242" s="33" t="n">
        <v>236561500</v>
      </c>
      <c r="BC242" s="32" t="inlineStr">
        <is>
          <t>MID-MARKET</t>
        </is>
      </c>
      <c r="BD242" s="32" t="inlineStr">
        <is>
          <t>00974731</t>
        </is>
      </c>
      <c r="BE242" s="32" t="n">
        <v>1</v>
      </c>
      <c r="BF242" s="32" t="inlineStr">
        <is>
          <t>class III reconciled (doc partial)</t>
        </is>
      </c>
    </row>
    <row r="243">
      <c r="A243" s="17" t="inlineStr">
        <is>
          <t>MEGA PACK PLASTICOS S.A</t>
        </is>
      </c>
      <c r="B243" s="18" t="n">
        <v>484000</v>
      </c>
      <c r="C243" s="19" t="inlineStr">
        <is>
          <t>GRUPO IMPLASVERDE</t>
        </is>
      </c>
      <c r="D243" s="20" t="inlineStr">
        <is>
          <t>NEW</t>
        </is>
      </c>
      <c r="E243" s="21" t="inlineStr"/>
      <c r="F243" s="20" t="inlineStr"/>
      <c r="G243" s="21" t="inlineStr"/>
      <c r="H243" s="20" t="inlineStr"/>
      <c r="I243" s="22" t="inlineStr">
        <is>
          <t>KLEBER AVILA VIEIRA</t>
        </is>
      </c>
      <c r="J243" s="23" t="inlineStr">
        <is>
          <t>Presidente (RFB partner)</t>
        </is>
      </c>
      <c r="K243" s="22" t="inlineStr">
        <is>
          <t>(92) 3301-9001</t>
        </is>
      </c>
      <c r="L243" s="22" t="inlineStr">
        <is>
          <t>(19) 8107-5841</t>
        </is>
      </c>
      <c r="M243" s="22" t="inlineStr"/>
      <c r="N243" s="22" t="inlineStr"/>
      <c r="O243" s="22" t="inlineStr"/>
      <c r="P243" s="22" t="inlineStr"/>
      <c r="Q243" s="22" t="inlineStr"/>
      <c r="R243" s="22" t="inlineStr"/>
      <c r="S243" s="22" t="inlineStr"/>
      <c r="T243" s="22" t="inlineStr">
        <is>
          <t>DM = registered partner (RFB QSA); no Apollo match</t>
        </is>
      </c>
      <c r="U243" s="24" t="n">
        <v>484000</v>
      </c>
      <c r="V243" s="25" t="inlineStr">
        <is>
          <t>B</t>
        </is>
      </c>
      <c r="W243" s="26" t="inlineStr"/>
      <c r="X243" s="27" t="inlineStr"/>
      <c r="Y243" s="27" t="inlineStr"/>
      <c r="Z243" s="26">
        <f>IF(W243&lt;&gt;"",W243,IFERROR(VLOOKUP(V243,Assumptions!$A$8:$F$12,2,FALSE),0))</f>
        <v/>
      </c>
      <c r="AA243" s="28">
        <f>IF(V243="A",MAX(1,IF(X243&lt;&gt;"",X243,IFERROR(VLOOKUP(V243,Assumptions!$A$8:$F$12,3,FALSE),3))+IF(Y243&lt;&gt;"",Y243,IFERROR(VLOOKUP(V243,Assumptions!$A$8:$F$12,4,FALSE),8))/2-MAX(0,IF(AS243="",0,YEAR(TODAY())-AS243)-IFERROR(VLOOKUP(V243,Assumptions!$A$8:$F$12,5,FALSE),1.5))),IFERROR(VLOOKUP(V243,Assumptions!$A$8:$F$12,5,FALSE),2.5)+IF(X243&lt;&gt;"",X243,IFERROR(VLOOKUP(V243,Assumptions!$A$8:$F$12,3,FALSE),3))+IF(Y243&lt;&gt;"",Y243,IFERROR(VLOOKUP(V243,Assumptions!$A$8:$F$12,4,FALSE),8))/2)</f>
        <v/>
      </c>
      <c r="AB243" s="24">
        <f>U243*Z243/(1+Assumptions!$B$3)^AA243</f>
        <v/>
      </c>
      <c r="AC243" s="27">
        <f>IF(U243=0,"",ROUND(AB243/U243*100,1))</f>
        <v/>
      </c>
      <c r="AD243" s="29">
        <f>AB243*Assumptions!$B$4</f>
        <v/>
      </c>
      <c r="AE243" s="27">
        <f>IF(U243=0,"",ROUND(AD243/U243*100,1))</f>
        <v/>
      </c>
      <c r="AF243" s="29">
        <f>AB243-AD243</f>
        <v/>
      </c>
      <c r="AG243" s="27">
        <f>IF(U243=0,"",ROUND((AB243-AD243)/U243*100,1))</f>
        <v/>
      </c>
      <c r="AH243" s="30" t="inlineStr">
        <is>
          <t>OK — totals reconciled</t>
        </is>
      </c>
      <c r="AI243" s="31" t="inlineStr">
        <is>
          <t>http://recuperacaojudicial.squarespace.com/s/LISTA-DE-CREDORES-CONSOLIDADA-ATE-04102024.pdf</t>
        </is>
      </c>
      <c r="AJ243" s="30" t="inlineStr">
        <is>
          <t>p6 r14</t>
        </is>
      </c>
      <c r="AK243" s="30" t="inlineStr">
        <is>
          <t>p6: R$ 484.000,00</t>
        </is>
      </c>
      <c r="AL243" s="30" t="inlineStr">
        <is>
          <t>AJ list (art. 7 §2)</t>
        </is>
      </c>
      <c r="AM243" s="30" t="inlineStr">
        <is>
          <t>2024-10-04</t>
        </is>
      </c>
      <c r="AN243" s="30" t="inlineStr">
        <is>
          <t>NONE FOUND</t>
        </is>
      </c>
      <c r="AO243" s="32" t="inlineStr">
        <is>
          <t>0800778-16.2023.8.20.5104</t>
        </is>
      </c>
      <c r="AP243" s="32" t="inlineStr">
        <is>
          <t>TJRN</t>
        </is>
      </c>
      <c r="AQ243" s="32" t="inlineStr">
        <is>
          <t>Recuperação judicial</t>
        </is>
      </c>
      <c r="AR243" s="32" t="inlineStr">
        <is>
          <t>DataJud: no closure/falência movement</t>
        </is>
      </c>
      <c r="AS243" s="32" t="n">
        <v>2023</v>
      </c>
      <c r="AT243" s="32" t="inlineStr">
        <is>
          <t>live case, no plan document yet</t>
        </is>
      </c>
      <c r="AU243" s="32" t="inlineStr"/>
      <c r="AV243" s="32" t="inlineStr">
        <is>
          <t>printed on the list (read twice)</t>
        </is>
      </c>
      <c r="AW243" s="32" t="inlineStr"/>
      <c r="AX243" s="32" t="inlineStr">
        <is>
          <t>MANAUS</t>
        </is>
      </c>
      <c r="AY243" s="32" t="inlineStr">
        <is>
          <t>AM</t>
        </is>
      </c>
      <c r="AZ243" s="32" t="inlineStr">
        <is>
          <t>Fabricação de laminados planos e tubulares de material plástico</t>
        </is>
      </c>
      <c r="BA243" s="32" t="inlineStr">
        <is>
          <t>não ME/EPP</t>
        </is>
      </c>
      <c r="BB243" s="33" t="n">
        <v>10000000</v>
      </c>
      <c r="BC243" s="32" t="inlineStr">
        <is>
          <t>MID-MARKET</t>
        </is>
      </c>
      <c r="BD243" s="32" t="inlineStr">
        <is>
          <t>19631376</t>
        </is>
      </c>
      <c r="BE243" s="32" t="n">
        <v>1</v>
      </c>
      <c r="BF243" s="32" t="inlineStr"/>
    </row>
    <row r="244">
      <c r="A244" s="17" t="inlineStr">
        <is>
          <t>HUESKER LTDA</t>
        </is>
      </c>
      <c r="B244" s="18" t="n">
        <v>483478.41</v>
      </c>
      <c r="C244" s="19" t="inlineStr">
        <is>
          <t>GRUPO EGESA (Egesa Engenharia S.A. + 9 group companies; see group members)</t>
        </is>
      </c>
      <c r="D244" s="20" t="inlineStr">
        <is>
          <t>NEW</t>
        </is>
      </c>
      <c r="E244" s="21" t="inlineStr"/>
      <c r="F244" s="20" t="inlineStr"/>
      <c r="G244" s="21" t="inlineStr"/>
      <c r="H244" s="20" t="inlineStr"/>
      <c r="I244" s="22" t="inlineStr">
        <is>
          <t>ANDRE ESTEVAO FERREIRA DA SILVA</t>
        </is>
      </c>
      <c r="J244" s="23" t="inlineStr">
        <is>
          <t>Administrador (RFB partner)</t>
        </is>
      </c>
      <c r="K244" s="22" t="inlineStr">
        <is>
          <t>(12) 3903-9300</t>
        </is>
      </c>
      <c r="L244" s="22" t="inlineStr">
        <is>
          <t>(12) 2138-8200</t>
        </is>
      </c>
      <c r="M244" s="22" t="inlineStr"/>
      <c r="N244" s="22" t="inlineStr"/>
      <c r="O244" s="22" t="inlineStr"/>
      <c r="P244" s="22" t="inlineStr">
        <is>
          <t>Fernando Wickert</t>
        </is>
      </c>
      <c r="Q244" s="22" t="inlineStr">
        <is>
          <t>Commercial Director</t>
        </is>
      </c>
      <c r="R244" s="22" t="inlineStr"/>
      <c r="S244" s="22" t="inlineStr">
        <is>
          <t>fernando.wickert@huesker.com.br</t>
        </is>
      </c>
      <c r="T244" s="22" t="inlineStr">
        <is>
          <t>DM = registered partner (RFB QSA); Apollo pick demoted to backup (non-finance role); BACKUP: has_email, phone Yes</t>
        </is>
      </c>
      <c r="U244" s="24" t="n">
        <v>483478.41</v>
      </c>
      <c r="V244" s="25" t="inlineStr">
        <is>
          <t>B</t>
        </is>
      </c>
      <c r="W244" s="26" t="inlineStr"/>
      <c r="X244" s="27" t="inlineStr"/>
      <c r="Y244" s="27" t="inlineStr"/>
      <c r="Z244" s="26">
        <f>IF(W244&lt;&gt;"",W244,IFERROR(VLOOKUP(V244,Assumptions!$A$8:$F$12,2,FALSE),0))</f>
        <v/>
      </c>
      <c r="AA244" s="28">
        <f>IF(V244="A",MAX(1,IF(X244&lt;&gt;"",X244,IFERROR(VLOOKUP(V244,Assumptions!$A$8:$F$12,3,FALSE),3))+IF(Y244&lt;&gt;"",Y244,IFERROR(VLOOKUP(V244,Assumptions!$A$8:$F$12,4,FALSE),8))/2-MAX(0,IF(AS244="",0,YEAR(TODAY())-AS244)-IFERROR(VLOOKUP(V244,Assumptions!$A$8:$F$12,5,FALSE),1.5))),IFERROR(VLOOKUP(V244,Assumptions!$A$8:$F$12,5,FALSE),2.5)+IF(X244&lt;&gt;"",X244,IFERROR(VLOOKUP(V244,Assumptions!$A$8:$F$12,3,FALSE),3))+IF(Y244&lt;&gt;"",Y244,IFERROR(VLOOKUP(V244,Assumptions!$A$8:$F$12,4,FALSE),8))/2)</f>
        <v/>
      </c>
      <c r="AB244" s="24">
        <f>U244*Z244/(1+Assumptions!$B$3)^AA244</f>
        <v/>
      </c>
      <c r="AC244" s="27">
        <f>IF(U244=0,"",ROUND(AB244/U244*100,1))</f>
        <v/>
      </c>
      <c r="AD244" s="29">
        <f>AB244*Assumptions!$B$4</f>
        <v/>
      </c>
      <c r="AE244" s="27">
        <f>IF(U244=0,"",ROUND(AD244/U244*100,1))</f>
        <v/>
      </c>
      <c r="AF244" s="29">
        <f>AB244-AD244</f>
        <v/>
      </c>
      <c r="AG244" s="27">
        <f>IF(U244=0,"",ROUND((AB244-AD244)/U244*100,1))</f>
        <v/>
      </c>
      <c r="AH244" s="30" t="inlineStr">
        <is>
          <t>OK — totals reconciled</t>
        </is>
      </c>
      <c r="AI244" s="31" t="inlineStr">
        <is>
          <t>https://scalzilliaj.com.br/sgc/download.php?file=files/processo_documento/processo_documento09514021082025_1_.pdf&amp;nome=04 - Relação de credores das Recuperandas</t>
        </is>
      </c>
      <c r="AJ244" s="30" t="inlineStr">
        <is>
          <t>p68 r2</t>
        </is>
      </c>
      <c r="AK244" s="30" t="inlineStr">
        <is>
          <t>p68: R$ 483.478,41</t>
        </is>
      </c>
      <c r="AL244" s="30" t="inlineStr">
        <is>
          <t>Debtor list (art. 51)</t>
        </is>
      </c>
      <c r="AM244" s="30" t="inlineStr"/>
      <c r="AN244" s="30" t="inlineStr">
        <is>
          <t>NONE FOUND</t>
        </is>
      </c>
      <c r="AO244" s="32" t="inlineStr">
        <is>
          <t>5088952-81.2025.8.13.0024</t>
        </is>
      </c>
      <c r="AP244" s="32" t="inlineStr">
        <is>
          <t>TJMG</t>
        </is>
      </c>
      <c r="AQ244" s="32" t="inlineStr"/>
      <c r="AR244" s="32" t="inlineStr">
        <is>
          <t>DataJud: no closure/falência movement</t>
        </is>
      </c>
      <c r="AS244" s="32" t="n">
        <v>2025</v>
      </c>
      <c r="AT244" s="32" t="inlineStr">
        <is>
          <t>live case, no plan document yet; case no. from the portal record, not printed on the list</t>
        </is>
      </c>
      <c r="AU244" s="32" t="inlineStr"/>
      <c r="AV244" s="32" t="inlineStr">
        <is>
          <t>portal page title / URL — not printed on the list</t>
        </is>
      </c>
      <c r="AW244" s="32" t="inlineStr"/>
      <c r="AX244" s="32" t="inlineStr">
        <is>
          <t>SAO JOSE DOS CAMPOS</t>
        </is>
      </c>
      <c r="AY244" s="32" t="inlineStr">
        <is>
          <t>SP</t>
        </is>
      </c>
      <c r="AZ244" s="32" t="inlineStr">
        <is>
          <t>Comércio atacadista especializado de materiais de construção não especificados anteriormente</t>
        </is>
      </c>
      <c r="BA244" s="32" t="inlineStr">
        <is>
          <t>não ME/EPP</t>
        </is>
      </c>
      <c r="BB244" s="33" t="n">
        <v>158000</v>
      </c>
      <c r="BC244" s="32" t="inlineStr">
        <is>
          <t>MID-MARKET</t>
        </is>
      </c>
      <c r="BD244" s="32" t="inlineStr">
        <is>
          <t>02565876</t>
        </is>
      </c>
      <c r="BE244" s="32" t="n">
        <v>1</v>
      </c>
      <c r="BF244" s="32" t="inlineStr">
        <is>
          <t>case no. corrected by reader case no. from portal record</t>
        </is>
      </c>
    </row>
    <row r="245">
      <c r="A245" s="17" t="inlineStr">
        <is>
          <t>A3AGRO COMERCIAL AGRICOLA LTDA</t>
        </is>
      </c>
      <c r="B245" s="18" t="n">
        <v>480000</v>
      </c>
      <c r="C245" s="19" t="inlineStr">
        <is>
          <t>ENIVALDO BARELLA TIRONI, MATEUS MANHANI BARELLA, LEILA REGINA MANHANI BARELLA, B&amp;F AGRO COMÉRCIO DE GRÃOS E INSUMOS AGRÍCOLAS LTDA, BARELLA &amp; FILHOS LTDA E M M LOCAÇÃO EIRELI</t>
        </is>
      </c>
      <c r="D245" s="20" t="inlineStr">
        <is>
          <t>NEW</t>
        </is>
      </c>
      <c r="E245" s="21" t="inlineStr"/>
      <c r="F245" s="20" t="inlineStr"/>
      <c r="G245" s="21" t="inlineStr"/>
      <c r="H245" s="20" t="inlineStr"/>
      <c r="I245" s="22" t="inlineStr">
        <is>
          <t>JUREMA PAPINI SANTOS PEDRA COELHO</t>
        </is>
      </c>
      <c r="J245" s="23" t="inlineStr">
        <is>
          <t>Sócio-Administrador (RFB partner)</t>
        </is>
      </c>
      <c r="K245" s="22" t="inlineStr">
        <is>
          <t>(99) 9642-0648</t>
        </is>
      </c>
      <c r="L245" s="22" t="inlineStr"/>
      <c r="M245" s="22" t="inlineStr"/>
      <c r="N245" s="22" t="inlineStr"/>
      <c r="O245" s="22" t="inlineStr"/>
      <c r="P245" s="22" t="inlineStr">
        <is>
          <t>Tiago Miranda</t>
        </is>
      </c>
      <c r="Q245" s="22" t="inlineStr">
        <is>
          <t>Administrator</t>
        </is>
      </c>
      <c r="R245" s="22" t="inlineStr"/>
      <c r="S245" s="22" t="inlineStr"/>
      <c r="T245" s="22" t="inlineStr">
        <is>
          <t>DM = registered partner (RFB QSA); Apollo pick demoted to backup (non-finance role); BACKUP: weak</t>
        </is>
      </c>
      <c r="U245" s="24" t="n">
        <v>480000</v>
      </c>
      <c r="V245" s="25" t="inlineStr">
        <is>
          <t>B</t>
        </is>
      </c>
      <c r="W245" s="26" t="inlineStr"/>
      <c r="X245" s="27" t="inlineStr"/>
      <c r="Y245" s="27" t="inlineStr"/>
      <c r="Z245" s="26">
        <f>IF(W245&lt;&gt;"",W245,IFERROR(VLOOKUP(V245,Assumptions!$A$8:$F$12,2,FALSE),0))</f>
        <v/>
      </c>
      <c r="AA245" s="28">
        <f>IF(V245="A",MAX(1,IF(X245&lt;&gt;"",X245,IFERROR(VLOOKUP(V245,Assumptions!$A$8:$F$12,3,FALSE),3))+IF(Y245&lt;&gt;"",Y245,IFERROR(VLOOKUP(V245,Assumptions!$A$8:$F$12,4,FALSE),8))/2-MAX(0,IF(AS245="",0,YEAR(TODAY())-AS245)-IFERROR(VLOOKUP(V245,Assumptions!$A$8:$F$12,5,FALSE),1.5))),IFERROR(VLOOKUP(V245,Assumptions!$A$8:$F$12,5,FALSE),2.5)+IF(X245&lt;&gt;"",X245,IFERROR(VLOOKUP(V245,Assumptions!$A$8:$F$12,3,FALSE),3))+IF(Y245&lt;&gt;"",Y245,IFERROR(VLOOKUP(V245,Assumptions!$A$8:$F$12,4,FALSE),8))/2)</f>
        <v/>
      </c>
      <c r="AB245" s="24">
        <f>U245*Z245/(1+Assumptions!$B$3)^AA245</f>
        <v/>
      </c>
      <c r="AC245" s="27">
        <f>IF(U245=0,"",ROUND(AB245/U245*100,1))</f>
        <v/>
      </c>
      <c r="AD245" s="29">
        <f>AB245*Assumptions!$B$4</f>
        <v/>
      </c>
      <c r="AE245" s="27">
        <f>IF(U245=0,"",ROUND(AD245/U245*100,1))</f>
        <v/>
      </c>
      <c r="AF245" s="29">
        <f>AB245-AD245</f>
        <v/>
      </c>
      <c r="AG245" s="27">
        <f>IF(U245=0,"",ROUND((AB245-AD245)/U245*100,1))</f>
        <v/>
      </c>
      <c r="AH245" s="34" t="inlineStr">
        <is>
          <t>NO TOTALS — list prints none; check page</t>
        </is>
      </c>
      <c r="AI245" s="31" t="inlineStr">
        <is>
          <t>https://scalzilliaj.com.br/sgc/download.php?file=files/processo_documento/processo_documento15542620022025_1_.pdf&amp;nome=11 - Relação de credores - art. 7º, §2º, da LREF</t>
        </is>
      </c>
      <c r="AJ245" s="30" t="inlineStr">
        <is>
          <t>p1 r6</t>
        </is>
      </c>
      <c r="AK245" s="30" t="inlineStr">
        <is>
          <t>p1: R$ 480.000,00</t>
        </is>
      </c>
      <c r="AL245" s="30" t="inlineStr">
        <is>
          <t>AJ list (art. 7 §2)</t>
        </is>
      </c>
      <c r="AM245" s="30" t="inlineStr">
        <is>
          <t>2025-02-19</t>
        </is>
      </c>
      <c r="AN245" s="30" t="inlineStr">
        <is>
          <t>NONE FOUND</t>
        </is>
      </c>
      <c r="AO245" s="32" t="inlineStr">
        <is>
          <t>0028131-73.2024.8.16.0017</t>
        </is>
      </c>
      <c r="AP245" s="32" t="inlineStr">
        <is>
          <t>TJPR</t>
        </is>
      </c>
      <c r="AQ245" s="32" t="inlineStr">
        <is>
          <t>Recuperação judicial</t>
        </is>
      </c>
      <c r="AR245" s="32" t="inlineStr">
        <is>
          <t>DataJud: no closure/falência movement</t>
        </is>
      </c>
      <c r="AS245" s="32" t="n">
        <v>2024</v>
      </c>
      <c r="AT245" s="32" t="inlineStr">
        <is>
          <t>live case, no plan document yet</t>
        </is>
      </c>
      <c r="AU245" s="32" t="inlineStr"/>
      <c r="AV245" s="32" t="inlineStr">
        <is>
          <t>printed on the list (read twice)</t>
        </is>
      </c>
      <c r="AW245" s="32" t="inlineStr"/>
      <c r="AX245" s="32" t="inlineStr">
        <is>
          <t>LUIS EDUARDO MAGALHAES</t>
        </is>
      </c>
      <c r="AY245" s="32" t="inlineStr">
        <is>
          <t>BA</t>
        </is>
      </c>
      <c r="AZ245" s="32" t="inlineStr">
        <is>
          <t>Comércio atacadista de máquinas, aparelhos e equipamentos para uso agropecuário; partes e peças</t>
        </is>
      </c>
      <c r="BA245" s="32" t="inlineStr">
        <is>
          <t>não ME/EPP</t>
        </is>
      </c>
      <c r="BB245" s="33" t="n">
        <v>50000</v>
      </c>
      <c r="BC245" s="32" t="inlineStr">
        <is>
          <t>MID-MARKET</t>
        </is>
      </c>
      <c r="BD245" s="32" t="inlineStr">
        <is>
          <t>30494410</t>
        </is>
      </c>
      <c r="BE245" s="32" t="n">
        <v>1</v>
      </c>
      <c r="BF245" s="32" t="inlineStr">
        <is>
          <t>list prints no totals</t>
        </is>
      </c>
    </row>
    <row r="246">
      <c r="A246" s="17" t="inlineStr">
        <is>
          <t>MICROVET-MICROBIOLOGIA VETERINARIA ESPECIAL LTDA</t>
        </is>
      </c>
      <c r="B246" s="18" t="n">
        <v>475385.92</v>
      </c>
      <c r="C246" s="19" t="inlineStr">
        <is>
          <t>SUINOCULTURA KUNZLER</t>
        </is>
      </c>
      <c r="D246" s="20" t="inlineStr">
        <is>
          <t>NEW</t>
        </is>
      </c>
      <c r="E246" s="21" t="inlineStr"/>
      <c r="F246" s="20" t="inlineStr"/>
      <c r="G246" s="21" t="inlineStr"/>
      <c r="H246" s="20" t="inlineStr"/>
      <c r="I246" s="22" t="inlineStr">
        <is>
          <t>JOSE LUCIO DOS SANTOS</t>
        </is>
      </c>
      <c r="J246" s="23" t="inlineStr">
        <is>
          <t>Administrador (RFB partner)</t>
        </is>
      </c>
      <c r="K246" s="22" t="inlineStr">
        <is>
          <t>(31) 3891-2551</t>
        </is>
      </c>
      <c r="L246" s="22" t="inlineStr"/>
      <c r="M246" s="22" t="inlineStr"/>
      <c r="N246" s="22" t="inlineStr"/>
      <c r="O246" s="22" t="inlineStr"/>
      <c r="P246" s="22" t="inlineStr"/>
      <c r="Q246" s="22" t="inlineStr"/>
      <c r="R246" s="22" t="inlineStr"/>
      <c r="S246" s="22" t="inlineStr"/>
      <c r="T246" s="22" t="inlineStr">
        <is>
          <t>DM = registered partner (RFB QSA); no Apollo match</t>
        </is>
      </c>
      <c r="U246" s="24" t="n">
        <v>475385.92</v>
      </c>
      <c r="V246" s="25" t="inlineStr">
        <is>
          <t>B</t>
        </is>
      </c>
      <c r="W246" s="26" t="inlineStr"/>
      <c r="X246" s="27" t="inlineStr"/>
      <c r="Y246" s="27" t="inlineStr"/>
      <c r="Z246" s="26">
        <f>IF(W246&lt;&gt;"",W246,IFERROR(VLOOKUP(V246,Assumptions!$A$8:$F$12,2,FALSE),0))</f>
        <v/>
      </c>
      <c r="AA246" s="28">
        <f>IF(V246="A",MAX(1,IF(X246&lt;&gt;"",X246,IFERROR(VLOOKUP(V246,Assumptions!$A$8:$F$12,3,FALSE),3))+IF(Y246&lt;&gt;"",Y246,IFERROR(VLOOKUP(V246,Assumptions!$A$8:$F$12,4,FALSE),8))/2-MAX(0,IF(AS246="",0,YEAR(TODAY())-AS246)-IFERROR(VLOOKUP(V246,Assumptions!$A$8:$F$12,5,FALSE),1.5))),IFERROR(VLOOKUP(V246,Assumptions!$A$8:$F$12,5,FALSE),2.5)+IF(X246&lt;&gt;"",X246,IFERROR(VLOOKUP(V246,Assumptions!$A$8:$F$12,3,FALSE),3))+IF(Y246&lt;&gt;"",Y246,IFERROR(VLOOKUP(V246,Assumptions!$A$8:$F$12,4,FALSE),8))/2)</f>
        <v/>
      </c>
      <c r="AB246" s="24">
        <f>U246*Z246/(1+Assumptions!$B$3)^AA246</f>
        <v/>
      </c>
      <c r="AC246" s="27">
        <f>IF(U246=0,"",ROUND(AB246/U246*100,1))</f>
        <v/>
      </c>
      <c r="AD246" s="29">
        <f>AB246*Assumptions!$B$4</f>
        <v/>
      </c>
      <c r="AE246" s="27">
        <f>IF(U246=0,"",ROUND(AD246/U246*100,1))</f>
        <v/>
      </c>
      <c r="AF246" s="29">
        <f>AB246-AD246</f>
        <v/>
      </c>
      <c r="AG246" s="27">
        <f>IF(U246=0,"",ROUND((AB246-AD246)/U246*100,1))</f>
        <v/>
      </c>
      <c r="AH246" s="34" t="inlineStr">
        <is>
          <t>NO TOTALS — list prints none; check page</t>
        </is>
      </c>
      <c r="AI246" s="31" t="inlineStr">
        <is>
          <t>https://rlg-aj.com.br/wp-content/uploads/2024/11/07.-Relação-de-credores.pdf</t>
        </is>
      </c>
      <c r="AJ246" s="30" t="inlineStr">
        <is>
          <t>p1 r29</t>
        </is>
      </c>
      <c r="AK246" s="30" t="inlineStr">
        <is>
          <t>p1: R$ 475.385,92</t>
        </is>
      </c>
      <c r="AL246" s="30" t="inlineStr">
        <is>
          <t>Unclassified list</t>
        </is>
      </c>
      <c r="AM246" s="30" t="inlineStr"/>
      <c r="AN246" s="30" t="inlineStr">
        <is>
          <t>NONE FOUND</t>
        </is>
      </c>
      <c r="AO246" s="32" t="inlineStr">
        <is>
          <t>5009149-92.2024.8.24.0019</t>
        </is>
      </c>
      <c r="AP246" s="32" t="inlineStr">
        <is>
          <t>TJSC</t>
        </is>
      </c>
      <c r="AQ246" s="32" t="inlineStr">
        <is>
          <t>Recuperação judicial</t>
        </is>
      </c>
      <c r="AR246" s="32" t="inlineStr">
        <is>
          <t>DataJud: no closure/falência movement</t>
        </is>
      </c>
      <c r="AS246" s="32" t="n">
        <v>2024</v>
      </c>
      <c r="AT246" s="32" t="inlineStr">
        <is>
          <t>live case, no plan document yet; case no. from the portal record, not printed on the list</t>
        </is>
      </c>
      <c r="AU246" s="32" t="inlineStr">
        <is>
          <t>55.365.447/0001-56</t>
        </is>
      </c>
      <c r="AV246" s="32" t="inlineStr">
        <is>
          <t>printed on the list (read twice)</t>
        </is>
      </c>
      <c r="AW246" s="32" t="inlineStr"/>
      <c r="AX246" s="32" t="inlineStr">
        <is>
          <t>VICOSA</t>
        </is>
      </c>
      <c r="AY246" s="32" t="inlineStr">
        <is>
          <t>MG</t>
        </is>
      </c>
      <c r="AZ246" s="32" t="inlineStr">
        <is>
          <t>Fabricação de medicamentos para uso veterinário</t>
        </is>
      </c>
      <c r="BA246" s="32" t="inlineStr">
        <is>
          <t>não ME/EPP</t>
        </is>
      </c>
      <c r="BB246" s="33" t="n">
        <v>1000000</v>
      </c>
      <c r="BC246" s="32" t="inlineStr">
        <is>
          <t>MID-MARKET</t>
        </is>
      </c>
      <c r="BD246" s="32" t="inlineStr">
        <is>
          <t>26233064</t>
        </is>
      </c>
      <c r="BE246" s="32" t="n">
        <v>1</v>
      </c>
      <c r="BF246" s="32" t="inlineStr">
        <is>
          <t>list prints no totals</t>
        </is>
      </c>
    </row>
    <row r="247">
      <c r="A247" s="17" t="inlineStr">
        <is>
          <t>SUPERMIX CONCRETO S/A</t>
        </is>
      </c>
      <c r="B247" s="18" t="n">
        <v>470287.72</v>
      </c>
      <c r="C247" s="19" t="inlineStr">
        <is>
          <t>GRUPO EGESA (Egesa Engenharia S.A. + 9 group companies; see group members)</t>
        </is>
      </c>
      <c r="D247" s="20" t="inlineStr">
        <is>
          <t>NEW</t>
        </is>
      </c>
      <c r="E247" s="21" t="inlineStr"/>
      <c r="F247" s="20" t="inlineStr"/>
      <c r="G247" s="21" t="inlineStr"/>
      <c r="H247" s="20" t="inlineStr"/>
      <c r="I247" s="22" t="inlineStr">
        <is>
          <t>ALESSANDRO VERISSIMO SOUZA</t>
        </is>
      </c>
      <c r="J247" s="23" t="inlineStr">
        <is>
          <t>Diretor (RFB partner)</t>
        </is>
      </c>
      <c r="K247" s="22" t="inlineStr"/>
      <c r="L247" s="22" t="inlineStr"/>
      <c r="M247" s="22" t="inlineStr"/>
      <c r="N247" s="22" t="inlineStr"/>
      <c r="O247" s="22" t="inlineStr"/>
      <c r="P247" s="22" t="inlineStr">
        <is>
          <t>FERNANDO AZEREDO DINIZ</t>
        </is>
      </c>
      <c r="Q247" s="22" t="inlineStr">
        <is>
          <t>Diretor (RFB partner)</t>
        </is>
      </c>
      <c r="R247" s="22" t="inlineStr"/>
      <c r="S247" s="22" t="inlineStr"/>
      <c r="T247" s="22" t="inlineStr">
        <is>
          <t>DM = registered partner (RFB QSA); no Apollo match; NO ROUTE IN: no phone or email on file</t>
        </is>
      </c>
      <c r="U247" s="24" t="n">
        <v>470287.72</v>
      </c>
      <c r="V247" s="25" t="inlineStr">
        <is>
          <t>B</t>
        </is>
      </c>
      <c r="W247" s="26" t="inlineStr"/>
      <c r="X247" s="27" t="inlineStr"/>
      <c r="Y247" s="27" t="inlineStr"/>
      <c r="Z247" s="26">
        <f>IF(W247&lt;&gt;"",W247,IFERROR(VLOOKUP(V247,Assumptions!$A$8:$F$12,2,FALSE),0))</f>
        <v/>
      </c>
      <c r="AA247" s="28">
        <f>IF(V247="A",MAX(1,IF(X247&lt;&gt;"",X247,IFERROR(VLOOKUP(V247,Assumptions!$A$8:$F$12,3,FALSE),3))+IF(Y247&lt;&gt;"",Y247,IFERROR(VLOOKUP(V247,Assumptions!$A$8:$F$12,4,FALSE),8))/2-MAX(0,IF(AS247="",0,YEAR(TODAY())-AS247)-IFERROR(VLOOKUP(V247,Assumptions!$A$8:$F$12,5,FALSE),1.5))),IFERROR(VLOOKUP(V247,Assumptions!$A$8:$F$12,5,FALSE),2.5)+IF(X247&lt;&gt;"",X247,IFERROR(VLOOKUP(V247,Assumptions!$A$8:$F$12,3,FALSE),3))+IF(Y247&lt;&gt;"",Y247,IFERROR(VLOOKUP(V247,Assumptions!$A$8:$F$12,4,FALSE),8))/2)</f>
        <v/>
      </c>
      <c r="AB247" s="24">
        <f>U247*Z247/(1+Assumptions!$B$3)^AA247</f>
        <v/>
      </c>
      <c r="AC247" s="27">
        <f>IF(U247=0,"",ROUND(AB247/U247*100,1))</f>
        <v/>
      </c>
      <c r="AD247" s="29">
        <f>AB247*Assumptions!$B$4</f>
        <v/>
      </c>
      <c r="AE247" s="27">
        <f>IF(U247=0,"",ROUND(AD247/U247*100,1))</f>
        <v/>
      </c>
      <c r="AF247" s="29">
        <f>AB247-AD247</f>
        <v/>
      </c>
      <c r="AG247" s="27">
        <f>IF(U247=0,"",ROUND((AB247-AD247)/U247*100,1))</f>
        <v/>
      </c>
      <c r="AH247" s="30" t="inlineStr">
        <is>
          <t>OK — totals reconciled</t>
        </is>
      </c>
      <c r="AI247" s="31" t="inlineStr">
        <is>
          <t>https://scalzilliaj.com.br/sgc/download.php?file=files/processo_documento/processo_documento09514021082025_1_.pdf&amp;nome=04 - Relação de credores das Recuperandas</t>
        </is>
      </c>
      <c r="AJ247" s="30" t="inlineStr">
        <is>
          <t>p73 r14; p73 r15</t>
        </is>
      </c>
      <c r="AK247" s="30" t="inlineStr">
        <is>
          <t>p73: R$ 381.839,83; p73: R$ 88.447,89</t>
        </is>
      </c>
      <c r="AL247" s="30" t="inlineStr">
        <is>
          <t>Debtor list (art. 51)</t>
        </is>
      </c>
      <c r="AM247" s="30" t="inlineStr"/>
      <c r="AN247" s="30" t="inlineStr">
        <is>
          <t>NONE FOUND</t>
        </is>
      </c>
      <c r="AO247" s="32" t="inlineStr">
        <is>
          <t>5088952-81.2025.8.13.0024</t>
        </is>
      </c>
      <c r="AP247" s="32" t="inlineStr">
        <is>
          <t>TJMG</t>
        </is>
      </c>
      <c r="AQ247" s="32" t="inlineStr"/>
      <c r="AR247" s="32" t="inlineStr">
        <is>
          <t>DataJud: no closure/falência movement</t>
        </is>
      </c>
      <c r="AS247" s="32" t="n">
        <v>2025</v>
      </c>
      <c r="AT247" s="32" t="inlineStr">
        <is>
          <t>live case, no plan document yet; case no. from the portal record, not printed on the list</t>
        </is>
      </c>
      <c r="AU247" s="32" t="inlineStr"/>
      <c r="AV247" s="32" t="inlineStr">
        <is>
          <t>portal page title / URL — not printed on the list</t>
        </is>
      </c>
      <c r="AW247" s="32" t="inlineStr"/>
      <c r="AX247" s="32" t="inlineStr">
        <is>
          <t>BELO HORIZONTE</t>
        </is>
      </c>
      <c r="AY247" s="32" t="inlineStr">
        <is>
          <t>MG</t>
        </is>
      </c>
      <c r="AZ247" s="32" t="inlineStr">
        <is>
          <t>Outras obras de engenharia civil não especificadas anteriormente</t>
        </is>
      </c>
      <c r="BA247" s="32" t="inlineStr">
        <is>
          <t>não ME/EPP</t>
        </is>
      </c>
      <c r="BB247" s="33" t="n">
        <v>160000000</v>
      </c>
      <c r="BC247" s="32" t="inlineStr">
        <is>
          <t>MID-MARKET</t>
        </is>
      </c>
      <c r="BD247" s="32" t="inlineStr">
        <is>
          <t>34230979</t>
        </is>
      </c>
      <c r="BE247" s="32" t="n">
        <v>2</v>
      </c>
      <c r="BF247" s="32" t="inlineStr">
        <is>
          <t>case no. corrected by reader case no. from portal record no route in</t>
        </is>
      </c>
    </row>
    <row r="248">
      <c r="A248" s="17" t="inlineStr">
        <is>
          <t>LIBER EMPREENDIMENTOS IMOBILIARIOS LTDA</t>
        </is>
      </c>
      <c r="B248" s="18" t="n">
        <v>470000</v>
      </c>
      <c r="C248" s="19" t="inlineStr">
        <is>
          <t>GRUPO ADLIM</t>
        </is>
      </c>
      <c r="D248" s="20" t="inlineStr">
        <is>
          <t>NEW</t>
        </is>
      </c>
      <c r="E248" s="21" t="inlineStr"/>
      <c r="F248" s="20" t="inlineStr"/>
      <c r="G248" s="21" t="inlineStr"/>
      <c r="H248" s="20" t="inlineStr"/>
      <c r="I248" s="22" t="inlineStr">
        <is>
          <t>NILZA DINIZ SOUSA</t>
        </is>
      </c>
      <c r="J248" s="23" t="inlineStr">
        <is>
          <t>Sócio-Administrador (RFB partner)</t>
        </is>
      </c>
      <c r="K248" s="22" t="inlineStr">
        <is>
          <t>(81) 3252-6115</t>
        </is>
      </c>
      <c r="L248" s="22" t="inlineStr"/>
      <c r="M248" s="22" t="inlineStr"/>
      <c r="N248" s="22" t="inlineStr"/>
      <c r="O248" s="22" t="inlineStr"/>
      <c r="P248" s="22" t="inlineStr"/>
      <c r="Q248" s="22" t="inlineStr"/>
      <c r="R248" s="22" t="inlineStr"/>
      <c r="S248" s="22" t="inlineStr"/>
      <c r="T248" s="22" t="inlineStr">
        <is>
          <t>DM = registered partner (RFB QSA); no Apollo match</t>
        </is>
      </c>
      <c r="U248" s="24" t="n">
        <v>470000</v>
      </c>
      <c r="V248" s="25" t="inlineStr">
        <is>
          <t>B</t>
        </is>
      </c>
      <c r="W248" s="26" t="inlineStr"/>
      <c r="X248" s="27" t="inlineStr"/>
      <c r="Y248" s="27" t="inlineStr"/>
      <c r="Z248" s="26">
        <f>IF(W248&lt;&gt;"",W248,IFERROR(VLOOKUP(V248,Assumptions!$A$8:$F$12,2,FALSE),0))</f>
        <v/>
      </c>
      <c r="AA248" s="28">
        <f>IF(V248="A",MAX(1,IF(X248&lt;&gt;"",X248,IFERROR(VLOOKUP(V248,Assumptions!$A$8:$F$12,3,FALSE),3))+IF(Y248&lt;&gt;"",Y248,IFERROR(VLOOKUP(V248,Assumptions!$A$8:$F$12,4,FALSE),8))/2-MAX(0,IF(AS248="",0,YEAR(TODAY())-AS248)-IFERROR(VLOOKUP(V248,Assumptions!$A$8:$F$12,5,FALSE),1.5))),IFERROR(VLOOKUP(V248,Assumptions!$A$8:$F$12,5,FALSE),2.5)+IF(X248&lt;&gt;"",X248,IFERROR(VLOOKUP(V248,Assumptions!$A$8:$F$12,3,FALSE),3))+IF(Y248&lt;&gt;"",Y248,IFERROR(VLOOKUP(V248,Assumptions!$A$8:$F$12,4,FALSE),8))/2)</f>
        <v/>
      </c>
      <c r="AB248" s="24">
        <f>U248*Z248/(1+Assumptions!$B$3)^AA248</f>
        <v/>
      </c>
      <c r="AC248" s="27">
        <f>IF(U248=0,"",ROUND(AB248/U248*100,1))</f>
        <v/>
      </c>
      <c r="AD248" s="29">
        <f>AB248*Assumptions!$B$4</f>
        <v/>
      </c>
      <c r="AE248" s="27">
        <f>IF(U248=0,"",ROUND(AD248/U248*100,1))</f>
        <v/>
      </c>
      <c r="AF248" s="29">
        <f>AB248-AD248</f>
        <v/>
      </c>
      <c r="AG248" s="27">
        <f>IF(U248=0,"",ROUND((AB248-AD248)/U248*100,1))</f>
        <v/>
      </c>
      <c r="AH248" s="35" t="inlineStr">
        <is>
          <t>PARTIAL — class III reconciled, other classes not</t>
        </is>
      </c>
      <c r="AI248" s="31" t="inlineStr">
        <is>
          <t>https://lrflideres.com.br/wp-content/plugins/download-attachments/includes/download.php?id=6051</t>
        </is>
      </c>
      <c r="AJ248" s="30" t="inlineStr">
        <is>
          <t>p67 r22</t>
        </is>
      </c>
      <c r="AK248" s="30" t="inlineStr">
        <is>
          <t>p67: R$ 470000,00</t>
        </is>
      </c>
      <c r="AL248" s="30" t="inlineStr">
        <is>
          <t>AJ list (art. 7 §2)</t>
        </is>
      </c>
      <c r="AM248" s="30" t="inlineStr">
        <is>
          <t>2024-08-12</t>
        </is>
      </c>
      <c r="AN248" s="30" t="inlineStr">
        <is>
          <t>NONE FOUND</t>
        </is>
      </c>
      <c r="AO248" s="32" t="inlineStr">
        <is>
          <t>0019761-43.2024.8.17.2001</t>
        </is>
      </c>
      <c r="AP248" s="32" t="inlineStr">
        <is>
          <t>TJPE</t>
        </is>
      </c>
      <c r="AQ248" s="32" t="inlineStr">
        <is>
          <t>Recuperação judicial</t>
        </is>
      </c>
      <c r="AR248" s="32" t="inlineStr">
        <is>
          <t>DataJud: no closure/falência movement</t>
        </is>
      </c>
      <c r="AS248" s="32" t="n">
        <v>2024</v>
      </c>
      <c r="AT248" s="32" t="inlineStr">
        <is>
          <t>live case, no plan document yet</t>
        </is>
      </c>
      <c r="AU248" s="32" t="inlineStr"/>
      <c r="AV248" s="32" t="inlineStr">
        <is>
          <t>printed on the list (read twice)</t>
        </is>
      </c>
      <c r="AW248" s="32" t="inlineStr"/>
      <c r="AX248" s="32" t="inlineStr">
        <is>
          <t>RECIFE</t>
        </is>
      </c>
      <c r="AY248" s="32" t="inlineStr">
        <is>
          <t>PE</t>
        </is>
      </c>
      <c r="AZ248" s="32" t="inlineStr">
        <is>
          <t>Compra e venda de imóveis próprios</t>
        </is>
      </c>
      <c r="BA248" s="32" t="inlineStr">
        <is>
          <t>não ME/EPP</t>
        </is>
      </c>
      <c r="BB248" s="33" t="n">
        <v>2600000</v>
      </c>
      <c r="BC248" s="32" t="inlineStr">
        <is>
          <t>MID-MARKET</t>
        </is>
      </c>
      <c r="BD248" s="32" t="inlineStr">
        <is>
          <t>11841434</t>
        </is>
      </c>
      <c r="BE248" s="32" t="n">
        <v>1</v>
      </c>
      <c r="BF248" s="32" t="inlineStr">
        <is>
          <t>class III reconciled (doc partial)</t>
        </is>
      </c>
    </row>
    <row r="249">
      <c r="A249" s="17" t="inlineStr">
        <is>
          <t>AGROFOODS BRASIL ALIMENTO S/A</t>
        </is>
      </c>
      <c r="B249" s="18" t="n">
        <v>469262.66</v>
      </c>
      <c r="C249" s="37" t="inlineStr">
        <is>
          <t>(debtor not identified — see proof)</t>
        </is>
      </c>
      <c r="D249" s="20" t="inlineStr">
        <is>
          <t>NEW</t>
        </is>
      </c>
      <c r="E249" s="21" t="inlineStr"/>
      <c r="F249" s="20" t="inlineStr"/>
      <c r="G249" s="21" t="inlineStr"/>
      <c r="H249" s="20" t="inlineStr"/>
      <c r="I249" s="22" t="inlineStr">
        <is>
          <t>Juliano Pucci</t>
        </is>
      </c>
      <c r="J249" s="22" t="inlineStr">
        <is>
          <t>Gerente Industrial na Agrofoods Brasil Alimento S/A</t>
        </is>
      </c>
      <c r="K249" s="22" t="inlineStr">
        <is>
          <t>(16) 3820-9004</t>
        </is>
      </c>
      <c r="L249" s="22" t="inlineStr"/>
      <c r="M249" s="22" t="inlineStr"/>
      <c r="N249" s="22" t="inlineStr">
        <is>
          <t>juliano.pucci@agrofoods.ind.br</t>
        </is>
      </c>
      <c r="O249" s="22" t="inlineStr">
        <is>
          <t>verified</t>
        </is>
      </c>
      <c r="P249" s="22" t="inlineStr">
        <is>
          <t>SIMON NEMER FERREIRA ABDUL MASSIH</t>
        </is>
      </c>
      <c r="Q249" s="22" t="inlineStr">
        <is>
          <t>Presidente (RFB partner)</t>
        </is>
      </c>
      <c r="R249" s="22" t="inlineStr"/>
      <c r="S249" s="22" t="inlineStr"/>
      <c r="T249" s="22" t="inlineStr">
        <is>
          <t>DM: weak, has_email, phone Yes</t>
        </is>
      </c>
      <c r="U249" s="24" t="n">
        <v>469262.66</v>
      </c>
      <c r="V249" s="25" t="inlineStr">
        <is>
          <t>B</t>
        </is>
      </c>
      <c r="W249" s="26" t="inlineStr"/>
      <c r="X249" s="27" t="inlineStr"/>
      <c r="Y249" s="27" t="inlineStr"/>
      <c r="Z249" s="26">
        <f>IF(W249&lt;&gt;"",W249,IFERROR(VLOOKUP(V249,Assumptions!$A$8:$F$12,2,FALSE),0))</f>
        <v/>
      </c>
      <c r="AA249" s="28">
        <f>IF(V249="A",MAX(1,IF(X249&lt;&gt;"",X249,IFERROR(VLOOKUP(V249,Assumptions!$A$8:$F$12,3,FALSE),3))+IF(Y249&lt;&gt;"",Y249,IFERROR(VLOOKUP(V249,Assumptions!$A$8:$F$12,4,FALSE),8))/2-MAX(0,IF(AS249="",0,YEAR(TODAY())-AS249)-IFERROR(VLOOKUP(V249,Assumptions!$A$8:$F$12,5,FALSE),1.5))),IFERROR(VLOOKUP(V249,Assumptions!$A$8:$F$12,5,FALSE),2.5)+IF(X249&lt;&gt;"",X249,IFERROR(VLOOKUP(V249,Assumptions!$A$8:$F$12,3,FALSE),3))+IF(Y249&lt;&gt;"",Y249,IFERROR(VLOOKUP(V249,Assumptions!$A$8:$F$12,4,FALSE),8))/2)</f>
        <v/>
      </c>
      <c r="AB249" s="24">
        <f>U249*Z249/(1+Assumptions!$B$3)^AA249</f>
        <v/>
      </c>
      <c r="AC249" s="27">
        <f>IF(U249=0,"",ROUND(AB249/U249*100,1))</f>
        <v/>
      </c>
      <c r="AD249" s="29">
        <f>AB249*Assumptions!$B$4</f>
        <v/>
      </c>
      <c r="AE249" s="27">
        <f>IF(U249=0,"",ROUND(AD249/U249*100,1))</f>
        <v/>
      </c>
      <c r="AF249" s="29">
        <f>AB249-AD249</f>
        <v/>
      </c>
      <c r="AG249" s="27">
        <f>IF(U249=0,"",ROUND((AB249-AD249)/U249*100,1))</f>
        <v/>
      </c>
      <c r="AH249" s="30" t="inlineStr">
        <is>
          <t>OK — totals reconciled</t>
        </is>
      </c>
      <c r="AI249" s="31" t="inlineStr">
        <is>
          <t>https://ajruiz.com.br/sites/default/files/public/arquivos-processos/2024-04/relacao_de_credores_recuperanda_1.pdf</t>
        </is>
      </c>
      <c r="AJ249" s="30" t="inlineStr">
        <is>
          <t>p2 r4; p2 r5; p2 r6</t>
        </is>
      </c>
      <c r="AK249" s="30" t="inlineStr">
        <is>
          <t>p2: R$ 231.398,66; p2: R$ 117.480,00; p2: R$ 120.384,00</t>
        </is>
      </c>
      <c r="AL249" s="30" t="inlineStr">
        <is>
          <t>QGC (art. 18)</t>
        </is>
      </c>
      <c r="AM249" s="30" t="inlineStr">
        <is>
          <t>2024-01-31</t>
        </is>
      </c>
      <c r="AN249" s="30" t="inlineStr">
        <is>
          <t>NONE FOUND</t>
        </is>
      </c>
      <c r="AO249" s="32" t="inlineStr">
        <is>
          <t>1022634-27.2024.8.26.0100</t>
        </is>
      </c>
      <c r="AP249" s="32" t="inlineStr">
        <is>
          <t>TJSP</t>
        </is>
      </c>
      <c r="AQ249" s="32" t="inlineStr"/>
      <c r="AR249" s="32" t="inlineStr">
        <is>
          <t>not in DataJud</t>
        </is>
      </c>
      <c r="AS249" s="32" t="n">
        <v>2024</v>
      </c>
      <c r="AT249" s="32" t="inlineStr">
        <is>
          <t>live case, no plan document yet; case no. from the portal record, not printed on the list</t>
        </is>
      </c>
      <c r="AU249" s="32" t="inlineStr"/>
      <c r="AV249" s="32" t="inlineStr">
        <is>
          <t>not identified</t>
        </is>
      </c>
      <c r="AW249" s="32" t="inlineStr"/>
      <c r="AX249" s="32" t="inlineStr">
        <is>
          <t>ORLANDIA</t>
        </is>
      </c>
      <c r="AY249" s="32" t="inlineStr">
        <is>
          <t>SP</t>
        </is>
      </c>
      <c r="AZ249" s="32" t="inlineStr">
        <is>
          <t>Fabricação de óleos vegetais em bruto, exceto óleo de milho</t>
        </is>
      </c>
      <c r="BA249" s="32" t="inlineStr">
        <is>
          <t>não ME/EPP</t>
        </is>
      </c>
      <c r="BB249" s="33" t="n">
        <v>5000000</v>
      </c>
      <c r="BC249" s="32" t="inlineStr">
        <is>
          <t>MID-MARKET</t>
        </is>
      </c>
      <c r="BD249" s="32" t="inlineStr">
        <is>
          <t>38081947</t>
        </is>
      </c>
      <c r="BE249" s="32" t="n">
        <v>3</v>
      </c>
      <c r="BF249" s="32" t="inlineStr">
        <is>
          <t>case no. corrected by reader</t>
        </is>
      </c>
    </row>
    <row r="250">
      <c r="A250" s="17" t="inlineStr">
        <is>
          <t>CROPFERT INDUSTRIA DE FERTILIZANTES E AGROQUIMICOS LTDA</t>
        </is>
      </c>
      <c r="B250" s="18" t="n">
        <v>467392</v>
      </c>
      <c r="C250" s="19" t="inlineStr">
        <is>
          <t>SOJAL COMERCIAL AGRICOLA LTDA e OUTROS</t>
        </is>
      </c>
      <c r="D250" s="20" t="inlineStr">
        <is>
          <t>NEW</t>
        </is>
      </c>
      <c r="E250" s="21" t="inlineStr"/>
      <c r="F250" s="20" t="inlineStr"/>
      <c r="G250" s="21" t="inlineStr"/>
      <c r="H250" s="20" t="inlineStr"/>
      <c r="I250" s="22" t="inlineStr">
        <is>
          <t>ANDERSON JOSE FAUSTINO</t>
        </is>
      </c>
      <c r="J250" s="23" t="inlineStr">
        <is>
          <t>Administrador (RFB partner)</t>
        </is>
      </c>
      <c r="K250" s="22" t="inlineStr">
        <is>
          <t>(43) 3162-2700</t>
        </is>
      </c>
      <c r="L250" s="22" t="inlineStr"/>
      <c r="M250" s="22" t="inlineStr"/>
      <c r="N250" s="22" t="inlineStr"/>
      <c r="O250" s="22" t="inlineStr"/>
      <c r="P250" s="22" t="inlineStr">
        <is>
          <t>RODERLEY CLEMENTE DA SILVA</t>
        </is>
      </c>
      <c r="Q250" s="22" t="inlineStr">
        <is>
          <t>Administrador (RFB partner)</t>
        </is>
      </c>
      <c r="R250" s="22" t="inlineStr"/>
      <c r="S250" s="22" t="inlineStr"/>
      <c r="T250" s="22" t="inlineStr">
        <is>
          <t>DM = registered partner (RFB QSA); no Apollo match</t>
        </is>
      </c>
      <c r="U250" s="24" t="n">
        <v>467392</v>
      </c>
      <c r="V250" s="25" t="inlineStr">
        <is>
          <t>B</t>
        </is>
      </c>
      <c r="W250" s="26" t="inlineStr"/>
      <c r="X250" s="27" t="inlineStr"/>
      <c r="Y250" s="27" t="inlineStr"/>
      <c r="Z250" s="26">
        <f>IF(W250&lt;&gt;"",W250,IFERROR(VLOOKUP(V250,Assumptions!$A$8:$F$12,2,FALSE),0))</f>
        <v/>
      </c>
      <c r="AA250" s="28">
        <f>IF(V250="A",MAX(1,IF(X250&lt;&gt;"",X250,IFERROR(VLOOKUP(V250,Assumptions!$A$8:$F$12,3,FALSE),3))+IF(Y250&lt;&gt;"",Y250,IFERROR(VLOOKUP(V250,Assumptions!$A$8:$F$12,4,FALSE),8))/2-MAX(0,IF(AS250="",0,YEAR(TODAY())-AS250)-IFERROR(VLOOKUP(V250,Assumptions!$A$8:$F$12,5,FALSE),1.5))),IFERROR(VLOOKUP(V250,Assumptions!$A$8:$F$12,5,FALSE),2.5)+IF(X250&lt;&gt;"",X250,IFERROR(VLOOKUP(V250,Assumptions!$A$8:$F$12,3,FALSE),3))+IF(Y250&lt;&gt;"",Y250,IFERROR(VLOOKUP(V250,Assumptions!$A$8:$F$12,4,FALSE),8))/2)</f>
        <v/>
      </c>
      <c r="AB250" s="24">
        <f>U250*Z250/(1+Assumptions!$B$3)^AA250</f>
        <v/>
      </c>
      <c r="AC250" s="27">
        <f>IF(U250=0,"",ROUND(AB250/U250*100,1))</f>
        <v/>
      </c>
      <c r="AD250" s="29">
        <f>AB250*Assumptions!$B$4</f>
        <v/>
      </c>
      <c r="AE250" s="27">
        <f>IF(U250=0,"",ROUND(AD250/U250*100,1))</f>
        <v/>
      </c>
      <c r="AF250" s="29">
        <f>AB250-AD250</f>
        <v/>
      </c>
      <c r="AG250" s="27">
        <f>IF(U250=0,"",ROUND((AB250-AD250)/U250*100,1))</f>
        <v/>
      </c>
      <c r="AH250" s="30" t="inlineStr">
        <is>
          <t>OK — totals reconciled</t>
        </is>
      </c>
      <c r="AI250" s="31" t="inlineStr">
        <is>
          <t>https://lrflideres.com.br/wp-content/plugins/download-attachments/includes/download.php?id=6879</t>
        </is>
      </c>
      <c r="AJ250" s="30" t="inlineStr">
        <is>
          <t>p1 r12</t>
        </is>
      </c>
      <c r="AK250" s="30" t="inlineStr">
        <is>
          <t>p1: R$ 467.392,00</t>
        </is>
      </c>
      <c r="AL250" s="30" t="inlineStr">
        <is>
          <t>AJ list (art. 7 §2)</t>
        </is>
      </c>
      <c r="AM250" s="30" t="inlineStr">
        <is>
          <t>2026-01-15</t>
        </is>
      </c>
      <c r="AN250" s="30" t="inlineStr">
        <is>
          <t>NONE FOUND</t>
        </is>
      </c>
      <c r="AO250" s="32" t="inlineStr">
        <is>
          <t>0804401-51.2025.8.14.0039</t>
        </is>
      </c>
      <c r="AP250" s="32" t="inlineStr">
        <is>
          <t>TJPA</t>
        </is>
      </c>
      <c r="AQ250" s="32" t="inlineStr">
        <is>
          <t>Recuperação judicial</t>
        </is>
      </c>
      <c r="AR250" s="32" t="inlineStr">
        <is>
          <t>DataJud: no closure/falência movement</t>
        </is>
      </c>
      <c r="AS250" s="32" t="n">
        <v>2025</v>
      </c>
      <c r="AT250" s="32" t="inlineStr">
        <is>
          <t>live case, no plan document yet</t>
        </is>
      </c>
      <c r="AU250" s="32" t="inlineStr"/>
      <c r="AV250" s="32" t="inlineStr">
        <is>
          <t>printed on the list (read twice)</t>
        </is>
      </c>
      <c r="AW250" s="32" t="inlineStr"/>
      <c r="AX250" s="32" t="inlineStr">
        <is>
          <t>JANDAIA DO SUL</t>
        </is>
      </c>
      <c r="AY250" s="32" t="inlineStr">
        <is>
          <t>PR</t>
        </is>
      </c>
      <c r="AZ250" s="32" t="inlineStr">
        <is>
          <t>Fabricação de defensivos agrícolas</t>
        </is>
      </c>
      <c r="BA250" s="32" t="inlineStr">
        <is>
          <t>não ME/EPP</t>
        </is>
      </c>
      <c r="BB250" s="33" t="n">
        <v>6000000</v>
      </c>
      <c r="BC250" s="32" t="inlineStr">
        <is>
          <t>MID-MARKET</t>
        </is>
      </c>
      <c r="BD250" s="32" t="inlineStr">
        <is>
          <t>18373437</t>
        </is>
      </c>
      <c r="BE250" s="32" t="n">
        <v>1</v>
      </c>
      <c r="BF250" s="32" t="inlineStr"/>
    </row>
    <row r="251">
      <c r="A251" s="17" t="inlineStr">
        <is>
          <t>TOP50 LOCADORA DE EQUIPAMENTOS LTDA</t>
        </is>
      </c>
      <c r="B251" s="18" t="n">
        <v>462152.49</v>
      </c>
      <c r="C251" s="19" t="inlineStr">
        <is>
          <t>GRUPO EGESA (Egesa Engenharia S.A. + 9 group companies; see group members)</t>
        </is>
      </c>
      <c r="D251" s="20" t="inlineStr">
        <is>
          <t>NEW</t>
        </is>
      </c>
      <c r="E251" s="21" t="inlineStr"/>
      <c r="F251" s="20" t="inlineStr"/>
      <c r="G251" s="21" t="inlineStr"/>
      <c r="H251" s="20" t="inlineStr"/>
      <c r="I251" s="22" t="inlineStr">
        <is>
          <t>FERNANDO GODOY BUZOLIN</t>
        </is>
      </c>
      <c r="J251" s="23" t="inlineStr">
        <is>
          <t>Administrador (RFB partner)</t>
        </is>
      </c>
      <c r="K251" s="22" t="inlineStr">
        <is>
          <t>(11) 3116-5050</t>
        </is>
      </c>
      <c r="L251" s="22" t="inlineStr"/>
      <c r="M251" s="22" t="inlineStr"/>
      <c r="N251" s="22" t="inlineStr"/>
      <c r="O251" s="22" t="inlineStr"/>
      <c r="P251" s="22" t="inlineStr">
        <is>
          <t>REINALDO FRANCISCO DE MESQUITA</t>
        </is>
      </c>
      <c r="Q251" s="22" t="inlineStr">
        <is>
          <t>Administrador (RFB partner)</t>
        </is>
      </c>
      <c r="R251" s="22" t="inlineStr"/>
      <c r="S251" s="22" t="inlineStr"/>
      <c r="T251" s="22" t="inlineStr">
        <is>
          <t>DM = registered partner (RFB QSA); no Apollo match</t>
        </is>
      </c>
      <c r="U251" s="24" t="n">
        <v>462152.49</v>
      </c>
      <c r="V251" s="25" t="inlineStr">
        <is>
          <t>B</t>
        </is>
      </c>
      <c r="W251" s="26" t="inlineStr"/>
      <c r="X251" s="27" t="inlineStr"/>
      <c r="Y251" s="27" t="inlineStr"/>
      <c r="Z251" s="26">
        <f>IF(W251&lt;&gt;"",W251,IFERROR(VLOOKUP(V251,Assumptions!$A$8:$F$12,2,FALSE),0))</f>
        <v/>
      </c>
      <c r="AA251" s="28">
        <f>IF(V251="A",MAX(1,IF(X251&lt;&gt;"",X251,IFERROR(VLOOKUP(V251,Assumptions!$A$8:$F$12,3,FALSE),3))+IF(Y251&lt;&gt;"",Y251,IFERROR(VLOOKUP(V251,Assumptions!$A$8:$F$12,4,FALSE),8))/2-MAX(0,IF(AS251="",0,YEAR(TODAY())-AS251)-IFERROR(VLOOKUP(V251,Assumptions!$A$8:$F$12,5,FALSE),1.5))),IFERROR(VLOOKUP(V251,Assumptions!$A$8:$F$12,5,FALSE),2.5)+IF(X251&lt;&gt;"",X251,IFERROR(VLOOKUP(V251,Assumptions!$A$8:$F$12,3,FALSE),3))+IF(Y251&lt;&gt;"",Y251,IFERROR(VLOOKUP(V251,Assumptions!$A$8:$F$12,4,FALSE),8))/2)</f>
        <v/>
      </c>
      <c r="AB251" s="24">
        <f>U251*Z251/(1+Assumptions!$B$3)^AA251</f>
        <v/>
      </c>
      <c r="AC251" s="27">
        <f>IF(U251=0,"",ROUND(AB251/U251*100,1))</f>
        <v/>
      </c>
      <c r="AD251" s="29">
        <f>AB251*Assumptions!$B$4</f>
        <v/>
      </c>
      <c r="AE251" s="27">
        <f>IF(U251=0,"",ROUND(AD251/U251*100,1))</f>
        <v/>
      </c>
      <c r="AF251" s="29">
        <f>AB251-AD251</f>
        <v/>
      </c>
      <c r="AG251" s="27">
        <f>IF(U251=0,"",ROUND((AB251-AD251)/U251*100,1))</f>
        <v/>
      </c>
      <c r="AH251" s="30" t="inlineStr">
        <is>
          <t>OK — totals reconciled</t>
        </is>
      </c>
      <c r="AI251" s="31" t="inlineStr">
        <is>
          <t>https://scalzilliaj.com.br/sgc/download.php?file=files/processo_documento/processo_documento09514021082025_1_.pdf&amp;nome=04 - Relação de credores das Recuperandas</t>
        </is>
      </c>
      <c r="AJ251" s="30" t="inlineStr">
        <is>
          <t>p65 r7</t>
        </is>
      </c>
      <c r="AK251" s="30" t="inlineStr">
        <is>
          <t>p65: R$ 462.152,49</t>
        </is>
      </c>
      <c r="AL251" s="30" t="inlineStr">
        <is>
          <t>Debtor list (art. 51)</t>
        </is>
      </c>
      <c r="AM251" s="30" t="inlineStr"/>
      <c r="AN251" s="30" t="inlineStr">
        <is>
          <t>NONE FOUND</t>
        </is>
      </c>
      <c r="AO251" s="32" t="inlineStr">
        <is>
          <t>5088952-81.2025.8.13.0024</t>
        </is>
      </c>
      <c r="AP251" s="32" t="inlineStr">
        <is>
          <t>TJMG</t>
        </is>
      </c>
      <c r="AQ251" s="32" t="inlineStr"/>
      <c r="AR251" s="32" t="inlineStr">
        <is>
          <t>DataJud: no closure/falência movement</t>
        </is>
      </c>
      <c r="AS251" s="32" t="n">
        <v>2025</v>
      </c>
      <c r="AT251" s="32" t="inlineStr">
        <is>
          <t>live case, no plan document yet; case no. from the portal record, not printed on the list</t>
        </is>
      </c>
      <c r="AU251" s="32" t="inlineStr"/>
      <c r="AV251" s="32" t="inlineStr">
        <is>
          <t>portal page title / URL — not printed on the list</t>
        </is>
      </c>
      <c r="AW251" s="32" t="inlineStr"/>
      <c r="AX251" s="32" t="inlineStr">
        <is>
          <t>GUARULHOS</t>
        </is>
      </c>
      <c r="AY251" s="32" t="inlineStr">
        <is>
          <t>SP</t>
        </is>
      </c>
      <c r="AZ251" s="32" t="inlineStr">
        <is>
          <t>Aluguel de máquinas e equipamentos para construção sem operador, exceto andaimes</t>
        </is>
      </c>
      <c r="BA251" s="32" t="inlineStr">
        <is>
          <t>não ME/EPP</t>
        </is>
      </c>
      <c r="BB251" s="33" t="n">
        <v>45212532</v>
      </c>
      <c r="BC251" s="32" t="inlineStr">
        <is>
          <t>MID-MARKET</t>
        </is>
      </c>
      <c r="BD251" s="32" t="inlineStr">
        <is>
          <t>29958527</t>
        </is>
      </c>
      <c r="BE251" s="32" t="n">
        <v>1</v>
      </c>
      <c r="BF251" s="32" t="inlineStr">
        <is>
          <t>case no. corrected by reader case no. from portal record</t>
        </is>
      </c>
    </row>
    <row r="252">
      <c r="A252" s="17" t="inlineStr">
        <is>
          <t>ALTOMAX COMERCIO DE MEIAS E COBERTORES, IMPORTACAO E EXPORTACAO LTDA</t>
        </is>
      </c>
      <c r="B252" s="18" t="n">
        <v>460120.8</v>
      </c>
      <c r="C252" s="19" t="inlineStr">
        <is>
          <t>GRUPO CATTAN</t>
        </is>
      </c>
      <c r="D252" s="20" t="inlineStr">
        <is>
          <t>NEW</t>
        </is>
      </c>
      <c r="E252" s="21" t="inlineStr"/>
      <c r="F252" s="20" t="inlineStr"/>
      <c r="G252" s="21" t="inlineStr"/>
      <c r="H252" s="20" t="inlineStr"/>
      <c r="I252" s="22" t="inlineStr">
        <is>
          <t>ANDRE EGIDIO FARIAS PARIZE</t>
        </is>
      </c>
      <c r="J252" s="23" t="inlineStr">
        <is>
          <t>Administrador (RFB partner)</t>
        </is>
      </c>
      <c r="K252" s="22" t="inlineStr">
        <is>
          <t>(45) 3574-5322</t>
        </is>
      </c>
      <c r="L252" s="22" t="inlineStr"/>
      <c r="M252" s="22" t="inlineStr"/>
      <c r="N252" s="22" t="inlineStr"/>
      <c r="O252" s="22" t="inlineStr"/>
      <c r="P252" s="22" t="inlineStr"/>
      <c r="Q252" s="22" t="inlineStr"/>
      <c r="R252" s="22" t="inlineStr"/>
      <c r="S252" s="22" t="inlineStr"/>
      <c r="T252" s="22" t="inlineStr">
        <is>
          <t>DM = registered partner (RFB QSA); no Apollo match</t>
        </is>
      </c>
      <c r="U252" s="24" t="n">
        <v>460120.8</v>
      </c>
      <c r="V252" s="25" t="inlineStr">
        <is>
          <t>B</t>
        </is>
      </c>
      <c r="W252" s="26" t="inlineStr"/>
      <c r="X252" s="27" t="inlineStr"/>
      <c r="Y252" s="27" t="inlineStr"/>
      <c r="Z252" s="26">
        <f>IF(W252&lt;&gt;"",W252,IFERROR(VLOOKUP(V252,Assumptions!$A$8:$F$12,2,FALSE),0))</f>
        <v/>
      </c>
      <c r="AA252" s="28">
        <f>IF(V252="A",MAX(1,IF(X252&lt;&gt;"",X252,IFERROR(VLOOKUP(V252,Assumptions!$A$8:$F$12,3,FALSE),3))+IF(Y252&lt;&gt;"",Y252,IFERROR(VLOOKUP(V252,Assumptions!$A$8:$F$12,4,FALSE),8))/2-MAX(0,IF(AS252="",0,YEAR(TODAY())-AS252)-IFERROR(VLOOKUP(V252,Assumptions!$A$8:$F$12,5,FALSE),1.5))),IFERROR(VLOOKUP(V252,Assumptions!$A$8:$F$12,5,FALSE),2.5)+IF(X252&lt;&gt;"",X252,IFERROR(VLOOKUP(V252,Assumptions!$A$8:$F$12,3,FALSE),3))+IF(Y252&lt;&gt;"",Y252,IFERROR(VLOOKUP(V252,Assumptions!$A$8:$F$12,4,FALSE),8))/2)</f>
        <v/>
      </c>
      <c r="AB252" s="24">
        <f>U252*Z252/(1+Assumptions!$B$3)^AA252</f>
        <v/>
      </c>
      <c r="AC252" s="27">
        <f>IF(U252=0,"",ROUND(AB252/U252*100,1))</f>
        <v/>
      </c>
      <c r="AD252" s="29">
        <f>AB252*Assumptions!$B$4</f>
        <v/>
      </c>
      <c r="AE252" s="27">
        <f>IF(U252=0,"",ROUND(AD252/U252*100,1))</f>
        <v/>
      </c>
      <c r="AF252" s="29">
        <f>AB252-AD252</f>
        <v/>
      </c>
      <c r="AG252" s="27">
        <f>IF(U252=0,"",ROUND((AB252-AD252)/U252*100,1))</f>
        <v/>
      </c>
      <c r="AH252" s="35" t="inlineStr">
        <is>
          <t>PARTIAL — class III reconciled, other classes not</t>
        </is>
      </c>
      <c r="AI252" s="31" t="inlineStr">
        <is>
          <t>https://lrflideres.com.br/wp-content/plugins/download-attachments/includes/download.php?id=4023</t>
        </is>
      </c>
      <c r="AJ252" s="30" t="inlineStr">
        <is>
          <t>p4 r53; p7 r73; p9 r56</t>
        </is>
      </c>
      <c r="AK252" s="30" t="inlineStr">
        <is>
          <t>p4: R$ 35.372,00; p7: R$ 344.791,28; p9: R$ 79.957,52</t>
        </is>
      </c>
      <c r="AL252" s="30" t="inlineStr">
        <is>
          <t>Debtor list (art. 51)</t>
        </is>
      </c>
      <c r="AM252" s="30" t="inlineStr"/>
      <c r="AN252" s="30" t="inlineStr">
        <is>
          <t>NONE FOUND</t>
        </is>
      </c>
      <c r="AO252" s="32" t="inlineStr">
        <is>
          <t>0002484-82.2022.8.17.2001</t>
        </is>
      </c>
      <c r="AP252" s="32" t="inlineStr">
        <is>
          <t>TJPE</t>
        </is>
      </c>
      <c r="AQ252" s="32" t="inlineStr">
        <is>
          <t>Recuperação judicial</t>
        </is>
      </c>
      <c r="AR252" s="32" t="inlineStr">
        <is>
          <t>DataJud: no closure/falência movement</t>
        </is>
      </c>
      <c r="AS252" s="32" t="n">
        <v>2022</v>
      </c>
      <c r="AT252" s="32" t="inlineStr">
        <is>
          <t>live case, no plan document yet</t>
        </is>
      </c>
      <c r="AU252" s="32" t="inlineStr"/>
      <c r="AV252" s="32" t="inlineStr">
        <is>
          <t>printed on the list (read twice)</t>
        </is>
      </c>
      <c r="AW252" s="32" t="inlineStr"/>
      <c r="AX252" s="32" t="inlineStr">
        <is>
          <t>FOZ DO IGUACU</t>
        </is>
      </c>
      <c r="AY252" s="32" t="inlineStr">
        <is>
          <t>PR</t>
        </is>
      </c>
      <c r="AZ252" s="32" t="inlineStr">
        <is>
          <t>Comércio atacadista de artigos de cama, mesa e banho</t>
        </is>
      </c>
      <c r="BA252" s="32" t="inlineStr">
        <is>
          <t>não ME/EPP</t>
        </is>
      </c>
      <c r="BB252" s="33" t="n">
        <v>5179647</v>
      </c>
      <c r="BC252" s="32" t="inlineStr">
        <is>
          <t>MID-MARKET</t>
        </is>
      </c>
      <c r="BD252" s="32" t="inlineStr">
        <is>
          <t>08307549</t>
        </is>
      </c>
      <c r="BE252" s="32" t="n">
        <v>3</v>
      </c>
      <c r="BF252" s="32" t="inlineStr">
        <is>
          <t>class III reconciled (doc partial)</t>
        </is>
      </c>
    </row>
    <row r="253">
      <c r="A253" s="17" t="inlineStr">
        <is>
          <t>LIFECOR COMERCIO DE PRODUTOS HOSPITALARES LTDA</t>
        </is>
      </c>
      <c r="B253" s="18" t="n">
        <v>459688.97</v>
      </c>
      <c r="C253" s="19" t="inlineStr">
        <is>
          <t>ASSOCIAÇÃO DE CARIDADE SANTA CASA DO RIO GRANDE</t>
        </is>
      </c>
      <c r="D253" s="20" t="inlineStr">
        <is>
          <t>NEW</t>
        </is>
      </c>
      <c r="E253" s="21" t="inlineStr"/>
      <c r="F253" s="20" t="inlineStr"/>
      <c r="G253" s="21" t="inlineStr"/>
      <c r="H253" s="20" t="inlineStr"/>
      <c r="I253" s="22" t="inlineStr">
        <is>
          <t>ELEONARDA TEREZINHA DOS SANTOS SAMPAIO</t>
        </is>
      </c>
      <c r="J253" s="23" t="inlineStr">
        <is>
          <t>Sócio-Administrador (RFB partner)</t>
        </is>
      </c>
      <c r="K253" s="22" t="inlineStr">
        <is>
          <t>(51) 3219-4026</t>
        </is>
      </c>
      <c r="L253" s="22" t="inlineStr"/>
      <c r="M253" s="22" t="inlineStr"/>
      <c r="N253" s="22" t="inlineStr"/>
      <c r="O253" s="22" t="inlineStr"/>
      <c r="P253" s="22" t="inlineStr">
        <is>
          <t>MARCO LANIUS RAUBER</t>
        </is>
      </c>
      <c r="Q253" s="22" t="inlineStr">
        <is>
          <t>Sócio-Administrador (RFB partner)</t>
        </is>
      </c>
      <c r="R253" s="22" t="inlineStr"/>
      <c r="S253" s="22" t="inlineStr"/>
      <c r="T253" s="22" t="inlineStr">
        <is>
          <t>DM = registered partner (RFB QSA); no Apollo match</t>
        </is>
      </c>
      <c r="U253" s="24" t="n">
        <v>459688.97</v>
      </c>
      <c r="V253" s="25" t="inlineStr">
        <is>
          <t>B</t>
        </is>
      </c>
      <c r="W253" s="26" t="inlineStr"/>
      <c r="X253" s="27" t="inlineStr"/>
      <c r="Y253" s="27" t="inlineStr"/>
      <c r="Z253" s="26">
        <f>IF(W253&lt;&gt;"",W253,IFERROR(VLOOKUP(V253,Assumptions!$A$8:$F$12,2,FALSE),0))</f>
        <v/>
      </c>
      <c r="AA253" s="28">
        <f>IF(V253="A",MAX(1,IF(X253&lt;&gt;"",X253,IFERROR(VLOOKUP(V253,Assumptions!$A$8:$F$12,3,FALSE),3))+IF(Y253&lt;&gt;"",Y253,IFERROR(VLOOKUP(V253,Assumptions!$A$8:$F$12,4,FALSE),8))/2-MAX(0,IF(AS253="",0,YEAR(TODAY())-AS253)-IFERROR(VLOOKUP(V253,Assumptions!$A$8:$F$12,5,FALSE),1.5))),IFERROR(VLOOKUP(V253,Assumptions!$A$8:$F$12,5,FALSE),2.5)+IF(X253&lt;&gt;"",X253,IFERROR(VLOOKUP(V253,Assumptions!$A$8:$F$12,3,FALSE),3))+IF(Y253&lt;&gt;"",Y253,IFERROR(VLOOKUP(V253,Assumptions!$A$8:$F$12,4,FALSE),8))/2)</f>
        <v/>
      </c>
      <c r="AB253" s="24">
        <f>U253*Z253/(1+Assumptions!$B$3)^AA253</f>
        <v/>
      </c>
      <c r="AC253" s="27">
        <f>IF(U253=0,"",ROUND(AB253/U253*100,1))</f>
        <v/>
      </c>
      <c r="AD253" s="29">
        <f>AB253*Assumptions!$B$4</f>
        <v/>
      </c>
      <c r="AE253" s="27">
        <f>IF(U253=0,"",ROUND(AD253/U253*100,1))</f>
        <v/>
      </c>
      <c r="AF253" s="29">
        <f>AB253-AD253</f>
        <v/>
      </c>
      <c r="AG253" s="27">
        <f>IF(U253=0,"",ROUND((AB253-AD253)/U253*100,1))</f>
        <v/>
      </c>
      <c r="AH253" s="34" t="inlineStr">
        <is>
          <t>NO TOTALS — list prints none; check page</t>
        </is>
      </c>
      <c r="AI253" s="31" t="inlineStr">
        <is>
          <t>https://scalzilliaj.com.br/sgc/download.php?file=files/processo_documento/processo_documento09120721032023_1_.pdf&amp;nome=15 - Edital do art. 7º, §2º e 53 da Lei 11.101/2005 (segunda lista de credores e recebimento do plano))</t>
        </is>
      </c>
      <c r="AJ253" s="30" t="inlineStr">
        <is>
          <t>p28 r29</t>
        </is>
      </c>
      <c r="AK253" s="30" t="inlineStr">
        <is>
          <t>p28: R$ 459.688,97</t>
        </is>
      </c>
      <c r="AL253" s="30" t="inlineStr">
        <is>
          <t>AJ list (art. 7 §2)</t>
        </is>
      </c>
      <c r="AM253" s="30" t="inlineStr">
        <is>
          <t>2023-03-21</t>
        </is>
      </c>
      <c r="AN253" s="30" t="inlineStr">
        <is>
          <t>NONE FOUND</t>
        </is>
      </c>
      <c r="AO253" s="32" t="inlineStr">
        <is>
          <t>5012306-16.2022.8.21.0023</t>
        </is>
      </c>
      <c r="AP253" s="32" t="inlineStr">
        <is>
          <t>TJRS</t>
        </is>
      </c>
      <c r="AQ253" s="32" t="inlineStr">
        <is>
          <t>Recuperação judicial</t>
        </is>
      </c>
      <c r="AR253" s="32" t="inlineStr">
        <is>
          <t>DataJud: no closure/falência movement</t>
        </is>
      </c>
      <c r="AS253" s="32" t="n">
        <v>2022</v>
      </c>
      <c r="AT253" s="32" t="inlineStr">
        <is>
          <t>live case, no plan document yet; atypical debtor (associação/clube/hospital/produtor rural): admissibility or claim subjection may be contested</t>
        </is>
      </c>
      <c r="AU253" s="32" t="inlineStr"/>
      <c r="AV253" s="32" t="inlineStr">
        <is>
          <t>printed on the list (read twice)</t>
        </is>
      </c>
      <c r="AW253" s="32" t="inlineStr"/>
      <c r="AX253" s="32" t="inlineStr">
        <is>
          <t>PORTO ALEGRE</t>
        </is>
      </c>
      <c r="AY253" s="32" t="inlineStr">
        <is>
          <t>RS</t>
        </is>
      </c>
      <c r="AZ253" s="32" t="inlineStr">
        <is>
          <t>Comércio atacadista de instrumentos e materiais para uso médico, cirúrgico, hospitalar e de laboratórios</t>
        </is>
      </c>
      <c r="BA253" s="32" t="inlineStr">
        <is>
          <t>não ME/EPP</t>
        </is>
      </c>
      <c r="BB253" s="33" t="inlineStr"/>
      <c r="BC253" s="32" t="inlineStr">
        <is>
          <t>UNKNOWN</t>
        </is>
      </c>
      <c r="BD253" s="32" t="inlineStr">
        <is>
          <t>07108742</t>
        </is>
      </c>
      <c r="BE253" s="32" t="n">
        <v>1</v>
      </c>
      <c r="BF253" s="32" t="inlineStr">
        <is>
          <t>list prints no totals</t>
        </is>
      </c>
    </row>
    <row r="254">
      <c r="A254" s="17" t="inlineStr">
        <is>
          <t>JOAO DE DEUS TRANSPORTES E COMERCIO LTDA</t>
        </is>
      </c>
      <c r="B254" s="18" t="n">
        <v>458601.25</v>
      </c>
      <c r="C254" s="19" t="inlineStr">
        <is>
          <t>GRUPO EGESA (Egesa Engenharia S.A. + 9 group companies; see group members)</t>
        </is>
      </c>
      <c r="D254" s="20" t="inlineStr">
        <is>
          <t>NEW</t>
        </is>
      </c>
      <c r="E254" s="21" t="inlineStr"/>
      <c r="F254" s="20" t="inlineStr"/>
      <c r="G254" s="21" t="inlineStr"/>
      <c r="H254" s="20" t="inlineStr"/>
      <c r="I254" s="22" t="inlineStr">
        <is>
          <t>JOAO DE DEUS BARBOSA ALVES</t>
        </is>
      </c>
      <c r="J254" s="23" t="inlineStr">
        <is>
          <t>Sócio-Administrador (RFB partner)</t>
        </is>
      </c>
      <c r="K254" s="22" t="inlineStr">
        <is>
          <t>(31) 3417-3964</t>
        </is>
      </c>
      <c r="L254" s="22" t="inlineStr">
        <is>
          <t>(31) 9972-3745</t>
        </is>
      </c>
      <c r="M254" s="22" t="inlineStr"/>
      <c r="N254" s="22" t="inlineStr"/>
      <c r="O254" s="22" t="inlineStr"/>
      <c r="P254" s="22" t="inlineStr"/>
      <c r="Q254" s="22" t="inlineStr"/>
      <c r="R254" s="22" t="inlineStr"/>
      <c r="S254" s="22" t="inlineStr"/>
      <c r="T254" s="22" t="inlineStr">
        <is>
          <t>DM = registered partner (RFB QSA); no Apollo match</t>
        </is>
      </c>
      <c r="U254" s="24" t="n">
        <v>458601.25</v>
      </c>
      <c r="V254" s="25" t="inlineStr">
        <is>
          <t>B</t>
        </is>
      </c>
      <c r="W254" s="26" t="inlineStr"/>
      <c r="X254" s="27" t="inlineStr"/>
      <c r="Y254" s="27" t="inlineStr"/>
      <c r="Z254" s="26">
        <f>IF(W254&lt;&gt;"",W254,IFERROR(VLOOKUP(V254,Assumptions!$A$8:$F$12,2,FALSE),0))</f>
        <v/>
      </c>
      <c r="AA254" s="28">
        <f>IF(V254="A",MAX(1,IF(X254&lt;&gt;"",X254,IFERROR(VLOOKUP(V254,Assumptions!$A$8:$F$12,3,FALSE),3))+IF(Y254&lt;&gt;"",Y254,IFERROR(VLOOKUP(V254,Assumptions!$A$8:$F$12,4,FALSE),8))/2-MAX(0,IF(AS254="",0,YEAR(TODAY())-AS254)-IFERROR(VLOOKUP(V254,Assumptions!$A$8:$F$12,5,FALSE),1.5))),IFERROR(VLOOKUP(V254,Assumptions!$A$8:$F$12,5,FALSE),2.5)+IF(X254&lt;&gt;"",X254,IFERROR(VLOOKUP(V254,Assumptions!$A$8:$F$12,3,FALSE),3))+IF(Y254&lt;&gt;"",Y254,IFERROR(VLOOKUP(V254,Assumptions!$A$8:$F$12,4,FALSE),8))/2)</f>
        <v/>
      </c>
      <c r="AB254" s="24">
        <f>U254*Z254/(1+Assumptions!$B$3)^AA254</f>
        <v/>
      </c>
      <c r="AC254" s="27">
        <f>IF(U254=0,"",ROUND(AB254/U254*100,1))</f>
        <v/>
      </c>
      <c r="AD254" s="29">
        <f>AB254*Assumptions!$B$4</f>
        <v/>
      </c>
      <c r="AE254" s="27">
        <f>IF(U254=0,"",ROUND(AD254/U254*100,1))</f>
        <v/>
      </c>
      <c r="AF254" s="29">
        <f>AB254-AD254</f>
        <v/>
      </c>
      <c r="AG254" s="27">
        <f>IF(U254=0,"",ROUND((AB254-AD254)/U254*100,1))</f>
        <v/>
      </c>
      <c r="AH254" s="30" t="inlineStr">
        <is>
          <t>OK — totals reconciled</t>
        </is>
      </c>
      <c r="AI254" s="31" t="inlineStr">
        <is>
          <t>https://scalzilliaj.com.br/sgc/download.php?file=files/processo_documento/processo_documento09514021082025_1_.pdf&amp;nome=04 - Relação de credores das Recuperandas</t>
        </is>
      </c>
      <c r="AJ254" s="30" t="inlineStr">
        <is>
          <t>p68 r14</t>
        </is>
      </c>
      <c r="AK254" s="30" t="inlineStr">
        <is>
          <t>p68: R$ 458.601,25</t>
        </is>
      </c>
      <c r="AL254" s="30" t="inlineStr">
        <is>
          <t>Debtor list (art. 51)</t>
        </is>
      </c>
      <c r="AM254" s="30" t="inlineStr"/>
      <c r="AN254" s="30" t="inlineStr">
        <is>
          <t>NONE FOUND</t>
        </is>
      </c>
      <c r="AO254" s="32" t="inlineStr">
        <is>
          <t>5088952-81.2025.8.13.0024</t>
        </is>
      </c>
      <c r="AP254" s="32" t="inlineStr">
        <is>
          <t>TJMG</t>
        </is>
      </c>
      <c r="AQ254" s="32" t="inlineStr"/>
      <c r="AR254" s="32" t="inlineStr">
        <is>
          <t>DataJud: no closure/falência movement</t>
        </is>
      </c>
      <c r="AS254" s="32" t="n">
        <v>2025</v>
      </c>
      <c r="AT254" s="32" t="inlineStr">
        <is>
          <t>live case, no plan document yet; case no. from the portal record, not printed on the list</t>
        </is>
      </c>
      <c r="AU254" s="32" t="inlineStr"/>
      <c r="AV254" s="32" t="inlineStr">
        <is>
          <t>portal page title / URL — not printed on the list</t>
        </is>
      </c>
      <c r="AW254" s="32" t="inlineStr"/>
      <c r="AX254" s="32" t="inlineStr">
        <is>
          <t>BELO HORIZONTE</t>
        </is>
      </c>
      <c r="AY254" s="32" t="inlineStr">
        <is>
          <t>MG</t>
        </is>
      </c>
      <c r="AZ254" s="32" t="inlineStr">
        <is>
          <t>Transporte rodoviário de carga, exceto produtos perigosos e mudanças, municipal.</t>
        </is>
      </c>
      <c r="BA254" s="32" t="inlineStr">
        <is>
          <t>MICRO EMPRESA</t>
        </is>
      </c>
      <c r="BB254" s="33" t="n">
        <v>170000</v>
      </c>
      <c r="BC254" s="32" t="inlineStr">
        <is>
          <t>SMALL</t>
        </is>
      </c>
      <c r="BD254" s="32" t="inlineStr">
        <is>
          <t>09236766</t>
        </is>
      </c>
      <c r="BE254" s="32" t="n">
        <v>1</v>
      </c>
      <c r="BF254" s="32" t="inlineStr">
        <is>
          <t>case no. corrected by reader case no. from portal record</t>
        </is>
      </c>
    </row>
    <row r="255">
      <c r="A255" s="17" t="inlineStr">
        <is>
          <t>SARAIVA EQUIPAMENTOS LTDA</t>
        </is>
      </c>
      <c r="B255" s="18" t="n">
        <v>455807.91</v>
      </c>
      <c r="C255" s="19" t="inlineStr">
        <is>
          <t>GRUPO EGESA (Egesa Engenharia S.A. + 9 group companies; see group members)</t>
        </is>
      </c>
      <c r="D255" s="20" t="inlineStr">
        <is>
          <t>NEW</t>
        </is>
      </c>
      <c r="E255" s="21" t="inlineStr"/>
      <c r="F255" s="20" t="inlineStr"/>
      <c r="G255" s="21" t="inlineStr"/>
      <c r="H255" s="20" t="inlineStr"/>
      <c r="I255" s="22" t="inlineStr">
        <is>
          <t>ALEXANDRE SARAIVA DE MORAES</t>
        </is>
      </c>
      <c r="J255" s="23" t="inlineStr">
        <is>
          <t>Sócio-Administrador (RFB partner)</t>
        </is>
      </c>
      <c r="K255" s="22" t="inlineStr"/>
      <c r="L255" s="22" t="inlineStr"/>
      <c r="M255" s="22" t="inlineStr"/>
      <c r="N255" s="22" t="inlineStr"/>
      <c r="O255" s="22" t="inlineStr"/>
      <c r="P255" s="22" t="inlineStr">
        <is>
          <t>Elvis Sales</t>
        </is>
      </c>
      <c r="Q255" s="22" t="inlineStr">
        <is>
          <t>IT Manager</t>
        </is>
      </c>
      <c r="R255" s="22" t="inlineStr"/>
      <c r="S255" s="22" t="inlineStr">
        <is>
          <t>elvis_sales@saraivaequipamentos.com.br</t>
        </is>
      </c>
      <c r="T255" s="22" t="inlineStr">
        <is>
          <t>DM = registered partner (RFB QSA); Apollo pick demoted to backup (non-finance role); BACKUP: backup, has_email, phone Yes</t>
        </is>
      </c>
      <c r="U255" s="24" t="n">
        <v>455807.91</v>
      </c>
      <c r="V255" s="25" t="inlineStr">
        <is>
          <t>B</t>
        </is>
      </c>
      <c r="W255" s="26" t="inlineStr"/>
      <c r="X255" s="27" t="inlineStr"/>
      <c r="Y255" s="27" t="inlineStr"/>
      <c r="Z255" s="26">
        <f>IF(W255&lt;&gt;"",W255,IFERROR(VLOOKUP(V255,Assumptions!$A$8:$F$12,2,FALSE),0))</f>
        <v/>
      </c>
      <c r="AA255" s="28">
        <f>IF(V255="A",MAX(1,IF(X255&lt;&gt;"",X255,IFERROR(VLOOKUP(V255,Assumptions!$A$8:$F$12,3,FALSE),3))+IF(Y255&lt;&gt;"",Y255,IFERROR(VLOOKUP(V255,Assumptions!$A$8:$F$12,4,FALSE),8))/2-MAX(0,IF(AS255="",0,YEAR(TODAY())-AS255)-IFERROR(VLOOKUP(V255,Assumptions!$A$8:$F$12,5,FALSE),1.5))),IFERROR(VLOOKUP(V255,Assumptions!$A$8:$F$12,5,FALSE),2.5)+IF(X255&lt;&gt;"",X255,IFERROR(VLOOKUP(V255,Assumptions!$A$8:$F$12,3,FALSE),3))+IF(Y255&lt;&gt;"",Y255,IFERROR(VLOOKUP(V255,Assumptions!$A$8:$F$12,4,FALSE),8))/2)</f>
        <v/>
      </c>
      <c r="AB255" s="24">
        <f>U255*Z255/(1+Assumptions!$B$3)^AA255</f>
        <v/>
      </c>
      <c r="AC255" s="27">
        <f>IF(U255=0,"",ROUND(AB255/U255*100,1))</f>
        <v/>
      </c>
      <c r="AD255" s="29">
        <f>AB255*Assumptions!$B$4</f>
        <v/>
      </c>
      <c r="AE255" s="27">
        <f>IF(U255=0,"",ROUND(AD255/U255*100,1))</f>
        <v/>
      </c>
      <c r="AF255" s="29">
        <f>AB255-AD255</f>
        <v/>
      </c>
      <c r="AG255" s="27">
        <f>IF(U255=0,"",ROUND((AB255-AD255)/U255*100,1))</f>
        <v/>
      </c>
      <c r="AH255" s="30" t="inlineStr">
        <is>
          <t>OK — totals reconciled</t>
        </is>
      </c>
      <c r="AI255" s="31" t="inlineStr">
        <is>
          <t>https://scalzilliaj.com.br/sgc/download.php?file=files/processo_documento/processo_documento09514021082025_1_.pdf&amp;nome=04 - Relação de credores das Recuperandas</t>
        </is>
      </c>
      <c r="AJ255" s="30" t="inlineStr">
        <is>
          <t>p72 r17; p73 r1; p73 r2; p73 r3; p73 r4</t>
        </is>
      </c>
      <c r="AK255" s="30" t="inlineStr">
        <is>
          <t>p72: R$ 181.478,29; p73: R$ 169.249,60; p73: R$ 86.086,47; p73: R$ 14.323,56; p73: R$ 4.669,99</t>
        </is>
      </c>
      <c r="AL255" s="30" t="inlineStr">
        <is>
          <t>Debtor list (art. 51)</t>
        </is>
      </c>
      <c r="AM255" s="30" t="inlineStr"/>
      <c r="AN255" s="30" t="inlineStr">
        <is>
          <t>NONE FOUND</t>
        </is>
      </c>
      <c r="AO255" s="32" t="inlineStr">
        <is>
          <t>5088952-81.2025.8.13.0024</t>
        </is>
      </c>
      <c r="AP255" s="32" t="inlineStr">
        <is>
          <t>TJMG</t>
        </is>
      </c>
      <c r="AQ255" s="32" t="inlineStr"/>
      <c r="AR255" s="32" t="inlineStr">
        <is>
          <t>DataJud: no closure/falência movement</t>
        </is>
      </c>
      <c r="AS255" s="32" t="n">
        <v>2025</v>
      </c>
      <c r="AT255" s="32" t="inlineStr">
        <is>
          <t>live case, no plan document yet; case no. from the portal record, not printed on the list</t>
        </is>
      </c>
      <c r="AU255" s="32" t="inlineStr"/>
      <c r="AV255" s="32" t="inlineStr">
        <is>
          <t>portal page title / URL — not printed on the list</t>
        </is>
      </c>
      <c r="AW255" s="32" t="inlineStr"/>
      <c r="AX255" s="32" t="inlineStr">
        <is>
          <t>RECIFE</t>
        </is>
      </c>
      <c r="AY255" s="32" t="inlineStr">
        <is>
          <t>PE</t>
        </is>
      </c>
      <c r="AZ255" s="32" t="inlineStr">
        <is>
          <t>Carga e descarga</t>
        </is>
      </c>
      <c r="BA255" s="32" t="inlineStr">
        <is>
          <t>não ME/EPP</t>
        </is>
      </c>
      <c r="BB255" s="33" t="n">
        <v>57000000</v>
      </c>
      <c r="BC255" s="32" t="inlineStr">
        <is>
          <t>MID-MARKET</t>
        </is>
      </c>
      <c r="BD255" s="32" t="inlineStr">
        <is>
          <t>41024712</t>
        </is>
      </c>
      <c r="BE255" s="32" t="n">
        <v>5</v>
      </c>
      <c r="BF255" s="32" t="inlineStr">
        <is>
          <t>case no. corrected by reader case no. from portal record</t>
        </is>
      </c>
    </row>
    <row r="256">
      <c r="A256" s="17" t="inlineStr">
        <is>
          <t>CROMEX S/A</t>
        </is>
      </c>
      <c r="B256" s="18" t="n">
        <v>453843</v>
      </c>
      <c r="C256" s="37" t="inlineStr">
        <is>
          <t>(debtor not identified — see proof)</t>
        </is>
      </c>
      <c r="D256" s="20" t="inlineStr">
        <is>
          <t>NEW</t>
        </is>
      </c>
      <c r="E256" s="21" t="inlineStr"/>
      <c r="F256" s="20" t="inlineStr"/>
      <c r="G256" s="21" t="inlineStr"/>
      <c r="H256" s="20" t="inlineStr"/>
      <c r="I256" s="22" t="inlineStr">
        <is>
          <t>Luiz Silva</t>
        </is>
      </c>
      <c r="J256" s="22" t="inlineStr">
        <is>
          <t>Financial Controller</t>
        </is>
      </c>
      <c r="K256" s="22" t="inlineStr">
        <is>
          <t>(11) 2131-5408</t>
        </is>
      </c>
      <c r="L256" s="22" t="inlineStr"/>
      <c r="M256" s="22" t="inlineStr"/>
      <c r="N256" s="22" t="inlineStr">
        <is>
          <t>luizc.silva@cromex.com.br</t>
        </is>
      </c>
      <c r="O256" s="22" t="inlineStr">
        <is>
          <t>verified</t>
        </is>
      </c>
      <c r="P256" s="22" t="inlineStr">
        <is>
          <t>SERGIO WAJSBROT</t>
        </is>
      </c>
      <c r="Q256" s="22" t="inlineStr">
        <is>
          <t>Presidente (RFB partner)</t>
        </is>
      </c>
      <c r="R256" s="22" t="inlineStr"/>
      <c r="S256" s="22" t="inlineStr"/>
      <c r="T256" s="22" t="inlineStr">
        <is>
          <t>DM: has_email, phone Yes</t>
        </is>
      </c>
      <c r="U256" s="24" t="n">
        <v>453843</v>
      </c>
      <c r="V256" s="25" t="inlineStr">
        <is>
          <t>B</t>
        </is>
      </c>
      <c r="W256" s="26" t="inlineStr"/>
      <c r="X256" s="27" t="inlineStr"/>
      <c r="Y256" s="27" t="inlineStr"/>
      <c r="Z256" s="26">
        <f>IF(W256&lt;&gt;"",W256,IFERROR(VLOOKUP(V256,Assumptions!$A$8:$F$12,2,FALSE),0))</f>
        <v/>
      </c>
      <c r="AA256" s="28">
        <f>IF(V256="A",MAX(1,IF(X256&lt;&gt;"",X256,IFERROR(VLOOKUP(V256,Assumptions!$A$8:$F$12,3,FALSE),3))+IF(Y256&lt;&gt;"",Y256,IFERROR(VLOOKUP(V256,Assumptions!$A$8:$F$12,4,FALSE),8))/2-MAX(0,IF(AS256="",0,YEAR(TODAY())-AS256)-IFERROR(VLOOKUP(V256,Assumptions!$A$8:$F$12,5,FALSE),1.5))),IFERROR(VLOOKUP(V256,Assumptions!$A$8:$F$12,5,FALSE),2.5)+IF(X256&lt;&gt;"",X256,IFERROR(VLOOKUP(V256,Assumptions!$A$8:$F$12,3,FALSE),3))+IF(Y256&lt;&gt;"",Y256,IFERROR(VLOOKUP(V256,Assumptions!$A$8:$F$12,4,FALSE),8))/2)</f>
        <v/>
      </c>
      <c r="AB256" s="24">
        <f>U256*Z256/(1+Assumptions!$B$3)^AA256</f>
        <v/>
      </c>
      <c r="AC256" s="27">
        <f>IF(U256=0,"",ROUND(AB256/U256*100,1))</f>
        <v/>
      </c>
      <c r="AD256" s="29">
        <f>AB256*Assumptions!$B$4</f>
        <v/>
      </c>
      <c r="AE256" s="27">
        <f>IF(U256=0,"",ROUND(AD256/U256*100,1))</f>
        <v/>
      </c>
      <c r="AF256" s="29">
        <f>AB256-AD256</f>
        <v/>
      </c>
      <c r="AG256" s="27">
        <f>IF(U256=0,"",ROUND((AB256-AD256)/U256*100,1))</f>
        <v/>
      </c>
      <c r="AH256" s="30" t="inlineStr">
        <is>
          <t>OK — totals reconciled</t>
        </is>
      </c>
      <c r="AI256" s="31" t="inlineStr">
        <is>
          <t>https://ajruiz.com.br/sites/default/files/public/arquivos-processos/2024-04/relacao_de_credores_recuperanda_1.pdf</t>
        </is>
      </c>
      <c r="AJ256" s="30" t="inlineStr">
        <is>
          <t>p5 r11; p5 r12; p6 r1; p6 r2</t>
        </is>
      </c>
      <c r="AK256" s="30" t="inlineStr">
        <is>
          <t>p5: R$ 20.448,00; p5: R$ 29.215,00; p6: R$ 176.260,00; p6: R$ 227.920,00</t>
        </is>
      </c>
      <c r="AL256" s="30" t="inlineStr">
        <is>
          <t>QGC (art. 18)</t>
        </is>
      </c>
      <c r="AM256" s="30" t="inlineStr">
        <is>
          <t>2024-01-31</t>
        </is>
      </c>
      <c r="AN256" s="30" t="inlineStr">
        <is>
          <t>NONE FOUND</t>
        </is>
      </c>
      <c r="AO256" s="32" t="inlineStr">
        <is>
          <t>1022634-27.2024.8.26.0100</t>
        </is>
      </c>
      <c r="AP256" s="32" t="inlineStr">
        <is>
          <t>TJSP</t>
        </is>
      </c>
      <c r="AQ256" s="32" t="inlineStr"/>
      <c r="AR256" s="32" t="inlineStr">
        <is>
          <t>not in DataJud</t>
        </is>
      </c>
      <c r="AS256" s="32" t="n">
        <v>2024</v>
      </c>
      <c r="AT256" s="32" t="inlineStr">
        <is>
          <t>live case, no plan document yet; case no. from the portal record, not printed on the list</t>
        </is>
      </c>
      <c r="AU256" s="32" t="inlineStr"/>
      <c r="AV256" s="32" t="inlineStr">
        <is>
          <t>not identified</t>
        </is>
      </c>
      <c r="AW256" s="32" t="inlineStr"/>
      <c r="AX256" s="32" t="inlineStr">
        <is>
          <t>SAO PAULO</t>
        </is>
      </c>
      <c r="AY256" s="32" t="inlineStr">
        <is>
          <t>SP</t>
        </is>
      </c>
      <c r="AZ256" s="32" t="inlineStr">
        <is>
          <t>Fabricação de artefatos de material plástico para usos industriais</t>
        </is>
      </c>
      <c r="BA256" s="32" t="inlineStr">
        <is>
          <t>não ME/EPP</t>
        </is>
      </c>
      <c r="BB256" s="33" t="n">
        <v>134136296</v>
      </c>
      <c r="BC256" s="32" t="inlineStr">
        <is>
          <t>MID-MARKET</t>
        </is>
      </c>
      <c r="BD256" s="32" t="inlineStr">
        <is>
          <t>02271463</t>
        </is>
      </c>
      <c r="BE256" s="32" t="n">
        <v>4</v>
      </c>
      <c r="BF256" s="32" t="inlineStr">
        <is>
          <t>case no. corrected by reader</t>
        </is>
      </c>
    </row>
    <row r="257">
      <c r="A257" s="17" t="inlineStr">
        <is>
          <t>TRANSNETO TRANSPORTE LTDA</t>
        </is>
      </c>
      <c r="B257" s="18" t="n">
        <v>452000.03</v>
      </c>
      <c r="C257" s="19" t="inlineStr">
        <is>
          <t>Grupo Agromeal</t>
        </is>
      </c>
      <c r="D257" s="20" t="inlineStr">
        <is>
          <t>NEW</t>
        </is>
      </c>
      <c r="E257" s="21" t="inlineStr"/>
      <c r="F257" s="20" t="inlineStr"/>
      <c r="G257" s="21" t="inlineStr"/>
      <c r="H257" s="20" t="inlineStr"/>
      <c r="I257" s="22" t="inlineStr">
        <is>
          <t>DELVINO SAMBINI NETO</t>
        </is>
      </c>
      <c r="J257" s="23" t="inlineStr">
        <is>
          <t>Administrador (RFB partner)</t>
        </is>
      </c>
      <c r="K257" s="22" t="inlineStr">
        <is>
          <t>(44) 9141-6545</t>
        </is>
      </c>
      <c r="L257" s="22" t="inlineStr"/>
      <c r="M257" s="22" t="inlineStr"/>
      <c r="N257" s="22" t="inlineStr"/>
      <c r="O257" s="22" t="inlineStr"/>
      <c r="P257" s="22" t="inlineStr"/>
      <c r="Q257" s="22" t="inlineStr"/>
      <c r="R257" s="22" t="inlineStr"/>
      <c r="S257" s="22" t="inlineStr"/>
      <c r="T257" s="22" t="inlineStr">
        <is>
          <t>DM = registered partner (RFB QSA); no Apollo match</t>
        </is>
      </c>
      <c r="U257" s="24" t="n">
        <v>452000.03</v>
      </c>
      <c r="V257" s="25" t="inlineStr">
        <is>
          <t>B</t>
        </is>
      </c>
      <c r="W257" s="26" t="inlineStr"/>
      <c r="X257" s="27" t="inlineStr"/>
      <c r="Y257" s="27" t="inlineStr"/>
      <c r="Z257" s="26">
        <f>IF(W257&lt;&gt;"",W257,IFERROR(VLOOKUP(V257,Assumptions!$A$8:$F$12,2,FALSE),0))</f>
        <v/>
      </c>
      <c r="AA257" s="28">
        <f>IF(V257="A",MAX(1,IF(X257&lt;&gt;"",X257,IFERROR(VLOOKUP(V257,Assumptions!$A$8:$F$12,3,FALSE),3))+IF(Y257&lt;&gt;"",Y257,IFERROR(VLOOKUP(V257,Assumptions!$A$8:$F$12,4,FALSE),8))/2-MAX(0,IF(AS257="",0,YEAR(TODAY())-AS257)-IFERROR(VLOOKUP(V257,Assumptions!$A$8:$F$12,5,FALSE),1.5))),IFERROR(VLOOKUP(V257,Assumptions!$A$8:$F$12,5,FALSE),2.5)+IF(X257&lt;&gt;"",X257,IFERROR(VLOOKUP(V257,Assumptions!$A$8:$F$12,3,FALSE),3))+IF(Y257&lt;&gt;"",Y257,IFERROR(VLOOKUP(V257,Assumptions!$A$8:$F$12,4,FALSE),8))/2)</f>
        <v/>
      </c>
      <c r="AB257" s="24">
        <f>U257*Z257/(1+Assumptions!$B$3)^AA257</f>
        <v/>
      </c>
      <c r="AC257" s="27">
        <f>IF(U257=0,"",ROUND(AB257/U257*100,1))</f>
        <v/>
      </c>
      <c r="AD257" s="29">
        <f>AB257*Assumptions!$B$4</f>
        <v/>
      </c>
      <c r="AE257" s="27">
        <f>IF(U257=0,"",ROUND(AD257/U257*100,1))</f>
        <v/>
      </c>
      <c r="AF257" s="29">
        <f>AB257-AD257</f>
        <v/>
      </c>
      <c r="AG257" s="27">
        <f>IF(U257=0,"",ROUND((AB257-AD257)/U257*100,1))</f>
        <v/>
      </c>
      <c r="AH257" s="35" t="inlineStr">
        <is>
          <t>PARTIAL — class III reconciled, other classes not</t>
        </is>
      </c>
      <c r="AI257" s="31" t="inlineStr">
        <is>
          <t>https://marquesadmjudicial.com.br/sgc/download.php?file=files/processo_documento/processo_documento17040729052024_1_.pdf&amp;nome=Relação Nominal de Credores AJ-Sintética</t>
        </is>
      </c>
      <c r="AJ257" s="30" t="inlineStr">
        <is>
          <t>p13 r9</t>
        </is>
      </c>
      <c r="AK257" s="30" t="inlineStr">
        <is>
          <t>p13: R$ 452.000,03</t>
        </is>
      </c>
      <c r="AL257" s="30" t="inlineStr">
        <is>
          <t>AJ list (art. 7 §2)</t>
        </is>
      </c>
      <c r="AM257" s="30" t="inlineStr">
        <is>
          <t>2024-05-27</t>
        </is>
      </c>
      <c r="AN257" s="30" t="inlineStr">
        <is>
          <t>NONE FOUND</t>
        </is>
      </c>
      <c r="AO257" s="32" t="inlineStr">
        <is>
          <t>0003971-03.2023.8.16.0119</t>
        </is>
      </c>
      <c r="AP257" s="32" t="inlineStr">
        <is>
          <t>TJPR</t>
        </is>
      </c>
      <c r="AQ257" s="32" t="inlineStr">
        <is>
          <t>Recuperação judicial</t>
        </is>
      </c>
      <c r="AR257" s="32" t="inlineStr">
        <is>
          <t>DataJud: no closure/falência movement</t>
        </is>
      </c>
      <c r="AS257" s="32" t="n">
        <v>2023</v>
      </c>
      <c r="AT257" s="32" t="inlineStr">
        <is>
          <t>live case, no plan document yet</t>
        </is>
      </c>
      <c r="AU257" s="32" t="inlineStr">
        <is>
          <t>11.624.776/0001-07</t>
        </is>
      </c>
      <c r="AV257" s="32" t="inlineStr">
        <is>
          <t>printed on the list (read twice)</t>
        </is>
      </c>
      <c r="AW257" s="32" t="inlineStr"/>
      <c r="AX257" s="32" t="inlineStr">
        <is>
          <t>MARINGA</t>
        </is>
      </c>
      <c r="AY257" s="32" t="inlineStr">
        <is>
          <t>PR</t>
        </is>
      </c>
      <c r="AZ257" s="32" t="inlineStr">
        <is>
          <t>Transporte rodoviário de carga, exceto produtos perigosos e mudanças, intermunicipal, interestadual e internacional</t>
        </is>
      </c>
      <c r="BA257" s="32" t="inlineStr">
        <is>
          <t>não ME/EPP</t>
        </is>
      </c>
      <c r="BB257" s="33" t="n">
        <v>110000</v>
      </c>
      <c r="BC257" s="32" t="inlineStr">
        <is>
          <t>MID-MARKET</t>
        </is>
      </c>
      <c r="BD257" s="32" t="inlineStr">
        <is>
          <t>18548852</t>
        </is>
      </c>
      <c r="BE257" s="32" t="n">
        <v>1</v>
      </c>
      <c r="BF257" s="32" t="inlineStr">
        <is>
          <t>class III reconciled (doc partial)</t>
        </is>
      </c>
    </row>
    <row r="258">
      <c r="A258" s="17" t="inlineStr">
        <is>
          <t>PRIORI SEMENTES E DEFENSIVOS AGRICOLAS LTDA</t>
        </is>
      </c>
      <c r="B258" s="18" t="n">
        <v>449000</v>
      </c>
      <c r="C258" s="19" t="inlineStr">
        <is>
          <t>GRUPO FERRARI (ALEX, ALEXANDRE , ANDRIELLE FERRARI MANTELLI, ARCIR LUIS, ERICA SANTOS ASSIS LIMA, FERNANDO MANTELLI, IDELSI, TALITA LEITE SILVA, AGROPECUARIA FERRARI LTDA E FERRARI ARMAZENS GERAIS)</t>
        </is>
      </c>
      <c r="D258" s="20" t="inlineStr">
        <is>
          <t>NEW</t>
        </is>
      </c>
      <c r="E258" s="21" t="inlineStr"/>
      <c r="F258" s="20" t="inlineStr"/>
      <c r="G258" s="21" t="inlineStr"/>
      <c r="H258" s="20" t="inlineStr"/>
      <c r="I258" s="22" t="inlineStr">
        <is>
          <t>Paulo Priori</t>
        </is>
      </c>
      <c r="J258" s="22" t="inlineStr">
        <is>
          <t>Diretor Administrativo</t>
        </is>
      </c>
      <c r="K258" s="22" t="inlineStr">
        <is>
          <t>(64) 3636-2641</t>
        </is>
      </c>
      <c r="L258" s="22" t="inlineStr">
        <is>
          <t>(64) 3636-2638</t>
        </is>
      </c>
      <c r="M258" s="22" t="inlineStr"/>
      <c r="N258" s="22" t="inlineStr">
        <is>
          <t>paulo@priorisementes.com.br</t>
        </is>
      </c>
      <c r="O258" s="22" t="inlineStr">
        <is>
          <t>extrapolated</t>
        </is>
      </c>
      <c r="P258" s="22" t="inlineStr">
        <is>
          <t>Thiago Costa</t>
        </is>
      </c>
      <c r="Q258" s="22" t="inlineStr">
        <is>
          <t>Commercial Manager</t>
        </is>
      </c>
      <c r="R258" s="22" t="inlineStr"/>
      <c r="S258" s="22" t="inlineStr">
        <is>
          <t>thiago.costa@priorisementes.com.br</t>
        </is>
      </c>
      <c r="T258" s="22" t="inlineStr">
        <is>
          <t>DM: phone Yes; BACKUP: backup, has_email, phone Yes</t>
        </is>
      </c>
      <c r="U258" s="24" t="n">
        <v>449000</v>
      </c>
      <c r="V258" s="25" t="inlineStr">
        <is>
          <t>B</t>
        </is>
      </c>
      <c r="W258" s="26" t="inlineStr"/>
      <c r="X258" s="27" t="inlineStr"/>
      <c r="Y258" s="27" t="inlineStr"/>
      <c r="Z258" s="26">
        <f>IF(W258&lt;&gt;"",W258,IFERROR(VLOOKUP(V258,Assumptions!$A$8:$F$12,2,FALSE),0))</f>
        <v/>
      </c>
      <c r="AA258" s="28">
        <f>IF(V258="A",MAX(1,IF(X258&lt;&gt;"",X258,IFERROR(VLOOKUP(V258,Assumptions!$A$8:$F$12,3,FALSE),3))+IF(Y258&lt;&gt;"",Y258,IFERROR(VLOOKUP(V258,Assumptions!$A$8:$F$12,4,FALSE),8))/2-MAX(0,IF(AS258="",0,YEAR(TODAY())-AS258)-IFERROR(VLOOKUP(V258,Assumptions!$A$8:$F$12,5,FALSE),1.5))),IFERROR(VLOOKUP(V258,Assumptions!$A$8:$F$12,5,FALSE),2.5)+IF(X258&lt;&gt;"",X258,IFERROR(VLOOKUP(V258,Assumptions!$A$8:$F$12,3,FALSE),3))+IF(Y258&lt;&gt;"",Y258,IFERROR(VLOOKUP(V258,Assumptions!$A$8:$F$12,4,FALSE),8))/2)</f>
        <v/>
      </c>
      <c r="AB258" s="24">
        <f>U258*Z258/(1+Assumptions!$B$3)^AA258</f>
        <v/>
      </c>
      <c r="AC258" s="27">
        <f>IF(U258=0,"",ROUND(AB258/U258*100,1))</f>
        <v/>
      </c>
      <c r="AD258" s="29">
        <f>AB258*Assumptions!$B$4</f>
        <v/>
      </c>
      <c r="AE258" s="27">
        <f>IF(U258=0,"",ROUND(AD258/U258*100,1))</f>
        <v/>
      </c>
      <c r="AF258" s="29">
        <f>AB258-AD258</f>
        <v/>
      </c>
      <c r="AG258" s="27">
        <f>IF(U258=0,"",ROUND((AB258-AD258)/U258*100,1))</f>
        <v/>
      </c>
      <c r="AH258" s="34" t="inlineStr">
        <is>
          <t>NO TOTALS — list prints none; check page</t>
        </is>
      </c>
      <c r="AI258" s="31" t="inlineStr">
        <is>
          <t>https://scalzilliaj.com.br/sgc/download.php?file=files/processo_documento/processo_documento11421222052026_1_.pdf&amp;nome=08. Lista de credores do edital do art. 52, §1º da LREF</t>
        </is>
      </c>
      <c r="AJ258" s="30" t="inlineStr">
        <is>
          <t>p2 r3</t>
        </is>
      </c>
      <c r="AK258" s="30" t="inlineStr">
        <is>
          <t>p2: R$ 449.000,00</t>
        </is>
      </c>
      <c r="AL258" s="30" t="inlineStr">
        <is>
          <t>Unclassified list</t>
        </is>
      </c>
      <c r="AM258" s="30" t="inlineStr"/>
      <c r="AN258" s="30" t="inlineStr">
        <is>
          <t>NONE FOUND</t>
        </is>
      </c>
      <c r="AO258" s="32" t="inlineStr">
        <is>
          <t>5011369-81.2026.8.09.0093</t>
        </is>
      </c>
      <c r="AP258" s="32" t="inlineStr">
        <is>
          <t>TJGO</t>
        </is>
      </c>
      <c r="AQ258" s="32" t="inlineStr"/>
      <c r="AR258" s="32" t="inlineStr">
        <is>
          <t>DataJud: no closure/falência movement</t>
        </is>
      </c>
      <c r="AS258" s="32" t="n">
        <v>2026</v>
      </c>
      <c r="AT258" s="32" t="inlineStr">
        <is>
          <t>live case, no plan document yet; case no. from the portal record, not printed on the list</t>
        </is>
      </c>
      <c r="AU258" s="32" t="inlineStr"/>
      <c r="AV258" s="32" t="inlineStr">
        <is>
          <t>portal page title / URL — not printed on the list</t>
        </is>
      </c>
      <c r="AW258" s="32" t="inlineStr"/>
      <c r="AX258" s="32" t="inlineStr">
        <is>
          <t>JATAI</t>
        </is>
      </c>
      <c r="AY258" s="32" t="inlineStr">
        <is>
          <t>GO</t>
        </is>
      </c>
      <c r="AZ258" s="32" t="inlineStr">
        <is>
          <t>Armazéns gerais - emissão de warrant</t>
        </is>
      </c>
      <c r="BA258" s="32" t="inlineStr">
        <is>
          <t>não ME/EPP</t>
        </is>
      </c>
      <c r="BB258" s="33" t="n">
        <v>5838672</v>
      </c>
      <c r="BC258" s="32" t="inlineStr">
        <is>
          <t>MID-MARKET</t>
        </is>
      </c>
      <c r="BD258" s="32" t="inlineStr">
        <is>
          <t>12067326</t>
        </is>
      </c>
      <c r="BE258" s="32" t="n">
        <v>1</v>
      </c>
      <c r="BF258" s="32" t="inlineStr">
        <is>
          <t>list prints no totals</t>
        </is>
      </c>
    </row>
    <row r="259">
      <c r="A259" s="17" t="inlineStr">
        <is>
          <t>SIEMENS HEALTHCARE DIAGNOSTICOS LTDA.</t>
        </is>
      </c>
      <c r="B259" s="18" t="n">
        <v>438000</v>
      </c>
      <c r="C259" s="19" t="inlineStr">
        <is>
          <t>ASSOCIAÇÃO DE CARIDADE SANTA CASA DO RIO GRANDE</t>
        </is>
      </c>
      <c r="D259" s="20" t="inlineStr">
        <is>
          <t>NEW</t>
        </is>
      </c>
      <c r="E259" s="21" t="inlineStr"/>
      <c r="F259" s="20" t="inlineStr"/>
      <c r="G259" s="21" t="inlineStr"/>
      <c r="H259" s="20" t="inlineStr"/>
      <c r="I259" s="22" t="inlineStr">
        <is>
          <t>ADRIANA SILVA DA COSTA</t>
        </is>
      </c>
      <c r="J259" s="23" t="inlineStr">
        <is>
          <t>Administrador (RFB partner)</t>
        </is>
      </c>
      <c r="K259" s="22" t="inlineStr">
        <is>
          <t>(11) 4585-7350</t>
        </is>
      </c>
      <c r="L259" s="22" t="inlineStr"/>
      <c r="M259" s="22" t="inlineStr"/>
      <c r="N259" s="22" t="inlineStr"/>
      <c r="O259" s="22" t="inlineStr"/>
      <c r="P259" s="22" t="inlineStr">
        <is>
          <t>CARLOS ALBERTO DI LORENZO</t>
        </is>
      </c>
      <c r="Q259" s="22" t="inlineStr">
        <is>
          <t>Administrador (RFB partner)</t>
        </is>
      </c>
      <c r="R259" s="22" t="inlineStr"/>
      <c r="S259" s="22" t="inlineStr"/>
      <c r="T259" s="22" t="inlineStr">
        <is>
          <t>DM = registered partner (RFB QSA); no Apollo match</t>
        </is>
      </c>
      <c r="U259" s="24" t="n">
        <v>438000</v>
      </c>
      <c r="V259" s="25" t="inlineStr">
        <is>
          <t>B</t>
        </is>
      </c>
      <c r="W259" s="26" t="inlineStr"/>
      <c r="X259" s="27" t="inlineStr"/>
      <c r="Y259" s="27" t="inlineStr"/>
      <c r="Z259" s="26">
        <f>IF(W259&lt;&gt;"",W259,IFERROR(VLOOKUP(V259,Assumptions!$A$8:$F$12,2,FALSE),0))</f>
        <v/>
      </c>
      <c r="AA259" s="28">
        <f>IF(V259="A",MAX(1,IF(X259&lt;&gt;"",X259,IFERROR(VLOOKUP(V259,Assumptions!$A$8:$F$12,3,FALSE),3))+IF(Y259&lt;&gt;"",Y259,IFERROR(VLOOKUP(V259,Assumptions!$A$8:$F$12,4,FALSE),8))/2-MAX(0,IF(AS259="",0,YEAR(TODAY())-AS259)-IFERROR(VLOOKUP(V259,Assumptions!$A$8:$F$12,5,FALSE),1.5))),IFERROR(VLOOKUP(V259,Assumptions!$A$8:$F$12,5,FALSE),2.5)+IF(X259&lt;&gt;"",X259,IFERROR(VLOOKUP(V259,Assumptions!$A$8:$F$12,3,FALSE),3))+IF(Y259&lt;&gt;"",Y259,IFERROR(VLOOKUP(V259,Assumptions!$A$8:$F$12,4,FALSE),8))/2)</f>
        <v/>
      </c>
      <c r="AB259" s="24">
        <f>U259*Z259/(1+Assumptions!$B$3)^AA259</f>
        <v/>
      </c>
      <c r="AC259" s="27">
        <f>IF(U259=0,"",ROUND(AB259/U259*100,1))</f>
        <v/>
      </c>
      <c r="AD259" s="29">
        <f>AB259*Assumptions!$B$4</f>
        <v/>
      </c>
      <c r="AE259" s="27">
        <f>IF(U259=0,"",ROUND(AD259/U259*100,1))</f>
        <v/>
      </c>
      <c r="AF259" s="29">
        <f>AB259-AD259</f>
        <v/>
      </c>
      <c r="AG259" s="27">
        <f>IF(U259=0,"",ROUND((AB259-AD259)/U259*100,1))</f>
        <v/>
      </c>
      <c r="AH259" s="34" t="inlineStr">
        <is>
          <t>NO TOTALS — list prints none; check page</t>
        </is>
      </c>
      <c r="AI259" s="31" t="inlineStr">
        <is>
          <t>https://scalzilliaj.com.br/sgc/download.php?file=files/processo_documento/processo_documento09120721032023_1_.pdf&amp;nome=15 - Edital do art. 7º, §2º e 53 da Lei 11.101/2005 (segunda lista de credores e recebimento do plano))</t>
        </is>
      </c>
      <c r="AJ259" s="30" t="inlineStr">
        <is>
          <t>p29 r50</t>
        </is>
      </c>
      <c r="AK259" s="30" t="inlineStr">
        <is>
          <t>p29: R$ 438.000,00</t>
        </is>
      </c>
      <c r="AL259" s="30" t="inlineStr">
        <is>
          <t>AJ list (art. 7 §2)</t>
        </is>
      </c>
      <c r="AM259" s="30" t="inlineStr">
        <is>
          <t>2023-03-21</t>
        </is>
      </c>
      <c r="AN259" s="30" t="inlineStr">
        <is>
          <t>NONE FOUND</t>
        </is>
      </c>
      <c r="AO259" s="32" t="inlineStr">
        <is>
          <t>5012306-16.2022.8.21.0023</t>
        </is>
      </c>
      <c r="AP259" s="32" t="inlineStr">
        <is>
          <t>TJRS</t>
        </is>
      </c>
      <c r="AQ259" s="32" t="inlineStr">
        <is>
          <t>Recuperação judicial</t>
        </is>
      </c>
      <c r="AR259" s="32" t="inlineStr">
        <is>
          <t>DataJud: no closure/falência movement</t>
        </is>
      </c>
      <c r="AS259" s="32" t="n">
        <v>2022</v>
      </c>
      <c r="AT259" s="32" t="inlineStr">
        <is>
          <t>live case, no plan document yet; atypical debtor (associação/clube/hospital/produtor rural): admissibility or claim subjection may be contested</t>
        </is>
      </c>
      <c r="AU259" s="32" t="inlineStr"/>
      <c r="AV259" s="32" t="inlineStr">
        <is>
          <t>printed on the list (read twice)</t>
        </is>
      </c>
      <c r="AW259" s="32" t="inlineStr"/>
      <c r="AX259" s="32" t="inlineStr">
        <is>
          <t>SAO PAULO</t>
        </is>
      </c>
      <c r="AY259" s="32" t="inlineStr">
        <is>
          <t>SP</t>
        </is>
      </c>
      <c r="AZ259" s="32" t="inlineStr">
        <is>
          <t>Comércio atacadista de instrumentos e materiais para uso médico, cirúrgico, hospitalar e de laboratórios</t>
        </is>
      </c>
      <c r="BA259" s="32" t="inlineStr">
        <is>
          <t>não ME/EPP</t>
        </is>
      </c>
      <c r="BB259" s="33" t="n">
        <v>309332500</v>
      </c>
      <c r="BC259" s="32" t="inlineStr">
        <is>
          <t>MID-MARKET</t>
        </is>
      </c>
      <c r="BD259" s="32" t="inlineStr">
        <is>
          <t>01449930</t>
        </is>
      </c>
      <c r="BE259" s="32" t="n">
        <v>1</v>
      </c>
      <c r="BF259" s="32" t="inlineStr">
        <is>
          <t>list prints no totals</t>
        </is>
      </c>
    </row>
    <row r="260">
      <c r="A260" s="17" t="inlineStr">
        <is>
          <t>MAID OLEOS E GORDURAS LTDA</t>
        </is>
      </c>
      <c r="B260" s="18" t="n">
        <v>434952</v>
      </c>
      <c r="C260" s="19" t="inlineStr">
        <is>
          <t>Grupo Agromeal</t>
        </is>
      </c>
      <c r="D260" s="20" t="inlineStr">
        <is>
          <t>NEW</t>
        </is>
      </c>
      <c r="E260" s="21" t="inlineStr"/>
      <c r="F260" s="20" t="inlineStr"/>
      <c r="G260" s="21" t="inlineStr"/>
      <c r="H260" s="20" t="inlineStr"/>
      <c r="I260" s="22" t="inlineStr">
        <is>
          <t>IDENILDE CASTURINA LEAL</t>
        </is>
      </c>
      <c r="J260" s="23" t="inlineStr">
        <is>
          <t>Sócio-Administrador (RFB partner)</t>
        </is>
      </c>
      <c r="K260" s="22" t="inlineStr">
        <is>
          <t>(44) 9868-0056</t>
        </is>
      </c>
      <c r="L260" s="22" t="inlineStr">
        <is>
          <t>(44) 9868-0013</t>
        </is>
      </c>
      <c r="M260" s="22" t="inlineStr"/>
      <c r="N260" s="22" t="inlineStr"/>
      <c r="O260" s="22" t="inlineStr"/>
      <c r="P260" s="22" t="inlineStr"/>
      <c r="Q260" s="22" t="inlineStr"/>
      <c r="R260" s="22" t="inlineStr"/>
      <c r="S260" s="22" t="inlineStr"/>
      <c r="T260" s="22" t="inlineStr">
        <is>
          <t>DM = registered partner (RFB QSA); no Apollo match</t>
        </is>
      </c>
      <c r="U260" s="24" t="n">
        <v>434952</v>
      </c>
      <c r="V260" s="25" t="inlineStr">
        <is>
          <t>B</t>
        </is>
      </c>
      <c r="W260" s="26" t="inlineStr"/>
      <c r="X260" s="27" t="inlineStr"/>
      <c r="Y260" s="27" t="inlineStr"/>
      <c r="Z260" s="26">
        <f>IF(W260&lt;&gt;"",W260,IFERROR(VLOOKUP(V260,Assumptions!$A$8:$F$12,2,FALSE),0))</f>
        <v/>
      </c>
      <c r="AA260" s="28">
        <f>IF(V260="A",MAX(1,IF(X260&lt;&gt;"",X260,IFERROR(VLOOKUP(V260,Assumptions!$A$8:$F$12,3,FALSE),3))+IF(Y260&lt;&gt;"",Y260,IFERROR(VLOOKUP(V260,Assumptions!$A$8:$F$12,4,FALSE),8))/2-MAX(0,IF(AS260="",0,YEAR(TODAY())-AS260)-IFERROR(VLOOKUP(V260,Assumptions!$A$8:$F$12,5,FALSE),1.5))),IFERROR(VLOOKUP(V260,Assumptions!$A$8:$F$12,5,FALSE),2.5)+IF(X260&lt;&gt;"",X260,IFERROR(VLOOKUP(V260,Assumptions!$A$8:$F$12,3,FALSE),3))+IF(Y260&lt;&gt;"",Y260,IFERROR(VLOOKUP(V260,Assumptions!$A$8:$F$12,4,FALSE),8))/2)</f>
        <v/>
      </c>
      <c r="AB260" s="24">
        <f>U260*Z260/(1+Assumptions!$B$3)^AA260</f>
        <v/>
      </c>
      <c r="AC260" s="27">
        <f>IF(U260=0,"",ROUND(AB260/U260*100,1))</f>
        <v/>
      </c>
      <c r="AD260" s="29">
        <f>AB260*Assumptions!$B$4</f>
        <v/>
      </c>
      <c r="AE260" s="27">
        <f>IF(U260=0,"",ROUND(AD260/U260*100,1))</f>
        <v/>
      </c>
      <c r="AF260" s="29">
        <f>AB260-AD260</f>
        <v/>
      </c>
      <c r="AG260" s="27">
        <f>IF(U260=0,"",ROUND((AB260-AD260)/U260*100,1))</f>
        <v/>
      </c>
      <c r="AH260" s="35" t="inlineStr">
        <is>
          <t>PARTIAL — class III reconciled, other classes not</t>
        </is>
      </c>
      <c r="AI260" s="31" t="inlineStr">
        <is>
          <t>https://marquesadmjudicial.com.br/sgc/download.php?file=files/processo_documento/processo_documento17040729052024_1_.pdf&amp;nome=Relação Nominal de Credores AJ-Sintética</t>
        </is>
      </c>
      <c r="AJ260" s="30" t="inlineStr">
        <is>
          <t>p12 r7</t>
        </is>
      </c>
      <c r="AK260" s="30" t="inlineStr">
        <is>
          <t>p12: R$ 434.952,00</t>
        </is>
      </c>
      <c r="AL260" s="30" t="inlineStr">
        <is>
          <t>AJ list (art. 7 §2)</t>
        </is>
      </c>
      <c r="AM260" s="30" t="inlineStr">
        <is>
          <t>2024-05-27</t>
        </is>
      </c>
      <c r="AN260" s="30" t="inlineStr">
        <is>
          <t>NONE FOUND</t>
        </is>
      </c>
      <c r="AO260" s="32" t="inlineStr">
        <is>
          <t>0003971-03.2023.8.16.0119</t>
        </is>
      </c>
      <c r="AP260" s="32" t="inlineStr">
        <is>
          <t>TJPR</t>
        </is>
      </c>
      <c r="AQ260" s="32" t="inlineStr">
        <is>
          <t>Recuperação judicial</t>
        </is>
      </c>
      <c r="AR260" s="32" t="inlineStr">
        <is>
          <t>DataJud: no closure/falência movement</t>
        </is>
      </c>
      <c r="AS260" s="32" t="n">
        <v>2023</v>
      </c>
      <c r="AT260" s="32" t="inlineStr">
        <is>
          <t>live case, no plan document yet</t>
        </is>
      </c>
      <c r="AU260" s="32" t="inlineStr">
        <is>
          <t>11.624.776/0001-07</t>
        </is>
      </c>
      <c r="AV260" s="32" t="inlineStr">
        <is>
          <t>printed on the list (read twice)</t>
        </is>
      </c>
      <c r="AW260" s="32" t="inlineStr"/>
      <c r="AX260" s="32" t="inlineStr">
        <is>
          <t>PARANACITY</t>
        </is>
      </c>
      <c r="AY260" s="32" t="inlineStr">
        <is>
          <t>PR</t>
        </is>
      </c>
      <c r="AZ260" s="32" t="inlineStr">
        <is>
          <t>Fabricação de produtos diversos não especificados anteriormente</t>
        </is>
      </c>
      <c r="BA260" s="32" t="inlineStr">
        <is>
          <t>não ME/EPP</t>
        </is>
      </c>
      <c r="BB260" s="33" t="n">
        <v>680688</v>
      </c>
      <c r="BC260" s="32" t="inlineStr">
        <is>
          <t>MID-MARKET</t>
        </is>
      </c>
      <c r="BD260" s="32" t="inlineStr">
        <is>
          <t>17205148</t>
        </is>
      </c>
      <c r="BE260" s="32" t="n">
        <v>1</v>
      </c>
      <c r="BF260" s="32" t="inlineStr">
        <is>
          <t>class III reconciled (doc partial)</t>
        </is>
      </c>
    </row>
    <row r="261">
      <c r="A261" s="17" t="inlineStr">
        <is>
          <t>COOPERATIVA REGIONAL AGROPECUARIA DE CAMPOS NOVOS - COPERCAMPOS</t>
        </is>
      </c>
      <c r="B261" s="18" t="n">
        <v>418883.74</v>
      </c>
      <c r="C261" s="19" t="inlineStr">
        <is>
          <t>SUINOCULTURA KUNZLER</t>
        </is>
      </c>
      <c r="D261" s="20" t="inlineStr">
        <is>
          <t>NEW</t>
        </is>
      </c>
      <c r="E261" s="21" t="inlineStr"/>
      <c r="F261" s="20" t="inlineStr"/>
      <c r="G261" s="21" t="inlineStr"/>
      <c r="H261" s="20" t="inlineStr"/>
      <c r="I261" s="22" t="inlineStr">
        <is>
          <t>Julio Wickert</t>
        </is>
      </c>
      <c r="J261" s="22" t="inlineStr">
        <is>
          <t>Executive Director</t>
        </is>
      </c>
      <c r="K261" s="22" t="inlineStr">
        <is>
          <t>(49) 3541-6000</t>
        </is>
      </c>
      <c r="L261" s="22" t="inlineStr">
        <is>
          <t>(49) 3541-6033</t>
        </is>
      </c>
      <c r="M261" s="22" t="inlineStr"/>
      <c r="N261" s="22" t="inlineStr">
        <is>
          <t>julio.wickert@copercampos.com.br</t>
        </is>
      </c>
      <c r="O261" s="22" t="inlineStr">
        <is>
          <t>verified</t>
        </is>
      </c>
      <c r="P261" s="22" t="inlineStr">
        <is>
          <t>LUIZ CARLOS CHIOCCA</t>
        </is>
      </c>
      <c r="Q261" s="22" t="inlineStr">
        <is>
          <t>Presidente (RFB partner)</t>
        </is>
      </c>
      <c r="R261" s="22" t="inlineStr"/>
      <c r="S261" s="22" t="inlineStr"/>
      <c r="T261" s="22" t="inlineStr">
        <is>
          <t>DM: has_email, phone Yes</t>
        </is>
      </c>
      <c r="U261" s="24" t="n">
        <v>418883.74</v>
      </c>
      <c r="V261" s="25" t="inlineStr">
        <is>
          <t>B</t>
        </is>
      </c>
      <c r="W261" s="26" t="inlineStr"/>
      <c r="X261" s="27" t="inlineStr"/>
      <c r="Y261" s="27" t="inlineStr"/>
      <c r="Z261" s="26">
        <f>IF(W261&lt;&gt;"",W261,IFERROR(VLOOKUP(V261,Assumptions!$A$8:$F$12,2,FALSE),0))</f>
        <v/>
      </c>
      <c r="AA261" s="28">
        <f>IF(V261="A",MAX(1,IF(X261&lt;&gt;"",X261,IFERROR(VLOOKUP(V261,Assumptions!$A$8:$F$12,3,FALSE),3))+IF(Y261&lt;&gt;"",Y261,IFERROR(VLOOKUP(V261,Assumptions!$A$8:$F$12,4,FALSE),8))/2-MAX(0,IF(AS261="",0,YEAR(TODAY())-AS261)-IFERROR(VLOOKUP(V261,Assumptions!$A$8:$F$12,5,FALSE),1.5))),IFERROR(VLOOKUP(V261,Assumptions!$A$8:$F$12,5,FALSE),2.5)+IF(X261&lt;&gt;"",X261,IFERROR(VLOOKUP(V261,Assumptions!$A$8:$F$12,3,FALSE),3))+IF(Y261&lt;&gt;"",Y261,IFERROR(VLOOKUP(V261,Assumptions!$A$8:$F$12,4,FALSE),8))/2)</f>
        <v/>
      </c>
      <c r="AB261" s="24">
        <f>U261*Z261/(1+Assumptions!$B$3)^AA261</f>
        <v/>
      </c>
      <c r="AC261" s="27">
        <f>IF(U261=0,"",ROUND(AB261/U261*100,1))</f>
        <v/>
      </c>
      <c r="AD261" s="29">
        <f>AB261*Assumptions!$B$4</f>
        <v/>
      </c>
      <c r="AE261" s="27">
        <f>IF(U261=0,"",ROUND(AD261/U261*100,1))</f>
        <v/>
      </c>
      <c r="AF261" s="29">
        <f>AB261-AD261</f>
        <v/>
      </c>
      <c r="AG261" s="27">
        <f>IF(U261=0,"",ROUND((AB261-AD261)/U261*100,1))</f>
        <v/>
      </c>
      <c r="AH261" s="34" t="inlineStr">
        <is>
          <t>NO TOTALS — list prints none; check page</t>
        </is>
      </c>
      <c r="AI261" s="31" t="inlineStr">
        <is>
          <t>https://rlg-aj.com.br/wp-content/uploads/2024/11/07.-Relação-de-credores.pdf</t>
        </is>
      </c>
      <c r="AJ261" s="30" t="inlineStr">
        <is>
          <t>p1 r25</t>
        </is>
      </c>
      <c r="AK261" s="30" t="inlineStr">
        <is>
          <t>p1: R$ 418.883,74</t>
        </is>
      </c>
      <c r="AL261" s="30" t="inlineStr">
        <is>
          <t>Unclassified list</t>
        </is>
      </c>
      <c r="AM261" s="30" t="inlineStr"/>
      <c r="AN261" s="30" t="inlineStr">
        <is>
          <t>NONE FOUND</t>
        </is>
      </c>
      <c r="AO261" s="32" t="inlineStr">
        <is>
          <t>5009149-92.2024.8.24.0019</t>
        </is>
      </c>
      <c r="AP261" s="32" t="inlineStr">
        <is>
          <t>TJSC</t>
        </is>
      </c>
      <c r="AQ261" s="32" t="inlineStr">
        <is>
          <t>Recuperação judicial</t>
        </is>
      </c>
      <c r="AR261" s="32" t="inlineStr">
        <is>
          <t>DataJud: no closure/falência movement</t>
        </is>
      </c>
      <c r="AS261" s="32" t="n">
        <v>2024</v>
      </c>
      <c r="AT261" s="32" t="inlineStr">
        <is>
          <t>live case, no plan document yet; case no. from the portal record, not printed on the list</t>
        </is>
      </c>
      <c r="AU261" s="32" t="inlineStr">
        <is>
          <t>55.365.447/0001-56</t>
        </is>
      </c>
      <c r="AV261" s="32" t="inlineStr">
        <is>
          <t>printed on the list (read twice)</t>
        </is>
      </c>
      <c r="AW261" s="32" t="inlineStr"/>
      <c r="AX261" s="32" t="inlineStr">
        <is>
          <t>CAMPOS NOVOS</t>
        </is>
      </c>
      <c r="AY261" s="32" t="inlineStr">
        <is>
          <t>SC</t>
        </is>
      </c>
      <c r="AZ261" s="32" t="inlineStr">
        <is>
          <t>Representantes comerciais e agentes do comércio de matérias-primas agrícolas e animais vivos</t>
        </is>
      </c>
      <c r="BA261" s="32" t="inlineStr">
        <is>
          <t>não ME/EPP</t>
        </is>
      </c>
      <c r="BB261" s="33" t="inlineStr"/>
      <c r="BC261" s="32" t="inlineStr">
        <is>
          <t>UNKNOWN</t>
        </is>
      </c>
      <c r="BD261" s="32" t="inlineStr">
        <is>
          <t>83158824</t>
        </is>
      </c>
      <c r="BE261" s="32" t="n">
        <v>1</v>
      </c>
      <c r="BF261" s="32" t="inlineStr">
        <is>
          <t>list prints no totals</t>
        </is>
      </c>
    </row>
    <row r="262">
      <c r="A262" s="17" t="inlineStr">
        <is>
          <t>BRASMO INDUSTRIA E COMERCIO LTDA</t>
        </is>
      </c>
      <c r="B262" s="18" t="n">
        <v>416585.1</v>
      </c>
      <c r="C262" s="19" t="inlineStr">
        <is>
          <t>AZEPLAST INDÚSTRIA E COMÉRCIO LTDA</t>
        </is>
      </c>
      <c r="D262" s="20" t="inlineStr">
        <is>
          <t>NEW</t>
        </is>
      </c>
      <c r="E262" s="21" t="inlineStr"/>
      <c r="F262" s="20" t="inlineStr"/>
      <c r="G262" s="21" t="inlineStr"/>
      <c r="H262" s="20" t="inlineStr"/>
      <c r="I262" s="22" t="inlineStr">
        <is>
          <t>MARCIO THOMAZ</t>
        </is>
      </c>
      <c r="J262" s="23" t="inlineStr">
        <is>
          <t>Sócio-Administrador (RFB partner)</t>
        </is>
      </c>
      <c r="K262" s="22" t="inlineStr">
        <is>
          <t>(49) 3322-3628</t>
        </is>
      </c>
      <c r="L262" s="22" t="inlineStr"/>
      <c r="M262" s="22" t="inlineStr"/>
      <c r="N262" s="22" t="inlineStr"/>
      <c r="O262" s="22" t="inlineStr"/>
      <c r="P262" s="22" t="inlineStr"/>
      <c r="Q262" s="22" t="inlineStr"/>
      <c r="R262" s="22" t="inlineStr"/>
      <c r="S262" s="22" t="inlineStr"/>
      <c r="T262" s="22" t="inlineStr">
        <is>
          <t>DM = registered partner (RFB QSA); no Apollo match</t>
        </is>
      </c>
      <c r="U262" s="24" t="n">
        <v>416585.1</v>
      </c>
      <c r="V262" s="25" t="inlineStr">
        <is>
          <t>B</t>
        </is>
      </c>
      <c r="W262" s="26" t="inlineStr"/>
      <c r="X262" s="27" t="inlineStr"/>
      <c r="Y262" s="27" t="inlineStr"/>
      <c r="Z262" s="26">
        <f>IF(W262&lt;&gt;"",W262,IFERROR(VLOOKUP(V262,Assumptions!$A$8:$F$12,2,FALSE),0))</f>
        <v/>
      </c>
      <c r="AA262" s="28">
        <f>IF(V262="A",MAX(1,IF(X262&lt;&gt;"",X262,IFERROR(VLOOKUP(V262,Assumptions!$A$8:$F$12,3,FALSE),3))+IF(Y262&lt;&gt;"",Y262,IFERROR(VLOOKUP(V262,Assumptions!$A$8:$F$12,4,FALSE),8))/2-MAX(0,IF(AS262="",0,YEAR(TODAY())-AS262)-IFERROR(VLOOKUP(V262,Assumptions!$A$8:$F$12,5,FALSE),1.5))),IFERROR(VLOOKUP(V262,Assumptions!$A$8:$F$12,5,FALSE),2.5)+IF(X262&lt;&gt;"",X262,IFERROR(VLOOKUP(V262,Assumptions!$A$8:$F$12,3,FALSE),3))+IF(Y262&lt;&gt;"",Y262,IFERROR(VLOOKUP(V262,Assumptions!$A$8:$F$12,4,FALSE),8))/2)</f>
        <v/>
      </c>
      <c r="AB262" s="24">
        <f>U262*Z262/(1+Assumptions!$B$3)^AA262</f>
        <v/>
      </c>
      <c r="AC262" s="27">
        <f>IF(U262=0,"",ROUND(AB262/U262*100,1))</f>
        <v/>
      </c>
      <c r="AD262" s="29">
        <f>AB262*Assumptions!$B$4</f>
        <v/>
      </c>
      <c r="AE262" s="27">
        <f>IF(U262=0,"",ROUND(AD262/U262*100,1))</f>
        <v/>
      </c>
      <c r="AF262" s="29">
        <f>AB262-AD262</f>
        <v/>
      </c>
      <c r="AG262" s="27">
        <f>IF(U262=0,"",ROUND((AB262-AD262)/U262*100,1))</f>
        <v/>
      </c>
      <c r="AH262" s="35" t="inlineStr">
        <is>
          <t>PARTIAL — class III reconciled, other classes not</t>
        </is>
      </c>
      <c r="AI262" s="31" t="inlineStr">
        <is>
          <t>https://ajruiz.com.br/sites/default/files/public/arquivos-processos/2026-08/qgc_azeplast_julho_2026.pdf</t>
        </is>
      </c>
      <c r="AJ262" s="30" t="inlineStr">
        <is>
          <t>p1 r9</t>
        </is>
      </c>
      <c r="AK262" s="30" t="inlineStr">
        <is>
          <t>p1: R$ 416.585,10</t>
        </is>
      </c>
      <c r="AL262" s="30" t="inlineStr">
        <is>
          <t>QGC (art. 18)</t>
        </is>
      </c>
      <c r="AM262" s="30" t="inlineStr"/>
      <c r="AN262" s="30" t="inlineStr">
        <is>
          <t>NONE FOUND</t>
        </is>
      </c>
      <c r="AO262" s="32" t="inlineStr">
        <is>
          <t>5008793-34.2023.8.24.0019</t>
        </is>
      </c>
      <c r="AP262" s="32" t="inlineStr">
        <is>
          <t>TJSC</t>
        </is>
      </c>
      <c r="AQ262" s="32" t="inlineStr">
        <is>
          <t>Recuperação judicial</t>
        </is>
      </c>
      <c r="AR262" s="32" t="inlineStr">
        <is>
          <t>DataJud: no closure/falência movement</t>
        </is>
      </c>
      <c r="AS262" s="32" t="n">
        <v>2023</v>
      </c>
      <c r="AT262" s="32" t="inlineStr">
        <is>
          <t>live case, no plan document yet</t>
        </is>
      </c>
      <c r="AU262" s="32" t="inlineStr"/>
      <c r="AV262" s="32" t="inlineStr">
        <is>
          <t>printed on the list (read twice)</t>
        </is>
      </c>
      <c r="AW262" s="32" t="inlineStr"/>
      <c r="AX262" s="32" t="inlineStr">
        <is>
          <t>CHAPECO</t>
        </is>
      </c>
      <c r="AY262" s="32" t="inlineStr">
        <is>
          <t>SC</t>
        </is>
      </c>
      <c r="AZ262" s="32" t="inlineStr">
        <is>
          <t>Fabricação de equipamentos e acessórios para segurança pessoal e profissional</t>
        </is>
      </c>
      <c r="BA262" s="32" t="inlineStr">
        <is>
          <t>não ME/EPP</t>
        </is>
      </c>
      <c r="BB262" s="33" t="n">
        <v>1200000</v>
      </c>
      <c r="BC262" s="32" t="inlineStr">
        <is>
          <t>MID-MARKET</t>
        </is>
      </c>
      <c r="BD262" s="32" t="inlineStr">
        <is>
          <t>00714387</t>
        </is>
      </c>
      <c r="BE262" s="32" t="n">
        <v>1</v>
      </c>
      <c r="BF262" s="32" t="inlineStr">
        <is>
          <t>class III reconciled (doc partial)</t>
        </is>
      </c>
    </row>
    <row r="263">
      <c r="A263" s="17" t="inlineStr">
        <is>
          <t>CERAMICA SERRA AZUL LTDA</t>
        </is>
      </c>
      <c r="B263" s="18" t="n">
        <v>414186.52</v>
      </c>
      <c r="C263" s="19" t="inlineStr">
        <is>
          <t>Grupo Pisebem</t>
        </is>
      </c>
      <c r="D263" s="20" t="inlineStr">
        <is>
          <t>NEW</t>
        </is>
      </c>
      <c r="E263" s="21" t="inlineStr"/>
      <c r="F263" s="20" t="inlineStr"/>
      <c r="G263" s="21" t="inlineStr"/>
      <c r="H263" s="20" t="inlineStr"/>
      <c r="I263" s="22" t="inlineStr">
        <is>
          <t>EDUARDO FIOR</t>
        </is>
      </c>
      <c r="J263" s="23" t="inlineStr">
        <is>
          <t>Administrador (RFB partner)</t>
        </is>
      </c>
      <c r="K263" s="22" t="inlineStr">
        <is>
          <t>(79) 3213-1483</t>
        </is>
      </c>
      <c r="L263" s="22" t="inlineStr"/>
      <c r="M263" s="22" t="inlineStr"/>
      <c r="N263" s="22" t="inlineStr"/>
      <c r="O263" s="22" t="inlineStr"/>
      <c r="P263" s="22" t="inlineStr">
        <is>
          <t>ITAMAR ARRAIS FIOR</t>
        </is>
      </c>
      <c r="Q263" s="22" t="inlineStr">
        <is>
          <t>Administrador (RFB partner)</t>
        </is>
      </c>
      <c r="R263" s="22" t="inlineStr"/>
      <c r="S263" s="22" t="inlineStr"/>
      <c r="T263" s="22" t="inlineStr">
        <is>
          <t>DM = registered partner (RFB QSA); no Apollo match</t>
        </is>
      </c>
      <c r="U263" s="24" t="n">
        <v>414186.52</v>
      </c>
      <c r="V263" s="25" t="inlineStr">
        <is>
          <t>B</t>
        </is>
      </c>
      <c r="W263" s="26" t="inlineStr"/>
      <c r="X263" s="27" t="inlineStr"/>
      <c r="Y263" s="27" t="inlineStr"/>
      <c r="Z263" s="26">
        <f>IF(W263&lt;&gt;"",W263,IFERROR(VLOOKUP(V263,Assumptions!$A$8:$F$12,2,FALSE),0))</f>
        <v/>
      </c>
      <c r="AA263" s="28">
        <f>IF(V263="A",MAX(1,IF(X263&lt;&gt;"",X263,IFERROR(VLOOKUP(V263,Assumptions!$A$8:$F$12,3,FALSE),3))+IF(Y263&lt;&gt;"",Y263,IFERROR(VLOOKUP(V263,Assumptions!$A$8:$F$12,4,FALSE),8))/2-MAX(0,IF(AS263="",0,YEAR(TODAY())-AS263)-IFERROR(VLOOKUP(V263,Assumptions!$A$8:$F$12,5,FALSE),1.5))),IFERROR(VLOOKUP(V263,Assumptions!$A$8:$F$12,5,FALSE),2.5)+IF(X263&lt;&gt;"",X263,IFERROR(VLOOKUP(V263,Assumptions!$A$8:$F$12,3,FALSE),3))+IF(Y263&lt;&gt;"",Y263,IFERROR(VLOOKUP(V263,Assumptions!$A$8:$F$12,4,FALSE),8))/2)</f>
        <v/>
      </c>
      <c r="AB263" s="24">
        <f>U263*Z263/(1+Assumptions!$B$3)^AA263</f>
        <v/>
      </c>
      <c r="AC263" s="27">
        <f>IF(U263=0,"",ROUND(AB263/U263*100,1))</f>
        <v/>
      </c>
      <c r="AD263" s="29">
        <f>AB263*Assumptions!$B$4</f>
        <v/>
      </c>
      <c r="AE263" s="27">
        <f>IF(U263=0,"",ROUND(AD263/U263*100,1))</f>
        <v/>
      </c>
      <c r="AF263" s="29">
        <f>AB263-AD263</f>
        <v/>
      </c>
      <c r="AG263" s="27">
        <f>IF(U263=0,"",ROUND((AB263-AD263)/U263*100,1))</f>
        <v/>
      </c>
      <c r="AH263" s="34" t="inlineStr">
        <is>
          <t>NO TOTALS — list prints none; check page</t>
        </is>
      </c>
      <c r="AI263" s="31" t="inlineStr">
        <is>
          <t>https://recuperacaojudicial.squarespace.com/s/EDITAL-COM-A-2-LISTA-DE-CREDORES-E-INFORMANDO-A-APRESENTACO-DO-PRJ_1532.pdf</t>
        </is>
      </c>
      <c r="AJ263" s="30" t="inlineStr">
        <is>
          <t>p2 r7</t>
        </is>
      </c>
      <c r="AK263" s="30" t="inlineStr">
        <is>
          <t>p2: R$ 414.186,52</t>
        </is>
      </c>
      <c r="AL263" s="30" t="inlineStr">
        <is>
          <t>AJ list (art. 7 §2)</t>
        </is>
      </c>
      <c r="AM263" s="30" t="inlineStr"/>
      <c r="AN263" s="30" t="inlineStr">
        <is>
          <t>NONE FOUND</t>
        </is>
      </c>
      <c r="AO263" s="32" t="inlineStr">
        <is>
          <t>0700707-87.2025.8.02.0043</t>
        </is>
      </c>
      <c r="AP263" s="32" t="inlineStr">
        <is>
          <t>TJAL</t>
        </is>
      </c>
      <c r="AQ263" s="32" t="inlineStr"/>
      <c r="AR263" s="32" t="inlineStr">
        <is>
          <t>DataJud: no closure/falência movement</t>
        </is>
      </c>
      <c r="AS263" s="32" t="n">
        <v>2025</v>
      </c>
      <c r="AT263" s="32" t="inlineStr">
        <is>
          <t>live case, no plan document yet</t>
        </is>
      </c>
      <c r="AU263" s="32" t="inlineStr"/>
      <c r="AV263" s="32" t="inlineStr">
        <is>
          <t>portal page title / URL — not printed on the list</t>
        </is>
      </c>
      <c r="AW263" s="32" t="inlineStr"/>
      <c r="AX263" s="32" t="inlineStr">
        <is>
          <t>NOSSA SENHORA DO SOCORRO</t>
        </is>
      </c>
      <c r="AY263" s="32" t="inlineStr">
        <is>
          <t>SE</t>
        </is>
      </c>
      <c r="AZ263" s="32" t="inlineStr">
        <is>
          <t>Fabricação de azulejos e pisos</t>
        </is>
      </c>
      <c r="BA263" s="32" t="inlineStr">
        <is>
          <t>não ME/EPP</t>
        </is>
      </c>
      <c r="BB263" s="33" t="n">
        <v>292482750</v>
      </c>
      <c r="BC263" s="32" t="inlineStr">
        <is>
          <t>MID-MARKET</t>
        </is>
      </c>
      <c r="BD263" s="32" t="inlineStr">
        <is>
          <t>07378783</t>
        </is>
      </c>
      <c r="BE263" s="32" t="n">
        <v>1</v>
      </c>
      <c r="BF263" s="32" t="inlineStr">
        <is>
          <t>list prints no totals case no. corrected by reader</t>
        </is>
      </c>
    </row>
    <row r="264">
      <c r="A264" s="17" t="inlineStr">
        <is>
          <t>OLFAR S/A - ALIMENTO E ENERGIA</t>
        </is>
      </c>
      <c r="B264" s="18" t="n">
        <v>414186.16</v>
      </c>
      <c r="C264" s="19" t="inlineStr">
        <is>
          <t>SUINOCULTURA KUNZLER</t>
        </is>
      </c>
      <c r="D264" s="20" t="inlineStr">
        <is>
          <t>NEW</t>
        </is>
      </c>
      <c r="E264" s="21" t="inlineStr"/>
      <c r="F264" s="20" t="inlineStr"/>
      <c r="G264" s="21" t="inlineStr"/>
      <c r="H264" s="20" t="inlineStr"/>
      <c r="I264" s="22" t="inlineStr">
        <is>
          <t>JOSE CARLOS WESCHENFELDER</t>
        </is>
      </c>
      <c r="J264" s="23" t="inlineStr">
        <is>
          <t>Presidente (RFB partner)</t>
        </is>
      </c>
      <c r="K264" s="22" t="inlineStr">
        <is>
          <t>(54) 2106-2600</t>
        </is>
      </c>
      <c r="L264" s="22" t="inlineStr"/>
      <c r="M264" s="22" t="inlineStr"/>
      <c r="N264" s="22" t="inlineStr"/>
      <c r="O264" s="22" t="inlineStr"/>
      <c r="P264" s="22" t="inlineStr">
        <is>
          <t>GUILHERME WESCHENFELDER</t>
        </is>
      </c>
      <c r="Q264" s="22" t="inlineStr">
        <is>
          <t>Diretor (RFB partner)</t>
        </is>
      </c>
      <c r="R264" s="22" t="inlineStr"/>
      <c r="S264" s="22" t="inlineStr"/>
      <c r="T264" s="22" t="inlineStr">
        <is>
          <t>DM = registered partner (RFB QSA); no Apollo match</t>
        </is>
      </c>
      <c r="U264" s="24" t="n">
        <v>414186.16</v>
      </c>
      <c r="V264" s="25" t="inlineStr">
        <is>
          <t>B</t>
        </is>
      </c>
      <c r="W264" s="26" t="inlineStr"/>
      <c r="X264" s="27" t="inlineStr"/>
      <c r="Y264" s="27" t="inlineStr"/>
      <c r="Z264" s="26">
        <f>IF(W264&lt;&gt;"",W264,IFERROR(VLOOKUP(V264,Assumptions!$A$8:$F$12,2,FALSE),0))</f>
        <v/>
      </c>
      <c r="AA264" s="28">
        <f>IF(V264="A",MAX(1,IF(X264&lt;&gt;"",X264,IFERROR(VLOOKUP(V264,Assumptions!$A$8:$F$12,3,FALSE),3))+IF(Y264&lt;&gt;"",Y264,IFERROR(VLOOKUP(V264,Assumptions!$A$8:$F$12,4,FALSE),8))/2-MAX(0,IF(AS264="",0,YEAR(TODAY())-AS264)-IFERROR(VLOOKUP(V264,Assumptions!$A$8:$F$12,5,FALSE),1.5))),IFERROR(VLOOKUP(V264,Assumptions!$A$8:$F$12,5,FALSE),2.5)+IF(X264&lt;&gt;"",X264,IFERROR(VLOOKUP(V264,Assumptions!$A$8:$F$12,3,FALSE),3))+IF(Y264&lt;&gt;"",Y264,IFERROR(VLOOKUP(V264,Assumptions!$A$8:$F$12,4,FALSE),8))/2)</f>
        <v/>
      </c>
      <c r="AB264" s="24">
        <f>U264*Z264/(1+Assumptions!$B$3)^AA264</f>
        <v/>
      </c>
      <c r="AC264" s="27">
        <f>IF(U264=0,"",ROUND(AB264/U264*100,1))</f>
        <v/>
      </c>
      <c r="AD264" s="29">
        <f>AB264*Assumptions!$B$4</f>
        <v/>
      </c>
      <c r="AE264" s="27">
        <f>IF(U264=0,"",ROUND(AD264/U264*100,1))</f>
        <v/>
      </c>
      <c r="AF264" s="29">
        <f>AB264-AD264</f>
        <v/>
      </c>
      <c r="AG264" s="27">
        <f>IF(U264=0,"",ROUND((AB264-AD264)/U264*100,1))</f>
        <v/>
      </c>
      <c r="AH264" s="34" t="inlineStr">
        <is>
          <t>NO TOTALS — list prints none; check page</t>
        </is>
      </c>
      <c r="AI264" s="31" t="inlineStr">
        <is>
          <t>https://rlg-aj.com.br/wp-content/uploads/2024/11/07.-Relação-de-credores.pdf</t>
        </is>
      </c>
      <c r="AJ264" s="30" t="inlineStr">
        <is>
          <t>p1 r27</t>
        </is>
      </c>
      <c r="AK264" s="30" t="inlineStr">
        <is>
          <t>p1: R$ 414.186,16</t>
        </is>
      </c>
      <c r="AL264" s="30" t="inlineStr">
        <is>
          <t>Unclassified list</t>
        </is>
      </c>
      <c r="AM264" s="30" t="inlineStr"/>
      <c r="AN264" s="30" t="inlineStr">
        <is>
          <t>NONE FOUND</t>
        </is>
      </c>
      <c r="AO264" s="32" t="inlineStr">
        <is>
          <t>5009149-92.2024.8.24.0019</t>
        </is>
      </c>
      <c r="AP264" s="32" t="inlineStr">
        <is>
          <t>TJSC</t>
        </is>
      </c>
      <c r="AQ264" s="32" t="inlineStr">
        <is>
          <t>Recuperação judicial</t>
        </is>
      </c>
      <c r="AR264" s="32" t="inlineStr">
        <is>
          <t>DataJud: no closure/falência movement</t>
        </is>
      </c>
      <c r="AS264" s="32" t="n">
        <v>2024</v>
      </c>
      <c r="AT264" s="32" t="inlineStr">
        <is>
          <t>live case, no plan document yet; case no. from the portal record, not printed on the list</t>
        </is>
      </c>
      <c r="AU264" s="32" t="inlineStr">
        <is>
          <t>55.365.447/0001-56</t>
        </is>
      </c>
      <c r="AV264" s="32" t="inlineStr">
        <is>
          <t>printed on the list (read twice)</t>
        </is>
      </c>
      <c r="AW264" s="32" t="inlineStr"/>
      <c r="AX264" s="32" t="inlineStr">
        <is>
          <t>ERECHIM</t>
        </is>
      </c>
      <c r="AY264" s="32" t="inlineStr">
        <is>
          <t>RS</t>
        </is>
      </c>
      <c r="AZ264" s="32" t="inlineStr">
        <is>
          <t>Moagem e fabricação de produtos de origem vegetal não especificados anteriormente</t>
        </is>
      </c>
      <c r="BA264" s="32" t="inlineStr">
        <is>
          <t>não ME/EPP</t>
        </is>
      </c>
      <c r="BB264" s="33" t="n">
        <v>943470000</v>
      </c>
      <c r="BC264" s="32" t="inlineStr">
        <is>
          <t>MID-MARKET</t>
        </is>
      </c>
      <c r="BD264" s="32" t="inlineStr">
        <is>
          <t>91830836</t>
        </is>
      </c>
      <c r="BE264" s="32" t="n">
        <v>1</v>
      </c>
      <c r="BF264" s="32" t="inlineStr">
        <is>
          <t>list prints no totals</t>
        </is>
      </c>
    </row>
    <row r="265">
      <c r="A265" s="17" t="inlineStr">
        <is>
          <t>ALCATEC PRODUTOS SINTETICOS LTDA</t>
        </is>
      </c>
      <c r="B265" s="18" t="n">
        <v>410794</v>
      </c>
      <c r="C265" s="19" t="inlineStr">
        <is>
          <t>TOP TEXTIL EMBALAGENS LTDA</t>
        </is>
      </c>
      <c r="D265" s="20" t="inlineStr">
        <is>
          <t>NEW</t>
        </is>
      </c>
      <c r="E265" s="21" t="inlineStr"/>
      <c r="F265" s="20" t="inlineStr"/>
      <c r="G265" s="21" t="inlineStr"/>
      <c r="H265" s="20" t="inlineStr"/>
      <c r="I265" s="22" t="inlineStr">
        <is>
          <t>INACIO PROCOPIO NETO</t>
        </is>
      </c>
      <c r="J265" s="23" t="inlineStr">
        <is>
          <t>Sócio-Administrador (RFB partner)</t>
        </is>
      </c>
      <c r="K265" s="22" t="inlineStr">
        <is>
          <t>(41) 3374-1046</t>
        </is>
      </c>
      <c r="L265" s="22" t="inlineStr">
        <is>
          <t>(75) 3238-9091</t>
        </is>
      </c>
      <c r="M265" s="22" t="inlineStr"/>
      <c r="N265" s="22" t="inlineStr"/>
      <c r="O265" s="22" t="inlineStr"/>
      <c r="P265" s="22" t="inlineStr">
        <is>
          <t>LIANA CRISTINA PROCOPIO</t>
        </is>
      </c>
      <c r="Q265" s="22" t="inlineStr">
        <is>
          <t>Sócio-Administrador (RFB partner)</t>
        </is>
      </c>
      <c r="R265" s="22" t="inlineStr"/>
      <c r="S265" s="22" t="inlineStr"/>
      <c r="T265" s="22" t="inlineStr">
        <is>
          <t>DM = registered partner (RFB QSA); no Apollo match</t>
        </is>
      </c>
      <c r="U265" s="24" t="n">
        <v>410794</v>
      </c>
      <c r="V265" s="25" t="inlineStr">
        <is>
          <t>B</t>
        </is>
      </c>
      <c r="W265" s="26" t="inlineStr"/>
      <c r="X265" s="27" t="inlineStr"/>
      <c r="Y265" s="27" t="inlineStr"/>
      <c r="Z265" s="26">
        <f>IF(W265&lt;&gt;"",W265,IFERROR(VLOOKUP(V265,Assumptions!$A$8:$F$12,2,FALSE),0))</f>
        <v/>
      </c>
      <c r="AA265" s="28">
        <f>IF(V265="A",MAX(1,IF(X265&lt;&gt;"",X265,IFERROR(VLOOKUP(V265,Assumptions!$A$8:$F$12,3,FALSE),3))+IF(Y265&lt;&gt;"",Y265,IFERROR(VLOOKUP(V265,Assumptions!$A$8:$F$12,4,FALSE),8))/2-MAX(0,IF(AS265="",0,YEAR(TODAY())-AS265)-IFERROR(VLOOKUP(V265,Assumptions!$A$8:$F$12,5,FALSE),1.5))),IFERROR(VLOOKUP(V265,Assumptions!$A$8:$F$12,5,FALSE),2.5)+IF(X265&lt;&gt;"",X265,IFERROR(VLOOKUP(V265,Assumptions!$A$8:$F$12,3,FALSE),3))+IF(Y265&lt;&gt;"",Y265,IFERROR(VLOOKUP(V265,Assumptions!$A$8:$F$12,4,FALSE),8))/2)</f>
        <v/>
      </c>
      <c r="AB265" s="24">
        <f>U265*Z265/(1+Assumptions!$B$3)^AA265</f>
        <v/>
      </c>
      <c r="AC265" s="27">
        <f>IF(U265=0,"",ROUND(AB265/U265*100,1))</f>
        <v/>
      </c>
      <c r="AD265" s="29">
        <f>AB265*Assumptions!$B$4</f>
        <v/>
      </c>
      <c r="AE265" s="27">
        <f>IF(U265=0,"",ROUND(AD265/U265*100,1))</f>
        <v/>
      </c>
      <c r="AF265" s="29">
        <f>AB265-AD265</f>
        <v/>
      </c>
      <c r="AG265" s="27">
        <f>IF(U265=0,"",ROUND((AB265-AD265)/U265*100,1))</f>
        <v/>
      </c>
      <c r="AH265" s="34" t="inlineStr">
        <is>
          <t>NO TOTALS — list prints none; check page</t>
        </is>
      </c>
      <c r="AI265" s="31" t="inlineStr">
        <is>
          <t>https://cataliseaj.com.br/sgc/download.php?file=files/processo_documento/processo_documento15092204102024_1_.pdf&amp;nome=02. RELAÇÃO DE CREDORES</t>
        </is>
      </c>
      <c r="AJ265" s="30" t="inlineStr">
        <is>
          <t>p2 r8</t>
        </is>
      </c>
      <c r="AK265" s="30" t="inlineStr">
        <is>
          <t>p2: R$ 410.794,00</t>
        </is>
      </c>
      <c r="AL265" s="30" t="inlineStr">
        <is>
          <t>Debtor list (art. 51)</t>
        </is>
      </c>
      <c r="AM265" s="30" t="inlineStr"/>
      <c r="AN265" s="30" t="inlineStr">
        <is>
          <t>NONE FOUND</t>
        </is>
      </c>
      <c r="AO265" s="32" t="inlineStr">
        <is>
          <t>5011460-87.2023.8.24.0020</t>
        </is>
      </c>
      <c r="AP265" s="32" t="inlineStr">
        <is>
          <t>TJSC</t>
        </is>
      </c>
      <c r="AQ265" s="32" t="inlineStr">
        <is>
          <t>Recuperação judicial</t>
        </is>
      </c>
      <c r="AR265" s="32" t="inlineStr">
        <is>
          <t>DataJud: no closure/falência movement</t>
        </is>
      </c>
      <c r="AS265" s="32" t="n">
        <v>2023</v>
      </c>
      <c r="AT265" s="32" t="inlineStr">
        <is>
          <t>live case, no plan document yet; case no. from the portal record, not printed on the list</t>
        </is>
      </c>
      <c r="AU265" s="32" t="inlineStr">
        <is>
          <t>26.588.741/0001-29</t>
        </is>
      </c>
      <c r="AV265" s="32" t="inlineStr">
        <is>
          <t>printed on the list (read twice)</t>
        </is>
      </c>
      <c r="AW265" s="32" t="inlineStr"/>
      <c r="AX265" s="32" t="inlineStr">
        <is>
          <t>TERRA NOVA</t>
        </is>
      </c>
      <c r="AY265" s="32" t="inlineStr">
        <is>
          <t>BA</t>
        </is>
      </c>
      <c r="AZ265" s="32" t="inlineStr">
        <is>
          <t>Tecelagem de fios de fibras artificiais e sintéticas</t>
        </is>
      </c>
      <c r="BA265" s="32" t="inlineStr">
        <is>
          <t>não ME/EPP</t>
        </is>
      </c>
      <c r="BB265" s="33" t="n">
        <v>2554265</v>
      </c>
      <c r="BC265" s="32" t="inlineStr">
        <is>
          <t>MID-MARKET</t>
        </is>
      </c>
      <c r="BD265" s="32" t="inlineStr">
        <is>
          <t>05236060</t>
        </is>
      </c>
      <c r="BE265" s="32" t="n">
        <v>1</v>
      </c>
      <c r="BF265" s="32" t="inlineStr">
        <is>
          <t>list prints no totals</t>
        </is>
      </c>
    </row>
    <row r="266">
      <c r="A266" s="17" t="inlineStr">
        <is>
          <t>GRUPO MULTILASER S.A.</t>
        </is>
      </c>
      <c r="B266" s="18" t="n">
        <v>1603580.85</v>
      </c>
      <c r="C266" s="19" t="inlineStr">
        <is>
          <t>CREDIMÓVEIS NOVOLAR LTDA.</t>
        </is>
      </c>
      <c r="D266" s="20" t="inlineStr">
        <is>
          <t>NEW</t>
        </is>
      </c>
      <c r="E266" s="21" t="inlineStr"/>
      <c r="F266" s="20" t="inlineStr"/>
      <c r="G266" s="21" t="inlineStr"/>
      <c r="H266" s="20" t="inlineStr"/>
      <c r="I266" s="22" t="inlineStr">
        <is>
          <t>Claudia Vicente</t>
        </is>
      </c>
      <c r="J266" s="22" t="inlineStr">
        <is>
          <t>Gerente de Crédito e Cobrança</t>
        </is>
      </c>
      <c r="K266" s="22" t="inlineStr">
        <is>
          <t>(11) 3616-8600</t>
        </is>
      </c>
      <c r="L266" s="22" t="inlineStr"/>
      <c r="M266" s="22" t="inlineStr"/>
      <c r="N266" s="22" t="inlineStr">
        <is>
          <t>claudia.fernandes@grupomultilaser.com.br</t>
        </is>
      </c>
      <c r="O266" s="22" t="inlineStr">
        <is>
          <t>verified</t>
        </is>
      </c>
      <c r="P266" s="22" t="inlineStr">
        <is>
          <t>Ana Amaral</t>
        </is>
      </c>
      <c r="Q266" s="22" t="inlineStr">
        <is>
          <t>Coordenador de Contas a Receber</t>
        </is>
      </c>
      <c r="R266" s="22" t="inlineStr"/>
      <c r="S266" s="22" t="inlineStr">
        <is>
          <t>ana.amaral@grupomultilaser.com.br</t>
        </is>
      </c>
      <c r="T266" s="22" t="inlineStr">
        <is>
          <t>DM: has_email, phone Yes; BACKUP: backup, has_email, phone Yes</t>
        </is>
      </c>
      <c r="U266" s="24" t="n">
        <v>1603580.85</v>
      </c>
      <c r="V266" s="39" t="inlineStr">
        <is>
          <t>C</t>
        </is>
      </c>
      <c r="W266" s="26" t="inlineStr"/>
      <c r="X266" s="27" t="inlineStr"/>
      <c r="Y266" s="27" t="inlineStr"/>
      <c r="Z266" s="26">
        <f>IF(W266&lt;&gt;"",W266,IFERROR(VLOOKUP(V266,Assumptions!$A$8:$F$12,2,FALSE),0))</f>
        <v/>
      </c>
      <c r="AA266" s="28">
        <f>IF(V266="A",MAX(1,IF(X266&lt;&gt;"",X266,IFERROR(VLOOKUP(V266,Assumptions!$A$8:$F$12,3,FALSE),3))+IF(Y266&lt;&gt;"",Y266,IFERROR(VLOOKUP(V266,Assumptions!$A$8:$F$12,4,FALSE),8))/2-MAX(0,IF(AS266="",0,YEAR(TODAY())-AS266)-IFERROR(VLOOKUP(V266,Assumptions!$A$8:$F$12,5,FALSE),1.5))),IFERROR(VLOOKUP(V266,Assumptions!$A$8:$F$12,5,FALSE),2.5)+IF(X266&lt;&gt;"",X266,IFERROR(VLOOKUP(V266,Assumptions!$A$8:$F$12,3,FALSE),3))+IF(Y266&lt;&gt;"",Y266,IFERROR(VLOOKUP(V266,Assumptions!$A$8:$F$12,4,FALSE),8))/2)</f>
        <v/>
      </c>
      <c r="AB266" s="24">
        <f>U266*Z266/(1+Assumptions!$B$3)^AA266</f>
        <v/>
      </c>
      <c r="AC266" s="27">
        <f>IF(U266=0,"",ROUND(AB266/U266*100,1))</f>
        <v/>
      </c>
      <c r="AD266" s="29">
        <f>AB266*Assumptions!$B$4</f>
        <v/>
      </c>
      <c r="AE266" s="27">
        <f>IF(U266=0,"",ROUND(AD266/U266*100,1))</f>
        <v/>
      </c>
      <c r="AF266" s="29">
        <f>AB266-AD266</f>
        <v/>
      </c>
      <c r="AG266" s="27">
        <f>IF(U266=0,"",ROUND((AB266-AD266)/U266*100,1))</f>
        <v/>
      </c>
      <c r="AH266" s="30" t="inlineStr">
        <is>
          <t>OK — totals reconciled</t>
        </is>
      </c>
      <c r="AI266" s="31" t="inlineStr">
        <is>
          <t>https://recuperacaojudicial.squarespace.com/s/RJ-Credimoveis-QGC-01082025.pdf</t>
        </is>
      </c>
      <c r="AJ266" s="30" t="inlineStr">
        <is>
          <t>p16 r28</t>
        </is>
      </c>
      <c r="AK266" s="30" t="inlineStr">
        <is>
          <t>p16: R$ 1.603.580,85</t>
        </is>
      </c>
      <c r="AL266" s="30" t="inlineStr">
        <is>
          <t>QGC (art. 18)</t>
        </is>
      </c>
      <c r="AM266" s="30" t="inlineStr">
        <is>
          <t>2026-01-28</t>
        </is>
      </c>
      <c r="AN266" s="30" t="inlineStr">
        <is>
          <t>NONE FOUND</t>
        </is>
      </c>
      <c r="AO266" s="32" t="inlineStr">
        <is>
          <t>0007565-40.2020.8.17.2370</t>
        </is>
      </c>
      <c r="AP266" s="32" t="inlineStr">
        <is>
          <t>TJPE</t>
        </is>
      </c>
      <c r="AQ266" s="32" t="inlineStr">
        <is>
          <t>Recuperação judicial</t>
        </is>
      </c>
      <c r="AR266" s="32" t="inlineStr">
        <is>
          <t>DataJud: no closure/falência movement</t>
        </is>
      </c>
      <c r="AS266" s="32" t="n">
        <v>2020</v>
      </c>
      <c r="AT266" s="32" t="inlineStr">
        <is>
          <t>6y since filing; plan not in our documents</t>
        </is>
      </c>
      <c r="AU266" s="32" t="inlineStr">
        <is>
          <t>09.930.165/0001-37</t>
        </is>
      </c>
      <c r="AV266" s="32" t="inlineStr">
        <is>
          <t>printed on the list (read twice)</t>
        </is>
      </c>
      <c r="AW266" s="32" t="inlineStr"/>
      <c r="AX266" s="32" t="inlineStr">
        <is>
          <t>SAO PAULO</t>
        </is>
      </c>
      <c r="AY266" s="32" t="inlineStr">
        <is>
          <t>SP</t>
        </is>
      </c>
      <c r="AZ266" s="32" t="inlineStr">
        <is>
          <t>Fabricação de periféricos para equipamentos de informática</t>
        </is>
      </c>
      <c r="BA266" s="32" t="inlineStr">
        <is>
          <t>não ME/EPP</t>
        </is>
      </c>
      <c r="BB266" s="33" t="n">
        <v>1713377700</v>
      </c>
      <c r="BC266" s="32" t="inlineStr">
        <is>
          <t>LARGE CORP</t>
        </is>
      </c>
      <c r="BD266" s="32" t="inlineStr">
        <is>
          <t>59717553</t>
        </is>
      </c>
      <c r="BE266" s="32" t="n">
        <v>1</v>
      </c>
      <c r="BF266" s="32" t="inlineStr"/>
    </row>
    <row r="267">
      <c r="A267" s="17" t="inlineStr">
        <is>
          <t>TOPICO LOCACOES DE GALPOES E EQUIPAMENTOS PARA INDUSTRIAS S.A</t>
        </is>
      </c>
      <c r="B267" s="18" t="n">
        <v>408816.48</v>
      </c>
      <c r="C267" s="19" t="inlineStr">
        <is>
          <t>GRUPO EGESA (Egesa Engenharia S.A. + 9 group companies; see group members)</t>
        </is>
      </c>
      <c r="D267" s="20" t="inlineStr">
        <is>
          <t>NEW</t>
        </is>
      </c>
      <c r="E267" s="21" t="inlineStr"/>
      <c r="F267" s="20" t="inlineStr"/>
      <c r="G267" s="21" t="inlineStr"/>
      <c r="H267" s="20" t="inlineStr"/>
      <c r="I267" s="22" t="inlineStr">
        <is>
          <t>GUSTAVO PEREIRA DE FREITAS SANTOS</t>
        </is>
      </c>
      <c r="J267" s="23" t="inlineStr">
        <is>
          <t>Presidente (RFB partner)</t>
        </is>
      </c>
      <c r="K267" s="22" t="inlineStr">
        <is>
          <t>(11) 4785-1200</t>
        </is>
      </c>
      <c r="L267" s="22" t="inlineStr">
        <is>
          <t>(11) 2344-1200</t>
        </is>
      </c>
      <c r="M267" s="22" t="inlineStr"/>
      <c r="N267" s="22" t="inlineStr"/>
      <c r="O267" s="22" t="inlineStr"/>
      <c r="P267" s="22" t="inlineStr">
        <is>
          <t>CLAUDIO FIDELIS DE GOES</t>
        </is>
      </c>
      <c r="Q267" s="22" t="inlineStr">
        <is>
          <t>Diretor (RFB partner)</t>
        </is>
      </c>
      <c r="R267" s="22" t="inlineStr"/>
      <c r="S267" s="22" t="inlineStr"/>
      <c r="T267" s="22" t="inlineStr">
        <is>
          <t>DM = registered partner (RFB QSA); no Apollo match</t>
        </is>
      </c>
      <c r="U267" s="24" t="n">
        <v>408816.48</v>
      </c>
      <c r="V267" s="25" t="inlineStr">
        <is>
          <t>B</t>
        </is>
      </c>
      <c r="W267" s="26" t="inlineStr"/>
      <c r="X267" s="27" t="inlineStr"/>
      <c r="Y267" s="27" t="inlineStr"/>
      <c r="Z267" s="26">
        <f>IF(W267&lt;&gt;"",W267,IFERROR(VLOOKUP(V267,Assumptions!$A$8:$F$12,2,FALSE),0))</f>
        <v/>
      </c>
      <c r="AA267" s="28">
        <f>IF(V267="A",MAX(1,IF(X267&lt;&gt;"",X267,IFERROR(VLOOKUP(V267,Assumptions!$A$8:$F$12,3,FALSE),3))+IF(Y267&lt;&gt;"",Y267,IFERROR(VLOOKUP(V267,Assumptions!$A$8:$F$12,4,FALSE),8))/2-MAX(0,IF(AS267="",0,YEAR(TODAY())-AS267)-IFERROR(VLOOKUP(V267,Assumptions!$A$8:$F$12,5,FALSE),1.5))),IFERROR(VLOOKUP(V267,Assumptions!$A$8:$F$12,5,FALSE),2.5)+IF(X267&lt;&gt;"",X267,IFERROR(VLOOKUP(V267,Assumptions!$A$8:$F$12,3,FALSE),3))+IF(Y267&lt;&gt;"",Y267,IFERROR(VLOOKUP(V267,Assumptions!$A$8:$F$12,4,FALSE),8))/2)</f>
        <v/>
      </c>
      <c r="AB267" s="24">
        <f>U267*Z267/(1+Assumptions!$B$3)^AA267</f>
        <v/>
      </c>
      <c r="AC267" s="27">
        <f>IF(U267=0,"",ROUND(AB267/U267*100,1))</f>
        <v/>
      </c>
      <c r="AD267" s="29">
        <f>AB267*Assumptions!$B$4</f>
        <v/>
      </c>
      <c r="AE267" s="27">
        <f>IF(U267=0,"",ROUND(AD267/U267*100,1))</f>
        <v/>
      </c>
      <c r="AF267" s="29">
        <f>AB267-AD267</f>
        <v/>
      </c>
      <c r="AG267" s="27">
        <f>IF(U267=0,"",ROUND((AB267-AD267)/U267*100,1))</f>
        <v/>
      </c>
      <c r="AH267" s="30" t="inlineStr">
        <is>
          <t>OK — totals reconciled</t>
        </is>
      </c>
      <c r="AI267" s="31" t="inlineStr">
        <is>
          <t>https://scalzilliaj.com.br/sgc/download.php?file=files/processo_documento/processo_documento09514021082025_1_.pdf&amp;nome=04 - Relação de credores das Recuperandas</t>
        </is>
      </c>
      <c r="AJ267" s="30" t="inlineStr">
        <is>
          <t>p74 r7</t>
        </is>
      </c>
      <c r="AK267" s="30" t="inlineStr">
        <is>
          <t>p74: R$ 408.816,48</t>
        </is>
      </c>
      <c r="AL267" s="30" t="inlineStr">
        <is>
          <t>Debtor list (art. 51)</t>
        </is>
      </c>
      <c r="AM267" s="30" t="inlineStr"/>
      <c r="AN267" s="30" t="inlineStr">
        <is>
          <t>NONE FOUND</t>
        </is>
      </c>
      <c r="AO267" s="32" t="inlineStr">
        <is>
          <t>5088952-81.2025.8.13.0024</t>
        </is>
      </c>
      <c r="AP267" s="32" t="inlineStr">
        <is>
          <t>TJMG</t>
        </is>
      </c>
      <c r="AQ267" s="32" t="inlineStr"/>
      <c r="AR267" s="32" t="inlineStr">
        <is>
          <t>DataJud: no closure/falência movement</t>
        </is>
      </c>
      <c r="AS267" s="32" t="n">
        <v>2025</v>
      </c>
      <c r="AT267" s="32" t="inlineStr">
        <is>
          <t>live case, no plan document yet; case no. from the portal record, not printed on the list</t>
        </is>
      </c>
      <c r="AU267" s="32" t="inlineStr"/>
      <c r="AV267" s="32" t="inlineStr">
        <is>
          <t>portal page title / URL — not printed on the list</t>
        </is>
      </c>
      <c r="AW267" s="32" t="inlineStr"/>
      <c r="AX267" s="32" t="inlineStr">
        <is>
          <t>EMBU DAS ARTES</t>
        </is>
      </c>
      <c r="AY267" s="32" t="inlineStr">
        <is>
          <t>SP</t>
        </is>
      </c>
      <c r="AZ267" s="32" t="inlineStr">
        <is>
          <t>Aluguel de palcos, coberturas e outras estruturas de uso temporário, exceto andaimes</t>
        </is>
      </c>
      <c r="BA267" s="32" t="inlineStr">
        <is>
          <t>não ME/EPP</t>
        </is>
      </c>
      <c r="BB267" s="33" t="n">
        <v>57377892</v>
      </c>
      <c r="BC267" s="32" t="inlineStr">
        <is>
          <t>MID-MARKET</t>
        </is>
      </c>
      <c r="BD267" s="32" t="inlineStr">
        <is>
          <t>08259544</t>
        </is>
      </c>
      <c r="BE267" s="32" t="n">
        <v>1</v>
      </c>
      <c r="BF267" s="32" t="inlineStr">
        <is>
          <t>case no. corrected by reader case no. from portal record</t>
        </is>
      </c>
    </row>
    <row r="268">
      <c r="A268" s="17" t="inlineStr">
        <is>
          <t>STRATURA ASFALTOS LTDA.</t>
        </is>
      </c>
      <c r="B268" s="18" t="n">
        <v>408408.17</v>
      </c>
      <c r="C268" s="19" t="inlineStr">
        <is>
          <t>CARAVAGGIO CONSTRUTORA LTDA</t>
        </is>
      </c>
      <c r="D268" s="20" t="inlineStr">
        <is>
          <t>NEW</t>
        </is>
      </c>
      <c r="E268" s="21" t="inlineStr"/>
      <c r="F268" s="20" t="inlineStr"/>
      <c r="G268" s="21" t="inlineStr"/>
      <c r="H268" s="20" t="inlineStr"/>
      <c r="I268" s="22" t="inlineStr">
        <is>
          <t>CARLOS ALBERTO DE AQUINO PINHEIRO JUNIOR</t>
        </is>
      </c>
      <c r="J268" s="23" t="inlineStr">
        <is>
          <t>Administrador (RFB partner)</t>
        </is>
      </c>
      <c r="K268" s="22" t="inlineStr">
        <is>
          <t>(11) 3513-4260</t>
        </is>
      </c>
      <c r="L268" s="22" t="inlineStr"/>
      <c r="M268" s="22" t="inlineStr"/>
      <c r="N268" s="22" t="inlineStr"/>
      <c r="O268" s="22" t="inlineStr"/>
      <c r="P268" s="22" t="inlineStr"/>
      <c r="Q268" s="22" t="inlineStr"/>
      <c r="R268" s="22" t="inlineStr"/>
      <c r="S268" s="22" t="inlineStr"/>
      <c r="T268" s="22" t="inlineStr">
        <is>
          <t>DM = registered partner (RFB QSA); no Apollo match</t>
        </is>
      </c>
      <c r="U268" s="24" t="n">
        <v>408408.17</v>
      </c>
      <c r="V268" s="25" t="inlineStr">
        <is>
          <t>B</t>
        </is>
      </c>
      <c r="W268" s="26" t="inlineStr"/>
      <c r="X268" s="27" t="inlineStr"/>
      <c r="Y268" s="27" t="inlineStr"/>
      <c r="Z268" s="26">
        <f>IF(W268&lt;&gt;"",W268,IFERROR(VLOOKUP(V268,Assumptions!$A$8:$F$12,2,FALSE),0))</f>
        <v/>
      </c>
      <c r="AA268" s="28">
        <f>IF(V268="A",MAX(1,IF(X268&lt;&gt;"",X268,IFERROR(VLOOKUP(V268,Assumptions!$A$8:$F$12,3,FALSE),3))+IF(Y268&lt;&gt;"",Y268,IFERROR(VLOOKUP(V268,Assumptions!$A$8:$F$12,4,FALSE),8))/2-MAX(0,IF(AS268="",0,YEAR(TODAY())-AS268)-IFERROR(VLOOKUP(V268,Assumptions!$A$8:$F$12,5,FALSE),1.5))),IFERROR(VLOOKUP(V268,Assumptions!$A$8:$F$12,5,FALSE),2.5)+IF(X268&lt;&gt;"",X268,IFERROR(VLOOKUP(V268,Assumptions!$A$8:$F$12,3,FALSE),3))+IF(Y268&lt;&gt;"",Y268,IFERROR(VLOOKUP(V268,Assumptions!$A$8:$F$12,4,FALSE),8))/2)</f>
        <v/>
      </c>
      <c r="AB268" s="24">
        <f>U268*Z268/(1+Assumptions!$B$3)^AA268</f>
        <v/>
      </c>
      <c r="AC268" s="27">
        <f>IF(U268=0,"",ROUND(AB268/U268*100,1))</f>
        <v/>
      </c>
      <c r="AD268" s="29">
        <f>AB268*Assumptions!$B$4</f>
        <v/>
      </c>
      <c r="AE268" s="27">
        <f>IF(U268=0,"",ROUND(AD268/U268*100,1))</f>
        <v/>
      </c>
      <c r="AF268" s="29">
        <f>AB268-AD268</f>
        <v/>
      </c>
      <c r="AG268" s="27">
        <f>IF(U268=0,"",ROUND((AB268-AD268)/U268*100,1))</f>
        <v/>
      </c>
      <c r="AH268" s="34" t="inlineStr">
        <is>
          <t>NO TOTALS — list prints none; check page</t>
        </is>
      </c>
      <c r="AI268" s="31" t="inlineStr">
        <is>
          <t>https://marquesadmjudicial.com.br/sgc/download.php?file=files/processo_documento/processo_documento16562707032024_1_.pdf&amp;nome=2º Edital-Relação de Credores do art. 7, §2 da LREF e do Plano de Recuperação Judicial</t>
        </is>
      </c>
      <c r="AJ268" s="30" t="inlineStr">
        <is>
          <t>p1 r26</t>
        </is>
      </c>
      <c r="AK268" s="30" t="inlineStr">
        <is>
          <t>p1: R$ 408.408,17</t>
        </is>
      </c>
      <c r="AL268" s="30" t="inlineStr">
        <is>
          <t>AJ list (art. 7 §2)</t>
        </is>
      </c>
      <c r="AM268" s="30" t="inlineStr">
        <is>
          <t>2022-11-17</t>
        </is>
      </c>
      <c r="AN268" s="30" t="inlineStr">
        <is>
          <t>NONE FOUND</t>
        </is>
      </c>
      <c r="AO268" s="32" t="inlineStr">
        <is>
          <t>0037411-27.2022.8.16.0021</t>
        </is>
      </c>
      <c r="AP268" s="32" t="inlineStr">
        <is>
          <t>TJPR</t>
        </is>
      </c>
      <c r="AQ268" s="32" t="inlineStr">
        <is>
          <t>Recuperação judicial</t>
        </is>
      </c>
      <c r="AR268" s="32" t="inlineStr">
        <is>
          <t>DataJud: no closure/falência movement</t>
        </is>
      </c>
      <c r="AS268" s="32" t="n">
        <v>2022</v>
      </c>
      <c r="AT268" s="32" t="inlineStr">
        <is>
          <t>live case, no plan document yet</t>
        </is>
      </c>
      <c r="AU268" s="32" t="inlineStr">
        <is>
          <t>04.929.130/0001-64</t>
        </is>
      </c>
      <c r="AV268" s="32" t="inlineStr">
        <is>
          <t>printed on the list (read twice)</t>
        </is>
      </c>
      <c r="AW268" s="32" t="inlineStr"/>
      <c r="AX268" s="32" t="inlineStr">
        <is>
          <t>SAO PAULO</t>
        </is>
      </c>
      <c r="AY268" s="32" t="inlineStr">
        <is>
          <t>SP</t>
        </is>
      </c>
      <c r="AZ268" s="32" t="inlineStr">
        <is>
          <t>Serviços combinados de escritório e apoio administrativo</t>
        </is>
      </c>
      <c r="BA268" s="32" t="inlineStr">
        <is>
          <t>não ME/EPP</t>
        </is>
      </c>
      <c r="BB268" s="33" t="n">
        <v>217733330</v>
      </c>
      <c r="BC268" s="32" t="inlineStr">
        <is>
          <t>MID-MARKET</t>
        </is>
      </c>
      <c r="BD268" s="32" t="inlineStr">
        <is>
          <t>59128553</t>
        </is>
      </c>
      <c r="BE268" s="32" t="n">
        <v>1</v>
      </c>
      <c r="BF268" s="32" t="inlineStr">
        <is>
          <t>list prints no totals</t>
        </is>
      </c>
    </row>
    <row r="269">
      <c r="A269" s="17" t="inlineStr">
        <is>
          <t>CCP - INDUSTRIA E COMERCIO DE COMPOSTOS DE PVC LTDA</t>
        </is>
      </c>
      <c r="B269" s="18" t="n">
        <v>407429.66</v>
      </c>
      <c r="C269" s="37" t="inlineStr">
        <is>
          <t>(debtor not identified — see proof)</t>
        </is>
      </c>
      <c r="D269" s="20" t="inlineStr">
        <is>
          <t>NEW</t>
        </is>
      </c>
      <c r="E269" s="21" t="inlineStr"/>
      <c r="F269" s="20" t="inlineStr"/>
      <c r="G269" s="21" t="inlineStr"/>
      <c r="H269" s="20" t="inlineStr"/>
      <c r="I269" s="22" t="inlineStr">
        <is>
          <t>Fernando Rescarolli</t>
        </is>
      </c>
      <c r="J269" s="22" t="inlineStr">
        <is>
          <t>Controller na Ccp</t>
        </is>
      </c>
      <c r="K269" s="22" t="inlineStr">
        <is>
          <t>(47) 3447-4800</t>
        </is>
      </c>
      <c r="L269" s="22" t="inlineStr"/>
      <c r="M269" s="22" t="inlineStr"/>
      <c r="N269" s="22" t="inlineStr">
        <is>
          <t>fernando.rescarolli@ccp.ind.br</t>
        </is>
      </c>
      <c r="O269" s="22" t="inlineStr">
        <is>
          <t>verified</t>
        </is>
      </c>
      <c r="P269" s="22" t="inlineStr">
        <is>
          <t>Greice Lorencetti</t>
        </is>
      </c>
      <c r="Q269" s="22" t="inlineStr">
        <is>
          <t>Financial Analyst</t>
        </is>
      </c>
      <c r="R269" s="22" t="inlineStr"/>
      <c r="S269" s="22" t="inlineStr">
        <is>
          <t>contasapagar@ccp.ind.br</t>
        </is>
      </c>
      <c r="T269" s="22" t="inlineStr">
        <is>
          <t>DM: has_email, phone Yes; BACKUP: backup, has_email</t>
        </is>
      </c>
      <c r="U269" s="24" t="n">
        <v>407429.66</v>
      </c>
      <c r="V269" s="25" t="inlineStr">
        <is>
          <t>B</t>
        </is>
      </c>
      <c r="W269" s="26" t="inlineStr"/>
      <c r="X269" s="27" t="inlineStr"/>
      <c r="Y269" s="27" t="inlineStr"/>
      <c r="Z269" s="26">
        <f>IF(W269&lt;&gt;"",W269,IFERROR(VLOOKUP(V269,Assumptions!$A$8:$F$12,2,FALSE),0))</f>
        <v/>
      </c>
      <c r="AA269" s="28">
        <f>IF(V269="A",MAX(1,IF(X269&lt;&gt;"",X269,IFERROR(VLOOKUP(V269,Assumptions!$A$8:$F$12,3,FALSE),3))+IF(Y269&lt;&gt;"",Y269,IFERROR(VLOOKUP(V269,Assumptions!$A$8:$F$12,4,FALSE),8))/2-MAX(0,IF(AS269="",0,YEAR(TODAY())-AS269)-IFERROR(VLOOKUP(V269,Assumptions!$A$8:$F$12,5,FALSE),1.5))),IFERROR(VLOOKUP(V269,Assumptions!$A$8:$F$12,5,FALSE),2.5)+IF(X269&lt;&gt;"",X269,IFERROR(VLOOKUP(V269,Assumptions!$A$8:$F$12,3,FALSE),3))+IF(Y269&lt;&gt;"",Y269,IFERROR(VLOOKUP(V269,Assumptions!$A$8:$F$12,4,FALSE),8))/2)</f>
        <v/>
      </c>
      <c r="AB269" s="24">
        <f>U269*Z269/(1+Assumptions!$B$3)^AA269</f>
        <v/>
      </c>
      <c r="AC269" s="27">
        <f>IF(U269=0,"",ROUND(AB269/U269*100,1))</f>
        <v/>
      </c>
      <c r="AD269" s="29">
        <f>AB269*Assumptions!$B$4</f>
        <v/>
      </c>
      <c r="AE269" s="27">
        <f>IF(U269=0,"",ROUND(AD269/U269*100,1))</f>
        <v/>
      </c>
      <c r="AF269" s="29">
        <f>AB269-AD269</f>
        <v/>
      </c>
      <c r="AG269" s="27">
        <f>IF(U269=0,"",ROUND((AB269-AD269)/U269*100,1))</f>
        <v/>
      </c>
      <c r="AH269" s="30" t="inlineStr">
        <is>
          <t>OK — totals reconciled</t>
        </is>
      </c>
      <c r="AI269" s="31" t="inlineStr">
        <is>
          <t>https://ajruiz.com.br/sites/default/files/public/arquivos-processos/2024-04/relacao_de_credores_recuperanda_1.pdf</t>
        </is>
      </c>
      <c r="AJ269" s="30" t="inlineStr">
        <is>
          <t>p4 r6; p4 r7; p4 r8; p4 r9</t>
        </is>
      </c>
      <c r="AK269" s="30" t="inlineStr">
        <is>
          <t>p4: R$ 151.777,50; p4: R$ 7.227,50; p4: R$ 166.232,50; p4: R$ 82.192,16</t>
        </is>
      </c>
      <c r="AL269" s="30" t="inlineStr">
        <is>
          <t>QGC (art. 18)</t>
        </is>
      </c>
      <c r="AM269" s="30" t="inlineStr">
        <is>
          <t>2024-01-31</t>
        </is>
      </c>
      <c r="AN269" s="30" t="inlineStr">
        <is>
          <t>NONE FOUND</t>
        </is>
      </c>
      <c r="AO269" s="32" t="inlineStr">
        <is>
          <t>1022634-27.2024.8.26.0100</t>
        </is>
      </c>
      <c r="AP269" s="32" t="inlineStr">
        <is>
          <t>TJSP</t>
        </is>
      </c>
      <c r="AQ269" s="32" t="inlineStr"/>
      <c r="AR269" s="32" t="inlineStr">
        <is>
          <t>not in DataJud</t>
        </is>
      </c>
      <c r="AS269" s="32" t="n">
        <v>2024</v>
      </c>
      <c r="AT269" s="32" t="inlineStr">
        <is>
          <t>live case, no plan document yet; case no. from the portal record, not printed on the list</t>
        </is>
      </c>
      <c r="AU269" s="32" t="inlineStr"/>
      <c r="AV269" s="32" t="inlineStr">
        <is>
          <t>not identified</t>
        </is>
      </c>
      <c r="AW269" s="32" t="inlineStr"/>
      <c r="AX269" s="32" t="inlineStr">
        <is>
          <t>ARAQUARI</t>
        </is>
      </c>
      <c r="AY269" s="32" t="inlineStr">
        <is>
          <t>SC</t>
        </is>
      </c>
      <c r="AZ269" s="32" t="inlineStr">
        <is>
          <t>Fabricação de resinas termoplásticas</t>
        </is>
      </c>
      <c r="BA269" s="32" t="inlineStr">
        <is>
          <t>não ME/EPP</t>
        </is>
      </c>
      <c r="BB269" s="33" t="n">
        <v>5000000</v>
      </c>
      <c r="BC269" s="32" t="inlineStr">
        <is>
          <t>MID-MARKET</t>
        </is>
      </c>
      <c r="BD269" s="32" t="inlineStr">
        <is>
          <t>08048078</t>
        </is>
      </c>
      <c r="BE269" s="32" t="n">
        <v>4</v>
      </c>
      <c r="BF269" s="32" t="inlineStr">
        <is>
          <t>case no. corrected by reader</t>
        </is>
      </c>
    </row>
    <row r="270">
      <c r="A270" s="17" t="inlineStr">
        <is>
          <t>COMARY INDUSTRIA DE BEBIDAS LTDA</t>
        </is>
      </c>
      <c r="B270" s="18" t="n">
        <v>407241.98</v>
      </c>
      <c r="C270" s="19" t="inlineStr">
        <is>
          <t>Grupo Arruda (ARRUDA &amp; MELO REPRESENTACAO DE ALIMENTOS E BEBIDAS LTDA, ARRUDA &amp; MELO COMERCIO E DISTRIBUICAO DE ALIMENTOS E BEBIDAS LTDA, ARRUDA &amp; MELO COMERCIO E DISTRIBUICAO DE ALIMENTOS E BEBIDAS DA BAHIA LTDA)</t>
        </is>
      </c>
      <c r="D270" s="20" t="inlineStr">
        <is>
          <t>NEW</t>
        </is>
      </c>
      <c r="E270" s="21" t="inlineStr"/>
      <c r="F270" s="20" t="inlineStr"/>
      <c r="G270" s="21" t="inlineStr"/>
      <c r="H270" s="20" t="inlineStr"/>
      <c r="I270" s="22" t="inlineStr">
        <is>
          <t>MOZART RIBEIRO RODRIGUES</t>
        </is>
      </c>
      <c r="J270" s="23" t="inlineStr">
        <is>
          <t>Sócio-Administrador (RFB partner)</t>
        </is>
      </c>
      <c r="K270" s="22" t="inlineStr">
        <is>
          <t>(21) 2152-4014</t>
        </is>
      </c>
      <c r="L270" s="22" t="inlineStr">
        <is>
          <t>(21) 2152-4000</t>
        </is>
      </c>
      <c r="M270" s="22" t="inlineStr"/>
      <c r="N270" s="22" t="inlineStr"/>
      <c r="O270" s="22" t="inlineStr"/>
      <c r="P270" s="22" t="inlineStr">
        <is>
          <t>Rildo Mota</t>
        </is>
      </c>
      <c r="Q270" s="22" t="inlineStr">
        <is>
          <t>Comary Indústria de Bebidas</t>
        </is>
      </c>
      <c r="R270" s="22" t="inlineStr"/>
      <c r="S270" s="22" t="inlineStr">
        <is>
          <t>rildo.mota@comary.com.br</t>
        </is>
      </c>
      <c r="T270" s="22" t="inlineStr">
        <is>
          <t>DM = registered partner (RFB QSA); Apollo pick demoted to backup (non-finance role); BACKUP: weak; backup email is pattern-guessed</t>
        </is>
      </c>
      <c r="U270" s="24" t="n">
        <v>407241.98</v>
      </c>
      <c r="V270" s="25" t="inlineStr">
        <is>
          <t>B</t>
        </is>
      </c>
      <c r="W270" s="26" t="inlineStr"/>
      <c r="X270" s="27" t="inlineStr"/>
      <c r="Y270" s="27" t="inlineStr"/>
      <c r="Z270" s="26">
        <f>IF(W270&lt;&gt;"",W270,IFERROR(VLOOKUP(V270,Assumptions!$A$8:$F$12,2,FALSE),0))</f>
        <v/>
      </c>
      <c r="AA270" s="28">
        <f>IF(V270="A",MAX(1,IF(X270&lt;&gt;"",X270,IFERROR(VLOOKUP(V270,Assumptions!$A$8:$F$12,3,FALSE),3))+IF(Y270&lt;&gt;"",Y270,IFERROR(VLOOKUP(V270,Assumptions!$A$8:$F$12,4,FALSE),8))/2-MAX(0,IF(AS270="",0,YEAR(TODAY())-AS270)-IFERROR(VLOOKUP(V270,Assumptions!$A$8:$F$12,5,FALSE),1.5))),IFERROR(VLOOKUP(V270,Assumptions!$A$8:$F$12,5,FALSE),2.5)+IF(X270&lt;&gt;"",X270,IFERROR(VLOOKUP(V270,Assumptions!$A$8:$F$12,3,FALSE),3))+IF(Y270&lt;&gt;"",Y270,IFERROR(VLOOKUP(V270,Assumptions!$A$8:$F$12,4,FALSE),8))/2)</f>
        <v/>
      </c>
      <c r="AB270" s="24">
        <f>U270*Z270/(1+Assumptions!$B$3)^AA270</f>
        <v/>
      </c>
      <c r="AC270" s="27">
        <f>IF(U270=0,"",ROUND(AB270/U270*100,1))</f>
        <v/>
      </c>
      <c r="AD270" s="29">
        <f>AB270*Assumptions!$B$4</f>
        <v/>
      </c>
      <c r="AE270" s="27">
        <f>IF(U270=0,"",ROUND(AD270/U270*100,1))</f>
        <v/>
      </c>
      <c r="AF270" s="29">
        <f>AB270-AD270</f>
        <v/>
      </c>
      <c r="AG270" s="27">
        <f>IF(U270=0,"",ROUND((AB270-AD270)/U270*100,1))</f>
        <v/>
      </c>
      <c r="AH270" s="30" t="inlineStr">
        <is>
          <t>OK — totals reconciled</t>
        </is>
      </c>
      <c r="AI270" s="31" t="inlineStr">
        <is>
          <t>https://diligence.adm.br/wp-content/uploads/2025/06/Edital-1a-Lista-de-Credores.pdf</t>
        </is>
      </c>
      <c r="AJ270" s="30" t="inlineStr">
        <is>
          <t>p5 r69</t>
        </is>
      </c>
      <c r="AK270" s="30" t="inlineStr">
        <is>
          <t>p5: R$ 407.241,98</t>
        </is>
      </c>
      <c r="AL270" s="30" t="inlineStr">
        <is>
          <t>Debtor list (art. 51)</t>
        </is>
      </c>
      <c r="AM270" s="30" t="inlineStr">
        <is>
          <t>2025-06-10</t>
        </is>
      </c>
      <c r="AN270" s="30" t="inlineStr">
        <is>
          <t>NONE FOUND</t>
        </is>
      </c>
      <c r="AO270" s="32" t="inlineStr">
        <is>
          <t>0008526-45.2025.8.17.2001</t>
        </is>
      </c>
      <c r="AP270" s="32" t="inlineStr">
        <is>
          <t>TJPE</t>
        </is>
      </c>
      <c r="AQ270" s="32" t="inlineStr">
        <is>
          <t>Recuperação judicial</t>
        </is>
      </c>
      <c r="AR270" s="32" t="inlineStr">
        <is>
          <t>DataJud: no closure/falência movement</t>
        </is>
      </c>
      <c r="AS270" s="32" t="n">
        <v>2025</v>
      </c>
      <c r="AT270" s="32" t="inlineStr">
        <is>
          <t>live case, no plan document yet</t>
        </is>
      </c>
      <c r="AU270" s="32" t="inlineStr"/>
      <c r="AV270" s="32" t="inlineStr">
        <is>
          <t>printed on the list (read twice)</t>
        </is>
      </c>
      <c r="AW270" s="32" t="inlineStr"/>
      <c r="AX270" s="32" t="inlineStr">
        <is>
          <t>TERESOPOLIS</t>
        </is>
      </c>
      <c r="AY270" s="32" t="inlineStr">
        <is>
          <t>RJ</t>
        </is>
      </c>
      <c r="AZ270" s="32" t="inlineStr">
        <is>
          <t>Fabricação de vinho</t>
        </is>
      </c>
      <c r="BA270" s="32" t="inlineStr">
        <is>
          <t>não ME/EPP</t>
        </is>
      </c>
      <c r="BB270" s="33" t="n">
        <v>111122260</v>
      </c>
      <c r="BC270" s="32" t="inlineStr">
        <is>
          <t>MID-MARKET</t>
        </is>
      </c>
      <c r="BD270" s="32" t="inlineStr">
        <is>
          <t>29588019</t>
        </is>
      </c>
      <c r="BE270" s="32" t="n">
        <v>1</v>
      </c>
      <c r="BF270" s="32" t="inlineStr"/>
    </row>
    <row r="271">
      <c r="A271" s="17" t="inlineStr">
        <is>
          <t>AGROCETE INDUSTRIA DE FERTILIZANTES LTDA</t>
        </is>
      </c>
      <c r="B271" s="18" t="n">
        <v>406921.95</v>
      </c>
      <c r="C271" s="19" t="inlineStr">
        <is>
          <t>Agroforte Agropecuaria Ltda</t>
        </is>
      </c>
      <c r="D271" s="20" t="inlineStr">
        <is>
          <t>NEW</t>
        </is>
      </c>
      <c r="E271" s="21" t="inlineStr"/>
      <c r="F271" s="20" t="inlineStr"/>
      <c r="G271" s="21" t="inlineStr"/>
      <c r="H271" s="20" t="inlineStr"/>
      <c r="I271" s="22" t="inlineStr">
        <is>
          <t>Luiz Fernando</t>
        </is>
      </c>
      <c r="J271" s="22" t="inlineStr">
        <is>
          <t>Analista de Crédito e Cobrança PL</t>
        </is>
      </c>
      <c r="K271" s="22" t="inlineStr">
        <is>
          <t>(42) 3228-1229</t>
        </is>
      </c>
      <c r="L271" s="22" t="inlineStr"/>
      <c r="M271" s="22" t="inlineStr"/>
      <c r="N271" s="22" t="inlineStr"/>
      <c r="O271" s="22" t="inlineStr"/>
      <c r="P271" s="22" t="inlineStr">
        <is>
          <t>Renata Moreira</t>
        </is>
      </c>
      <c r="Q271" s="22" t="inlineStr">
        <is>
          <t>Controller Assistant</t>
        </is>
      </c>
      <c r="R271" s="22" t="inlineStr"/>
      <c r="S271" s="22" t="inlineStr">
        <is>
          <t>renata.moreira@agrocete.com</t>
        </is>
      </c>
      <c r="T271" s="22" t="inlineStr">
        <is>
          <t>DM: DM-ish; no work email in Apollo for DM; BACKUP: backup</t>
        </is>
      </c>
      <c r="U271" s="24" t="n">
        <v>406921.95</v>
      </c>
      <c r="V271" s="25" t="inlineStr">
        <is>
          <t>B</t>
        </is>
      </c>
      <c r="W271" s="26" t="inlineStr"/>
      <c r="X271" s="27" t="inlineStr"/>
      <c r="Y271" s="27" t="inlineStr"/>
      <c r="Z271" s="26">
        <f>IF(W271&lt;&gt;"",W271,IFERROR(VLOOKUP(V271,Assumptions!$A$8:$F$12,2,FALSE),0))</f>
        <v/>
      </c>
      <c r="AA271" s="28">
        <f>IF(V271="A",MAX(1,IF(X271&lt;&gt;"",X271,IFERROR(VLOOKUP(V271,Assumptions!$A$8:$F$12,3,FALSE),3))+IF(Y271&lt;&gt;"",Y271,IFERROR(VLOOKUP(V271,Assumptions!$A$8:$F$12,4,FALSE),8))/2-MAX(0,IF(AS271="",0,YEAR(TODAY())-AS271)-IFERROR(VLOOKUP(V271,Assumptions!$A$8:$F$12,5,FALSE),1.5))),IFERROR(VLOOKUP(V271,Assumptions!$A$8:$F$12,5,FALSE),2.5)+IF(X271&lt;&gt;"",X271,IFERROR(VLOOKUP(V271,Assumptions!$A$8:$F$12,3,FALSE),3))+IF(Y271&lt;&gt;"",Y271,IFERROR(VLOOKUP(V271,Assumptions!$A$8:$F$12,4,FALSE),8))/2)</f>
        <v/>
      </c>
      <c r="AB271" s="24">
        <f>U271*Z271/(1+Assumptions!$B$3)^AA271</f>
        <v/>
      </c>
      <c r="AC271" s="27">
        <f>IF(U271=0,"",ROUND(AB271/U271*100,1))</f>
        <v/>
      </c>
      <c r="AD271" s="29">
        <f>AB271*Assumptions!$B$4</f>
        <v/>
      </c>
      <c r="AE271" s="27">
        <f>IF(U271=0,"",ROUND(AD271/U271*100,1))</f>
        <v/>
      </c>
      <c r="AF271" s="29">
        <f>AB271-AD271</f>
        <v/>
      </c>
      <c r="AG271" s="27">
        <f>IF(U271=0,"",ROUND((AB271-AD271)/U271*100,1))</f>
        <v/>
      </c>
      <c r="AH271" s="35" t="inlineStr">
        <is>
          <t>PARTIAL — class III reconciled, other classes not</t>
        </is>
      </c>
      <c r="AI271" s="31" t="inlineStr">
        <is>
          <t>https://marquesadmjudicial.com.br/sgc/download.php?file=files/processo_documento/processo_documento11370527032026_1_.pdf&amp;nome=Quadro Geral de Credores (QGC) -AJ Anterior</t>
        </is>
      </c>
      <c r="AJ271" s="30" t="inlineStr">
        <is>
          <t>p1 r4</t>
        </is>
      </c>
      <c r="AK271" s="30" t="inlineStr">
        <is>
          <t>p1: R$ 406.921,95</t>
        </is>
      </c>
      <c r="AL271" s="30" t="inlineStr">
        <is>
          <t>QGC (art. 18)</t>
        </is>
      </c>
      <c r="AM271" s="30" t="inlineStr">
        <is>
          <t>2025-09-22</t>
        </is>
      </c>
      <c r="AN271" s="30" t="inlineStr">
        <is>
          <t>NONE FOUND</t>
        </is>
      </c>
      <c r="AO271" s="32" t="inlineStr">
        <is>
          <t>0031120-52.2024.8.16.0017</t>
        </is>
      </c>
      <c r="AP271" s="32" t="inlineStr">
        <is>
          <t>TJPR</t>
        </is>
      </c>
      <c r="AQ271" s="32" t="inlineStr">
        <is>
          <t>Recuperação judicial</t>
        </is>
      </c>
      <c r="AR271" s="32" t="inlineStr">
        <is>
          <t>DataJud: no closure/falência movement</t>
        </is>
      </c>
      <c r="AS271" s="32" t="n">
        <v>2024</v>
      </c>
      <c r="AT271" s="32" t="inlineStr">
        <is>
          <t>live case, no plan document yet</t>
        </is>
      </c>
      <c r="AU271" s="32" t="inlineStr">
        <is>
          <t>33.286.454/0001-20</t>
        </is>
      </c>
      <c r="AV271" s="32" t="inlineStr">
        <is>
          <t>printed on the list (read twice)</t>
        </is>
      </c>
      <c r="AW271" s="32" t="inlineStr"/>
      <c r="AX271" s="32" t="inlineStr">
        <is>
          <t>PONTA GROSSA</t>
        </is>
      </c>
      <c r="AY271" s="32" t="inlineStr">
        <is>
          <t>PR</t>
        </is>
      </c>
      <c r="AZ271" s="32" t="inlineStr">
        <is>
          <t>Fabricação de adubos e fertilizantes, exceto organo-minerais</t>
        </is>
      </c>
      <c r="BA271" s="32" t="inlineStr">
        <is>
          <t>não ME/EPP</t>
        </is>
      </c>
      <c r="BB271" s="33" t="n">
        <v>5000000</v>
      </c>
      <c r="BC271" s="32" t="inlineStr">
        <is>
          <t>MID-MARKET</t>
        </is>
      </c>
      <c r="BD271" s="32" t="inlineStr">
        <is>
          <t>75007385</t>
        </is>
      </c>
      <c r="BE271" s="32" t="n">
        <v>1</v>
      </c>
      <c r="BF271" s="32" t="inlineStr">
        <is>
          <t>class III reconciled (doc partial)</t>
        </is>
      </c>
    </row>
    <row r="272">
      <c r="A272" s="17" t="inlineStr">
        <is>
          <t>GETTI QUIMICA LTDA</t>
        </is>
      </c>
      <c r="B272" s="18" t="n">
        <v>406720.75</v>
      </c>
      <c r="C272" s="19" t="inlineStr">
        <is>
          <t>GRUPO DIVINA</t>
        </is>
      </c>
      <c r="D272" s="20" t="inlineStr">
        <is>
          <t>NEW</t>
        </is>
      </c>
      <c r="E272" s="21" t="inlineStr"/>
      <c r="F272" s="20" t="inlineStr"/>
      <c r="G272" s="21" t="inlineStr"/>
      <c r="H272" s="20" t="inlineStr"/>
      <c r="I272" s="22" t="inlineStr">
        <is>
          <t>ADRIANO BONDAN</t>
        </is>
      </c>
      <c r="J272" s="23" t="inlineStr">
        <is>
          <t>Sócio-Administrador (RFB partner)</t>
        </is>
      </c>
      <c r="K272" s="22" t="inlineStr">
        <is>
          <t>(51) 3553-3355</t>
        </is>
      </c>
      <c r="L272" s="22" t="inlineStr"/>
      <c r="M272" s="22" t="inlineStr"/>
      <c r="N272" s="22" t="inlineStr"/>
      <c r="O272" s="22" t="inlineStr"/>
      <c r="P272" s="22" t="inlineStr">
        <is>
          <t>Fabricio Moura</t>
        </is>
      </c>
      <c r="Q272" s="22" t="inlineStr">
        <is>
          <t>Contador</t>
        </is>
      </c>
      <c r="R272" s="22" t="inlineStr"/>
      <c r="S272" s="22" t="inlineStr">
        <is>
          <t>fabricio@getti.com.br</t>
        </is>
      </c>
      <c r="T272" s="22" t="inlineStr">
        <is>
          <t>DM = registered partner (RFB QSA); Apollo pick demoted to backup (non-finance role); BACKUP: has_email</t>
        </is>
      </c>
      <c r="U272" s="24" t="n">
        <v>406720.75</v>
      </c>
      <c r="V272" s="25" t="inlineStr">
        <is>
          <t>B</t>
        </is>
      </c>
      <c r="W272" s="26" t="inlineStr"/>
      <c r="X272" s="27" t="inlineStr"/>
      <c r="Y272" s="27" t="inlineStr"/>
      <c r="Z272" s="26">
        <f>IF(W272&lt;&gt;"",W272,IFERROR(VLOOKUP(V272,Assumptions!$A$8:$F$12,2,FALSE),0))</f>
        <v/>
      </c>
      <c r="AA272" s="28">
        <f>IF(V272="A",MAX(1,IF(X272&lt;&gt;"",X272,IFERROR(VLOOKUP(V272,Assumptions!$A$8:$F$12,3,FALSE),3))+IF(Y272&lt;&gt;"",Y272,IFERROR(VLOOKUP(V272,Assumptions!$A$8:$F$12,4,FALSE),8))/2-MAX(0,IF(AS272="",0,YEAR(TODAY())-AS272)-IFERROR(VLOOKUP(V272,Assumptions!$A$8:$F$12,5,FALSE),1.5))),IFERROR(VLOOKUP(V272,Assumptions!$A$8:$F$12,5,FALSE),2.5)+IF(X272&lt;&gt;"",X272,IFERROR(VLOOKUP(V272,Assumptions!$A$8:$F$12,3,FALSE),3))+IF(Y272&lt;&gt;"",Y272,IFERROR(VLOOKUP(V272,Assumptions!$A$8:$F$12,4,FALSE),8))/2)</f>
        <v/>
      </c>
      <c r="AB272" s="24">
        <f>U272*Z272/(1+Assumptions!$B$3)^AA272</f>
        <v/>
      </c>
      <c r="AC272" s="27">
        <f>IF(U272=0,"",ROUND(AB272/U272*100,1))</f>
        <v/>
      </c>
      <c r="AD272" s="29">
        <f>AB272*Assumptions!$B$4</f>
        <v/>
      </c>
      <c r="AE272" s="27">
        <f>IF(U272=0,"",ROUND(AD272/U272*100,1))</f>
        <v/>
      </c>
      <c r="AF272" s="29">
        <f>AB272-AD272</f>
        <v/>
      </c>
      <c r="AG272" s="27">
        <f>IF(U272=0,"",ROUND((AB272-AD272)/U272*100,1))</f>
        <v/>
      </c>
      <c r="AH272" s="35" t="inlineStr">
        <is>
          <t>PARTIAL — class III reconciled, other classes not</t>
        </is>
      </c>
      <c r="AI272" s="31" t="inlineStr">
        <is>
          <t>https://lrflideres.com.br/wp-content/plugins/download-attachments/includes/download.php?id=6252</t>
        </is>
      </c>
      <c r="AJ272" s="30" t="inlineStr">
        <is>
          <t>p2 r46</t>
        </is>
      </c>
      <c r="AK272" s="30" t="inlineStr">
        <is>
          <t>p2: R$ 406.720,75</t>
        </is>
      </c>
      <c r="AL272" s="30" t="inlineStr">
        <is>
          <t>AJ list (art. 7 §2)</t>
        </is>
      </c>
      <c r="AM272" s="30" t="inlineStr">
        <is>
          <t>2024-11-27</t>
        </is>
      </c>
      <c r="AN272" s="30" t="inlineStr">
        <is>
          <t>NONE FOUND</t>
        </is>
      </c>
      <c r="AO272" s="32" t="inlineStr">
        <is>
          <t>0000721-61.2024.8.17.2620</t>
        </is>
      </c>
      <c r="AP272" s="32" t="inlineStr">
        <is>
          <t>TJPE</t>
        </is>
      </c>
      <c r="AQ272" s="32" t="inlineStr">
        <is>
          <t>Recuperação judicial</t>
        </is>
      </c>
      <c r="AR272" s="32" t="inlineStr">
        <is>
          <t>DataJud: no closure/falência movement</t>
        </is>
      </c>
      <c r="AS272" s="32" t="n">
        <v>2024</v>
      </c>
      <c r="AT272" s="32" t="inlineStr">
        <is>
          <t>live case, no plan document yet</t>
        </is>
      </c>
      <c r="AU272" s="32" t="inlineStr">
        <is>
          <t>08.785.522/0001-58</t>
        </is>
      </c>
      <c r="AV272" s="32" t="inlineStr">
        <is>
          <t>printed on the list (read twice)</t>
        </is>
      </c>
      <c r="AW272" s="32" t="inlineStr"/>
      <c r="AX272" s="32" t="inlineStr">
        <is>
          <t>NOVO HAMBURGO</t>
        </is>
      </c>
      <c r="AY272" s="32" t="inlineStr">
        <is>
          <t>RS</t>
        </is>
      </c>
      <c r="AZ272" s="32" t="inlineStr">
        <is>
          <t>Fabricação de outros produtos químicos não especificados anteriormente</t>
        </is>
      </c>
      <c r="BA272" s="32" t="inlineStr">
        <is>
          <t>não ME/EPP</t>
        </is>
      </c>
      <c r="BB272" s="33" t="n">
        <v>6000000</v>
      </c>
      <c r="BC272" s="32" t="inlineStr">
        <is>
          <t>MID-MARKET</t>
        </is>
      </c>
      <c r="BD272" s="32" t="inlineStr">
        <is>
          <t>00073757</t>
        </is>
      </c>
      <c r="BE272" s="32" t="n">
        <v>1</v>
      </c>
      <c r="BF272" s="32" t="inlineStr">
        <is>
          <t>class III reconciled (doc partial)</t>
        </is>
      </c>
    </row>
    <row r="273">
      <c r="A273" s="17" t="inlineStr">
        <is>
          <t>CRISTAL MASTER INDUSTRIA E COMERCIO LTDA</t>
        </is>
      </c>
      <c r="B273" s="18" t="n">
        <v>403317.43</v>
      </c>
      <c r="C273" s="19" t="inlineStr">
        <is>
          <t>AZEPLAST INDÚSTRIA E COMÉRCIO LTDA</t>
        </is>
      </c>
      <c r="D273" s="20" t="inlineStr">
        <is>
          <t>NEW</t>
        </is>
      </c>
      <c r="E273" s="21" t="inlineStr"/>
      <c r="F273" s="20" t="inlineStr"/>
      <c r="G273" s="21" t="inlineStr"/>
      <c r="H273" s="20" t="inlineStr"/>
      <c r="I273" s="22" t="inlineStr">
        <is>
          <t>Luciana Santos</t>
        </is>
      </c>
      <c r="J273" s="22" t="inlineStr">
        <is>
          <t>Controller</t>
        </is>
      </c>
      <c r="K273" s="22" t="inlineStr">
        <is>
          <t>(47) 3451-5030</t>
        </is>
      </c>
      <c r="L273" s="22" t="inlineStr"/>
      <c r="M273" s="22" t="inlineStr"/>
      <c r="N273" s="22" t="inlineStr">
        <is>
          <t>luciana.reinert@cristalmaster.com.br</t>
        </is>
      </c>
      <c r="O273" s="22" t="inlineStr">
        <is>
          <t>verified</t>
        </is>
      </c>
      <c r="P273" s="22" t="inlineStr">
        <is>
          <t>LUIZ CARLOS REINERT DOS SANTOS</t>
        </is>
      </c>
      <c r="Q273" s="22" t="inlineStr">
        <is>
          <t>Administrador (RFB partner)</t>
        </is>
      </c>
      <c r="R273" s="22" t="inlineStr"/>
      <c r="S273" s="22" t="inlineStr"/>
      <c r="T273" s="22" t="inlineStr">
        <is>
          <t>DM: has_email, phone Yes</t>
        </is>
      </c>
      <c r="U273" s="24" t="n">
        <v>403317.43</v>
      </c>
      <c r="V273" s="25" t="inlineStr">
        <is>
          <t>B</t>
        </is>
      </c>
      <c r="W273" s="26" t="inlineStr"/>
      <c r="X273" s="27" t="inlineStr"/>
      <c r="Y273" s="27" t="inlineStr"/>
      <c r="Z273" s="26">
        <f>IF(W273&lt;&gt;"",W273,IFERROR(VLOOKUP(V273,Assumptions!$A$8:$F$12,2,FALSE),0))</f>
        <v/>
      </c>
      <c r="AA273" s="28">
        <f>IF(V273="A",MAX(1,IF(X273&lt;&gt;"",X273,IFERROR(VLOOKUP(V273,Assumptions!$A$8:$F$12,3,FALSE),3))+IF(Y273&lt;&gt;"",Y273,IFERROR(VLOOKUP(V273,Assumptions!$A$8:$F$12,4,FALSE),8))/2-MAX(0,IF(AS273="",0,YEAR(TODAY())-AS273)-IFERROR(VLOOKUP(V273,Assumptions!$A$8:$F$12,5,FALSE),1.5))),IFERROR(VLOOKUP(V273,Assumptions!$A$8:$F$12,5,FALSE),2.5)+IF(X273&lt;&gt;"",X273,IFERROR(VLOOKUP(V273,Assumptions!$A$8:$F$12,3,FALSE),3))+IF(Y273&lt;&gt;"",Y273,IFERROR(VLOOKUP(V273,Assumptions!$A$8:$F$12,4,FALSE),8))/2)</f>
        <v/>
      </c>
      <c r="AB273" s="24">
        <f>U273*Z273/(1+Assumptions!$B$3)^AA273</f>
        <v/>
      </c>
      <c r="AC273" s="27">
        <f>IF(U273=0,"",ROUND(AB273/U273*100,1))</f>
        <v/>
      </c>
      <c r="AD273" s="29">
        <f>AB273*Assumptions!$B$4</f>
        <v/>
      </c>
      <c r="AE273" s="27">
        <f>IF(U273=0,"",ROUND(AD273/U273*100,1))</f>
        <v/>
      </c>
      <c r="AF273" s="29">
        <f>AB273-AD273</f>
        <v/>
      </c>
      <c r="AG273" s="27">
        <f>IF(U273=0,"",ROUND((AB273-AD273)/U273*100,1))</f>
        <v/>
      </c>
      <c r="AH273" s="35" t="inlineStr">
        <is>
          <t>PARTIAL — class III reconciled, other classes not</t>
        </is>
      </c>
      <c r="AI273" s="31" t="inlineStr">
        <is>
          <t>https://ajruiz.com.br/sites/default/files/public/arquivos-processos/2026-08/qgc_azeplast_julho_2026.pdf</t>
        </is>
      </c>
      <c r="AJ273" s="30" t="inlineStr">
        <is>
          <t>p1 r21</t>
        </is>
      </c>
      <c r="AK273" s="30" t="inlineStr">
        <is>
          <t>p1: R$ 403.317,43</t>
        </is>
      </c>
      <c r="AL273" s="30" t="inlineStr">
        <is>
          <t>QGC (art. 18)</t>
        </is>
      </c>
      <c r="AM273" s="30" t="inlineStr"/>
      <c r="AN273" s="30" t="inlineStr">
        <is>
          <t>NONE FOUND</t>
        </is>
      </c>
      <c r="AO273" s="32" t="inlineStr">
        <is>
          <t>5008793-34.2023.8.24.0019</t>
        </is>
      </c>
      <c r="AP273" s="32" t="inlineStr">
        <is>
          <t>TJSC</t>
        </is>
      </c>
      <c r="AQ273" s="32" t="inlineStr">
        <is>
          <t>Recuperação judicial</t>
        </is>
      </c>
      <c r="AR273" s="32" t="inlineStr">
        <is>
          <t>DataJud: no closure/falência movement</t>
        </is>
      </c>
      <c r="AS273" s="32" t="n">
        <v>2023</v>
      </c>
      <c r="AT273" s="32" t="inlineStr">
        <is>
          <t>live case, no plan document yet</t>
        </is>
      </c>
      <c r="AU273" s="32" t="inlineStr"/>
      <c r="AV273" s="32" t="inlineStr">
        <is>
          <t>printed on the list (read twice)</t>
        </is>
      </c>
      <c r="AW273" s="32" t="inlineStr"/>
      <c r="AX273" s="32" t="inlineStr">
        <is>
          <t>JOINVILLE</t>
        </is>
      </c>
      <c r="AY273" s="32" t="inlineStr">
        <is>
          <t>SC</t>
        </is>
      </c>
      <c r="AZ273" s="32" t="inlineStr">
        <is>
          <t>Fabricação de artefatos de material plástico para outros usos não especificados anteriormente</t>
        </is>
      </c>
      <c r="BA273" s="32" t="inlineStr">
        <is>
          <t>não ME/EPP</t>
        </is>
      </c>
      <c r="BB273" s="33" t="n">
        <v>5000000</v>
      </c>
      <c r="BC273" s="32" t="inlineStr">
        <is>
          <t>MID-MARKET</t>
        </is>
      </c>
      <c r="BD273" s="32" t="inlineStr">
        <is>
          <t>05378317</t>
        </is>
      </c>
      <c r="BE273" s="32" t="n">
        <v>1</v>
      </c>
      <c r="BF273" s="32" t="inlineStr">
        <is>
          <t>class III reconciled (doc partial)</t>
        </is>
      </c>
    </row>
    <row r="274">
      <c r="A274" s="17" t="inlineStr">
        <is>
          <t>COOPERATIVA DE PRODUTORES DE GRAOS DO ALTO URUGUAI LTDA</t>
        </is>
      </c>
      <c r="B274" s="18" t="n">
        <v>401745.93</v>
      </c>
      <c r="C274" s="19" t="inlineStr">
        <is>
          <t>SUINOCULTURA KUNZLER</t>
        </is>
      </c>
      <c r="D274" s="20" t="inlineStr">
        <is>
          <t>NEW</t>
        </is>
      </c>
      <c r="E274" s="21" t="inlineStr"/>
      <c r="F274" s="20" t="inlineStr"/>
      <c r="G274" s="21" t="inlineStr"/>
      <c r="H274" s="20" t="inlineStr"/>
      <c r="I274" s="22" t="inlineStr">
        <is>
          <t>ALAN NEGRI</t>
        </is>
      </c>
      <c r="J274" s="23" t="inlineStr">
        <is>
          <t>Presidente (RFB partner)</t>
        </is>
      </c>
      <c r="K274" s="22" t="inlineStr">
        <is>
          <t>(54) 9983-4616</t>
        </is>
      </c>
      <c r="L274" s="22" t="inlineStr"/>
      <c r="M274" s="22" t="inlineStr"/>
      <c r="N274" s="22" t="inlineStr"/>
      <c r="O274" s="22" t="inlineStr"/>
      <c r="P274" s="22" t="inlineStr">
        <is>
          <t>ALEX SCOLARI RIGO</t>
        </is>
      </c>
      <c r="Q274" s="22" t="inlineStr">
        <is>
          <t>Administrador (RFB partner)</t>
        </is>
      </c>
      <c r="R274" s="22" t="inlineStr"/>
      <c r="S274" s="22" t="inlineStr"/>
      <c r="T274" s="22" t="inlineStr">
        <is>
          <t>DM = registered partner (RFB QSA); no Apollo match</t>
        </is>
      </c>
      <c r="U274" s="24" t="n">
        <v>401745.93</v>
      </c>
      <c r="V274" s="25" t="inlineStr">
        <is>
          <t>B</t>
        </is>
      </c>
      <c r="W274" s="26" t="inlineStr"/>
      <c r="X274" s="27" t="inlineStr"/>
      <c r="Y274" s="27" t="inlineStr"/>
      <c r="Z274" s="26">
        <f>IF(W274&lt;&gt;"",W274,IFERROR(VLOOKUP(V274,Assumptions!$A$8:$F$12,2,FALSE),0))</f>
        <v/>
      </c>
      <c r="AA274" s="28">
        <f>IF(V274="A",MAX(1,IF(X274&lt;&gt;"",X274,IFERROR(VLOOKUP(V274,Assumptions!$A$8:$F$12,3,FALSE),3))+IF(Y274&lt;&gt;"",Y274,IFERROR(VLOOKUP(V274,Assumptions!$A$8:$F$12,4,FALSE),8))/2-MAX(0,IF(AS274="",0,YEAR(TODAY())-AS274)-IFERROR(VLOOKUP(V274,Assumptions!$A$8:$F$12,5,FALSE),1.5))),IFERROR(VLOOKUP(V274,Assumptions!$A$8:$F$12,5,FALSE),2.5)+IF(X274&lt;&gt;"",X274,IFERROR(VLOOKUP(V274,Assumptions!$A$8:$F$12,3,FALSE),3))+IF(Y274&lt;&gt;"",Y274,IFERROR(VLOOKUP(V274,Assumptions!$A$8:$F$12,4,FALSE),8))/2)</f>
        <v/>
      </c>
      <c r="AB274" s="24">
        <f>U274*Z274/(1+Assumptions!$B$3)^AA274</f>
        <v/>
      </c>
      <c r="AC274" s="27">
        <f>IF(U274=0,"",ROUND(AB274/U274*100,1))</f>
        <v/>
      </c>
      <c r="AD274" s="29">
        <f>AB274*Assumptions!$B$4</f>
        <v/>
      </c>
      <c r="AE274" s="27">
        <f>IF(U274=0,"",ROUND(AD274/U274*100,1))</f>
        <v/>
      </c>
      <c r="AF274" s="29">
        <f>AB274-AD274</f>
        <v/>
      </c>
      <c r="AG274" s="27">
        <f>IF(U274=0,"",ROUND((AB274-AD274)/U274*100,1))</f>
        <v/>
      </c>
      <c r="AH274" s="34" t="inlineStr">
        <is>
          <t>NO TOTALS — list prints none; check page</t>
        </is>
      </c>
      <c r="AI274" s="31" t="inlineStr">
        <is>
          <t>https://rlg-aj.com.br/wp-content/uploads/2024/11/07.-Relação-de-credores.pdf</t>
        </is>
      </c>
      <c r="AJ274" s="30" t="inlineStr">
        <is>
          <t>p1 r30</t>
        </is>
      </c>
      <c r="AK274" s="30" t="inlineStr">
        <is>
          <t>p1: R$ 401.745,93</t>
        </is>
      </c>
      <c r="AL274" s="30" t="inlineStr">
        <is>
          <t>Unclassified list</t>
        </is>
      </c>
      <c r="AM274" s="30" t="inlineStr"/>
      <c r="AN274" s="30" t="inlineStr">
        <is>
          <t>NONE FOUND</t>
        </is>
      </c>
      <c r="AO274" s="32" t="inlineStr">
        <is>
          <t>5009149-92.2024.8.24.0019</t>
        </is>
      </c>
      <c r="AP274" s="32" t="inlineStr">
        <is>
          <t>TJSC</t>
        </is>
      </c>
      <c r="AQ274" s="32" t="inlineStr">
        <is>
          <t>Recuperação judicial</t>
        </is>
      </c>
      <c r="AR274" s="32" t="inlineStr">
        <is>
          <t>DataJud: no closure/falência movement</t>
        </is>
      </c>
      <c r="AS274" s="32" t="n">
        <v>2024</v>
      </c>
      <c r="AT274" s="32" t="inlineStr">
        <is>
          <t>live case, no plan document yet; case no. from the portal record, not printed on the list</t>
        </is>
      </c>
      <c r="AU274" s="32" t="inlineStr">
        <is>
          <t>55.365.447/0001-56</t>
        </is>
      </c>
      <c r="AV274" s="32" t="inlineStr">
        <is>
          <t>printed on the list (read twice)</t>
        </is>
      </c>
      <c r="AW274" s="32" t="inlineStr"/>
      <c r="AX274" s="32" t="inlineStr">
        <is>
          <t>ESTACAO</t>
        </is>
      </c>
      <c r="AY274" s="32" t="inlineStr">
        <is>
          <t>RS</t>
        </is>
      </c>
      <c r="AZ274" s="32" t="inlineStr">
        <is>
          <t>Comércio atacadista de cereais e leguminosas beneficiados</t>
        </is>
      </c>
      <c r="BA274" s="32" t="inlineStr">
        <is>
          <t>não ME/EPP</t>
        </is>
      </c>
      <c r="BB274" s="33" t="inlineStr"/>
      <c r="BC274" s="32" t="inlineStr">
        <is>
          <t>UNKNOWN</t>
        </is>
      </c>
      <c r="BD274" s="32" t="inlineStr">
        <is>
          <t>05039208</t>
        </is>
      </c>
      <c r="BE274" s="32" t="n">
        <v>1</v>
      </c>
      <c r="BF274" s="32" t="inlineStr">
        <is>
          <t>list prints no totals</t>
        </is>
      </c>
    </row>
    <row r="275">
      <c r="A275" s="17" t="inlineStr">
        <is>
          <t>SAO LUIS ADMINISTRADORA DE SHOPPING CENTER LTDA</t>
        </is>
      </c>
      <c r="B275" s="18" t="n">
        <v>398428.76</v>
      </c>
      <c r="C275" s="19" t="inlineStr">
        <is>
          <t>GRUPO CATTAN</t>
        </is>
      </c>
      <c r="D275" s="20" t="inlineStr">
        <is>
          <t>NEW</t>
        </is>
      </c>
      <c r="E275" s="21" t="inlineStr"/>
      <c r="F275" s="20" t="inlineStr"/>
      <c r="G275" s="21" t="inlineStr"/>
      <c r="H275" s="20" t="inlineStr"/>
      <c r="I275" s="22" t="inlineStr">
        <is>
          <t>ANGELICA DE MEDEIROS CLAUDINO</t>
        </is>
      </c>
      <c r="J275" s="23" t="inlineStr">
        <is>
          <t>Administrador (RFB partner)</t>
        </is>
      </c>
      <c r="K275" s="22" t="inlineStr">
        <is>
          <t>(98) 3313-3760</t>
        </is>
      </c>
      <c r="L275" s="22" t="inlineStr">
        <is>
          <t>(98) 3313-3777</t>
        </is>
      </c>
      <c r="M275" s="22" t="inlineStr"/>
      <c r="N275" s="22" t="inlineStr"/>
      <c r="O275" s="22" t="inlineStr"/>
      <c r="P275" s="22" t="inlineStr">
        <is>
          <t>MIGUEL ETHEL SOBRINHO</t>
        </is>
      </c>
      <c r="Q275" s="22" t="inlineStr">
        <is>
          <t>Administrador (RFB partner)</t>
        </is>
      </c>
      <c r="R275" s="22" t="inlineStr"/>
      <c r="S275" s="22" t="inlineStr"/>
      <c r="T275" s="22" t="inlineStr">
        <is>
          <t>DM = registered partner (RFB QSA); no Apollo match</t>
        </is>
      </c>
      <c r="U275" s="24" t="n">
        <v>398428.76</v>
      </c>
      <c r="V275" s="25" t="inlineStr">
        <is>
          <t>B</t>
        </is>
      </c>
      <c r="W275" s="26" t="inlineStr"/>
      <c r="X275" s="27" t="inlineStr"/>
      <c r="Y275" s="27" t="inlineStr"/>
      <c r="Z275" s="26">
        <f>IF(W275&lt;&gt;"",W275,IFERROR(VLOOKUP(V275,Assumptions!$A$8:$F$12,2,FALSE),0))</f>
        <v/>
      </c>
      <c r="AA275" s="28">
        <f>IF(V275="A",MAX(1,IF(X275&lt;&gt;"",X275,IFERROR(VLOOKUP(V275,Assumptions!$A$8:$F$12,3,FALSE),3))+IF(Y275&lt;&gt;"",Y275,IFERROR(VLOOKUP(V275,Assumptions!$A$8:$F$12,4,FALSE),8))/2-MAX(0,IF(AS275="",0,YEAR(TODAY())-AS275)-IFERROR(VLOOKUP(V275,Assumptions!$A$8:$F$12,5,FALSE),1.5))),IFERROR(VLOOKUP(V275,Assumptions!$A$8:$F$12,5,FALSE),2.5)+IF(X275&lt;&gt;"",X275,IFERROR(VLOOKUP(V275,Assumptions!$A$8:$F$12,3,FALSE),3))+IF(Y275&lt;&gt;"",Y275,IFERROR(VLOOKUP(V275,Assumptions!$A$8:$F$12,4,FALSE),8))/2)</f>
        <v/>
      </c>
      <c r="AB275" s="24">
        <f>U275*Z275/(1+Assumptions!$B$3)^AA275</f>
        <v/>
      </c>
      <c r="AC275" s="27">
        <f>IF(U275=0,"",ROUND(AB275/U275*100,1))</f>
        <v/>
      </c>
      <c r="AD275" s="29">
        <f>AB275*Assumptions!$B$4</f>
        <v/>
      </c>
      <c r="AE275" s="27">
        <f>IF(U275=0,"",ROUND(AD275/U275*100,1))</f>
        <v/>
      </c>
      <c r="AF275" s="29">
        <f>AB275-AD275</f>
        <v/>
      </c>
      <c r="AG275" s="27">
        <f>IF(U275=0,"",ROUND((AB275-AD275)/U275*100,1))</f>
        <v/>
      </c>
      <c r="AH275" s="35" t="inlineStr">
        <is>
          <t>PARTIAL — class III reconciled, other classes not</t>
        </is>
      </c>
      <c r="AI275" s="31" t="inlineStr">
        <is>
          <t>https://lrflideres.com.br/wp-content/plugins/download-attachments/includes/download.php?id=4023</t>
        </is>
      </c>
      <c r="AJ275" s="30" t="inlineStr">
        <is>
          <t>p7 r119</t>
        </is>
      </c>
      <c r="AK275" s="30" t="inlineStr">
        <is>
          <t>p7: R$ 398.428,76</t>
        </is>
      </c>
      <c r="AL275" s="30" t="inlineStr">
        <is>
          <t>Debtor list (art. 51)</t>
        </is>
      </c>
      <c r="AM275" s="30" t="inlineStr"/>
      <c r="AN275" s="30" t="inlineStr">
        <is>
          <t>NONE FOUND</t>
        </is>
      </c>
      <c r="AO275" s="32" t="inlineStr">
        <is>
          <t>0002484-82.2022.8.17.2001</t>
        </is>
      </c>
      <c r="AP275" s="32" t="inlineStr">
        <is>
          <t>TJPE</t>
        </is>
      </c>
      <c r="AQ275" s="32" t="inlineStr">
        <is>
          <t>Recuperação judicial</t>
        </is>
      </c>
      <c r="AR275" s="32" t="inlineStr">
        <is>
          <t>DataJud: no closure/falência movement</t>
        </is>
      </c>
      <c r="AS275" s="32" t="n">
        <v>2022</v>
      </c>
      <c r="AT275" s="32" t="inlineStr">
        <is>
          <t>live case, no plan document yet</t>
        </is>
      </c>
      <c r="AU275" s="32" t="inlineStr"/>
      <c r="AV275" s="32" t="inlineStr">
        <is>
          <t>printed on the list (read twice)</t>
        </is>
      </c>
      <c r="AW275" s="32" t="inlineStr"/>
      <c r="AX275" s="32" t="inlineStr">
        <is>
          <t>SAO LUIS</t>
        </is>
      </c>
      <c r="AY275" s="32" t="inlineStr">
        <is>
          <t>MA</t>
        </is>
      </c>
      <c r="AZ275" s="32" t="inlineStr">
        <is>
          <t>Gestão e administração da propriedade imobiliária</t>
        </is>
      </c>
      <c r="BA275" s="32" t="inlineStr">
        <is>
          <t>não ME/EPP</t>
        </is>
      </c>
      <c r="BB275" s="33" t="n">
        <v>20000</v>
      </c>
      <c r="BC275" s="32" t="inlineStr">
        <is>
          <t>MID-MARKET</t>
        </is>
      </c>
      <c r="BD275" s="32" t="inlineStr">
        <is>
          <t>01637668</t>
        </is>
      </c>
      <c r="BE275" s="32" t="n">
        <v>1</v>
      </c>
      <c r="BF275" s="32" t="inlineStr">
        <is>
          <t>class III reconciled (doc partial)</t>
        </is>
      </c>
    </row>
    <row r="276">
      <c r="A276" s="17" t="inlineStr">
        <is>
          <t>GUINDASTES TRIANGULO LTDA</t>
        </is>
      </c>
      <c r="B276" s="18" t="n">
        <v>397947.39</v>
      </c>
      <c r="C276" s="19" t="inlineStr">
        <is>
          <t>GRUPO EGESA (Egesa Engenharia S.A. + 9 group companies; see group members)</t>
        </is>
      </c>
      <c r="D276" s="20" t="inlineStr">
        <is>
          <t>NEW</t>
        </is>
      </c>
      <c r="E276" s="21" t="inlineStr"/>
      <c r="F276" s="20" t="inlineStr"/>
      <c r="G276" s="21" t="inlineStr"/>
      <c r="H276" s="20" t="inlineStr"/>
      <c r="I276" s="22" t="inlineStr">
        <is>
          <t>IDERVAL DE MORAIS FERRAZ</t>
        </is>
      </c>
      <c r="J276" s="23" t="inlineStr">
        <is>
          <t>Administrador (RFB partner)</t>
        </is>
      </c>
      <c r="K276" s="22" t="inlineStr"/>
      <c r="L276" s="22" t="inlineStr"/>
      <c r="M276" s="22" t="inlineStr"/>
      <c r="N276" s="22" t="inlineStr"/>
      <c r="O276" s="22" t="inlineStr"/>
      <c r="P276" s="22" t="inlineStr">
        <is>
          <t>MARIA ANGELICA RIBEIRO PRUDENTE FERRAZ</t>
        </is>
      </c>
      <c r="Q276" s="22" t="inlineStr">
        <is>
          <t>Administrador (RFB partner)</t>
        </is>
      </c>
      <c r="R276" s="22" t="inlineStr"/>
      <c r="S276" s="22" t="inlineStr"/>
      <c r="T276" s="22" t="inlineStr">
        <is>
          <t>DM = registered partner (RFB QSA); no Apollo match; NO ROUTE IN: no phone or email on file</t>
        </is>
      </c>
      <c r="U276" s="24" t="n">
        <v>397947.39</v>
      </c>
      <c r="V276" s="25" t="inlineStr">
        <is>
          <t>B</t>
        </is>
      </c>
      <c r="W276" s="26" t="inlineStr"/>
      <c r="X276" s="27" t="inlineStr"/>
      <c r="Y276" s="27" t="inlineStr"/>
      <c r="Z276" s="26">
        <f>IF(W276&lt;&gt;"",W276,IFERROR(VLOOKUP(V276,Assumptions!$A$8:$F$12,2,FALSE),0))</f>
        <v/>
      </c>
      <c r="AA276" s="28">
        <f>IF(V276="A",MAX(1,IF(X276&lt;&gt;"",X276,IFERROR(VLOOKUP(V276,Assumptions!$A$8:$F$12,3,FALSE),3))+IF(Y276&lt;&gt;"",Y276,IFERROR(VLOOKUP(V276,Assumptions!$A$8:$F$12,4,FALSE),8))/2-MAX(0,IF(AS276="",0,YEAR(TODAY())-AS276)-IFERROR(VLOOKUP(V276,Assumptions!$A$8:$F$12,5,FALSE),1.5))),IFERROR(VLOOKUP(V276,Assumptions!$A$8:$F$12,5,FALSE),2.5)+IF(X276&lt;&gt;"",X276,IFERROR(VLOOKUP(V276,Assumptions!$A$8:$F$12,3,FALSE),3))+IF(Y276&lt;&gt;"",Y276,IFERROR(VLOOKUP(V276,Assumptions!$A$8:$F$12,4,FALSE),8))/2)</f>
        <v/>
      </c>
      <c r="AB276" s="24">
        <f>U276*Z276/(1+Assumptions!$B$3)^AA276</f>
        <v/>
      </c>
      <c r="AC276" s="27">
        <f>IF(U276=0,"",ROUND(AB276/U276*100,1))</f>
        <v/>
      </c>
      <c r="AD276" s="29">
        <f>AB276*Assumptions!$B$4</f>
        <v/>
      </c>
      <c r="AE276" s="27">
        <f>IF(U276=0,"",ROUND(AD276/U276*100,1))</f>
        <v/>
      </c>
      <c r="AF276" s="29">
        <f>AB276-AD276</f>
        <v/>
      </c>
      <c r="AG276" s="27">
        <f>IF(U276=0,"",ROUND((AB276-AD276)/U276*100,1))</f>
        <v/>
      </c>
      <c r="AH276" s="30" t="inlineStr">
        <is>
          <t>OK — totals reconciled</t>
        </is>
      </c>
      <c r="AI276" s="31" t="inlineStr">
        <is>
          <t>https://scalzilliaj.com.br/sgc/download.php?file=files/processo_documento/processo_documento09514021082025_1_.pdf&amp;nome=04 - Relação de credores das Recuperandas</t>
        </is>
      </c>
      <c r="AJ276" s="30" t="inlineStr">
        <is>
          <t>p67 r14</t>
        </is>
      </c>
      <c r="AK276" s="30" t="inlineStr">
        <is>
          <t>p67: R$ 397.947,39</t>
        </is>
      </c>
      <c r="AL276" s="30" t="inlineStr">
        <is>
          <t>Debtor list (art. 51)</t>
        </is>
      </c>
      <c r="AM276" s="30" t="inlineStr"/>
      <c r="AN276" s="30" t="inlineStr">
        <is>
          <t>NONE FOUND</t>
        </is>
      </c>
      <c r="AO276" s="32" t="inlineStr">
        <is>
          <t>5088952-81.2025.8.13.0024</t>
        </is>
      </c>
      <c r="AP276" s="32" t="inlineStr">
        <is>
          <t>TJMG</t>
        </is>
      </c>
      <c r="AQ276" s="32" t="inlineStr"/>
      <c r="AR276" s="32" t="inlineStr">
        <is>
          <t>DataJud: no closure/falência movement</t>
        </is>
      </c>
      <c r="AS276" s="32" t="n">
        <v>2025</v>
      </c>
      <c r="AT276" s="32" t="inlineStr">
        <is>
          <t>live case, no plan document yet; case no. from the portal record, not printed on the list</t>
        </is>
      </c>
      <c r="AU276" s="32" t="inlineStr"/>
      <c r="AV276" s="32" t="inlineStr">
        <is>
          <t>portal page title / URL — not printed on the list</t>
        </is>
      </c>
      <c r="AW276" s="32" t="inlineStr"/>
      <c r="AX276" s="32" t="inlineStr">
        <is>
          <t>UBERLANDIA</t>
        </is>
      </c>
      <c r="AY276" s="32" t="inlineStr">
        <is>
          <t>MG</t>
        </is>
      </c>
      <c r="AZ276" s="32" t="inlineStr">
        <is>
          <t>Aluguel de outras máquinas e equipamentos comerciais e industriais não especificados anteriormente, sem operador</t>
        </is>
      </c>
      <c r="BA276" s="32" t="inlineStr">
        <is>
          <t>não ME/EPP</t>
        </is>
      </c>
      <c r="BB276" s="33" t="n">
        <v>1000000</v>
      </c>
      <c r="BC276" s="32" t="inlineStr">
        <is>
          <t>MID-MARKET</t>
        </is>
      </c>
      <c r="BD276" s="32" t="inlineStr">
        <is>
          <t>41687757</t>
        </is>
      </c>
      <c r="BE276" s="32" t="n">
        <v>1</v>
      </c>
      <c r="BF276" s="32" t="inlineStr">
        <is>
          <t>case no. corrected by reader case no. from portal record no route in</t>
        </is>
      </c>
    </row>
    <row r="277">
      <c r="A277" s="17" t="inlineStr">
        <is>
          <t>PROGER-COMERCIO IMPORTACAO E EXPORTACAO LTDA</t>
        </is>
      </c>
      <c r="B277" s="18" t="n">
        <v>397886.19</v>
      </c>
      <c r="C277" s="19" t="inlineStr">
        <is>
          <t>ASSOCIAÇÃO DE CARIDADE SANTA CASA DO RIO GRANDE</t>
        </is>
      </c>
      <c r="D277" s="20" t="inlineStr">
        <is>
          <t>NEW</t>
        </is>
      </c>
      <c r="E277" s="21" t="inlineStr"/>
      <c r="F277" s="20" t="inlineStr"/>
      <c r="G277" s="21" t="inlineStr"/>
      <c r="H277" s="20" t="inlineStr"/>
      <c r="I277" s="22" t="inlineStr">
        <is>
          <t>Vanise Pereira</t>
        </is>
      </c>
      <c r="J277" s="22" t="inlineStr">
        <is>
          <t>Administrative Manager</t>
        </is>
      </c>
      <c r="K277" s="22" t="inlineStr">
        <is>
          <t>(51) 9606-4995</t>
        </is>
      </c>
      <c r="L277" s="22" t="inlineStr"/>
      <c r="M277" s="22" t="inlineStr"/>
      <c r="N277" s="22" t="inlineStr"/>
      <c r="O277" s="22" t="inlineStr"/>
      <c r="P277" s="22" t="inlineStr">
        <is>
          <t>Roberto Kipper</t>
        </is>
      </c>
      <c r="Q277" s="22" t="inlineStr">
        <is>
          <t>Commercial Manager</t>
        </is>
      </c>
      <c r="R277" s="22" t="inlineStr"/>
      <c r="S277" s="22" t="inlineStr">
        <is>
          <t>kipper@progersul.com.br</t>
        </is>
      </c>
      <c r="T277" s="22" t="inlineStr">
        <is>
          <t>no work email in Apollo for DM; BACKUP: backup, phone Yes; backup email is pattern-guessed</t>
        </is>
      </c>
      <c r="U277" s="24" t="n">
        <v>397886.19</v>
      </c>
      <c r="V277" s="25" t="inlineStr">
        <is>
          <t>B</t>
        </is>
      </c>
      <c r="W277" s="26" t="inlineStr"/>
      <c r="X277" s="27" t="inlineStr"/>
      <c r="Y277" s="27" t="inlineStr"/>
      <c r="Z277" s="26">
        <f>IF(W277&lt;&gt;"",W277,IFERROR(VLOOKUP(V277,Assumptions!$A$8:$F$12,2,FALSE),0))</f>
        <v/>
      </c>
      <c r="AA277" s="28">
        <f>IF(V277="A",MAX(1,IF(X277&lt;&gt;"",X277,IFERROR(VLOOKUP(V277,Assumptions!$A$8:$F$12,3,FALSE),3))+IF(Y277&lt;&gt;"",Y277,IFERROR(VLOOKUP(V277,Assumptions!$A$8:$F$12,4,FALSE),8))/2-MAX(0,IF(AS277="",0,YEAR(TODAY())-AS277)-IFERROR(VLOOKUP(V277,Assumptions!$A$8:$F$12,5,FALSE),1.5))),IFERROR(VLOOKUP(V277,Assumptions!$A$8:$F$12,5,FALSE),2.5)+IF(X277&lt;&gt;"",X277,IFERROR(VLOOKUP(V277,Assumptions!$A$8:$F$12,3,FALSE),3))+IF(Y277&lt;&gt;"",Y277,IFERROR(VLOOKUP(V277,Assumptions!$A$8:$F$12,4,FALSE),8))/2)</f>
        <v/>
      </c>
      <c r="AB277" s="24">
        <f>U277*Z277/(1+Assumptions!$B$3)^AA277</f>
        <v/>
      </c>
      <c r="AC277" s="27">
        <f>IF(U277=0,"",ROUND(AB277/U277*100,1))</f>
        <v/>
      </c>
      <c r="AD277" s="29">
        <f>AB277*Assumptions!$B$4</f>
        <v/>
      </c>
      <c r="AE277" s="27">
        <f>IF(U277=0,"",ROUND(AD277/U277*100,1))</f>
        <v/>
      </c>
      <c r="AF277" s="29">
        <f>AB277-AD277</f>
        <v/>
      </c>
      <c r="AG277" s="27">
        <f>IF(U277=0,"",ROUND((AB277-AD277)/U277*100,1))</f>
        <v/>
      </c>
      <c r="AH277" s="34" t="inlineStr">
        <is>
          <t>NO TOTALS — list prints none; check page</t>
        </is>
      </c>
      <c r="AI277" s="31" t="inlineStr">
        <is>
          <t>https://scalzilliaj.com.br/sgc/download.php?file=files/processo_documento/processo_documento09120721032023_1_.pdf&amp;nome=15 - Edital do art. 7º, §2º e 53 da Lei 11.101/2005 (segunda lista de credores e recebimento do plano))</t>
        </is>
      </c>
      <c r="AJ277" s="30" t="inlineStr">
        <is>
          <t>p29 r24</t>
        </is>
      </c>
      <c r="AK277" s="30" t="inlineStr">
        <is>
          <t>p29: R$ 397.886,19</t>
        </is>
      </c>
      <c r="AL277" s="30" t="inlineStr">
        <is>
          <t>AJ list (art. 7 §2)</t>
        </is>
      </c>
      <c r="AM277" s="30" t="inlineStr">
        <is>
          <t>2023-03-21</t>
        </is>
      </c>
      <c r="AN277" s="30" t="inlineStr">
        <is>
          <t>NONE FOUND</t>
        </is>
      </c>
      <c r="AO277" s="32" t="inlineStr">
        <is>
          <t>5012306-16.2022.8.21.0023</t>
        </is>
      </c>
      <c r="AP277" s="32" t="inlineStr">
        <is>
          <t>TJRS</t>
        </is>
      </c>
      <c r="AQ277" s="32" t="inlineStr">
        <is>
          <t>Recuperação judicial</t>
        </is>
      </c>
      <c r="AR277" s="32" t="inlineStr">
        <is>
          <t>DataJud: no closure/falência movement</t>
        </is>
      </c>
      <c r="AS277" s="32" t="n">
        <v>2022</v>
      </c>
      <c r="AT277" s="32" t="inlineStr">
        <is>
          <t>live case, no plan document yet; atypical debtor (associação/clube/hospital/produtor rural): admissibility or claim subjection may be contested</t>
        </is>
      </c>
      <c r="AU277" s="32" t="inlineStr"/>
      <c r="AV277" s="32" t="inlineStr">
        <is>
          <t>printed on the list (read twice)</t>
        </is>
      </c>
      <c r="AW277" s="32" t="inlineStr"/>
      <c r="AX277" s="32" t="inlineStr">
        <is>
          <t>PORTO ALEGRE</t>
        </is>
      </c>
      <c r="AY277" s="32" t="inlineStr">
        <is>
          <t>RS</t>
        </is>
      </c>
      <c r="AZ277" s="32" t="inlineStr">
        <is>
          <t>Comércio atacadista de instrumentos e materiais para uso médico, cirúrgico, hospitalar e de laboratórios</t>
        </is>
      </c>
      <c r="BA277" s="32" t="inlineStr">
        <is>
          <t>EMPRESA DE PEQUENO PORTE</t>
        </is>
      </c>
      <c r="BB277" s="33" t="n">
        <v>500000</v>
      </c>
      <c r="BC277" s="32" t="inlineStr">
        <is>
          <t>SMALL</t>
        </is>
      </c>
      <c r="BD277" s="32" t="inlineStr">
        <is>
          <t>02017233</t>
        </is>
      </c>
      <c r="BE277" s="32" t="n">
        <v>1</v>
      </c>
      <c r="BF277" s="32" t="inlineStr">
        <is>
          <t>list prints no totals</t>
        </is>
      </c>
    </row>
    <row r="278">
      <c r="A278" s="17" t="inlineStr">
        <is>
          <t>BRIDGESTONE DO BRASIL INDUSTRIA E COMERCIO LTDA.</t>
        </is>
      </c>
      <c r="B278" s="18" t="n">
        <v>741870.48</v>
      </c>
      <c r="C278" s="37" t="inlineStr">
        <is>
          <t>(debtor not identified — see proof)</t>
        </is>
      </c>
      <c r="D278" s="20" t="inlineStr">
        <is>
          <t>NEW</t>
        </is>
      </c>
      <c r="E278" s="21" t="inlineStr"/>
      <c r="F278" s="20" t="inlineStr"/>
      <c r="G278" s="21" t="inlineStr"/>
      <c r="H278" s="20" t="inlineStr"/>
      <c r="I278" s="22" t="inlineStr">
        <is>
          <t>CARLOS LEONARDO RODRIGUES BOAVENTURA</t>
        </is>
      </c>
      <c r="J278" s="23" t="inlineStr">
        <is>
          <t>Administrador (RFB partner)</t>
        </is>
      </c>
      <c r="K278" s="22" t="inlineStr">
        <is>
          <t>(11) 3636-1012</t>
        </is>
      </c>
      <c r="L278" s="22" t="inlineStr"/>
      <c r="M278" s="22" t="inlineStr"/>
      <c r="N278" s="22" t="inlineStr"/>
      <c r="O278" s="22" t="inlineStr"/>
      <c r="P278" s="22" t="inlineStr">
        <is>
          <t>DANILO DUARTE ZANI</t>
        </is>
      </c>
      <c r="Q278" s="22" t="inlineStr">
        <is>
          <t>Administrador (RFB partner)</t>
        </is>
      </c>
      <c r="R278" s="22" t="inlineStr"/>
      <c r="S278" s="22" t="inlineStr"/>
      <c r="T278" s="22" t="inlineStr">
        <is>
          <t>DM = registered partner (RFB QSA); no Apollo match</t>
        </is>
      </c>
      <c r="U278" s="24" t="n">
        <v>741870.48</v>
      </c>
      <c r="V278" s="38" t="inlineStr">
        <is>
          <t>U</t>
        </is>
      </c>
      <c r="W278" s="26" t="inlineStr"/>
      <c r="X278" s="27" t="inlineStr"/>
      <c r="Y278" s="27" t="inlineStr"/>
      <c r="Z278" s="26">
        <f>IF(W278&lt;&gt;"",W278,IFERROR(VLOOKUP(V278,Assumptions!$A$8:$F$12,2,FALSE),0))</f>
        <v/>
      </c>
      <c r="AA278" s="28">
        <f>IF(V278="A",MAX(1,IF(X278&lt;&gt;"",X278,IFERROR(VLOOKUP(V278,Assumptions!$A$8:$F$12,3,FALSE),3))+IF(Y278&lt;&gt;"",Y278,IFERROR(VLOOKUP(V278,Assumptions!$A$8:$F$12,4,FALSE),8))/2-MAX(0,IF(AS278="",0,YEAR(TODAY())-AS278)-IFERROR(VLOOKUP(V278,Assumptions!$A$8:$F$12,5,FALSE),1.5))),IFERROR(VLOOKUP(V278,Assumptions!$A$8:$F$12,5,FALSE),2.5)+IF(X278&lt;&gt;"",X278,IFERROR(VLOOKUP(V278,Assumptions!$A$8:$F$12,3,FALSE),3))+IF(Y278&lt;&gt;"",Y278,IFERROR(VLOOKUP(V278,Assumptions!$A$8:$F$12,4,FALSE),8))/2)</f>
        <v/>
      </c>
      <c r="AB278" s="24">
        <f>U278*Z278/(1+Assumptions!$B$3)^AA278</f>
        <v/>
      </c>
      <c r="AC278" s="27">
        <f>IF(U278=0,"",ROUND(AB278/U278*100,1))</f>
        <v/>
      </c>
      <c r="AD278" s="29">
        <f>AB278*Assumptions!$B$4</f>
        <v/>
      </c>
      <c r="AE278" s="27">
        <f>IF(U278=0,"",ROUND(AD278/U278*100,1))</f>
        <v/>
      </c>
      <c r="AF278" s="29">
        <f>AB278-AD278</f>
        <v/>
      </c>
      <c r="AG278" s="27">
        <f>IF(U278=0,"",ROUND((AB278-AD278)/U278*100,1))</f>
        <v/>
      </c>
      <c r="AH278" s="30" t="inlineStr">
        <is>
          <t>OK — totals reconciled</t>
        </is>
      </c>
      <c r="AI278" s="31" t="inlineStr">
        <is>
          <t>https://ajruiz.com.br/sites/default/files/public/arquivos-processos/2023-11/4_relacao_de_credores_analitica_art._51_iii_da_lre.pdf</t>
        </is>
      </c>
      <c r="AJ278" s="30" t="inlineStr">
        <is>
          <t>p2 r22</t>
        </is>
      </c>
      <c r="AK278" s="30" t="inlineStr">
        <is>
          <t>p2: R$ 741.870,48</t>
        </is>
      </c>
      <c r="AL278" s="30" t="inlineStr">
        <is>
          <t>Unclassified list</t>
        </is>
      </c>
      <c r="AM278" s="30" t="inlineStr"/>
      <c r="AN278" s="30" t="inlineStr">
        <is>
          <t>NONE FOUND</t>
        </is>
      </c>
      <c r="AO278" s="32" t="inlineStr">
        <is>
          <t>(not printed)</t>
        </is>
      </c>
      <c r="AP278" s="32" t="inlineStr"/>
      <c r="AQ278" s="32" t="inlineStr"/>
      <c r="AR278" s="32" t="inlineStr"/>
      <c r="AS278" s="32" t="inlineStr"/>
      <c r="AT278" s="32" t="inlineStr">
        <is>
          <t>RJ case number not identified on the document</t>
        </is>
      </c>
      <c r="AU278" s="32" t="inlineStr"/>
      <c r="AV278" s="32" t="inlineStr">
        <is>
          <t>not identified</t>
        </is>
      </c>
      <c r="AW278" s="32" t="inlineStr"/>
      <c r="AX278" s="32" t="inlineStr">
        <is>
          <t>SANTO ANDRE</t>
        </is>
      </c>
      <c r="AY278" s="32" t="inlineStr">
        <is>
          <t>SP</t>
        </is>
      </c>
      <c r="AZ278" s="32" t="inlineStr">
        <is>
          <t>Fabricação de pneumáticos e de câmaras-de-ar</t>
        </is>
      </c>
      <c r="BA278" s="32" t="inlineStr">
        <is>
          <t>não ME/EPP</t>
        </is>
      </c>
      <c r="BB278" s="33" t="n">
        <v>509787780</v>
      </c>
      <c r="BC278" s="32" t="inlineStr">
        <is>
          <t>MID-MARKET</t>
        </is>
      </c>
      <c r="BD278" s="32" t="inlineStr">
        <is>
          <t>57497539</t>
        </is>
      </c>
      <c r="BE278" s="32" t="n">
        <v>1</v>
      </c>
      <c r="BF278" s="32" t="inlineStr">
        <is>
          <t>ALT_VALUE:FORNECEDORES case no. corrected by reader</t>
        </is>
      </c>
    </row>
    <row r="279">
      <c r="A279" s="17" t="inlineStr">
        <is>
          <t>MONFORTE ALIMENTOS LTDA</t>
        </is>
      </c>
      <c r="B279" s="18" t="n">
        <v>390793.75</v>
      </c>
      <c r="C279" s="19" t="inlineStr">
        <is>
          <t>FRIGORÍFICO ALFA INDÚSTRIA E COMÉRCIO DE CARNES E DERIVADOS LTDA e CTX LOGÍSTICA, TRANSPORTE E LOCAÇÕES LTDA</t>
        </is>
      </c>
      <c r="D279" s="20" t="inlineStr">
        <is>
          <t>NEW</t>
        </is>
      </c>
      <c r="E279" s="21" t="inlineStr"/>
      <c r="F279" s="20" t="inlineStr"/>
      <c r="G279" s="21" t="inlineStr"/>
      <c r="H279" s="20" t="inlineStr"/>
      <c r="I279" s="22" t="inlineStr">
        <is>
          <t>LUCIA CRISTINA DE OLIVEIRA OLIVEIRA</t>
        </is>
      </c>
      <c r="J279" s="23" t="inlineStr">
        <is>
          <t>Sócio-Administrador (RFB partner)</t>
        </is>
      </c>
      <c r="K279" s="22" t="inlineStr">
        <is>
          <t>(14) 3441-5037</t>
        </is>
      </c>
      <c r="L279" s="22" t="inlineStr"/>
      <c r="M279" s="22" t="inlineStr"/>
      <c r="N279" s="22" t="inlineStr"/>
      <c r="O279" s="22" t="inlineStr"/>
      <c r="P279" s="22" t="inlineStr">
        <is>
          <t>PAULO SERGIO DE OLIVEIRA</t>
        </is>
      </c>
      <c r="Q279" s="22" t="inlineStr">
        <is>
          <t>Sócio-Administrador (RFB partner)</t>
        </is>
      </c>
      <c r="R279" s="22" t="inlineStr"/>
      <c r="S279" s="22" t="inlineStr"/>
      <c r="T279" s="22" t="inlineStr">
        <is>
          <t>DM = registered partner (RFB QSA); no Apollo match</t>
        </is>
      </c>
      <c r="U279" s="24" t="n">
        <v>390793.75</v>
      </c>
      <c r="V279" s="25" t="inlineStr">
        <is>
          <t>B</t>
        </is>
      </c>
      <c r="W279" s="26" t="inlineStr"/>
      <c r="X279" s="27" t="inlineStr"/>
      <c r="Y279" s="27" t="inlineStr"/>
      <c r="Z279" s="26">
        <f>IF(W279&lt;&gt;"",W279,IFERROR(VLOOKUP(V279,Assumptions!$A$8:$F$12,2,FALSE),0))</f>
        <v/>
      </c>
      <c r="AA279" s="28">
        <f>IF(V279="A",MAX(1,IF(X279&lt;&gt;"",X279,IFERROR(VLOOKUP(V279,Assumptions!$A$8:$F$12,3,FALSE),3))+IF(Y279&lt;&gt;"",Y279,IFERROR(VLOOKUP(V279,Assumptions!$A$8:$F$12,4,FALSE),8))/2-MAX(0,IF(AS279="",0,YEAR(TODAY())-AS279)-IFERROR(VLOOKUP(V279,Assumptions!$A$8:$F$12,5,FALSE),1.5))),IFERROR(VLOOKUP(V279,Assumptions!$A$8:$F$12,5,FALSE),2.5)+IF(X279&lt;&gt;"",X279,IFERROR(VLOOKUP(V279,Assumptions!$A$8:$F$12,3,FALSE),3))+IF(Y279&lt;&gt;"",Y279,IFERROR(VLOOKUP(V279,Assumptions!$A$8:$F$12,4,FALSE),8))/2)</f>
        <v/>
      </c>
      <c r="AB279" s="24">
        <f>U279*Z279/(1+Assumptions!$B$3)^AA279</f>
        <v/>
      </c>
      <c r="AC279" s="27">
        <f>IF(U279=0,"",ROUND(AB279/U279*100,1))</f>
        <v/>
      </c>
      <c r="AD279" s="29">
        <f>AB279*Assumptions!$B$4</f>
        <v/>
      </c>
      <c r="AE279" s="27">
        <f>IF(U279=0,"",ROUND(AD279/U279*100,1))</f>
        <v/>
      </c>
      <c r="AF279" s="29">
        <f>AB279-AD279</f>
        <v/>
      </c>
      <c r="AG279" s="27">
        <f>IF(U279=0,"",ROUND((AB279-AD279)/U279*100,1))</f>
        <v/>
      </c>
      <c r="AH279" s="30" t="inlineStr">
        <is>
          <t>OK — totals reconciled</t>
        </is>
      </c>
      <c r="AI279" s="31" t="inlineStr">
        <is>
          <t>https://vtladm.com.br/wp-content/uploads/2024/04/09-–-EDITAL-DE-CONVOCACAO-DE-CREDORES-–-Frigorifico-Alfa-Industria-e-Comercio-de-Carnes-e-Derivados-Ltda.-e-Ctx-Logistica-Transporte-E-Locacoes-Ltda.pdf</t>
        </is>
      </c>
      <c r="AJ279" s="30" t="inlineStr">
        <is>
          <t>p1 r61</t>
        </is>
      </c>
      <c r="AK279" s="30" t="inlineStr">
        <is>
          <t>p1: R$ 390.793,75</t>
        </is>
      </c>
      <c r="AL279" s="30" t="inlineStr">
        <is>
          <t>AJ list (art. 7 §2)</t>
        </is>
      </c>
      <c r="AM279" s="30" t="inlineStr"/>
      <c r="AN279" s="30" t="inlineStr">
        <is>
          <t>NONE FOUND</t>
        </is>
      </c>
      <c r="AO279" s="32" t="inlineStr">
        <is>
          <t>1009827-02.2024.8.26.0576</t>
        </is>
      </c>
      <c r="AP279" s="32" t="inlineStr">
        <is>
          <t>TJSP</t>
        </is>
      </c>
      <c r="AQ279" s="32" t="inlineStr">
        <is>
          <t>Recuperação judicial</t>
        </is>
      </c>
      <c r="AR279" s="32" t="inlineStr">
        <is>
          <t>DataJud: no closure/falência movement</t>
        </is>
      </c>
      <c r="AS279" s="32" t="n">
        <v>2024</v>
      </c>
      <c r="AT279" s="32" t="inlineStr">
        <is>
          <t>live case, no plan document yet; case no. from the portal record, not printed on the list</t>
        </is>
      </c>
      <c r="AU279" s="32" t="inlineStr">
        <is>
          <t>00.975.846/0001-47</t>
        </is>
      </c>
      <c r="AV279" s="32" t="inlineStr">
        <is>
          <t>printed on the list (read twice)</t>
        </is>
      </c>
      <c r="AW279" s="32" t="inlineStr"/>
      <c r="AX279" s="32" t="inlineStr">
        <is>
          <t>TUPA</t>
        </is>
      </c>
      <c r="AY279" s="32" t="inlineStr">
        <is>
          <t>SP</t>
        </is>
      </c>
      <c r="AZ279" s="32" t="inlineStr">
        <is>
          <t>Comércio atacadista de carnes bovinas e suínas e derivados</t>
        </is>
      </c>
      <c r="BA279" s="32" t="inlineStr">
        <is>
          <t>não ME/EPP</t>
        </is>
      </c>
      <c r="BB279" s="33" t="n">
        <v>94000</v>
      </c>
      <c r="BC279" s="32" t="inlineStr">
        <is>
          <t>MID-MARKET</t>
        </is>
      </c>
      <c r="BD279" s="32" t="inlineStr">
        <is>
          <t>13259183</t>
        </is>
      </c>
      <c r="BE279" s="32" t="n">
        <v>1</v>
      </c>
      <c r="BF279" s="32" t="inlineStr">
        <is>
          <t>ALT_VALUE:390.793,75</t>
        </is>
      </c>
    </row>
    <row r="280">
      <c r="A280" s="17" t="inlineStr">
        <is>
          <t>PARQUE DAS ESTRELAS EMPREENDIMENTOS IMOBILIARIOS LTDA</t>
        </is>
      </c>
      <c r="B280" s="18" t="n">
        <v>1701742.63</v>
      </c>
      <c r="C280" s="19" t="inlineStr">
        <is>
          <t>GRUPO 3E</t>
        </is>
      </c>
      <c r="D280" s="20" t="inlineStr">
        <is>
          <t>NEW</t>
        </is>
      </c>
      <c r="E280" s="21" t="inlineStr"/>
      <c r="F280" s="20" t="inlineStr"/>
      <c r="G280" s="21" t="inlineStr"/>
      <c r="H280" s="20" t="inlineStr"/>
      <c r="I280" s="22" t="inlineStr">
        <is>
          <t>GUSTAVO DINIZ RAMOS</t>
        </is>
      </c>
      <c r="J280" s="23" t="inlineStr">
        <is>
          <t>Administrador (RFB partner)</t>
        </is>
      </c>
      <c r="K280" s="22" t="inlineStr">
        <is>
          <t>(62) 9255-6106</t>
        </is>
      </c>
      <c r="L280" s="22" t="inlineStr">
        <is>
          <t>(62) 9255-6101</t>
        </is>
      </c>
      <c r="M280" s="22" t="inlineStr"/>
      <c r="N280" s="22" t="inlineStr"/>
      <c r="O280" s="22" t="inlineStr"/>
      <c r="P280" s="22" t="inlineStr">
        <is>
          <t>RODRIGO GONCALVES MENDES</t>
        </is>
      </c>
      <c r="Q280" s="22" t="inlineStr">
        <is>
          <t>Administrador (RFB partner)</t>
        </is>
      </c>
      <c r="R280" s="22" t="inlineStr"/>
      <c r="S280" s="22" t="inlineStr"/>
      <c r="T280" s="22" t="inlineStr">
        <is>
          <t>DM = registered partner (RFB QSA); no Apollo match</t>
        </is>
      </c>
      <c r="U280" s="24" t="n">
        <v>1701742.63</v>
      </c>
      <c r="V280" s="25" t="inlineStr">
        <is>
          <t>B</t>
        </is>
      </c>
      <c r="W280" s="26" t="n">
        <v>0.12</v>
      </c>
      <c r="X280" s="27" t="n">
        <v>2</v>
      </c>
      <c r="Y280" s="27" t="n">
        <v>13</v>
      </c>
      <c r="Z280" s="26">
        <f>IF(W280&lt;&gt;"",W280,IFERROR(VLOOKUP(V280,Assumptions!$A$8:$F$12,2,FALSE),0))</f>
        <v/>
      </c>
      <c r="AA280" s="28">
        <f>IF(V280="A",MAX(1,IF(X280&lt;&gt;"",X280,IFERROR(VLOOKUP(V280,Assumptions!$A$8:$F$12,3,FALSE),3))+IF(Y280&lt;&gt;"",Y280,IFERROR(VLOOKUP(V280,Assumptions!$A$8:$F$12,4,FALSE),8))/2-MAX(0,IF(AS280="",0,YEAR(TODAY())-AS280)-IFERROR(VLOOKUP(V280,Assumptions!$A$8:$F$12,5,FALSE),1.5))),IFERROR(VLOOKUP(V280,Assumptions!$A$8:$F$12,5,FALSE),2.5)+IF(X280&lt;&gt;"",X280,IFERROR(VLOOKUP(V280,Assumptions!$A$8:$F$12,3,FALSE),3))+IF(Y280&lt;&gt;"",Y280,IFERROR(VLOOKUP(V280,Assumptions!$A$8:$F$12,4,FALSE),8))/2)</f>
        <v/>
      </c>
      <c r="AB280" s="24">
        <f>U280*Z280/(1+Assumptions!$B$3)^AA280</f>
        <v/>
      </c>
      <c r="AC280" s="27">
        <f>IF(U280=0,"",ROUND(AB280/U280*100,1))</f>
        <v/>
      </c>
      <c r="AD280" s="29">
        <f>AB280*Assumptions!$B$4</f>
        <v/>
      </c>
      <c r="AE280" s="27">
        <f>IF(U280=0,"",ROUND(AD280/U280*100,1))</f>
        <v/>
      </c>
      <c r="AF280" s="29">
        <f>AB280-AD280</f>
        <v/>
      </c>
      <c r="AG280" s="27">
        <f>IF(U280=0,"",ROUND((AB280-AD280)/U280*100,1))</f>
        <v/>
      </c>
      <c r="AH280" s="34" t="inlineStr">
        <is>
          <t>NO TOTALS — list prints none; check page</t>
        </is>
      </c>
      <c r="AI280" s="31" t="inlineStr">
        <is>
          <t>https://stenius.com.br/wp-content/uploads/2026/06/EDITAL-GRUPO-3E.pdf</t>
        </is>
      </c>
      <c r="AJ280" s="30" t="inlineStr">
        <is>
          <t>p16 r39</t>
        </is>
      </c>
      <c r="AK280" s="30" t="inlineStr">
        <is>
          <t>p16: R$ 1.701.742,63</t>
        </is>
      </c>
      <c r="AL280" s="30" t="inlineStr">
        <is>
          <t>Debtor list (art. 51)</t>
        </is>
      </c>
      <c r="AM280" s="30" t="inlineStr">
        <is>
          <t>2026-06-22</t>
        </is>
      </c>
      <c r="AN280" s="30" t="inlineStr">
        <is>
          <t>PLAN FILED (art. 53), not granted</t>
        </is>
      </c>
      <c r="AO280" s="32" t="inlineStr">
        <is>
          <t>5341375-33.2026.8.09.0049</t>
        </is>
      </c>
      <c r="AP280" s="32" t="inlineStr">
        <is>
          <t>TJGO</t>
        </is>
      </c>
      <c r="AQ280" s="32" t="inlineStr">
        <is>
          <t>Recuperação judicial</t>
        </is>
      </c>
      <c r="AR280" s="32" t="inlineStr">
        <is>
          <t>DataJud: no closure/falência movement</t>
        </is>
      </c>
      <c r="AS280" s="32" t="n">
        <v>2026</v>
      </c>
      <c r="AT280" s="32" t="inlineStr">
        <is>
          <t>plan filed (art. 53), not yet granted</t>
        </is>
      </c>
      <c r="AU280" s="32" t="inlineStr"/>
      <c r="AV280" s="32" t="inlineStr">
        <is>
          <t>printed on the list (read twice)</t>
        </is>
      </c>
      <c r="AW280" s="32" t="inlineStr">
        <is>
          <t>Plano de Recuperação Judicial Grupo 3E v2.0 (Métis), mov. 321, pp.24-25</t>
        </is>
      </c>
      <c r="AX280" s="32" t="inlineStr">
        <is>
          <t>GOIANESIA</t>
        </is>
      </c>
      <c r="AY280" s="32" t="inlineStr">
        <is>
          <t>GO</t>
        </is>
      </c>
      <c r="AZ280" s="32" t="inlineStr">
        <is>
          <t>Compra e venda de imóveis próprios</t>
        </is>
      </c>
      <c r="BA280" s="32" t="inlineStr">
        <is>
          <t>não ME/EPP</t>
        </is>
      </c>
      <c r="BB280" s="33" t="n">
        <v>656000</v>
      </c>
      <c r="BC280" s="32" t="inlineStr">
        <is>
          <t>MID-MARKET</t>
        </is>
      </c>
      <c r="BD280" s="32" t="inlineStr">
        <is>
          <t>33676928</t>
        </is>
      </c>
      <c r="BE280" s="32" t="n">
        <v>1</v>
      </c>
      <c r="BF280" s="32" t="inlineStr">
        <is>
          <t>list prints no totals</t>
        </is>
      </c>
    </row>
    <row r="281">
      <c r="A281" s="17" t="inlineStr">
        <is>
          <t>CEREALISTA SANTO EXPEDITO LTDA</t>
        </is>
      </c>
      <c r="B281" s="18" t="n">
        <v>387589.91</v>
      </c>
      <c r="C281" s="19" t="inlineStr">
        <is>
          <t>B1 COMÉRCIO DE MANUFATURADOS LTDA</t>
        </is>
      </c>
      <c r="D281" s="20" t="inlineStr">
        <is>
          <t>NEW</t>
        </is>
      </c>
      <c r="E281" s="21" t="inlineStr"/>
      <c r="F281" s="20" t="inlineStr"/>
      <c r="G281" s="21" t="inlineStr"/>
      <c r="H281" s="20" t="inlineStr"/>
      <c r="I281" s="22" t="inlineStr">
        <is>
          <t>EDERSON ANDRE AZZOLINI</t>
        </is>
      </c>
      <c r="J281" s="23" t="inlineStr">
        <is>
          <t>Sócio-Administrador (RFB partner)</t>
        </is>
      </c>
      <c r="K281" s="22" t="inlineStr">
        <is>
          <t>(49) 3644-0679</t>
        </is>
      </c>
      <c r="L281" s="22" t="inlineStr"/>
      <c r="M281" s="22" t="inlineStr"/>
      <c r="N281" s="22" t="inlineStr"/>
      <c r="O281" s="22" t="inlineStr"/>
      <c r="P281" s="22" t="inlineStr"/>
      <c r="Q281" s="22" t="inlineStr"/>
      <c r="R281" s="22" t="inlineStr"/>
      <c r="S281" s="22" t="inlineStr"/>
      <c r="T281" s="22" t="inlineStr">
        <is>
          <t>DM = registered partner (RFB QSA); no Apollo match</t>
        </is>
      </c>
      <c r="U281" s="24" t="n">
        <v>387589.91</v>
      </c>
      <c r="V281" s="25" t="inlineStr">
        <is>
          <t>B</t>
        </is>
      </c>
      <c r="W281" s="26" t="inlineStr"/>
      <c r="X281" s="27" t="inlineStr"/>
      <c r="Y281" s="27" t="inlineStr"/>
      <c r="Z281" s="26">
        <f>IF(W281&lt;&gt;"",W281,IFERROR(VLOOKUP(V281,Assumptions!$A$8:$F$12,2,FALSE),0))</f>
        <v/>
      </c>
      <c r="AA281" s="28">
        <f>IF(V281="A",MAX(1,IF(X281&lt;&gt;"",X281,IFERROR(VLOOKUP(V281,Assumptions!$A$8:$F$12,3,FALSE),3))+IF(Y281&lt;&gt;"",Y281,IFERROR(VLOOKUP(V281,Assumptions!$A$8:$F$12,4,FALSE),8))/2-MAX(0,IF(AS281="",0,YEAR(TODAY())-AS281)-IFERROR(VLOOKUP(V281,Assumptions!$A$8:$F$12,5,FALSE),1.5))),IFERROR(VLOOKUP(V281,Assumptions!$A$8:$F$12,5,FALSE),2.5)+IF(X281&lt;&gt;"",X281,IFERROR(VLOOKUP(V281,Assumptions!$A$8:$F$12,3,FALSE),3))+IF(Y281&lt;&gt;"",Y281,IFERROR(VLOOKUP(V281,Assumptions!$A$8:$F$12,4,FALSE),8))/2)</f>
        <v/>
      </c>
      <c r="AB281" s="24">
        <f>U281*Z281/(1+Assumptions!$B$3)^AA281</f>
        <v/>
      </c>
      <c r="AC281" s="27">
        <f>IF(U281=0,"",ROUND(AB281/U281*100,1))</f>
        <v/>
      </c>
      <c r="AD281" s="29">
        <f>AB281*Assumptions!$B$4</f>
        <v/>
      </c>
      <c r="AE281" s="27">
        <f>IF(U281=0,"",ROUND(AD281/U281*100,1))</f>
        <v/>
      </c>
      <c r="AF281" s="29">
        <f>AB281-AD281</f>
        <v/>
      </c>
      <c r="AG281" s="27">
        <f>IF(U281=0,"",ROUND((AB281-AD281)/U281*100,1))</f>
        <v/>
      </c>
      <c r="AH281" s="34" t="inlineStr">
        <is>
          <t>NO TOTALS — list prints none; check page</t>
        </is>
      </c>
      <c r="AI281" s="31" t="inlineStr">
        <is>
          <t>https://marquesadmjudicial.com.br/sgc/download.php?file=files/processo_documento/processo_documento18581929042026_1_.pdf&amp;nome=3º Edital - Relação de Credores e PRJ</t>
        </is>
      </c>
      <c r="AJ281" s="30" t="inlineStr">
        <is>
          <t>p1 r43</t>
        </is>
      </c>
      <c r="AK281" s="30" t="inlineStr">
        <is>
          <t>p1: R$ 387.589,91</t>
        </is>
      </c>
      <c r="AL281" s="30" t="inlineStr">
        <is>
          <t>AJ list (art. 7 §2)</t>
        </is>
      </c>
      <c r="AM281" s="30" t="inlineStr">
        <is>
          <t>2025-09-12</t>
        </is>
      </c>
      <c r="AN281" s="30" t="inlineStr">
        <is>
          <t>NONE FOUND</t>
        </is>
      </c>
      <c r="AO281" s="32" t="inlineStr">
        <is>
          <t>0043030-30.2025.8.16.0021</t>
        </is>
      </c>
      <c r="AP281" s="32" t="inlineStr">
        <is>
          <t>TJPR</t>
        </is>
      </c>
      <c r="AQ281" s="32" t="inlineStr">
        <is>
          <t>Recuperação judicial</t>
        </is>
      </c>
      <c r="AR281" s="32" t="inlineStr">
        <is>
          <t>DataJud: no closure/falência movement</t>
        </is>
      </c>
      <c r="AS281" s="32" t="n">
        <v>2025</v>
      </c>
      <c r="AT281" s="32" t="inlineStr">
        <is>
          <t>live case, no plan document yet</t>
        </is>
      </c>
      <c r="AU281" s="32" t="inlineStr">
        <is>
          <t>29.448.809/0001-62</t>
        </is>
      </c>
      <c r="AV281" s="32" t="inlineStr">
        <is>
          <t>printed on the list (read twice)</t>
        </is>
      </c>
      <c r="AW281" s="32" t="inlineStr"/>
      <c r="AX281" s="32" t="inlineStr">
        <is>
          <t>BARRACAO</t>
        </is>
      </c>
      <c r="AY281" s="32" t="inlineStr">
        <is>
          <t>PR</t>
        </is>
      </c>
      <c r="AZ281" s="32" t="inlineStr">
        <is>
          <t>Comércio atacadista de matérias-primas agrícolas não especificadas anteriormente</t>
        </is>
      </c>
      <c r="BA281" s="32" t="inlineStr">
        <is>
          <t>não ME/EPP</t>
        </is>
      </c>
      <c r="BB281" s="33" t="n">
        <v>800000</v>
      </c>
      <c r="BC281" s="32" t="inlineStr">
        <is>
          <t>MID-MARKET</t>
        </is>
      </c>
      <c r="BD281" s="32" t="inlineStr">
        <is>
          <t>04335788</t>
        </is>
      </c>
      <c r="BE281" s="32" t="n">
        <v>1</v>
      </c>
      <c r="BF281" s="32" t="inlineStr">
        <is>
          <t>list prints no totals</t>
        </is>
      </c>
    </row>
    <row r="282">
      <c r="A282" s="17" t="inlineStr">
        <is>
          <t>CITOL INDUSTRIA DE TRATAMENTO DE OLEO S.A.</t>
        </is>
      </c>
      <c r="B282" s="18" t="n">
        <v>385787.79</v>
      </c>
      <c r="C282" s="37" t="inlineStr">
        <is>
          <t>(debtor not identified — see proof)</t>
        </is>
      </c>
      <c r="D282" s="20" t="inlineStr">
        <is>
          <t>NEW</t>
        </is>
      </c>
      <c r="E282" s="21" t="inlineStr"/>
      <c r="F282" s="20" t="inlineStr"/>
      <c r="G282" s="21" t="inlineStr"/>
      <c r="H282" s="20" t="inlineStr"/>
      <c r="I282" s="22" t="inlineStr">
        <is>
          <t>MARCOS ANTONIO BENTO DOMINGUES</t>
        </is>
      </c>
      <c r="J282" s="23" t="inlineStr">
        <is>
          <t>Diretor (RFB partner)</t>
        </is>
      </c>
      <c r="K282" s="22" t="inlineStr">
        <is>
          <t>(19) 3806-4535</t>
        </is>
      </c>
      <c r="L282" s="22" t="inlineStr"/>
      <c r="M282" s="22" t="inlineStr"/>
      <c r="N282" s="22" t="inlineStr"/>
      <c r="O282" s="22" t="inlineStr"/>
      <c r="P282" s="22" t="inlineStr"/>
      <c r="Q282" s="22" t="inlineStr"/>
      <c r="R282" s="22" t="inlineStr"/>
      <c r="S282" s="22" t="inlineStr"/>
      <c r="T282" s="22" t="inlineStr">
        <is>
          <t>DM = registered partner (RFB QSA); no Apollo match</t>
        </is>
      </c>
      <c r="U282" s="24" t="n">
        <v>385787.79</v>
      </c>
      <c r="V282" s="25" t="inlineStr">
        <is>
          <t>B</t>
        </is>
      </c>
      <c r="W282" s="26" t="inlineStr"/>
      <c r="X282" s="27" t="inlineStr"/>
      <c r="Y282" s="27" t="inlineStr"/>
      <c r="Z282" s="26">
        <f>IF(W282&lt;&gt;"",W282,IFERROR(VLOOKUP(V282,Assumptions!$A$8:$F$12,2,FALSE),0))</f>
        <v/>
      </c>
      <c r="AA282" s="28">
        <f>IF(V282="A",MAX(1,IF(X282&lt;&gt;"",X282,IFERROR(VLOOKUP(V282,Assumptions!$A$8:$F$12,3,FALSE),3))+IF(Y282&lt;&gt;"",Y282,IFERROR(VLOOKUP(V282,Assumptions!$A$8:$F$12,4,FALSE),8))/2-MAX(0,IF(AS282="",0,YEAR(TODAY())-AS282)-IFERROR(VLOOKUP(V282,Assumptions!$A$8:$F$12,5,FALSE),1.5))),IFERROR(VLOOKUP(V282,Assumptions!$A$8:$F$12,5,FALSE),2.5)+IF(X282&lt;&gt;"",X282,IFERROR(VLOOKUP(V282,Assumptions!$A$8:$F$12,3,FALSE),3))+IF(Y282&lt;&gt;"",Y282,IFERROR(VLOOKUP(V282,Assumptions!$A$8:$F$12,4,FALSE),8))/2)</f>
        <v/>
      </c>
      <c r="AB282" s="24">
        <f>U282*Z282/(1+Assumptions!$B$3)^AA282</f>
        <v/>
      </c>
      <c r="AC282" s="27">
        <f>IF(U282=0,"",ROUND(AB282/U282*100,1))</f>
        <v/>
      </c>
      <c r="AD282" s="29">
        <f>AB282*Assumptions!$B$4</f>
        <v/>
      </c>
      <c r="AE282" s="27">
        <f>IF(U282=0,"",ROUND(AD282/U282*100,1))</f>
        <v/>
      </c>
      <c r="AF282" s="29">
        <f>AB282-AD282</f>
        <v/>
      </c>
      <c r="AG282" s="27">
        <f>IF(U282=0,"",ROUND((AB282-AD282)/U282*100,1))</f>
        <v/>
      </c>
      <c r="AH282" s="30" t="inlineStr">
        <is>
          <t>OK — totals reconciled</t>
        </is>
      </c>
      <c r="AI282" s="31" t="inlineStr">
        <is>
          <t>https://ajruiz.com.br/sites/default/files/public/arquivos-processos/2024-04/relacao_de_credores_recuperanda_1.pdf</t>
        </is>
      </c>
      <c r="AJ282" s="30" t="inlineStr">
        <is>
          <t>p4 r10; p4 r11; p5 r1; p5 r2; p5 r3; p5 r4; p5 r5</t>
        </is>
      </c>
      <c r="AK282" s="30" t="inlineStr">
        <is>
          <t>[rows shown ≠ face] p4: R$ 114.917,25; p4: R$ 114.917,25; p5: R$ 135.000,00; p5: R$ 135.000,00; p5: R$ 102.604,69; p5: R$ 102.604,69; p5: R$ 33.265,85</t>
        </is>
      </c>
      <c r="AL282" s="30" t="inlineStr">
        <is>
          <t>QGC (art. 18)</t>
        </is>
      </c>
      <c r="AM282" s="30" t="inlineStr">
        <is>
          <t>2024-01-31</t>
        </is>
      </c>
      <c r="AN282" s="30" t="inlineStr">
        <is>
          <t>NONE FOUND</t>
        </is>
      </c>
      <c r="AO282" s="32" t="inlineStr">
        <is>
          <t>1022634-27.2024.8.26.0100</t>
        </is>
      </c>
      <c r="AP282" s="32" t="inlineStr">
        <is>
          <t>TJSP</t>
        </is>
      </c>
      <c r="AQ282" s="32" t="inlineStr"/>
      <c r="AR282" s="32" t="inlineStr">
        <is>
          <t>not in DataJud</t>
        </is>
      </c>
      <c r="AS282" s="32" t="n">
        <v>2024</v>
      </c>
      <c r="AT282" s="32" t="inlineStr">
        <is>
          <t>live case, no plan document yet; case no. from the portal record, not printed on the list</t>
        </is>
      </c>
      <c r="AU282" s="32" t="inlineStr"/>
      <c r="AV282" s="32" t="inlineStr">
        <is>
          <t>not identified</t>
        </is>
      </c>
      <c r="AW282" s="32" t="inlineStr"/>
      <c r="AX282" s="32" t="inlineStr">
        <is>
          <t>MOGI GUACU</t>
        </is>
      </c>
      <c r="AY282" s="32" t="inlineStr">
        <is>
          <t>SP</t>
        </is>
      </c>
      <c r="AZ282" s="32" t="inlineStr">
        <is>
          <t>Fabricação de outros produtos derivados do petróleo, exceto produtos do refino</t>
        </is>
      </c>
      <c r="BA282" s="32" t="inlineStr">
        <is>
          <t>não ME/EPP</t>
        </is>
      </c>
      <c r="BB282" s="33" t="n">
        <v>7000000</v>
      </c>
      <c r="BC282" s="32" t="inlineStr">
        <is>
          <t>MID-MARKET</t>
        </is>
      </c>
      <c r="BD282" s="32" t="inlineStr">
        <is>
          <t>18933677</t>
        </is>
      </c>
      <c r="BE282" s="32" t="n">
        <v>4</v>
      </c>
      <c r="BF282" s="32" t="inlineStr">
        <is>
          <t>case no. corrected by reader</t>
        </is>
      </c>
    </row>
    <row r="283">
      <c r="A283" s="17" t="inlineStr">
        <is>
          <t>CC TELHAS LTDA</t>
        </is>
      </c>
      <c r="B283" s="18" t="n">
        <v>384596.09</v>
      </c>
      <c r="C283" s="19" t="inlineStr">
        <is>
          <t>GRUPO EGESA (Egesa Engenharia S.A. + 9 group companies; see group members)</t>
        </is>
      </c>
      <c r="D283" s="20" t="inlineStr">
        <is>
          <t>NEW</t>
        </is>
      </c>
      <c r="E283" s="21" t="inlineStr"/>
      <c r="F283" s="20" t="inlineStr"/>
      <c r="G283" s="21" t="inlineStr"/>
      <c r="H283" s="20" t="inlineStr"/>
      <c r="I283" s="22" t="inlineStr">
        <is>
          <t>DARBISON SANTOS CAMPOS</t>
        </is>
      </c>
      <c r="J283" s="23" t="inlineStr">
        <is>
          <t>Sócio-Administrador (RFB partner)</t>
        </is>
      </c>
      <c r="K283" s="22" t="inlineStr">
        <is>
          <t>(81) 3551-2989</t>
        </is>
      </c>
      <c r="L283" s="22" t="inlineStr"/>
      <c r="M283" s="22" t="inlineStr"/>
      <c r="N283" s="22" t="inlineStr"/>
      <c r="O283" s="22" t="inlineStr"/>
      <c r="P283" s="22" t="inlineStr"/>
      <c r="Q283" s="22" t="inlineStr"/>
      <c r="R283" s="22" t="inlineStr"/>
      <c r="S283" s="22" t="inlineStr"/>
      <c r="T283" s="22" t="inlineStr">
        <is>
          <t>DM = registered partner (RFB QSA); no Apollo match</t>
        </is>
      </c>
      <c r="U283" s="24" t="n">
        <v>384596.09</v>
      </c>
      <c r="V283" s="25" t="inlineStr">
        <is>
          <t>B</t>
        </is>
      </c>
      <c r="W283" s="26" t="inlineStr"/>
      <c r="X283" s="27" t="inlineStr"/>
      <c r="Y283" s="27" t="inlineStr"/>
      <c r="Z283" s="26">
        <f>IF(W283&lt;&gt;"",W283,IFERROR(VLOOKUP(V283,Assumptions!$A$8:$F$12,2,FALSE),0))</f>
        <v/>
      </c>
      <c r="AA283" s="28">
        <f>IF(V283="A",MAX(1,IF(X283&lt;&gt;"",X283,IFERROR(VLOOKUP(V283,Assumptions!$A$8:$F$12,3,FALSE),3))+IF(Y283&lt;&gt;"",Y283,IFERROR(VLOOKUP(V283,Assumptions!$A$8:$F$12,4,FALSE),8))/2-MAX(0,IF(AS283="",0,YEAR(TODAY())-AS283)-IFERROR(VLOOKUP(V283,Assumptions!$A$8:$F$12,5,FALSE),1.5))),IFERROR(VLOOKUP(V283,Assumptions!$A$8:$F$12,5,FALSE),2.5)+IF(X283&lt;&gt;"",X283,IFERROR(VLOOKUP(V283,Assumptions!$A$8:$F$12,3,FALSE),3))+IF(Y283&lt;&gt;"",Y283,IFERROR(VLOOKUP(V283,Assumptions!$A$8:$F$12,4,FALSE),8))/2)</f>
        <v/>
      </c>
      <c r="AB283" s="24">
        <f>U283*Z283/(1+Assumptions!$B$3)^AA283</f>
        <v/>
      </c>
      <c r="AC283" s="27">
        <f>IF(U283=0,"",ROUND(AB283/U283*100,1))</f>
        <v/>
      </c>
      <c r="AD283" s="29">
        <f>AB283*Assumptions!$B$4</f>
        <v/>
      </c>
      <c r="AE283" s="27">
        <f>IF(U283=0,"",ROUND(AD283/U283*100,1))</f>
        <v/>
      </c>
      <c r="AF283" s="29">
        <f>AB283-AD283</f>
        <v/>
      </c>
      <c r="AG283" s="27">
        <f>IF(U283=0,"",ROUND((AB283-AD283)/U283*100,1))</f>
        <v/>
      </c>
      <c r="AH283" s="30" t="inlineStr">
        <is>
          <t>OK — totals reconciled</t>
        </is>
      </c>
      <c r="AI283" s="31" t="inlineStr">
        <is>
          <t>https://scalzilliaj.com.br/sgc/download.php?file=files/processo_documento/processo_documento09514021082025_1_.pdf&amp;nome=04 - Relação de credores das Recuperandas</t>
        </is>
      </c>
      <c r="AJ283" s="30" t="inlineStr">
        <is>
          <t>p63 r16</t>
        </is>
      </c>
      <c r="AK283" s="30" t="inlineStr">
        <is>
          <t>p63: R$ 384.596,09</t>
        </is>
      </c>
      <c r="AL283" s="30" t="inlineStr">
        <is>
          <t>Debtor list (art. 51)</t>
        </is>
      </c>
      <c r="AM283" s="30" t="inlineStr"/>
      <c r="AN283" s="30" t="inlineStr">
        <is>
          <t>NONE FOUND</t>
        </is>
      </c>
      <c r="AO283" s="32" t="inlineStr">
        <is>
          <t>5088952-81.2025.8.13.0024</t>
        </is>
      </c>
      <c r="AP283" s="32" t="inlineStr">
        <is>
          <t>TJMG</t>
        </is>
      </c>
      <c r="AQ283" s="32" t="inlineStr"/>
      <c r="AR283" s="32" t="inlineStr">
        <is>
          <t>DataJud: no closure/falência movement</t>
        </is>
      </c>
      <c r="AS283" s="32" t="n">
        <v>2025</v>
      </c>
      <c r="AT283" s="32" t="inlineStr">
        <is>
          <t>live case, no plan document yet; case no. from the portal record, not printed on the list</t>
        </is>
      </c>
      <c r="AU283" s="32" t="inlineStr"/>
      <c r="AV283" s="32" t="inlineStr">
        <is>
          <t>portal page title / URL — not printed on the list</t>
        </is>
      </c>
      <c r="AW283" s="32" t="inlineStr"/>
      <c r="AX283" s="32" t="inlineStr">
        <is>
          <t>IPOJUCA</t>
        </is>
      </c>
      <c r="AY283" s="32" t="inlineStr">
        <is>
          <t>PE</t>
        </is>
      </c>
      <c r="AZ283" s="32" t="inlineStr">
        <is>
          <t>Comércio varejista de materiais de construção em geral</t>
        </is>
      </c>
      <c r="BA283" s="32" t="inlineStr">
        <is>
          <t>EMPRESA DE PEQUENO PORTE</t>
        </is>
      </c>
      <c r="BB283" s="33" t="n">
        <v>95500</v>
      </c>
      <c r="BC283" s="32" t="inlineStr">
        <is>
          <t>SMALL</t>
        </is>
      </c>
      <c r="BD283" s="32" t="inlineStr">
        <is>
          <t>13217111</t>
        </is>
      </c>
      <c r="BE283" s="32" t="n">
        <v>1</v>
      </c>
      <c r="BF283" s="32" t="inlineStr">
        <is>
          <t>case no. corrected by reader case no. from portal record</t>
        </is>
      </c>
    </row>
    <row r="284">
      <c r="A284" s="17" t="inlineStr">
        <is>
          <t>VR BENEFICIOS E SERVICOS DE PROCESSAMENTO INSTITUICAO DE PAGAMENTO S.A.</t>
        </is>
      </c>
      <c r="B284" s="18" t="n">
        <v>2731258.45</v>
      </c>
      <c r="C284" s="19" t="inlineStr">
        <is>
          <t>EQUIP SEG INTELIGÊNCIA EM SEGURANÇA LTDA. E EQUIP SEG SERVIÇOS ESPECIALIZADOS LTDA.</t>
        </is>
      </c>
      <c r="D284" s="20" t="inlineStr">
        <is>
          <t>NEW</t>
        </is>
      </c>
      <c r="E284" s="21" t="inlineStr"/>
      <c r="F284" s="20" t="inlineStr"/>
      <c r="G284" s="21" t="inlineStr"/>
      <c r="H284" s="20" t="inlineStr"/>
      <c r="I284" s="22" t="inlineStr">
        <is>
          <t>ANDRE TAKEMOTO</t>
        </is>
      </c>
      <c r="J284" s="23" t="inlineStr">
        <is>
          <t>Diretor (RFB partner)</t>
        </is>
      </c>
      <c r="K284" s="22" t="inlineStr">
        <is>
          <t>(11) 4134-4100</t>
        </is>
      </c>
      <c r="L284" s="22" t="inlineStr"/>
      <c r="M284" s="22" t="inlineStr"/>
      <c r="N284" s="22" t="inlineStr"/>
      <c r="O284" s="22" t="inlineStr"/>
      <c r="P284" s="22" t="inlineStr">
        <is>
          <t>ANDRE VINICIUS BATALINI MENOSSE</t>
        </is>
      </c>
      <c r="Q284" s="22" t="inlineStr">
        <is>
          <t>Diretor (RFB partner)</t>
        </is>
      </c>
      <c r="R284" s="22" t="inlineStr"/>
      <c r="S284" s="22" t="inlineStr"/>
      <c r="T284" s="22" t="inlineStr">
        <is>
          <t>DM = registered partner (RFB QSA); no Apollo match</t>
        </is>
      </c>
      <c r="U284" s="24" t="n">
        <v>2731258.45</v>
      </c>
      <c r="V284" s="40" t="inlineStr">
        <is>
          <t>D</t>
        </is>
      </c>
      <c r="W284" s="26" t="inlineStr"/>
      <c r="X284" s="27" t="inlineStr"/>
      <c r="Y284" s="27" t="inlineStr"/>
      <c r="Z284" s="26">
        <f>IF(W284&lt;&gt;"",W284,IFERROR(VLOOKUP(V284,Assumptions!$A$8:$F$12,2,FALSE),0))</f>
        <v/>
      </c>
      <c r="AA284" s="28">
        <f>IF(V284="A",MAX(1,IF(X284&lt;&gt;"",X284,IFERROR(VLOOKUP(V284,Assumptions!$A$8:$F$12,3,FALSE),3))+IF(Y284&lt;&gt;"",Y284,IFERROR(VLOOKUP(V284,Assumptions!$A$8:$F$12,4,FALSE),8))/2-MAX(0,IF(AS284="",0,YEAR(TODAY())-AS284)-IFERROR(VLOOKUP(V284,Assumptions!$A$8:$F$12,5,FALSE),1.5))),IFERROR(VLOOKUP(V284,Assumptions!$A$8:$F$12,5,FALSE),2.5)+IF(X284&lt;&gt;"",X284,IFERROR(VLOOKUP(V284,Assumptions!$A$8:$F$12,3,FALSE),3))+IF(Y284&lt;&gt;"",Y284,IFERROR(VLOOKUP(V284,Assumptions!$A$8:$F$12,4,FALSE),8))/2)</f>
        <v/>
      </c>
      <c r="AB284" s="24">
        <f>U284*Z284/(1+Assumptions!$B$3)^AA284</f>
        <v/>
      </c>
      <c r="AC284" s="27">
        <f>IF(U284=0,"",ROUND(AB284/U284*100,1))</f>
        <v/>
      </c>
      <c r="AD284" s="29">
        <f>AB284*Assumptions!$B$4</f>
        <v/>
      </c>
      <c r="AE284" s="27">
        <f>IF(U284=0,"",ROUND(AD284/U284*100,1))</f>
        <v/>
      </c>
      <c r="AF284" s="29">
        <f>AB284-AD284</f>
        <v/>
      </c>
      <c r="AG284" s="27">
        <f>IF(U284=0,"",ROUND((AB284-AD284)/U284*100,1))</f>
        <v/>
      </c>
      <c r="AH284" s="34" t="inlineStr">
        <is>
          <t>NO TOTALS — list prints none; check page</t>
        </is>
      </c>
      <c r="AI284" s="31" t="inlineStr">
        <is>
          <t>https://bbsadvogados.com.br/wp-content/uploads/2025/04/Equipseg-Edital-Relacao-de-Credores-da-Administradora-Judicial-art.-7o2o-da-LRF.pdf</t>
        </is>
      </c>
      <c r="AJ284" s="30" t="inlineStr">
        <is>
          <t>p42 r8</t>
        </is>
      </c>
      <c r="AK284" s="30" t="inlineStr">
        <is>
          <t>p42: R$ 2.731.258,45</t>
        </is>
      </c>
      <c r="AL284" s="30" t="inlineStr">
        <is>
          <t>AJ list (art. 7 §2)</t>
        </is>
      </c>
      <c r="AM284" s="30" t="inlineStr">
        <is>
          <t>2025-04-08</t>
        </is>
      </c>
      <c r="AN284" s="30" t="inlineStr">
        <is>
          <t>NONE FOUND</t>
        </is>
      </c>
      <c r="AO284" s="32" t="inlineStr">
        <is>
          <t>0033736-15.2023.8.16.0185</t>
        </is>
      </c>
      <c r="AP284" s="32" t="inlineStr">
        <is>
          <t>TJPR</t>
        </is>
      </c>
      <c r="AQ284" s="32" t="inlineStr">
        <is>
          <t>Falência</t>
        </is>
      </c>
      <c r="AR284" s="32" t="inlineStr">
        <is>
          <t>not in DataJud</t>
        </is>
      </c>
      <c r="AS284" s="32" t="n">
        <v>2023</v>
      </c>
      <c r="AT284" s="32" t="inlineStr">
        <is>
          <t>falência proceeding (list/name says falida)</t>
        </is>
      </c>
      <c r="AU284" s="32" t="inlineStr"/>
      <c r="AV284" s="32" t="inlineStr">
        <is>
          <t>printed on the list (read twice)</t>
        </is>
      </c>
      <c r="AW284" s="32" t="inlineStr"/>
      <c r="AX284" s="32" t="inlineStr">
        <is>
          <t>SAO PAULO</t>
        </is>
      </c>
      <c r="AY284" s="32" t="inlineStr">
        <is>
          <t>SP</t>
        </is>
      </c>
      <c r="AZ284" s="32" t="inlineStr">
        <is>
          <t>Emissão de vales-alimentação, vales-transporte e similares</t>
        </is>
      </c>
      <c r="BA284" s="32" t="inlineStr">
        <is>
          <t>não ME/EPP</t>
        </is>
      </c>
      <c r="BB284" s="33" t="n">
        <v>449185860</v>
      </c>
      <c r="BC284" s="32" t="inlineStr">
        <is>
          <t>LARGE CORP</t>
        </is>
      </c>
      <c r="BD284" s="32" t="inlineStr">
        <is>
          <t>02535864</t>
        </is>
      </c>
      <c r="BE284" s="32" t="n">
        <v>1</v>
      </c>
      <c r="BF284" s="32" t="inlineStr">
        <is>
          <t>list prints no totals</t>
        </is>
      </c>
    </row>
    <row r="285">
      <c r="A285" s="17" t="inlineStr">
        <is>
          <t>ACOPLATION ANDAIMES LTDA EM RECUPERACAO JUDICIAL</t>
        </is>
      </c>
      <c r="B285" s="18" t="n">
        <v>379730.78</v>
      </c>
      <c r="C285" s="19" t="inlineStr">
        <is>
          <t>GRUPO EGESA (Egesa Engenharia S.A. + 9 group companies; see group members)</t>
        </is>
      </c>
      <c r="D285" s="20" t="inlineStr">
        <is>
          <t>NEW</t>
        </is>
      </c>
      <c r="E285" s="21" t="inlineStr"/>
      <c r="F285" s="20" t="inlineStr"/>
      <c r="G285" s="21" t="inlineStr"/>
      <c r="H285" s="20" t="inlineStr"/>
      <c r="I285" s="22" t="inlineStr">
        <is>
          <t>MARCIO JOSE DA SILVA</t>
        </is>
      </c>
      <c r="J285" s="23" t="inlineStr">
        <is>
          <t>Sócio-Administrador (RFB partner)</t>
        </is>
      </c>
      <c r="K285" s="22" t="inlineStr">
        <is>
          <t>(31) 3036-2975</t>
        </is>
      </c>
      <c r="L285" s="22" t="inlineStr">
        <is>
          <t>(31) 3036-2974</t>
        </is>
      </c>
      <c r="M285" s="22" t="inlineStr"/>
      <c r="N285" s="22" t="inlineStr"/>
      <c r="O285" s="22" t="inlineStr"/>
      <c r="P285" s="22" t="inlineStr"/>
      <c r="Q285" s="22" t="inlineStr"/>
      <c r="R285" s="22" t="inlineStr"/>
      <c r="S285" s="22" t="inlineStr"/>
      <c r="T285" s="22" t="inlineStr">
        <is>
          <t>DM = registered partner (RFB QSA); no Apollo match</t>
        </is>
      </c>
      <c r="U285" s="24" t="n">
        <v>379730.78</v>
      </c>
      <c r="V285" s="25" t="inlineStr">
        <is>
          <t>B</t>
        </is>
      </c>
      <c r="W285" s="26" t="inlineStr"/>
      <c r="X285" s="27" t="inlineStr"/>
      <c r="Y285" s="27" t="inlineStr"/>
      <c r="Z285" s="26">
        <f>IF(W285&lt;&gt;"",W285,IFERROR(VLOOKUP(V285,Assumptions!$A$8:$F$12,2,FALSE),0))</f>
        <v/>
      </c>
      <c r="AA285" s="28">
        <f>IF(V285="A",MAX(1,IF(X285&lt;&gt;"",X285,IFERROR(VLOOKUP(V285,Assumptions!$A$8:$F$12,3,FALSE),3))+IF(Y285&lt;&gt;"",Y285,IFERROR(VLOOKUP(V285,Assumptions!$A$8:$F$12,4,FALSE),8))/2-MAX(0,IF(AS285="",0,YEAR(TODAY())-AS285)-IFERROR(VLOOKUP(V285,Assumptions!$A$8:$F$12,5,FALSE),1.5))),IFERROR(VLOOKUP(V285,Assumptions!$A$8:$F$12,5,FALSE),2.5)+IF(X285&lt;&gt;"",X285,IFERROR(VLOOKUP(V285,Assumptions!$A$8:$F$12,3,FALSE),3))+IF(Y285&lt;&gt;"",Y285,IFERROR(VLOOKUP(V285,Assumptions!$A$8:$F$12,4,FALSE),8))/2)</f>
        <v/>
      </c>
      <c r="AB285" s="24">
        <f>U285*Z285/(1+Assumptions!$B$3)^AA285</f>
        <v/>
      </c>
      <c r="AC285" s="27">
        <f>IF(U285=0,"",ROUND(AB285/U285*100,1))</f>
        <v/>
      </c>
      <c r="AD285" s="29">
        <f>AB285*Assumptions!$B$4</f>
        <v/>
      </c>
      <c r="AE285" s="27">
        <f>IF(U285=0,"",ROUND(AD285/U285*100,1))</f>
        <v/>
      </c>
      <c r="AF285" s="29">
        <f>AB285-AD285</f>
        <v/>
      </c>
      <c r="AG285" s="27">
        <f>IF(U285=0,"",ROUND((AB285-AD285)/U285*100,1))</f>
        <v/>
      </c>
      <c r="AH285" s="30" t="inlineStr">
        <is>
          <t>OK — totals reconciled</t>
        </is>
      </c>
      <c r="AI285" s="31" t="inlineStr">
        <is>
          <t>https://scalzilliaj.com.br/sgc/download.php?file=files/processo_documento/processo_documento09514021082025_1_.pdf&amp;nome=04 - Relação de credores das Recuperandas</t>
        </is>
      </c>
      <c r="AJ285" s="30" t="inlineStr">
        <is>
          <t>p61 r9</t>
        </is>
      </c>
      <c r="AK285" s="30" t="inlineStr">
        <is>
          <t>p61: R$ 379.730,78</t>
        </is>
      </c>
      <c r="AL285" s="30" t="inlineStr">
        <is>
          <t>Debtor list (art. 51)</t>
        </is>
      </c>
      <c r="AM285" s="30" t="inlineStr"/>
      <c r="AN285" s="30" t="inlineStr">
        <is>
          <t>NONE FOUND</t>
        </is>
      </c>
      <c r="AO285" s="32" t="inlineStr">
        <is>
          <t>5088952-81.2025.8.13.0024</t>
        </is>
      </c>
      <c r="AP285" s="32" t="inlineStr">
        <is>
          <t>TJMG</t>
        </is>
      </c>
      <c r="AQ285" s="32" t="inlineStr"/>
      <c r="AR285" s="32" t="inlineStr">
        <is>
          <t>DataJud: no closure/falência movement</t>
        </is>
      </c>
      <c r="AS285" s="32" t="n">
        <v>2025</v>
      </c>
      <c r="AT285" s="32" t="inlineStr">
        <is>
          <t>live case, no plan document yet; case no. from the portal record, not printed on the list</t>
        </is>
      </c>
      <c r="AU285" s="32" t="inlineStr"/>
      <c r="AV285" s="32" t="inlineStr">
        <is>
          <t>portal page title / URL — not printed on the list</t>
        </is>
      </c>
      <c r="AW285" s="32" t="inlineStr"/>
      <c r="AX285" s="32" t="inlineStr">
        <is>
          <t>BALDIM</t>
        </is>
      </c>
      <c r="AY285" s="32" t="inlineStr">
        <is>
          <t>MG</t>
        </is>
      </c>
      <c r="AZ285" s="32" t="inlineStr">
        <is>
          <t>Serviços de engenharia</t>
        </is>
      </c>
      <c r="BA285" s="32" t="inlineStr">
        <is>
          <t>não ME/EPP</t>
        </is>
      </c>
      <c r="BB285" s="33" t="n">
        <v>500000</v>
      </c>
      <c r="BC285" s="32" t="inlineStr">
        <is>
          <t>MID-MARKET</t>
        </is>
      </c>
      <c r="BD285" s="32" t="inlineStr">
        <is>
          <t>02576794</t>
        </is>
      </c>
      <c r="BE285" s="32" t="n">
        <v>1</v>
      </c>
      <c r="BF285" s="32" t="inlineStr">
        <is>
          <t>case no. corrected by reader case no. from portal record</t>
        </is>
      </c>
    </row>
    <row r="286">
      <c r="A286" s="17" t="inlineStr">
        <is>
          <t>PRODUSI METALURGICA LTDA</t>
        </is>
      </c>
      <c r="B286" s="18" t="n">
        <v>376976.74</v>
      </c>
      <c r="C286" s="19" t="inlineStr">
        <is>
          <t>Grupo Rech</t>
        </is>
      </c>
      <c r="D286" s="20" t="inlineStr">
        <is>
          <t>NEW</t>
        </is>
      </c>
      <c r="E286" s="21" t="inlineStr"/>
      <c r="F286" s="20" t="inlineStr"/>
      <c r="G286" s="21" t="inlineStr"/>
      <c r="H286" s="20" t="inlineStr"/>
      <c r="I286" s="22" t="inlineStr">
        <is>
          <t>JULIO CESAR GONCALVES FERNANDES</t>
        </is>
      </c>
      <c r="J286" s="23" t="inlineStr">
        <is>
          <t>Sócio-Administrador (RFB partner)</t>
        </is>
      </c>
      <c r="K286" s="22" t="inlineStr">
        <is>
          <t>(43) 3373-8800</t>
        </is>
      </c>
      <c r="L286" s="22" t="inlineStr"/>
      <c r="M286" s="22" t="inlineStr"/>
      <c r="N286" s="22" t="inlineStr"/>
      <c r="O286" s="22" t="inlineStr"/>
      <c r="P286" s="22" t="inlineStr"/>
      <c r="Q286" s="22" t="inlineStr"/>
      <c r="R286" s="22" t="inlineStr"/>
      <c r="S286" s="22" t="inlineStr"/>
      <c r="T286" s="22" t="inlineStr">
        <is>
          <t>DM = registered partner (RFB QSA); no Apollo match</t>
        </is>
      </c>
      <c r="U286" s="24" t="n">
        <v>376976.74</v>
      </c>
      <c r="V286" s="25" t="inlineStr">
        <is>
          <t>B</t>
        </is>
      </c>
      <c r="W286" s="26" t="inlineStr"/>
      <c r="X286" s="27" t="inlineStr"/>
      <c r="Y286" s="27" t="inlineStr"/>
      <c r="Z286" s="26">
        <f>IF(W286&lt;&gt;"",W286,IFERROR(VLOOKUP(V286,Assumptions!$A$8:$F$12,2,FALSE),0))</f>
        <v/>
      </c>
      <c r="AA286" s="28">
        <f>IF(V286="A",MAX(1,IF(X286&lt;&gt;"",X286,IFERROR(VLOOKUP(V286,Assumptions!$A$8:$F$12,3,FALSE),3))+IF(Y286&lt;&gt;"",Y286,IFERROR(VLOOKUP(V286,Assumptions!$A$8:$F$12,4,FALSE),8))/2-MAX(0,IF(AS286="",0,YEAR(TODAY())-AS286)-IFERROR(VLOOKUP(V286,Assumptions!$A$8:$F$12,5,FALSE),1.5))),IFERROR(VLOOKUP(V286,Assumptions!$A$8:$F$12,5,FALSE),2.5)+IF(X286&lt;&gt;"",X286,IFERROR(VLOOKUP(V286,Assumptions!$A$8:$F$12,3,FALSE),3))+IF(Y286&lt;&gt;"",Y286,IFERROR(VLOOKUP(V286,Assumptions!$A$8:$F$12,4,FALSE),8))/2)</f>
        <v/>
      </c>
      <c r="AB286" s="24">
        <f>U286*Z286/(1+Assumptions!$B$3)^AA286</f>
        <v/>
      </c>
      <c r="AC286" s="27">
        <f>IF(U286=0,"",ROUND(AB286/U286*100,1))</f>
        <v/>
      </c>
      <c r="AD286" s="29">
        <f>AB286*Assumptions!$B$4</f>
        <v/>
      </c>
      <c r="AE286" s="27">
        <f>IF(U286=0,"",ROUND(AD286/U286*100,1))</f>
        <v/>
      </c>
      <c r="AF286" s="29">
        <f>AB286-AD286</f>
        <v/>
      </c>
      <c r="AG286" s="27">
        <f>IF(U286=0,"",ROUND((AB286-AD286)/U286*100,1))</f>
        <v/>
      </c>
      <c r="AH286" s="36" t="inlineStr">
        <is>
          <t>CHECK — source is not a statutory creditor list</t>
        </is>
      </c>
      <c r="AI286" s="31" t="inlineStr">
        <is>
          <t>https://credibilita.com.br/wp-content/uploads/2025/09/Relacao-Credores-29.04.2026.pdf</t>
        </is>
      </c>
      <c r="AJ286" s="30" t="inlineStr">
        <is>
          <t>p2 r10</t>
        </is>
      </c>
      <c r="AK286" s="30" t="inlineStr">
        <is>
          <t>p2: R$ 376.976,74</t>
        </is>
      </c>
      <c r="AL286" s="30" t="inlineStr">
        <is>
          <t>Quorum list — NOT an art. 7/51 list</t>
        </is>
      </c>
      <c r="AM286" s="30" t="inlineStr"/>
      <c r="AN286" s="30" t="inlineStr">
        <is>
          <t>NONE FOUND</t>
        </is>
      </c>
      <c r="AO286" s="32" t="inlineStr">
        <is>
          <t>5057720-48.2025.8.24.0023</t>
        </is>
      </c>
      <c r="AP286" s="32" t="inlineStr">
        <is>
          <t>TJSC</t>
        </is>
      </c>
      <c r="AQ286" s="32" t="inlineStr"/>
      <c r="AR286" s="32" t="inlineStr">
        <is>
          <t>not in DataJud</t>
        </is>
      </c>
      <c r="AS286" s="32" t="n">
        <v>2025</v>
      </c>
      <c r="AT286" s="32" t="inlineStr">
        <is>
          <t>live case, no plan document yet; case no. from the portal record, not printed on the list</t>
        </is>
      </c>
      <c r="AU286" s="32" t="inlineStr"/>
      <c r="AV286" s="32" t="inlineStr">
        <is>
          <t>portal page title / URL — not printed on the list</t>
        </is>
      </c>
      <c r="AW286" s="32" t="inlineStr"/>
      <c r="AX286" s="32" t="inlineStr">
        <is>
          <t>LONDRINA</t>
        </is>
      </c>
      <c r="AY286" s="32" t="inlineStr">
        <is>
          <t>PR</t>
        </is>
      </c>
      <c r="AZ286" s="32" t="inlineStr">
        <is>
          <t>Fabricação de outros produtos de metal não especificados anteriormente</t>
        </is>
      </c>
      <c r="BA286" s="32" t="inlineStr">
        <is>
          <t>não ME/EPP</t>
        </is>
      </c>
      <c r="BB286" s="33" t="n">
        <v>1500000</v>
      </c>
      <c r="BC286" s="32" t="inlineStr">
        <is>
          <t>MID-MARKET</t>
        </is>
      </c>
      <c r="BD286" s="32" t="inlineStr">
        <is>
          <t>02135888</t>
        </is>
      </c>
      <c r="BE286" s="32" t="n">
        <v>1</v>
      </c>
      <c r="BF286" s="32" t="inlineStr">
        <is>
          <t>list prints no totals case no. corrected by reader</t>
        </is>
      </c>
    </row>
    <row r="287">
      <c r="A287" s="17" t="inlineStr">
        <is>
          <t>CAUANA INDUSTRIA COMERCIO E REPRESENTACOES LTDA</t>
        </is>
      </c>
      <c r="B287" s="18" t="n">
        <v>374949</v>
      </c>
      <c r="C287" s="19" t="inlineStr">
        <is>
          <t>GRUPO CATTAN</t>
        </is>
      </c>
      <c r="D287" s="20" t="inlineStr">
        <is>
          <t>NEW</t>
        </is>
      </c>
      <c r="E287" s="21" t="inlineStr"/>
      <c r="F287" s="20" t="inlineStr"/>
      <c r="G287" s="21" t="inlineStr"/>
      <c r="H287" s="20" t="inlineStr"/>
      <c r="I287" s="22" t="inlineStr">
        <is>
          <t>CLAUDIO NOGUEIRA DINIZ</t>
        </is>
      </c>
      <c r="J287" s="23" t="inlineStr">
        <is>
          <t>Sócio-Administrador (RFB partner)</t>
        </is>
      </c>
      <c r="K287" s="22" t="inlineStr">
        <is>
          <t>(31) 2581-0599</t>
        </is>
      </c>
      <c r="L287" s="22" t="inlineStr"/>
      <c r="M287" s="22" t="inlineStr"/>
      <c r="N287" s="22" t="inlineStr"/>
      <c r="O287" s="22" t="inlineStr"/>
      <c r="P287" s="22" t="inlineStr">
        <is>
          <t>MARIANA LARA DINIZ</t>
        </is>
      </c>
      <c r="Q287" s="22" t="inlineStr">
        <is>
          <t>Sócio-Administrador (RFB partner)</t>
        </is>
      </c>
      <c r="R287" s="22" t="inlineStr"/>
      <c r="S287" s="22" t="inlineStr"/>
      <c r="T287" s="22" t="inlineStr">
        <is>
          <t>DM = registered partner (RFB QSA); no Apollo match</t>
        </is>
      </c>
      <c r="U287" s="24" t="n">
        <v>374949</v>
      </c>
      <c r="V287" s="25" t="inlineStr">
        <is>
          <t>B</t>
        </is>
      </c>
      <c r="W287" s="26" t="inlineStr"/>
      <c r="X287" s="27" t="inlineStr"/>
      <c r="Y287" s="27" t="inlineStr"/>
      <c r="Z287" s="26">
        <f>IF(W287&lt;&gt;"",W287,IFERROR(VLOOKUP(V287,Assumptions!$A$8:$F$12,2,FALSE),0))</f>
        <v/>
      </c>
      <c r="AA287" s="28">
        <f>IF(V287="A",MAX(1,IF(X287&lt;&gt;"",X287,IFERROR(VLOOKUP(V287,Assumptions!$A$8:$F$12,3,FALSE),3))+IF(Y287&lt;&gt;"",Y287,IFERROR(VLOOKUP(V287,Assumptions!$A$8:$F$12,4,FALSE),8))/2-MAX(0,IF(AS287="",0,YEAR(TODAY())-AS287)-IFERROR(VLOOKUP(V287,Assumptions!$A$8:$F$12,5,FALSE),1.5))),IFERROR(VLOOKUP(V287,Assumptions!$A$8:$F$12,5,FALSE),2.5)+IF(X287&lt;&gt;"",X287,IFERROR(VLOOKUP(V287,Assumptions!$A$8:$F$12,3,FALSE),3))+IF(Y287&lt;&gt;"",Y287,IFERROR(VLOOKUP(V287,Assumptions!$A$8:$F$12,4,FALSE),8))/2)</f>
        <v/>
      </c>
      <c r="AB287" s="24">
        <f>U287*Z287/(1+Assumptions!$B$3)^AA287</f>
        <v/>
      </c>
      <c r="AC287" s="27">
        <f>IF(U287=0,"",ROUND(AB287/U287*100,1))</f>
        <v/>
      </c>
      <c r="AD287" s="29">
        <f>AB287*Assumptions!$B$4</f>
        <v/>
      </c>
      <c r="AE287" s="27">
        <f>IF(U287=0,"",ROUND(AD287/U287*100,1))</f>
        <v/>
      </c>
      <c r="AF287" s="29">
        <f>AB287-AD287</f>
        <v/>
      </c>
      <c r="AG287" s="27">
        <f>IF(U287=0,"",ROUND((AB287-AD287)/U287*100,1))</f>
        <v/>
      </c>
      <c r="AH287" s="35" t="inlineStr">
        <is>
          <t>PARTIAL — class III reconciled, other classes not</t>
        </is>
      </c>
      <c r="AI287" s="31" t="inlineStr">
        <is>
          <t>https://lrflideres.com.br/wp-content/plugins/download-attachments/includes/download.php?id=4023</t>
        </is>
      </c>
      <c r="AJ287" s="30" t="inlineStr">
        <is>
          <t>p4 r62</t>
        </is>
      </c>
      <c r="AK287" s="30" t="inlineStr">
        <is>
          <t>p4: R$ 374.949,00</t>
        </is>
      </c>
      <c r="AL287" s="30" t="inlineStr">
        <is>
          <t>Debtor list (art. 51)</t>
        </is>
      </c>
      <c r="AM287" s="30" t="inlineStr"/>
      <c r="AN287" s="30" t="inlineStr">
        <is>
          <t>NONE FOUND</t>
        </is>
      </c>
      <c r="AO287" s="32" t="inlineStr">
        <is>
          <t>0002484-82.2022.8.17.2001</t>
        </is>
      </c>
      <c r="AP287" s="32" t="inlineStr">
        <is>
          <t>TJPE</t>
        </is>
      </c>
      <c r="AQ287" s="32" t="inlineStr">
        <is>
          <t>Recuperação judicial</t>
        </is>
      </c>
      <c r="AR287" s="32" t="inlineStr">
        <is>
          <t>DataJud: no closure/falência movement</t>
        </is>
      </c>
      <c r="AS287" s="32" t="n">
        <v>2022</v>
      </c>
      <c r="AT287" s="32" t="inlineStr">
        <is>
          <t>live case, no plan document yet</t>
        </is>
      </c>
      <c r="AU287" s="32" t="inlineStr"/>
      <c r="AV287" s="32" t="inlineStr">
        <is>
          <t>printed on the list (read twice)</t>
        </is>
      </c>
      <c r="AW287" s="32" t="inlineStr"/>
      <c r="AX287" s="32" t="inlineStr">
        <is>
          <t>NOVA LIMA</t>
        </is>
      </c>
      <c r="AY287" s="32" t="inlineStr">
        <is>
          <t>MG</t>
        </is>
      </c>
      <c r="AZ287" s="32" t="inlineStr">
        <is>
          <t>Confecção de peças de vestuário, exceto roupas íntimas e as confeccionadas sob medida</t>
        </is>
      </c>
      <c r="BA287" s="32" t="inlineStr">
        <is>
          <t>MICRO EMPRESA</t>
        </is>
      </c>
      <c r="BB287" s="33" t="n">
        <v>10000</v>
      </c>
      <c r="BC287" s="32" t="inlineStr">
        <is>
          <t>SMALL</t>
        </is>
      </c>
      <c r="BD287" s="32" t="inlineStr">
        <is>
          <t>13726078</t>
        </is>
      </c>
      <c r="BE287" s="32" t="n">
        <v>1</v>
      </c>
      <c r="BF287" s="32" t="inlineStr">
        <is>
          <t>class III reconciled (doc partial)</t>
        </is>
      </c>
    </row>
    <row r="288">
      <c r="A288" s="17" t="inlineStr">
        <is>
          <t>RAVATO DISTRIBUIDORA DE COMBUSTIVEIS LTDA</t>
        </is>
      </c>
      <c r="B288" s="18" t="n">
        <v>373976.81</v>
      </c>
      <c r="C288" s="19" t="inlineStr">
        <is>
          <t>Grupo Agromeal</t>
        </is>
      </c>
      <c r="D288" s="20" t="inlineStr">
        <is>
          <t>NEW</t>
        </is>
      </c>
      <c r="E288" s="21" t="inlineStr"/>
      <c r="F288" s="20" t="inlineStr"/>
      <c r="G288" s="21" t="inlineStr"/>
      <c r="H288" s="20" t="inlineStr"/>
      <c r="I288" s="22" t="inlineStr">
        <is>
          <t>LUCIANO DEMICHELI</t>
        </is>
      </c>
      <c r="J288" s="23" t="inlineStr">
        <is>
          <t>Administrador (RFB partner)</t>
        </is>
      </c>
      <c r="K288" s="22" t="inlineStr">
        <is>
          <t>(42) 3520-2100</t>
        </is>
      </c>
      <c r="L288" s="22" t="inlineStr">
        <is>
          <t>(42) 3520-2110</t>
        </is>
      </c>
      <c r="M288" s="22" t="inlineStr"/>
      <c r="N288" s="22" t="inlineStr"/>
      <c r="O288" s="22" t="inlineStr"/>
      <c r="P288" s="22" t="inlineStr">
        <is>
          <t>MARLEY DE BRITO ALMEIDA</t>
        </is>
      </c>
      <c r="Q288" s="22" t="inlineStr">
        <is>
          <t>Administrador (RFB partner)</t>
        </is>
      </c>
      <c r="R288" s="22" t="inlineStr"/>
      <c r="S288" s="22" t="inlineStr"/>
      <c r="T288" s="22" t="inlineStr">
        <is>
          <t>DM = registered partner (RFB QSA); no Apollo match</t>
        </is>
      </c>
      <c r="U288" s="24" t="n">
        <v>373976.81</v>
      </c>
      <c r="V288" s="25" t="inlineStr">
        <is>
          <t>B</t>
        </is>
      </c>
      <c r="W288" s="26" t="inlineStr"/>
      <c r="X288" s="27" t="inlineStr"/>
      <c r="Y288" s="27" t="inlineStr"/>
      <c r="Z288" s="26">
        <f>IF(W288&lt;&gt;"",W288,IFERROR(VLOOKUP(V288,Assumptions!$A$8:$F$12,2,FALSE),0))</f>
        <v/>
      </c>
      <c r="AA288" s="28">
        <f>IF(V288="A",MAX(1,IF(X288&lt;&gt;"",X288,IFERROR(VLOOKUP(V288,Assumptions!$A$8:$F$12,3,FALSE),3))+IF(Y288&lt;&gt;"",Y288,IFERROR(VLOOKUP(V288,Assumptions!$A$8:$F$12,4,FALSE),8))/2-MAX(0,IF(AS288="",0,YEAR(TODAY())-AS288)-IFERROR(VLOOKUP(V288,Assumptions!$A$8:$F$12,5,FALSE),1.5))),IFERROR(VLOOKUP(V288,Assumptions!$A$8:$F$12,5,FALSE),2.5)+IF(X288&lt;&gt;"",X288,IFERROR(VLOOKUP(V288,Assumptions!$A$8:$F$12,3,FALSE),3))+IF(Y288&lt;&gt;"",Y288,IFERROR(VLOOKUP(V288,Assumptions!$A$8:$F$12,4,FALSE),8))/2)</f>
        <v/>
      </c>
      <c r="AB288" s="24">
        <f>U288*Z288/(1+Assumptions!$B$3)^AA288</f>
        <v/>
      </c>
      <c r="AC288" s="27">
        <f>IF(U288=0,"",ROUND(AB288/U288*100,1))</f>
        <v/>
      </c>
      <c r="AD288" s="29">
        <f>AB288*Assumptions!$B$4</f>
        <v/>
      </c>
      <c r="AE288" s="27">
        <f>IF(U288=0,"",ROUND(AD288/U288*100,1))</f>
        <v/>
      </c>
      <c r="AF288" s="29">
        <f>AB288-AD288</f>
        <v/>
      </c>
      <c r="AG288" s="27">
        <f>IF(U288=0,"",ROUND((AB288-AD288)/U288*100,1))</f>
        <v/>
      </c>
      <c r="AH288" s="35" t="inlineStr">
        <is>
          <t>PARTIAL — class III reconciled, other classes not</t>
        </is>
      </c>
      <c r="AI288" s="31" t="inlineStr">
        <is>
          <t>https://marquesadmjudicial.com.br/sgc/download.php?file=files/processo_documento/processo_documento17040729052024_1_.pdf&amp;nome=Relação Nominal de Credores AJ-Sintética</t>
        </is>
      </c>
      <c r="AJ288" s="30" t="inlineStr">
        <is>
          <t>p12 r14</t>
        </is>
      </c>
      <c r="AK288" s="30" t="inlineStr">
        <is>
          <t>p12: R$ 373.976,81</t>
        </is>
      </c>
      <c r="AL288" s="30" t="inlineStr">
        <is>
          <t>AJ list (art. 7 §2)</t>
        </is>
      </c>
      <c r="AM288" s="30" t="inlineStr">
        <is>
          <t>2024-05-27</t>
        </is>
      </c>
      <c r="AN288" s="30" t="inlineStr">
        <is>
          <t>NONE FOUND</t>
        </is>
      </c>
      <c r="AO288" s="32" t="inlineStr">
        <is>
          <t>0003971-03.2023.8.16.0119</t>
        </is>
      </c>
      <c r="AP288" s="32" t="inlineStr">
        <is>
          <t>TJPR</t>
        </is>
      </c>
      <c r="AQ288" s="32" t="inlineStr">
        <is>
          <t>Recuperação judicial</t>
        </is>
      </c>
      <c r="AR288" s="32" t="inlineStr">
        <is>
          <t>DataJud: no closure/falência movement</t>
        </is>
      </c>
      <c r="AS288" s="32" t="n">
        <v>2023</v>
      </c>
      <c r="AT288" s="32" t="inlineStr">
        <is>
          <t>live case, no plan document yet</t>
        </is>
      </c>
      <c r="AU288" s="32" t="inlineStr">
        <is>
          <t>11.624.776/0001-07</t>
        </is>
      </c>
      <c r="AV288" s="32" t="inlineStr">
        <is>
          <t>printed on the list (read twice)</t>
        </is>
      </c>
      <c r="AW288" s="32" t="inlineStr"/>
      <c r="AX288" s="32" t="inlineStr">
        <is>
          <t>SAO MATEUS DO SUL</t>
        </is>
      </c>
      <c r="AY288" s="32" t="inlineStr">
        <is>
          <t>PR</t>
        </is>
      </c>
      <c r="AZ288" s="32" t="inlineStr">
        <is>
          <t>Comércio atacadista de álcool carburante, biodiesel, gasolina e demais derivados de petróleo, exceto lubrificantes, não realizado por transportador re</t>
        </is>
      </c>
      <c r="BA288" s="32" t="inlineStr">
        <is>
          <t>não ME/EPP</t>
        </is>
      </c>
      <c r="BB288" s="33" t="n">
        <v>10000000</v>
      </c>
      <c r="BC288" s="32" t="inlineStr">
        <is>
          <t>MID-MARKET</t>
        </is>
      </c>
      <c r="BD288" s="32" t="inlineStr">
        <is>
          <t>16978251</t>
        </is>
      </c>
      <c r="BE288" s="32" t="n">
        <v>1</v>
      </c>
      <c r="BF288" s="32" t="inlineStr">
        <is>
          <t>class III reconciled (doc partial)</t>
        </is>
      </c>
    </row>
    <row r="289">
      <c r="A289" s="17" t="inlineStr">
        <is>
          <t>FERRONORTE INDUSTRIAL LTDA</t>
        </is>
      </c>
      <c r="B289" s="18" t="n">
        <v>1452323.08</v>
      </c>
      <c r="C289" s="19" t="inlineStr">
        <is>
          <t>Roque Materiais para Construção</t>
        </is>
      </c>
      <c r="D289" s="20" t="inlineStr">
        <is>
          <t>NEW</t>
        </is>
      </c>
      <c r="E289" s="21" t="inlineStr"/>
      <c r="F289" s="20" t="inlineStr"/>
      <c r="G289" s="21" t="inlineStr"/>
      <c r="H289" s="20" t="inlineStr"/>
      <c r="I289" s="22" t="inlineStr">
        <is>
          <t>ANTONIO JOSE DO NASCIMENTO</t>
        </is>
      </c>
      <c r="J289" s="23" t="inlineStr">
        <is>
          <t>Sócio-Administrador (RFB partner)</t>
        </is>
      </c>
      <c r="K289" s="22" t="inlineStr">
        <is>
          <t>(86) 3215-4950</t>
        </is>
      </c>
      <c r="L289" s="22" t="inlineStr">
        <is>
          <t>(86) 8842-0763</t>
        </is>
      </c>
      <c r="M289" s="22" t="inlineStr"/>
      <c r="N289" s="22" t="inlineStr"/>
      <c r="O289" s="22" t="inlineStr"/>
      <c r="P289" s="22" t="inlineStr">
        <is>
          <t>Carlos Andre</t>
        </is>
      </c>
      <c r="Q289" s="22" t="inlineStr">
        <is>
          <t>Analyst</t>
        </is>
      </c>
      <c r="R289" s="22" t="inlineStr"/>
      <c r="S289" s="22" t="inlineStr">
        <is>
          <t>carlos@ferronorteindustrial.com.br</t>
        </is>
      </c>
      <c r="T289" s="22" t="inlineStr">
        <is>
          <t>DM = registered partner (RFB QSA); Apollo pick demoted to backup (non-finance role); BACKUP: weak, has_email, phone Yes</t>
        </is>
      </c>
      <c r="U289" s="24" t="n">
        <v>1452323.08</v>
      </c>
      <c r="V289" s="39" t="inlineStr">
        <is>
          <t>C</t>
        </is>
      </c>
      <c r="W289" s="26" t="inlineStr"/>
      <c r="X289" s="27" t="inlineStr"/>
      <c r="Y289" s="27" t="inlineStr"/>
      <c r="Z289" s="26">
        <f>IF(W289&lt;&gt;"",W289,IFERROR(VLOOKUP(V289,Assumptions!$A$8:$F$12,2,FALSE),0))</f>
        <v/>
      </c>
      <c r="AA289" s="28">
        <f>IF(V289="A",MAX(1,IF(X289&lt;&gt;"",X289,IFERROR(VLOOKUP(V289,Assumptions!$A$8:$F$12,3,FALSE),3))+IF(Y289&lt;&gt;"",Y289,IFERROR(VLOOKUP(V289,Assumptions!$A$8:$F$12,4,FALSE),8))/2-MAX(0,IF(AS289="",0,YEAR(TODAY())-AS289)-IFERROR(VLOOKUP(V289,Assumptions!$A$8:$F$12,5,FALSE),1.5))),IFERROR(VLOOKUP(V289,Assumptions!$A$8:$F$12,5,FALSE),2.5)+IF(X289&lt;&gt;"",X289,IFERROR(VLOOKUP(V289,Assumptions!$A$8:$F$12,3,FALSE),3))+IF(Y289&lt;&gt;"",Y289,IFERROR(VLOOKUP(V289,Assumptions!$A$8:$F$12,4,FALSE),8))/2)</f>
        <v/>
      </c>
      <c r="AB289" s="24">
        <f>U289*Z289/(1+Assumptions!$B$3)^AA289</f>
        <v/>
      </c>
      <c r="AC289" s="27">
        <f>IF(U289=0,"",ROUND(AB289/U289*100,1))</f>
        <v/>
      </c>
      <c r="AD289" s="29">
        <f>AB289*Assumptions!$B$4</f>
        <v/>
      </c>
      <c r="AE289" s="27">
        <f>IF(U289=0,"",ROUND(AD289/U289*100,1))</f>
        <v/>
      </c>
      <c r="AF289" s="29">
        <f>AB289-AD289</f>
        <v/>
      </c>
      <c r="AG289" s="27">
        <f>IF(U289=0,"",ROUND((AB289-AD289)/U289*100,1))</f>
        <v/>
      </c>
      <c r="AH289" s="30" t="inlineStr">
        <is>
          <t>OK — totals reconciled</t>
        </is>
      </c>
      <c r="AI289" s="31" t="inlineStr">
        <is>
          <t>https://realbrasil.com.br/wp-content/uploads/2018/06/2_LISTA-DE-CREDORES-DA-RECUPERANDA_ROQUE.pdf</t>
        </is>
      </c>
      <c r="AJ289" s="30" t="inlineStr">
        <is>
          <t>p2 r3</t>
        </is>
      </c>
      <c r="AK289" s="30" t="inlineStr">
        <is>
          <t>p2: R$ 1.452.323,08</t>
        </is>
      </c>
      <c r="AL289" s="30" t="inlineStr">
        <is>
          <t>Unclassified list</t>
        </is>
      </c>
      <c r="AM289" s="30" t="inlineStr"/>
      <c r="AN289" s="30" t="inlineStr">
        <is>
          <t>NONE FOUND</t>
        </is>
      </c>
      <c r="AO289" s="32" t="inlineStr">
        <is>
          <t>0802426-35.2019.8.10.0000</t>
        </is>
      </c>
      <c r="AP289" s="32" t="inlineStr">
        <is>
          <t>TJMA</t>
        </is>
      </c>
      <c r="AQ289" s="32" t="inlineStr"/>
      <c r="AR289" s="32" t="inlineStr">
        <is>
          <t>not in DataJud</t>
        </is>
      </c>
      <c r="AS289" s="32" t="n">
        <v>2019</v>
      </c>
      <c r="AT289" s="32" t="inlineStr">
        <is>
          <t>7y since filing; plan not in our documents; case no. from the portal record, not printed on the list</t>
        </is>
      </c>
      <c r="AU289" s="32" t="inlineStr"/>
      <c r="AV289" s="32" t="inlineStr">
        <is>
          <t>portal page title / URL — not printed on the list</t>
        </is>
      </c>
      <c r="AW289" s="32" t="inlineStr"/>
      <c r="AX289" s="32" t="inlineStr">
        <is>
          <t>TERESINA</t>
        </is>
      </c>
      <c r="AY289" s="32" t="inlineStr">
        <is>
          <t>PI</t>
        </is>
      </c>
      <c r="AZ289" s="32" t="inlineStr">
        <is>
          <t>Produção de relaminados, trefilados e perfilados de aço, exceto arames</t>
        </is>
      </c>
      <c r="BA289" s="32" t="inlineStr">
        <is>
          <t>não ME/EPP</t>
        </is>
      </c>
      <c r="BB289" s="33" t="n">
        <v>671848000</v>
      </c>
      <c r="BC289" s="32" t="inlineStr">
        <is>
          <t>MID-MARKET</t>
        </is>
      </c>
      <c r="BD289" s="32" t="inlineStr">
        <is>
          <t>03119889</t>
        </is>
      </c>
      <c r="BE289" s="32" t="n">
        <v>1</v>
      </c>
      <c r="BF289" s="32" t="inlineStr"/>
    </row>
    <row r="290">
      <c r="A290" s="17" t="inlineStr">
        <is>
          <t>AGAE TRANSPORTES E COMERCIO S/A</t>
        </is>
      </c>
      <c r="B290" s="18" t="n">
        <v>368662.26</v>
      </c>
      <c r="C290" s="19" t="inlineStr">
        <is>
          <t>GRUPO EGESA (Egesa Engenharia S.A. + 9 group companies; see group members)</t>
        </is>
      </c>
      <c r="D290" s="20" t="inlineStr">
        <is>
          <t>NEW</t>
        </is>
      </c>
      <c r="E290" s="21" t="inlineStr"/>
      <c r="F290" s="20" t="inlineStr"/>
      <c r="G290" s="21" t="inlineStr"/>
      <c r="H290" s="20" t="inlineStr"/>
      <c r="I290" s="22" t="inlineStr">
        <is>
          <t>Hebert Vianna</t>
        </is>
      </c>
      <c r="J290" s="22" t="inlineStr">
        <is>
          <t>CFO</t>
        </is>
      </c>
      <c r="K290" s="22" t="inlineStr">
        <is>
          <t>(21) 22123-6632</t>
        </is>
      </c>
      <c r="L290" s="22" t="inlineStr"/>
      <c r="M290" s="22" t="inlineStr"/>
      <c r="N290" s="22" t="inlineStr">
        <is>
          <t>hebert.vianna@betunel.com.br</t>
        </is>
      </c>
      <c r="O290" s="22" t="inlineStr">
        <is>
          <t>verified</t>
        </is>
      </c>
      <c r="P290" s="22" t="inlineStr">
        <is>
          <t>Vivian Santos</t>
        </is>
      </c>
      <c r="Q290" s="22" t="inlineStr">
        <is>
          <t>Head de Crédito e Cobrança</t>
        </is>
      </c>
      <c r="R290" s="22" t="inlineStr"/>
      <c r="S290" s="22" t="inlineStr">
        <is>
          <t>vivian.santos@betunel.com.br</t>
        </is>
      </c>
      <c r="T290" s="22" t="inlineStr">
        <is>
          <t>DM: has_email, phone Yes; BACKUP: backup, has_email, phone Yes</t>
        </is>
      </c>
      <c r="U290" s="24" t="n">
        <v>368662.26</v>
      </c>
      <c r="V290" s="25" t="inlineStr">
        <is>
          <t>B</t>
        </is>
      </c>
      <c r="W290" s="26" t="inlineStr"/>
      <c r="X290" s="27" t="inlineStr"/>
      <c r="Y290" s="27" t="inlineStr"/>
      <c r="Z290" s="26">
        <f>IF(W290&lt;&gt;"",W290,IFERROR(VLOOKUP(V290,Assumptions!$A$8:$F$12,2,FALSE),0))</f>
        <v/>
      </c>
      <c r="AA290" s="28">
        <f>IF(V290="A",MAX(1,IF(X290&lt;&gt;"",X290,IFERROR(VLOOKUP(V290,Assumptions!$A$8:$F$12,3,FALSE),3))+IF(Y290&lt;&gt;"",Y290,IFERROR(VLOOKUP(V290,Assumptions!$A$8:$F$12,4,FALSE),8))/2-MAX(0,IF(AS290="",0,YEAR(TODAY())-AS290)-IFERROR(VLOOKUP(V290,Assumptions!$A$8:$F$12,5,FALSE),1.5))),IFERROR(VLOOKUP(V290,Assumptions!$A$8:$F$12,5,FALSE),2.5)+IF(X290&lt;&gt;"",X290,IFERROR(VLOOKUP(V290,Assumptions!$A$8:$F$12,3,FALSE),3))+IF(Y290&lt;&gt;"",Y290,IFERROR(VLOOKUP(V290,Assumptions!$A$8:$F$12,4,FALSE),8))/2)</f>
        <v/>
      </c>
      <c r="AB290" s="24">
        <f>U290*Z290/(1+Assumptions!$B$3)^AA290</f>
        <v/>
      </c>
      <c r="AC290" s="27">
        <f>IF(U290=0,"",ROUND(AB290/U290*100,1))</f>
        <v/>
      </c>
      <c r="AD290" s="29">
        <f>AB290*Assumptions!$B$4</f>
        <v/>
      </c>
      <c r="AE290" s="27">
        <f>IF(U290=0,"",ROUND(AD290/U290*100,1))</f>
        <v/>
      </c>
      <c r="AF290" s="29">
        <f>AB290-AD290</f>
        <v/>
      </c>
      <c r="AG290" s="27">
        <f>IF(U290=0,"",ROUND((AB290-AD290)/U290*100,1))</f>
        <v/>
      </c>
      <c r="AH290" s="30" t="inlineStr">
        <is>
          <t>OK — totals reconciled</t>
        </is>
      </c>
      <c r="AI290" s="31" t="inlineStr">
        <is>
          <t>https://scalzilliaj.com.br/sgc/download.php?file=files/processo_documento/processo_documento09514021082025_1_.pdf&amp;nome=04 - Relação de credores das Recuperandas</t>
        </is>
      </c>
      <c r="AJ290" s="30" t="inlineStr">
        <is>
          <t>p61 r13</t>
        </is>
      </c>
      <c r="AK290" s="30" t="inlineStr">
        <is>
          <t>p61: R$ 368.662,26</t>
        </is>
      </c>
      <c r="AL290" s="30" t="inlineStr">
        <is>
          <t>Debtor list (art. 51)</t>
        </is>
      </c>
      <c r="AM290" s="30" t="inlineStr"/>
      <c r="AN290" s="30" t="inlineStr">
        <is>
          <t>NONE FOUND</t>
        </is>
      </c>
      <c r="AO290" s="32" t="inlineStr">
        <is>
          <t>5088952-81.2025.8.13.0024</t>
        </is>
      </c>
      <c r="AP290" s="32" t="inlineStr">
        <is>
          <t>TJMG</t>
        </is>
      </c>
      <c r="AQ290" s="32" t="inlineStr"/>
      <c r="AR290" s="32" t="inlineStr">
        <is>
          <t>DataJud: no closure/falência movement</t>
        </is>
      </c>
      <c r="AS290" s="32" t="n">
        <v>2025</v>
      </c>
      <c r="AT290" s="32" t="inlineStr">
        <is>
          <t>live case, no plan document yet; case no. from the portal record, not printed on the list</t>
        </is>
      </c>
      <c r="AU290" s="32" t="inlineStr"/>
      <c r="AV290" s="32" t="inlineStr">
        <is>
          <t>portal page title / URL — not printed on the list</t>
        </is>
      </c>
      <c r="AW290" s="32" t="inlineStr"/>
      <c r="AX290" s="32" t="inlineStr">
        <is>
          <t>RIO DE JANEIRO</t>
        </is>
      </c>
      <c r="AY290" s="32" t="inlineStr">
        <is>
          <t>RJ</t>
        </is>
      </c>
      <c r="AZ290" s="32" t="inlineStr">
        <is>
          <t>Transporte rodoviário de produtos perigosos</t>
        </is>
      </c>
      <c r="BA290" s="32" t="inlineStr">
        <is>
          <t>não ME/EPP</t>
        </is>
      </c>
      <c r="BB290" s="33" t="n">
        <v>4951175</v>
      </c>
      <c r="BC290" s="32" t="inlineStr">
        <is>
          <t>MID-MARKET</t>
        </is>
      </c>
      <c r="BD290" s="32" t="inlineStr">
        <is>
          <t>43998509</t>
        </is>
      </c>
      <c r="BE290" s="32" t="n">
        <v>1</v>
      </c>
      <c r="BF290" s="32" t="inlineStr">
        <is>
          <t>case no. corrected by reader case no. from portal record</t>
        </is>
      </c>
    </row>
    <row r="291">
      <c r="A291" s="17" t="inlineStr">
        <is>
          <t>ALPHA MARKTEC MATERIAIS ELETRICOS LTDA</t>
        </is>
      </c>
      <c r="B291" s="18" t="n">
        <v>368324.26</v>
      </c>
      <c r="C291" s="19" t="inlineStr">
        <is>
          <t>GRUPO EGESA (Egesa Engenharia S.A. + 9 group companies; see group members)</t>
        </is>
      </c>
      <c r="D291" s="20" t="inlineStr">
        <is>
          <t>NEW</t>
        </is>
      </c>
      <c r="E291" s="21" t="inlineStr"/>
      <c r="F291" s="20" t="inlineStr"/>
      <c r="G291" s="21" t="inlineStr"/>
      <c r="H291" s="20" t="inlineStr"/>
      <c r="I291" s="22" t="inlineStr">
        <is>
          <t>CARLOS HENRIQUE CARDOSO TEIXEIRA DE ALBUQUERQUE FERREIRA</t>
        </is>
      </c>
      <c r="J291" s="23" t="inlineStr">
        <is>
          <t>Sócio-Administrador (RFB partner)</t>
        </is>
      </c>
      <c r="K291" s="22" t="inlineStr">
        <is>
          <t>(11) 2782-3200</t>
        </is>
      </c>
      <c r="L291" s="22" t="inlineStr"/>
      <c r="M291" s="22" t="inlineStr"/>
      <c r="N291" s="22" t="inlineStr"/>
      <c r="O291" s="22" t="inlineStr"/>
      <c r="P291" s="22" t="inlineStr">
        <is>
          <t>Carlos Ferreira</t>
        </is>
      </c>
      <c r="Q291" s="22" t="inlineStr">
        <is>
          <t>Commercial</t>
        </is>
      </c>
      <c r="R291" s="22" t="inlineStr"/>
      <c r="S291" s="22" t="inlineStr">
        <is>
          <t>carlos@alphamarktec.com.br</t>
        </is>
      </c>
      <c r="T291" s="22" t="inlineStr">
        <is>
          <t>DM = registered partner (RFB QSA); Apollo pick demoted to backup (non-finance role); BACKUP: weak, has_email, phone Yes</t>
        </is>
      </c>
      <c r="U291" s="24" t="n">
        <v>368324.26</v>
      </c>
      <c r="V291" s="25" t="inlineStr">
        <is>
          <t>B</t>
        </is>
      </c>
      <c r="W291" s="26" t="inlineStr"/>
      <c r="X291" s="27" t="inlineStr"/>
      <c r="Y291" s="27" t="inlineStr"/>
      <c r="Z291" s="26">
        <f>IF(W291&lt;&gt;"",W291,IFERROR(VLOOKUP(V291,Assumptions!$A$8:$F$12,2,FALSE),0))</f>
        <v/>
      </c>
      <c r="AA291" s="28">
        <f>IF(V291="A",MAX(1,IF(X291&lt;&gt;"",X291,IFERROR(VLOOKUP(V291,Assumptions!$A$8:$F$12,3,FALSE),3))+IF(Y291&lt;&gt;"",Y291,IFERROR(VLOOKUP(V291,Assumptions!$A$8:$F$12,4,FALSE),8))/2-MAX(0,IF(AS291="",0,YEAR(TODAY())-AS291)-IFERROR(VLOOKUP(V291,Assumptions!$A$8:$F$12,5,FALSE),1.5))),IFERROR(VLOOKUP(V291,Assumptions!$A$8:$F$12,5,FALSE),2.5)+IF(X291&lt;&gt;"",X291,IFERROR(VLOOKUP(V291,Assumptions!$A$8:$F$12,3,FALSE),3))+IF(Y291&lt;&gt;"",Y291,IFERROR(VLOOKUP(V291,Assumptions!$A$8:$F$12,4,FALSE),8))/2)</f>
        <v/>
      </c>
      <c r="AB291" s="24">
        <f>U291*Z291/(1+Assumptions!$B$3)^AA291</f>
        <v/>
      </c>
      <c r="AC291" s="27">
        <f>IF(U291=0,"",ROUND(AB291/U291*100,1))</f>
        <v/>
      </c>
      <c r="AD291" s="29">
        <f>AB291*Assumptions!$B$4</f>
        <v/>
      </c>
      <c r="AE291" s="27">
        <f>IF(U291=0,"",ROUND(AD291/U291*100,1))</f>
        <v/>
      </c>
      <c r="AF291" s="29">
        <f>AB291-AD291</f>
        <v/>
      </c>
      <c r="AG291" s="27">
        <f>IF(U291=0,"",ROUND((AB291-AD291)/U291*100,1))</f>
        <v/>
      </c>
      <c r="AH291" s="30" t="inlineStr">
        <is>
          <t>OK — totals reconciled</t>
        </is>
      </c>
      <c r="AI291" s="31" t="inlineStr">
        <is>
          <t>https://scalzilliaj.com.br/sgc/download.php?file=files/processo_documento/processo_documento09514021082025_1_.pdf&amp;nome=04 - Relação de credores das Recuperandas</t>
        </is>
      </c>
      <c r="AJ291" s="30" t="inlineStr">
        <is>
          <t>p62 r3</t>
        </is>
      </c>
      <c r="AK291" s="30" t="inlineStr">
        <is>
          <t>p62: R$ 368.324,26</t>
        </is>
      </c>
      <c r="AL291" s="30" t="inlineStr">
        <is>
          <t>Debtor list (art. 51)</t>
        </is>
      </c>
      <c r="AM291" s="30" t="inlineStr"/>
      <c r="AN291" s="30" t="inlineStr">
        <is>
          <t>NONE FOUND</t>
        </is>
      </c>
      <c r="AO291" s="32" t="inlineStr">
        <is>
          <t>5088952-81.2025.8.13.0024</t>
        </is>
      </c>
      <c r="AP291" s="32" t="inlineStr">
        <is>
          <t>TJMG</t>
        </is>
      </c>
      <c r="AQ291" s="32" t="inlineStr"/>
      <c r="AR291" s="32" t="inlineStr">
        <is>
          <t>DataJud: no closure/falência movement</t>
        </is>
      </c>
      <c r="AS291" s="32" t="n">
        <v>2025</v>
      </c>
      <c r="AT291" s="32" t="inlineStr">
        <is>
          <t>live case, no plan document yet; case no. from the portal record, not printed on the list</t>
        </is>
      </c>
      <c r="AU291" s="32" t="inlineStr"/>
      <c r="AV291" s="32" t="inlineStr">
        <is>
          <t>portal page title / URL — not printed on the list</t>
        </is>
      </c>
      <c r="AW291" s="32" t="inlineStr"/>
      <c r="AX291" s="32" t="inlineStr">
        <is>
          <t>SAO PAULO</t>
        </is>
      </c>
      <c r="AY291" s="32" t="inlineStr">
        <is>
          <t>SP</t>
        </is>
      </c>
      <c r="AZ291" s="32" t="inlineStr">
        <is>
          <t>Comércio atacadista de material elétrico</t>
        </is>
      </c>
      <c r="BA291" s="32" t="inlineStr">
        <is>
          <t>não ME/EPP</t>
        </is>
      </c>
      <c r="BB291" s="33" t="n">
        <v>958000</v>
      </c>
      <c r="BC291" s="32" t="inlineStr">
        <is>
          <t>MID-MARKET</t>
        </is>
      </c>
      <c r="BD291" s="32" t="inlineStr">
        <is>
          <t>59274316</t>
        </is>
      </c>
      <c r="BE291" s="32" t="n">
        <v>1</v>
      </c>
      <c r="BF291" s="32" t="inlineStr">
        <is>
          <t>case no. corrected by reader case no. from portal record</t>
        </is>
      </c>
    </row>
    <row r="292">
      <c r="A292" s="17" t="inlineStr">
        <is>
          <t>INDUSTRIA QUIMICA ANASTACIO S A</t>
        </is>
      </c>
      <c r="B292" s="18" t="n">
        <v>367145.2</v>
      </c>
      <c r="C292" s="37" t="inlineStr">
        <is>
          <t>(debtor not identified — see proof)</t>
        </is>
      </c>
      <c r="D292" s="20" t="inlineStr">
        <is>
          <t>NEW</t>
        </is>
      </c>
      <c r="E292" s="21" t="inlineStr"/>
      <c r="F292" s="20" t="inlineStr"/>
      <c r="G292" s="21" t="inlineStr"/>
      <c r="H292" s="20" t="inlineStr"/>
      <c r="I292" s="22" t="inlineStr">
        <is>
          <t>Rafael Kaufman</t>
        </is>
      </c>
      <c r="J292" s="22" t="inlineStr">
        <is>
          <t>Treasury Manager</t>
        </is>
      </c>
      <c r="K292" s="22" t="inlineStr">
        <is>
          <t>(11) 2133-6600</t>
        </is>
      </c>
      <c r="L292" s="22" t="inlineStr"/>
      <c r="M292" s="22" t="inlineStr"/>
      <c r="N292" s="22" t="inlineStr">
        <is>
          <t>rafael.kaufman@anastacio.com</t>
        </is>
      </c>
      <c r="O292" s="22" t="inlineStr">
        <is>
          <t>verified</t>
        </is>
      </c>
      <c r="P292" s="22" t="inlineStr">
        <is>
          <t>JAN FELIX KRUEDER</t>
        </is>
      </c>
      <c r="Q292" s="22" t="inlineStr">
        <is>
          <t>Presidente (RFB partner)</t>
        </is>
      </c>
      <c r="R292" s="22" t="inlineStr"/>
      <c r="S292" s="22" t="inlineStr"/>
      <c r="T292" s="22" t="inlineStr">
        <is>
          <t>DM: has_email, phone Yes</t>
        </is>
      </c>
      <c r="U292" s="24" t="n">
        <v>367145.2</v>
      </c>
      <c r="V292" s="25" t="inlineStr">
        <is>
          <t>B</t>
        </is>
      </c>
      <c r="W292" s="26" t="inlineStr"/>
      <c r="X292" s="27" t="inlineStr"/>
      <c r="Y292" s="27" t="inlineStr"/>
      <c r="Z292" s="26">
        <f>IF(W292&lt;&gt;"",W292,IFERROR(VLOOKUP(V292,Assumptions!$A$8:$F$12,2,FALSE),0))</f>
        <v/>
      </c>
      <c r="AA292" s="28">
        <f>IF(V292="A",MAX(1,IF(X292&lt;&gt;"",X292,IFERROR(VLOOKUP(V292,Assumptions!$A$8:$F$12,3,FALSE),3))+IF(Y292&lt;&gt;"",Y292,IFERROR(VLOOKUP(V292,Assumptions!$A$8:$F$12,4,FALSE),8))/2-MAX(0,IF(AS292="",0,YEAR(TODAY())-AS292)-IFERROR(VLOOKUP(V292,Assumptions!$A$8:$F$12,5,FALSE),1.5))),IFERROR(VLOOKUP(V292,Assumptions!$A$8:$F$12,5,FALSE),2.5)+IF(X292&lt;&gt;"",X292,IFERROR(VLOOKUP(V292,Assumptions!$A$8:$F$12,3,FALSE),3))+IF(Y292&lt;&gt;"",Y292,IFERROR(VLOOKUP(V292,Assumptions!$A$8:$F$12,4,FALSE),8))/2)</f>
        <v/>
      </c>
      <c r="AB292" s="24">
        <f>U292*Z292/(1+Assumptions!$B$3)^AA292</f>
        <v/>
      </c>
      <c r="AC292" s="27">
        <f>IF(U292=0,"",ROUND(AB292/U292*100,1))</f>
        <v/>
      </c>
      <c r="AD292" s="29">
        <f>AB292*Assumptions!$B$4</f>
        <v/>
      </c>
      <c r="AE292" s="27">
        <f>IF(U292=0,"",ROUND(AD292/U292*100,1))</f>
        <v/>
      </c>
      <c r="AF292" s="29">
        <f>AB292-AD292</f>
        <v/>
      </c>
      <c r="AG292" s="27">
        <f>IF(U292=0,"",ROUND((AB292-AD292)/U292*100,1))</f>
        <v/>
      </c>
      <c r="AH292" s="30" t="inlineStr">
        <is>
          <t>OK — totals reconciled</t>
        </is>
      </c>
      <c r="AI292" s="31" t="inlineStr">
        <is>
          <t>https://ajruiz.com.br/sites/default/files/public/arquivos-processos/2024-04/relacao_de_credores_recuperanda_1.pdf</t>
        </is>
      </c>
      <c r="AJ292" s="30" t="inlineStr">
        <is>
          <t>p6 r4; p6 r5; p6 r6</t>
        </is>
      </c>
      <c r="AK292" s="30" t="inlineStr">
        <is>
          <t>[rows shown ≠ face] p6: R$ 193.593,75; p6: R$ 193.593,75; p6: R$ 173.551,45</t>
        </is>
      </c>
      <c r="AL292" s="30" t="inlineStr">
        <is>
          <t>QGC (art. 18)</t>
        </is>
      </c>
      <c r="AM292" s="30" t="inlineStr">
        <is>
          <t>2024-01-31</t>
        </is>
      </c>
      <c r="AN292" s="30" t="inlineStr">
        <is>
          <t>NONE FOUND</t>
        </is>
      </c>
      <c r="AO292" s="32" t="inlineStr">
        <is>
          <t>1022634-27.2024.8.26.0100</t>
        </is>
      </c>
      <c r="AP292" s="32" t="inlineStr">
        <is>
          <t>TJSP</t>
        </is>
      </c>
      <c r="AQ292" s="32" t="inlineStr"/>
      <c r="AR292" s="32" t="inlineStr">
        <is>
          <t>not in DataJud</t>
        </is>
      </c>
      <c r="AS292" s="32" t="n">
        <v>2024</v>
      </c>
      <c r="AT292" s="32" t="inlineStr">
        <is>
          <t>live case, no plan document yet; case no. from the portal record, not printed on the list</t>
        </is>
      </c>
      <c r="AU292" s="32" t="inlineStr"/>
      <c r="AV292" s="32" t="inlineStr">
        <is>
          <t>not identified</t>
        </is>
      </c>
      <c r="AW292" s="32" t="inlineStr"/>
      <c r="AX292" s="32" t="inlineStr">
        <is>
          <t>SAO PAULO</t>
        </is>
      </c>
      <c r="AY292" s="32" t="inlineStr">
        <is>
          <t>SP</t>
        </is>
      </c>
      <c r="AZ292" s="32" t="inlineStr">
        <is>
          <t>Fabricação de produtos químicos orgânicos não especificados anteriormente</t>
        </is>
      </c>
      <c r="BA292" s="32" t="inlineStr">
        <is>
          <t>não ME/EPP</t>
        </is>
      </c>
      <c r="BB292" s="33" t="n">
        <v>200000000</v>
      </c>
      <c r="BC292" s="32" t="inlineStr">
        <is>
          <t>MID-MARKET</t>
        </is>
      </c>
      <c r="BD292" s="32" t="inlineStr">
        <is>
          <t>60874724</t>
        </is>
      </c>
      <c r="BE292" s="32" t="n">
        <v>2</v>
      </c>
      <c r="BF292" s="32" t="inlineStr">
        <is>
          <t>case no. corrected by reader</t>
        </is>
      </c>
    </row>
    <row r="293">
      <c r="A293" s="17" t="inlineStr">
        <is>
          <t>LEV TERMOPLASTICOS LTDA</t>
        </is>
      </c>
      <c r="B293" s="18" t="n">
        <v>362990.37</v>
      </c>
      <c r="C293" s="37" t="inlineStr">
        <is>
          <t>(debtor not identified — see proof)</t>
        </is>
      </c>
      <c r="D293" s="20" t="inlineStr">
        <is>
          <t>NEW</t>
        </is>
      </c>
      <c r="E293" s="21" t="inlineStr"/>
      <c r="F293" s="20" t="inlineStr"/>
      <c r="G293" s="21" t="inlineStr"/>
      <c r="H293" s="20" t="inlineStr"/>
      <c r="I293" s="22" t="inlineStr">
        <is>
          <t>Linda Hindi</t>
        </is>
      </c>
      <c r="J293" s="22" t="inlineStr">
        <is>
          <t>Financial Manager</t>
        </is>
      </c>
      <c r="K293" s="22" t="inlineStr">
        <is>
          <t>(37) 3231-0200</t>
        </is>
      </c>
      <c r="L293" s="22" t="inlineStr">
        <is>
          <t>(37) 3231-0210</t>
        </is>
      </c>
      <c r="M293" s="22" t="inlineStr"/>
      <c r="N293" s="22" t="inlineStr">
        <is>
          <t>linda@levterm.com.br</t>
        </is>
      </c>
      <c r="O293" s="22" t="inlineStr">
        <is>
          <t>verified</t>
        </is>
      </c>
      <c r="P293" s="22" t="inlineStr">
        <is>
          <t>Liliane Trindade</t>
        </is>
      </c>
      <c r="Q293" s="22" t="inlineStr">
        <is>
          <t>Gerente de Compras e Negocios Internacionais</t>
        </is>
      </c>
      <c r="R293" s="22" t="inlineStr"/>
      <c r="S293" s="22" t="inlineStr">
        <is>
          <t>liliane@levterm.com.br</t>
        </is>
      </c>
      <c r="T293" s="22" t="inlineStr">
        <is>
          <t>DM: has_email, phone Yes; BACKUP: backup, has_email, phone Yes</t>
        </is>
      </c>
      <c r="U293" s="24" t="n">
        <v>362990.37</v>
      </c>
      <c r="V293" s="25" t="inlineStr">
        <is>
          <t>B</t>
        </is>
      </c>
      <c r="W293" s="26" t="inlineStr"/>
      <c r="X293" s="27" t="inlineStr"/>
      <c r="Y293" s="27" t="inlineStr"/>
      <c r="Z293" s="26">
        <f>IF(W293&lt;&gt;"",W293,IFERROR(VLOOKUP(V293,Assumptions!$A$8:$F$12,2,FALSE),0))</f>
        <v/>
      </c>
      <c r="AA293" s="28">
        <f>IF(V293="A",MAX(1,IF(X293&lt;&gt;"",X293,IFERROR(VLOOKUP(V293,Assumptions!$A$8:$F$12,3,FALSE),3))+IF(Y293&lt;&gt;"",Y293,IFERROR(VLOOKUP(V293,Assumptions!$A$8:$F$12,4,FALSE),8))/2-MAX(0,IF(AS293="",0,YEAR(TODAY())-AS293)-IFERROR(VLOOKUP(V293,Assumptions!$A$8:$F$12,5,FALSE),1.5))),IFERROR(VLOOKUP(V293,Assumptions!$A$8:$F$12,5,FALSE),2.5)+IF(X293&lt;&gt;"",X293,IFERROR(VLOOKUP(V293,Assumptions!$A$8:$F$12,3,FALSE),3))+IF(Y293&lt;&gt;"",Y293,IFERROR(VLOOKUP(V293,Assumptions!$A$8:$F$12,4,FALSE),8))/2)</f>
        <v/>
      </c>
      <c r="AB293" s="24">
        <f>U293*Z293/(1+Assumptions!$B$3)^AA293</f>
        <v/>
      </c>
      <c r="AC293" s="27">
        <f>IF(U293=0,"",ROUND(AB293/U293*100,1))</f>
        <v/>
      </c>
      <c r="AD293" s="29">
        <f>AB293*Assumptions!$B$4</f>
        <v/>
      </c>
      <c r="AE293" s="27">
        <f>IF(U293=0,"",ROUND(AD293/U293*100,1))</f>
        <v/>
      </c>
      <c r="AF293" s="29">
        <f>AB293-AD293</f>
        <v/>
      </c>
      <c r="AG293" s="27">
        <f>IF(U293=0,"",ROUND((AB293-AD293)/U293*100,1))</f>
        <v/>
      </c>
      <c r="AH293" s="30" t="inlineStr">
        <is>
          <t>OK — totals reconciled</t>
        </is>
      </c>
      <c r="AI293" s="31" t="inlineStr">
        <is>
          <t>https://ajruiz.com.br/sites/default/files/public/arquivos-processos/2024-04/relacao_de_credores_recuperanda_1.pdf</t>
        </is>
      </c>
      <c r="AJ293" s="30" t="inlineStr">
        <is>
          <t>p7 r5; p7 r6; p7 r7; p7 r8; p7 r9; p7 r10; p7 r11; p7 r12</t>
        </is>
      </c>
      <c r="AK293" s="30" t="inlineStr">
        <is>
          <t>[rows shown ≠ face] p7: R$ 64.799,70; p7: R$ 53.607,40; p7: R$ 129.599,40; p7: R$ 129.599,40; p7: R$ 129.599,40; p7: R$ 97.199,55; p7: R$ 6.984,36; p7: R$ 10.799,96</t>
        </is>
      </c>
      <c r="AL293" s="30" t="inlineStr">
        <is>
          <t>QGC (art. 18)</t>
        </is>
      </c>
      <c r="AM293" s="30" t="inlineStr">
        <is>
          <t>2024-01-31</t>
        </is>
      </c>
      <c r="AN293" s="30" t="inlineStr">
        <is>
          <t>NONE FOUND</t>
        </is>
      </c>
      <c r="AO293" s="32" t="inlineStr">
        <is>
          <t>1022634-27.2024.8.26.0100</t>
        </is>
      </c>
      <c r="AP293" s="32" t="inlineStr">
        <is>
          <t>TJSP</t>
        </is>
      </c>
      <c r="AQ293" s="32" t="inlineStr"/>
      <c r="AR293" s="32" t="inlineStr">
        <is>
          <t>not in DataJud</t>
        </is>
      </c>
      <c r="AS293" s="32" t="n">
        <v>2024</v>
      </c>
      <c r="AT293" s="32" t="inlineStr">
        <is>
          <t>live case, no plan document yet; case no. from the portal record, not printed on the list</t>
        </is>
      </c>
      <c r="AU293" s="32" t="inlineStr"/>
      <c r="AV293" s="32" t="inlineStr">
        <is>
          <t>not identified</t>
        </is>
      </c>
      <c r="AW293" s="32" t="inlineStr"/>
      <c r="AX293" s="32" t="inlineStr">
        <is>
          <t>PARA DE MINAS</t>
        </is>
      </c>
      <c r="AY293" s="32" t="inlineStr">
        <is>
          <t>MG</t>
        </is>
      </c>
      <c r="AZ293" s="32" t="inlineStr">
        <is>
          <t>Fabricação de artefatos de borracha não especificados anteriormente</t>
        </is>
      </c>
      <c r="BA293" s="32" t="inlineStr">
        <is>
          <t>não ME/EPP</t>
        </is>
      </c>
      <c r="BB293" s="33" t="n">
        <v>100000000</v>
      </c>
      <c r="BC293" s="32" t="inlineStr">
        <is>
          <t>MID-MARKET</t>
        </is>
      </c>
      <c r="BD293" s="32" t="inlineStr">
        <is>
          <t>05936089</t>
        </is>
      </c>
      <c r="BE293" s="32" t="n">
        <v>6</v>
      </c>
      <c r="BF293" s="32" t="inlineStr">
        <is>
          <t>case no. corrected by reader</t>
        </is>
      </c>
    </row>
    <row r="294">
      <c r="A294" s="17" t="inlineStr">
        <is>
          <t>AIRELA INDUSTRIA FARMACEUTICA LTDA</t>
        </is>
      </c>
      <c r="B294" s="18" t="n">
        <v>362247.54</v>
      </c>
      <c r="C294" s="19" t="inlineStr">
        <is>
          <t>GRUPO DP4</t>
        </is>
      </c>
      <c r="D294" s="20" t="inlineStr">
        <is>
          <t>NEW</t>
        </is>
      </c>
      <c r="E294" s="21" t="inlineStr"/>
      <c r="F294" s="20" t="inlineStr"/>
      <c r="G294" s="21" t="inlineStr"/>
      <c r="H294" s="20" t="inlineStr"/>
      <c r="I294" s="22" t="inlineStr">
        <is>
          <t>ADROALDO MACHADO</t>
        </is>
      </c>
      <c r="J294" s="23" t="inlineStr">
        <is>
          <t>Administrador (RFB partner)</t>
        </is>
      </c>
      <c r="K294" s="22" t="inlineStr">
        <is>
          <t>(48) 3659-0304</t>
        </is>
      </c>
      <c r="L294" s="22" t="inlineStr"/>
      <c r="M294" s="22" t="inlineStr"/>
      <c r="N294" s="22" t="inlineStr"/>
      <c r="O294" s="22" t="inlineStr"/>
      <c r="P294" s="22" t="inlineStr">
        <is>
          <t>MARCONI TRINDADE SAMPAIO</t>
        </is>
      </c>
      <c r="Q294" s="22" t="inlineStr">
        <is>
          <t>Administrador (RFB partner)</t>
        </is>
      </c>
      <c r="R294" s="22" t="inlineStr"/>
      <c r="S294" s="22" t="inlineStr"/>
      <c r="T294" s="22" t="inlineStr">
        <is>
          <t>DM = registered partner (RFB QSA); no Apollo match</t>
        </is>
      </c>
      <c r="U294" s="24" t="n">
        <v>362247.54</v>
      </c>
      <c r="V294" s="25" t="inlineStr">
        <is>
          <t>B</t>
        </is>
      </c>
      <c r="W294" s="26" t="inlineStr"/>
      <c r="X294" s="27" t="inlineStr"/>
      <c r="Y294" s="27" t="inlineStr"/>
      <c r="Z294" s="26">
        <f>IF(W294&lt;&gt;"",W294,IFERROR(VLOOKUP(V294,Assumptions!$A$8:$F$12,2,FALSE),0))</f>
        <v/>
      </c>
      <c r="AA294" s="28">
        <f>IF(V294="A",MAX(1,IF(X294&lt;&gt;"",X294,IFERROR(VLOOKUP(V294,Assumptions!$A$8:$F$12,3,FALSE),3))+IF(Y294&lt;&gt;"",Y294,IFERROR(VLOOKUP(V294,Assumptions!$A$8:$F$12,4,FALSE),8))/2-MAX(0,IF(AS294="",0,YEAR(TODAY())-AS294)-IFERROR(VLOOKUP(V294,Assumptions!$A$8:$F$12,5,FALSE),1.5))),IFERROR(VLOOKUP(V294,Assumptions!$A$8:$F$12,5,FALSE),2.5)+IF(X294&lt;&gt;"",X294,IFERROR(VLOOKUP(V294,Assumptions!$A$8:$F$12,3,FALSE),3))+IF(Y294&lt;&gt;"",Y294,IFERROR(VLOOKUP(V294,Assumptions!$A$8:$F$12,4,FALSE),8))/2)</f>
        <v/>
      </c>
      <c r="AB294" s="24">
        <f>U294*Z294/(1+Assumptions!$B$3)^AA294</f>
        <v/>
      </c>
      <c r="AC294" s="27">
        <f>IF(U294=0,"",ROUND(AB294/U294*100,1))</f>
        <v/>
      </c>
      <c r="AD294" s="29">
        <f>AB294*Assumptions!$B$4</f>
        <v/>
      </c>
      <c r="AE294" s="27">
        <f>IF(U294=0,"",ROUND(AD294/U294*100,1))</f>
        <v/>
      </c>
      <c r="AF294" s="29">
        <f>AB294-AD294</f>
        <v/>
      </c>
      <c r="AG294" s="27">
        <f>IF(U294=0,"",ROUND((AB294-AD294)/U294*100,1))</f>
        <v/>
      </c>
      <c r="AH294" s="35" t="inlineStr">
        <is>
          <t>PARTIAL — class III reconciled, other classes not</t>
        </is>
      </c>
      <c r="AI294" s="31" t="inlineStr">
        <is>
          <t>https://marquesadmjudicial.com.br/sgc/download.php?file=files/processo_documento/processo_documento15293208032024_1_.pdf&amp;nome=Relação Nominal de Credores da AJ-Sintética</t>
        </is>
      </c>
      <c r="AJ294" s="30" t="inlineStr">
        <is>
          <t>p19 r7</t>
        </is>
      </c>
      <c r="AK294" s="30" t="inlineStr">
        <is>
          <t>p19: R$ 362.247,54</t>
        </is>
      </c>
      <c r="AL294" s="30" t="inlineStr">
        <is>
          <t>AJ list (art. 7 §2)</t>
        </is>
      </c>
      <c r="AM294" s="30" t="inlineStr">
        <is>
          <t>2023-03-02</t>
        </is>
      </c>
      <c r="AN294" s="30" t="inlineStr">
        <is>
          <t>NONE FOUND</t>
        </is>
      </c>
      <c r="AO294" s="32" t="inlineStr">
        <is>
          <t>0005010-98.2023.8.16.0001</t>
        </is>
      </c>
      <c r="AP294" s="32" t="inlineStr">
        <is>
          <t>TJPR</t>
        </is>
      </c>
      <c r="AQ294" s="32" t="inlineStr">
        <is>
          <t>Recuperação judicial</t>
        </is>
      </c>
      <c r="AR294" s="32" t="inlineStr">
        <is>
          <t>DataJud: no closure/falência movement</t>
        </is>
      </c>
      <c r="AS294" s="32" t="n">
        <v>2023</v>
      </c>
      <c r="AT294" s="32" t="inlineStr">
        <is>
          <t>live case, no plan document yet</t>
        </is>
      </c>
      <c r="AU294" s="32" t="inlineStr"/>
      <c r="AV294" s="32" t="inlineStr">
        <is>
          <t>printed on the list (read twice)</t>
        </is>
      </c>
      <c r="AW294" s="32" t="inlineStr"/>
      <c r="AX294" s="32" t="inlineStr">
        <is>
          <t>PEDRAS GRANDES</t>
        </is>
      </c>
      <c r="AY294" s="32" t="inlineStr">
        <is>
          <t>SC</t>
        </is>
      </c>
      <c r="AZ294" s="32" t="inlineStr">
        <is>
          <t>Fabricação de medicamentos alopáticos para uso humano</t>
        </is>
      </c>
      <c r="BA294" s="32" t="inlineStr">
        <is>
          <t>não ME/EPP</t>
        </is>
      </c>
      <c r="BB294" s="33" t="n">
        <v>131936480</v>
      </c>
      <c r="BC294" s="32" t="inlineStr">
        <is>
          <t>MID-MARKET</t>
        </is>
      </c>
      <c r="BD294" s="32" t="inlineStr">
        <is>
          <t>01858973</t>
        </is>
      </c>
      <c r="BE294" s="32" t="n">
        <v>1</v>
      </c>
      <c r="BF294" s="32" t="inlineStr">
        <is>
          <t>class III reconciled (doc partial)</t>
        </is>
      </c>
    </row>
    <row r="295">
      <c r="A295" s="17" t="inlineStr">
        <is>
          <t>METALURGICA FEY LTDA</t>
        </is>
      </c>
      <c r="B295" s="18" t="n">
        <v>360769.13</v>
      </c>
      <c r="C295" s="19" t="inlineStr">
        <is>
          <t>Grupo Rech</t>
        </is>
      </c>
      <c r="D295" s="20" t="inlineStr">
        <is>
          <t>NEW</t>
        </is>
      </c>
      <c r="E295" s="21" t="inlineStr"/>
      <c r="F295" s="20" t="inlineStr"/>
      <c r="G295" s="21" t="inlineStr"/>
      <c r="H295" s="20" t="inlineStr"/>
      <c r="I295" s="22" t="inlineStr">
        <is>
          <t>ADOLFO FEY</t>
        </is>
      </c>
      <c r="J295" s="23" t="inlineStr">
        <is>
          <t>Sócio-Administrador (RFB partner)</t>
        </is>
      </c>
      <c r="K295" s="22" t="inlineStr">
        <is>
          <t>(47) 3301-7000</t>
        </is>
      </c>
      <c r="L295" s="22" t="inlineStr"/>
      <c r="M295" s="22" t="inlineStr"/>
      <c r="N295" s="22" t="inlineStr"/>
      <c r="O295" s="22" t="inlineStr"/>
      <c r="P295" s="22" t="inlineStr">
        <is>
          <t>BERTOLDO FEY</t>
        </is>
      </c>
      <c r="Q295" s="22" t="inlineStr">
        <is>
          <t>Sócio-Administrador (RFB partner)</t>
        </is>
      </c>
      <c r="R295" s="22" t="inlineStr"/>
      <c r="S295" s="22" t="inlineStr"/>
      <c r="T295" s="22" t="inlineStr">
        <is>
          <t>DM = registered partner (RFB QSA); no Apollo match</t>
        </is>
      </c>
      <c r="U295" s="24" t="n">
        <v>360769.13</v>
      </c>
      <c r="V295" s="25" t="inlineStr">
        <is>
          <t>B</t>
        </is>
      </c>
      <c r="W295" s="26" t="inlineStr"/>
      <c r="X295" s="27" t="inlineStr"/>
      <c r="Y295" s="27" t="inlineStr"/>
      <c r="Z295" s="26">
        <f>IF(W295&lt;&gt;"",W295,IFERROR(VLOOKUP(V295,Assumptions!$A$8:$F$12,2,FALSE),0))</f>
        <v/>
      </c>
      <c r="AA295" s="28">
        <f>IF(V295="A",MAX(1,IF(X295&lt;&gt;"",X295,IFERROR(VLOOKUP(V295,Assumptions!$A$8:$F$12,3,FALSE),3))+IF(Y295&lt;&gt;"",Y295,IFERROR(VLOOKUP(V295,Assumptions!$A$8:$F$12,4,FALSE),8))/2-MAX(0,IF(AS295="",0,YEAR(TODAY())-AS295)-IFERROR(VLOOKUP(V295,Assumptions!$A$8:$F$12,5,FALSE),1.5))),IFERROR(VLOOKUP(V295,Assumptions!$A$8:$F$12,5,FALSE),2.5)+IF(X295&lt;&gt;"",X295,IFERROR(VLOOKUP(V295,Assumptions!$A$8:$F$12,3,FALSE),3))+IF(Y295&lt;&gt;"",Y295,IFERROR(VLOOKUP(V295,Assumptions!$A$8:$F$12,4,FALSE),8))/2)</f>
        <v/>
      </c>
      <c r="AB295" s="24">
        <f>U295*Z295/(1+Assumptions!$B$3)^AA295</f>
        <v/>
      </c>
      <c r="AC295" s="27">
        <f>IF(U295=0,"",ROUND(AB295/U295*100,1))</f>
        <v/>
      </c>
      <c r="AD295" s="29">
        <f>AB295*Assumptions!$B$4</f>
        <v/>
      </c>
      <c r="AE295" s="27">
        <f>IF(U295=0,"",ROUND(AD295/U295*100,1))</f>
        <v/>
      </c>
      <c r="AF295" s="29">
        <f>AB295-AD295</f>
        <v/>
      </c>
      <c r="AG295" s="27">
        <f>IF(U295=0,"",ROUND((AB295-AD295)/U295*100,1))</f>
        <v/>
      </c>
      <c r="AH295" s="36" t="inlineStr">
        <is>
          <t>CHECK — source is not a statutory creditor list</t>
        </is>
      </c>
      <c r="AI295" s="31" t="inlineStr">
        <is>
          <t>https://credibilita.com.br/wp-content/uploads/2025/09/Relacao-Credores-29.04.2026.pdf</t>
        </is>
      </c>
      <c r="AJ295" s="30" t="inlineStr">
        <is>
          <t>p2 r5</t>
        </is>
      </c>
      <c r="AK295" s="30" t="inlineStr">
        <is>
          <t>p2: R$ 360.769,13</t>
        </is>
      </c>
      <c r="AL295" s="30" t="inlineStr">
        <is>
          <t>Quorum list — NOT an art. 7/51 list</t>
        </is>
      </c>
      <c r="AM295" s="30" t="inlineStr"/>
      <c r="AN295" s="30" t="inlineStr">
        <is>
          <t>NONE FOUND</t>
        </is>
      </c>
      <c r="AO295" s="32" t="inlineStr">
        <is>
          <t>5057720-48.2025.8.24.0023</t>
        </is>
      </c>
      <c r="AP295" s="32" t="inlineStr">
        <is>
          <t>TJSC</t>
        </is>
      </c>
      <c r="AQ295" s="32" t="inlineStr"/>
      <c r="AR295" s="32" t="inlineStr">
        <is>
          <t>not in DataJud</t>
        </is>
      </c>
      <c r="AS295" s="32" t="n">
        <v>2025</v>
      </c>
      <c r="AT295" s="32" t="inlineStr">
        <is>
          <t>live case, no plan document yet; case no. from the portal record, not printed on the list</t>
        </is>
      </c>
      <c r="AU295" s="32" t="inlineStr"/>
      <c r="AV295" s="32" t="inlineStr">
        <is>
          <t>portal page title / URL — not printed on the list</t>
        </is>
      </c>
      <c r="AW295" s="32" t="inlineStr"/>
      <c r="AX295" s="32" t="inlineStr">
        <is>
          <t>INDAIAL</t>
        </is>
      </c>
      <c r="AY295" s="32" t="inlineStr">
        <is>
          <t>SC</t>
        </is>
      </c>
      <c r="AZ295" s="32" t="inlineStr">
        <is>
          <t>Fabricação de outras peças e acessórios para veículos automotores não especificadas anteriormente</t>
        </is>
      </c>
      <c r="BA295" s="32" t="inlineStr">
        <is>
          <t>não ME/EPP</t>
        </is>
      </c>
      <c r="BB295" s="33" t="n">
        <v>386000000</v>
      </c>
      <c r="BC295" s="32" t="inlineStr">
        <is>
          <t>MID-MARKET</t>
        </is>
      </c>
      <c r="BD295" s="32" t="inlineStr">
        <is>
          <t>84229624</t>
        </is>
      </c>
      <c r="BE295" s="32" t="n">
        <v>1</v>
      </c>
      <c r="BF295" s="32" t="inlineStr">
        <is>
          <t>list prints no totals case no. corrected by reader</t>
        </is>
      </c>
    </row>
    <row r="296">
      <c r="A296" s="17" t="inlineStr">
        <is>
          <t>TRR PEGORARO LTDA</t>
        </is>
      </c>
      <c r="B296" s="18" t="n">
        <v>358250</v>
      </c>
      <c r="C296" s="19" t="inlineStr">
        <is>
          <t>GRUPO D&amp;D</t>
        </is>
      </c>
      <c r="D296" s="20" t="inlineStr">
        <is>
          <t>NEW</t>
        </is>
      </c>
      <c r="E296" s="21" t="inlineStr"/>
      <c r="F296" s="20" t="inlineStr"/>
      <c r="G296" s="21" t="inlineStr"/>
      <c r="H296" s="20" t="inlineStr"/>
      <c r="I296" s="22" t="inlineStr">
        <is>
          <t>DARIO PEGORARO</t>
        </is>
      </c>
      <c r="J296" s="23" t="inlineStr">
        <is>
          <t>Sócio-Administrador (RFB partner)</t>
        </is>
      </c>
      <c r="K296" s="22" t="inlineStr">
        <is>
          <t>(67) 3291-9200</t>
        </is>
      </c>
      <c r="L296" s="22" t="inlineStr">
        <is>
          <t>(67) 3291-9232</t>
        </is>
      </c>
      <c r="M296" s="22" t="inlineStr"/>
      <c r="N296" s="22" t="inlineStr"/>
      <c r="O296" s="22" t="inlineStr"/>
      <c r="P296" s="22" t="inlineStr">
        <is>
          <t>DARLON PEGORARO</t>
        </is>
      </c>
      <c r="Q296" s="22" t="inlineStr">
        <is>
          <t>Administrador (RFB partner)</t>
        </is>
      </c>
      <c r="R296" s="22" t="inlineStr"/>
      <c r="S296" s="22" t="inlineStr"/>
      <c r="T296" s="22" t="inlineStr">
        <is>
          <t>DM = registered partner (RFB QSA); no Apollo match</t>
        </is>
      </c>
      <c r="U296" s="24" t="n">
        <v>358250</v>
      </c>
      <c r="V296" s="25" t="inlineStr">
        <is>
          <t>B</t>
        </is>
      </c>
      <c r="W296" s="26" t="inlineStr"/>
      <c r="X296" s="27" t="inlineStr"/>
      <c r="Y296" s="27" t="inlineStr"/>
      <c r="Z296" s="26">
        <f>IF(W296&lt;&gt;"",W296,IFERROR(VLOOKUP(V296,Assumptions!$A$8:$F$12,2,FALSE),0))</f>
        <v/>
      </c>
      <c r="AA296" s="28">
        <f>IF(V296="A",MAX(1,IF(X296&lt;&gt;"",X296,IFERROR(VLOOKUP(V296,Assumptions!$A$8:$F$12,3,FALSE),3))+IF(Y296&lt;&gt;"",Y296,IFERROR(VLOOKUP(V296,Assumptions!$A$8:$F$12,4,FALSE),8))/2-MAX(0,IF(AS296="",0,YEAR(TODAY())-AS296)-IFERROR(VLOOKUP(V296,Assumptions!$A$8:$F$12,5,FALSE),1.5))),IFERROR(VLOOKUP(V296,Assumptions!$A$8:$F$12,5,FALSE),2.5)+IF(X296&lt;&gt;"",X296,IFERROR(VLOOKUP(V296,Assumptions!$A$8:$F$12,3,FALSE),3))+IF(Y296&lt;&gt;"",Y296,IFERROR(VLOOKUP(V296,Assumptions!$A$8:$F$12,4,FALSE),8))/2)</f>
        <v/>
      </c>
      <c r="AB296" s="24">
        <f>U296*Z296/(1+Assumptions!$B$3)^AA296</f>
        <v/>
      </c>
      <c r="AC296" s="27">
        <f>IF(U296=0,"",ROUND(AB296/U296*100,1))</f>
        <v/>
      </c>
      <c r="AD296" s="29">
        <f>AB296*Assumptions!$B$4</f>
        <v/>
      </c>
      <c r="AE296" s="27">
        <f>IF(U296=0,"",ROUND(AD296/U296*100,1))</f>
        <v/>
      </c>
      <c r="AF296" s="29">
        <f>AB296-AD296</f>
        <v/>
      </c>
      <c r="AG296" s="27">
        <f>IF(U296=0,"",ROUND((AB296-AD296)/U296*100,1))</f>
        <v/>
      </c>
      <c r="AH296" s="35" t="inlineStr">
        <is>
          <t>PARTIAL — class III reconciled, other classes not</t>
        </is>
      </c>
      <c r="AI296" s="31" t="inlineStr">
        <is>
          <t>https://marquesadmjudicial.com.br/sgc/download.php?file=files/processo_documento/processo_documento20014127022025_1_.pdf&amp;nome=Relação Nominal de Credores</t>
        </is>
      </c>
      <c r="AJ296" s="30" t="inlineStr">
        <is>
          <t>p6 r5</t>
        </is>
      </c>
      <c r="AK296" s="30" t="inlineStr">
        <is>
          <t>p6: R$ 358.250,00</t>
        </is>
      </c>
      <c r="AL296" s="30" t="inlineStr">
        <is>
          <t>AJ list (art. 7 §2)</t>
        </is>
      </c>
      <c r="AM296" s="30" t="inlineStr">
        <is>
          <t>2024-11-08</t>
        </is>
      </c>
      <c r="AN296" s="30" t="inlineStr">
        <is>
          <t>NONE FOUND</t>
        </is>
      </c>
      <c r="AO296" s="32" t="inlineStr">
        <is>
          <t>0001943-40.2024.8.16.0115</t>
        </is>
      </c>
      <c r="AP296" s="32" t="inlineStr">
        <is>
          <t>TJPR</t>
        </is>
      </c>
      <c r="AQ296" s="32" t="inlineStr">
        <is>
          <t>Recuperação judicial</t>
        </is>
      </c>
      <c r="AR296" s="32" t="inlineStr">
        <is>
          <t>DataJud: no closure/falência movement</t>
        </is>
      </c>
      <c r="AS296" s="32" t="n">
        <v>2024</v>
      </c>
      <c r="AT296" s="32" t="inlineStr">
        <is>
          <t>live case, no plan document yet</t>
        </is>
      </c>
      <c r="AU296" s="32" t="inlineStr"/>
      <c r="AV296" s="32" t="inlineStr">
        <is>
          <t>printed on the list (read twice)</t>
        </is>
      </c>
      <c r="AW296" s="32" t="inlineStr"/>
      <c r="AX296" s="32" t="inlineStr">
        <is>
          <t>COXIM</t>
        </is>
      </c>
      <c r="AY296" s="32" t="inlineStr">
        <is>
          <t>MS</t>
        </is>
      </c>
      <c r="AZ296" s="32" t="inlineStr">
        <is>
          <t>Comércio atacadista de combustíveis realizado por transportador retalhista (T.R.R.)</t>
        </is>
      </c>
      <c r="BA296" s="32" t="inlineStr">
        <is>
          <t>não ME/EPP</t>
        </is>
      </c>
      <c r="BB296" s="33" t="n">
        <v>400000</v>
      </c>
      <c r="BC296" s="32" t="inlineStr">
        <is>
          <t>MID-MARKET</t>
        </is>
      </c>
      <c r="BD296" s="32" t="inlineStr">
        <is>
          <t>17986477</t>
        </is>
      </c>
      <c r="BE296" s="32" t="n">
        <v>1</v>
      </c>
      <c r="BF296" s="32" t="inlineStr">
        <is>
          <t>class III reconciled (doc partial)</t>
        </is>
      </c>
    </row>
    <row r="297">
      <c r="A297" s="17" t="inlineStr">
        <is>
          <t>FLEXIVEL INDUSTRIA E COMERCIO LTDA</t>
        </is>
      </c>
      <c r="B297" s="18" t="n">
        <v>2550639.65</v>
      </c>
      <c r="C297" s="19" t="inlineStr">
        <is>
          <t>Mannes</t>
        </is>
      </c>
      <c r="D297" s="20" t="inlineStr">
        <is>
          <t>NEW</t>
        </is>
      </c>
      <c r="E297" s="21" t="inlineStr"/>
      <c r="F297" s="20" t="inlineStr"/>
      <c r="G297" s="21" t="inlineStr"/>
      <c r="H297" s="20" t="inlineStr"/>
      <c r="I297" s="22" t="inlineStr">
        <is>
          <t>ANGELA VILMA GADOTTI JUNKES</t>
        </is>
      </c>
      <c r="J297" s="23" t="inlineStr">
        <is>
          <t>Administrador (RFB partner)</t>
        </is>
      </c>
      <c r="K297" s="22" t="inlineStr">
        <is>
          <t>(47) 3270-1900</t>
        </is>
      </c>
      <c r="L297" s="22" t="inlineStr"/>
      <c r="M297" s="22" t="inlineStr"/>
      <c r="N297" s="22" t="inlineStr"/>
      <c r="O297" s="22" t="inlineStr"/>
      <c r="P297" s="22" t="inlineStr">
        <is>
          <t>LEODATO CHRISTIANO JUNKES</t>
        </is>
      </c>
      <c r="Q297" s="22" t="inlineStr">
        <is>
          <t>Administrador (RFB partner)</t>
        </is>
      </c>
      <c r="R297" s="22" t="inlineStr"/>
      <c r="S297" s="22" t="inlineStr"/>
      <c r="T297" s="22" t="inlineStr">
        <is>
          <t>DM = registered partner (RFB QSA); no Apollo match</t>
        </is>
      </c>
      <c r="U297" s="24" t="n">
        <v>2550639.65</v>
      </c>
      <c r="V297" s="40" t="inlineStr">
        <is>
          <t>D</t>
        </is>
      </c>
      <c r="W297" s="26" t="inlineStr"/>
      <c r="X297" s="27" t="inlineStr"/>
      <c r="Y297" s="27" t="inlineStr"/>
      <c r="Z297" s="26">
        <f>IF(W297&lt;&gt;"",W297,IFERROR(VLOOKUP(V297,Assumptions!$A$8:$F$12,2,FALSE),0))</f>
        <v/>
      </c>
      <c r="AA297" s="28">
        <f>IF(V297="A",MAX(1,IF(X297&lt;&gt;"",X297,IFERROR(VLOOKUP(V297,Assumptions!$A$8:$F$12,3,FALSE),3))+IF(Y297&lt;&gt;"",Y297,IFERROR(VLOOKUP(V297,Assumptions!$A$8:$F$12,4,FALSE),8))/2-MAX(0,IF(AS297="",0,YEAR(TODAY())-AS297)-IFERROR(VLOOKUP(V297,Assumptions!$A$8:$F$12,5,FALSE),1.5))),IFERROR(VLOOKUP(V297,Assumptions!$A$8:$F$12,5,FALSE),2.5)+IF(X297&lt;&gt;"",X297,IFERROR(VLOOKUP(V297,Assumptions!$A$8:$F$12,3,FALSE),3))+IF(Y297&lt;&gt;"",Y297,IFERROR(VLOOKUP(V297,Assumptions!$A$8:$F$12,4,FALSE),8))/2)</f>
        <v/>
      </c>
      <c r="AB297" s="24">
        <f>U297*Z297/(1+Assumptions!$B$3)^AA297</f>
        <v/>
      </c>
      <c r="AC297" s="27">
        <f>IF(U297=0,"",ROUND(AB297/U297*100,1))</f>
        <v/>
      </c>
      <c r="AD297" s="29">
        <f>AB297*Assumptions!$B$4</f>
        <v/>
      </c>
      <c r="AE297" s="27">
        <f>IF(U297=0,"",ROUND(AD297/U297*100,1))</f>
        <v/>
      </c>
      <c r="AF297" s="29">
        <f>AB297-AD297</f>
        <v/>
      </c>
      <c r="AG297" s="27">
        <f>IF(U297=0,"",ROUND((AB297-AD297)/U297*100,1))</f>
        <v/>
      </c>
      <c r="AH297" s="36" t="inlineStr">
        <is>
          <t>CHECK — source is not a statutory creditor list</t>
        </is>
      </c>
      <c r="AI297" s="31" t="inlineStr">
        <is>
          <t>https://administradorajudicialgs.com.br/wp-content/uploads/2024/12/relacao-de-credores-da-falida.pdf</t>
        </is>
      </c>
      <c r="AJ297" s="30" t="inlineStr">
        <is>
          <t>p14 r49</t>
        </is>
      </c>
      <c r="AK297" s="30" t="inlineStr">
        <is>
          <t>p14: R$ 2.550.639,65</t>
        </is>
      </c>
      <c r="AL297" s="30" t="inlineStr">
        <is>
          <t>Other filing — NOT an art. 7/51 list</t>
        </is>
      </c>
      <c r="AM297" s="30" t="inlineStr">
        <is>
          <t>2025-03-25</t>
        </is>
      </c>
      <c r="AN297" s="30" t="inlineStr">
        <is>
          <t>NONE FOUND</t>
        </is>
      </c>
      <c r="AO297" s="32" t="inlineStr">
        <is>
          <t>0005010-50.2013.8.24.0026</t>
        </is>
      </c>
      <c r="AP297" s="32" t="inlineStr">
        <is>
          <t>TJSC</t>
        </is>
      </c>
      <c r="AQ297" s="32" t="inlineStr">
        <is>
          <t>Falência</t>
        </is>
      </c>
      <c r="AR297" s="32" t="inlineStr">
        <is>
          <t>not in DataJud</t>
        </is>
      </c>
      <c r="AS297" s="32" t="n">
        <v>2013</v>
      </c>
      <c r="AT297" s="32" t="inlineStr">
        <is>
          <t>falência proceeding (list/name says falida)</t>
        </is>
      </c>
      <c r="AU297" s="32" t="inlineStr"/>
      <c r="AV297" s="32" t="inlineStr">
        <is>
          <t>printed on the list (read twice)</t>
        </is>
      </c>
      <c r="AW297" s="32" t="inlineStr"/>
      <c r="AX297" s="32" t="inlineStr">
        <is>
          <t>JARAGUA DO SUL</t>
        </is>
      </c>
      <c r="AY297" s="32" t="inlineStr">
        <is>
          <t>SC</t>
        </is>
      </c>
      <c r="AZ297" s="32" t="inlineStr">
        <is>
          <t>Fabricação de outros produtos químicos não especificados anteriormente</t>
        </is>
      </c>
      <c r="BA297" s="32" t="inlineStr">
        <is>
          <t>não ME/EPP</t>
        </is>
      </c>
      <c r="BB297" s="33" t="n">
        <v>52839630</v>
      </c>
      <c r="BC297" s="32" t="inlineStr">
        <is>
          <t>MID-MARKET</t>
        </is>
      </c>
      <c r="BD297" s="32" t="inlineStr">
        <is>
          <t>03076832</t>
        </is>
      </c>
      <c r="BE297" s="32" t="n">
        <v>1</v>
      </c>
      <c r="BF297" s="32" t="inlineStr">
        <is>
          <t>list prints no totals case no. corrected by reader</t>
        </is>
      </c>
    </row>
    <row r="298">
      <c r="A298" s="17" t="inlineStr">
        <is>
          <t>TRANS FALLS LTDA</t>
        </is>
      </c>
      <c r="B298" s="18" t="n">
        <v>354400</v>
      </c>
      <c r="C298" s="19" t="inlineStr">
        <is>
          <t>GRUPO D&amp;D</t>
        </is>
      </c>
      <c r="D298" s="20" t="inlineStr">
        <is>
          <t>NEW</t>
        </is>
      </c>
      <c r="E298" s="21" t="inlineStr"/>
      <c r="F298" s="20" t="inlineStr"/>
      <c r="G298" s="21" t="inlineStr"/>
      <c r="H298" s="20" t="inlineStr"/>
      <c r="I298" s="22" t="inlineStr">
        <is>
          <t>CELSO OSMAR PAVLAK ADAMS</t>
        </is>
      </c>
      <c r="J298" s="23" t="inlineStr">
        <is>
          <t>Sócio-Administrador (RFB partner)</t>
        </is>
      </c>
      <c r="K298" s="22" t="inlineStr">
        <is>
          <t>(45) 3526-2997</t>
        </is>
      </c>
      <c r="L298" s="22" t="inlineStr"/>
      <c r="M298" s="22" t="inlineStr"/>
      <c r="N298" s="22" t="inlineStr"/>
      <c r="O298" s="22" t="inlineStr"/>
      <c r="P298" s="22" t="inlineStr">
        <is>
          <t>Lenoir Lenoir</t>
        </is>
      </c>
      <c r="Q298" s="22" t="inlineStr">
        <is>
          <t>(no title)</t>
        </is>
      </c>
      <c r="R298" s="22" t="inlineStr"/>
      <c r="S298" s="22" t="inlineStr">
        <is>
          <t>lenoir@transfalls.com.br</t>
        </is>
      </c>
      <c r="T298" s="22" t="inlineStr">
        <is>
          <t>DM = registered partner (RFB QSA); Apollo pick demoted to backup (non-finance role); BACKUP: weak, has_email</t>
        </is>
      </c>
      <c r="U298" s="24" t="n">
        <v>354400</v>
      </c>
      <c r="V298" s="25" t="inlineStr">
        <is>
          <t>B</t>
        </is>
      </c>
      <c r="W298" s="26" t="inlineStr"/>
      <c r="X298" s="27" t="inlineStr"/>
      <c r="Y298" s="27" t="inlineStr"/>
      <c r="Z298" s="26">
        <f>IF(W298&lt;&gt;"",W298,IFERROR(VLOOKUP(V298,Assumptions!$A$8:$F$12,2,FALSE),0))</f>
        <v/>
      </c>
      <c r="AA298" s="28">
        <f>IF(V298="A",MAX(1,IF(X298&lt;&gt;"",X298,IFERROR(VLOOKUP(V298,Assumptions!$A$8:$F$12,3,FALSE),3))+IF(Y298&lt;&gt;"",Y298,IFERROR(VLOOKUP(V298,Assumptions!$A$8:$F$12,4,FALSE),8))/2-MAX(0,IF(AS298="",0,YEAR(TODAY())-AS298)-IFERROR(VLOOKUP(V298,Assumptions!$A$8:$F$12,5,FALSE),1.5))),IFERROR(VLOOKUP(V298,Assumptions!$A$8:$F$12,5,FALSE),2.5)+IF(X298&lt;&gt;"",X298,IFERROR(VLOOKUP(V298,Assumptions!$A$8:$F$12,3,FALSE),3))+IF(Y298&lt;&gt;"",Y298,IFERROR(VLOOKUP(V298,Assumptions!$A$8:$F$12,4,FALSE),8))/2)</f>
        <v/>
      </c>
      <c r="AB298" s="24">
        <f>U298*Z298/(1+Assumptions!$B$3)^AA298</f>
        <v/>
      </c>
      <c r="AC298" s="27">
        <f>IF(U298=0,"",ROUND(AB298/U298*100,1))</f>
        <v/>
      </c>
      <c r="AD298" s="29">
        <f>AB298*Assumptions!$B$4</f>
        <v/>
      </c>
      <c r="AE298" s="27">
        <f>IF(U298=0,"",ROUND(AD298/U298*100,1))</f>
        <v/>
      </c>
      <c r="AF298" s="29">
        <f>AB298-AD298</f>
        <v/>
      </c>
      <c r="AG298" s="27">
        <f>IF(U298=0,"",ROUND((AB298-AD298)/U298*100,1))</f>
        <v/>
      </c>
      <c r="AH298" s="35" t="inlineStr">
        <is>
          <t>PARTIAL — class III reconciled, other classes not</t>
        </is>
      </c>
      <c r="AI298" s="31" t="inlineStr">
        <is>
          <t>https://marquesadmjudicial.com.br/sgc/download.php?file=files/processo_documento/processo_documento20014127022025_1_.pdf&amp;nome=Relação Nominal de Credores</t>
        </is>
      </c>
      <c r="AJ298" s="30" t="inlineStr">
        <is>
          <t>p6 r4</t>
        </is>
      </c>
      <c r="AK298" s="30" t="inlineStr">
        <is>
          <t>p6: R$ 354.400,00</t>
        </is>
      </c>
      <c r="AL298" s="30" t="inlineStr">
        <is>
          <t>AJ list (art. 7 §2)</t>
        </is>
      </c>
      <c r="AM298" s="30" t="inlineStr">
        <is>
          <t>2024-11-08</t>
        </is>
      </c>
      <c r="AN298" s="30" t="inlineStr">
        <is>
          <t>NONE FOUND</t>
        </is>
      </c>
      <c r="AO298" s="32" t="inlineStr">
        <is>
          <t>0001943-40.2024.8.16.0115</t>
        </is>
      </c>
      <c r="AP298" s="32" t="inlineStr">
        <is>
          <t>TJPR</t>
        </is>
      </c>
      <c r="AQ298" s="32" t="inlineStr">
        <is>
          <t>Recuperação judicial</t>
        </is>
      </c>
      <c r="AR298" s="32" t="inlineStr">
        <is>
          <t>DataJud: no closure/falência movement</t>
        </is>
      </c>
      <c r="AS298" s="32" t="n">
        <v>2024</v>
      </c>
      <c r="AT298" s="32" t="inlineStr">
        <is>
          <t>live case, no plan document yet</t>
        </is>
      </c>
      <c r="AU298" s="32" t="inlineStr"/>
      <c r="AV298" s="32" t="inlineStr">
        <is>
          <t>printed on the list (read twice)</t>
        </is>
      </c>
      <c r="AW298" s="32" t="inlineStr"/>
      <c r="AX298" s="32" t="inlineStr">
        <is>
          <t>FOZ DO IGUACU</t>
        </is>
      </c>
      <c r="AY298" s="32" t="inlineStr">
        <is>
          <t>PR</t>
        </is>
      </c>
      <c r="AZ298" s="32" t="inlineStr">
        <is>
          <t>Transporte rodoviário de carga, exceto produtos perigosos e mudanças, intermunicipal, interestadual e internacional</t>
        </is>
      </c>
      <c r="BA298" s="32" t="inlineStr">
        <is>
          <t>não ME/EPP</t>
        </is>
      </c>
      <c r="BB298" s="33" t="n">
        <v>2488026</v>
      </c>
      <c r="BC298" s="32" t="inlineStr">
        <is>
          <t>MID-MARKET</t>
        </is>
      </c>
      <c r="BD298" s="32" t="inlineStr">
        <is>
          <t>03266537</t>
        </is>
      </c>
      <c r="BE298" s="32" t="n">
        <v>1</v>
      </c>
      <c r="BF298" s="32" t="inlineStr">
        <is>
          <t>class III reconciled (doc partial)</t>
        </is>
      </c>
    </row>
    <row r="299">
      <c r="A299" s="17" t="inlineStr">
        <is>
          <t>COMPANHIA ENERGETICA DE PERNAMBUCO</t>
        </is>
      </c>
      <c r="B299" s="18" t="n">
        <v>354296.22</v>
      </c>
      <c r="C299" s="19" t="inlineStr">
        <is>
          <t>CLUBE NÁUTICO CAPIBARIBE</t>
        </is>
      </c>
      <c r="D299" s="20" t="inlineStr">
        <is>
          <t>NEW</t>
        </is>
      </c>
      <c r="E299" s="21" t="inlineStr"/>
      <c r="F299" s="20" t="inlineStr"/>
      <c r="G299" s="21" t="inlineStr"/>
      <c r="H299" s="20" t="inlineStr"/>
      <c r="I299" s="22" t="inlineStr">
        <is>
          <t>SAULO CABRAL E SILVA</t>
        </is>
      </c>
      <c r="J299" s="23" t="inlineStr">
        <is>
          <t>Presidente (RFB partner)</t>
        </is>
      </c>
      <c r="K299" s="22" t="inlineStr">
        <is>
          <t>(81) 3217-5226</t>
        </is>
      </c>
      <c r="L299" s="22" t="inlineStr"/>
      <c r="M299" s="22" t="inlineStr"/>
      <c r="N299" s="22" t="inlineStr"/>
      <c r="O299" s="22" t="inlineStr"/>
      <c r="P299" s="22" t="inlineStr">
        <is>
          <t>FABIANO DA ROSA CARVALHO</t>
        </is>
      </c>
      <c r="Q299" s="22" t="inlineStr">
        <is>
          <t>Diretor (RFB partner)</t>
        </is>
      </c>
      <c r="R299" s="22" t="inlineStr"/>
      <c r="S299" s="22" t="inlineStr"/>
      <c r="T299" s="22" t="inlineStr">
        <is>
          <t>DM = registered partner (RFB QSA); no Apollo match</t>
        </is>
      </c>
      <c r="U299" s="24" t="n">
        <v>354296.22</v>
      </c>
      <c r="V299" s="25" t="inlineStr">
        <is>
          <t>B</t>
        </is>
      </c>
      <c r="W299" s="26" t="inlineStr"/>
      <c r="X299" s="27" t="inlineStr"/>
      <c r="Y299" s="27" t="inlineStr"/>
      <c r="Z299" s="26">
        <f>IF(W299&lt;&gt;"",W299,IFERROR(VLOOKUP(V299,Assumptions!$A$8:$F$12,2,FALSE),0))</f>
        <v/>
      </c>
      <c r="AA299" s="28">
        <f>IF(V299="A",MAX(1,IF(X299&lt;&gt;"",X299,IFERROR(VLOOKUP(V299,Assumptions!$A$8:$F$12,3,FALSE),3))+IF(Y299&lt;&gt;"",Y299,IFERROR(VLOOKUP(V299,Assumptions!$A$8:$F$12,4,FALSE),8))/2-MAX(0,IF(AS299="",0,YEAR(TODAY())-AS299)-IFERROR(VLOOKUP(V299,Assumptions!$A$8:$F$12,5,FALSE),1.5))),IFERROR(VLOOKUP(V299,Assumptions!$A$8:$F$12,5,FALSE),2.5)+IF(X299&lt;&gt;"",X299,IFERROR(VLOOKUP(V299,Assumptions!$A$8:$F$12,3,FALSE),3))+IF(Y299&lt;&gt;"",Y299,IFERROR(VLOOKUP(V299,Assumptions!$A$8:$F$12,4,FALSE),8))/2)</f>
        <v/>
      </c>
      <c r="AB299" s="24">
        <f>U299*Z299/(1+Assumptions!$B$3)^AA299</f>
        <v/>
      </c>
      <c r="AC299" s="27">
        <f>IF(U299=0,"",ROUND(AB299/U299*100,1))</f>
        <v/>
      </c>
      <c r="AD299" s="29">
        <f>AB299*Assumptions!$B$4</f>
        <v/>
      </c>
      <c r="AE299" s="27">
        <f>IF(U299=0,"",ROUND(AD299/U299*100,1))</f>
        <v/>
      </c>
      <c r="AF299" s="29">
        <f>AB299-AD299</f>
        <v/>
      </c>
      <c r="AG299" s="27">
        <f>IF(U299=0,"",ROUND((AB299-AD299)/U299*100,1))</f>
        <v/>
      </c>
      <c r="AH299" s="35" t="inlineStr">
        <is>
          <t>PARTIAL — class III reconciled, other classes not</t>
        </is>
      </c>
      <c r="AI299" s="31" t="inlineStr">
        <is>
          <t>https://lrflideres.com.br/wp-content/plugins/download-attachments/includes/download.php?id=5589</t>
        </is>
      </c>
      <c r="AJ299" s="30" t="inlineStr">
        <is>
          <t>p11 r71</t>
        </is>
      </c>
      <c r="AK299" s="30" t="inlineStr">
        <is>
          <t>p11: R$ 354.296,22</t>
        </is>
      </c>
      <c r="AL299" s="30" t="inlineStr">
        <is>
          <t>AJ list (art. 7 §2)</t>
        </is>
      </c>
      <c r="AM299" s="30" t="inlineStr">
        <is>
          <t>2023-11-27</t>
        </is>
      </c>
      <c r="AN299" s="30" t="inlineStr">
        <is>
          <t>NONE FOUND</t>
        </is>
      </c>
      <c r="AO299" s="32" t="inlineStr">
        <is>
          <t>0011283-80.2023.8.17.2001</t>
        </is>
      </c>
      <c r="AP299" s="32" t="inlineStr">
        <is>
          <t>TJPE</t>
        </is>
      </c>
      <c r="AQ299" s="32" t="inlineStr">
        <is>
          <t>Recuperação judicial</t>
        </is>
      </c>
      <c r="AR299" s="32" t="inlineStr">
        <is>
          <t>DataJud: no closure/falência movement</t>
        </is>
      </c>
      <c r="AS299" s="32" t="n">
        <v>2023</v>
      </c>
      <c r="AT299" s="32" t="inlineStr">
        <is>
          <t>live case, no plan document yet; atypical debtor (associação/clube/hospital/produtor rural): admissibility or claim subjection may be contested</t>
        </is>
      </c>
      <c r="AU299" s="32" t="inlineStr">
        <is>
          <t>08.145.021/0001-07</t>
        </is>
      </c>
      <c r="AV299" s="32" t="inlineStr">
        <is>
          <t>printed on the list (read twice)</t>
        </is>
      </c>
      <c r="AW299" s="32" t="inlineStr"/>
      <c r="AX299" s="32" t="inlineStr">
        <is>
          <t>RECIFE</t>
        </is>
      </c>
      <c r="AY299" s="32" t="inlineStr">
        <is>
          <t>PE</t>
        </is>
      </c>
      <c r="AZ299" s="32" t="inlineStr">
        <is>
          <t>Distribuição de energia elétrica</t>
        </is>
      </c>
      <c r="BA299" s="32" t="inlineStr">
        <is>
          <t>não ME/EPP</t>
        </is>
      </c>
      <c r="BB299" s="33" t="n">
        <v>1663177700</v>
      </c>
      <c r="BC299" s="32" t="inlineStr">
        <is>
          <t>LARGE CORP</t>
        </is>
      </c>
      <c r="BD299" s="32" t="inlineStr">
        <is>
          <t>10835932</t>
        </is>
      </c>
      <c r="BE299" s="32" t="n">
        <v>1</v>
      </c>
      <c r="BF299" s="32" t="inlineStr">
        <is>
          <t>class III reconciled (doc partial)</t>
        </is>
      </c>
    </row>
    <row r="300">
      <c r="A300" s="17" t="inlineStr">
        <is>
          <t>PMSM PUBLICIDADE E COMUNICACAO LTDA</t>
        </is>
      </c>
      <c r="B300" s="18" t="n">
        <v>351926.88</v>
      </c>
      <c r="C300" s="19" t="inlineStr">
        <is>
          <t>CLUBE NÁUTICO CAPIBARIBE</t>
        </is>
      </c>
      <c r="D300" s="20" t="inlineStr">
        <is>
          <t>NEW</t>
        </is>
      </c>
      <c r="E300" s="21" t="inlineStr"/>
      <c r="F300" s="20" t="inlineStr"/>
      <c r="G300" s="21" t="inlineStr"/>
      <c r="H300" s="20" t="inlineStr"/>
      <c r="I300" s="22" t="inlineStr">
        <is>
          <t>FREDERICO MATHIAS DE MORAES</t>
        </is>
      </c>
      <c r="J300" s="23" t="inlineStr">
        <is>
          <t>Sócio-Administrador (RFB partner)</t>
        </is>
      </c>
      <c r="K300" s="22" t="inlineStr">
        <is>
          <t>(21) 3713-2606</t>
        </is>
      </c>
      <c r="L300" s="22" t="inlineStr"/>
      <c r="M300" s="22" t="inlineStr"/>
      <c r="N300" s="22" t="inlineStr"/>
      <c r="O300" s="22" t="inlineStr"/>
      <c r="P300" s="22" t="inlineStr">
        <is>
          <t>GUSTAVO PINTO BAZILIO</t>
        </is>
      </c>
      <c r="Q300" s="22" t="inlineStr">
        <is>
          <t>Sócio-Administrador (RFB partner)</t>
        </is>
      </c>
      <c r="R300" s="22" t="inlineStr"/>
      <c r="S300" s="22" t="inlineStr"/>
      <c r="T300" s="22" t="inlineStr">
        <is>
          <t>DM = registered partner (RFB QSA); no Apollo match</t>
        </is>
      </c>
      <c r="U300" s="24" t="n">
        <v>351926.88</v>
      </c>
      <c r="V300" s="25" t="inlineStr">
        <is>
          <t>B</t>
        </is>
      </c>
      <c r="W300" s="26" t="inlineStr"/>
      <c r="X300" s="27" t="inlineStr"/>
      <c r="Y300" s="27" t="inlineStr"/>
      <c r="Z300" s="26">
        <f>IF(W300&lt;&gt;"",W300,IFERROR(VLOOKUP(V300,Assumptions!$A$8:$F$12,2,FALSE),0))</f>
        <v/>
      </c>
      <c r="AA300" s="28">
        <f>IF(V300="A",MAX(1,IF(X300&lt;&gt;"",X300,IFERROR(VLOOKUP(V300,Assumptions!$A$8:$F$12,3,FALSE),3))+IF(Y300&lt;&gt;"",Y300,IFERROR(VLOOKUP(V300,Assumptions!$A$8:$F$12,4,FALSE),8))/2-MAX(0,IF(AS300="",0,YEAR(TODAY())-AS300)-IFERROR(VLOOKUP(V300,Assumptions!$A$8:$F$12,5,FALSE),1.5))),IFERROR(VLOOKUP(V300,Assumptions!$A$8:$F$12,5,FALSE),2.5)+IF(X300&lt;&gt;"",X300,IFERROR(VLOOKUP(V300,Assumptions!$A$8:$F$12,3,FALSE),3))+IF(Y300&lt;&gt;"",Y300,IFERROR(VLOOKUP(V300,Assumptions!$A$8:$F$12,4,FALSE),8))/2)</f>
        <v/>
      </c>
      <c r="AB300" s="24">
        <f>U300*Z300/(1+Assumptions!$B$3)^AA300</f>
        <v/>
      </c>
      <c r="AC300" s="27">
        <f>IF(U300=0,"",ROUND(AB300/U300*100,1))</f>
        <v/>
      </c>
      <c r="AD300" s="29">
        <f>AB300*Assumptions!$B$4</f>
        <v/>
      </c>
      <c r="AE300" s="27">
        <f>IF(U300=0,"",ROUND(AD300/U300*100,1))</f>
        <v/>
      </c>
      <c r="AF300" s="29">
        <f>AB300-AD300</f>
        <v/>
      </c>
      <c r="AG300" s="27">
        <f>IF(U300=0,"",ROUND((AB300-AD300)/U300*100,1))</f>
        <v/>
      </c>
      <c r="AH300" s="35" t="inlineStr">
        <is>
          <t>PARTIAL — class III reconciled, other classes not</t>
        </is>
      </c>
      <c r="AI300" s="31" t="inlineStr">
        <is>
          <t>https://lrflideres.com.br/wp-content/plugins/download-attachments/includes/download.php?id=5589</t>
        </is>
      </c>
      <c r="AJ300" s="30" t="inlineStr">
        <is>
          <t>p12 r36</t>
        </is>
      </c>
      <c r="AK300" s="30" t="inlineStr">
        <is>
          <t>p12: R$ 351.926,88</t>
        </is>
      </c>
      <c r="AL300" s="30" t="inlineStr">
        <is>
          <t>AJ list (art. 7 §2)</t>
        </is>
      </c>
      <c r="AM300" s="30" t="inlineStr">
        <is>
          <t>2023-11-27</t>
        </is>
      </c>
      <c r="AN300" s="30" t="inlineStr">
        <is>
          <t>NONE FOUND</t>
        </is>
      </c>
      <c r="AO300" s="32" t="inlineStr">
        <is>
          <t>0011283-80.2023.8.17.2001</t>
        </is>
      </c>
      <c r="AP300" s="32" t="inlineStr">
        <is>
          <t>TJPE</t>
        </is>
      </c>
      <c r="AQ300" s="32" t="inlineStr">
        <is>
          <t>Recuperação judicial</t>
        </is>
      </c>
      <c r="AR300" s="32" t="inlineStr">
        <is>
          <t>DataJud: no closure/falência movement</t>
        </is>
      </c>
      <c r="AS300" s="32" t="n">
        <v>2023</v>
      </c>
      <c r="AT300" s="32" t="inlineStr">
        <is>
          <t>live case, no plan document yet; atypical debtor (associação/clube/hospital/produtor rural): admissibility or claim subjection may be contested</t>
        </is>
      </c>
      <c r="AU300" s="32" t="inlineStr">
        <is>
          <t>08.145.021/0001-07</t>
        </is>
      </c>
      <c r="AV300" s="32" t="inlineStr">
        <is>
          <t>printed on the list (read twice)</t>
        </is>
      </c>
      <c r="AW300" s="32" t="inlineStr"/>
      <c r="AX300" s="32" t="inlineStr">
        <is>
          <t>NITEROI</t>
        </is>
      </c>
      <c r="AY300" s="32" t="inlineStr">
        <is>
          <t>RJ</t>
        </is>
      </c>
      <c r="AZ300" s="32" t="inlineStr">
        <is>
          <t>Outras atividades de publicidade não especificadas anteriormente</t>
        </is>
      </c>
      <c r="BA300" s="32" t="inlineStr">
        <is>
          <t>não ME/EPP</t>
        </is>
      </c>
      <c r="BB300" s="33" t="n">
        <v>10000</v>
      </c>
      <c r="BC300" s="32" t="inlineStr">
        <is>
          <t>MID-MARKET</t>
        </is>
      </c>
      <c r="BD300" s="32" t="inlineStr">
        <is>
          <t>04431548</t>
        </is>
      </c>
      <c r="BE300" s="32" t="n">
        <v>1</v>
      </c>
      <c r="BF300" s="32" t="inlineStr">
        <is>
          <t>class III reconciled (doc partial)</t>
        </is>
      </c>
    </row>
    <row r="301">
      <c r="A301" s="17" t="inlineStr">
        <is>
          <t>BIORESULT AGRONEGOCIOS LTDA</t>
        </is>
      </c>
      <c r="B301" s="18" t="n">
        <v>351079.81</v>
      </c>
      <c r="C301" s="19" t="inlineStr">
        <is>
          <t>Agroforte Agropecuaria Ltda</t>
        </is>
      </c>
      <c r="D301" s="20" t="inlineStr">
        <is>
          <t>NEW</t>
        </is>
      </c>
      <c r="E301" s="21" t="inlineStr"/>
      <c r="F301" s="20" t="inlineStr"/>
      <c r="G301" s="21" t="inlineStr"/>
      <c r="H301" s="20" t="inlineStr"/>
      <c r="I301" s="22" t="inlineStr">
        <is>
          <t>LUIS HIDEKI TAKAHARA</t>
        </is>
      </c>
      <c r="J301" s="23" t="inlineStr">
        <is>
          <t>Sócio-Administrador (RFB partner)</t>
        </is>
      </c>
      <c r="K301" s="22" t="inlineStr">
        <is>
          <t>(45) 4102-0950</t>
        </is>
      </c>
      <c r="L301" s="22" t="inlineStr"/>
      <c r="M301" s="22" t="inlineStr"/>
      <c r="N301" s="22" t="inlineStr"/>
      <c r="O301" s="22" t="inlineStr"/>
      <c r="P301" s="22" t="inlineStr"/>
      <c r="Q301" s="22" t="inlineStr"/>
      <c r="R301" s="22" t="inlineStr"/>
      <c r="S301" s="22" t="inlineStr"/>
      <c r="T301" s="22" t="inlineStr">
        <is>
          <t>DM = registered partner (RFB QSA); no Apollo match</t>
        </is>
      </c>
      <c r="U301" s="24" t="n">
        <v>351079.81</v>
      </c>
      <c r="V301" s="25" t="inlineStr">
        <is>
          <t>B</t>
        </is>
      </c>
      <c r="W301" s="26" t="inlineStr"/>
      <c r="X301" s="27" t="inlineStr"/>
      <c r="Y301" s="27" t="inlineStr"/>
      <c r="Z301" s="26">
        <f>IF(W301&lt;&gt;"",W301,IFERROR(VLOOKUP(V301,Assumptions!$A$8:$F$12,2,FALSE),0))</f>
        <v/>
      </c>
      <c r="AA301" s="28">
        <f>IF(V301="A",MAX(1,IF(X301&lt;&gt;"",X301,IFERROR(VLOOKUP(V301,Assumptions!$A$8:$F$12,3,FALSE),3))+IF(Y301&lt;&gt;"",Y301,IFERROR(VLOOKUP(V301,Assumptions!$A$8:$F$12,4,FALSE),8))/2-MAX(0,IF(AS301="",0,YEAR(TODAY())-AS301)-IFERROR(VLOOKUP(V301,Assumptions!$A$8:$F$12,5,FALSE),1.5))),IFERROR(VLOOKUP(V301,Assumptions!$A$8:$F$12,5,FALSE),2.5)+IF(X301&lt;&gt;"",X301,IFERROR(VLOOKUP(V301,Assumptions!$A$8:$F$12,3,FALSE),3))+IF(Y301&lt;&gt;"",Y301,IFERROR(VLOOKUP(V301,Assumptions!$A$8:$F$12,4,FALSE),8))/2)</f>
        <v/>
      </c>
      <c r="AB301" s="24">
        <f>U301*Z301/(1+Assumptions!$B$3)^AA301</f>
        <v/>
      </c>
      <c r="AC301" s="27">
        <f>IF(U301=0,"",ROUND(AB301/U301*100,1))</f>
        <v/>
      </c>
      <c r="AD301" s="29">
        <f>AB301*Assumptions!$B$4</f>
        <v/>
      </c>
      <c r="AE301" s="27">
        <f>IF(U301=0,"",ROUND(AD301/U301*100,1))</f>
        <v/>
      </c>
      <c r="AF301" s="29">
        <f>AB301-AD301</f>
        <v/>
      </c>
      <c r="AG301" s="27">
        <f>IF(U301=0,"",ROUND((AB301-AD301)/U301*100,1))</f>
        <v/>
      </c>
      <c r="AH301" s="35" t="inlineStr">
        <is>
          <t>PARTIAL — class III reconciled, other classes not</t>
        </is>
      </c>
      <c r="AI301" s="31" t="inlineStr">
        <is>
          <t>https://marquesadmjudicial.com.br/sgc/download.php?file=files/processo_documento/processo_documento11370527032026_1_.pdf&amp;nome=Quadro Geral de Credores (QGC) -AJ Anterior</t>
        </is>
      </c>
      <c r="AJ301" s="30" t="inlineStr">
        <is>
          <t>p1 r11</t>
        </is>
      </c>
      <c r="AK301" s="30" t="inlineStr">
        <is>
          <t>p1: R$ 351.079,81</t>
        </is>
      </c>
      <c r="AL301" s="30" t="inlineStr">
        <is>
          <t>QGC (art. 18)</t>
        </is>
      </c>
      <c r="AM301" s="30" t="inlineStr">
        <is>
          <t>2025-09-22</t>
        </is>
      </c>
      <c r="AN301" s="30" t="inlineStr">
        <is>
          <t>NONE FOUND</t>
        </is>
      </c>
      <c r="AO301" s="32" t="inlineStr">
        <is>
          <t>0031120-52.2024.8.16.0017</t>
        </is>
      </c>
      <c r="AP301" s="32" t="inlineStr">
        <is>
          <t>TJPR</t>
        </is>
      </c>
      <c r="AQ301" s="32" t="inlineStr">
        <is>
          <t>Recuperação judicial</t>
        </is>
      </c>
      <c r="AR301" s="32" t="inlineStr">
        <is>
          <t>DataJud: no closure/falência movement</t>
        </is>
      </c>
      <c r="AS301" s="32" t="n">
        <v>2024</v>
      </c>
      <c r="AT301" s="32" t="inlineStr">
        <is>
          <t>live case, no plan document yet</t>
        </is>
      </c>
      <c r="AU301" s="32" t="inlineStr">
        <is>
          <t>33.286.454/0001-20</t>
        </is>
      </c>
      <c r="AV301" s="32" t="inlineStr">
        <is>
          <t>printed on the list (read twice)</t>
        </is>
      </c>
      <c r="AW301" s="32" t="inlineStr"/>
      <c r="AX301" s="32" t="inlineStr">
        <is>
          <t>TOLEDO</t>
        </is>
      </c>
      <c r="AY301" s="32" t="inlineStr">
        <is>
          <t>PR</t>
        </is>
      </c>
      <c r="AZ301" s="32" t="inlineStr">
        <is>
          <t>Fabricação de adubos e fertilizantes organo-minerais</t>
        </is>
      </c>
      <c r="BA301" s="32" t="inlineStr">
        <is>
          <t>não ME/EPP</t>
        </is>
      </c>
      <c r="BB301" s="33" t="n">
        <v>520000</v>
      </c>
      <c r="BC301" s="32" t="inlineStr">
        <is>
          <t>MID-MARKET</t>
        </is>
      </c>
      <c r="BD301" s="32" t="inlineStr">
        <is>
          <t>34635991</t>
        </is>
      </c>
      <c r="BE301" s="32" t="n">
        <v>1</v>
      </c>
      <c r="BF301" s="32" t="inlineStr">
        <is>
          <t>class III reconciled (doc partial)</t>
        </is>
      </c>
    </row>
    <row r="302">
      <c r="A302" s="17" t="inlineStr">
        <is>
          <t>MEDILAR IMPORTACAO E DISTRIBUICAO DE PRODUTOS MEDICO HOSPITALARES S/A</t>
        </is>
      </c>
      <c r="B302" s="18" t="n">
        <v>346408.09</v>
      </c>
      <c r="C302" s="19" t="inlineStr">
        <is>
          <t>ASSOCIAÇÃO DE CARIDADE SANTA CASA DO RIO GRANDE</t>
        </is>
      </c>
      <c r="D302" s="20" t="inlineStr">
        <is>
          <t>NEW</t>
        </is>
      </c>
      <c r="E302" s="21" t="inlineStr"/>
      <c r="F302" s="20" t="inlineStr"/>
      <c r="G302" s="21" t="inlineStr"/>
      <c r="H302" s="20" t="inlineStr"/>
      <c r="I302" s="22" t="inlineStr">
        <is>
          <t>ADRIANA WILKE MARQUES</t>
        </is>
      </c>
      <c r="J302" s="23" t="inlineStr">
        <is>
          <t>Diretor (RFB partner)</t>
        </is>
      </c>
      <c r="K302" s="22" t="inlineStr">
        <is>
          <t>(51) 3718-7600</t>
        </is>
      </c>
      <c r="L302" s="22" t="inlineStr"/>
      <c r="M302" s="22" t="inlineStr"/>
      <c r="N302" s="22" t="inlineStr"/>
      <c r="O302" s="22" t="inlineStr"/>
      <c r="P302" s="22" t="inlineStr">
        <is>
          <t>FERNANDO AUGUSTO THEISEN</t>
        </is>
      </c>
      <c r="Q302" s="22" t="inlineStr">
        <is>
          <t>Diretor (RFB partner)</t>
        </is>
      </c>
      <c r="R302" s="22" t="inlineStr"/>
      <c r="S302" s="22" t="inlineStr"/>
      <c r="T302" s="22" t="inlineStr">
        <is>
          <t>DM = registered partner (RFB QSA); no Apollo match</t>
        </is>
      </c>
      <c r="U302" s="24" t="n">
        <v>346408.09</v>
      </c>
      <c r="V302" s="25" t="inlineStr">
        <is>
          <t>B</t>
        </is>
      </c>
      <c r="W302" s="26" t="inlineStr"/>
      <c r="X302" s="27" t="inlineStr"/>
      <c r="Y302" s="27" t="inlineStr"/>
      <c r="Z302" s="26">
        <f>IF(W302&lt;&gt;"",W302,IFERROR(VLOOKUP(V302,Assumptions!$A$8:$F$12,2,FALSE),0))</f>
        <v/>
      </c>
      <c r="AA302" s="28">
        <f>IF(V302="A",MAX(1,IF(X302&lt;&gt;"",X302,IFERROR(VLOOKUP(V302,Assumptions!$A$8:$F$12,3,FALSE),3))+IF(Y302&lt;&gt;"",Y302,IFERROR(VLOOKUP(V302,Assumptions!$A$8:$F$12,4,FALSE),8))/2-MAX(0,IF(AS302="",0,YEAR(TODAY())-AS302)-IFERROR(VLOOKUP(V302,Assumptions!$A$8:$F$12,5,FALSE),1.5))),IFERROR(VLOOKUP(V302,Assumptions!$A$8:$F$12,5,FALSE),2.5)+IF(X302&lt;&gt;"",X302,IFERROR(VLOOKUP(V302,Assumptions!$A$8:$F$12,3,FALSE),3))+IF(Y302&lt;&gt;"",Y302,IFERROR(VLOOKUP(V302,Assumptions!$A$8:$F$12,4,FALSE),8))/2)</f>
        <v/>
      </c>
      <c r="AB302" s="24">
        <f>U302*Z302/(1+Assumptions!$B$3)^AA302</f>
        <v/>
      </c>
      <c r="AC302" s="27">
        <f>IF(U302=0,"",ROUND(AB302/U302*100,1))</f>
        <v/>
      </c>
      <c r="AD302" s="29">
        <f>AB302*Assumptions!$B$4</f>
        <v/>
      </c>
      <c r="AE302" s="27">
        <f>IF(U302=0,"",ROUND(AD302/U302*100,1))</f>
        <v/>
      </c>
      <c r="AF302" s="29">
        <f>AB302-AD302</f>
        <v/>
      </c>
      <c r="AG302" s="27">
        <f>IF(U302=0,"",ROUND((AB302-AD302)/U302*100,1))</f>
        <v/>
      </c>
      <c r="AH302" s="34" t="inlineStr">
        <is>
          <t>NO TOTALS — list prints none; check page</t>
        </is>
      </c>
      <c r="AI302" s="31" t="inlineStr">
        <is>
          <t>https://scalzilliaj.com.br/sgc/download.php?file=files/processo_documento/processo_documento09120721032023_1_.pdf&amp;nome=15 - Edital do art. 7º, §2º e 53 da Lei 11.101/2005 (segunda lista de credores e recebimento do plano))</t>
        </is>
      </c>
      <c r="AJ302" s="30" t="inlineStr">
        <is>
          <t>p28 r50</t>
        </is>
      </c>
      <c r="AK302" s="30" t="inlineStr">
        <is>
          <t>p28: R$ 346.408,09</t>
        </is>
      </c>
      <c r="AL302" s="30" t="inlineStr">
        <is>
          <t>AJ list (art. 7 §2)</t>
        </is>
      </c>
      <c r="AM302" s="30" t="inlineStr">
        <is>
          <t>2023-03-21</t>
        </is>
      </c>
      <c r="AN302" s="30" t="inlineStr">
        <is>
          <t>NONE FOUND</t>
        </is>
      </c>
      <c r="AO302" s="32" t="inlineStr">
        <is>
          <t>5012306-16.2022.8.21.0023</t>
        </is>
      </c>
      <c r="AP302" s="32" t="inlineStr">
        <is>
          <t>TJRS</t>
        </is>
      </c>
      <c r="AQ302" s="32" t="inlineStr">
        <is>
          <t>Recuperação judicial</t>
        </is>
      </c>
      <c r="AR302" s="32" t="inlineStr">
        <is>
          <t>DataJud: no closure/falência movement</t>
        </is>
      </c>
      <c r="AS302" s="32" t="n">
        <v>2022</v>
      </c>
      <c r="AT302" s="32" t="inlineStr">
        <is>
          <t>live case, no plan document yet; atypical debtor (associação/clube/hospital/produtor rural): admissibility or claim subjection may be contested</t>
        </is>
      </c>
      <c r="AU302" s="32" t="inlineStr"/>
      <c r="AV302" s="32" t="inlineStr">
        <is>
          <t>printed on the list (read twice)</t>
        </is>
      </c>
      <c r="AW302" s="32" t="inlineStr"/>
      <c r="AX302" s="32" t="inlineStr">
        <is>
          <t>VERA CRUZ</t>
        </is>
      </c>
      <c r="AY302" s="32" t="inlineStr">
        <is>
          <t>RS</t>
        </is>
      </c>
      <c r="AZ302" s="32" t="inlineStr">
        <is>
          <t>Comércio atacadista de medicamentos e drogas de uso humano</t>
        </is>
      </c>
      <c r="BA302" s="32" t="inlineStr">
        <is>
          <t>não ME/EPP</t>
        </is>
      </c>
      <c r="BB302" s="33" t="n">
        <v>100000000</v>
      </c>
      <c r="BC302" s="32" t="inlineStr">
        <is>
          <t>MID-MARKET</t>
        </is>
      </c>
      <c r="BD302" s="32" t="inlineStr">
        <is>
          <t>07752236</t>
        </is>
      </c>
      <c r="BE302" s="32" t="n">
        <v>1</v>
      </c>
      <c r="BF302" s="32" t="inlineStr">
        <is>
          <t>list prints no totals</t>
        </is>
      </c>
    </row>
    <row r="303">
      <c r="A303" s="17" t="inlineStr">
        <is>
          <t>IPIRANGA PRODUTOS DE PETROLEO S.A.</t>
        </is>
      </c>
      <c r="B303" s="18" t="n">
        <v>1352094</v>
      </c>
      <c r="C303" s="19" t="inlineStr">
        <is>
          <t>EMBRAC EMPRESA BRASILEIRA DE CARGAS LTDA.</t>
        </is>
      </c>
      <c r="D303" s="20" t="inlineStr">
        <is>
          <t>NEW</t>
        </is>
      </c>
      <c r="E303" s="21" t="inlineStr"/>
      <c r="F303" s="20" t="inlineStr"/>
      <c r="G303" s="21" t="inlineStr"/>
      <c r="H303" s="20" t="inlineStr"/>
      <c r="I303" s="22" t="inlineStr">
        <is>
          <t>CARLOS FREDERICO RESENDE</t>
        </is>
      </c>
      <c r="J303" s="23" t="inlineStr">
        <is>
          <t>Administrador (RFB partner)</t>
        </is>
      </c>
      <c r="K303" s="22" t="inlineStr">
        <is>
          <t>(21) 2574-5858</t>
        </is>
      </c>
      <c r="L303" s="22" t="inlineStr"/>
      <c r="M303" s="22" t="inlineStr"/>
      <c r="N303" s="22" t="inlineStr"/>
      <c r="O303" s="22" t="inlineStr"/>
      <c r="P303" s="22" t="inlineStr">
        <is>
          <t>CRISTIANE SILVA LEITE</t>
        </is>
      </c>
      <c r="Q303" s="22" t="inlineStr">
        <is>
          <t>Diretor (RFB partner)</t>
        </is>
      </c>
      <c r="R303" s="22" t="inlineStr"/>
      <c r="S303" s="22" t="inlineStr"/>
      <c r="T303" s="22" t="inlineStr">
        <is>
          <t>DM = registered partner (RFB QSA); no Apollo match</t>
        </is>
      </c>
      <c r="U303" s="24" t="n">
        <v>1352094</v>
      </c>
      <c r="V303" s="39" t="inlineStr">
        <is>
          <t>C</t>
        </is>
      </c>
      <c r="W303" s="26" t="inlineStr"/>
      <c r="X303" s="27" t="inlineStr"/>
      <c r="Y303" s="27" t="inlineStr"/>
      <c r="Z303" s="26">
        <f>IF(W303&lt;&gt;"",W303,IFERROR(VLOOKUP(V303,Assumptions!$A$8:$F$12,2,FALSE),0))</f>
        <v/>
      </c>
      <c r="AA303" s="28">
        <f>IF(V303="A",MAX(1,IF(X303&lt;&gt;"",X303,IFERROR(VLOOKUP(V303,Assumptions!$A$8:$F$12,3,FALSE),3))+IF(Y303&lt;&gt;"",Y303,IFERROR(VLOOKUP(V303,Assumptions!$A$8:$F$12,4,FALSE),8))/2-MAX(0,IF(AS303="",0,YEAR(TODAY())-AS303)-IFERROR(VLOOKUP(V303,Assumptions!$A$8:$F$12,5,FALSE),1.5))),IFERROR(VLOOKUP(V303,Assumptions!$A$8:$F$12,5,FALSE),2.5)+IF(X303&lt;&gt;"",X303,IFERROR(VLOOKUP(V303,Assumptions!$A$8:$F$12,3,FALSE),3))+IF(Y303&lt;&gt;"",Y303,IFERROR(VLOOKUP(V303,Assumptions!$A$8:$F$12,4,FALSE),8))/2)</f>
        <v/>
      </c>
      <c r="AB303" s="24">
        <f>U303*Z303/(1+Assumptions!$B$3)^AA303</f>
        <v/>
      </c>
      <c r="AC303" s="27">
        <f>IF(U303=0,"",ROUND(AB303/U303*100,1))</f>
        <v/>
      </c>
      <c r="AD303" s="29">
        <f>AB303*Assumptions!$B$4</f>
        <v/>
      </c>
      <c r="AE303" s="27">
        <f>IF(U303=0,"",ROUND(AD303/U303*100,1))</f>
        <v/>
      </c>
      <c r="AF303" s="29">
        <f>AB303-AD303</f>
        <v/>
      </c>
      <c r="AG303" s="27">
        <f>IF(U303=0,"",ROUND((AB303-AD303)/U303*100,1))</f>
        <v/>
      </c>
      <c r="AH303" s="34" t="inlineStr">
        <is>
          <t>NO TOTALS — list prints none; check page</t>
        </is>
      </c>
      <c r="AI303" s="31" t="inlineStr">
        <is>
          <t>https://violet-wolf-754008.hostingersite.com/wp-content/uploads/recuperacoes-judiciais/Ebramec/2o-Edital-de-Credores.pdf</t>
        </is>
      </c>
      <c r="AJ303" s="30" t="inlineStr">
        <is>
          <t>p2 r50; p2 r51; p6 r50; p6 r51</t>
        </is>
      </c>
      <c r="AK303" s="30" t="inlineStr">
        <is>
          <t>[rows shown ≠ face] p2: R$ 808.506,00; p2: R$ 543.588,00; p6: R$ 808.506,00; p6: R$ 543.588,00</t>
        </is>
      </c>
      <c r="AL303" s="30" t="inlineStr">
        <is>
          <t>QGC (art. 18)</t>
        </is>
      </c>
      <c r="AM303" s="30" t="inlineStr">
        <is>
          <t>2021-03-12</t>
        </is>
      </c>
      <c r="AN303" s="30" t="inlineStr">
        <is>
          <t>NONE FOUND</t>
        </is>
      </c>
      <c r="AO303" s="32" t="inlineStr">
        <is>
          <t>1004204-09.2020.8.26.0604</t>
        </is>
      </c>
      <c r="AP303" s="32" t="inlineStr">
        <is>
          <t>TJSP</t>
        </is>
      </c>
      <c r="AQ303" s="32" t="inlineStr">
        <is>
          <t>Recuperação judicial</t>
        </is>
      </c>
      <c r="AR303" s="32" t="inlineStr">
        <is>
          <t>DataJud: no closure/falência movement</t>
        </is>
      </c>
      <c r="AS303" s="32" t="n">
        <v>2020</v>
      </c>
      <c r="AT303" s="32" t="inlineStr">
        <is>
          <t>6y since filing; plan not in our documents</t>
        </is>
      </c>
      <c r="AU303" s="32" t="inlineStr"/>
      <c r="AV303" s="32" t="inlineStr">
        <is>
          <t>printed on the list (read twice)</t>
        </is>
      </c>
      <c r="AW303" s="32" t="inlineStr"/>
      <c r="AX303" s="32" t="inlineStr">
        <is>
          <t>RIO DE JANEIRO</t>
        </is>
      </c>
      <c r="AY303" s="32" t="inlineStr">
        <is>
          <t>RJ</t>
        </is>
      </c>
      <c r="AZ303" s="32" t="inlineStr">
        <is>
          <t>Comércio atacadista de álcool carburante, biodiesel, gasolina e demais derivados de petróleo, exceto lubrificantes, não realizado por transportador re</t>
        </is>
      </c>
      <c r="BA303" s="32" t="inlineStr">
        <is>
          <t>não ME/EPP</t>
        </is>
      </c>
      <c r="BB303" s="33" t="n">
        <v>4668601300</v>
      </c>
      <c r="BC303" s="32" t="inlineStr">
        <is>
          <t>LARGE CORP</t>
        </is>
      </c>
      <c r="BD303" s="32" t="inlineStr">
        <is>
          <t>33337122</t>
        </is>
      </c>
      <c r="BE303" s="32" t="n">
        <v>2</v>
      </c>
      <c r="BF303" s="32" t="inlineStr">
        <is>
          <t>list prints no totals</t>
        </is>
      </c>
    </row>
    <row r="304">
      <c r="A304" s="17" t="inlineStr">
        <is>
          <t>COOPERATIVA DE TRABALHO EM SAUDE E QUALIDADE - NUCLEO SAUDE PERNAMBUCO</t>
        </is>
      </c>
      <c r="B304" s="18" t="n">
        <v>341713.1</v>
      </c>
      <c r="C304" s="19" t="inlineStr">
        <is>
          <t>GRUPO DIAGSON</t>
        </is>
      </c>
      <c r="D304" s="20" t="inlineStr">
        <is>
          <t>NEW</t>
        </is>
      </c>
      <c r="E304" s="21" t="inlineStr"/>
      <c r="F304" s="20" t="inlineStr"/>
      <c r="G304" s="21" t="inlineStr"/>
      <c r="H304" s="20" t="inlineStr"/>
      <c r="I304" s="22" t="inlineStr">
        <is>
          <t>DENISON PEREIRA DA SILVA</t>
        </is>
      </c>
      <c r="J304" s="23" t="inlineStr">
        <is>
          <t>Presidente (RFB partner)</t>
        </is>
      </c>
      <c r="K304" s="22" t="inlineStr">
        <is>
          <t>(79) 9984-5042</t>
        </is>
      </c>
      <c r="L304" s="22" t="inlineStr"/>
      <c r="M304" s="22" t="inlineStr"/>
      <c r="N304" s="22" t="inlineStr"/>
      <c r="O304" s="22" t="inlineStr"/>
      <c r="P304" s="22" t="inlineStr">
        <is>
          <t>SUELY SOUZA DUARTE</t>
        </is>
      </c>
      <c r="Q304" s="22" t="inlineStr">
        <is>
          <t>Diretor (RFB partner)</t>
        </is>
      </c>
      <c r="R304" s="22" t="inlineStr"/>
      <c r="S304" s="22" t="inlineStr"/>
      <c r="T304" s="22" t="inlineStr">
        <is>
          <t>DM = registered partner (RFB QSA); no Apollo match</t>
        </is>
      </c>
      <c r="U304" s="24" t="n">
        <v>341713.1</v>
      </c>
      <c r="V304" s="25" t="inlineStr">
        <is>
          <t>B</t>
        </is>
      </c>
      <c r="W304" s="26" t="inlineStr"/>
      <c r="X304" s="27" t="inlineStr"/>
      <c r="Y304" s="27" t="inlineStr"/>
      <c r="Z304" s="26">
        <f>IF(W304&lt;&gt;"",W304,IFERROR(VLOOKUP(V304,Assumptions!$A$8:$F$12,2,FALSE),0))</f>
        <v/>
      </c>
      <c r="AA304" s="28">
        <f>IF(V304="A",MAX(1,IF(X304&lt;&gt;"",X304,IFERROR(VLOOKUP(V304,Assumptions!$A$8:$F$12,3,FALSE),3))+IF(Y304&lt;&gt;"",Y304,IFERROR(VLOOKUP(V304,Assumptions!$A$8:$F$12,4,FALSE),8))/2-MAX(0,IF(AS304="",0,YEAR(TODAY())-AS304)-IFERROR(VLOOKUP(V304,Assumptions!$A$8:$F$12,5,FALSE),1.5))),IFERROR(VLOOKUP(V304,Assumptions!$A$8:$F$12,5,FALSE),2.5)+IF(X304&lt;&gt;"",X304,IFERROR(VLOOKUP(V304,Assumptions!$A$8:$F$12,3,FALSE),3))+IF(Y304&lt;&gt;"",Y304,IFERROR(VLOOKUP(V304,Assumptions!$A$8:$F$12,4,FALSE),8))/2)</f>
        <v/>
      </c>
      <c r="AB304" s="24">
        <f>U304*Z304/(1+Assumptions!$B$3)^AA304</f>
        <v/>
      </c>
      <c r="AC304" s="27">
        <f>IF(U304=0,"",ROUND(AB304/U304*100,1))</f>
        <v/>
      </c>
      <c r="AD304" s="29">
        <f>AB304*Assumptions!$B$4</f>
        <v/>
      </c>
      <c r="AE304" s="27">
        <f>IF(U304=0,"",ROUND(AD304/U304*100,1))</f>
        <v/>
      </c>
      <c r="AF304" s="29">
        <f>AB304-AD304</f>
        <v/>
      </c>
      <c r="AG304" s="27">
        <f>IF(U304=0,"",ROUND((AB304-AD304)/U304*100,1))</f>
        <v/>
      </c>
      <c r="AH304" s="35" t="inlineStr">
        <is>
          <t>PARTIAL — class III reconciled, other classes not</t>
        </is>
      </c>
      <c r="AI304" s="31" t="inlineStr">
        <is>
          <t>https://lrflideres.com.br/wp-content/plugins/download-attachments/includes/download.php?id=7418</t>
        </is>
      </c>
      <c r="AJ304" s="30" t="inlineStr">
        <is>
          <t>p2 r51</t>
        </is>
      </c>
      <c r="AK304" s="30" t="inlineStr">
        <is>
          <t>p2: R$ 341.713,10</t>
        </is>
      </c>
      <c r="AL304" s="30" t="inlineStr">
        <is>
          <t>Debtor list (art. 51)</t>
        </is>
      </c>
      <c r="AM304" s="30" t="inlineStr">
        <is>
          <t>2026-07-28</t>
        </is>
      </c>
      <c r="AN304" s="30" t="inlineStr">
        <is>
          <t>NONE FOUND</t>
        </is>
      </c>
      <c r="AO304" s="32" t="inlineStr">
        <is>
          <t>0822279-56.2026.8.15.2001</t>
        </is>
      </c>
      <c r="AP304" s="32" t="inlineStr">
        <is>
          <t>TJPB</t>
        </is>
      </c>
      <c r="AQ304" s="32" t="inlineStr">
        <is>
          <t>Recuperação judicial</t>
        </is>
      </c>
      <c r="AR304" s="32" t="inlineStr">
        <is>
          <t>DataJud: no closure/falência movement</t>
        </is>
      </c>
      <c r="AS304" s="32" t="n">
        <v>2026</v>
      </c>
      <c r="AT304" s="32" t="inlineStr">
        <is>
          <t>live case, no plan document yet</t>
        </is>
      </c>
      <c r="AU304" s="32" t="inlineStr">
        <is>
          <t>00.149.703/0001-86</t>
        </is>
      </c>
      <c r="AV304" s="32" t="inlineStr">
        <is>
          <t>printed on the list (read twice)</t>
        </is>
      </c>
      <c r="AW304" s="32" t="inlineStr"/>
      <c r="AX304" s="32" t="inlineStr">
        <is>
          <t>RECIFE</t>
        </is>
      </c>
      <c r="AY304" s="32" t="inlineStr">
        <is>
          <t>PE</t>
        </is>
      </c>
      <c r="AZ304" s="32" t="inlineStr">
        <is>
          <t>Atividades de enfermagem</t>
        </is>
      </c>
      <c r="BA304" s="32" t="inlineStr">
        <is>
          <t>não ME/EPP</t>
        </is>
      </c>
      <c r="BB304" s="33" t="n">
        <v>1100</v>
      </c>
      <c r="BC304" s="32" t="inlineStr">
        <is>
          <t>MID-MARKET</t>
        </is>
      </c>
      <c r="BD304" s="32" t="inlineStr">
        <is>
          <t>40422448</t>
        </is>
      </c>
      <c r="BE304" s="32" t="n">
        <v>1</v>
      </c>
      <c r="BF304" s="32" t="inlineStr">
        <is>
          <t>class III reconciled (doc partial)</t>
        </is>
      </c>
    </row>
    <row r="305">
      <c r="A305" s="17" t="inlineStr">
        <is>
          <t>POLYEXCEL INDUSTRIA E COMERCIO DE COMPOSTOS POLIMERICOS LTDA</t>
        </is>
      </c>
      <c r="B305" s="18" t="n">
        <v>341250</v>
      </c>
      <c r="C305" s="19" t="inlineStr">
        <is>
          <t>Grupo Conduscabos</t>
        </is>
      </c>
      <c r="D305" s="20" t="inlineStr">
        <is>
          <t>NEW</t>
        </is>
      </c>
      <c r="E305" s="21" t="inlineStr"/>
      <c r="F305" s="20" t="inlineStr"/>
      <c r="G305" s="21" t="inlineStr"/>
      <c r="H305" s="20" t="inlineStr"/>
      <c r="I305" s="22" t="inlineStr">
        <is>
          <t>RODRIGO NACHLE BOREGGIO</t>
        </is>
      </c>
      <c r="J305" s="23" t="inlineStr">
        <is>
          <t>Sócio-Administrador (RFB partner)</t>
        </is>
      </c>
      <c r="K305" s="22" t="inlineStr">
        <is>
          <t>(11) 4161-6775</t>
        </is>
      </c>
      <c r="L305" s="22" t="inlineStr"/>
      <c r="M305" s="22" t="inlineStr"/>
      <c r="N305" s="22" t="inlineStr"/>
      <c r="O305" s="22" t="inlineStr"/>
      <c r="P305" s="22" t="inlineStr"/>
      <c r="Q305" s="22" t="inlineStr"/>
      <c r="R305" s="22" t="inlineStr"/>
      <c r="S305" s="22" t="inlineStr"/>
      <c r="T305" s="22" t="inlineStr">
        <is>
          <t>DM = registered partner (RFB QSA); no Apollo match</t>
        </is>
      </c>
      <c r="U305" s="24" t="n">
        <v>341250</v>
      </c>
      <c r="V305" s="25" t="inlineStr">
        <is>
          <t>B</t>
        </is>
      </c>
      <c r="W305" s="26" t="inlineStr"/>
      <c r="X305" s="27" t="inlineStr"/>
      <c r="Y305" s="27" t="inlineStr"/>
      <c r="Z305" s="26">
        <f>IF(W305&lt;&gt;"",W305,IFERROR(VLOOKUP(V305,Assumptions!$A$8:$F$12,2,FALSE),0))</f>
        <v/>
      </c>
      <c r="AA305" s="28">
        <f>IF(V305="A",MAX(1,IF(X305&lt;&gt;"",X305,IFERROR(VLOOKUP(V305,Assumptions!$A$8:$F$12,3,FALSE),3))+IF(Y305&lt;&gt;"",Y305,IFERROR(VLOOKUP(V305,Assumptions!$A$8:$F$12,4,FALSE),8))/2-MAX(0,IF(AS305="",0,YEAR(TODAY())-AS305)-IFERROR(VLOOKUP(V305,Assumptions!$A$8:$F$12,5,FALSE),1.5))),IFERROR(VLOOKUP(V305,Assumptions!$A$8:$F$12,5,FALSE),2.5)+IF(X305&lt;&gt;"",X305,IFERROR(VLOOKUP(V305,Assumptions!$A$8:$F$12,3,FALSE),3))+IF(Y305&lt;&gt;"",Y305,IFERROR(VLOOKUP(V305,Assumptions!$A$8:$F$12,4,FALSE),8))/2)</f>
        <v/>
      </c>
      <c r="AB305" s="24">
        <f>U305*Z305/(1+Assumptions!$B$3)^AA305</f>
        <v/>
      </c>
      <c r="AC305" s="27">
        <f>IF(U305=0,"",ROUND(AB305/U305*100,1))</f>
        <v/>
      </c>
      <c r="AD305" s="29">
        <f>AB305*Assumptions!$B$4</f>
        <v/>
      </c>
      <c r="AE305" s="27">
        <f>IF(U305=0,"",ROUND(AD305/U305*100,1))</f>
        <v/>
      </c>
      <c r="AF305" s="29">
        <f>AB305-AD305</f>
        <v/>
      </c>
      <c r="AG305" s="27">
        <f>IF(U305=0,"",ROUND((AB305-AD305)/U305*100,1))</f>
        <v/>
      </c>
      <c r="AH305" s="34" t="inlineStr">
        <is>
          <t>NO TOTALS — list prints none; check page</t>
        </is>
      </c>
      <c r="AI305" s="31" t="inlineStr">
        <is>
          <t>https://assistjud.com.br/wp-content/uploads/elementor/forms/65098c80a5824.pdf</t>
        </is>
      </c>
      <c r="AJ305" s="30" t="inlineStr">
        <is>
          <t>p9 r6</t>
        </is>
      </c>
      <c r="AK305" s="30" t="inlineStr">
        <is>
          <t>p9: R$ 341.250,00</t>
        </is>
      </c>
      <c r="AL305" s="30" t="inlineStr">
        <is>
          <t>AJ list (art. 7 §2)</t>
        </is>
      </c>
      <c r="AM305" s="30" t="inlineStr">
        <is>
          <t>2023-09-18</t>
        </is>
      </c>
      <c r="AN305" s="30" t="inlineStr">
        <is>
          <t>NONE FOUND</t>
        </is>
      </c>
      <c r="AO305" s="32" t="inlineStr">
        <is>
          <t>8005129-09.2023.8.05.0039</t>
        </is>
      </c>
      <c r="AP305" s="32" t="inlineStr">
        <is>
          <t>TJBA</t>
        </is>
      </c>
      <c r="AQ305" s="32" t="inlineStr">
        <is>
          <t>Recuperação judicial</t>
        </is>
      </c>
      <c r="AR305" s="32" t="inlineStr">
        <is>
          <t>DataJud: no closure/falência movement</t>
        </is>
      </c>
      <c r="AS305" s="32" t="n">
        <v>2023</v>
      </c>
      <c r="AT305" s="32" t="inlineStr">
        <is>
          <t>live case, no plan document yet</t>
        </is>
      </c>
      <c r="AU305" s="32" t="inlineStr"/>
      <c r="AV305" s="32" t="inlineStr">
        <is>
          <t>printed on the list (read twice)</t>
        </is>
      </c>
      <c r="AW305" s="32" t="inlineStr"/>
      <c r="AX305" s="32" t="inlineStr">
        <is>
          <t>BARUERI</t>
        </is>
      </c>
      <c r="AY305" s="32" t="inlineStr">
        <is>
          <t>SP</t>
        </is>
      </c>
      <c r="AZ305" s="32" t="inlineStr">
        <is>
          <t>Fabricação de artefatos de material plástico para usos industriais</t>
        </is>
      </c>
      <c r="BA305" s="32" t="inlineStr">
        <is>
          <t>não ME/EPP</t>
        </is>
      </c>
      <c r="BB305" s="33" t="n">
        <v>10808744</v>
      </c>
      <c r="BC305" s="32" t="inlineStr">
        <is>
          <t>MID-MARKET</t>
        </is>
      </c>
      <c r="BD305" s="32" t="inlineStr">
        <is>
          <t>14492564</t>
        </is>
      </c>
      <c r="BE305" s="32" t="n">
        <v>1</v>
      </c>
      <c r="BF305" s="32" t="inlineStr">
        <is>
          <t>list prints no totals</t>
        </is>
      </c>
    </row>
    <row r="306">
      <c r="A306" s="17" t="inlineStr">
        <is>
          <t>ENGASTE PROJETOS, CONSTRUCOES E INCORPORACOES LTDA</t>
        </is>
      </c>
      <c r="B306" s="18" t="n">
        <v>340000</v>
      </c>
      <c r="C306" s="37" t="inlineStr">
        <is>
          <t>(debtor not identified — see proof)</t>
        </is>
      </c>
      <c r="D306" s="20" t="inlineStr">
        <is>
          <t>NEW</t>
        </is>
      </c>
      <c r="E306" s="21" t="inlineStr"/>
      <c r="F306" s="20" t="inlineStr"/>
      <c r="G306" s="21" t="inlineStr"/>
      <c r="H306" s="20" t="inlineStr"/>
      <c r="I306" s="22" t="inlineStr">
        <is>
          <t>ANDRE CARLOS PAGOTTO</t>
        </is>
      </c>
      <c r="J306" s="23" t="inlineStr">
        <is>
          <t>Sócio-Administrador (RFB partner)</t>
        </is>
      </c>
      <c r="K306" s="22" t="inlineStr">
        <is>
          <t>(49) 3425-9203</t>
        </is>
      </c>
      <c r="L306" s="22" t="inlineStr"/>
      <c r="M306" s="22" t="inlineStr"/>
      <c r="N306" s="22" t="inlineStr"/>
      <c r="O306" s="22" t="inlineStr"/>
      <c r="P306" s="22" t="inlineStr">
        <is>
          <t>DANIEL BARBIERI</t>
        </is>
      </c>
      <c r="Q306" s="22" t="inlineStr">
        <is>
          <t>Sócio-Administrador (RFB partner)</t>
        </is>
      </c>
      <c r="R306" s="22" t="inlineStr"/>
      <c r="S306" s="22" t="inlineStr"/>
      <c r="T306" s="22" t="inlineStr">
        <is>
          <t>DM = registered partner (RFB QSA); no Apollo match</t>
        </is>
      </c>
      <c r="U306" s="24" t="n">
        <v>340000</v>
      </c>
      <c r="V306" s="25" t="inlineStr">
        <is>
          <t>B</t>
        </is>
      </c>
      <c r="W306" s="26" t="inlineStr"/>
      <c r="X306" s="27" t="inlineStr"/>
      <c r="Y306" s="27" t="inlineStr"/>
      <c r="Z306" s="26">
        <f>IF(W306&lt;&gt;"",W306,IFERROR(VLOOKUP(V306,Assumptions!$A$8:$F$12,2,FALSE),0))</f>
        <v/>
      </c>
      <c r="AA306" s="28">
        <f>IF(V306="A",MAX(1,IF(X306&lt;&gt;"",X306,IFERROR(VLOOKUP(V306,Assumptions!$A$8:$F$12,3,FALSE),3))+IF(Y306&lt;&gt;"",Y306,IFERROR(VLOOKUP(V306,Assumptions!$A$8:$F$12,4,FALSE),8))/2-MAX(0,IF(AS306="",0,YEAR(TODAY())-AS306)-IFERROR(VLOOKUP(V306,Assumptions!$A$8:$F$12,5,FALSE),1.5))),IFERROR(VLOOKUP(V306,Assumptions!$A$8:$F$12,5,FALSE),2.5)+IF(X306&lt;&gt;"",X306,IFERROR(VLOOKUP(V306,Assumptions!$A$8:$F$12,3,FALSE),3))+IF(Y306&lt;&gt;"",Y306,IFERROR(VLOOKUP(V306,Assumptions!$A$8:$F$12,4,FALSE),8))/2)</f>
        <v/>
      </c>
      <c r="AB306" s="24">
        <f>U306*Z306/(1+Assumptions!$B$3)^AA306</f>
        <v/>
      </c>
      <c r="AC306" s="27">
        <f>IF(U306=0,"",ROUND(AB306/U306*100,1))</f>
        <v/>
      </c>
      <c r="AD306" s="29">
        <f>AB306*Assumptions!$B$4</f>
        <v/>
      </c>
      <c r="AE306" s="27">
        <f>IF(U306=0,"",ROUND(AD306/U306*100,1))</f>
        <v/>
      </c>
      <c r="AF306" s="29">
        <f>AB306-AD306</f>
        <v/>
      </c>
      <c r="AG306" s="27">
        <f>IF(U306=0,"",ROUND((AB306-AD306)/U306*100,1))</f>
        <v/>
      </c>
      <c r="AH306" s="34" t="inlineStr">
        <is>
          <t>NO TOTALS — list prints none; check page</t>
        </is>
      </c>
      <c r="AI306" s="31" t="inlineStr">
        <is>
          <t>https://scalzilliaj.com.br/sgc/download.php?file=files/processo_documento/processo_documento15180810062026_1_.pdf&amp;nome=10 - Relação de credores do art. 7º, §2º, da Lei 11.101/2005</t>
        </is>
      </c>
      <c r="AJ306" s="30" t="inlineStr">
        <is>
          <t>p1 r47</t>
        </is>
      </c>
      <c r="AK306" s="30" t="inlineStr">
        <is>
          <t>p1: R$ 340.000,00</t>
        </is>
      </c>
      <c r="AL306" s="30" t="inlineStr">
        <is>
          <t>AJ list (art. 7 §2)</t>
        </is>
      </c>
      <c r="AM306" s="30" t="inlineStr"/>
      <c r="AN306" s="30" t="inlineStr">
        <is>
          <t>NONE FOUND</t>
        </is>
      </c>
      <c r="AO306" s="32" t="inlineStr">
        <is>
          <t>5009529-81.2025.8.24.0019</t>
        </is>
      </c>
      <c r="AP306" s="32" t="inlineStr">
        <is>
          <t>TJSC</t>
        </is>
      </c>
      <c r="AQ306" s="32" t="inlineStr"/>
      <c r="AR306" s="32" t="inlineStr">
        <is>
          <t>not in DataJud</t>
        </is>
      </c>
      <c r="AS306" s="32" t="n">
        <v>2025</v>
      </c>
      <c r="AT306" s="32" t="inlineStr">
        <is>
          <t>live case, no plan document yet; case no. from the portal record, not printed on the list</t>
        </is>
      </c>
      <c r="AU306" s="32" t="inlineStr"/>
      <c r="AV306" s="32" t="inlineStr">
        <is>
          <t>not identified</t>
        </is>
      </c>
      <c r="AW306" s="32" t="inlineStr"/>
      <c r="AX306" s="32" t="inlineStr">
        <is>
          <t>CONCORDIA</t>
        </is>
      </c>
      <c r="AY306" s="32" t="inlineStr">
        <is>
          <t>SC</t>
        </is>
      </c>
      <c r="AZ306" s="32" t="inlineStr">
        <is>
          <t>Serviços de engenharia</t>
        </is>
      </c>
      <c r="BA306" s="32" t="inlineStr">
        <is>
          <t>EMPRESA DE PEQUENO PORTE</t>
        </is>
      </c>
      <c r="BB306" s="33" t="n">
        <v>1500000</v>
      </c>
      <c r="BC306" s="32" t="inlineStr">
        <is>
          <t>SMALL</t>
        </is>
      </c>
      <c r="BD306" s="32" t="inlineStr">
        <is>
          <t>08578161</t>
        </is>
      </c>
      <c r="BE306" s="32" t="n">
        <v>1</v>
      </c>
      <c r="BF306" s="32" t="inlineStr">
        <is>
          <t>list prints no totals</t>
        </is>
      </c>
    </row>
    <row r="307">
      <c r="A307" s="17" t="inlineStr">
        <is>
          <t>INDUSTRIA E COMERCIO DE FARINHA JAGUA LTDA.</t>
        </is>
      </c>
      <c r="B307" s="18" t="n">
        <v>339668</v>
      </c>
      <c r="C307" s="19" t="inlineStr">
        <is>
          <t>Grupo Agromeal</t>
        </is>
      </c>
      <c r="D307" s="20" t="inlineStr">
        <is>
          <t>NEW</t>
        </is>
      </c>
      <c r="E307" s="21" t="inlineStr"/>
      <c r="F307" s="20" t="inlineStr"/>
      <c r="G307" s="21" t="inlineStr"/>
      <c r="H307" s="20" t="inlineStr"/>
      <c r="I307" s="22" t="inlineStr">
        <is>
          <t>PAULO SERGIO BOTAZZARI</t>
        </is>
      </c>
      <c r="J307" s="23" t="inlineStr">
        <is>
          <t>Administrador (RFB partner)</t>
        </is>
      </c>
      <c r="K307" s="22" t="inlineStr">
        <is>
          <t>(43) 3272-8038</t>
        </is>
      </c>
      <c r="L307" s="22" t="inlineStr"/>
      <c r="M307" s="22" t="inlineStr"/>
      <c r="N307" s="22" t="inlineStr"/>
      <c r="O307" s="22" t="inlineStr"/>
      <c r="P307" s="22" t="inlineStr">
        <is>
          <t>SIDNEI DONIZETE BOTTAZZARI</t>
        </is>
      </c>
      <c r="Q307" s="22" t="inlineStr">
        <is>
          <t>Administrador (RFB partner)</t>
        </is>
      </c>
      <c r="R307" s="22" t="inlineStr"/>
      <c r="S307" s="22" t="inlineStr"/>
      <c r="T307" s="22" t="inlineStr">
        <is>
          <t>DM = registered partner (RFB QSA); no Apollo match</t>
        </is>
      </c>
      <c r="U307" s="24" t="n">
        <v>339668</v>
      </c>
      <c r="V307" s="25" t="inlineStr">
        <is>
          <t>B</t>
        </is>
      </c>
      <c r="W307" s="26" t="inlineStr"/>
      <c r="X307" s="27" t="inlineStr"/>
      <c r="Y307" s="27" t="inlineStr"/>
      <c r="Z307" s="26">
        <f>IF(W307&lt;&gt;"",W307,IFERROR(VLOOKUP(V307,Assumptions!$A$8:$F$12,2,FALSE),0))</f>
        <v/>
      </c>
      <c r="AA307" s="28">
        <f>IF(V307="A",MAX(1,IF(X307&lt;&gt;"",X307,IFERROR(VLOOKUP(V307,Assumptions!$A$8:$F$12,3,FALSE),3))+IF(Y307&lt;&gt;"",Y307,IFERROR(VLOOKUP(V307,Assumptions!$A$8:$F$12,4,FALSE),8))/2-MAX(0,IF(AS307="",0,YEAR(TODAY())-AS307)-IFERROR(VLOOKUP(V307,Assumptions!$A$8:$F$12,5,FALSE),1.5))),IFERROR(VLOOKUP(V307,Assumptions!$A$8:$F$12,5,FALSE),2.5)+IF(X307&lt;&gt;"",X307,IFERROR(VLOOKUP(V307,Assumptions!$A$8:$F$12,3,FALSE),3))+IF(Y307&lt;&gt;"",Y307,IFERROR(VLOOKUP(V307,Assumptions!$A$8:$F$12,4,FALSE),8))/2)</f>
        <v/>
      </c>
      <c r="AB307" s="24">
        <f>U307*Z307/(1+Assumptions!$B$3)^AA307</f>
        <v/>
      </c>
      <c r="AC307" s="27">
        <f>IF(U307=0,"",ROUND(AB307/U307*100,1))</f>
        <v/>
      </c>
      <c r="AD307" s="29">
        <f>AB307*Assumptions!$B$4</f>
        <v/>
      </c>
      <c r="AE307" s="27">
        <f>IF(U307=0,"",ROUND(AD307/U307*100,1))</f>
        <v/>
      </c>
      <c r="AF307" s="29">
        <f>AB307-AD307</f>
        <v/>
      </c>
      <c r="AG307" s="27">
        <f>IF(U307=0,"",ROUND((AB307-AD307)/U307*100,1))</f>
        <v/>
      </c>
      <c r="AH307" s="35" t="inlineStr">
        <is>
          <t>PARTIAL — class III reconciled, other classes not</t>
        </is>
      </c>
      <c r="AI307" s="31" t="inlineStr">
        <is>
          <t>https://marquesadmjudicial.com.br/sgc/download.php?file=files/processo_documento/processo_documento17040729052024_1_.pdf&amp;nome=Relação Nominal de Credores AJ-Sintética</t>
        </is>
      </c>
      <c r="AJ307" s="30" t="inlineStr">
        <is>
          <t>p11 r18</t>
        </is>
      </c>
      <c r="AK307" s="30" t="inlineStr">
        <is>
          <t>p11: R$ 339.668,00</t>
        </is>
      </c>
      <c r="AL307" s="30" t="inlineStr">
        <is>
          <t>AJ list (art. 7 §2)</t>
        </is>
      </c>
      <c r="AM307" s="30" t="inlineStr">
        <is>
          <t>2024-05-27</t>
        </is>
      </c>
      <c r="AN307" s="30" t="inlineStr">
        <is>
          <t>NONE FOUND</t>
        </is>
      </c>
      <c r="AO307" s="32" t="inlineStr">
        <is>
          <t>0003971-03.2023.8.16.0119</t>
        </is>
      </c>
      <c r="AP307" s="32" t="inlineStr">
        <is>
          <t>TJPR</t>
        </is>
      </c>
      <c r="AQ307" s="32" t="inlineStr">
        <is>
          <t>Recuperação judicial</t>
        </is>
      </c>
      <c r="AR307" s="32" t="inlineStr">
        <is>
          <t>DataJud: no closure/falência movement</t>
        </is>
      </c>
      <c r="AS307" s="32" t="n">
        <v>2023</v>
      </c>
      <c r="AT307" s="32" t="inlineStr">
        <is>
          <t>live case, no plan document yet</t>
        </is>
      </c>
      <c r="AU307" s="32" t="inlineStr">
        <is>
          <t>11.624.776/0001-07</t>
        </is>
      </c>
      <c r="AV307" s="32" t="inlineStr">
        <is>
          <t>printed on the list (read twice)</t>
        </is>
      </c>
      <c r="AW307" s="32" t="inlineStr"/>
      <c r="AX307" s="32" t="inlineStr">
        <is>
          <t>JAGUAPITA</t>
        </is>
      </c>
      <c r="AY307" s="32" t="inlineStr">
        <is>
          <t>PR</t>
        </is>
      </c>
      <c r="AZ307" s="32" t="inlineStr">
        <is>
          <t>Fabricação de alimentos para animais</t>
        </is>
      </c>
      <c r="BA307" s="32" t="inlineStr">
        <is>
          <t>não ME/EPP</t>
        </is>
      </c>
      <c r="BB307" s="33" t="n">
        <v>824500</v>
      </c>
      <c r="BC307" s="32" t="inlineStr">
        <is>
          <t>MID-MARKET</t>
        </is>
      </c>
      <c r="BD307" s="32" t="inlineStr">
        <is>
          <t>10159120</t>
        </is>
      </c>
      <c r="BE307" s="32" t="n">
        <v>1</v>
      </c>
      <c r="BF307" s="32" t="inlineStr">
        <is>
          <t>class III reconciled (doc partial)</t>
        </is>
      </c>
    </row>
    <row r="308">
      <c r="A308" s="17" t="inlineStr">
        <is>
          <t>EMPRESA BRASILEIRA DE BENEFICIOS E PAGAMENTOS INSTITUICAO DE PAGAMENTO LTDA</t>
        </is>
      </c>
      <c r="B308" s="18" t="n">
        <v>336951.3</v>
      </c>
      <c r="C308" s="19" t="inlineStr">
        <is>
          <t>REAL DISTRIBUIDORA ÚNICA RIO COMÉRCIO DE REFRIGERAÇÃO LTDA.</t>
        </is>
      </c>
      <c r="D308" s="20" t="inlineStr">
        <is>
          <t>NEW</t>
        </is>
      </c>
      <c r="E308" s="21" t="inlineStr"/>
      <c r="F308" s="20" t="inlineStr"/>
      <c r="G308" s="21" t="inlineStr"/>
      <c r="H308" s="20" t="inlineStr"/>
      <c r="I308" s="22" t="inlineStr">
        <is>
          <t>EDUARDO BRAZ DEL GIGLIO</t>
        </is>
      </c>
      <c r="J308" s="23" t="inlineStr">
        <is>
          <t>Administrador (RFB partner)</t>
        </is>
      </c>
      <c r="K308" s="22" t="inlineStr">
        <is>
          <t>(11) 9999-9999</t>
        </is>
      </c>
      <c r="L308" s="22" t="inlineStr"/>
      <c r="M308" s="22" t="inlineStr"/>
      <c r="N308" s="22" t="inlineStr"/>
      <c r="O308" s="22" t="inlineStr"/>
      <c r="P308" s="22" t="inlineStr">
        <is>
          <t>GABRIEL RAMIREZ COELHO</t>
        </is>
      </c>
      <c r="Q308" s="22" t="inlineStr">
        <is>
          <t>Administrador (RFB partner)</t>
        </is>
      </c>
      <c r="R308" s="22" t="inlineStr"/>
      <c r="S308" s="22" t="inlineStr"/>
      <c r="T308" s="22" t="inlineStr">
        <is>
          <t>DM = registered partner (RFB QSA); no Apollo match</t>
        </is>
      </c>
      <c r="U308" s="24" t="n">
        <v>336951.3</v>
      </c>
      <c r="V308" s="25" t="inlineStr">
        <is>
          <t>B</t>
        </is>
      </c>
      <c r="W308" s="26" t="inlineStr"/>
      <c r="X308" s="27" t="inlineStr"/>
      <c r="Y308" s="27" t="inlineStr"/>
      <c r="Z308" s="26">
        <f>IF(W308&lt;&gt;"",W308,IFERROR(VLOOKUP(V308,Assumptions!$A$8:$F$12,2,FALSE),0))</f>
        <v/>
      </c>
      <c r="AA308" s="28">
        <f>IF(V308="A",MAX(1,IF(X308&lt;&gt;"",X308,IFERROR(VLOOKUP(V308,Assumptions!$A$8:$F$12,3,FALSE),3))+IF(Y308&lt;&gt;"",Y308,IFERROR(VLOOKUP(V308,Assumptions!$A$8:$F$12,4,FALSE),8))/2-MAX(0,IF(AS308="",0,YEAR(TODAY())-AS308)-IFERROR(VLOOKUP(V308,Assumptions!$A$8:$F$12,5,FALSE),1.5))),IFERROR(VLOOKUP(V308,Assumptions!$A$8:$F$12,5,FALSE),2.5)+IF(X308&lt;&gt;"",X308,IFERROR(VLOOKUP(V308,Assumptions!$A$8:$F$12,3,FALSE),3))+IF(Y308&lt;&gt;"",Y308,IFERROR(VLOOKUP(V308,Assumptions!$A$8:$F$12,4,FALSE),8))/2)</f>
        <v/>
      </c>
      <c r="AB308" s="24">
        <f>U308*Z308/(1+Assumptions!$B$3)^AA308</f>
        <v/>
      </c>
      <c r="AC308" s="27">
        <f>IF(U308=0,"",ROUND(AB308/U308*100,1))</f>
        <v/>
      </c>
      <c r="AD308" s="29">
        <f>AB308*Assumptions!$B$4</f>
        <v/>
      </c>
      <c r="AE308" s="27">
        <f>IF(U308=0,"",ROUND(AD308/U308*100,1))</f>
        <v/>
      </c>
      <c r="AF308" s="29">
        <f>AB308-AD308</f>
        <v/>
      </c>
      <c r="AG308" s="27">
        <f>IF(U308=0,"",ROUND((AB308-AD308)/U308*100,1))</f>
        <v/>
      </c>
      <c r="AH308" s="30" t="inlineStr">
        <is>
          <t>OK — totals reconciled</t>
        </is>
      </c>
      <c r="AI308" s="31" t="inlineStr">
        <is>
          <t>https://inova-aj.com.br/wp-content/uploads/2026/08/1a-Relacao-de-Credores-Real.pdf</t>
        </is>
      </c>
      <c r="AJ308" s="30" t="inlineStr">
        <is>
          <t>p1 r28</t>
        </is>
      </c>
      <c r="AK308" s="30" t="inlineStr">
        <is>
          <t>p1: R$ 336.951,30</t>
        </is>
      </c>
      <c r="AL308" s="30" t="inlineStr">
        <is>
          <t>AJ list (art. 7 §2)</t>
        </is>
      </c>
      <c r="AM308" s="30" t="inlineStr">
        <is>
          <t>2023-06-05</t>
        </is>
      </c>
      <c r="AN308" s="30" t="inlineStr">
        <is>
          <t>NONE FOUND</t>
        </is>
      </c>
      <c r="AO308" s="32" t="inlineStr">
        <is>
          <t>0873061-47.2023.8.19.0001</t>
        </is>
      </c>
      <c r="AP308" s="32" t="inlineStr">
        <is>
          <t>TJRJ</t>
        </is>
      </c>
      <c r="AQ308" s="32" t="inlineStr">
        <is>
          <t>Recuperação judicial</t>
        </is>
      </c>
      <c r="AR308" s="32" t="inlineStr">
        <is>
          <t>not in DataJud</t>
        </is>
      </c>
      <c r="AS308" s="32" t="n">
        <v>2023</v>
      </c>
      <c r="AT308" s="32" t="inlineStr">
        <is>
          <t>live case, no plan document yet; case no. from the portal record, not printed on the list</t>
        </is>
      </c>
      <c r="AU308" s="32" t="inlineStr"/>
      <c r="AV308" s="32" t="inlineStr">
        <is>
          <t>printed on the list (read twice)</t>
        </is>
      </c>
      <c r="AW308" s="32" t="inlineStr"/>
      <c r="AX308" s="32" t="inlineStr">
        <is>
          <t>SAO PAULO</t>
        </is>
      </c>
      <c r="AY308" s="32" t="inlineStr">
        <is>
          <t>SP</t>
        </is>
      </c>
      <c r="AZ308" s="32" t="inlineStr">
        <is>
          <t>Emissão de vales-alimentação, vales-transporte e similares</t>
        </is>
      </c>
      <c r="BA308" s="32" t="inlineStr">
        <is>
          <t>não ME/EPP</t>
        </is>
      </c>
      <c r="BB308" s="33" t="n">
        <v>178728200</v>
      </c>
      <c r="BC308" s="32" t="inlineStr">
        <is>
          <t>MID-MARKET</t>
        </is>
      </c>
      <c r="BD308" s="32" t="inlineStr">
        <is>
          <t>33449007</t>
        </is>
      </c>
      <c r="BE308" s="32" t="n">
        <v>1</v>
      </c>
      <c r="BF308" s="32" t="inlineStr">
        <is>
          <t>ALT_VALUE:R$245.000,00</t>
        </is>
      </c>
    </row>
    <row r="309">
      <c r="A309" s="17" t="inlineStr">
        <is>
          <t>GJM INDUSTRIA DE COUROS LTDA</t>
        </is>
      </c>
      <c r="B309" s="18" t="n">
        <v>332923.32</v>
      </c>
      <c r="C309" s="19" t="inlineStr">
        <is>
          <t>GRUPO DIVINA</t>
        </is>
      </c>
      <c r="D309" s="20" t="inlineStr">
        <is>
          <t>NEW</t>
        </is>
      </c>
      <c r="E309" s="21" t="inlineStr"/>
      <c r="F309" s="20" t="inlineStr"/>
      <c r="G309" s="21" t="inlineStr"/>
      <c r="H309" s="20" t="inlineStr"/>
      <c r="I309" s="22" t="inlineStr">
        <is>
          <t>GUSTAVO LUIZ PEREIRA MACHADO</t>
        </is>
      </c>
      <c r="J309" s="23" t="inlineStr">
        <is>
          <t>Sócio-Administrador (RFB partner)</t>
        </is>
      </c>
      <c r="K309" s="22" t="inlineStr">
        <is>
          <t>(75) 3221-2769</t>
        </is>
      </c>
      <c r="L309" s="22" t="inlineStr"/>
      <c r="M309" s="22" t="inlineStr"/>
      <c r="N309" s="22" t="inlineStr"/>
      <c r="O309" s="22" t="inlineStr"/>
      <c r="P309" s="22" t="inlineStr"/>
      <c r="Q309" s="22" t="inlineStr"/>
      <c r="R309" s="22" t="inlineStr"/>
      <c r="S309" s="22" t="inlineStr"/>
      <c r="T309" s="22" t="inlineStr">
        <is>
          <t>DM = registered partner (RFB QSA); no Apollo match</t>
        </is>
      </c>
      <c r="U309" s="24" t="n">
        <v>332923.32</v>
      </c>
      <c r="V309" s="25" t="inlineStr">
        <is>
          <t>B</t>
        </is>
      </c>
      <c r="W309" s="26" t="inlineStr"/>
      <c r="X309" s="27" t="inlineStr"/>
      <c r="Y309" s="27" t="inlineStr"/>
      <c r="Z309" s="26">
        <f>IF(W309&lt;&gt;"",W309,IFERROR(VLOOKUP(V309,Assumptions!$A$8:$F$12,2,FALSE),0))</f>
        <v/>
      </c>
      <c r="AA309" s="28">
        <f>IF(V309="A",MAX(1,IF(X309&lt;&gt;"",X309,IFERROR(VLOOKUP(V309,Assumptions!$A$8:$F$12,3,FALSE),3))+IF(Y309&lt;&gt;"",Y309,IFERROR(VLOOKUP(V309,Assumptions!$A$8:$F$12,4,FALSE),8))/2-MAX(0,IF(AS309="",0,YEAR(TODAY())-AS309)-IFERROR(VLOOKUP(V309,Assumptions!$A$8:$F$12,5,FALSE),1.5))),IFERROR(VLOOKUP(V309,Assumptions!$A$8:$F$12,5,FALSE),2.5)+IF(X309&lt;&gt;"",X309,IFERROR(VLOOKUP(V309,Assumptions!$A$8:$F$12,3,FALSE),3))+IF(Y309&lt;&gt;"",Y309,IFERROR(VLOOKUP(V309,Assumptions!$A$8:$F$12,4,FALSE),8))/2)</f>
        <v/>
      </c>
      <c r="AB309" s="24">
        <f>U309*Z309/(1+Assumptions!$B$3)^AA309</f>
        <v/>
      </c>
      <c r="AC309" s="27">
        <f>IF(U309=0,"",ROUND(AB309/U309*100,1))</f>
        <v/>
      </c>
      <c r="AD309" s="29">
        <f>AB309*Assumptions!$B$4</f>
        <v/>
      </c>
      <c r="AE309" s="27">
        <f>IF(U309=0,"",ROUND(AD309/U309*100,1))</f>
        <v/>
      </c>
      <c r="AF309" s="29">
        <f>AB309-AD309</f>
        <v/>
      </c>
      <c r="AG309" s="27">
        <f>IF(U309=0,"",ROUND((AB309-AD309)/U309*100,1))</f>
        <v/>
      </c>
      <c r="AH309" s="35" t="inlineStr">
        <is>
          <t>PARTIAL — class III reconciled, other classes not</t>
        </is>
      </c>
      <c r="AI309" s="31" t="inlineStr">
        <is>
          <t>https://lrflideres.com.br/wp-content/plugins/download-attachments/includes/download.php?id=6252</t>
        </is>
      </c>
      <c r="AJ309" s="30" t="inlineStr">
        <is>
          <t>p2 r47</t>
        </is>
      </c>
      <c r="AK309" s="30" t="inlineStr">
        <is>
          <t>p2: R$ 332.923,32</t>
        </is>
      </c>
      <c r="AL309" s="30" t="inlineStr">
        <is>
          <t>AJ list (art. 7 §2)</t>
        </is>
      </c>
      <c r="AM309" s="30" t="inlineStr">
        <is>
          <t>2024-11-27</t>
        </is>
      </c>
      <c r="AN309" s="30" t="inlineStr">
        <is>
          <t>NONE FOUND</t>
        </is>
      </c>
      <c r="AO309" s="32" t="inlineStr">
        <is>
          <t>0000721-61.2024.8.17.2620</t>
        </is>
      </c>
      <c r="AP309" s="32" t="inlineStr">
        <is>
          <t>TJPE</t>
        </is>
      </c>
      <c r="AQ309" s="32" t="inlineStr">
        <is>
          <t>Recuperação judicial</t>
        </is>
      </c>
      <c r="AR309" s="32" t="inlineStr">
        <is>
          <t>DataJud: no closure/falência movement</t>
        </is>
      </c>
      <c r="AS309" s="32" t="n">
        <v>2024</v>
      </c>
      <c r="AT309" s="32" t="inlineStr">
        <is>
          <t>live case, no plan document yet</t>
        </is>
      </c>
      <c r="AU309" s="32" t="inlineStr">
        <is>
          <t>08.785.522/0001-58</t>
        </is>
      </c>
      <c r="AV309" s="32" t="inlineStr">
        <is>
          <t>printed on the list (read twice)</t>
        </is>
      </c>
      <c r="AW309" s="32" t="inlineStr"/>
      <c r="AX309" s="32" t="inlineStr">
        <is>
          <t>ALAGOINHAS</t>
        </is>
      </c>
      <c r="AY309" s="32" t="inlineStr">
        <is>
          <t>BA</t>
        </is>
      </c>
      <c r="AZ309" s="32" t="inlineStr">
        <is>
          <t>Curtimento e outras preparações de couro</t>
        </is>
      </c>
      <c r="BA309" s="32" t="inlineStr">
        <is>
          <t>não ME/EPP</t>
        </is>
      </c>
      <c r="BB309" s="33" t="n">
        <v>150000</v>
      </c>
      <c r="BC309" s="32" t="inlineStr">
        <is>
          <t>MID-MARKET</t>
        </is>
      </c>
      <c r="BD309" s="32" t="inlineStr">
        <is>
          <t>28809368</t>
        </is>
      </c>
      <c r="BE309" s="32" t="n">
        <v>1</v>
      </c>
      <c r="BF309" s="32" t="inlineStr">
        <is>
          <t>class III reconciled (doc partial)</t>
        </is>
      </c>
    </row>
    <row r="310">
      <c r="A310" s="17" t="inlineStr">
        <is>
          <t>PERFILAGES COMERCIO VAREJISTA E ATACADISTA DE ALUMINIO LTDA</t>
        </is>
      </c>
      <c r="B310" s="18" t="n">
        <v>332469.93</v>
      </c>
      <c r="C310" s="37" t="inlineStr">
        <is>
          <t>(debtor not identified — see proof)</t>
        </is>
      </c>
      <c r="D310" s="20" t="inlineStr">
        <is>
          <t>NEW</t>
        </is>
      </c>
      <c r="E310" s="21" t="inlineStr"/>
      <c r="F310" s="20" t="inlineStr"/>
      <c r="G310" s="21" t="inlineStr"/>
      <c r="H310" s="20" t="inlineStr"/>
      <c r="I310" s="22" t="inlineStr">
        <is>
          <t>MARCEL BIANCO RICARDO</t>
        </is>
      </c>
      <c r="J310" s="23" t="inlineStr">
        <is>
          <t>Sócio-Administrador (RFB partner)</t>
        </is>
      </c>
      <c r="K310" s="22" t="inlineStr">
        <is>
          <t>(49) 3225-0075</t>
        </is>
      </c>
      <c r="L310" s="22" t="inlineStr"/>
      <c r="M310" s="22" t="inlineStr"/>
      <c r="N310" s="22" t="inlineStr"/>
      <c r="O310" s="22" t="inlineStr"/>
      <c r="P310" s="22" t="inlineStr"/>
      <c r="Q310" s="22" t="inlineStr"/>
      <c r="R310" s="22" t="inlineStr"/>
      <c r="S310" s="22" t="inlineStr"/>
      <c r="T310" s="22" t="inlineStr">
        <is>
          <t>DM = registered partner (RFB QSA); no Apollo match</t>
        </is>
      </c>
      <c r="U310" s="24" t="n">
        <v>332469.93</v>
      </c>
      <c r="V310" s="25" t="inlineStr">
        <is>
          <t>B</t>
        </is>
      </c>
      <c r="W310" s="26" t="inlineStr"/>
      <c r="X310" s="27" t="inlineStr"/>
      <c r="Y310" s="27" t="inlineStr"/>
      <c r="Z310" s="26">
        <f>IF(W310&lt;&gt;"",W310,IFERROR(VLOOKUP(V310,Assumptions!$A$8:$F$12,2,FALSE),0))</f>
        <v/>
      </c>
      <c r="AA310" s="28">
        <f>IF(V310="A",MAX(1,IF(X310&lt;&gt;"",X310,IFERROR(VLOOKUP(V310,Assumptions!$A$8:$F$12,3,FALSE),3))+IF(Y310&lt;&gt;"",Y310,IFERROR(VLOOKUP(V310,Assumptions!$A$8:$F$12,4,FALSE),8))/2-MAX(0,IF(AS310="",0,YEAR(TODAY())-AS310)-IFERROR(VLOOKUP(V310,Assumptions!$A$8:$F$12,5,FALSE),1.5))),IFERROR(VLOOKUP(V310,Assumptions!$A$8:$F$12,5,FALSE),2.5)+IF(X310&lt;&gt;"",X310,IFERROR(VLOOKUP(V310,Assumptions!$A$8:$F$12,3,FALSE),3))+IF(Y310&lt;&gt;"",Y310,IFERROR(VLOOKUP(V310,Assumptions!$A$8:$F$12,4,FALSE),8))/2)</f>
        <v/>
      </c>
      <c r="AB310" s="24">
        <f>U310*Z310/(1+Assumptions!$B$3)^AA310</f>
        <v/>
      </c>
      <c r="AC310" s="27">
        <f>IF(U310=0,"",ROUND(AB310/U310*100,1))</f>
        <v/>
      </c>
      <c r="AD310" s="29">
        <f>AB310*Assumptions!$B$4</f>
        <v/>
      </c>
      <c r="AE310" s="27">
        <f>IF(U310=0,"",ROUND(AD310/U310*100,1))</f>
        <v/>
      </c>
      <c r="AF310" s="29">
        <f>AB310-AD310</f>
        <v/>
      </c>
      <c r="AG310" s="27">
        <f>IF(U310=0,"",ROUND((AB310-AD310)/U310*100,1))</f>
        <v/>
      </c>
      <c r="AH310" s="34" t="inlineStr">
        <is>
          <t>NO TOTALS — list prints none; check page</t>
        </is>
      </c>
      <c r="AI310" s="31" t="inlineStr">
        <is>
          <t>https://scalzilliaj.com.br/sgc/download.php?file=files/processo_documento/processo_documento15180810062026_1_.pdf&amp;nome=10 - Relação de credores do art. 7º, §2º, da Lei 11.101/2005</t>
        </is>
      </c>
      <c r="AJ310" s="30" t="inlineStr">
        <is>
          <t>p2 r20</t>
        </is>
      </c>
      <c r="AK310" s="30" t="inlineStr">
        <is>
          <t>p2: R$ 332.469,93</t>
        </is>
      </c>
      <c r="AL310" s="30" t="inlineStr">
        <is>
          <t>AJ list (art. 7 §2)</t>
        </is>
      </c>
      <c r="AM310" s="30" t="inlineStr"/>
      <c r="AN310" s="30" t="inlineStr">
        <is>
          <t>NONE FOUND</t>
        </is>
      </c>
      <c r="AO310" s="32" t="inlineStr">
        <is>
          <t>5009529-81.2025.8.24.0019</t>
        </is>
      </c>
      <c r="AP310" s="32" t="inlineStr">
        <is>
          <t>TJSC</t>
        </is>
      </c>
      <c r="AQ310" s="32" t="inlineStr"/>
      <c r="AR310" s="32" t="inlineStr">
        <is>
          <t>not in DataJud</t>
        </is>
      </c>
      <c r="AS310" s="32" t="n">
        <v>2025</v>
      </c>
      <c r="AT310" s="32" t="inlineStr">
        <is>
          <t>live case, no plan document yet; case no. from the portal record, not printed on the list</t>
        </is>
      </c>
      <c r="AU310" s="32" t="inlineStr"/>
      <c r="AV310" s="32" t="inlineStr">
        <is>
          <t>not identified</t>
        </is>
      </c>
      <c r="AW310" s="32" t="inlineStr"/>
      <c r="AX310" s="32" t="inlineStr">
        <is>
          <t>LAGES</t>
        </is>
      </c>
      <c r="AY310" s="32" t="inlineStr">
        <is>
          <t>SC</t>
        </is>
      </c>
      <c r="AZ310" s="32" t="inlineStr">
        <is>
          <t>Comércio varejista de ferragens e ferramentas</t>
        </is>
      </c>
      <c r="BA310" s="32" t="inlineStr">
        <is>
          <t>MICRO EMPRESA</t>
        </is>
      </c>
      <c r="BB310" s="33" t="n">
        <v>150000</v>
      </c>
      <c r="BC310" s="32" t="inlineStr">
        <is>
          <t>SMALL</t>
        </is>
      </c>
      <c r="BD310" s="32" t="inlineStr">
        <is>
          <t>21421785</t>
        </is>
      </c>
      <c r="BE310" s="32" t="n">
        <v>1</v>
      </c>
      <c r="BF310" s="32" t="inlineStr">
        <is>
          <t>list prints no totals</t>
        </is>
      </c>
    </row>
    <row r="311">
      <c r="A311" s="17" t="inlineStr">
        <is>
          <t>LOGIKA DISTRIBUIDORA DE COSMETICOS LTDA</t>
        </is>
      </c>
      <c r="B311" s="18" t="n">
        <v>332242.27</v>
      </c>
      <c r="C311" s="19" t="inlineStr">
        <is>
          <t>GRUPO DP4</t>
        </is>
      </c>
      <c r="D311" s="20" t="inlineStr">
        <is>
          <t>NEW</t>
        </is>
      </c>
      <c r="E311" s="21" t="inlineStr"/>
      <c r="F311" s="20" t="inlineStr"/>
      <c r="G311" s="21" t="inlineStr"/>
      <c r="H311" s="20" t="inlineStr"/>
      <c r="I311" s="22" t="inlineStr">
        <is>
          <t>NEWTON BONIN</t>
        </is>
      </c>
      <c r="J311" s="23" t="inlineStr">
        <is>
          <t>Administrador (RFB partner)</t>
        </is>
      </c>
      <c r="K311" s="22" t="inlineStr">
        <is>
          <t>(41) 3375-2000</t>
        </is>
      </c>
      <c r="L311" s="22" t="inlineStr"/>
      <c r="M311" s="22" t="inlineStr"/>
      <c r="N311" s="22" t="inlineStr"/>
      <c r="O311" s="22" t="inlineStr"/>
      <c r="P311" s="22" t="inlineStr"/>
      <c r="Q311" s="22" t="inlineStr"/>
      <c r="R311" s="22" t="inlineStr"/>
      <c r="S311" s="22" t="inlineStr"/>
      <c r="T311" s="22" t="inlineStr">
        <is>
          <t>DM = registered partner (RFB QSA); no Apollo match</t>
        </is>
      </c>
      <c r="U311" s="24" t="n">
        <v>332242.27</v>
      </c>
      <c r="V311" s="25" t="inlineStr">
        <is>
          <t>B</t>
        </is>
      </c>
      <c r="W311" s="26" t="inlineStr"/>
      <c r="X311" s="27" t="inlineStr"/>
      <c r="Y311" s="27" t="inlineStr"/>
      <c r="Z311" s="26">
        <f>IF(W311&lt;&gt;"",W311,IFERROR(VLOOKUP(V311,Assumptions!$A$8:$F$12,2,FALSE),0))</f>
        <v/>
      </c>
      <c r="AA311" s="28">
        <f>IF(V311="A",MAX(1,IF(X311&lt;&gt;"",X311,IFERROR(VLOOKUP(V311,Assumptions!$A$8:$F$12,3,FALSE),3))+IF(Y311&lt;&gt;"",Y311,IFERROR(VLOOKUP(V311,Assumptions!$A$8:$F$12,4,FALSE),8))/2-MAX(0,IF(AS311="",0,YEAR(TODAY())-AS311)-IFERROR(VLOOKUP(V311,Assumptions!$A$8:$F$12,5,FALSE),1.5))),IFERROR(VLOOKUP(V311,Assumptions!$A$8:$F$12,5,FALSE),2.5)+IF(X311&lt;&gt;"",X311,IFERROR(VLOOKUP(V311,Assumptions!$A$8:$F$12,3,FALSE),3))+IF(Y311&lt;&gt;"",Y311,IFERROR(VLOOKUP(V311,Assumptions!$A$8:$F$12,4,FALSE),8))/2)</f>
        <v/>
      </c>
      <c r="AB311" s="24">
        <f>U311*Z311/(1+Assumptions!$B$3)^AA311</f>
        <v/>
      </c>
      <c r="AC311" s="27">
        <f>IF(U311=0,"",ROUND(AB311/U311*100,1))</f>
        <v/>
      </c>
      <c r="AD311" s="29">
        <f>AB311*Assumptions!$B$4</f>
        <v/>
      </c>
      <c r="AE311" s="27">
        <f>IF(U311=0,"",ROUND(AD311/U311*100,1))</f>
        <v/>
      </c>
      <c r="AF311" s="29">
        <f>AB311-AD311</f>
        <v/>
      </c>
      <c r="AG311" s="27">
        <f>IF(U311=0,"",ROUND((AB311-AD311)/U311*100,1))</f>
        <v/>
      </c>
      <c r="AH311" s="35" t="inlineStr">
        <is>
          <t>PARTIAL — class III reconciled, other classes not</t>
        </is>
      </c>
      <c r="AI311" s="31" t="inlineStr">
        <is>
          <t>https://marquesadmjudicial.com.br/sgc/download.php?file=files/processo_documento/processo_documento15293208032024_1_.pdf&amp;nome=Relação Nominal de Credores da AJ-Sintética</t>
        </is>
      </c>
      <c r="AJ311" s="30" t="inlineStr">
        <is>
          <t>p28 r8</t>
        </is>
      </c>
      <c r="AK311" s="30" t="inlineStr">
        <is>
          <t>p28: R$ 332.242,27</t>
        </is>
      </c>
      <c r="AL311" s="30" t="inlineStr">
        <is>
          <t>AJ list (art. 7 §2)</t>
        </is>
      </c>
      <c r="AM311" s="30" t="inlineStr">
        <is>
          <t>2023-03-02</t>
        </is>
      </c>
      <c r="AN311" s="30" t="inlineStr">
        <is>
          <t>NONE FOUND</t>
        </is>
      </c>
      <c r="AO311" s="32" t="inlineStr">
        <is>
          <t>0005010-98.2023.8.16.0001</t>
        </is>
      </c>
      <c r="AP311" s="32" t="inlineStr">
        <is>
          <t>TJPR</t>
        </is>
      </c>
      <c r="AQ311" s="32" t="inlineStr">
        <is>
          <t>Recuperação judicial</t>
        </is>
      </c>
      <c r="AR311" s="32" t="inlineStr">
        <is>
          <t>DataJud: no closure/falência movement</t>
        </is>
      </c>
      <c r="AS311" s="32" t="n">
        <v>2023</v>
      </c>
      <c r="AT311" s="32" t="inlineStr">
        <is>
          <t>live case, no plan document yet</t>
        </is>
      </c>
      <c r="AU311" s="32" t="inlineStr"/>
      <c r="AV311" s="32" t="inlineStr">
        <is>
          <t>printed on the list (read twice)</t>
        </is>
      </c>
      <c r="AW311" s="32" t="inlineStr"/>
      <c r="AX311" s="32" t="inlineStr">
        <is>
          <t>SAO JOSE DOS PINHAIS</t>
        </is>
      </c>
      <c r="AY311" s="32" t="inlineStr">
        <is>
          <t>PR</t>
        </is>
      </c>
      <c r="AZ311" s="32" t="inlineStr">
        <is>
          <t>Comércio atacadista de cosméticos e produtos de perfumaria</t>
        </is>
      </c>
      <c r="BA311" s="32" t="inlineStr">
        <is>
          <t>não ME/EPP</t>
        </is>
      </c>
      <c r="BB311" s="33" t="n">
        <v>100000</v>
      </c>
      <c r="BC311" s="32" t="inlineStr">
        <is>
          <t>MID-MARKET</t>
        </is>
      </c>
      <c r="BD311" s="32" t="inlineStr">
        <is>
          <t>06222722</t>
        </is>
      </c>
      <c r="BE311" s="32" t="n">
        <v>1</v>
      </c>
      <c r="BF311" s="32" t="inlineStr">
        <is>
          <t>class III reconciled (doc partial)</t>
        </is>
      </c>
    </row>
    <row r="312">
      <c r="A312" s="17" t="inlineStr">
        <is>
          <t>JBT MAREL BRASIL LTDA</t>
        </is>
      </c>
      <c r="B312" s="18" t="n">
        <v>1444276.42</v>
      </c>
      <c r="C312" s="19" t="inlineStr">
        <is>
          <t>GRUPO 3E</t>
        </is>
      </c>
      <c r="D312" s="20" t="inlineStr">
        <is>
          <t>NEW</t>
        </is>
      </c>
      <c r="E312" s="21" t="inlineStr"/>
      <c r="F312" s="20" t="inlineStr"/>
      <c r="G312" s="21" t="inlineStr"/>
      <c r="H312" s="20" t="inlineStr"/>
      <c r="I312" s="22" t="inlineStr">
        <is>
          <t>GLAUBER RODRIGUES</t>
        </is>
      </c>
      <c r="J312" s="23" t="inlineStr">
        <is>
          <t>Administrador (RFB partner)</t>
        </is>
      </c>
      <c r="K312" s="22" t="inlineStr">
        <is>
          <t>(16) 3301-2050</t>
        </is>
      </c>
      <c r="L312" s="22" t="inlineStr"/>
      <c r="M312" s="22" t="inlineStr"/>
      <c r="N312" s="22" t="inlineStr"/>
      <c r="O312" s="22" t="inlineStr"/>
      <c r="P312" s="22" t="inlineStr">
        <is>
          <t>JOSE MIGUEL RUIZ</t>
        </is>
      </c>
      <c r="Q312" s="22" t="inlineStr">
        <is>
          <t>Administrador (RFB partner)</t>
        </is>
      </c>
      <c r="R312" s="22" t="inlineStr"/>
      <c r="S312" s="22" t="inlineStr"/>
      <c r="T312" s="22" t="inlineStr">
        <is>
          <t>DM = registered partner (RFB QSA); no Apollo match</t>
        </is>
      </c>
      <c r="U312" s="24" t="n">
        <v>1444276.42</v>
      </c>
      <c r="V312" s="25" t="inlineStr">
        <is>
          <t>B</t>
        </is>
      </c>
      <c r="W312" s="26" t="n">
        <v>0.12</v>
      </c>
      <c r="X312" s="27" t="n">
        <v>2</v>
      </c>
      <c r="Y312" s="27" t="n">
        <v>13</v>
      </c>
      <c r="Z312" s="26">
        <f>IF(W312&lt;&gt;"",W312,IFERROR(VLOOKUP(V312,Assumptions!$A$8:$F$12,2,FALSE),0))</f>
        <v/>
      </c>
      <c r="AA312" s="28">
        <f>IF(V312="A",MAX(1,IF(X312&lt;&gt;"",X312,IFERROR(VLOOKUP(V312,Assumptions!$A$8:$F$12,3,FALSE),3))+IF(Y312&lt;&gt;"",Y312,IFERROR(VLOOKUP(V312,Assumptions!$A$8:$F$12,4,FALSE),8))/2-MAX(0,IF(AS312="",0,YEAR(TODAY())-AS312)-IFERROR(VLOOKUP(V312,Assumptions!$A$8:$F$12,5,FALSE),1.5))),IFERROR(VLOOKUP(V312,Assumptions!$A$8:$F$12,5,FALSE),2.5)+IF(X312&lt;&gt;"",X312,IFERROR(VLOOKUP(V312,Assumptions!$A$8:$F$12,3,FALSE),3))+IF(Y312&lt;&gt;"",Y312,IFERROR(VLOOKUP(V312,Assumptions!$A$8:$F$12,4,FALSE),8))/2)</f>
        <v/>
      </c>
      <c r="AB312" s="24">
        <f>U312*Z312/(1+Assumptions!$B$3)^AA312</f>
        <v/>
      </c>
      <c r="AC312" s="27">
        <f>IF(U312=0,"",ROUND(AB312/U312*100,1))</f>
        <v/>
      </c>
      <c r="AD312" s="29">
        <f>AB312*Assumptions!$B$4</f>
        <v/>
      </c>
      <c r="AE312" s="27">
        <f>IF(U312=0,"",ROUND(AD312/U312*100,1))</f>
        <v/>
      </c>
      <c r="AF312" s="29">
        <f>AB312-AD312</f>
        <v/>
      </c>
      <c r="AG312" s="27">
        <f>IF(U312=0,"",ROUND((AB312-AD312)/U312*100,1))</f>
        <v/>
      </c>
      <c r="AH312" s="34" t="inlineStr">
        <is>
          <t>NO TOTALS — list prints none; check page</t>
        </is>
      </c>
      <c r="AI312" s="31" t="inlineStr">
        <is>
          <t>https://stenius.com.br/wp-content/uploads/2026/06/EDITAL-GRUPO-3E.pdf</t>
        </is>
      </c>
      <c r="AJ312" s="30" t="inlineStr">
        <is>
          <t>p15 r54</t>
        </is>
      </c>
      <c r="AK312" s="30" t="inlineStr">
        <is>
          <t>p15: R$ 1.444.276,42</t>
        </is>
      </c>
      <c r="AL312" s="30" t="inlineStr">
        <is>
          <t>Debtor list (art. 51)</t>
        </is>
      </c>
      <c r="AM312" s="30" t="inlineStr">
        <is>
          <t>2026-06-22</t>
        </is>
      </c>
      <c r="AN312" s="30" t="inlineStr">
        <is>
          <t>PLAN FILED (art. 53), not granted</t>
        </is>
      </c>
      <c r="AO312" s="32" t="inlineStr">
        <is>
          <t>5341375-33.2026.8.09.0049</t>
        </is>
      </c>
      <c r="AP312" s="32" t="inlineStr">
        <is>
          <t>TJGO</t>
        </is>
      </c>
      <c r="AQ312" s="32" t="inlineStr">
        <is>
          <t>Recuperação judicial</t>
        </is>
      </c>
      <c r="AR312" s="32" t="inlineStr">
        <is>
          <t>DataJud: no closure/falência movement</t>
        </is>
      </c>
      <c r="AS312" s="32" t="n">
        <v>2026</v>
      </c>
      <c r="AT312" s="32" t="inlineStr">
        <is>
          <t>plan filed (art. 53), not yet granted</t>
        </is>
      </c>
      <c r="AU312" s="32" t="inlineStr"/>
      <c r="AV312" s="32" t="inlineStr">
        <is>
          <t>printed on the list (read twice)</t>
        </is>
      </c>
      <c r="AW312" s="32" t="inlineStr">
        <is>
          <t>Plano de Recuperação Judicial Grupo 3E v2.0 (Métis), mov. 321, pp.24-25</t>
        </is>
      </c>
      <c r="AX312" s="32" t="inlineStr">
        <is>
          <t>CAMPINAS</t>
        </is>
      </c>
      <c r="AY312" s="32" t="inlineStr">
        <is>
          <t>SP</t>
        </is>
      </c>
      <c r="AZ312" s="32" t="inlineStr">
        <is>
          <t>Fabricação de máquinas e equipamentos para as indústrias de alimentos, bebidas e fumo, peças e acessórios</t>
        </is>
      </c>
      <c r="BA312" s="32" t="inlineStr">
        <is>
          <t>não ME/EPP</t>
        </is>
      </c>
      <c r="BB312" s="33" t="n">
        <v>542726000</v>
      </c>
      <c r="BC312" s="32" t="inlineStr">
        <is>
          <t>MID-MARKET</t>
        </is>
      </c>
      <c r="BD312" s="32" t="inlineStr">
        <is>
          <t>05013050</t>
        </is>
      </c>
      <c r="BE312" s="32" t="n">
        <v>1</v>
      </c>
      <c r="BF312" s="32" t="inlineStr">
        <is>
          <t>list prints no totals</t>
        </is>
      </c>
    </row>
    <row r="313">
      <c r="A313" s="17" t="inlineStr">
        <is>
          <t>TELEFONICA BRASIL S.A.</t>
        </is>
      </c>
      <c r="B313" s="18" t="n">
        <v>330264.64</v>
      </c>
      <c r="C313" s="19" t="inlineStr">
        <is>
          <t>ASSOCIAÇÃO DE CARIDADE SANTA CASA DO RIO GRANDE</t>
        </is>
      </c>
      <c r="D313" s="20" t="inlineStr">
        <is>
          <t>NEW</t>
        </is>
      </c>
      <c r="E313" s="21" t="inlineStr"/>
      <c r="F313" s="20" t="inlineStr"/>
      <c r="G313" s="21" t="inlineStr"/>
      <c r="H313" s="20" t="inlineStr"/>
      <c r="I313" s="22" t="inlineStr">
        <is>
          <t>Ana Silva</t>
        </is>
      </c>
      <c r="J313" s="22" t="inlineStr">
        <is>
          <t>Gerente Sênior de Cobrança B2B</t>
        </is>
      </c>
      <c r="K313" s="22" t="inlineStr">
        <is>
          <t>(11) 3430-4532</t>
        </is>
      </c>
      <c r="L313" s="22" t="inlineStr"/>
      <c r="M313" s="22" t="inlineStr"/>
      <c r="N313" s="22" t="inlineStr">
        <is>
          <t>ana.silva@vivo.com.br</t>
        </is>
      </c>
      <c r="O313" s="22" t="inlineStr">
        <is>
          <t>verified</t>
        </is>
      </c>
      <c r="P313" s="22" t="inlineStr">
        <is>
          <t>Wagner Silva</t>
        </is>
      </c>
      <c r="Q313" s="22" t="inlineStr">
        <is>
          <t>Gerente de Planejamento de Cobrança B2B</t>
        </is>
      </c>
      <c r="R313" s="22" t="inlineStr"/>
      <c r="S313" s="22" t="inlineStr">
        <is>
          <t>wagnersilva@vivo.com.br</t>
        </is>
      </c>
      <c r="T313" s="22" t="inlineStr">
        <is>
          <t>DM: DM; LARGE CORP; BACKUP: backup</t>
        </is>
      </c>
      <c r="U313" s="24" t="n">
        <v>330264.64</v>
      </c>
      <c r="V313" s="25" t="inlineStr">
        <is>
          <t>B</t>
        </is>
      </c>
      <c r="W313" s="26" t="inlineStr"/>
      <c r="X313" s="27" t="inlineStr"/>
      <c r="Y313" s="27" t="inlineStr"/>
      <c r="Z313" s="26">
        <f>IF(W313&lt;&gt;"",W313,IFERROR(VLOOKUP(V313,Assumptions!$A$8:$F$12,2,FALSE),0))</f>
        <v/>
      </c>
      <c r="AA313" s="28">
        <f>IF(V313="A",MAX(1,IF(X313&lt;&gt;"",X313,IFERROR(VLOOKUP(V313,Assumptions!$A$8:$F$12,3,FALSE),3))+IF(Y313&lt;&gt;"",Y313,IFERROR(VLOOKUP(V313,Assumptions!$A$8:$F$12,4,FALSE),8))/2-MAX(0,IF(AS313="",0,YEAR(TODAY())-AS313)-IFERROR(VLOOKUP(V313,Assumptions!$A$8:$F$12,5,FALSE),1.5))),IFERROR(VLOOKUP(V313,Assumptions!$A$8:$F$12,5,FALSE),2.5)+IF(X313&lt;&gt;"",X313,IFERROR(VLOOKUP(V313,Assumptions!$A$8:$F$12,3,FALSE),3))+IF(Y313&lt;&gt;"",Y313,IFERROR(VLOOKUP(V313,Assumptions!$A$8:$F$12,4,FALSE),8))/2)</f>
        <v/>
      </c>
      <c r="AB313" s="24">
        <f>U313*Z313/(1+Assumptions!$B$3)^AA313</f>
        <v/>
      </c>
      <c r="AC313" s="27">
        <f>IF(U313=0,"",ROUND(AB313/U313*100,1))</f>
        <v/>
      </c>
      <c r="AD313" s="29">
        <f>AB313*Assumptions!$B$4</f>
        <v/>
      </c>
      <c r="AE313" s="27">
        <f>IF(U313=0,"",ROUND(AD313/U313*100,1))</f>
        <v/>
      </c>
      <c r="AF313" s="29">
        <f>AB313-AD313</f>
        <v/>
      </c>
      <c r="AG313" s="27">
        <f>IF(U313=0,"",ROUND((AB313-AD313)/U313*100,1))</f>
        <v/>
      </c>
      <c r="AH313" s="34" t="inlineStr">
        <is>
          <t>NO TOTALS — list prints none; check page</t>
        </is>
      </c>
      <c r="AI313" s="31" t="inlineStr">
        <is>
          <t>https://scalzilliaj.com.br/sgc/download.php?file=files/processo_documento/processo_documento09120721032023_1_.pdf&amp;nome=15 - Edital do art. 7º, §2º e 53 da Lei 11.101/2005 (segunda lista de credores e recebimento do plano))</t>
        </is>
      </c>
      <c r="AJ313" s="30" t="inlineStr">
        <is>
          <t>p30 r13</t>
        </is>
      </c>
      <c r="AK313" s="30" t="inlineStr">
        <is>
          <t>p30: R$ 330.264,64</t>
        </is>
      </c>
      <c r="AL313" s="30" t="inlineStr">
        <is>
          <t>AJ list (art. 7 §2)</t>
        </is>
      </c>
      <c r="AM313" s="30" t="inlineStr">
        <is>
          <t>2023-03-21</t>
        </is>
      </c>
      <c r="AN313" s="30" t="inlineStr">
        <is>
          <t>NONE FOUND</t>
        </is>
      </c>
      <c r="AO313" s="32" t="inlineStr">
        <is>
          <t>5012306-16.2022.8.21.0023</t>
        </is>
      </c>
      <c r="AP313" s="32" t="inlineStr">
        <is>
          <t>TJRS</t>
        </is>
      </c>
      <c r="AQ313" s="32" t="inlineStr">
        <is>
          <t>Recuperação judicial</t>
        </is>
      </c>
      <c r="AR313" s="32" t="inlineStr">
        <is>
          <t>DataJud: no closure/falência movement</t>
        </is>
      </c>
      <c r="AS313" s="32" t="n">
        <v>2022</v>
      </c>
      <c r="AT313" s="32" t="inlineStr">
        <is>
          <t>live case, no plan document yet; atypical debtor (associação/clube/hospital/produtor rural): admissibility or claim subjection may be contested</t>
        </is>
      </c>
      <c r="AU313" s="32" t="inlineStr"/>
      <c r="AV313" s="32" t="inlineStr">
        <is>
          <t>printed on the list (read twice)</t>
        </is>
      </c>
      <c r="AW313" s="32" t="inlineStr"/>
      <c r="AX313" s="32" t="inlineStr">
        <is>
          <t>SAO PAULO</t>
        </is>
      </c>
      <c r="AY313" s="32" t="inlineStr">
        <is>
          <t>SP</t>
        </is>
      </c>
      <c r="AZ313" s="32" t="inlineStr">
        <is>
          <t>Serviços de telecomunicações sem fio não especificados anteriormente</t>
        </is>
      </c>
      <c r="BA313" s="32" t="inlineStr">
        <is>
          <t>não ME/EPP</t>
        </is>
      </c>
      <c r="BB313" s="33" t="n">
        <v>56071418000</v>
      </c>
      <c r="BC313" s="32" t="inlineStr">
        <is>
          <t>LARGE CORP</t>
        </is>
      </c>
      <c r="BD313" s="32" t="inlineStr">
        <is>
          <t>02558157</t>
        </is>
      </c>
      <c r="BE313" s="32" t="n">
        <v>1</v>
      </c>
      <c r="BF313" s="32" t="inlineStr">
        <is>
          <t>list prints no totals</t>
        </is>
      </c>
    </row>
    <row r="314">
      <c r="A314" s="17" t="inlineStr">
        <is>
          <t>AIR LIQUIDE BRASIL LTDA</t>
        </is>
      </c>
      <c r="B314" s="18" t="n">
        <v>329122.66</v>
      </c>
      <c r="C314" s="19" t="inlineStr">
        <is>
          <t>ASSOCIAÇÃO DE CARIDADE SANTA CASA DO RIO GRANDE</t>
        </is>
      </c>
      <c r="D314" s="20" t="inlineStr">
        <is>
          <t>NEW</t>
        </is>
      </c>
      <c r="E314" s="21" t="inlineStr"/>
      <c r="F314" s="20" t="inlineStr"/>
      <c r="G314" s="21" t="inlineStr"/>
      <c r="H314" s="20" t="inlineStr"/>
      <c r="I314" s="22" t="inlineStr">
        <is>
          <t>JEMIMA BARBOSA MORANDI</t>
        </is>
      </c>
      <c r="J314" s="23" t="inlineStr">
        <is>
          <t>Administrador (RFB partner)</t>
        </is>
      </c>
      <c r="K314" s="22" t="inlineStr">
        <is>
          <t>(11) 5509-8300</t>
        </is>
      </c>
      <c r="L314" s="22" t="inlineStr"/>
      <c r="M314" s="22" t="inlineStr"/>
      <c r="N314" s="22" t="inlineStr"/>
      <c r="O314" s="22" t="inlineStr"/>
      <c r="P314" s="22" t="inlineStr">
        <is>
          <t>MICHELLE MAXIMIANO MARTINS</t>
        </is>
      </c>
      <c r="Q314" s="22" t="inlineStr">
        <is>
          <t>Administrador (RFB partner)</t>
        </is>
      </c>
      <c r="R314" s="22" t="inlineStr"/>
      <c r="S314" s="22" t="inlineStr"/>
      <c r="T314" s="22" t="inlineStr">
        <is>
          <t>DM = registered partner (RFB QSA); no Apollo match</t>
        </is>
      </c>
      <c r="U314" s="24" t="n">
        <v>329122.66</v>
      </c>
      <c r="V314" s="25" t="inlineStr">
        <is>
          <t>B</t>
        </is>
      </c>
      <c r="W314" s="26" t="inlineStr"/>
      <c r="X314" s="27" t="inlineStr"/>
      <c r="Y314" s="27" t="inlineStr"/>
      <c r="Z314" s="26">
        <f>IF(W314&lt;&gt;"",W314,IFERROR(VLOOKUP(V314,Assumptions!$A$8:$F$12,2,FALSE),0))</f>
        <v/>
      </c>
      <c r="AA314" s="28">
        <f>IF(V314="A",MAX(1,IF(X314&lt;&gt;"",X314,IFERROR(VLOOKUP(V314,Assumptions!$A$8:$F$12,3,FALSE),3))+IF(Y314&lt;&gt;"",Y314,IFERROR(VLOOKUP(V314,Assumptions!$A$8:$F$12,4,FALSE),8))/2-MAX(0,IF(AS314="",0,YEAR(TODAY())-AS314)-IFERROR(VLOOKUP(V314,Assumptions!$A$8:$F$12,5,FALSE),1.5))),IFERROR(VLOOKUP(V314,Assumptions!$A$8:$F$12,5,FALSE),2.5)+IF(X314&lt;&gt;"",X314,IFERROR(VLOOKUP(V314,Assumptions!$A$8:$F$12,3,FALSE),3))+IF(Y314&lt;&gt;"",Y314,IFERROR(VLOOKUP(V314,Assumptions!$A$8:$F$12,4,FALSE),8))/2)</f>
        <v/>
      </c>
      <c r="AB314" s="24">
        <f>U314*Z314/(1+Assumptions!$B$3)^AA314</f>
        <v/>
      </c>
      <c r="AC314" s="27">
        <f>IF(U314=0,"",ROUND(AB314/U314*100,1))</f>
        <v/>
      </c>
      <c r="AD314" s="29">
        <f>AB314*Assumptions!$B$4</f>
        <v/>
      </c>
      <c r="AE314" s="27">
        <f>IF(U314=0,"",ROUND(AD314/U314*100,1))</f>
        <v/>
      </c>
      <c r="AF314" s="29">
        <f>AB314-AD314</f>
        <v/>
      </c>
      <c r="AG314" s="27">
        <f>IF(U314=0,"",ROUND((AB314-AD314)/U314*100,1))</f>
        <v/>
      </c>
      <c r="AH314" s="34" t="inlineStr">
        <is>
          <t>NO TOTALS — list prints none; check page</t>
        </is>
      </c>
      <c r="AI314" s="31" t="inlineStr">
        <is>
          <t>https://scalzilliaj.com.br/sgc/download.php?file=files/processo_documento/processo_documento09120721032023_1_.pdf&amp;nome=15 - Edital do art. 7º, §2º e 53 da Lei 11.101/2005 (segunda lista de credores e recebimento do plano))</t>
        </is>
      </c>
      <c r="AJ314" s="30" t="inlineStr">
        <is>
          <t>p25 r45</t>
        </is>
      </c>
      <c r="AK314" s="30" t="inlineStr">
        <is>
          <t>p25: R$ 329.122,66</t>
        </is>
      </c>
      <c r="AL314" s="30" t="inlineStr">
        <is>
          <t>AJ list (art. 7 §2)</t>
        </is>
      </c>
      <c r="AM314" s="30" t="inlineStr">
        <is>
          <t>2023-03-21</t>
        </is>
      </c>
      <c r="AN314" s="30" t="inlineStr">
        <is>
          <t>NONE FOUND</t>
        </is>
      </c>
      <c r="AO314" s="32" t="inlineStr">
        <is>
          <t>5012306-16.2022.8.21.0023</t>
        </is>
      </c>
      <c r="AP314" s="32" t="inlineStr">
        <is>
          <t>TJRS</t>
        </is>
      </c>
      <c r="AQ314" s="32" t="inlineStr">
        <is>
          <t>Recuperação judicial</t>
        </is>
      </c>
      <c r="AR314" s="32" t="inlineStr">
        <is>
          <t>DataJud: no closure/falência movement</t>
        </is>
      </c>
      <c r="AS314" s="32" t="n">
        <v>2022</v>
      </c>
      <c r="AT314" s="32" t="inlineStr">
        <is>
          <t>live case, no plan document yet; atypical debtor (associação/clube/hospital/produtor rural): admissibility or claim subjection may be contested</t>
        </is>
      </c>
      <c r="AU314" s="32" t="inlineStr"/>
      <c r="AV314" s="32" t="inlineStr">
        <is>
          <t>printed on the list (read twice)</t>
        </is>
      </c>
      <c r="AW314" s="32" t="inlineStr"/>
      <c r="AX314" s="32" t="inlineStr">
        <is>
          <t>SAO PAULO</t>
        </is>
      </c>
      <c r="AY314" s="32" t="inlineStr">
        <is>
          <t>SP</t>
        </is>
      </c>
      <c r="AZ314" s="32" t="inlineStr">
        <is>
          <t>Fabricação de gases industriais</t>
        </is>
      </c>
      <c r="BA314" s="32" t="inlineStr">
        <is>
          <t>não ME/EPP</t>
        </is>
      </c>
      <c r="BB314" s="33" t="n">
        <v>1240442000</v>
      </c>
      <c r="BC314" s="32" t="inlineStr">
        <is>
          <t>LARGE CORP</t>
        </is>
      </c>
      <c r="BD314" s="32" t="inlineStr">
        <is>
          <t>00331788</t>
        </is>
      </c>
      <c r="BE314" s="32" t="n">
        <v>1</v>
      </c>
      <c r="BF314" s="32" t="inlineStr">
        <is>
          <t>list prints no totals</t>
        </is>
      </c>
    </row>
    <row r="315">
      <c r="A315" s="17" t="inlineStr">
        <is>
          <t>CAMESA INDUSTRIA TEXTIL LTDA</t>
        </is>
      </c>
      <c r="B315" s="18" t="n">
        <v>328879.9</v>
      </c>
      <c r="C315" s="19" t="inlineStr">
        <is>
          <t>GRUPO CATTAN</t>
        </is>
      </c>
      <c r="D315" s="20" t="inlineStr">
        <is>
          <t>NEW</t>
        </is>
      </c>
      <c r="E315" s="21" t="inlineStr"/>
      <c r="F315" s="20" t="inlineStr"/>
      <c r="G315" s="21" t="inlineStr"/>
      <c r="H315" s="20" t="inlineStr"/>
      <c r="I315" s="22" t="inlineStr">
        <is>
          <t>ALBERTO HAKIM</t>
        </is>
      </c>
      <c r="J315" s="23" t="inlineStr">
        <is>
          <t>Sócio-Administrador (RFB partner)</t>
        </is>
      </c>
      <c r="K315" s="22" t="inlineStr">
        <is>
          <t>(11) 2431-5000</t>
        </is>
      </c>
      <c r="L315" s="22" t="inlineStr"/>
      <c r="M315" s="22" t="inlineStr"/>
      <c r="N315" s="22" t="inlineStr"/>
      <c r="O315" s="22" t="inlineStr"/>
      <c r="P315" s="22" t="inlineStr">
        <is>
          <t>DAVID HAKIM</t>
        </is>
      </c>
      <c r="Q315" s="22" t="inlineStr">
        <is>
          <t>Sócio-Administrador (RFB partner)</t>
        </is>
      </c>
      <c r="R315" s="22" t="inlineStr"/>
      <c r="S315" s="22" t="inlineStr"/>
      <c r="T315" s="22" t="inlineStr">
        <is>
          <t>DM = registered partner (RFB QSA); no Apollo match</t>
        </is>
      </c>
      <c r="U315" s="24" t="n">
        <v>328879.9</v>
      </c>
      <c r="V315" s="25" t="inlineStr">
        <is>
          <t>B</t>
        </is>
      </c>
      <c r="W315" s="26" t="inlineStr"/>
      <c r="X315" s="27" t="inlineStr"/>
      <c r="Y315" s="27" t="inlineStr"/>
      <c r="Z315" s="26">
        <f>IF(W315&lt;&gt;"",W315,IFERROR(VLOOKUP(V315,Assumptions!$A$8:$F$12,2,FALSE),0))</f>
        <v/>
      </c>
      <c r="AA315" s="28">
        <f>IF(V315="A",MAX(1,IF(X315&lt;&gt;"",X315,IFERROR(VLOOKUP(V315,Assumptions!$A$8:$F$12,3,FALSE),3))+IF(Y315&lt;&gt;"",Y315,IFERROR(VLOOKUP(V315,Assumptions!$A$8:$F$12,4,FALSE),8))/2-MAX(0,IF(AS315="",0,YEAR(TODAY())-AS315)-IFERROR(VLOOKUP(V315,Assumptions!$A$8:$F$12,5,FALSE),1.5))),IFERROR(VLOOKUP(V315,Assumptions!$A$8:$F$12,5,FALSE),2.5)+IF(X315&lt;&gt;"",X315,IFERROR(VLOOKUP(V315,Assumptions!$A$8:$F$12,3,FALSE),3))+IF(Y315&lt;&gt;"",Y315,IFERROR(VLOOKUP(V315,Assumptions!$A$8:$F$12,4,FALSE),8))/2)</f>
        <v/>
      </c>
      <c r="AB315" s="24">
        <f>U315*Z315/(1+Assumptions!$B$3)^AA315</f>
        <v/>
      </c>
      <c r="AC315" s="27">
        <f>IF(U315=0,"",ROUND(AB315/U315*100,1))</f>
        <v/>
      </c>
      <c r="AD315" s="29">
        <f>AB315*Assumptions!$B$4</f>
        <v/>
      </c>
      <c r="AE315" s="27">
        <f>IF(U315=0,"",ROUND(AD315/U315*100,1))</f>
        <v/>
      </c>
      <c r="AF315" s="29">
        <f>AB315-AD315</f>
        <v/>
      </c>
      <c r="AG315" s="27">
        <f>IF(U315=0,"",ROUND((AB315-AD315)/U315*100,1))</f>
        <v/>
      </c>
      <c r="AH315" s="35" t="inlineStr">
        <is>
          <t>PARTIAL — class III reconciled, other classes not</t>
        </is>
      </c>
      <c r="AI315" s="31" t="inlineStr">
        <is>
          <t>https://lrflideres.com.br/wp-content/plugins/download-attachments/includes/download.php?id=4023</t>
        </is>
      </c>
      <c r="AJ315" s="30" t="inlineStr">
        <is>
          <t>p4 r59; p7 r83; p9 r61</t>
        </is>
      </c>
      <c r="AK315" s="30" t="inlineStr">
        <is>
          <t>p4: R$ 96.102,78; p7: R$ 208.821,37; p9: R$ 23.955,75</t>
        </is>
      </c>
      <c r="AL315" s="30" t="inlineStr">
        <is>
          <t>Debtor list (art. 51)</t>
        </is>
      </c>
      <c r="AM315" s="30" t="inlineStr"/>
      <c r="AN315" s="30" t="inlineStr">
        <is>
          <t>NONE FOUND</t>
        </is>
      </c>
      <c r="AO315" s="32" t="inlineStr">
        <is>
          <t>0002484-82.2022.8.17.2001</t>
        </is>
      </c>
      <c r="AP315" s="32" t="inlineStr">
        <is>
          <t>TJPE</t>
        </is>
      </c>
      <c r="AQ315" s="32" t="inlineStr">
        <is>
          <t>Recuperação judicial</t>
        </is>
      </c>
      <c r="AR315" s="32" t="inlineStr">
        <is>
          <t>DataJud: no closure/falência movement</t>
        </is>
      </c>
      <c r="AS315" s="32" t="n">
        <v>2022</v>
      </c>
      <c r="AT315" s="32" t="inlineStr">
        <is>
          <t>live case, no plan document yet</t>
        </is>
      </c>
      <c r="AU315" s="32" t="inlineStr"/>
      <c r="AV315" s="32" t="inlineStr">
        <is>
          <t>printed on the list (read twice)</t>
        </is>
      </c>
      <c r="AW315" s="32" t="inlineStr"/>
      <c r="AX315" s="32" t="inlineStr">
        <is>
          <t>GUARULHOS</t>
        </is>
      </c>
      <c r="AY315" s="32" t="inlineStr">
        <is>
          <t>SP</t>
        </is>
      </c>
      <c r="AZ315" s="32" t="inlineStr">
        <is>
          <t>Fabricação de tecidos de malha</t>
        </is>
      </c>
      <c r="BA315" s="32" t="inlineStr">
        <is>
          <t>não ME/EPP</t>
        </is>
      </c>
      <c r="BB315" s="33" t="n">
        <v>1500000</v>
      </c>
      <c r="BC315" s="32" t="inlineStr">
        <is>
          <t>MID-MARKET</t>
        </is>
      </c>
      <c r="BD315" s="32" t="inlineStr">
        <is>
          <t>43672716</t>
        </is>
      </c>
      <c r="BE315" s="32" t="n">
        <v>3</v>
      </c>
      <c r="BF315" s="32" t="inlineStr">
        <is>
          <t>class III reconciled (doc partial)</t>
        </is>
      </c>
    </row>
    <row r="316">
      <c r="A316" s="17" t="inlineStr">
        <is>
          <t>URTIGAO COMERCIO REPRESENTACOES E TRANSPORTES LTDA</t>
        </is>
      </c>
      <c r="B316" s="18" t="n">
        <v>328800</v>
      </c>
      <c r="C316" s="19" t="inlineStr">
        <is>
          <t>ENIVALDO BARELLA TIRONI, MATEUS MANHANI BARELLA, LEILA REGINA MANHANI BARELLA, B&amp;F AGRO COMÉRCIO DE GRÃOS E INSUMOS AGRÍCOLAS LTDA, BARELLA &amp; FILHOS LTDA E M M LOCAÇÃO EIRELI</t>
        </is>
      </c>
      <c r="D316" s="20" t="inlineStr">
        <is>
          <t>NEW</t>
        </is>
      </c>
      <c r="E316" s="21" t="inlineStr"/>
      <c r="F316" s="20" t="inlineStr"/>
      <c r="G316" s="21" t="inlineStr"/>
      <c r="H316" s="20" t="inlineStr"/>
      <c r="I316" s="22" t="inlineStr">
        <is>
          <t>ADEMAR ANTONIO FRANCISCONI</t>
        </is>
      </c>
      <c r="J316" s="23" t="inlineStr">
        <is>
          <t>Sócio-Administrador (RFB partner)</t>
        </is>
      </c>
      <c r="K316" s="22" t="inlineStr">
        <is>
          <t>(67) 3423-0045</t>
        </is>
      </c>
      <c r="L316" s="22" t="inlineStr"/>
      <c r="M316" s="22" t="inlineStr"/>
      <c r="N316" s="22" t="inlineStr"/>
      <c r="O316" s="22" t="inlineStr"/>
      <c r="P316" s="22" t="inlineStr">
        <is>
          <t>MARCELO ANDRE CANEPPELE GREGORIUS</t>
        </is>
      </c>
      <c r="Q316" s="22" t="inlineStr">
        <is>
          <t>Sócio-Administrador (RFB partner)</t>
        </is>
      </c>
      <c r="R316" s="22" t="inlineStr"/>
      <c r="S316" s="22" t="inlineStr"/>
      <c r="T316" s="22" t="inlineStr">
        <is>
          <t>DM = registered partner (RFB QSA); no Apollo match</t>
        </is>
      </c>
      <c r="U316" s="24" t="n">
        <v>328800</v>
      </c>
      <c r="V316" s="25" t="inlineStr">
        <is>
          <t>B</t>
        </is>
      </c>
      <c r="W316" s="26" t="inlineStr"/>
      <c r="X316" s="27" t="inlineStr"/>
      <c r="Y316" s="27" t="inlineStr"/>
      <c r="Z316" s="26">
        <f>IF(W316&lt;&gt;"",W316,IFERROR(VLOOKUP(V316,Assumptions!$A$8:$F$12,2,FALSE),0))</f>
        <v/>
      </c>
      <c r="AA316" s="28">
        <f>IF(V316="A",MAX(1,IF(X316&lt;&gt;"",X316,IFERROR(VLOOKUP(V316,Assumptions!$A$8:$F$12,3,FALSE),3))+IF(Y316&lt;&gt;"",Y316,IFERROR(VLOOKUP(V316,Assumptions!$A$8:$F$12,4,FALSE),8))/2-MAX(0,IF(AS316="",0,YEAR(TODAY())-AS316)-IFERROR(VLOOKUP(V316,Assumptions!$A$8:$F$12,5,FALSE),1.5))),IFERROR(VLOOKUP(V316,Assumptions!$A$8:$F$12,5,FALSE),2.5)+IF(X316&lt;&gt;"",X316,IFERROR(VLOOKUP(V316,Assumptions!$A$8:$F$12,3,FALSE),3))+IF(Y316&lt;&gt;"",Y316,IFERROR(VLOOKUP(V316,Assumptions!$A$8:$F$12,4,FALSE),8))/2)</f>
        <v/>
      </c>
      <c r="AB316" s="24">
        <f>U316*Z316/(1+Assumptions!$B$3)^AA316</f>
        <v/>
      </c>
      <c r="AC316" s="27">
        <f>IF(U316=0,"",ROUND(AB316/U316*100,1))</f>
        <v/>
      </c>
      <c r="AD316" s="29">
        <f>AB316*Assumptions!$B$4</f>
        <v/>
      </c>
      <c r="AE316" s="27">
        <f>IF(U316=0,"",ROUND(AD316/U316*100,1))</f>
        <v/>
      </c>
      <c r="AF316" s="29">
        <f>AB316-AD316</f>
        <v/>
      </c>
      <c r="AG316" s="27">
        <f>IF(U316=0,"",ROUND((AB316-AD316)/U316*100,1))</f>
        <v/>
      </c>
      <c r="AH316" s="34" t="inlineStr">
        <is>
          <t>NO TOTALS — list prints none; check page</t>
        </is>
      </c>
      <c r="AI316" s="31" t="inlineStr">
        <is>
          <t>https://scalzilliaj.com.br/sgc/download.php?file=files/processo_documento/processo_documento15542620022025_1_.pdf&amp;nome=11 - Relação de credores - art. 7º, §2º, da LREF</t>
        </is>
      </c>
      <c r="AJ316" s="30" t="inlineStr">
        <is>
          <t>p1 r14</t>
        </is>
      </c>
      <c r="AK316" s="30" t="inlineStr">
        <is>
          <t>p1: R$ 328.800,00</t>
        </is>
      </c>
      <c r="AL316" s="30" t="inlineStr">
        <is>
          <t>AJ list (art. 7 §2)</t>
        </is>
      </c>
      <c r="AM316" s="30" t="inlineStr">
        <is>
          <t>2025-02-19</t>
        </is>
      </c>
      <c r="AN316" s="30" t="inlineStr">
        <is>
          <t>NONE FOUND</t>
        </is>
      </c>
      <c r="AO316" s="32" t="inlineStr">
        <is>
          <t>0028131-73.2024.8.16.0017</t>
        </is>
      </c>
      <c r="AP316" s="32" t="inlineStr">
        <is>
          <t>TJPR</t>
        </is>
      </c>
      <c r="AQ316" s="32" t="inlineStr">
        <is>
          <t>Recuperação judicial</t>
        </is>
      </c>
      <c r="AR316" s="32" t="inlineStr">
        <is>
          <t>DataJud: no closure/falência movement</t>
        </is>
      </c>
      <c r="AS316" s="32" t="n">
        <v>2024</v>
      </c>
      <c r="AT316" s="32" t="inlineStr">
        <is>
          <t>live case, no plan document yet</t>
        </is>
      </c>
      <c r="AU316" s="32" t="inlineStr"/>
      <c r="AV316" s="32" t="inlineStr">
        <is>
          <t>printed on the list (read twice)</t>
        </is>
      </c>
      <c r="AW316" s="32" t="inlineStr"/>
      <c r="AX316" s="32" t="inlineStr">
        <is>
          <t>CAARAPO</t>
        </is>
      </c>
      <c r="AY316" s="32" t="inlineStr">
        <is>
          <t>MS</t>
        </is>
      </c>
      <c r="AZ316" s="32" t="inlineStr">
        <is>
          <t>Representantes comerciais e agentes do comércio de matérias-primas agrícolas e animais vivos</t>
        </is>
      </c>
      <c r="BA316" s="32" t="inlineStr">
        <is>
          <t>não ME/EPP</t>
        </is>
      </c>
      <c r="BB316" s="33" t="n">
        <v>6000000</v>
      </c>
      <c r="BC316" s="32" t="inlineStr">
        <is>
          <t>MID-MARKET</t>
        </is>
      </c>
      <c r="BD316" s="32" t="inlineStr">
        <is>
          <t>04647810</t>
        </is>
      </c>
      <c r="BE316" s="32" t="n">
        <v>1</v>
      </c>
      <c r="BF316" s="32" t="inlineStr">
        <is>
          <t>list prints no totals</t>
        </is>
      </c>
    </row>
    <row r="317">
      <c r="A317" s="17" t="inlineStr">
        <is>
          <t>C.H.F. ONE PARTICIPACOES LTDA</t>
        </is>
      </c>
      <c r="B317" s="18" t="n">
        <v>327670.06</v>
      </c>
      <c r="C317" s="19" t="inlineStr">
        <is>
          <t>CENTURY CONSTRUÇÕES COMÉRCIO E SERVIÇOS LTDA.</t>
        </is>
      </c>
      <c r="D317" s="20" t="inlineStr">
        <is>
          <t>NEW</t>
        </is>
      </c>
      <c r="E317" s="21" t="inlineStr"/>
      <c r="F317" s="20" t="inlineStr"/>
      <c r="G317" s="21" t="inlineStr"/>
      <c r="H317" s="20" t="inlineStr"/>
      <c r="I317" s="22" t="inlineStr">
        <is>
          <t>ALBERTO ENOUT DE ASSUNCAO</t>
        </is>
      </c>
      <c r="J317" s="23" t="inlineStr">
        <is>
          <t>Administrador (RFB partner)</t>
        </is>
      </c>
      <c r="K317" s="22" t="inlineStr">
        <is>
          <t>(11) 2087-6740</t>
        </is>
      </c>
      <c r="L317" s="22" t="inlineStr"/>
      <c r="M317" s="22" t="inlineStr"/>
      <c r="N317" s="22" t="inlineStr"/>
      <c r="O317" s="22" t="inlineStr"/>
      <c r="P317" s="22" t="inlineStr">
        <is>
          <t>PAULO JOSE FONTES FRIZZARIM</t>
        </is>
      </c>
      <c r="Q317" s="22" t="inlineStr">
        <is>
          <t>Administrador (RFB partner)</t>
        </is>
      </c>
      <c r="R317" s="22" t="inlineStr"/>
      <c r="S317" s="22" t="inlineStr"/>
      <c r="T317" s="22" t="inlineStr">
        <is>
          <t>DM = registered partner (RFB QSA); no Apollo match</t>
        </is>
      </c>
      <c r="U317" s="24" t="n">
        <v>327670.06</v>
      </c>
      <c r="V317" s="25" t="inlineStr">
        <is>
          <t>B</t>
        </is>
      </c>
      <c r="W317" s="26" t="inlineStr"/>
      <c r="X317" s="27" t="inlineStr"/>
      <c r="Y317" s="27" t="inlineStr"/>
      <c r="Z317" s="26">
        <f>IF(W317&lt;&gt;"",W317,IFERROR(VLOOKUP(V317,Assumptions!$A$8:$F$12,2,FALSE),0))</f>
        <v/>
      </c>
      <c r="AA317" s="28">
        <f>IF(V317="A",MAX(1,IF(X317&lt;&gt;"",X317,IFERROR(VLOOKUP(V317,Assumptions!$A$8:$F$12,3,FALSE),3))+IF(Y317&lt;&gt;"",Y317,IFERROR(VLOOKUP(V317,Assumptions!$A$8:$F$12,4,FALSE),8))/2-MAX(0,IF(AS317="",0,YEAR(TODAY())-AS317)-IFERROR(VLOOKUP(V317,Assumptions!$A$8:$F$12,5,FALSE),1.5))),IFERROR(VLOOKUP(V317,Assumptions!$A$8:$F$12,5,FALSE),2.5)+IF(X317&lt;&gt;"",X317,IFERROR(VLOOKUP(V317,Assumptions!$A$8:$F$12,3,FALSE),3))+IF(Y317&lt;&gt;"",Y317,IFERROR(VLOOKUP(V317,Assumptions!$A$8:$F$12,4,FALSE),8))/2)</f>
        <v/>
      </c>
      <c r="AB317" s="24">
        <f>U317*Z317/(1+Assumptions!$B$3)^AA317</f>
        <v/>
      </c>
      <c r="AC317" s="27">
        <f>IF(U317=0,"",ROUND(AB317/U317*100,1))</f>
        <v/>
      </c>
      <c r="AD317" s="29">
        <f>AB317*Assumptions!$B$4</f>
        <v/>
      </c>
      <c r="AE317" s="27">
        <f>IF(U317=0,"",ROUND(AD317/U317*100,1))</f>
        <v/>
      </c>
      <c r="AF317" s="29">
        <f>AB317-AD317</f>
        <v/>
      </c>
      <c r="AG317" s="27">
        <f>IF(U317=0,"",ROUND((AB317-AD317)/U317*100,1))</f>
        <v/>
      </c>
      <c r="AH317" s="34" t="inlineStr">
        <is>
          <t>NO TOTALS — list prints none; check page</t>
        </is>
      </c>
      <c r="AI317" s="31" t="inlineStr">
        <is>
          <t>https://ativosajce.com.br/admin/download.php?file=files/processo_documento/processo_documento16022716122025_1_.pdf&amp;nome=Relação de credores - art. 52, §1º da Lei 11.101/05 - 15/12/2025</t>
        </is>
      </c>
      <c r="AJ317" s="30" t="inlineStr">
        <is>
          <t>p2 r45</t>
        </is>
      </c>
      <c r="AK317" s="30" t="inlineStr">
        <is>
          <t>p2: R$ 327.670,06</t>
        </is>
      </c>
      <c r="AL317" s="30" t="inlineStr">
        <is>
          <t>Unclassified list</t>
        </is>
      </c>
      <c r="AM317" s="30" t="inlineStr"/>
      <c r="AN317" s="30" t="inlineStr">
        <is>
          <t>NONE FOUND</t>
        </is>
      </c>
      <c r="AO317" s="32" t="inlineStr">
        <is>
          <t>4054599-35.2025.8.26.0100</t>
        </is>
      </c>
      <c r="AP317" s="32" t="inlineStr">
        <is>
          <t>TJSP</t>
        </is>
      </c>
      <c r="AQ317" s="32" t="inlineStr">
        <is>
          <t>Recuperação judicial</t>
        </is>
      </c>
      <c r="AR317" s="32" t="inlineStr">
        <is>
          <t>DataJud: no closure/falência movement</t>
        </is>
      </c>
      <c r="AS317" s="32" t="n">
        <v>2025</v>
      </c>
      <c r="AT317" s="32" t="inlineStr">
        <is>
          <t>live case, no plan document yet; case no. from the portal record, not printed on the list</t>
        </is>
      </c>
      <c r="AU317" s="32" t="inlineStr">
        <is>
          <t>03.299.563/0001-10</t>
        </is>
      </c>
      <c r="AV317" s="32" t="inlineStr">
        <is>
          <t>printed on the list (read twice)</t>
        </is>
      </c>
      <c r="AW317" s="32" t="inlineStr"/>
      <c r="AX317" s="32" t="inlineStr">
        <is>
          <t>SAO PAULO</t>
        </is>
      </c>
      <c r="AY317" s="32" t="inlineStr">
        <is>
          <t>SP</t>
        </is>
      </c>
      <c r="AZ317" s="32" t="inlineStr">
        <is>
          <t>Holdings de instituições não-financeiras</t>
        </is>
      </c>
      <c r="BA317" s="32" t="inlineStr">
        <is>
          <t>não ME/EPP</t>
        </is>
      </c>
      <c r="BB317" s="33" t="n">
        <v>3000000</v>
      </c>
      <c r="BC317" s="32" t="inlineStr">
        <is>
          <t>MID-MARKET</t>
        </is>
      </c>
      <c r="BD317" s="32" t="inlineStr">
        <is>
          <t>12222798</t>
        </is>
      </c>
      <c r="BE317" s="32" t="n">
        <v>1</v>
      </c>
      <c r="BF317" s="32" t="inlineStr">
        <is>
          <t>list prints no totals</t>
        </is>
      </c>
    </row>
    <row r="318">
      <c r="A318" s="17" t="inlineStr">
        <is>
          <t>USECAR LOCADORA DE VEICULOS S/A</t>
        </is>
      </c>
      <c r="B318" s="18" t="n">
        <v>326730.53</v>
      </c>
      <c r="C318" s="19" t="inlineStr">
        <is>
          <t>GRUPO EGESA (Egesa Engenharia S.A. + 9 group companies; see group members)</t>
        </is>
      </c>
      <c r="D318" s="20" t="inlineStr">
        <is>
          <t>NEW</t>
        </is>
      </c>
      <c r="E318" s="21" t="inlineStr"/>
      <c r="F318" s="20" t="inlineStr"/>
      <c r="G318" s="21" t="inlineStr"/>
      <c r="H318" s="20" t="inlineStr"/>
      <c r="I318" s="22" t="inlineStr">
        <is>
          <t>LUIZ FLAVIO PENTAGNA GUIMARAES</t>
        </is>
      </c>
      <c r="J318" s="23" t="inlineStr">
        <is>
          <t>Presidente (RFB partner)</t>
        </is>
      </c>
      <c r="K318" s="22" t="inlineStr">
        <is>
          <t>(31) 4001-1408</t>
        </is>
      </c>
      <c r="L318" s="22" t="inlineStr"/>
      <c r="M318" s="22" t="inlineStr"/>
      <c r="N318" s="22" t="inlineStr"/>
      <c r="O318" s="22" t="inlineStr"/>
      <c r="P318" s="22" t="inlineStr">
        <is>
          <t>Ana Valle</t>
        </is>
      </c>
      <c r="Q318" s="22" t="inlineStr">
        <is>
          <t>Supervisora de Marketing e Customer Experience</t>
        </is>
      </c>
      <c r="R318" s="22" t="inlineStr"/>
      <c r="S318" s="22" t="inlineStr">
        <is>
          <t>ana.valle@usecarbrasil.com.br</t>
        </is>
      </c>
      <c r="T318" s="22" t="inlineStr">
        <is>
          <t>DM = registered partner (RFB QSA); Apollo pick demoted to backup (non-finance role); BACKUP: only named person; VERIFY</t>
        </is>
      </c>
      <c r="U318" s="24" t="n">
        <v>326730.53</v>
      </c>
      <c r="V318" s="25" t="inlineStr">
        <is>
          <t>B</t>
        </is>
      </c>
      <c r="W318" s="26" t="inlineStr"/>
      <c r="X318" s="27" t="inlineStr"/>
      <c r="Y318" s="27" t="inlineStr"/>
      <c r="Z318" s="26">
        <f>IF(W318&lt;&gt;"",W318,IFERROR(VLOOKUP(V318,Assumptions!$A$8:$F$12,2,FALSE),0))</f>
        <v/>
      </c>
      <c r="AA318" s="28">
        <f>IF(V318="A",MAX(1,IF(X318&lt;&gt;"",X318,IFERROR(VLOOKUP(V318,Assumptions!$A$8:$F$12,3,FALSE),3))+IF(Y318&lt;&gt;"",Y318,IFERROR(VLOOKUP(V318,Assumptions!$A$8:$F$12,4,FALSE),8))/2-MAX(0,IF(AS318="",0,YEAR(TODAY())-AS318)-IFERROR(VLOOKUP(V318,Assumptions!$A$8:$F$12,5,FALSE),1.5))),IFERROR(VLOOKUP(V318,Assumptions!$A$8:$F$12,5,FALSE),2.5)+IF(X318&lt;&gt;"",X318,IFERROR(VLOOKUP(V318,Assumptions!$A$8:$F$12,3,FALSE),3))+IF(Y318&lt;&gt;"",Y318,IFERROR(VLOOKUP(V318,Assumptions!$A$8:$F$12,4,FALSE),8))/2)</f>
        <v/>
      </c>
      <c r="AB318" s="24">
        <f>U318*Z318/(1+Assumptions!$B$3)^AA318</f>
        <v/>
      </c>
      <c r="AC318" s="27">
        <f>IF(U318=0,"",ROUND(AB318/U318*100,1))</f>
        <v/>
      </c>
      <c r="AD318" s="29">
        <f>AB318*Assumptions!$B$4</f>
        <v/>
      </c>
      <c r="AE318" s="27">
        <f>IF(U318=0,"",ROUND(AD318/U318*100,1))</f>
        <v/>
      </c>
      <c r="AF318" s="29">
        <f>AB318-AD318</f>
        <v/>
      </c>
      <c r="AG318" s="27">
        <f>IF(U318=0,"",ROUND((AB318-AD318)/U318*100,1))</f>
        <v/>
      </c>
      <c r="AH318" s="30" t="inlineStr">
        <is>
          <t>OK — totals reconciled</t>
        </is>
      </c>
      <c r="AI318" s="31" t="inlineStr">
        <is>
          <t>https://scalzilliaj.com.br/sgc/download.php?file=files/processo_documento/processo_documento09514021082025_1_.pdf&amp;nome=04 - Relação de credores das Recuperandas</t>
        </is>
      </c>
      <c r="AJ318" s="30" t="inlineStr">
        <is>
          <t>p63 r13</t>
        </is>
      </c>
      <c r="AK318" s="30" t="inlineStr">
        <is>
          <t>p63: R$ 326.730,53</t>
        </is>
      </c>
      <c r="AL318" s="30" t="inlineStr">
        <is>
          <t>Debtor list (art. 51)</t>
        </is>
      </c>
      <c r="AM318" s="30" t="inlineStr"/>
      <c r="AN318" s="30" t="inlineStr">
        <is>
          <t>NONE FOUND</t>
        </is>
      </c>
      <c r="AO318" s="32" t="inlineStr">
        <is>
          <t>5088952-81.2025.8.13.0024</t>
        </is>
      </c>
      <c r="AP318" s="32" t="inlineStr">
        <is>
          <t>TJMG</t>
        </is>
      </c>
      <c r="AQ318" s="32" t="inlineStr"/>
      <c r="AR318" s="32" t="inlineStr">
        <is>
          <t>DataJud: no closure/falência movement</t>
        </is>
      </c>
      <c r="AS318" s="32" t="n">
        <v>2025</v>
      </c>
      <c r="AT318" s="32" t="inlineStr">
        <is>
          <t>live case, no plan document yet; case no. from the portal record, not printed on the list</t>
        </is>
      </c>
      <c r="AU318" s="32" t="inlineStr"/>
      <c r="AV318" s="32" t="inlineStr">
        <is>
          <t>portal page title / URL — not printed on the list</t>
        </is>
      </c>
      <c r="AW318" s="32" t="inlineStr"/>
      <c r="AX318" s="32" t="inlineStr">
        <is>
          <t>BELO HORIZONTE</t>
        </is>
      </c>
      <c r="AY318" s="32" t="inlineStr">
        <is>
          <t>MG</t>
        </is>
      </c>
      <c r="AZ318" s="32" t="inlineStr">
        <is>
          <t>Locação de automóveis sem condutor</t>
        </is>
      </c>
      <c r="BA318" s="32" t="inlineStr">
        <is>
          <t>não ME/EPP</t>
        </is>
      </c>
      <c r="BB318" s="33" t="n">
        <v>68350000</v>
      </c>
      <c r="BC318" s="32" t="inlineStr">
        <is>
          <t>MID-MARKET</t>
        </is>
      </c>
      <c r="BD318" s="32" t="inlineStr">
        <is>
          <t>02274615</t>
        </is>
      </c>
      <c r="BE318" s="32" t="n">
        <v>1</v>
      </c>
      <c r="BF318" s="32" t="inlineStr">
        <is>
          <t>case no. corrected by reader case no. from portal record</t>
        </is>
      </c>
    </row>
    <row r="319">
      <c r="A319" s="17" t="inlineStr">
        <is>
          <t>PRO-COLOR QUIMICA SUL LTDA</t>
        </is>
      </c>
      <c r="B319" s="18" t="n">
        <v>325517.44</v>
      </c>
      <c r="C319" s="19" t="inlineStr">
        <is>
          <t>AZEPLAST INDÚSTRIA E COMÉRCIO LTDA</t>
        </is>
      </c>
      <c r="D319" s="20" t="inlineStr">
        <is>
          <t>NEW</t>
        </is>
      </c>
      <c r="E319" s="21" t="inlineStr"/>
      <c r="F319" s="20" t="inlineStr"/>
      <c r="G319" s="21" t="inlineStr"/>
      <c r="H319" s="20" t="inlineStr"/>
      <c r="I319" s="22" t="inlineStr">
        <is>
          <t>ROBERTO CLAUSS</t>
        </is>
      </c>
      <c r="J319" s="23" t="inlineStr">
        <is>
          <t>Sócio-Administrador (RFB partner)</t>
        </is>
      </c>
      <c r="K319" s="22" t="inlineStr">
        <is>
          <t>(47) 8814-9733</t>
        </is>
      </c>
      <c r="L319" s="22" t="inlineStr"/>
      <c r="M319" s="22" t="inlineStr"/>
      <c r="N319" s="22" t="inlineStr"/>
      <c r="O319" s="22" t="inlineStr"/>
      <c r="P319" s="22" t="inlineStr"/>
      <c r="Q319" s="22" t="inlineStr"/>
      <c r="R319" s="22" t="inlineStr"/>
      <c r="S319" s="22" t="inlineStr"/>
      <c r="T319" s="22" t="inlineStr">
        <is>
          <t>DM = registered partner (RFB QSA); no Apollo match</t>
        </is>
      </c>
      <c r="U319" s="24" t="n">
        <v>325517.44</v>
      </c>
      <c r="V319" s="25" t="inlineStr">
        <is>
          <t>B</t>
        </is>
      </c>
      <c r="W319" s="26" t="inlineStr"/>
      <c r="X319" s="27" t="inlineStr"/>
      <c r="Y319" s="27" t="inlineStr"/>
      <c r="Z319" s="26">
        <f>IF(W319&lt;&gt;"",W319,IFERROR(VLOOKUP(V319,Assumptions!$A$8:$F$12,2,FALSE),0))</f>
        <v/>
      </c>
      <c r="AA319" s="28">
        <f>IF(V319="A",MAX(1,IF(X319&lt;&gt;"",X319,IFERROR(VLOOKUP(V319,Assumptions!$A$8:$F$12,3,FALSE),3))+IF(Y319&lt;&gt;"",Y319,IFERROR(VLOOKUP(V319,Assumptions!$A$8:$F$12,4,FALSE),8))/2-MAX(0,IF(AS319="",0,YEAR(TODAY())-AS319)-IFERROR(VLOOKUP(V319,Assumptions!$A$8:$F$12,5,FALSE),1.5))),IFERROR(VLOOKUP(V319,Assumptions!$A$8:$F$12,5,FALSE),2.5)+IF(X319&lt;&gt;"",X319,IFERROR(VLOOKUP(V319,Assumptions!$A$8:$F$12,3,FALSE),3))+IF(Y319&lt;&gt;"",Y319,IFERROR(VLOOKUP(V319,Assumptions!$A$8:$F$12,4,FALSE),8))/2)</f>
        <v/>
      </c>
      <c r="AB319" s="24">
        <f>U319*Z319/(1+Assumptions!$B$3)^AA319</f>
        <v/>
      </c>
      <c r="AC319" s="27">
        <f>IF(U319=0,"",ROUND(AB319/U319*100,1))</f>
        <v/>
      </c>
      <c r="AD319" s="29">
        <f>AB319*Assumptions!$B$4</f>
        <v/>
      </c>
      <c r="AE319" s="27">
        <f>IF(U319=0,"",ROUND(AD319/U319*100,1))</f>
        <v/>
      </c>
      <c r="AF319" s="29">
        <f>AB319-AD319</f>
        <v/>
      </c>
      <c r="AG319" s="27">
        <f>IF(U319=0,"",ROUND((AB319-AD319)/U319*100,1))</f>
        <v/>
      </c>
      <c r="AH319" s="35" t="inlineStr">
        <is>
          <t>PARTIAL — class III reconciled, other classes not</t>
        </is>
      </c>
      <c r="AI319" s="31" t="inlineStr">
        <is>
          <t>https://ajruiz.com.br/sites/default/files/public/arquivos-processos/2026-08/qgc_azeplast_julho_2026.pdf</t>
        </is>
      </c>
      <c r="AJ319" s="30" t="inlineStr">
        <is>
          <t>p2 r7</t>
        </is>
      </c>
      <c r="AK319" s="30" t="inlineStr">
        <is>
          <t>p2: R$ 325.517,44</t>
        </is>
      </c>
      <c r="AL319" s="30" t="inlineStr">
        <is>
          <t>QGC (art. 18)</t>
        </is>
      </c>
      <c r="AM319" s="30" t="inlineStr"/>
      <c r="AN319" s="30" t="inlineStr">
        <is>
          <t>NONE FOUND</t>
        </is>
      </c>
      <c r="AO319" s="32" t="inlineStr">
        <is>
          <t>5008793-34.2023.8.24.0019</t>
        </is>
      </c>
      <c r="AP319" s="32" t="inlineStr">
        <is>
          <t>TJSC</t>
        </is>
      </c>
      <c r="AQ319" s="32" t="inlineStr">
        <is>
          <t>Recuperação judicial</t>
        </is>
      </c>
      <c r="AR319" s="32" t="inlineStr">
        <is>
          <t>DataJud: no closure/falência movement</t>
        </is>
      </c>
      <c r="AS319" s="32" t="n">
        <v>2023</v>
      </c>
      <c r="AT319" s="32" t="inlineStr">
        <is>
          <t>live case, no plan document yet</t>
        </is>
      </c>
      <c r="AU319" s="32" t="inlineStr"/>
      <c r="AV319" s="32" t="inlineStr">
        <is>
          <t>printed on the list (read twice)</t>
        </is>
      </c>
      <c r="AW319" s="32" t="inlineStr"/>
      <c r="AX319" s="32" t="inlineStr">
        <is>
          <t>JARAGUA DO SUL</t>
        </is>
      </c>
      <c r="AY319" s="32" t="inlineStr">
        <is>
          <t>SC</t>
        </is>
      </c>
      <c r="AZ319" s="32" t="inlineStr">
        <is>
          <t>Comércio atacadista de resinas e elastômeros</t>
        </is>
      </c>
      <c r="BA319" s="32" t="inlineStr">
        <is>
          <t>não ME/EPP</t>
        </is>
      </c>
      <c r="BB319" s="33" t="n">
        <v>60000</v>
      </c>
      <c r="BC319" s="32" t="inlineStr">
        <is>
          <t>MID-MARKET</t>
        </is>
      </c>
      <c r="BD319" s="32" t="inlineStr">
        <is>
          <t>19966141</t>
        </is>
      </c>
      <c r="BE319" s="32" t="n">
        <v>1</v>
      </c>
      <c r="BF319" s="32" t="inlineStr">
        <is>
          <t>class III reconciled (doc partial)</t>
        </is>
      </c>
    </row>
    <row r="320">
      <c r="A320" s="17" t="inlineStr">
        <is>
          <t>TEXMAR CONFECCOES E MALHAS LTDA</t>
        </is>
      </c>
      <c r="B320" s="18" t="n">
        <v>324707</v>
      </c>
      <c r="C320" s="19" t="inlineStr">
        <is>
          <t>GRUPO CATTAN</t>
        </is>
      </c>
      <c r="D320" s="20" t="inlineStr">
        <is>
          <t>NEW</t>
        </is>
      </c>
      <c r="E320" s="21" t="inlineStr"/>
      <c r="F320" s="20" t="inlineStr"/>
      <c r="G320" s="21" t="inlineStr"/>
      <c r="H320" s="20" t="inlineStr"/>
      <c r="I320" s="22" t="inlineStr">
        <is>
          <t>Lucia Rodrigues</t>
        </is>
      </c>
      <c r="J320" s="22" t="inlineStr">
        <is>
          <t>Financial Analyst</t>
        </is>
      </c>
      <c r="K320" s="22" t="inlineStr">
        <is>
          <t>(11) 2696-2020</t>
        </is>
      </c>
      <c r="L320" s="22" t="inlineStr"/>
      <c r="M320" s="22" t="inlineStr"/>
      <c r="N320" s="22" t="inlineStr"/>
      <c r="O320" s="22" t="inlineStr"/>
      <c r="P320" s="22" t="inlineStr">
        <is>
          <t>MARCOS TADEU WADIH HIAR</t>
        </is>
      </c>
      <c r="Q320" s="22" t="inlineStr">
        <is>
          <t>Sócio-Administrador (RFB partner)</t>
        </is>
      </c>
      <c r="R320" s="22" t="inlineStr"/>
      <c r="S320" s="22" t="inlineStr"/>
      <c r="T320" s="22" t="inlineStr">
        <is>
          <t>DM: DM; no work email in Apollo for DM</t>
        </is>
      </c>
      <c r="U320" s="24" t="n">
        <v>324707</v>
      </c>
      <c r="V320" s="25" t="inlineStr">
        <is>
          <t>B</t>
        </is>
      </c>
      <c r="W320" s="26" t="inlineStr"/>
      <c r="X320" s="27" t="inlineStr"/>
      <c r="Y320" s="27" t="inlineStr"/>
      <c r="Z320" s="26">
        <f>IF(W320&lt;&gt;"",W320,IFERROR(VLOOKUP(V320,Assumptions!$A$8:$F$12,2,FALSE),0))</f>
        <v/>
      </c>
      <c r="AA320" s="28">
        <f>IF(V320="A",MAX(1,IF(X320&lt;&gt;"",X320,IFERROR(VLOOKUP(V320,Assumptions!$A$8:$F$12,3,FALSE),3))+IF(Y320&lt;&gt;"",Y320,IFERROR(VLOOKUP(V320,Assumptions!$A$8:$F$12,4,FALSE),8))/2-MAX(0,IF(AS320="",0,YEAR(TODAY())-AS320)-IFERROR(VLOOKUP(V320,Assumptions!$A$8:$F$12,5,FALSE),1.5))),IFERROR(VLOOKUP(V320,Assumptions!$A$8:$F$12,5,FALSE),2.5)+IF(X320&lt;&gt;"",X320,IFERROR(VLOOKUP(V320,Assumptions!$A$8:$F$12,3,FALSE),3))+IF(Y320&lt;&gt;"",Y320,IFERROR(VLOOKUP(V320,Assumptions!$A$8:$F$12,4,FALSE),8))/2)</f>
        <v/>
      </c>
      <c r="AB320" s="24">
        <f>U320*Z320/(1+Assumptions!$B$3)^AA320</f>
        <v/>
      </c>
      <c r="AC320" s="27">
        <f>IF(U320=0,"",ROUND(AB320/U320*100,1))</f>
        <v/>
      </c>
      <c r="AD320" s="29">
        <f>AB320*Assumptions!$B$4</f>
        <v/>
      </c>
      <c r="AE320" s="27">
        <f>IF(U320=0,"",ROUND(AD320/U320*100,1))</f>
        <v/>
      </c>
      <c r="AF320" s="29">
        <f>AB320-AD320</f>
        <v/>
      </c>
      <c r="AG320" s="27">
        <f>IF(U320=0,"",ROUND((AB320-AD320)/U320*100,1))</f>
        <v/>
      </c>
      <c r="AH320" s="35" t="inlineStr">
        <is>
          <t>PARTIAL — class III reconciled, other classes not</t>
        </is>
      </c>
      <c r="AI320" s="31" t="inlineStr">
        <is>
          <t>https://lrflideres.com.br/wp-content/plugins/download-attachments/includes/download.php?id=4023</t>
        </is>
      </c>
      <c r="AJ320" s="30" t="inlineStr">
        <is>
          <t>p4 r93; p7 r124; p9 r90</t>
        </is>
      </c>
      <c r="AK320" s="30" t="inlineStr">
        <is>
          <t>p4: R$ 80.697,40; p7: R$ 194.032,20; p9: R$ 49.977,40</t>
        </is>
      </c>
      <c r="AL320" s="30" t="inlineStr">
        <is>
          <t>Debtor list (art. 51)</t>
        </is>
      </c>
      <c r="AM320" s="30" t="inlineStr"/>
      <c r="AN320" s="30" t="inlineStr">
        <is>
          <t>NONE FOUND</t>
        </is>
      </c>
      <c r="AO320" s="32" t="inlineStr">
        <is>
          <t>0002484-82.2022.8.17.2001</t>
        </is>
      </c>
      <c r="AP320" s="32" t="inlineStr">
        <is>
          <t>TJPE</t>
        </is>
      </c>
      <c r="AQ320" s="32" t="inlineStr">
        <is>
          <t>Recuperação judicial</t>
        </is>
      </c>
      <c r="AR320" s="32" t="inlineStr">
        <is>
          <t>DataJud: no closure/falência movement</t>
        </is>
      </c>
      <c r="AS320" s="32" t="n">
        <v>2022</v>
      </c>
      <c r="AT320" s="32" t="inlineStr">
        <is>
          <t>live case, no plan document yet</t>
        </is>
      </c>
      <c r="AU320" s="32" t="inlineStr"/>
      <c r="AV320" s="32" t="inlineStr">
        <is>
          <t>printed on the list (read twice)</t>
        </is>
      </c>
      <c r="AW320" s="32" t="inlineStr"/>
      <c r="AX320" s="32" t="inlineStr">
        <is>
          <t>SAO PAULO</t>
        </is>
      </c>
      <c r="AY320" s="32" t="inlineStr">
        <is>
          <t>SP</t>
        </is>
      </c>
      <c r="AZ320" s="32" t="inlineStr">
        <is>
          <t>Confecção de peças de vestuário, exceto roupas íntimas e as confeccionadas sob medida</t>
        </is>
      </c>
      <c r="BA320" s="32" t="inlineStr">
        <is>
          <t>não ME/EPP</t>
        </is>
      </c>
      <c r="BB320" s="33" t="n">
        <v>10000</v>
      </c>
      <c r="BC320" s="32" t="inlineStr">
        <is>
          <t>MID-MARKET</t>
        </is>
      </c>
      <c r="BD320" s="32" t="inlineStr">
        <is>
          <t>43342153</t>
        </is>
      </c>
      <c r="BE320" s="32" t="n">
        <v>3</v>
      </c>
      <c r="BF320" s="32" t="inlineStr">
        <is>
          <t>class III reconciled (doc partial)</t>
        </is>
      </c>
    </row>
    <row r="321">
      <c r="A321" s="17" t="inlineStr">
        <is>
          <t>RENTALBRAS LOCACAO DE BENS MOVEIS PARA CONSTRUCAO CIVIL LTDA</t>
        </is>
      </c>
      <c r="B321" s="18" t="n">
        <v>324549.2</v>
      </c>
      <c r="C321" s="19" t="inlineStr">
        <is>
          <t>GRUPO EGESA (Egesa Engenharia S.A. + 9 group companies; see group members)</t>
        </is>
      </c>
      <c r="D321" s="20" t="inlineStr">
        <is>
          <t>NEW</t>
        </is>
      </c>
      <c r="E321" s="21" t="inlineStr"/>
      <c r="F321" s="20" t="inlineStr"/>
      <c r="G321" s="21" t="inlineStr"/>
      <c r="H321" s="20" t="inlineStr"/>
      <c r="I321" s="22" t="inlineStr">
        <is>
          <t>Plinio Alencar</t>
        </is>
      </c>
      <c r="J321" s="22" t="inlineStr">
        <is>
          <t>Business Manager</t>
        </is>
      </c>
      <c r="K321" s="22" t="inlineStr">
        <is>
          <t>(19) 3227-0373</t>
        </is>
      </c>
      <c r="L321" s="22" t="inlineStr"/>
      <c r="M321" s="22" t="inlineStr"/>
      <c r="N321" s="22" t="inlineStr"/>
      <c r="O321" s="22" t="inlineStr"/>
      <c r="P321" s="22" t="inlineStr">
        <is>
          <t>ALUISIO GOMES DE ALENCAR</t>
        </is>
      </c>
      <c r="Q321" s="22" t="inlineStr">
        <is>
          <t>Sócio-Administrador (RFB partner)</t>
        </is>
      </c>
      <c r="R321" s="22" t="inlineStr"/>
      <c r="S321" s="22" t="inlineStr"/>
      <c r="T321" s="22" t="inlineStr">
        <is>
          <t>DM: DM; no work email in Apollo for DM</t>
        </is>
      </c>
      <c r="U321" s="24" t="n">
        <v>324549.2</v>
      </c>
      <c r="V321" s="25" t="inlineStr">
        <is>
          <t>B</t>
        </is>
      </c>
      <c r="W321" s="26" t="inlineStr"/>
      <c r="X321" s="27" t="inlineStr"/>
      <c r="Y321" s="27" t="inlineStr"/>
      <c r="Z321" s="26">
        <f>IF(W321&lt;&gt;"",W321,IFERROR(VLOOKUP(V321,Assumptions!$A$8:$F$12,2,FALSE),0))</f>
        <v/>
      </c>
      <c r="AA321" s="28">
        <f>IF(V321="A",MAX(1,IF(X321&lt;&gt;"",X321,IFERROR(VLOOKUP(V321,Assumptions!$A$8:$F$12,3,FALSE),3))+IF(Y321&lt;&gt;"",Y321,IFERROR(VLOOKUP(V321,Assumptions!$A$8:$F$12,4,FALSE),8))/2-MAX(0,IF(AS321="",0,YEAR(TODAY())-AS321)-IFERROR(VLOOKUP(V321,Assumptions!$A$8:$F$12,5,FALSE),1.5))),IFERROR(VLOOKUP(V321,Assumptions!$A$8:$F$12,5,FALSE),2.5)+IF(X321&lt;&gt;"",X321,IFERROR(VLOOKUP(V321,Assumptions!$A$8:$F$12,3,FALSE),3))+IF(Y321&lt;&gt;"",Y321,IFERROR(VLOOKUP(V321,Assumptions!$A$8:$F$12,4,FALSE),8))/2)</f>
        <v/>
      </c>
      <c r="AB321" s="24">
        <f>U321*Z321/(1+Assumptions!$B$3)^AA321</f>
        <v/>
      </c>
      <c r="AC321" s="27">
        <f>IF(U321=0,"",ROUND(AB321/U321*100,1))</f>
        <v/>
      </c>
      <c r="AD321" s="29">
        <f>AB321*Assumptions!$B$4</f>
        <v/>
      </c>
      <c r="AE321" s="27">
        <f>IF(U321=0,"",ROUND(AD321/U321*100,1))</f>
        <v/>
      </c>
      <c r="AF321" s="29">
        <f>AB321-AD321</f>
        <v/>
      </c>
      <c r="AG321" s="27">
        <f>IF(U321=0,"",ROUND((AB321-AD321)/U321*100,1))</f>
        <v/>
      </c>
      <c r="AH321" s="30" t="inlineStr">
        <is>
          <t>OK — totals reconciled</t>
        </is>
      </c>
      <c r="AI321" s="31" t="inlineStr">
        <is>
          <t>https://scalzilliaj.com.br/sgc/download.php?file=files/processo_documento/processo_documento09514021082025_1_.pdf&amp;nome=04 - Relação de credores das Recuperandas</t>
        </is>
      </c>
      <c r="AJ321" s="30" t="inlineStr">
        <is>
          <t>p72 r7</t>
        </is>
      </c>
      <c r="AK321" s="30" t="inlineStr">
        <is>
          <t>p72: R$ 324.549,20</t>
        </is>
      </c>
      <c r="AL321" s="30" t="inlineStr">
        <is>
          <t>Debtor list (art. 51)</t>
        </is>
      </c>
      <c r="AM321" s="30" t="inlineStr"/>
      <c r="AN321" s="30" t="inlineStr">
        <is>
          <t>NONE FOUND</t>
        </is>
      </c>
      <c r="AO321" s="32" t="inlineStr">
        <is>
          <t>5088952-81.2025.8.13.0024</t>
        </is>
      </c>
      <c r="AP321" s="32" t="inlineStr">
        <is>
          <t>TJMG</t>
        </is>
      </c>
      <c r="AQ321" s="32" t="inlineStr"/>
      <c r="AR321" s="32" t="inlineStr">
        <is>
          <t>DataJud: no closure/falência movement</t>
        </is>
      </c>
      <c r="AS321" s="32" t="n">
        <v>2025</v>
      </c>
      <c r="AT321" s="32" t="inlineStr">
        <is>
          <t>live case, no plan document yet; case no. from the portal record, not printed on the list</t>
        </is>
      </c>
      <c r="AU321" s="32" t="inlineStr"/>
      <c r="AV321" s="32" t="inlineStr">
        <is>
          <t>portal page title / URL — not printed on the list</t>
        </is>
      </c>
      <c r="AW321" s="32" t="inlineStr"/>
      <c r="AX321" s="32" t="inlineStr">
        <is>
          <t>CAMPINAS</t>
        </is>
      </c>
      <c r="AY321" s="32" t="inlineStr">
        <is>
          <t>SP</t>
        </is>
      </c>
      <c r="AZ321" s="32" t="inlineStr">
        <is>
          <t>Aluguel de máquinas e equipamentos para construção sem operador, exceto andaimes</t>
        </is>
      </c>
      <c r="BA321" s="32" t="inlineStr">
        <is>
          <t>não ME/EPP</t>
        </is>
      </c>
      <c r="BB321" s="33" t="n">
        <v>350000</v>
      </c>
      <c r="BC321" s="32" t="inlineStr">
        <is>
          <t>MID-MARKET</t>
        </is>
      </c>
      <c r="BD321" s="32" t="inlineStr">
        <is>
          <t>07153791</t>
        </is>
      </c>
      <c r="BE321" s="32" t="n">
        <v>1</v>
      </c>
      <c r="BF321" s="32" t="inlineStr">
        <is>
          <t>case no. corrected by reader case no. from portal record</t>
        </is>
      </c>
    </row>
    <row r="322">
      <c r="A322" s="17" t="inlineStr">
        <is>
          <t>CALDEX CONEXOES E EQUIPAMENTOS LTDA</t>
        </is>
      </c>
      <c r="B322" s="18" t="n">
        <v>322964.99</v>
      </c>
      <c r="C322" s="19" t="inlineStr">
        <is>
          <t>GRUPO EGESA (Egesa Engenharia S.A. + 9 group companies; see group members)</t>
        </is>
      </c>
      <c r="D322" s="20" t="inlineStr">
        <is>
          <t>NEW</t>
        </is>
      </c>
      <c r="E322" s="21" t="inlineStr"/>
      <c r="F322" s="20" t="inlineStr"/>
      <c r="G322" s="21" t="inlineStr"/>
      <c r="H322" s="20" t="inlineStr"/>
      <c r="I322" s="22" t="inlineStr">
        <is>
          <t>Marcos Sanchez</t>
        </is>
      </c>
      <c r="J322" s="22" t="inlineStr">
        <is>
          <t>Industrial Director</t>
        </is>
      </c>
      <c r="K322" s="22" t="inlineStr">
        <is>
          <t>(11) 4061-2799</t>
        </is>
      </c>
      <c r="L322" s="22" t="inlineStr"/>
      <c r="M322" s="22" t="inlineStr"/>
      <c r="N322" s="22" t="inlineStr">
        <is>
          <t>marcos@caldex.com.br</t>
        </is>
      </c>
      <c r="O322" s="22" t="inlineStr">
        <is>
          <t>verified</t>
        </is>
      </c>
      <c r="P322" s="22" t="inlineStr">
        <is>
          <t>Marilza Agonilla</t>
        </is>
      </c>
      <c r="Q322" s="22" t="inlineStr">
        <is>
          <t>Gerente/Coordenador (RH)</t>
        </is>
      </c>
      <c r="R322" s="22" t="inlineStr"/>
      <c r="S322" s="22" t="inlineStr">
        <is>
          <t>marilza@caldex.com.br</t>
        </is>
      </c>
      <c r="T322" s="22" t="inlineStr">
        <is>
          <t>DM: DM; BACKUP: backup</t>
        </is>
      </c>
      <c r="U322" s="24" t="n">
        <v>322964.99</v>
      </c>
      <c r="V322" s="25" t="inlineStr">
        <is>
          <t>B</t>
        </is>
      </c>
      <c r="W322" s="26" t="inlineStr"/>
      <c r="X322" s="27" t="inlineStr"/>
      <c r="Y322" s="27" t="inlineStr"/>
      <c r="Z322" s="26">
        <f>IF(W322&lt;&gt;"",W322,IFERROR(VLOOKUP(V322,Assumptions!$A$8:$F$12,2,FALSE),0))</f>
        <v/>
      </c>
      <c r="AA322" s="28">
        <f>IF(V322="A",MAX(1,IF(X322&lt;&gt;"",X322,IFERROR(VLOOKUP(V322,Assumptions!$A$8:$F$12,3,FALSE),3))+IF(Y322&lt;&gt;"",Y322,IFERROR(VLOOKUP(V322,Assumptions!$A$8:$F$12,4,FALSE),8))/2-MAX(0,IF(AS322="",0,YEAR(TODAY())-AS322)-IFERROR(VLOOKUP(V322,Assumptions!$A$8:$F$12,5,FALSE),1.5))),IFERROR(VLOOKUP(V322,Assumptions!$A$8:$F$12,5,FALSE),2.5)+IF(X322&lt;&gt;"",X322,IFERROR(VLOOKUP(V322,Assumptions!$A$8:$F$12,3,FALSE),3))+IF(Y322&lt;&gt;"",Y322,IFERROR(VLOOKUP(V322,Assumptions!$A$8:$F$12,4,FALSE),8))/2)</f>
        <v/>
      </c>
      <c r="AB322" s="24">
        <f>U322*Z322/(1+Assumptions!$B$3)^AA322</f>
        <v/>
      </c>
      <c r="AC322" s="27">
        <f>IF(U322=0,"",ROUND(AB322/U322*100,1))</f>
        <v/>
      </c>
      <c r="AD322" s="29">
        <f>AB322*Assumptions!$B$4</f>
        <v/>
      </c>
      <c r="AE322" s="27">
        <f>IF(U322=0,"",ROUND(AD322/U322*100,1))</f>
        <v/>
      </c>
      <c r="AF322" s="29">
        <f>AB322-AD322</f>
        <v/>
      </c>
      <c r="AG322" s="27">
        <f>IF(U322=0,"",ROUND((AB322-AD322)/U322*100,1))</f>
        <v/>
      </c>
      <c r="AH322" s="30" t="inlineStr">
        <is>
          <t>OK — totals reconciled</t>
        </is>
      </c>
      <c r="AI322" s="31" t="inlineStr">
        <is>
          <t>https://scalzilliaj.com.br/sgc/download.php?file=files/processo_documento/processo_documento09514021082025_1_.pdf&amp;nome=04 - Relação de credores das Recuperandas</t>
        </is>
      </c>
      <c r="AJ322" s="30" t="inlineStr">
        <is>
          <t>p63 r18</t>
        </is>
      </c>
      <c r="AK322" s="30" t="inlineStr">
        <is>
          <t>p63: R$ 322.964,99</t>
        </is>
      </c>
      <c r="AL322" s="30" t="inlineStr">
        <is>
          <t>Debtor list (art. 51)</t>
        </is>
      </c>
      <c r="AM322" s="30" t="inlineStr"/>
      <c r="AN322" s="30" t="inlineStr">
        <is>
          <t>NONE FOUND</t>
        </is>
      </c>
      <c r="AO322" s="32" t="inlineStr">
        <is>
          <t>5088952-81.2025.8.13.0024</t>
        </is>
      </c>
      <c r="AP322" s="32" t="inlineStr">
        <is>
          <t>TJMG</t>
        </is>
      </c>
      <c r="AQ322" s="32" t="inlineStr"/>
      <c r="AR322" s="32" t="inlineStr">
        <is>
          <t>DataJud: no closure/falência movement</t>
        </is>
      </c>
      <c r="AS322" s="32" t="n">
        <v>2025</v>
      </c>
      <c r="AT322" s="32" t="inlineStr">
        <is>
          <t>live case, no plan document yet; case no. from the portal record, not printed on the list</t>
        </is>
      </c>
      <c r="AU322" s="32" t="inlineStr"/>
      <c r="AV322" s="32" t="inlineStr">
        <is>
          <t>portal page title / URL — not printed on the list</t>
        </is>
      </c>
      <c r="AW322" s="32" t="inlineStr"/>
      <c r="AX322" s="32" t="inlineStr">
        <is>
          <t>DIADEMA</t>
        </is>
      </c>
      <c r="AY322" s="32" t="inlineStr">
        <is>
          <t>SP</t>
        </is>
      </c>
      <c r="AZ322" s="32" t="inlineStr">
        <is>
          <t>Fabricação de outros produtos de metal não especificados anteriormente</t>
        </is>
      </c>
      <c r="BA322" s="32" t="inlineStr">
        <is>
          <t>não ME/EPP</t>
        </is>
      </c>
      <c r="BB322" s="33" t="n">
        <v>5300004</v>
      </c>
      <c r="BC322" s="32" t="inlineStr">
        <is>
          <t>MID-MARKET</t>
        </is>
      </c>
      <c r="BD322" s="32" t="inlineStr">
        <is>
          <t>44151413</t>
        </is>
      </c>
      <c r="BE322" s="32" t="n">
        <v>1</v>
      </c>
      <c r="BF322" s="32" t="inlineStr">
        <is>
          <t>case no. corrected by reader case no. from portal record</t>
        </is>
      </c>
    </row>
    <row r="323">
      <c r="A323" s="17" t="inlineStr">
        <is>
          <t>MC-JU INDUSTRIA E COMERCIO DE CONFECCOES LTDA EM RECUPERACAO JUDICIAL</t>
        </is>
      </c>
      <c r="B323" s="18" t="n">
        <v>322411.79</v>
      </c>
      <c r="C323" s="19" t="inlineStr">
        <is>
          <t>GRUPO CATTAN</t>
        </is>
      </c>
      <c r="D323" s="20" t="inlineStr">
        <is>
          <t>NEW</t>
        </is>
      </c>
      <c r="E323" s="21" t="inlineStr"/>
      <c r="F323" s="20" t="inlineStr"/>
      <c r="G323" s="21" t="inlineStr"/>
      <c r="H323" s="20" t="inlineStr"/>
      <c r="I323" s="22" t="inlineStr">
        <is>
          <t>MARCELO KOHLER</t>
        </is>
      </c>
      <c r="J323" s="23" t="inlineStr">
        <is>
          <t>Sócio-Administrador (RFB partner)</t>
        </is>
      </c>
      <c r="K323" s="22" t="inlineStr">
        <is>
          <t>(47) 3354-0377</t>
        </is>
      </c>
      <c r="L323" s="22" t="inlineStr"/>
      <c r="M323" s="22" t="inlineStr"/>
      <c r="N323" s="22" t="inlineStr"/>
      <c r="O323" s="22" t="inlineStr"/>
      <c r="P323" s="22" t="inlineStr"/>
      <c r="Q323" s="22" t="inlineStr"/>
      <c r="R323" s="22" t="inlineStr"/>
      <c r="S323" s="22" t="inlineStr"/>
      <c r="T323" s="22" t="inlineStr">
        <is>
          <t>DM = registered partner (RFB QSA); no Apollo match</t>
        </is>
      </c>
      <c r="U323" s="24" t="n">
        <v>322411.79</v>
      </c>
      <c r="V323" s="25" t="inlineStr">
        <is>
          <t>B</t>
        </is>
      </c>
      <c r="W323" s="26" t="inlineStr"/>
      <c r="X323" s="27" t="inlineStr"/>
      <c r="Y323" s="27" t="inlineStr"/>
      <c r="Z323" s="26">
        <f>IF(W323&lt;&gt;"",W323,IFERROR(VLOOKUP(V323,Assumptions!$A$8:$F$12,2,FALSE),0))</f>
        <v/>
      </c>
      <c r="AA323" s="28">
        <f>IF(V323="A",MAX(1,IF(X323&lt;&gt;"",X323,IFERROR(VLOOKUP(V323,Assumptions!$A$8:$F$12,3,FALSE),3))+IF(Y323&lt;&gt;"",Y323,IFERROR(VLOOKUP(V323,Assumptions!$A$8:$F$12,4,FALSE),8))/2-MAX(0,IF(AS323="",0,YEAR(TODAY())-AS323)-IFERROR(VLOOKUP(V323,Assumptions!$A$8:$F$12,5,FALSE),1.5))),IFERROR(VLOOKUP(V323,Assumptions!$A$8:$F$12,5,FALSE),2.5)+IF(X323&lt;&gt;"",X323,IFERROR(VLOOKUP(V323,Assumptions!$A$8:$F$12,3,FALSE),3))+IF(Y323&lt;&gt;"",Y323,IFERROR(VLOOKUP(V323,Assumptions!$A$8:$F$12,4,FALSE),8))/2)</f>
        <v/>
      </c>
      <c r="AB323" s="24">
        <f>U323*Z323/(1+Assumptions!$B$3)^AA323</f>
        <v/>
      </c>
      <c r="AC323" s="27">
        <f>IF(U323=0,"",ROUND(AB323/U323*100,1))</f>
        <v/>
      </c>
      <c r="AD323" s="29">
        <f>AB323*Assumptions!$B$4</f>
        <v/>
      </c>
      <c r="AE323" s="27">
        <f>IF(U323=0,"",ROUND(AD323/U323*100,1))</f>
        <v/>
      </c>
      <c r="AF323" s="29">
        <f>AB323-AD323</f>
        <v/>
      </c>
      <c r="AG323" s="27">
        <f>IF(U323=0,"",ROUND((AB323-AD323)/U323*100,1))</f>
        <v/>
      </c>
      <c r="AH323" s="35" t="inlineStr">
        <is>
          <t>PARTIAL — class III reconciled, other classes not</t>
        </is>
      </c>
      <c r="AI323" s="31" t="inlineStr">
        <is>
          <t>https://lrflideres.com.br/wp-content/plugins/download-attachments/includes/download.php?id=4023</t>
        </is>
      </c>
      <c r="AJ323" s="30" t="inlineStr">
        <is>
          <t>p4 r88; p7 r112; p9 r85</t>
        </is>
      </c>
      <c r="AK323" s="30" t="inlineStr">
        <is>
          <t>p4: R$ 49.601,55; p7: R$ 224.858,54; p9: R$ 47.951,70</t>
        </is>
      </c>
      <c r="AL323" s="30" t="inlineStr">
        <is>
          <t>Debtor list (art. 51)</t>
        </is>
      </c>
      <c r="AM323" s="30" t="inlineStr"/>
      <c r="AN323" s="30" t="inlineStr">
        <is>
          <t>NONE FOUND</t>
        </is>
      </c>
      <c r="AO323" s="32" t="inlineStr">
        <is>
          <t>0002484-82.2022.8.17.2001</t>
        </is>
      </c>
      <c r="AP323" s="32" t="inlineStr">
        <is>
          <t>TJPE</t>
        </is>
      </c>
      <c r="AQ323" s="32" t="inlineStr">
        <is>
          <t>Recuperação judicial</t>
        </is>
      </c>
      <c r="AR323" s="32" t="inlineStr">
        <is>
          <t>DataJud: no closure/falência movement</t>
        </is>
      </c>
      <c r="AS323" s="32" t="n">
        <v>2022</v>
      </c>
      <c r="AT323" s="32" t="inlineStr">
        <is>
          <t>live case, no plan document yet</t>
        </is>
      </c>
      <c r="AU323" s="32" t="inlineStr"/>
      <c r="AV323" s="32" t="inlineStr">
        <is>
          <t>printed on the list (read twice)</t>
        </is>
      </c>
      <c r="AW323" s="32" t="inlineStr"/>
      <c r="AX323" s="32" t="inlineStr">
        <is>
          <t>GUABIRUBA</t>
        </is>
      </c>
      <c r="AY323" s="32" t="inlineStr">
        <is>
          <t>SC</t>
        </is>
      </c>
      <c r="AZ323" s="32" t="inlineStr">
        <is>
          <t>Confecção de peças de vestuário, exceto roupas íntimas e as confeccionadas sob medida</t>
        </is>
      </c>
      <c r="BA323" s="32" t="inlineStr">
        <is>
          <t>não ME/EPP</t>
        </is>
      </c>
      <c r="BB323" s="33" t="n">
        <v>5309145</v>
      </c>
      <c r="BC323" s="32" t="inlineStr">
        <is>
          <t>MID-MARKET</t>
        </is>
      </c>
      <c r="BD323" s="32" t="inlineStr">
        <is>
          <t>83201111</t>
        </is>
      </c>
      <c r="BE323" s="32" t="n">
        <v>3</v>
      </c>
      <c r="BF323" s="32" t="inlineStr">
        <is>
          <t>class III reconciled (doc partial)</t>
        </is>
      </c>
    </row>
    <row r="324">
      <c r="A324" s="17" t="inlineStr">
        <is>
          <t>AVLA SEGUROS BRASIL S.A.</t>
        </is>
      </c>
      <c r="B324" s="18" t="n">
        <v>321452.22</v>
      </c>
      <c r="C324" s="19" t="inlineStr">
        <is>
          <t>Grupo Rech</t>
        </is>
      </c>
      <c r="D324" s="20" t="inlineStr">
        <is>
          <t>NEW</t>
        </is>
      </c>
      <c r="E324" s="21" t="inlineStr"/>
      <c r="F324" s="20" t="inlineStr"/>
      <c r="G324" s="21" t="inlineStr"/>
      <c r="H324" s="20" t="inlineStr"/>
      <c r="I324" s="22" t="inlineStr">
        <is>
          <t>FELIPPE KAC ASTRACHAN</t>
        </is>
      </c>
      <c r="J324" s="23" t="inlineStr">
        <is>
          <t>Presidente (RFB partner)</t>
        </is>
      </c>
      <c r="K324" s="22" t="inlineStr">
        <is>
          <t>(11) 2829-7676</t>
        </is>
      </c>
      <c r="L324" s="22" t="inlineStr"/>
      <c r="M324" s="22" t="inlineStr"/>
      <c r="N324" s="22" t="inlineStr"/>
      <c r="O324" s="22" t="inlineStr"/>
      <c r="P324" s="22" t="inlineStr">
        <is>
          <t>ANDRE LUIZ BERTOLINO</t>
        </is>
      </c>
      <c r="Q324" s="22" t="inlineStr">
        <is>
          <t>Diretor (RFB partner)</t>
        </is>
      </c>
      <c r="R324" s="22" t="inlineStr"/>
      <c r="S324" s="22" t="inlineStr"/>
      <c r="T324" s="22" t="inlineStr">
        <is>
          <t>DM = registered partner (RFB QSA); no Apollo match</t>
        </is>
      </c>
      <c r="U324" s="24" t="n">
        <v>321452.22</v>
      </c>
      <c r="V324" s="25" t="inlineStr">
        <is>
          <t>B</t>
        </is>
      </c>
      <c r="W324" s="26" t="inlineStr"/>
      <c r="X324" s="27" t="inlineStr"/>
      <c r="Y324" s="27" t="inlineStr"/>
      <c r="Z324" s="26">
        <f>IF(W324&lt;&gt;"",W324,IFERROR(VLOOKUP(V324,Assumptions!$A$8:$F$12,2,FALSE),0))</f>
        <v/>
      </c>
      <c r="AA324" s="28">
        <f>IF(V324="A",MAX(1,IF(X324&lt;&gt;"",X324,IFERROR(VLOOKUP(V324,Assumptions!$A$8:$F$12,3,FALSE),3))+IF(Y324&lt;&gt;"",Y324,IFERROR(VLOOKUP(V324,Assumptions!$A$8:$F$12,4,FALSE),8))/2-MAX(0,IF(AS324="",0,YEAR(TODAY())-AS324)-IFERROR(VLOOKUP(V324,Assumptions!$A$8:$F$12,5,FALSE),1.5))),IFERROR(VLOOKUP(V324,Assumptions!$A$8:$F$12,5,FALSE),2.5)+IF(X324&lt;&gt;"",X324,IFERROR(VLOOKUP(V324,Assumptions!$A$8:$F$12,3,FALSE),3))+IF(Y324&lt;&gt;"",Y324,IFERROR(VLOOKUP(V324,Assumptions!$A$8:$F$12,4,FALSE),8))/2)</f>
        <v/>
      </c>
      <c r="AB324" s="24">
        <f>U324*Z324/(1+Assumptions!$B$3)^AA324</f>
        <v/>
      </c>
      <c r="AC324" s="27">
        <f>IF(U324=0,"",ROUND(AB324/U324*100,1))</f>
        <v/>
      </c>
      <c r="AD324" s="29">
        <f>AB324*Assumptions!$B$4</f>
        <v/>
      </c>
      <c r="AE324" s="27">
        <f>IF(U324=0,"",ROUND(AD324/U324*100,1))</f>
        <v/>
      </c>
      <c r="AF324" s="29">
        <f>AB324-AD324</f>
        <v/>
      </c>
      <c r="AG324" s="27">
        <f>IF(U324=0,"",ROUND((AB324-AD324)/U324*100,1))</f>
        <v/>
      </c>
      <c r="AH324" s="36" t="inlineStr">
        <is>
          <t>CHECK — source is not a statutory creditor list</t>
        </is>
      </c>
      <c r="AI324" s="31" t="inlineStr">
        <is>
          <t>https://credibilita.com.br/wp-content/uploads/2025/09/Relacao-Credores-29.04.2026.pdf</t>
        </is>
      </c>
      <c r="AJ324" s="30" t="inlineStr">
        <is>
          <t>p1 r2</t>
        </is>
      </c>
      <c r="AK324" s="30" t="inlineStr">
        <is>
          <t>p1: R$ 321.452,22</t>
        </is>
      </c>
      <c r="AL324" s="30" t="inlineStr">
        <is>
          <t>Quorum list — NOT an art. 7/51 list</t>
        </is>
      </c>
      <c r="AM324" s="30" t="inlineStr"/>
      <c r="AN324" s="30" t="inlineStr">
        <is>
          <t>NONE FOUND</t>
        </is>
      </c>
      <c r="AO324" s="32" t="inlineStr">
        <is>
          <t>5057720-48.2025.8.24.0023</t>
        </is>
      </c>
      <c r="AP324" s="32" t="inlineStr">
        <is>
          <t>TJSC</t>
        </is>
      </c>
      <c r="AQ324" s="32" t="inlineStr"/>
      <c r="AR324" s="32" t="inlineStr">
        <is>
          <t>not in DataJud</t>
        </is>
      </c>
      <c r="AS324" s="32" t="n">
        <v>2025</v>
      </c>
      <c r="AT324" s="32" t="inlineStr">
        <is>
          <t>live case, no plan document yet; case no. from the portal record, not printed on the list</t>
        </is>
      </c>
      <c r="AU324" s="32" t="inlineStr"/>
      <c r="AV324" s="32" t="inlineStr">
        <is>
          <t>portal page title / URL — not printed on the list</t>
        </is>
      </c>
      <c r="AW324" s="32" t="inlineStr"/>
      <c r="AX324" s="32" t="inlineStr">
        <is>
          <t>SAO PAULO</t>
        </is>
      </c>
      <c r="AY324" s="32" t="inlineStr">
        <is>
          <t>SP</t>
        </is>
      </c>
      <c r="AZ324" s="32" t="inlineStr">
        <is>
          <t>Sociedade seguradora de seguros não vida</t>
        </is>
      </c>
      <c r="BA324" s="32" t="inlineStr">
        <is>
          <t>não ME/EPP</t>
        </is>
      </c>
      <c r="BB324" s="33" t="n">
        <v>76905110</v>
      </c>
      <c r="BC324" s="32" t="inlineStr">
        <is>
          <t>MID-MARKET</t>
        </is>
      </c>
      <c r="BD324" s="32" t="inlineStr">
        <is>
          <t>41182665</t>
        </is>
      </c>
      <c r="BE324" s="32" t="n">
        <v>1</v>
      </c>
      <c r="BF324" s="32" t="inlineStr">
        <is>
          <t>list prints no totals case no. corrected by reader</t>
        </is>
      </c>
    </row>
    <row r="325">
      <c r="A325" s="17" t="inlineStr">
        <is>
          <t>POLIJUTA INDUSTRIA E COMERCIO DE EMBALAGENS LTDA</t>
        </is>
      </c>
      <c r="B325" s="18" t="n">
        <v>321041.01</v>
      </c>
      <c r="C325" s="19" t="inlineStr">
        <is>
          <t>TOP TEXTIL EMBALAGENS LTDA</t>
        </is>
      </c>
      <c r="D325" s="20" t="inlineStr">
        <is>
          <t>NEW</t>
        </is>
      </c>
      <c r="E325" s="21" t="inlineStr"/>
      <c r="F325" s="20" t="inlineStr"/>
      <c r="G325" s="21" t="inlineStr"/>
      <c r="H325" s="20" t="inlineStr"/>
      <c r="I325" s="22" t="inlineStr">
        <is>
          <t>Andrezza Araujo</t>
        </is>
      </c>
      <c r="J325" s="22" t="inlineStr">
        <is>
          <t>Gestora Administrativa Financeira</t>
        </is>
      </c>
      <c r="K325" s="22" t="inlineStr">
        <is>
          <t>(42) 3627-7722</t>
        </is>
      </c>
      <c r="L325" s="22" t="inlineStr"/>
      <c r="M325" s="22" t="inlineStr"/>
      <c r="N325" s="22" t="inlineStr"/>
      <c r="O325" s="22" t="inlineStr"/>
      <c r="P325" s="22" t="inlineStr">
        <is>
          <t>Michelle Osti</t>
        </is>
      </c>
      <c r="Q325" s="22" t="inlineStr">
        <is>
          <t>Supervisora Contábil e Fiscal</t>
        </is>
      </c>
      <c r="R325" s="22" t="inlineStr"/>
      <c r="S325" s="22" t="inlineStr">
        <is>
          <t>contabilidade4@polijuta.com.br</t>
        </is>
      </c>
      <c r="T325" s="22" t="inlineStr">
        <is>
          <t>DM: DM; no work email in Apollo for DM; BACKUP: backup</t>
        </is>
      </c>
      <c r="U325" s="24" t="n">
        <v>321041.01</v>
      </c>
      <c r="V325" s="25" t="inlineStr">
        <is>
          <t>B</t>
        </is>
      </c>
      <c r="W325" s="26" t="inlineStr"/>
      <c r="X325" s="27" t="inlineStr"/>
      <c r="Y325" s="27" t="inlineStr"/>
      <c r="Z325" s="26">
        <f>IF(W325&lt;&gt;"",W325,IFERROR(VLOOKUP(V325,Assumptions!$A$8:$F$12,2,FALSE),0))</f>
        <v/>
      </c>
      <c r="AA325" s="28">
        <f>IF(V325="A",MAX(1,IF(X325&lt;&gt;"",X325,IFERROR(VLOOKUP(V325,Assumptions!$A$8:$F$12,3,FALSE),3))+IF(Y325&lt;&gt;"",Y325,IFERROR(VLOOKUP(V325,Assumptions!$A$8:$F$12,4,FALSE),8))/2-MAX(0,IF(AS325="",0,YEAR(TODAY())-AS325)-IFERROR(VLOOKUP(V325,Assumptions!$A$8:$F$12,5,FALSE),1.5))),IFERROR(VLOOKUP(V325,Assumptions!$A$8:$F$12,5,FALSE),2.5)+IF(X325&lt;&gt;"",X325,IFERROR(VLOOKUP(V325,Assumptions!$A$8:$F$12,3,FALSE),3))+IF(Y325&lt;&gt;"",Y325,IFERROR(VLOOKUP(V325,Assumptions!$A$8:$F$12,4,FALSE),8))/2)</f>
        <v/>
      </c>
      <c r="AB325" s="24">
        <f>U325*Z325/(1+Assumptions!$B$3)^AA325</f>
        <v/>
      </c>
      <c r="AC325" s="27">
        <f>IF(U325=0,"",ROUND(AB325/U325*100,1))</f>
        <v/>
      </c>
      <c r="AD325" s="29">
        <f>AB325*Assumptions!$B$4</f>
        <v/>
      </c>
      <c r="AE325" s="27">
        <f>IF(U325=0,"",ROUND(AD325/U325*100,1))</f>
        <v/>
      </c>
      <c r="AF325" s="29">
        <f>AB325-AD325</f>
        <v/>
      </c>
      <c r="AG325" s="27">
        <f>IF(U325=0,"",ROUND((AB325-AD325)/U325*100,1))</f>
        <v/>
      </c>
      <c r="AH325" s="34" t="inlineStr">
        <is>
          <t>NO TOTALS — list prints none; check page</t>
        </is>
      </c>
      <c r="AI325" s="31" t="inlineStr">
        <is>
          <t>https://cataliseaj.com.br/sgc/download.php?file=files/processo_documento/processo_documento15092204102024_1_.pdf&amp;nome=02. RELAÇÃO DE CREDORES</t>
        </is>
      </c>
      <c r="AJ325" s="30" t="inlineStr">
        <is>
          <t>p3 r4</t>
        </is>
      </c>
      <c r="AK325" s="30" t="inlineStr">
        <is>
          <t>p3: R$ 321.041,01</t>
        </is>
      </c>
      <c r="AL325" s="30" t="inlineStr">
        <is>
          <t>Debtor list (art. 51)</t>
        </is>
      </c>
      <c r="AM325" s="30" t="inlineStr"/>
      <c r="AN325" s="30" t="inlineStr">
        <is>
          <t>NONE FOUND</t>
        </is>
      </c>
      <c r="AO325" s="32" t="inlineStr">
        <is>
          <t>5011460-87.2023.8.24.0020</t>
        </is>
      </c>
      <c r="AP325" s="32" t="inlineStr">
        <is>
          <t>TJSC</t>
        </is>
      </c>
      <c r="AQ325" s="32" t="inlineStr">
        <is>
          <t>Recuperação judicial</t>
        </is>
      </c>
      <c r="AR325" s="32" t="inlineStr">
        <is>
          <t>DataJud: no closure/falência movement</t>
        </is>
      </c>
      <c r="AS325" s="32" t="n">
        <v>2023</v>
      </c>
      <c r="AT325" s="32" t="inlineStr">
        <is>
          <t>live case, no plan document yet; case no. from the portal record, not printed on the list</t>
        </is>
      </c>
      <c r="AU325" s="32" t="inlineStr">
        <is>
          <t>26.588.741/0001-29</t>
        </is>
      </c>
      <c r="AV325" s="32" t="inlineStr">
        <is>
          <t>printed on the list (read twice)</t>
        </is>
      </c>
      <c r="AW325" s="32" t="inlineStr"/>
      <c r="AX325" s="32" t="inlineStr">
        <is>
          <t>GUARAPUAVA</t>
        </is>
      </c>
      <c r="AY325" s="32" t="inlineStr">
        <is>
          <t>PR</t>
        </is>
      </c>
      <c r="AZ325" s="32" t="inlineStr">
        <is>
          <t>Fabricação de embalagens de material plástico</t>
        </is>
      </c>
      <c r="BA325" s="32" t="inlineStr">
        <is>
          <t>não ME/EPP</t>
        </is>
      </c>
      <c r="BB325" s="33" t="n">
        <v>15000000</v>
      </c>
      <c r="BC325" s="32" t="inlineStr">
        <is>
          <t>MID-MARKET</t>
        </is>
      </c>
      <c r="BD325" s="32" t="inlineStr">
        <is>
          <t>82270281</t>
        </is>
      </c>
      <c r="BE325" s="32" t="n">
        <v>1</v>
      </c>
      <c r="BF325" s="32" t="inlineStr">
        <is>
          <t>list prints no totals</t>
        </is>
      </c>
    </row>
    <row r="326">
      <c r="A326" s="17" t="inlineStr">
        <is>
          <t>HORUS DO BRASIL INDUSTRIA DE IMPLEMENTOS E PECAS AGRICOLAS LTDA</t>
        </is>
      </c>
      <c r="B326" s="18" t="n">
        <v>320280.42</v>
      </c>
      <c r="C326" s="19" t="inlineStr">
        <is>
          <t>Grupo Rech</t>
        </is>
      </c>
      <c r="D326" s="20" t="inlineStr">
        <is>
          <t>NEW</t>
        </is>
      </c>
      <c r="E326" s="21" t="inlineStr"/>
      <c r="F326" s="20" t="inlineStr"/>
      <c r="G326" s="21" t="inlineStr"/>
      <c r="H326" s="20" t="inlineStr"/>
      <c r="I326" s="22" t="inlineStr">
        <is>
          <t>BRUNO PEREIRA DUARTE</t>
        </is>
      </c>
      <c r="J326" s="23" t="inlineStr">
        <is>
          <t>Sócio-Administrador (RFB partner)</t>
        </is>
      </c>
      <c r="K326" s="22" t="inlineStr">
        <is>
          <t>(55) 8122-1378</t>
        </is>
      </c>
      <c r="L326" s="22" t="inlineStr"/>
      <c r="M326" s="22" t="inlineStr"/>
      <c r="N326" s="22" t="inlineStr"/>
      <c r="O326" s="22" t="inlineStr"/>
      <c r="P326" s="22" t="inlineStr">
        <is>
          <t>MARCELO RODRIGO SCHONS</t>
        </is>
      </c>
      <c r="Q326" s="22" t="inlineStr">
        <is>
          <t>Sócio-Administrador (RFB partner)</t>
        </is>
      </c>
      <c r="R326" s="22" t="inlineStr"/>
      <c r="S326" s="22" t="inlineStr"/>
      <c r="T326" s="22" t="inlineStr">
        <is>
          <t>DM = registered partner (RFB QSA); no Apollo match</t>
        </is>
      </c>
      <c r="U326" s="24" t="n">
        <v>320280.42</v>
      </c>
      <c r="V326" s="25" t="inlineStr">
        <is>
          <t>B</t>
        </is>
      </c>
      <c r="W326" s="26" t="inlineStr"/>
      <c r="X326" s="27" t="inlineStr"/>
      <c r="Y326" s="27" t="inlineStr"/>
      <c r="Z326" s="26">
        <f>IF(W326&lt;&gt;"",W326,IFERROR(VLOOKUP(V326,Assumptions!$A$8:$F$12,2,FALSE),0))</f>
        <v/>
      </c>
      <c r="AA326" s="28">
        <f>IF(V326="A",MAX(1,IF(X326&lt;&gt;"",X326,IFERROR(VLOOKUP(V326,Assumptions!$A$8:$F$12,3,FALSE),3))+IF(Y326&lt;&gt;"",Y326,IFERROR(VLOOKUP(V326,Assumptions!$A$8:$F$12,4,FALSE),8))/2-MAX(0,IF(AS326="",0,YEAR(TODAY())-AS326)-IFERROR(VLOOKUP(V326,Assumptions!$A$8:$F$12,5,FALSE),1.5))),IFERROR(VLOOKUP(V326,Assumptions!$A$8:$F$12,5,FALSE),2.5)+IF(X326&lt;&gt;"",X326,IFERROR(VLOOKUP(V326,Assumptions!$A$8:$F$12,3,FALSE),3))+IF(Y326&lt;&gt;"",Y326,IFERROR(VLOOKUP(V326,Assumptions!$A$8:$F$12,4,FALSE),8))/2)</f>
        <v/>
      </c>
      <c r="AB326" s="24">
        <f>U326*Z326/(1+Assumptions!$B$3)^AA326</f>
        <v/>
      </c>
      <c r="AC326" s="27">
        <f>IF(U326=0,"",ROUND(AB326/U326*100,1))</f>
        <v/>
      </c>
      <c r="AD326" s="29">
        <f>AB326*Assumptions!$B$4</f>
        <v/>
      </c>
      <c r="AE326" s="27">
        <f>IF(U326=0,"",ROUND(AD326/U326*100,1))</f>
        <v/>
      </c>
      <c r="AF326" s="29">
        <f>AB326-AD326</f>
        <v/>
      </c>
      <c r="AG326" s="27">
        <f>IF(U326=0,"",ROUND((AB326-AD326)/U326*100,1))</f>
        <v/>
      </c>
      <c r="AH326" s="36" t="inlineStr">
        <is>
          <t>CHECK — source is not a statutory creditor list</t>
        </is>
      </c>
      <c r="AI326" s="31" t="inlineStr">
        <is>
          <t>https://credibilita.com.br/wp-content/uploads/2025/09/Relacao-Credores-29.04.2026.pdf</t>
        </is>
      </c>
      <c r="AJ326" s="30" t="inlineStr">
        <is>
          <t>p1 r25</t>
        </is>
      </c>
      <c r="AK326" s="30" t="inlineStr">
        <is>
          <t>p1: R$ 320.280,42</t>
        </is>
      </c>
      <c r="AL326" s="30" t="inlineStr">
        <is>
          <t>Quorum list — NOT an art. 7/51 list</t>
        </is>
      </c>
      <c r="AM326" s="30" t="inlineStr"/>
      <c r="AN326" s="30" t="inlineStr">
        <is>
          <t>NONE FOUND</t>
        </is>
      </c>
      <c r="AO326" s="32" t="inlineStr">
        <is>
          <t>5057720-48.2025.8.24.0023</t>
        </is>
      </c>
      <c r="AP326" s="32" t="inlineStr">
        <is>
          <t>TJSC</t>
        </is>
      </c>
      <c r="AQ326" s="32" t="inlineStr"/>
      <c r="AR326" s="32" t="inlineStr">
        <is>
          <t>not in DataJud</t>
        </is>
      </c>
      <c r="AS326" s="32" t="n">
        <v>2025</v>
      </c>
      <c r="AT326" s="32" t="inlineStr">
        <is>
          <t>live case, no plan document yet; case no. from the portal record, not printed on the list</t>
        </is>
      </c>
      <c r="AU326" s="32" t="inlineStr"/>
      <c r="AV326" s="32" t="inlineStr">
        <is>
          <t>portal page title / URL — not printed on the list</t>
        </is>
      </c>
      <c r="AW326" s="32" t="inlineStr"/>
      <c r="AX326" s="32" t="inlineStr">
        <is>
          <t>SANTA ROSA</t>
        </is>
      </c>
      <c r="AY326" s="32" t="inlineStr">
        <is>
          <t>RS</t>
        </is>
      </c>
      <c r="AZ326" s="32" t="inlineStr">
        <is>
          <t>Fabricação de máquinas e equipamentos para a agricultura e pecuária, peças e acessórios, exceto para irrigação</t>
        </is>
      </c>
      <c r="BA326" s="32" t="inlineStr">
        <is>
          <t>EMPRESA DE PEQUENO PORTE</t>
        </is>
      </c>
      <c r="BB326" s="33" t="n">
        <v>100000</v>
      </c>
      <c r="BC326" s="32" t="inlineStr">
        <is>
          <t>SMALL</t>
        </is>
      </c>
      <c r="BD326" s="32" t="inlineStr">
        <is>
          <t>46495282</t>
        </is>
      </c>
      <c r="BE326" s="32" t="n">
        <v>1</v>
      </c>
      <c r="BF326" s="32" t="inlineStr">
        <is>
          <t>list prints no totals case no. corrected by reader</t>
        </is>
      </c>
    </row>
    <row r="327">
      <c r="A327" s="17" t="inlineStr">
        <is>
          <t>MARTINS CRUZ SOLUCOES AGRICOLAS LTDA</t>
        </is>
      </c>
      <c r="B327" s="18" t="n">
        <v>314029.75</v>
      </c>
      <c r="C327" s="19" t="inlineStr">
        <is>
          <t>Grupo Rech</t>
        </is>
      </c>
      <c r="D327" s="20" t="inlineStr">
        <is>
          <t>NEW</t>
        </is>
      </c>
      <c r="E327" s="21" t="inlineStr"/>
      <c r="F327" s="20" t="inlineStr"/>
      <c r="G327" s="21" t="inlineStr"/>
      <c r="H327" s="20" t="inlineStr"/>
      <c r="I327" s="22" t="inlineStr">
        <is>
          <t>EGBERT KOHLER</t>
        </is>
      </c>
      <c r="J327" s="23" t="inlineStr">
        <is>
          <t>Administrador (RFB partner)</t>
        </is>
      </c>
      <c r="K327" s="22" t="inlineStr">
        <is>
          <t>(16) 3203-1800</t>
        </is>
      </c>
      <c r="L327" s="22" t="inlineStr"/>
      <c r="M327" s="22" t="inlineStr"/>
      <c r="N327" s="22" t="inlineStr"/>
      <c r="O327" s="22" t="inlineStr"/>
      <c r="P327" s="22" t="inlineStr"/>
      <c r="Q327" s="22" t="inlineStr"/>
      <c r="R327" s="22" t="inlineStr"/>
      <c r="S327" s="22" t="inlineStr"/>
      <c r="T327" s="22" t="inlineStr">
        <is>
          <t>DM = registered partner (RFB QSA); no Apollo match</t>
        </is>
      </c>
      <c r="U327" s="24" t="n">
        <v>314029.75</v>
      </c>
      <c r="V327" s="25" t="inlineStr">
        <is>
          <t>B</t>
        </is>
      </c>
      <c r="W327" s="26" t="inlineStr"/>
      <c r="X327" s="27" t="inlineStr"/>
      <c r="Y327" s="27" t="inlineStr"/>
      <c r="Z327" s="26">
        <f>IF(W327&lt;&gt;"",W327,IFERROR(VLOOKUP(V327,Assumptions!$A$8:$F$12,2,FALSE),0))</f>
        <v/>
      </c>
      <c r="AA327" s="28">
        <f>IF(V327="A",MAX(1,IF(X327&lt;&gt;"",X327,IFERROR(VLOOKUP(V327,Assumptions!$A$8:$F$12,3,FALSE),3))+IF(Y327&lt;&gt;"",Y327,IFERROR(VLOOKUP(V327,Assumptions!$A$8:$F$12,4,FALSE),8))/2-MAX(0,IF(AS327="",0,YEAR(TODAY())-AS327)-IFERROR(VLOOKUP(V327,Assumptions!$A$8:$F$12,5,FALSE),1.5))),IFERROR(VLOOKUP(V327,Assumptions!$A$8:$F$12,5,FALSE),2.5)+IF(X327&lt;&gt;"",X327,IFERROR(VLOOKUP(V327,Assumptions!$A$8:$F$12,3,FALSE),3))+IF(Y327&lt;&gt;"",Y327,IFERROR(VLOOKUP(V327,Assumptions!$A$8:$F$12,4,FALSE),8))/2)</f>
        <v/>
      </c>
      <c r="AB327" s="24">
        <f>U327*Z327/(1+Assumptions!$B$3)^AA327</f>
        <v/>
      </c>
      <c r="AC327" s="27">
        <f>IF(U327=0,"",ROUND(AB327/U327*100,1))</f>
        <v/>
      </c>
      <c r="AD327" s="29">
        <f>AB327*Assumptions!$B$4</f>
        <v/>
      </c>
      <c r="AE327" s="27">
        <f>IF(U327=0,"",ROUND(AD327/U327*100,1))</f>
        <v/>
      </c>
      <c r="AF327" s="29">
        <f>AB327-AD327</f>
        <v/>
      </c>
      <c r="AG327" s="27">
        <f>IF(U327=0,"",ROUND((AB327-AD327)/U327*100,1))</f>
        <v/>
      </c>
      <c r="AH327" s="36" t="inlineStr">
        <is>
          <t>CHECK — source is not a statutory creditor list</t>
        </is>
      </c>
      <c r="AI327" s="31" t="inlineStr">
        <is>
          <t>https://credibilita.com.br/wp-content/uploads/2025/09/Relacao-Credores-29.04.2026.pdf</t>
        </is>
      </c>
      <c r="AJ327" s="30" t="inlineStr">
        <is>
          <t>p2 r3</t>
        </is>
      </c>
      <c r="AK327" s="30" t="inlineStr">
        <is>
          <t>p2: R$ 314.029,75</t>
        </is>
      </c>
      <c r="AL327" s="30" t="inlineStr">
        <is>
          <t>Quorum list — NOT an art. 7/51 list</t>
        </is>
      </c>
      <c r="AM327" s="30" t="inlineStr"/>
      <c r="AN327" s="30" t="inlineStr">
        <is>
          <t>NONE FOUND</t>
        </is>
      </c>
      <c r="AO327" s="32" t="inlineStr">
        <is>
          <t>5057720-48.2025.8.24.0023</t>
        </is>
      </c>
      <c r="AP327" s="32" t="inlineStr">
        <is>
          <t>TJSC</t>
        </is>
      </c>
      <c r="AQ327" s="32" t="inlineStr"/>
      <c r="AR327" s="32" t="inlineStr">
        <is>
          <t>not in DataJud</t>
        </is>
      </c>
      <c r="AS327" s="32" t="n">
        <v>2025</v>
      </c>
      <c r="AT327" s="32" t="inlineStr">
        <is>
          <t>live case, no plan document yet; case no. from the portal record, not printed on the list</t>
        </is>
      </c>
      <c r="AU327" s="32" t="inlineStr"/>
      <c r="AV327" s="32" t="inlineStr">
        <is>
          <t>portal page title / URL — not printed on the list</t>
        </is>
      </c>
      <c r="AW327" s="32" t="inlineStr"/>
      <c r="AX327" s="32" t="inlineStr">
        <is>
          <t>JABOTICABAL</t>
        </is>
      </c>
      <c r="AY327" s="32" t="inlineStr">
        <is>
          <t>SP</t>
        </is>
      </c>
      <c r="AZ327" s="32" t="inlineStr">
        <is>
          <t>Fabricação de máquinas e equipamentos para a agricultura e pecuária, peças e acessórios, exceto para irrigação</t>
        </is>
      </c>
      <c r="BA327" s="32" t="inlineStr">
        <is>
          <t>não ME/EPP</t>
        </is>
      </c>
      <c r="BB327" s="33" t="n">
        <v>19849272</v>
      </c>
      <c r="BC327" s="32" t="inlineStr">
        <is>
          <t>MID-MARKET</t>
        </is>
      </c>
      <c r="BD327" s="32" t="inlineStr">
        <is>
          <t>50378389</t>
        </is>
      </c>
      <c r="BE327" s="32" t="n">
        <v>1</v>
      </c>
      <c r="BF327" s="32" t="inlineStr">
        <is>
          <t>list prints no totals case no. corrected by reader</t>
        </is>
      </c>
    </row>
    <row r="328">
      <c r="A328" s="17" t="inlineStr">
        <is>
          <t>PARVI LOCADORA S.A</t>
        </is>
      </c>
      <c r="B328" s="18" t="n">
        <v>311892.18</v>
      </c>
      <c r="C328" s="19" t="inlineStr">
        <is>
          <t>GRUPO EGESA (Egesa Engenharia S.A. + 9 group companies; see group members)</t>
        </is>
      </c>
      <c r="D328" s="20" t="inlineStr">
        <is>
          <t>NEW</t>
        </is>
      </c>
      <c r="E328" s="21" t="inlineStr"/>
      <c r="F328" s="20" t="inlineStr"/>
      <c r="G328" s="21" t="inlineStr"/>
      <c r="H328" s="20" t="inlineStr"/>
      <c r="I328" s="22" t="inlineStr">
        <is>
          <t>Bruna Buonafina</t>
        </is>
      </c>
      <c r="J328" s="22" t="inlineStr">
        <is>
          <t>Diretora Financeira / Gerente de Tesouraria</t>
        </is>
      </c>
      <c r="K328" s="22" t="inlineStr">
        <is>
          <t>(81) 3256-6100</t>
        </is>
      </c>
      <c r="L328" s="22" t="inlineStr"/>
      <c r="M328" s="22" t="inlineStr"/>
      <c r="N328" s="22" t="inlineStr">
        <is>
          <t>bruna@parvi.com.br</t>
        </is>
      </c>
      <c r="O328" s="22" t="inlineStr">
        <is>
          <t>verified</t>
        </is>
      </c>
      <c r="P328" s="22" t="inlineStr">
        <is>
          <t>Rita Correia</t>
        </is>
      </c>
      <c r="Q328" s="22" t="inlineStr">
        <is>
          <t>Supervisora de Crédito e Cobrança</t>
        </is>
      </c>
      <c r="R328" s="22" t="inlineStr"/>
      <c r="S328" s="22" t="inlineStr">
        <is>
          <t>rita.correia@parvi.com.br</t>
        </is>
      </c>
      <c r="T328" s="22" t="inlineStr">
        <is>
          <t>DM: DM; BACKUP: backup</t>
        </is>
      </c>
      <c r="U328" s="24" t="n">
        <v>311892.18</v>
      </c>
      <c r="V328" s="25" t="inlineStr">
        <is>
          <t>B</t>
        </is>
      </c>
      <c r="W328" s="26" t="inlineStr"/>
      <c r="X328" s="27" t="inlineStr"/>
      <c r="Y328" s="27" t="inlineStr"/>
      <c r="Z328" s="26">
        <f>IF(W328&lt;&gt;"",W328,IFERROR(VLOOKUP(V328,Assumptions!$A$8:$F$12,2,FALSE),0))</f>
        <v/>
      </c>
      <c r="AA328" s="28">
        <f>IF(V328="A",MAX(1,IF(X328&lt;&gt;"",X328,IFERROR(VLOOKUP(V328,Assumptions!$A$8:$F$12,3,FALSE),3))+IF(Y328&lt;&gt;"",Y328,IFERROR(VLOOKUP(V328,Assumptions!$A$8:$F$12,4,FALSE),8))/2-MAX(0,IF(AS328="",0,YEAR(TODAY())-AS328)-IFERROR(VLOOKUP(V328,Assumptions!$A$8:$F$12,5,FALSE),1.5))),IFERROR(VLOOKUP(V328,Assumptions!$A$8:$F$12,5,FALSE),2.5)+IF(X328&lt;&gt;"",X328,IFERROR(VLOOKUP(V328,Assumptions!$A$8:$F$12,3,FALSE),3))+IF(Y328&lt;&gt;"",Y328,IFERROR(VLOOKUP(V328,Assumptions!$A$8:$F$12,4,FALSE),8))/2)</f>
        <v/>
      </c>
      <c r="AB328" s="24">
        <f>U328*Z328/(1+Assumptions!$B$3)^AA328</f>
        <v/>
      </c>
      <c r="AC328" s="27">
        <f>IF(U328=0,"",ROUND(AB328/U328*100,1))</f>
        <v/>
      </c>
      <c r="AD328" s="29">
        <f>AB328*Assumptions!$B$4</f>
        <v/>
      </c>
      <c r="AE328" s="27">
        <f>IF(U328=0,"",ROUND(AD328/U328*100,1))</f>
        <v/>
      </c>
      <c r="AF328" s="29">
        <f>AB328-AD328</f>
        <v/>
      </c>
      <c r="AG328" s="27">
        <f>IF(U328=0,"",ROUND((AB328-AD328)/U328*100,1))</f>
        <v/>
      </c>
      <c r="AH328" s="30" t="inlineStr">
        <is>
          <t>OK — totals reconciled</t>
        </is>
      </c>
      <c r="AI328" s="31" t="inlineStr">
        <is>
          <t>https://scalzilliaj.com.br/sgc/download.php?file=files/processo_documento/processo_documento09514021082025_1_.pdf&amp;nome=04 - Relação de credores das Recuperandas</t>
        </is>
      </c>
      <c r="AJ328" s="30" t="inlineStr">
        <is>
          <t>p69 r5; p69 r6</t>
        </is>
      </c>
      <c r="AK328" s="30" t="inlineStr">
        <is>
          <t>p69: R$ 225.397,01; p69: R$ 86.495,17</t>
        </is>
      </c>
      <c r="AL328" s="30" t="inlineStr">
        <is>
          <t>Debtor list (art. 51)</t>
        </is>
      </c>
      <c r="AM328" s="30" t="inlineStr"/>
      <c r="AN328" s="30" t="inlineStr">
        <is>
          <t>NONE FOUND</t>
        </is>
      </c>
      <c r="AO328" s="32" t="inlineStr">
        <is>
          <t>5088952-81.2025.8.13.0024</t>
        </is>
      </c>
      <c r="AP328" s="32" t="inlineStr">
        <is>
          <t>TJMG</t>
        </is>
      </c>
      <c r="AQ328" s="32" t="inlineStr"/>
      <c r="AR328" s="32" t="inlineStr">
        <is>
          <t>DataJud: no closure/falência movement</t>
        </is>
      </c>
      <c r="AS328" s="32" t="n">
        <v>2025</v>
      </c>
      <c r="AT328" s="32" t="inlineStr">
        <is>
          <t>live case, no plan document yet; case no. from the portal record, not printed on the list</t>
        </is>
      </c>
      <c r="AU328" s="32" t="inlineStr"/>
      <c r="AV328" s="32" t="inlineStr">
        <is>
          <t>portal page title / URL — not printed on the list</t>
        </is>
      </c>
      <c r="AW328" s="32" t="inlineStr"/>
      <c r="AX328" s="32" t="inlineStr">
        <is>
          <t>RECIFE</t>
        </is>
      </c>
      <c r="AY328" s="32" t="inlineStr">
        <is>
          <t>PE</t>
        </is>
      </c>
      <c r="AZ328" s="32" t="inlineStr">
        <is>
          <t>Locação de automóveis sem condutor</t>
        </is>
      </c>
      <c r="BA328" s="32" t="inlineStr">
        <is>
          <t>não ME/EPP</t>
        </is>
      </c>
      <c r="BB328" s="33" t="n">
        <v>95899590</v>
      </c>
      <c r="BC328" s="32" t="inlineStr">
        <is>
          <t>MID-MARKET</t>
        </is>
      </c>
      <c r="BD328" s="32" t="inlineStr">
        <is>
          <t>08228146</t>
        </is>
      </c>
      <c r="BE328" s="32" t="n">
        <v>2</v>
      </c>
      <c r="BF328" s="32" t="inlineStr">
        <is>
          <t>case no. corrected by reader case no. from portal record</t>
        </is>
      </c>
    </row>
    <row r="329">
      <c r="A329" s="17" t="inlineStr">
        <is>
          <t>DALMOLIN CONSTRUTORA E ADMINISTRADORA DE BENS PROPRIOS LTDA</t>
        </is>
      </c>
      <c r="B329" s="18" t="n">
        <v>311424</v>
      </c>
      <c r="C329" s="37" t="inlineStr">
        <is>
          <t>(debtor not identified — see proof)</t>
        </is>
      </c>
      <c r="D329" s="20" t="inlineStr">
        <is>
          <t>NEW</t>
        </is>
      </c>
      <c r="E329" s="21" t="inlineStr"/>
      <c r="F329" s="20" t="inlineStr"/>
      <c r="G329" s="21" t="inlineStr"/>
      <c r="H329" s="20" t="inlineStr"/>
      <c r="I329" s="22" t="inlineStr">
        <is>
          <t>EDIO LUIS DALMOLIN</t>
        </is>
      </c>
      <c r="J329" s="23" t="inlineStr">
        <is>
          <t>Sócio-Administrador (RFB partner)</t>
        </is>
      </c>
      <c r="K329" s="22" t="inlineStr">
        <is>
          <t>(49) 8801-2826</t>
        </is>
      </c>
      <c r="L329" s="22" t="inlineStr"/>
      <c r="M329" s="22" t="inlineStr"/>
      <c r="N329" s="22" t="inlineStr"/>
      <c r="O329" s="22" t="inlineStr"/>
      <c r="P329" s="22" t="inlineStr"/>
      <c r="Q329" s="22" t="inlineStr"/>
      <c r="R329" s="22" t="inlineStr"/>
      <c r="S329" s="22" t="inlineStr"/>
      <c r="T329" s="22" t="inlineStr">
        <is>
          <t>DM = registered partner (RFB QSA); no Apollo match</t>
        </is>
      </c>
      <c r="U329" s="24" t="n">
        <v>311424</v>
      </c>
      <c r="V329" s="25" t="inlineStr">
        <is>
          <t>B</t>
        </is>
      </c>
      <c r="W329" s="26" t="inlineStr"/>
      <c r="X329" s="27" t="inlineStr"/>
      <c r="Y329" s="27" t="inlineStr"/>
      <c r="Z329" s="26">
        <f>IF(W329&lt;&gt;"",W329,IFERROR(VLOOKUP(V329,Assumptions!$A$8:$F$12,2,FALSE),0))</f>
        <v/>
      </c>
      <c r="AA329" s="28">
        <f>IF(V329="A",MAX(1,IF(X329&lt;&gt;"",X329,IFERROR(VLOOKUP(V329,Assumptions!$A$8:$F$12,3,FALSE),3))+IF(Y329&lt;&gt;"",Y329,IFERROR(VLOOKUP(V329,Assumptions!$A$8:$F$12,4,FALSE),8))/2-MAX(0,IF(AS329="",0,YEAR(TODAY())-AS329)-IFERROR(VLOOKUP(V329,Assumptions!$A$8:$F$12,5,FALSE),1.5))),IFERROR(VLOOKUP(V329,Assumptions!$A$8:$F$12,5,FALSE),2.5)+IF(X329&lt;&gt;"",X329,IFERROR(VLOOKUP(V329,Assumptions!$A$8:$F$12,3,FALSE),3))+IF(Y329&lt;&gt;"",Y329,IFERROR(VLOOKUP(V329,Assumptions!$A$8:$F$12,4,FALSE),8))/2)</f>
        <v/>
      </c>
      <c r="AB329" s="24">
        <f>U329*Z329/(1+Assumptions!$B$3)^AA329</f>
        <v/>
      </c>
      <c r="AC329" s="27">
        <f>IF(U329=0,"",ROUND(AB329/U329*100,1))</f>
        <v/>
      </c>
      <c r="AD329" s="29">
        <f>AB329*Assumptions!$B$4</f>
        <v/>
      </c>
      <c r="AE329" s="27">
        <f>IF(U329=0,"",ROUND(AD329/U329*100,1))</f>
        <v/>
      </c>
      <c r="AF329" s="29">
        <f>AB329-AD329</f>
        <v/>
      </c>
      <c r="AG329" s="27">
        <f>IF(U329=0,"",ROUND((AB329-AD329)/U329*100,1))</f>
        <v/>
      </c>
      <c r="AH329" s="34" t="inlineStr">
        <is>
          <t>NO TOTALS — list prints none; check page</t>
        </is>
      </c>
      <c r="AI329" s="31" t="inlineStr">
        <is>
          <t>https://scalzilliaj.com.br/sgc/download.php?file=files/processo_documento/processo_documento15180810062026_1_.pdf&amp;nome=10 - Relação de credores do art. 7º, §2º, da Lei 11.101/2005</t>
        </is>
      </c>
      <c r="AJ329" s="30" t="inlineStr">
        <is>
          <t>p1 r41</t>
        </is>
      </c>
      <c r="AK329" s="30" t="inlineStr">
        <is>
          <t>p1: R$ 311.424,00</t>
        </is>
      </c>
      <c r="AL329" s="30" t="inlineStr">
        <is>
          <t>AJ list (art. 7 §2)</t>
        </is>
      </c>
      <c r="AM329" s="30" t="inlineStr"/>
      <c r="AN329" s="30" t="inlineStr">
        <is>
          <t>NONE FOUND</t>
        </is>
      </c>
      <c r="AO329" s="32" t="inlineStr">
        <is>
          <t>5009529-81.2025.8.24.0019</t>
        </is>
      </c>
      <c r="AP329" s="32" t="inlineStr">
        <is>
          <t>TJSC</t>
        </is>
      </c>
      <c r="AQ329" s="32" t="inlineStr"/>
      <c r="AR329" s="32" t="inlineStr">
        <is>
          <t>not in DataJud</t>
        </is>
      </c>
      <c r="AS329" s="32" t="n">
        <v>2025</v>
      </c>
      <c r="AT329" s="32" t="inlineStr">
        <is>
          <t>live case, no plan document yet; case no. from the portal record, not printed on the list</t>
        </is>
      </c>
      <c r="AU329" s="32" t="inlineStr"/>
      <c r="AV329" s="32" t="inlineStr">
        <is>
          <t>not identified</t>
        </is>
      </c>
      <c r="AW329" s="32" t="inlineStr"/>
      <c r="AX329" s="32" t="inlineStr">
        <is>
          <t>CONCORDIA</t>
        </is>
      </c>
      <c r="AY329" s="32" t="inlineStr">
        <is>
          <t>SC</t>
        </is>
      </c>
      <c r="AZ329" s="32" t="inlineStr">
        <is>
          <t>Construção de edifícios</t>
        </is>
      </c>
      <c r="BA329" s="32" t="inlineStr">
        <is>
          <t>MICRO EMPRESA</t>
        </is>
      </c>
      <c r="BB329" s="33" t="n">
        <v>2800000</v>
      </c>
      <c r="BC329" s="32" t="inlineStr">
        <is>
          <t>SMALL</t>
        </is>
      </c>
      <c r="BD329" s="32" t="inlineStr">
        <is>
          <t>49644505</t>
        </is>
      </c>
      <c r="BE329" s="32" t="n">
        <v>1</v>
      </c>
      <c r="BF329" s="32" t="inlineStr">
        <is>
          <t>list prints no totals</t>
        </is>
      </c>
    </row>
    <row r="330">
      <c r="A330" s="17" t="inlineStr">
        <is>
          <t>MECMETAL INDUSTRIA E COMERCIO DE TRANSFORMADORES LTDA</t>
        </is>
      </c>
      <c r="B330" s="18" t="n">
        <v>1213121.27</v>
      </c>
      <c r="C330" s="19" t="inlineStr">
        <is>
          <t>BLUTRAFOS BLUMENAU TRANSFORMADORES LTDA</t>
        </is>
      </c>
      <c r="D330" s="20" t="inlineStr">
        <is>
          <t>NEW</t>
        </is>
      </c>
      <c r="E330" s="21" t="inlineStr"/>
      <c r="F330" s="20" t="inlineStr"/>
      <c r="G330" s="21" t="inlineStr"/>
      <c r="H330" s="20" t="inlineStr"/>
      <c r="I330" s="22" t="inlineStr">
        <is>
          <t>LEANDRO FURLANI</t>
        </is>
      </c>
      <c r="J330" s="23" t="inlineStr">
        <is>
          <t>Sócio-Administrador (RFB partner)</t>
        </is>
      </c>
      <c r="K330" s="22" t="inlineStr">
        <is>
          <t>(47) 3039-9330</t>
        </is>
      </c>
      <c r="L330" s="22" t="inlineStr">
        <is>
          <t>(47) 9979-2026</t>
        </is>
      </c>
      <c r="M330" s="22" t="inlineStr"/>
      <c r="N330" s="22" t="inlineStr"/>
      <c r="O330" s="22" t="inlineStr"/>
      <c r="P330" s="22" t="inlineStr"/>
      <c r="Q330" s="22" t="inlineStr"/>
      <c r="R330" s="22" t="inlineStr"/>
      <c r="S330" s="22" t="inlineStr"/>
      <c r="T330" s="22" t="inlineStr">
        <is>
          <t>DM = registered partner (RFB QSA); no Apollo match</t>
        </is>
      </c>
      <c r="U330" s="24" t="n">
        <v>1213121.27</v>
      </c>
      <c r="V330" s="39" t="inlineStr">
        <is>
          <t>C</t>
        </is>
      </c>
      <c r="W330" s="26" t="inlineStr"/>
      <c r="X330" s="27" t="inlineStr"/>
      <c r="Y330" s="27" t="inlineStr"/>
      <c r="Z330" s="26">
        <f>IF(W330&lt;&gt;"",W330,IFERROR(VLOOKUP(V330,Assumptions!$A$8:$F$12,2,FALSE),0))</f>
        <v/>
      </c>
      <c r="AA330" s="28">
        <f>IF(V330="A",MAX(1,IF(X330&lt;&gt;"",X330,IFERROR(VLOOKUP(V330,Assumptions!$A$8:$F$12,3,FALSE),3))+IF(Y330&lt;&gt;"",Y330,IFERROR(VLOOKUP(V330,Assumptions!$A$8:$F$12,4,FALSE),8))/2-MAX(0,IF(AS330="",0,YEAR(TODAY())-AS330)-IFERROR(VLOOKUP(V330,Assumptions!$A$8:$F$12,5,FALSE),1.5))),IFERROR(VLOOKUP(V330,Assumptions!$A$8:$F$12,5,FALSE),2.5)+IF(X330&lt;&gt;"",X330,IFERROR(VLOOKUP(V330,Assumptions!$A$8:$F$12,3,FALSE),3))+IF(Y330&lt;&gt;"",Y330,IFERROR(VLOOKUP(V330,Assumptions!$A$8:$F$12,4,FALSE),8))/2)</f>
        <v/>
      </c>
      <c r="AB330" s="24">
        <f>U330*Z330/(1+Assumptions!$B$3)^AA330</f>
        <v/>
      </c>
      <c r="AC330" s="27">
        <f>IF(U330=0,"",ROUND(AB330/U330*100,1))</f>
        <v/>
      </c>
      <c r="AD330" s="29">
        <f>AB330*Assumptions!$B$4</f>
        <v/>
      </c>
      <c r="AE330" s="27">
        <f>IF(U330=0,"",ROUND(AD330/U330*100,1))</f>
        <v/>
      </c>
      <c r="AF330" s="29">
        <f>AB330-AD330</f>
        <v/>
      </c>
      <c r="AG330" s="27">
        <f>IF(U330=0,"",ROUND((AB330-AD330)/U330*100,1))</f>
        <v/>
      </c>
      <c r="AH330" s="30" t="inlineStr">
        <is>
          <t>OK — totals reconciled</t>
        </is>
      </c>
      <c r="AI330" s="31" t="inlineStr">
        <is>
          <t>https://administradorajudicialgs.com.br/wp-content/uploads/2023/08/advogados-sgrott-doc-22-relacao-de-credores-do-administrador-judicial-classe-iii-05-02-14.pdf</t>
        </is>
      </c>
      <c r="AJ330" s="30" t="inlineStr">
        <is>
          <t>p4 r17</t>
        </is>
      </c>
      <c r="AK330" s="30" t="inlineStr">
        <is>
          <t>p4: R$ 1.213.121,27</t>
        </is>
      </c>
      <c r="AL330" s="30" t="inlineStr">
        <is>
          <t>Unclassified list</t>
        </is>
      </c>
      <c r="AM330" s="30" t="inlineStr"/>
      <c r="AN330" s="30" t="inlineStr">
        <is>
          <t>NONE FOUND</t>
        </is>
      </c>
      <c r="AO330" s="32" t="inlineStr">
        <is>
          <t>0022845-08.2013.8.24.0008</t>
        </is>
      </c>
      <c r="AP330" s="32" t="inlineStr">
        <is>
          <t>TJSC</t>
        </is>
      </c>
      <c r="AQ330" s="32" t="inlineStr"/>
      <c r="AR330" s="32" t="inlineStr">
        <is>
          <t>not in DataJud</t>
        </is>
      </c>
      <c r="AS330" s="32" t="n">
        <v>2013</v>
      </c>
      <c r="AT330" s="32" t="inlineStr">
        <is>
          <t>13y since filing; plan not in our documents; case no. from the portal record, not printed on the list</t>
        </is>
      </c>
      <c r="AU330" s="32" t="inlineStr"/>
      <c r="AV330" s="32" t="inlineStr">
        <is>
          <t>portal page title / URL — not printed on the list</t>
        </is>
      </c>
      <c r="AW330" s="32" t="inlineStr"/>
      <c r="AX330" s="32" t="inlineStr">
        <is>
          <t>INDAIAL</t>
        </is>
      </c>
      <c r="AY330" s="32" t="inlineStr">
        <is>
          <t>SC</t>
        </is>
      </c>
      <c r="AZ330" s="32" t="inlineStr">
        <is>
          <t>Fabricação de transformadores, indutores, conversores, sincronizadores e semelhantes, peças e acessórios</t>
        </is>
      </c>
      <c r="BA330" s="32" t="inlineStr">
        <is>
          <t>EMPRESA DE PEQUENO PORTE</t>
        </is>
      </c>
      <c r="BB330" s="33" t="n">
        <v>350000</v>
      </c>
      <c r="BC330" s="32" t="inlineStr">
        <is>
          <t>SMALL</t>
        </is>
      </c>
      <c r="BD330" s="32" t="inlineStr">
        <is>
          <t>04686964</t>
        </is>
      </c>
      <c r="BE330" s="32" t="n">
        <v>1</v>
      </c>
      <c r="BF330" s="32" t="inlineStr"/>
    </row>
    <row r="331">
      <c r="A331" s="17" t="inlineStr">
        <is>
          <t>NATIVA PRODUTOS AGRICOLAS LTDA</t>
        </is>
      </c>
      <c r="B331" s="18" t="n">
        <v>310314.83</v>
      </c>
      <c r="C331" s="19" t="inlineStr">
        <is>
          <t>SUINOCULTURA KUNZLER</t>
        </is>
      </c>
      <c r="D331" s="20" t="inlineStr">
        <is>
          <t>NEW</t>
        </is>
      </c>
      <c r="E331" s="21" t="inlineStr"/>
      <c r="F331" s="20" t="inlineStr"/>
      <c r="G331" s="21" t="inlineStr"/>
      <c r="H331" s="20" t="inlineStr"/>
      <c r="I331" s="22" t="inlineStr">
        <is>
          <t>ALTAIR ZANELLA</t>
        </is>
      </c>
      <c r="J331" s="23" t="inlineStr">
        <is>
          <t>Sócio-Administrador (RFB partner)</t>
        </is>
      </c>
      <c r="K331" s="22" t="inlineStr">
        <is>
          <t>(46) 3220-2442</t>
        </is>
      </c>
      <c r="L331" s="22" t="inlineStr"/>
      <c r="M331" s="22" t="inlineStr"/>
      <c r="N331" s="22" t="inlineStr"/>
      <c r="O331" s="22" t="inlineStr"/>
      <c r="P331" s="22" t="inlineStr">
        <is>
          <t>JEANPPIERE CIGOLINI</t>
        </is>
      </c>
      <c r="Q331" s="22" t="inlineStr">
        <is>
          <t>Sócio-Administrador (RFB partner)</t>
        </is>
      </c>
      <c r="R331" s="22" t="inlineStr"/>
      <c r="S331" s="22" t="inlineStr"/>
      <c r="T331" s="22" t="inlineStr">
        <is>
          <t>DM = registered partner (RFB QSA); no Apollo match</t>
        </is>
      </c>
      <c r="U331" s="24" t="n">
        <v>310314.83</v>
      </c>
      <c r="V331" s="25" t="inlineStr">
        <is>
          <t>B</t>
        </is>
      </c>
      <c r="W331" s="26" t="inlineStr"/>
      <c r="X331" s="27" t="inlineStr"/>
      <c r="Y331" s="27" t="inlineStr"/>
      <c r="Z331" s="26">
        <f>IF(W331&lt;&gt;"",W331,IFERROR(VLOOKUP(V331,Assumptions!$A$8:$F$12,2,FALSE),0))</f>
        <v/>
      </c>
      <c r="AA331" s="28">
        <f>IF(V331="A",MAX(1,IF(X331&lt;&gt;"",X331,IFERROR(VLOOKUP(V331,Assumptions!$A$8:$F$12,3,FALSE),3))+IF(Y331&lt;&gt;"",Y331,IFERROR(VLOOKUP(V331,Assumptions!$A$8:$F$12,4,FALSE),8))/2-MAX(0,IF(AS331="",0,YEAR(TODAY())-AS331)-IFERROR(VLOOKUP(V331,Assumptions!$A$8:$F$12,5,FALSE),1.5))),IFERROR(VLOOKUP(V331,Assumptions!$A$8:$F$12,5,FALSE),2.5)+IF(X331&lt;&gt;"",X331,IFERROR(VLOOKUP(V331,Assumptions!$A$8:$F$12,3,FALSE),3))+IF(Y331&lt;&gt;"",Y331,IFERROR(VLOOKUP(V331,Assumptions!$A$8:$F$12,4,FALSE),8))/2)</f>
        <v/>
      </c>
      <c r="AB331" s="24">
        <f>U331*Z331/(1+Assumptions!$B$3)^AA331</f>
        <v/>
      </c>
      <c r="AC331" s="27">
        <f>IF(U331=0,"",ROUND(AB331/U331*100,1))</f>
        <v/>
      </c>
      <c r="AD331" s="29">
        <f>AB331*Assumptions!$B$4</f>
        <v/>
      </c>
      <c r="AE331" s="27">
        <f>IF(U331=0,"",ROUND(AD331/U331*100,1))</f>
        <v/>
      </c>
      <c r="AF331" s="29">
        <f>AB331-AD331</f>
        <v/>
      </c>
      <c r="AG331" s="27">
        <f>IF(U331=0,"",ROUND((AB331-AD331)/U331*100,1))</f>
        <v/>
      </c>
      <c r="AH331" s="34" t="inlineStr">
        <is>
          <t>NO TOTALS — list prints none; check page</t>
        </is>
      </c>
      <c r="AI331" s="31" t="inlineStr">
        <is>
          <t>https://rlg-aj.com.br/wp-content/uploads/2024/11/07.-Relação-de-credores.pdf</t>
        </is>
      </c>
      <c r="AJ331" s="30" t="inlineStr">
        <is>
          <t>p1 r26</t>
        </is>
      </c>
      <c r="AK331" s="30" t="inlineStr">
        <is>
          <t>p1: R$ 310.314,83</t>
        </is>
      </c>
      <c r="AL331" s="30" t="inlineStr">
        <is>
          <t>Unclassified list</t>
        </is>
      </c>
      <c r="AM331" s="30" t="inlineStr"/>
      <c r="AN331" s="30" t="inlineStr">
        <is>
          <t>NONE FOUND</t>
        </is>
      </c>
      <c r="AO331" s="32" t="inlineStr">
        <is>
          <t>5009149-92.2024.8.24.0019</t>
        </is>
      </c>
      <c r="AP331" s="32" t="inlineStr">
        <is>
          <t>TJSC</t>
        </is>
      </c>
      <c r="AQ331" s="32" t="inlineStr">
        <is>
          <t>Recuperação judicial</t>
        </is>
      </c>
      <c r="AR331" s="32" t="inlineStr">
        <is>
          <t>DataJud: no closure/falência movement</t>
        </is>
      </c>
      <c r="AS331" s="32" t="n">
        <v>2024</v>
      </c>
      <c r="AT331" s="32" t="inlineStr">
        <is>
          <t>live case, no plan document yet; case no. from the portal record, not printed on the list</t>
        </is>
      </c>
      <c r="AU331" s="32" t="inlineStr">
        <is>
          <t>55.365.447/0001-56</t>
        </is>
      </c>
      <c r="AV331" s="32" t="inlineStr">
        <is>
          <t>printed on the list (read twice)</t>
        </is>
      </c>
      <c r="AW331" s="32" t="inlineStr"/>
      <c r="AX331" s="32" t="inlineStr">
        <is>
          <t>PATO BRANCO</t>
        </is>
      </c>
      <c r="AY331" s="32" t="inlineStr">
        <is>
          <t>PR</t>
        </is>
      </c>
      <c r="AZ331" s="32" t="inlineStr">
        <is>
          <t>Comércio atacadista de defensivos agrícolas, adubos, fertilizantes e corretivos do solo</t>
        </is>
      </c>
      <c r="BA331" s="32" t="inlineStr">
        <is>
          <t>não ME/EPP</t>
        </is>
      </c>
      <c r="BB331" s="33" t="n">
        <v>3950000</v>
      </c>
      <c r="BC331" s="32" t="inlineStr">
        <is>
          <t>MID-MARKET</t>
        </is>
      </c>
      <c r="BD331" s="32" t="inlineStr">
        <is>
          <t>01911761</t>
        </is>
      </c>
      <c r="BE331" s="32" t="n">
        <v>1</v>
      </c>
      <c r="BF331" s="32" t="inlineStr">
        <is>
          <t>list prints no totals</t>
        </is>
      </c>
    </row>
    <row r="332">
      <c r="A332" s="17" t="inlineStr">
        <is>
          <t>ALBUQUERQUE SOCCER ATIVIDADES ESPORTIVAS LTDA</t>
        </is>
      </c>
      <c r="B332" s="18" t="n">
        <v>310000</v>
      </c>
      <c r="C332" s="19" t="inlineStr">
        <is>
          <t>CLUBE NÁUTICO CAPIBARIBE</t>
        </is>
      </c>
      <c r="D332" s="20" t="inlineStr">
        <is>
          <t>NEW</t>
        </is>
      </c>
      <c r="E332" s="21" t="inlineStr"/>
      <c r="F332" s="20" t="inlineStr"/>
      <c r="G332" s="21" t="inlineStr"/>
      <c r="H332" s="20" t="inlineStr"/>
      <c r="I332" s="22" t="inlineStr">
        <is>
          <t>IGOR JOSE DE SA BARRETO ALBUQUERQUE</t>
        </is>
      </c>
      <c r="J332" s="23" t="inlineStr">
        <is>
          <t>Sócio-Administrador (RFB partner)</t>
        </is>
      </c>
      <c r="K332" s="22" t="inlineStr">
        <is>
          <t>(81) 9994-1904</t>
        </is>
      </c>
      <c r="L332" s="22" t="inlineStr"/>
      <c r="M332" s="22" t="inlineStr"/>
      <c r="N332" s="22" t="inlineStr"/>
      <c r="O332" s="22" t="inlineStr"/>
      <c r="P332" s="22" t="inlineStr"/>
      <c r="Q332" s="22" t="inlineStr"/>
      <c r="R332" s="22" t="inlineStr"/>
      <c r="S332" s="22" t="inlineStr"/>
      <c r="T332" s="22" t="inlineStr">
        <is>
          <t>DM = registered partner (RFB QSA); no Apollo match</t>
        </is>
      </c>
      <c r="U332" s="24" t="n">
        <v>310000</v>
      </c>
      <c r="V332" s="25" t="inlineStr">
        <is>
          <t>B</t>
        </is>
      </c>
      <c r="W332" s="26" t="inlineStr"/>
      <c r="X332" s="27" t="inlineStr"/>
      <c r="Y332" s="27" t="inlineStr"/>
      <c r="Z332" s="26">
        <f>IF(W332&lt;&gt;"",W332,IFERROR(VLOOKUP(V332,Assumptions!$A$8:$F$12,2,FALSE),0))</f>
        <v/>
      </c>
      <c r="AA332" s="28">
        <f>IF(V332="A",MAX(1,IF(X332&lt;&gt;"",X332,IFERROR(VLOOKUP(V332,Assumptions!$A$8:$F$12,3,FALSE),3))+IF(Y332&lt;&gt;"",Y332,IFERROR(VLOOKUP(V332,Assumptions!$A$8:$F$12,4,FALSE),8))/2-MAX(0,IF(AS332="",0,YEAR(TODAY())-AS332)-IFERROR(VLOOKUP(V332,Assumptions!$A$8:$F$12,5,FALSE),1.5))),IFERROR(VLOOKUP(V332,Assumptions!$A$8:$F$12,5,FALSE),2.5)+IF(X332&lt;&gt;"",X332,IFERROR(VLOOKUP(V332,Assumptions!$A$8:$F$12,3,FALSE),3))+IF(Y332&lt;&gt;"",Y332,IFERROR(VLOOKUP(V332,Assumptions!$A$8:$F$12,4,FALSE),8))/2)</f>
        <v/>
      </c>
      <c r="AB332" s="24">
        <f>U332*Z332/(1+Assumptions!$B$3)^AA332</f>
        <v/>
      </c>
      <c r="AC332" s="27">
        <f>IF(U332=0,"",ROUND(AB332/U332*100,1))</f>
        <v/>
      </c>
      <c r="AD332" s="29">
        <f>AB332*Assumptions!$B$4</f>
        <v/>
      </c>
      <c r="AE332" s="27">
        <f>IF(U332=0,"",ROUND(AD332/U332*100,1))</f>
        <v/>
      </c>
      <c r="AF332" s="29">
        <f>AB332-AD332</f>
        <v/>
      </c>
      <c r="AG332" s="27">
        <f>IF(U332=0,"",ROUND((AB332-AD332)/U332*100,1))</f>
        <v/>
      </c>
      <c r="AH332" s="35" t="inlineStr">
        <is>
          <t>PARTIAL — class III reconciled, other classes not</t>
        </is>
      </c>
      <c r="AI332" s="31" t="inlineStr">
        <is>
          <t>https://lrflideres.com.br/wp-content/plugins/download-attachments/includes/download.php?id=5589</t>
        </is>
      </c>
      <c r="AJ332" s="30" t="inlineStr">
        <is>
          <t>p11 r61</t>
        </is>
      </c>
      <c r="AK332" s="30" t="inlineStr">
        <is>
          <t>p11: R$ 310.000,00</t>
        </is>
      </c>
      <c r="AL332" s="30" t="inlineStr">
        <is>
          <t>AJ list (art. 7 §2)</t>
        </is>
      </c>
      <c r="AM332" s="30" t="inlineStr">
        <is>
          <t>2023-11-27</t>
        </is>
      </c>
      <c r="AN332" s="30" t="inlineStr">
        <is>
          <t>NONE FOUND</t>
        </is>
      </c>
      <c r="AO332" s="32" t="inlineStr">
        <is>
          <t>0011283-80.2023.8.17.2001</t>
        </is>
      </c>
      <c r="AP332" s="32" t="inlineStr">
        <is>
          <t>TJPE</t>
        </is>
      </c>
      <c r="AQ332" s="32" t="inlineStr">
        <is>
          <t>Recuperação judicial</t>
        </is>
      </c>
      <c r="AR332" s="32" t="inlineStr">
        <is>
          <t>DataJud: no closure/falência movement</t>
        </is>
      </c>
      <c r="AS332" s="32" t="n">
        <v>2023</v>
      </c>
      <c r="AT332" s="32" t="inlineStr">
        <is>
          <t>live case, no plan document yet; atypical debtor (associação/clube/hospital/produtor rural): admissibility or claim subjection may be contested</t>
        </is>
      </c>
      <c r="AU332" s="32" t="inlineStr">
        <is>
          <t>08.145.021/0001-07</t>
        </is>
      </c>
      <c r="AV332" s="32" t="inlineStr">
        <is>
          <t>printed on the list (read twice)</t>
        </is>
      </c>
      <c r="AW332" s="32" t="inlineStr"/>
      <c r="AX332" s="32" t="inlineStr">
        <is>
          <t>OLINDA</t>
        </is>
      </c>
      <c r="AY332" s="32" t="inlineStr">
        <is>
          <t>PE</t>
        </is>
      </c>
      <c r="AZ332" s="32" t="inlineStr">
        <is>
          <t>Produção e promoção de eventos esportivos</t>
        </is>
      </c>
      <c r="BA332" s="32" t="inlineStr">
        <is>
          <t>não ME/EPP</t>
        </is>
      </c>
      <c r="BB332" s="33" t="n">
        <v>10000</v>
      </c>
      <c r="BC332" s="32" t="inlineStr">
        <is>
          <t>MID-MARKET</t>
        </is>
      </c>
      <c r="BD332" s="32" t="inlineStr">
        <is>
          <t>16620321</t>
        </is>
      </c>
      <c r="BE332" s="32" t="n">
        <v>1</v>
      </c>
      <c r="BF332" s="32" t="inlineStr">
        <is>
          <t>class III reconciled (doc partial)</t>
        </is>
      </c>
    </row>
    <row r="333">
      <c r="A333" s="17" t="inlineStr">
        <is>
          <t>FLUMINENSE FOOTBALL CLUB</t>
        </is>
      </c>
      <c r="B333" s="18" t="n">
        <v>309484.78</v>
      </c>
      <c r="C333" s="19" t="inlineStr">
        <is>
          <t>PAYSANDU SPORT CLUB</t>
        </is>
      </c>
      <c r="D333" s="20" t="inlineStr">
        <is>
          <t>NEW</t>
        </is>
      </c>
      <c r="E333" s="21" t="inlineStr"/>
      <c r="F333" s="20" t="inlineStr"/>
      <c r="G333" s="21" t="inlineStr"/>
      <c r="H333" s="20" t="inlineStr"/>
      <c r="I333" s="22" t="inlineStr">
        <is>
          <t>Leonardo Iunes</t>
        </is>
      </c>
      <c r="J333" s="22" t="inlineStr">
        <is>
          <t>Diretor Executivo Financeiro - CFO</t>
        </is>
      </c>
      <c r="K333" s="22" t="inlineStr"/>
      <c r="L333" s="22" t="inlineStr"/>
      <c r="M333" s="22" t="inlineStr"/>
      <c r="N333" s="22" t="inlineStr">
        <is>
          <t>leonardo.iunes@fluminense.com.br</t>
        </is>
      </c>
      <c r="O333" s="22" t="inlineStr">
        <is>
          <t>verified</t>
        </is>
      </c>
      <c r="P333" s="22" t="inlineStr">
        <is>
          <t>MATTHEUS REIS E MONTENEGRO</t>
        </is>
      </c>
      <c r="Q333" s="22" t="inlineStr">
        <is>
          <t>Presidente (RFB partner)</t>
        </is>
      </c>
      <c r="R333" s="22" t="inlineStr"/>
      <c r="S333" s="22" t="inlineStr"/>
      <c r="T333" s="22" t="inlineStr">
        <is>
          <t>DM: DM</t>
        </is>
      </c>
      <c r="U333" s="24" t="n">
        <v>309484.78</v>
      </c>
      <c r="V333" s="25" t="inlineStr">
        <is>
          <t>B</t>
        </is>
      </c>
      <c r="W333" s="26" t="inlineStr"/>
      <c r="X333" s="27" t="inlineStr"/>
      <c r="Y333" s="27" t="inlineStr"/>
      <c r="Z333" s="26">
        <f>IF(W333&lt;&gt;"",W333,IFERROR(VLOOKUP(V333,Assumptions!$A$8:$F$12,2,FALSE),0))</f>
        <v/>
      </c>
      <c r="AA333" s="28">
        <f>IF(V333="A",MAX(1,IF(X333&lt;&gt;"",X333,IFERROR(VLOOKUP(V333,Assumptions!$A$8:$F$12,3,FALSE),3))+IF(Y333&lt;&gt;"",Y333,IFERROR(VLOOKUP(V333,Assumptions!$A$8:$F$12,4,FALSE),8))/2-MAX(0,IF(AS333="",0,YEAR(TODAY())-AS333)-IFERROR(VLOOKUP(V333,Assumptions!$A$8:$F$12,5,FALSE),1.5))),IFERROR(VLOOKUP(V333,Assumptions!$A$8:$F$12,5,FALSE),2.5)+IF(X333&lt;&gt;"",X333,IFERROR(VLOOKUP(V333,Assumptions!$A$8:$F$12,3,FALSE),3))+IF(Y333&lt;&gt;"",Y333,IFERROR(VLOOKUP(V333,Assumptions!$A$8:$F$12,4,FALSE),8))/2)</f>
        <v/>
      </c>
      <c r="AB333" s="24">
        <f>U333*Z333/(1+Assumptions!$B$3)^AA333</f>
        <v/>
      </c>
      <c r="AC333" s="27">
        <f>IF(U333=0,"",ROUND(AB333/U333*100,1))</f>
        <v/>
      </c>
      <c r="AD333" s="29">
        <f>AB333*Assumptions!$B$4</f>
        <v/>
      </c>
      <c r="AE333" s="27">
        <f>IF(U333=0,"",ROUND(AD333/U333*100,1))</f>
        <v/>
      </c>
      <c r="AF333" s="29">
        <f>AB333-AD333</f>
        <v/>
      </c>
      <c r="AG333" s="27">
        <f>IF(U333=0,"",ROUND((AB333-AD333)/U333*100,1))</f>
        <v/>
      </c>
      <c r="AH333" s="35" t="inlineStr">
        <is>
          <t>PARTIAL — class III reconciled, other classes not</t>
        </is>
      </c>
      <c r="AI333" s="31" t="inlineStr">
        <is>
          <t>https://cdn.dol.com.br/img/attachmentinline/940000/6publicacao-2-edital-art-7-parag-2-da-lei-11101-20009467060.pdf?xid=3272528</t>
        </is>
      </c>
      <c r="AJ333" s="30" t="inlineStr">
        <is>
          <t>p3 r19</t>
        </is>
      </c>
      <c r="AK333" s="30" t="inlineStr">
        <is>
          <t>p3: R$ 309.484,78</t>
        </is>
      </c>
      <c r="AL333" s="30" t="inlineStr">
        <is>
          <t>AJ list (art. 7 §2)</t>
        </is>
      </c>
      <c r="AM333" s="30" t="inlineStr">
        <is>
          <t>2026-07-07</t>
        </is>
      </c>
      <c r="AN333" s="30" t="inlineStr">
        <is>
          <t>NONE FOUND</t>
        </is>
      </c>
      <c r="AO333" s="32" t="inlineStr">
        <is>
          <t>0820780-23.2026.8.14.0301</t>
        </is>
      </c>
      <c r="AP333" s="32" t="inlineStr">
        <is>
          <t>TJPA</t>
        </is>
      </c>
      <c r="AQ333" s="32" t="inlineStr">
        <is>
          <t>Recuperação judicial</t>
        </is>
      </c>
      <c r="AR333" s="32" t="inlineStr">
        <is>
          <t>DataJud: no closure/falência movement</t>
        </is>
      </c>
      <c r="AS333" s="32" t="n">
        <v>2026</v>
      </c>
      <c r="AT333" s="32" t="inlineStr">
        <is>
          <t>live case, no plan document yet; atypical debtor (associação/clube/hospital/produtor rural): admissibility or claim subjection may be contested</t>
        </is>
      </c>
      <c r="AU333" s="32" t="inlineStr"/>
      <c r="AV333" s="32" t="inlineStr">
        <is>
          <t>printed on the list (read twice)</t>
        </is>
      </c>
      <c r="AW333" s="32" t="inlineStr"/>
      <c r="AX333" s="32" t="inlineStr">
        <is>
          <t>RIO DE JANEIRO</t>
        </is>
      </c>
      <c r="AY333" s="32" t="inlineStr">
        <is>
          <t>RJ</t>
        </is>
      </c>
      <c r="AZ333" s="32" t="inlineStr">
        <is>
          <t>Clubes sociais, esportivos e similares</t>
        </is>
      </c>
      <c r="BA333" s="32" t="inlineStr">
        <is>
          <t>não ME/EPP</t>
        </is>
      </c>
      <c r="BB333" s="33" t="inlineStr"/>
      <c r="BC333" s="32" t="inlineStr">
        <is>
          <t>UNKNOWN</t>
        </is>
      </c>
      <c r="BD333" s="32" t="inlineStr">
        <is>
          <t>33647553</t>
        </is>
      </c>
      <c r="BE333" s="32" t="n">
        <v>1</v>
      </c>
      <c r="BF333" s="32" t="inlineStr">
        <is>
          <t>class III reconciled (doc partial)</t>
        </is>
      </c>
    </row>
    <row r="334">
      <c r="A334" s="17" t="inlineStr">
        <is>
          <t>MEGATEAM CONSULTORIA LTDA</t>
        </is>
      </c>
      <c r="B334" s="18" t="n">
        <v>307262.69</v>
      </c>
      <c r="C334" s="19" t="inlineStr">
        <is>
          <t>CLUBE NÁUTICO CAPIBARIBE</t>
        </is>
      </c>
      <c r="D334" s="20" t="inlineStr">
        <is>
          <t>NEW</t>
        </is>
      </c>
      <c r="E334" s="21" t="inlineStr"/>
      <c r="F334" s="20" t="inlineStr"/>
      <c r="G334" s="21" t="inlineStr"/>
      <c r="H334" s="20" t="inlineStr"/>
      <c r="I334" s="22" t="inlineStr">
        <is>
          <t>PAULO ESTEVAO BRAGA NEHMY</t>
        </is>
      </c>
      <c r="J334" s="23" t="inlineStr">
        <is>
          <t>Sócio-Administrador (RFB partner)</t>
        </is>
      </c>
      <c r="K334" s="22" t="inlineStr">
        <is>
          <t>(31) 9982-4747</t>
        </is>
      </c>
      <c r="L334" s="22" t="inlineStr"/>
      <c r="M334" s="22" t="inlineStr"/>
      <c r="N334" s="22" t="inlineStr"/>
      <c r="O334" s="22" t="inlineStr"/>
      <c r="P334" s="22" t="inlineStr"/>
      <c r="Q334" s="22" t="inlineStr"/>
      <c r="R334" s="22" t="inlineStr"/>
      <c r="S334" s="22" t="inlineStr"/>
      <c r="T334" s="22" t="inlineStr">
        <is>
          <t>DM = registered partner (RFB QSA); no Apollo match</t>
        </is>
      </c>
      <c r="U334" s="24" t="n">
        <v>307262.69</v>
      </c>
      <c r="V334" s="25" t="inlineStr">
        <is>
          <t>B</t>
        </is>
      </c>
      <c r="W334" s="26" t="inlineStr"/>
      <c r="X334" s="27" t="inlineStr"/>
      <c r="Y334" s="27" t="inlineStr"/>
      <c r="Z334" s="26">
        <f>IF(W334&lt;&gt;"",W334,IFERROR(VLOOKUP(V334,Assumptions!$A$8:$F$12,2,FALSE),0))</f>
        <v/>
      </c>
      <c r="AA334" s="28">
        <f>IF(V334="A",MAX(1,IF(X334&lt;&gt;"",X334,IFERROR(VLOOKUP(V334,Assumptions!$A$8:$F$12,3,FALSE),3))+IF(Y334&lt;&gt;"",Y334,IFERROR(VLOOKUP(V334,Assumptions!$A$8:$F$12,4,FALSE),8))/2-MAX(0,IF(AS334="",0,YEAR(TODAY())-AS334)-IFERROR(VLOOKUP(V334,Assumptions!$A$8:$F$12,5,FALSE),1.5))),IFERROR(VLOOKUP(V334,Assumptions!$A$8:$F$12,5,FALSE),2.5)+IF(X334&lt;&gt;"",X334,IFERROR(VLOOKUP(V334,Assumptions!$A$8:$F$12,3,FALSE),3))+IF(Y334&lt;&gt;"",Y334,IFERROR(VLOOKUP(V334,Assumptions!$A$8:$F$12,4,FALSE),8))/2)</f>
        <v/>
      </c>
      <c r="AB334" s="24">
        <f>U334*Z334/(1+Assumptions!$B$3)^AA334</f>
        <v/>
      </c>
      <c r="AC334" s="27">
        <f>IF(U334=0,"",ROUND(AB334/U334*100,1))</f>
        <v/>
      </c>
      <c r="AD334" s="29">
        <f>AB334*Assumptions!$B$4</f>
        <v/>
      </c>
      <c r="AE334" s="27">
        <f>IF(U334=0,"",ROUND(AD334/U334*100,1))</f>
        <v/>
      </c>
      <c r="AF334" s="29">
        <f>AB334-AD334</f>
        <v/>
      </c>
      <c r="AG334" s="27">
        <f>IF(U334=0,"",ROUND((AB334-AD334)/U334*100,1))</f>
        <v/>
      </c>
      <c r="AH334" s="35" t="inlineStr">
        <is>
          <t>PARTIAL — class III reconciled, other classes not</t>
        </is>
      </c>
      <c r="AI334" s="31" t="inlineStr">
        <is>
          <t>https://lrflideres.com.br/wp-content/plugins/download-attachments/includes/download.php?id=5589</t>
        </is>
      </c>
      <c r="AJ334" s="30" t="inlineStr">
        <is>
          <t>p12 r33</t>
        </is>
      </c>
      <c r="AK334" s="30" t="inlineStr">
        <is>
          <t>p12: R$ 307.262,69</t>
        </is>
      </c>
      <c r="AL334" s="30" t="inlineStr">
        <is>
          <t>AJ list (art. 7 §2)</t>
        </is>
      </c>
      <c r="AM334" s="30" t="inlineStr">
        <is>
          <t>2023-11-27</t>
        </is>
      </c>
      <c r="AN334" s="30" t="inlineStr">
        <is>
          <t>NONE FOUND</t>
        </is>
      </c>
      <c r="AO334" s="32" t="inlineStr">
        <is>
          <t>0011283-80.2023.8.17.2001</t>
        </is>
      </c>
      <c r="AP334" s="32" t="inlineStr">
        <is>
          <t>TJPE</t>
        </is>
      </c>
      <c r="AQ334" s="32" t="inlineStr">
        <is>
          <t>Recuperação judicial</t>
        </is>
      </c>
      <c r="AR334" s="32" t="inlineStr">
        <is>
          <t>DataJud: no closure/falência movement</t>
        </is>
      </c>
      <c r="AS334" s="32" t="n">
        <v>2023</v>
      </c>
      <c r="AT334" s="32" t="inlineStr">
        <is>
          <t>live case, no plan document yet; atypical debtor (associação/clube/hospital/produtor rural): admissibility or claim subjection may be contested</t>
        </is>
      </c>
      <c r="AU334" s="32" t="inlineStr">
        <is>
          <t>08.145.021/0001-07</t>
        </is>
      </c>
      <c r="AV334" s="32" t="inlineStr">
        <is>
          <t>printed on the list (read twice)</t>
        </is>
      </c>
      <c r="AW334" s="32" t="inlineStr"/>
      <c r="AX334" s="32" t="inlineStr">
        <is>
          <t>BELO HORIZONTE</t>
        </is>
      </c>
      <c r="AY334" s="32" t="inlineStr">
        <is>
          <t>MG</t>
        </is>
      </c>
      <c r="AZ334" s="32" t="inlineStr">
        <is>
          <t>Atividades de intermediação e agenciamento de serviços e negócios em geral, exceto imobiliários</t>
        </is>
      </c>
      <c r="BA334" s="32" t="inlineStr">
        <is>
          <t>não ME/EPP</t>
        </is>
      </c>
      <c r="BB334" s="33" t="n">
        <v>6000</v>
      </c>
      <c r="BC334" s="32" t="inlineStr">
        <is>
          <t>MID-MARKET</t>
        </is>
      </c>
      <c r="BD334" s="32" t="inlineStr">
        <is>
          <t>05603186</t>
        </is>
      </c>
      <c r="BE334" s="32" t="n">
        <v>1</v>
      </c>
      <c r="BF334" s="32" t="inlineStr">
        <is>
          <t>class III reconciled (doc partial)</t>
        </is>
      </c>
    </row>
    <row r="335">
      <c r="A335" s="17" t="inlineStr">
        <is>
          <t>BIOBASE INDUSTRIA E COMERCIO LTDA</t>
        </is>
      </c>
      <c r="B335" s="18" t="n">
        <v>569654.02</v>
      </c>
      <c r="C335" s="37" t="inlineStr">
        <is>
          <t>(debtor not identified — see proof)</t>
        </is>
      </c>
      <c r="D335" s="20" t="inlineStr">
        <is>
          <t>NEW</t>
        </is>
      </c>
      <c r="E335" s="21" t="inlineStr"/>
      <c r="F335" s="20" t="inlineStr"/>
      <c r="G335" s="21" t="inlineStr"/>
      <c r="H335" s="20" t="inlineStr"/>
      <c r="I335" s="22" t="inlineStr">
        <is>
          <t>RICHARD REIS FARIAS</t>
        </is>
      </c>
      <c r="J335" s="23" t="inlineStr">
        <is>
          <t>Sócio-Administrador (RFB partner)</t>
        </is>
      </c>
      <c r="K335" s="22" t="inlineStr">
        <is>
          <t>(35) 3427-7000</t>
        </is>
      </c>
      <c r="L335" s="22" t="inlineStr">
        <is>
          <t>(35) 3427-7012</t>
        </is>
      </c>
      <c r="M335" s="22" t="inlineStr"/>
      <c r="N335" s="22" t="inlineStr"/>
      <c r="O335" s="22" t="inlineStr"/>
      <c r="P335" s="22" t="inlineStr"/>
      <c r="Q335" s="22" t="inlineStr"/>
      <c r="R335" s="22" t="inlineStr"/>
      <c r="S335" s="22" t="inlineStr"/>
      <c r="T335" s="22" t="inlineStr">
        <is>
          <t>DM = registered partner (RFB QSA); no Apollo match</t>
        </is>
      </c>
      <c r="U335" s="24" t="n">
        <v>569654.02</v>
      </c>
      <c r="V335" s="38" t="inlineStr">
        <is>
          <t>U</t>
        </is>
      </c>
      <c r="W335" s="26" t="inlineStr"/>
      <c r="X335" s="27" t="inlineStr"/>
      <c r="Y335" s="27" t="inlineStr"/>
      <c r="Z335" s="26">
        <f>IF(W335&lt;&gt;"",W335,IFERROR(VLOOKUP(V335,Assumptions!$A$8:$F$12,2,FALSE),0))</f>
        <v/>
      </c>
      <c r="AA335" s="28">
        <f>IF(V335="A",MAX(1,IF(X335&lt;&gt;"",X335,IFERROR(VLOOKUP(V335,Assumptions!$A$8:$F$12,3,FALSE),3))+IF(Y335&lt;&gt;"",Y335,IFERROR(VLOOKUP(V335,Assumptions!$A$8:$F$12,4,FALSE),8))/2-MAX(0,IF(AS335="",0,YEAR(TODAY())-AS335)-IFERROR(VLOOKUP(V335,Assumptions!$A$8:$F$12,5,FALSE),1.5))),IFERROR(VLOOKUP(V335,Assumptions!$A$8:$F$12,5,FALSE),2.5)+IF(X335&lt;&gt;"",X335,IFERROR(VLOOKUP(V335,Assumptions!$A$8:$F$12,3,FALSE),3))+IF(Y335&lt;&gt;"",Y335,IFERROR(VLOOKUP(V335,Assumptions!$A$8:$F$12,4,FALSE),8))/2)</f>
        <v/>
      </c>
      <c r="AB335" s="24">
        <f>U335*Z335/(1+Assumptions!$B$3)^AA335</f>
        <v/>
      </c>
      <c r="AC335" s="27">
        <f>IF(U335=0,"",ROUND(AB335/U335*100,1))</f>
        <v/>
      </c>
      <c r="AD335" s="29">
        <f>AB335*Assumptions!$B$4</f>
        <v/>
      </c>
      <c r="AE335" s="27">
        <f>IF(U335=0,"",ROUND(AD335/U335*100,1))</f>
        <v/>
      </c>
      <c r="AF335" s="29">
        <f>AB335-AD335</f>
        <v/>
      </c>
      <c r="AG335" s="27">
        <f>IF(U335=0,"",ROUND((AB335-AD335)/U335*100,1))</f>
        <v/>
      </c>
      <c r="AH335" s="30" t="inlineStr">
        <is>
          <t>OK — totals reconciled</t>
        </is>
      </c>
      <c r="AI335" s="31" t="inlineStr">
        <is>
          <t>http://bernardobicalho.com.br/login/app/documents/Rela%C3%A7%C3%A3o%20de%20Credores/6.%20RVC-%20Nutricium%20-%20simplificada.pdf</t>
        </is>
      </c>
      <c r="AJ335" s="30" t="inlineStr">
        <is>
          <t>p3 r7</t>
        </is>
      </c>
      <c r="AK335" s="30" t="inlineStr">
        <is>
          <t>p3: R$ 569.654,02</t>
        </is>
      </c>
      <c r="AL335" s="30" t="inlineStr">
        <is>
          <t>AJ list (art. 7 §2)</t>
        </is>
      </c>
      <c r="AM335" s="30" t="inlineStr"/>
      <c r="AN335" s="30" t="inlineStr">
        <is>
          <t>NONE FOUND</t>
        </is>
      </c>
      <c r="AO335" s="32" t="inlineStr">
        <is>
          <t>(not printed)</t>
        </is>
      </c>
      <c r="AP335" s="32" t="inlineStr"/>
      <c r="AQ335" s="32" t="inlineStr"/>
      <c r="AR335" s="32" t="inlineStr"/>
      <c r="AS335" s="32" t="inlineStr"/>
      <c r="AT335" s="32" t="inlineStr">
        <is>
          <t>RJ case number not identified on the document</t>
        </is>
      </c>
      <c r="AU335" s="32" t="inlineStr"/>
      <c r="AV335" s="32" t="inlineStr">
        <is>
          <t>not identified</t>
        </is>
      </c>
      <c r="AW335" s="32" t="inlineStr"/>
      <c r="AX335" s="32" t="inlineStr">
        <is>
          <t>POUSO ALEGRE</t>
        </is>
      </c>
      <c r="AY335" s="32" t="inlineStr">
        <is>
          <t>MG</t>
        </is>
      </c>
      <c r="AZ335" s="32" t="inlineStr">
        <is>
          <t>Fabricação de materiais para medicina e odontologia</t>
        </is>
      </c>
      <c r="BA335" s="32" t="inlineStr">
        <is>
          <t>não ME/EPP</t>
        </is>
      </c>
      <c r="BB335" s="33" t="n">
        <v>500000</v>
      </c>
      <c r="BC335" s="32" t="inlineStr">
        <is>
          <t>MID-MARKET</t>
        </is>
      </c>
      <c r="BD335" s="32" t="inlineStr">
        <is>
          <t>05216859</t>
        </is>
      </c>
      <c r="BE335" s="32" t="n">
        <v>1</v>
      </c>
      <c r="BF335" s="32" t="inlineStr">
        <is>
          <t>CASE_NUMBER_MISSING</t>
        </is>
      </c>
    </row>
    <row r="336">
      <c r="A336" s="17" t="inlineStr">
        <is>
          <t>HOHL MAQUINAS AGRICOLAS LTDA</t>
        </is>
      </c>
      <c r="B336" s="18" t="n">
        <v>1324133.99</v>
      </c>
      <c r="C336" s="19" t="inlineStr">
        <is>
          <t>GRUPO 3E</t>
        </is>
      </c>
      <c r="D336" s="20" t="inlineStr">
        <is>
          <t>NEW</t>
        </is>
      </c>
      <c r="E336" s="21" t="inlineStr"/>
      <c r="F336" s="20" t="inlineStr"/>
      <c r="G336" s="21" t="inlineStr"/>
      <c r="H336" s="20" t="inlineStr"/>
      <c r="I336" s="22" t="inlineStr">
        <is>
          <t>ALEXANDER HOHL</t>
        </is>
      </c>
      <c r="J336" s="23" t="inlineStr">
        <is>
          <t>Sócio-Administrador (RFB partner)</t>
        </is>
      </c>
      <c r="K336" s="22" t="inlineStr">
        <is>
          <t>(62) 3142-6515</t>
        </is>
      </c>
      <c r="L336" s="22" t="inlineStr"/>
      <c r="M336" s="22" t="inlineStr"/>
      <c r="N336" s="22" t="inlineStr"/>
      <c r="O336" s="22" t="inlineStr"/>
      <c r="P336" s="22" t="inlineStr">
        <is>
          <t>ADRIANE HOHL</t>
        </is>
      </c>
      <c r="Q336" s="22" t="inlineStr">
        <is>
          <t>Administrador (RFB partner)</t>
        </is>
      </c>
      <c r="R336" s="22" t="inlineStr"/>
      <c r="S336" s="22" t="inlineStr"/>
      <c r="T336" s="22" t="inlineStr">
        <is>
          <t>DM = registered partner (RFB QSA); no Apollo match</t>
        </is>
      </c>
      <c r="U336" s="24" t="n">
        <v>1324133.99</v>
      </c>
      <c r="V336" s="25" t="inlineStr">
        <is>
          <t>B</t>
        </is>
      </c>
      <c r="W336" s="26" t="n">
        <v>0.12</v>
      </c>
      <c r="X336" s="27" t="n">
        <v>2</v>
      </c>
      <c r="Y336" s="27" t="n">
        <v>13</v>
      </c>
      <c r="Z336" s="26">
        <f>IF(W336&lt;&gt;"",W336,IFERROR(VLOOKUP(V336,Assumptions!$A$8:$F$12,2,FALSE),0))</f>
        <v/>
      </c>
      <c r="AA336" s="28">
        <f>IF(V336="A",MAX(1,IF(X336&lt;&gt;"",X336,IFERROR(VLOOKUP(V336,Assumptions!$A$8:$F$12,3,FALSE),3))+IF(Y336&lt;&gt;"",Y336,IFERROR(VLOOKUP(V336,Assumptions!$A$8:$F$12,4,FALSE),8))/2-MAX(0,IF(AS336="",0,YEAR(TODAY())-AS336)-IFERROR(VLOOKUP(V336,Assumptions!$A$8:$F$12,5,FALSE),1.5))),IFERROR(VLOOKUP(V336,Assumptions!$A$8:$F$12,5,FALSE),2.5)+IF(X336&lt;&gt;"",X336,IFERROR(VLOOKUP(V336,Assumptions!$A$8:$F$12,3,FALSE),3))+IF(Y336&lt;&gt;"",Y336,IFERROR(VLOOKUP(V336,Assumptions!$A$8:$F$12,4,FALSE),8))/2)</f>
        <v/>
      </c>
      <c r="AB336" s="24">
        <f>U336*Z336/(1+Assumptions!$B$3)^AA336</f>
        <v/>
      </c>
      <c r="AC336" s="27">
        <f>IF(U336=0,"",ROUND(AB336/U336*100,1))</f>
        <v/>
      </c>
      <c r="AD336" s="29">
        <f>AB336*Assumptions!$B$4</f>
        <v/>
      </c>
      <c r="AE336" s="27">
        <f>IF(U336=0,"",ROUND(AD336/U336*100,1))</f>
        <v/>
      </c>
      <c r="AF336" s="29">
        <f>AB336-AD336</f>
        <v/>
      </c>
      <c r="AG336" s="27">
        <f>IF(U336=0,"",ROUND((AB336-AD336)/U336*100,1))</f>
        <v/>
      </c>
      <c r="AH336" s="34" t="inlineStr">
        <is>
          <t>NO TOTALS — list prints none; check page</t>
        </is>
      </c>
      <c r="AI336" s="31" t="inlineStr">
        <is>
          <t>https://stenius.com.br/wp-content/uploads/2026/06/EDITAL-GRUPO-3E.pdf</t>
        </is>
      </c>
      <c r="AJ336" s="30" t="inlineStr">
        <is>
          <t>p14 r39; p14 r40</t>
        </is>
      </c>
      <c r="AK336" s="30" t="inlineStr">
        <is>
          <t>p14: R$ 1.323.718,99; p14: R$ 415,00</t>
        </is>
      </c>
      <c r="AL336" s="30" t="inlineStr">
        <is>
          <t>Debtor list (art. 51)</t>
        </is>
      </c>
      <c r="AM336" s="30" t="inlineStr">
        <is>
          <t>2026-06-22</t>
        </is>
      </c>
      <c r="AN336" s="30" t="inlineStr">
        <is>
          <t>PLAN FILED (art. 53), not granted</t>
        </is>
      </c>
      <c r="AO336" s="32" t="inlineStr">
        <is>
          <t>5341375-33.2026.8.09.0049</t>
        </is>
      </c>
      <c r="AP336" s="32" t="inlineStr">
        <is>
          <t>TJGO</t>
        </is>
      </c>
      <c r="AQ336" s="32" t="inlineStr">
        <is>
          <t>Recuperação judicial</t>
        </is>
      </c>
      <c r="AR336" s="32" t="inlineStr">
        <is>
          <t>DataJud: no closure/falência movement</t>
        </is>
      </c>
      <c r="AS336" s="32" t="n">
        <v>2026</v>
      </c>
      <c r="AT336" s="32" t="inlineStr">
        <is>
          <t>plan filed (art. 53), not yet granted</t>
        </is>
      </c>
      <c r="AU336" s="32" t="inlineStr"/>
      <c r="AV336" s="32" t="inlineStr">
        <is>
          <t>printed on the list (read twice)</t>
        </is>
      </c>
      <c r="AW336" s="32" t="inlineStr">
        <is>
          <t>Plano de Recuperação Judicial Grupo 3E v2.0 (Métis), mov. 321, pp.24-25</t>
        </is>
      </c>
      <c r="AX336" s="32" t="inlineStr">
        <is>
          <t>GOIANIA</t>
        </is>
      </c>
      <c r="AY336" s="32" t="inlineStr">
        <is>
          <t>GO</t>
        </is>
      </c>
      <c r="AZ336" s="32" t="inlineStr">
        <is>
          <t>Serviços combinados de escritório e apoio administrativo</t>
        </is>
      </c>
      <c r="BA336" s="32" t="inlineStr">
        <is>
          <t>não ME/EPP</t>
        </is>
      </c>
      <c r="BB336" s="33" t="n">
        <v>120000000</v>
      </c>
      <c r="BC336" s="32" t="inlineStr">
        <is>
          <t>MID-MARKET</t>
        </is>
      </c>
      <c r="BD336" s="32" t="inlineStr">
        <is>
          <t>01608488</t>
        </is>
      </c>
      <c r="BE336" s="32" t="n">
        <v>2</v>
      </c>
      <c r="BF336" s="32" t="inlineStr">
        <is>
          <t>list prints no totals</t>
        </is>
      </c>
    </row>
    <row r="337">
      <c r="A337" s="17" t="inlineStr">
        <is>
          <t>FTI CONSULTORIA LTDA</t>
        </is>
      </c>
      <c r="B337" s="18" t="n">
        <v>301076.07</v>
      </c>
      <c r="C337" s="19" t="inlineStr">
        <is>
          <t>Grupo Rech</t>
        </is>
      </c>
      <c r="D337" s="20" t="inlineStr">
        <is>
          <t>NEW</t>
        </is>
      </c>
      <c r="E337" s="21" t="inlineStr"/>
      <c r="F337" s="20" t="inlineStr"/>
      <c r="G337" s="21" t="inlineStr"/>
      <c r="H337" s="20" t="inlineStr"/>
      <c r="I337" s="22" t="inlineStr">
        <is>
          <t>Luciano Lindemann</t>
        </is>
      </c>
      <c r="J337" s="22" t="inlineStr">
        <is>
          <t>Senior Managing Director, Corporate Finance | Restructuring</t>
        </is>
      </c>
      <c r="K337" s="22" t="inlineStr">
        <is>
          <t>(11) 3150-7000</t>
        </is>
      </c>
      <c r="L337" s="22" t="inlineStr"/>
      <c r="M337" s="22" t="inlineStr"/>
      <c r="N337" s="22" t="inlineStr">
        <is>
          <t>luciano.lindemann@fticonsulting.com</t>
        </is>
      </c>
      <c r="O337" s="22" t="inlineStr">
        <is>
          <t>verified</t>
        </is>
      </c>
      <c r="P337" s="22" t="inlineStr">
        <is>
          <t>Andre Malandrino</t>
        </is>
      </c>
      <c r="Q337" s="22" t="inlineStr">
        <is>
          <t>Corporate Finance &amp; Restructuring Director</t>
        </is>
      </c>
      <c r="R337" s="22" t="inlineStr"/>
      <c r="S337" s="22" t="inlineStr">
        <is>
          <t>andre.malandrino@fticonsulting.com</t>
        </is>
      </c>
      <c r="T337" s="22" t="inlineStr">
        <is>
          <t>DM: DM; LARGE CORP; BACKUP: backup</t>
        </is>
      </c>
      <c r="U337" s="24" t="n">
        <v>301076.07</v>
      </c>
      <c r="V337" s="25" t="inlineStr">
        <is>
          <t>B</t>
        </is>
      </c>
      <c r="W337" s="26" t="inlineStr"/>
      <c r="X337" s="27" t="inlineStr"/>
      <c r="Y337" s="27" t="inlineStr"/>
      <c r="Z337" s="26">
        <f>IF(W337&lt;&gt;"",W337,IFERROR(VLOOKUP(V337,Assumptions!$A$8:$F$12,2,FALSE),0))</f>
        <v/>
      </c>
      <c r="AA337" s="28">
        <f>IF(V337="A",MAX(1,IF(X337&lt;&gt;"",X337,IFERROR(VLOOKUP(V337,Assumptions!$A$8:$F$12,3,FALSE),3))+IF(Y337&lt;&gt;"",Y337,IFERROR(VLOOKUP(V337,Assumptions!$A$8:$F$12,4,FALSE),8))/2-MAX(0,IF(AS337="",0,YEAR(TODAY())-AS337)-IFERROR(VLOOKUP(V337,Assumptions!$A$8:$F$12,5,FALSE),1.5))),IFERROR(VLOOKUP(V337,Assumptions!$A$8:$F$12,5,FALSE),2.5)+IF(X337&lt;&gt;"",X337,IFERROR(VLOOKUP(V337,Assumptions!$A$8:$F$12,3,FALSE),3))+IF(Y337&lt;&gt;"",Y337,IFERROR(VLOOKUP(V337,Assumptions!$A$8:$F$12,4,FALSE),8))/2)</f>
        <v/>
      </c>
      <c r="AB337" s="24">
        <f>U337*Z337/(1+Assumptions!$B$3)^AA337</f>
        <v/>
      </c>
      <c r="AC337" s="27">
        <f>IF(U337=0,"",ROUND(AB337/U337*100,1))</f>
        <v/>
      </c>
      <c r="AD337" s="29">
        <f>AB337*Assumptions!$B$4</f>
        <v/>
      </c>
      <c r="AE337" s="27">
        <f>IF(U337=0,"",ROUND(AD337/U337*100,1))</f>
        <v/>
      </c>
      <c r="AF337" s="29">
        <f>AB337-AD337</f>
        <v/>
      </c>
      <c r="AG337" s="27">
        <f>IF(U337=0,"",ROUND((AB337-AD337)/U337*100,1))</f>
        <v/>
      </c>
      <c r="AH337" s="36" t="inlineStr">
        <is>
          <t>CHECK — source is not a statutory creditor list</t>
        </is>
      </c>
      <c r="AI337" s="31" t="inlineStr">
        <is>
          <t>https://credibilita.com.br/wp-content/uploads/2025/09/Relacao-Credores-29.04.2026.pdf</t>
        </is>
      </c>
      <c r="AJ337" s="30" t="inlineStr">
        <is>
          <t>p1 r24</t>
        </is>
      </c>
      <c r="AK337" s="30" t="inlineStr">
        <is>
          <t>p1: R$ 301.076,07</t>
        </is>
      </c>
      <c r="AL337" s="30" t="inlineStr">
        <is>
          <t>Quorum list — NOT an art. 7/51 list</t>
        </is>
      </c>
      <c r="AM337" s="30" t="inlineStr"/>
      <c r="AN337" s="30" t="inlineStr">
        <is>
          <t>NONE FOUND</t>
        </is>
      </c>
      <c r="AO337" s="32" t="inlineStr">
        <is>
          <t>5057720-48.2025.8.24.0023</t>
        </is>
      </c>
      <c r="AP337" s="32" t="inlineStr">
        <is>
          <t>TJSC</t>
        </is>
      </c>
      <c r="AQ337" s="32" t="inlineStr"/>
      <c r="AR337" s="32" t="inlineStr">
        <is>
          <t>not in DataJud</t>
        </is>
      </c>
      <c r="AS337" s="32" t="n">
        <v>2025</v>
      </c>
      <c r="AT337" s="32" t="inlineStr">
        <is>
          <t>live case, no plan document yet; case no. from the portal record, not printed on the list</t>
        </is>
      </c>
      <c r="AU337" s="32" t="inlineStr"/>
      <c r="AV337" s="32" t="inlineStr">
        <is>
          <t>portal page title / URL — not printed on the list</t>
        </is>
      </c>
      <c r="AW337" s="32" t="inlineStr"/>
      <c r="AX337" s="32" t="inlineStr">
        <is>
          <t>SAO PAULO</t>
        </is>
      </c>
      <c r="AY337" s="32" t="inlineStr">
        <is>
          <t>SP</t>
        </is>
      </c>
      <c r="AZ337" s="32" t="inlineStr">
        <is>
          <t>Atividades de consultoria em gestão empresarial, exceto consultoria técnica específica</t>
        </is>
      </c>
      <c r="BA337" s="32" t="inlineStr">
        <is>
          <t>não ME/EPP</t>
        </is>
      </c>
      <c r="BB337" s="33" t="n">
        <v>9111425</v>
      </c>
      <c r="BC337" s="32" t="inlineStr">
        <is>
          <t>MID-MARKET</t>
        </is>
      </c>
      <c r="BD337" s="32" t="inlineStr">
        <is>
          <t>07174869</t>
        </is>
      </c>
      <c r="BE337" s="32" t="n">
        <v>1</v>
      </c>
      <c r="BF337" s="32" t="inlineStr">
        <is>
          <t>list prints no totals case no. corrected by reader</t>
        </is>
      </c>
    </row>
    <row r="338">
      <c r="A338" s="17" t="inlineStr">
        <is>
          <t>DOCK TECNOLOGIA S.A.</t>
        </is>
      </c>
      <c r="B338" s="18" t="n">
        <v>300283.06</v>
      </c>
      <c r="C338" s="19" t="inlineStr">
        <is>
          <t>GRUPO CATTAN</t>
        </is>
      </c>
      <c r="D338" s="20" t="inlineStr">
        <is>
          <t>NEW</t>
        </is>
      </c>
      <c r="E338" s="21" t="inlineStr"/>
      <c r="F338" s="20" t="inlineStr"/>
      <c r="G338" s="21" t="inlineStr"/>
      <c r="H338" s="20" t="inlineStr"/>
      <c r="I338" s="22" t="inlineStr">
        <is>
          <t>Valerio Zarro</t>
        </is>
      </c>
      <c r="J338" s="22" t="inlineStr">
        <is>
          <t>Chief Financial Officer</t>
        </is>
      </c>
      <c r="K338" s="22" t="inlineStr">
        <is>
          <t>(11) 3889-1800</t>
        </is>
      </c>
      <c r="L338" s="22" t="inlineStr"/>
      <c r="M338" s="22" t="inlineStr"/>
      <c r="N338" s="22" t="inlineStr">
        <is>
          <t>valerio.zarro@dock.tech</t>
        </is>
      </c>
      <c r="O338" s="22" t="inlineStr">
        <is>
          <t>verified</t>
        </is>
      </c>
      <c r="P338" s="22" t="inlineStr">
        <is>
          <t>Estela Souza</t>
        </is>
      </c>
      <c r="Q338" s="22" t="inlineStr">
        <is>
          <t>Analista de Cobrança Pleno</t>
        </is>
      </c>
      <c r="R338" s="22" t="inlineStr"/>
      <c r="S338" s="22" t="inlineStr">
        <is>
          <t>estela.souza@dock.tech</t>
        </is>
      </c>
      <c r="T338" s="22" t="inlineStr">
        <is>
          <t>DM: DM; BACKUP: backup</t>
        </is>
      </c>
      <c r="U338" s="24" t="n">
        <v>300283.06</v>
      </c>
      <c r="V338" s="25" t="inlineStr">
        <is>
          <t>B</t>
        </is>
      </c>
      <c r="W338" s="26" t="inlineStr"/>
      <c r="X338" s="27" t="inlineStr"/>
      <c r="Y338" s="27" t="inlineStr"/>
      <c r="Z338" s="26">
        <f>IF(W338&lt;&gt;"",W338,IFERROR(VLOOKUP(V338,Assumptions!$A$8:$F$12,2,FALSE),0))</f>
        <v/>
      </c>
      <c r="AA338" s="28">
        <f>IF(V338="A",MAX(1,IF(X338&lt;&gt;"",X338,IFERROR(VLOOKUP(V338,Assumptions!$A$8:$F$12,3,FALSE),3))+IF(Y338&lt;&gt;"",Y338,IFERROR(VLOOKUP(V338,Assumptions!$A$8:$F$12,4,FALSE),8))/2-MAX(0,IF(AS338="",0,YEAR(TODAY())-AS338)-IFERROR(VLOOKUP(V338,Assumptions!$A$8:$F$12,5,FALSE),1.5))),IFERROR(VLOOKUP(V338,Assumptions!$A$8:$F$12,5,FALSE),2.5)+IF(X338&lt;&gt;"",X338,IFERROR(VLOOKUP(V338,Assumptions!$A$8:$F$12,3,FALSE),3))+IF(Y338&lt;&gt;"",Y338,IFERROR(VLOOKUP(V338,Assumptions!$A$8:$F$12,4,FALSE),8))/2)</f>
        <v/>
      </c>
      <c r="AB338" s="24">
        <f>U338*Z338/(1+Assumptions!$B$3)^AA338</f>
        <v/>
      </c>
      <c r="AC338" s="27">
        <f>IF(U338=0,"",ROUND(AB338/U338*100,1))</f>
        <v/>
      </c>
      <c r="AD338" s="29">
        <f>AB338*Assumptions!$B$4</f>
        <v/>
      </c>
      <c r="AE338" s="27">
        <f>IF(U338=0,"",ROUND(AD338/U338*100,1))</f>
        <v/>
      </c>
      <c r="AF338" s="29">
        <f>AB338-AD338</f>
        <v/>
      </c>
      <c r="AG338" s="27">
        <f>IF(U338=0,"",ROUND((AB338-AD338)/U338*100,1))</f>
        <v/>
      </c>
      <c r="AH338" s="35" t="inlineStr">
        <is>
          <t>PARTIAL — class III reconciled, other classes not</t>
        </is>
      </c>
      <c r="AI338" s="31" t="inlineStr">
        <is>
          <t>https://lrflideres.com.br/wp-content/plugins/download-attachments/includes/download.php?id=4023</t>
        </is>
      </c>
      <c r="AJ338" s="30" t="inlineStr">
        <is>
          <t>p7 r85</t>
        </is>
      </c>
      <c r="AK338" s="30" t="inlineStr">
        <is>
          <t>p7: R$ 300.283,06</t>
        </is>
      </c>
      <c r="AL338" s="30" t="inlineStr">
        <is>
          <t>Debtor list (art. 51)</t>
        </is>
      </c>
      <c r="AM338" s="30" t="inlineStr"/>
      <c r="AN338" s="30" t="inlineStr">
        <is>
          <t>NONE FOUND</t>
        </is>
      </c>
      <c r="AO338" s="32" t="inlineStr">
        <is>
          <t>0002484-82.2022.8.17.2001</t>
        </is>
      </c>
      <c r="AP338" s="32" t="inlineStr">
        <is>
          <t>TJPE</t>
        </is>
      </c>
      <c r="AQ338" s="32" t="inlineStr">
        <is>
          <t>Recuperação judicial</t>
        </is>
      </c>
      <c r="AR338" s="32" t="inlineStr">
        <is>
          <t>DataJud: no closure/falência movement</t>
        </is>
      </c>
      <c r="AS338" s="32" t="n">
        <v>2022</v>
      </c>
      <c r="AT338" s="32" t="inlineStr">
        <is>
          <t>live case, no plan document yet</t>
        </is>
      </c>
      <c r="AU338" s="32" t="inlineStr"/>
      <c r="AV338" s="32" t="inlineStr">
        <is>
          <t>printed on the list (read twice)</t>
        </is>
      </c>
      <c r="AW338" s="32" t="inlineStr"/>
      <c r="AX338" s="32" t="inlineStr">
        <is>
          <t>BARUERI</t>
        </is>
      </c>
      <c r="AY338" s="32" t="inlineStr">
        <is>
          <t>SP</t>
        </is>
      </c>
      <c r="AZ338" s="32" t="inlineStr">
        <is>
          <t>Atividades de consultoria em gestão empresarial, exceto consultoria técnica específica</t>
        </is>
      </c>
      <c r="BA338" s="32" t="inlineStr">
        <is>
          <t>não ME/EPP</t>
        </is>
      </c>
      <c r="BB338" s="33" t="n">
        <v>791908740</v>
      </c>
      <c r="BC338" s="32" t="inlineStr">
        <is>
          <t>LARGE CORP</t>
        </is>
      </c>
      <c r="BD338" s="32" t="inlineStr">
        <is>
          <t>03645772</t>
        </is>
      </c>
      <c r="BE338" s="32" t="n">
        <v>1</v>
      </c>
      <c r="BF338" s="32" t="inlineStr">
        <is>
          <t>class III reconciled (doc partial)</t>
        </is>
      </c>
    </row>
    <row r="339">
      <c r="A339" s="17" t="inlineStr">
        <is>
          <t>ERPLASTI INDUSTRIA E COMERCIO DE PLASTICOS LTDA</t>
        </is>
      </c>
      <c r="B339" s="18" t="n">
        <v>299861.9</v>
      </c>
      <c r="C339" s="19" t="inlineStr">
        <is>
          <t>TOP TEXTIL EMBALAGENS LTDA</t>
        </is>
      </c>
      <c r="D339" s="20" t="inlineStr">
        <is>
          <t>NEW</t>
        </is>
      </c>
      <c r="E339" s="21" t="inlineStr"/>
      <c r="F339" s="20" t="inlineStr"/>
      <c r="G339" s="21" t="inlineStr"/>
      <c r="H339" s="20" t="inlineStr"/>
      <c r="I339" s="22" t="inlineStr">
        <is>
          <t>Daniela Sprandel</t>
        </is>
      </c>
      <c r="J339" s="22" t="inlineStr">
        <is>
          <t>Financial Manager</t>
        </is>
      </c>
      <c r="K339" s="22" t="inlineStr">
        <is>
          <t>(51) 8163-9936</t>
        </is>
      </c>
      <c r="L339" s="22" t="inlineStr"/>
      <c r="M339" s="22" t="inlineStr"/>
      <c r="N339" s="22" t="inlineStr">
        <is>
          <t>dgsprandel@erplasti.com.br</t>
        </is>
      </c>
      <c r="O339" s="22" t="inlineStr">
        <is>
          <t>verified</t>
        </is>
      </c>
      <c r="P339" s="22" t="inlineStr">
        <is>
          <t>Andressa Erthal</t>
        </is>
      </c>
      <c r="Q339" s="22" t="inlineStr">
        <is>
          <t>Administradora na Erplasti</t>
        </is>
      </c>
      <c r="R339" s="22" t="inlineStr"/>
      <c r="S339" s="22" t="inlineStr">
        <is>
          <t>aerthal@erplasti.com.br</t>
        </is>
      </c>
      <c r="T339" s="22" t="inlineStr">
        <is>
          <t>DM: DM; BACKUP: backup</t>
        </is>
      </c>
      <c r="U339" s="24" t="n">
        <v>299861.9</v>
      </c>
      <c r="V339" s="25" t="inlineStr">
        <is>
          <t>B</t>
        </is>
      </c>
      <c r="W339" s="26" t="inlineStr"/>
      <c r="X339" s="27" t="inlineStr"/>
      <c r="Y339" s="27" t="inlineStr"/>
      <c r="Z339" s="26">
        <f>IF(W339&lt;&gt;"",W339,IFERROR(VLOOKUP(V339,Assumptions!$A$8:$F$12,2,FALSE),0))</f>
        <v/>
      </c>
      <c r="AA339" s="28">
        <f>IF(V339="A",MAX(1,IF(X339&lt;&gt;"",X339,IFERROR(VLOOKUP(V339,Assumptions!$A$8:$F$12,3,FALSE),3))+IF(Y339&lt;&gt;"",Y339,IFERROR(VLOOKUP(V339,Assumptions!$A$8:$F$12,4,FALSE),8))/2-MAX(0,IF(AS339="",0,YEAR(TODAY())-AS339)-IFERROR(VLOOKUP(V339,Assumptions!$A$8:$F$12,5,FALSE),1.5))),IFERROR(VLOOKUP(V339,Assumptions!$A$8:$F$12,5,FALSE),2.5)+IF(X339&lt;&gt;"",X339,IFERROR(VLOOKUP(V339,Assumptions!$A$8:$F$12,3,FALSE),3))+IF(Y339&lt;&gt;"",Y339,IFERROR(VLOOKUP(V339,Assumptions!$A$8:$F$12,4,FALSE),8))/2)</f>
        <v/>
      </c>
      <c r="AB339" s="24">
        <f>U339*Z339/(1+Assumptions!$B$3)^AA339</f>
        <v/>
      </c>
      <c r="AC339" s="27">
        <f>IF(U339=0,"",ROUND(AB339/U339*100,1))</f>
        <v/>
      </c>
      <c r="AD339" s="29">
        <f>AB339*Assumptions!$B$4</f>
        <v/>
      </c>
      <c r="AE339" s="27">
        <f>IF(U339=0,"",ROUND(AD339/U339*100,1))</f>
        <v/>
      </c>
      <c r="AF339" s="29">
        <f>AB339-AD339</f>
        <v/>
      </c>
      <c r="AG339" s="27">
        <f>IF(U339=0,"",ROUND((AB339-AD339)/U339*100,1))</f>
        <v/>
      </c>
      <c r="AH339" s="34" t="inlineStr">
        <is>
          <t>NO TOTALS — list prints none; check page</t>
        </is>
      </c>
      <c r="AI339" s="31" t="inlineStr">
        <is>
          <t>https://cataliseaj.com.br/sgc/download.php?file=files/processo_documento/processo_documento15092204102024_1_.pdf&amp;nome=02. RELAÇÃO DE CREDORES</t>
        </is>
      </c>
      <c r="AJ339" s="30" t="inlineStr">
        <is>
          <t>p2 r36</t>
        </is>
      </c>
      <c r="AK339" s="30" t="inlineStr">
        <is>
          <t>p2: R$ 299.861,90</t>
        </is>
      </c>
      <c r="AL339" s="30" t="inlineStr">
        <is>
          <t>Debtor list (art. 51)</t>
        </is>
      </c>
      <c r="AM339" s="30" t="inlineStr"/>
      <c r="AN339" s="30" t="inlineStr">
        <is>
          <t>NONE FOUND</t>
        </is>
      </c>
      <c r="AO339" s="32" t="inlineStr">
        <is>
          <t>5011460-87.2023.8.24.0020</t>
        </is>
      </c>
      <c r="AP339" s="32" t="inlineStr">
        <is>
          <t>TJSC</t>
        </is>
      </c>
      <c r="AQ339" s="32" t="inlineStr">
        <is>
          <t>Recuperação judicial</t>
        </is>
      </c>
      <c r="AR339" s="32" t="inlineStr">
        <is>
          <t>DataJud: no closure/falência movement</t>
        </is>
      </c>
      <c r="AS339" s="32" t="n">
        <v>2023</v>
      </c>
      <c r="AT339" s="32" t="inlineStr">
        <is>
          <t>live case, no plan document yet; case no. from the portal record, not printed on the list</t>
        </is>
      </c>
      <c r="AU339" s="32" t="inlineStr">
        <is>
          <t>26.588.741/0001-29</t>
        </is>
      </c>
      <c r="AV339" s="32" t="inlineStr">
        <is>
          <t>printed on the list (read twice)</t>
        </is>
      </c>
      <c r="AW339" s="32" t="inlineStr"/>
      <c r="AX339" s="32" t="inlineStr">
        <is>
          <t>MONTENEGRO</t>
        </is>
      </c>
      <c r="AY339" s="32" t="inlineStr">
        <is>
          <t>RS</t>
        </is>
      </c>
      <c r="AZ339" s="32" t="inlineStr">
        <is>
          <t>Fabricação de laminados planos e tubulares de material plástico</t>
        </is>
      </c>
      <c r="BA339" s="32" t="inlineStr">
        <is>
          <t>não ME/EPP</t>
        </is>
      </c>
      <c r="BB339" s="33" t="inlineStr"/>
      <c r="BC339" s="32" t="inlineStr">
        <is>
          <t>UNKNOWN</t>
        </is>
      </c>
      <c r="BD339" s="32" t="inlineStr">
        <is>
          <t>92185008</t>
        </is>
      </c>
      <c r="BE339" s="32" t="n">
        <v>1</v>
      </c>
      <c r="BF339" s="32" t="inlineStr">
        <is>
          <t>list prints no totals</t>
        </is>
      </c>
    </row>
    <row r="340">
      <c r="A340" s="17" t="inlineStr">
        <is>
          <t>CIL - COMERCIO DE INFORMATICA LTDA</t>
        </is>
      </c>
      <c r="B340" s="18" t="n">
        <v>1166163.86</v>
      </c>
      <c r="C340" s="19" t="inlineStr">
        <is>
          <t>CREDIMÓVEIS NOVOLAR LTDA.</t>
        </is>
      </c>
      <c r="D340" s="20" t="inlineStr">
        <is>
          <t>NEW</t>
        </is>
      </c>
      <c r="E340" s="21" t="inlineStr"/>
      <c r="F340" s="20" t="inlineStr"/>
      <c r="G340" s="21" t="inlineStr"/>
      <c r="H340" s="20" t="inlineStr"/>
      <c r="I340" s="22" t="inlineStr">
        <is>
          <t>Edgar Assis</t>
        </is>
      </c>
      <c r="J340" s="22" t="inlineStr">
        <is>
          <t>Gerente Administrativo / Financeiro</t>
        </is>
      </c>
      <c r="K340" s="22" t="inlineStr">
        <is>
          <t>(81) 2121-2000</t>
        </is>
      </c>
      <c r="L340" s="22" t="inlineStr">
        <is>
          <t>(81) 2121-2000</t>
        </is>
      </c>
      <c r="M340" s="22" t="inlineStr"/>
      <c r="N340" s="22" t="inlineStr">
        <is>
          <t>edgar.assis@nagem.com.br</t>
        </is>
      </c>
      <c r="O340" s="22" t="inlineStr">
        <is>
          <t>verified</t>
        </is>
      </c>
      <c r="P340" s="22" t="inlineStr">
        <is>
          <t>Alexandre Barbosa</t>
        </is>
      </c>
      <c r="Q340" s="22" t="inlineStr">
        <is>
          <t>Coordenador de Crédito e Cobrança</t>
        </is>
      </c>
      <c r="R340" s="22" t="inlineStr"/>
      <c r="S340" s="22" t="inlineStr">
        <is>
          <t>alexandre.barbosa@nagem.com.br</t>
        </is>
      </c>
      <c r="T340" s="22" t="inlineStr">
        <is>
          <t>DM: has_email, phone Yes; BACKUP: backup, has_email, phone Yes</t>
        </is>
      </c>
      <c r="U340" s="24" t="n">
        <v>1166163.86</v>
      </c>
      <c r="V340" s="39" t="inlineStr">
        <is>
          <t>C</t>
        </is>
      </c>
      <c r="W340" s="26" t="inlineStr"/>
      <c r="X340" s="27" t="inlineStr"/>
      <c r="Y340" s="27" t="inlineStr"/>
      <c r="Z340" s="26">
        <f>IF(W340&lt;&gt;"",W340,IFERROR(VLOOKUP(V340,Assumptions!$A$8:$F$12,2,FALSE),0))</f>
        <v/>
      </c>
      <c r="AA340" s="28">
        <f>IF(V340="A",MAX(1,IF(X340&lt;&gt;"",X340,IFERROR(VLOOKUP(V340,Assumptions!$A$8:$F$12,3,FALSE),3))+IF(Y340&lt;&gt;"",Y340,IFERROR(VLOOKUP(V340,Assumptions!$A$8:$F$12,4,FALSE),8))/2-MAX(0,IF(AS340="",0,YEAR(TODAY())-AS340)-IFERROR(VLOOKUP(V340,Assumptions!$A$8:$F$12,5,FALSE),1.5))),IFERROR(VLOOKUP(V340,Assumptions!$A$8:$F$12,5,FALSE),2.5)+IF(X340&lt;&gt;"",X340,IFERROR(VLOOKUP(V340,Assumptions!$A$8:$F$12,3,FALSE),3))+IF(Y340&lt;&gt;"",Y340,IFERROR(VLOOKUP(V340,Assumptions!$A$8:$F$12,4,FALSE),8))/2)</f>
        <v/>
      </c>
      <c r="AB340" s="24">
        <f>U340*Z340/(1+Assumptions!$B$3)^AA340</f>
        <v/>
      </c>
      <c r="AC340" s="27">
        <f>IF(U340=0,"",ROUND(AB340/U340*100,1))</f>
        <v/>
      </c>
      <c r="AD340" s="29">
        <f>AB340*Assumptions!$B$4</f>
        <v/>
      </c>
      <c r="AE340" s="27">
        <f>IF(U340=0,"",ROUND(AD340/U340*100,1))</f>
        <v/>
      </c>
      <c r="AF340" s="29">
        <f>AB340-AD340</f>
        <v/>
      </c>
      <c r="AG340" s="27">
        <f>IF(U340=0,"",ROUND((AB340-AD340)/U340*100,1))</f>
        <v/>
      </c>
      <c r="AH340" s="30" t="inlineStr">
        <is>
          <t>OK — totals reconciled</t>
        </is>
      </c>
      <c r="AI340" s="31" t="inlineStr">
        <is>
          <t>https://recuperacaojudicial.squarespace.com/s/RJ-Credimoveis-QGC-01082025.pdf</t>
        </is>
      </c>
      <c r="AJ340" s="30" t="inlineStr">
        <is>
          <t>p15 r31</t>
        </is>
      </c>
      <c r="AK340" s="30" t="inlineStr">
        <is>
          <t>p15: R$ 1.166.163,86</t>
        </is>
      </c>
      <c r="AL340" s="30" t="inlineStr">
        <is>
          <t>QGC (art. 18)</t>
        </is>
      </c>
      <c r="AM340" s="30" t="inlineStr">
        <is>
          <t>2026-01-28</t>
        </is>
      </c>
      <c r="AN340" s="30" t="inlineStr">
        <is>
          <t>NONE FOUND</t>
        </is>
      </c>
      <c r="AO340" s="32" t="inlineStr">
        <is>
          <t>0007565-40.2020.8.17.2370</t>
        </is>
      </c>
      <c r="AP340" s="32" t="inlineStr">
        <is>
          <t>TJPE</t>
        </is>
      </c>
      <c r="AQ340" s="32" t="inlineStr">
        <is>
          <t>Recuperação judicial</t>
        </is>
      </c>
      <c r="AR340" s="32" t="inlineStr">
        <is>
          <t>DataJud: no closure/falência movement</t>
        </is>
      </c>
      <c r="AS340" s="32" t="n">
        <v>2020</v>
      </c>
      <c r="AT340" s="32" t="inlineStr">
        <is>
          <t>6y since filing; plan not in our documents</t>
        </is>
      </c>
      <c r="AU340" s="32" t="inlineStr">
        <is>
          <t>09.930.165/0001-37</t>
        </is>
      </c>
      <c r="AV340" s="32" t="inlineStr">
        <is>
          <t>printed on the list (read twice)</t>
        </is>
      </c>
      <c r="AW340" s="32" t="inlineStr"/>
      <c r="AX340" s="32" t="inlineStr">
        <is>
          <t>RECIFE</t>
        </is>
      </c>
      <c r="AY340" s="32" t="inlineStr">
        <is>
          <t>PE</t>
        </is>
      </c>
      <c r="AZ340" s="32" t="inlineStr">
        <is>
          <t>Comércio atacadista de suprimentos para informática</t>
        </is>
      </c>
      <c r="BA340" s="32" t="inlineStr">
        <is>
          <t>não ME/EPP</t>
        </is>
      </c>
      <c r="BB340" s="33" t="n">
        <v>143000000</v>
      </c>
      <c r="BC340" s="32" t="inlineStr">
        <is>
          <t>MID-MARKET</t>
        </is>
      </c>
      <c r="BD340" s="32" t="inlineStr">
        <is>
          <t>24073694</t>
        </is>
      </c>
      <c r="BE340" s="32" t="n">
        <v>1</v>
      </c>
      <c r="BF340" s="32" t="inlineStr"/>
    </row>
    <row r="341">
      <c r="A341" s="17" t="inlineStr">
        <is>
          <t>EMPRESA DE TERMOPLASTICOS DO NORDESTE ETENO LTDA</t>
        </is>
      </c>
      <c r="B341" s="18" t="n">
        <v>296123.94</v>
      </c>
      <c r="C341" s="19" t="inlineStr">
        <is>
          <t>GRUPO IMPLASVERDE</t>
        </is>
      </c>
      <c r="D341" s="20" t="inlineStr">
        <is>
          <t>NEW</t>
        </is>
      </c>
      <c r="E341" s="21" t="inlineStr"/>
      <c r="F341" s="20" t="inlineStr"/>
      <c r="G341" s="21" t="inlineStr"/>
      <c r="H341" s="20" t="inlineStr"/>
      <c r="I341" s="22" t="inlineStr">
        <is>
          <t>Leonardo Santana</t>
        </is>
      </c>
      <c r="J341" s="22" t="inlineStr">
        <is>
          <t>Financial Coordinator</t>
        </is>
      </c>
      <c r="K341" s="22" t="inlineStr">
        <is>
          <t>(81) 3342-2323</t>
        </is>
      </c>
      <c r="L341" s="22" t="inlineStr"/>
      <c r="M341" s="22" t="inlineStr"/>
      <c r="N341" s="22" t="inlineStr">
        <is>
          <t>leonardo.melo@eteno.com.br</t>
        </is>
      </c>
      <c r="O341" s="22" t="inlineStr">
        <is>
          <t>verified</t>
        </is>
      </c>
      <c r="P341" s="22" t="inlineStr">
        <is>
          <t>Rodrigo Fernandes</t>
        </is>
      </c>
      <c r="Q341" s="22" t="inlineStr">
        <is>
          <t>Director</t>
        </is>
      </c>
      <c r="R341" s="22" t="inlineStr"/>
      <c r="S341" s="22" t="inlineStr">
        <is>
          <t>rodrigo.fernandes@eteno.com.br</t>
        </is>
      </c>
      <c r="T341" s="22" t="inlineStr">
        <is>
          <t>DM: DM; BACKUP: backup</t>
        </is>
      </c>
      <c r="U341" s="24" t="n">
        <v>296123.94</v>
      </c>
      <c r="V341" s="25" t="inlineStr">
        <is>
          <t>B</t>
        </is>
      </c>
      <c r="W341" s="26" t="inlineStr"/>
      <c r="X341" s="27" t="inlineStr"/>
      <c r="Y341" s="27" t="inlineStr"/>
      <c r="Z341" s="26">
        <f>IF(W341&lt;&gt;"",W341,IFERROR(VLOOKUP(V341,Assumptions!$A$8:$F$12,2,FALSE),0))</f>
        <v/>
      </c>
      <c r="AA341" s="28">
        <f>IF(V341="A",MAX(1,IF(X341&lt;&gt;"",X341,IFERROR(VLOOKUP(V341,Assumptions!$A$8:$F$12,3,FALSE),3))+IF(Y341&lt;&gt;"",Y341,IFERROR(VLOOKUP(V341,Assumptions!$A$8:$F$12,4,FALSE),8))/2-MAX(0,IF(AS341="",0,YEAR(TODAY())-AS341)-IFERROR(VLOOKUP(V341,Assumptions!$A$8:$F$12,5,FALSE),1.5))),IFERROR(VLOOKUP(V341,Assumptions!$A$8:$F$12,5,FALSE),2.5)+IF(X341&lt;&gt;"",X341,IFERROR(VLOOKUP(V341,Assumptions!$A$8:$F$12,3,FALSE),3))+IF(Y341&lt;&gt;"",Y341,IFERROR(VLOOKUP(V341,Assumptions!$A$8:$F$12,4,FALSE),8))/2)</f>
        <v/>
      </c>
      <c r="AB341" s="24">
        <f>U341*Z341/(1+Assumptions!$B$3)^AA341</f>
        <v/>
      </c>
      <c r="AC341" s="27">
        <f>IF(U341=0,"",ROUND(AB341/U341*100,1))</f>
        <v/>
      </c>
      <c r="AD341" s="29">
        <f>AB341*Assumptions!$B$4</f>
        <v/>
      </c>
      <c r="AE341" s="27">
        <f>IF(U341=0,"",ROUND(AD341/U341*100,1))</f>
        <v/>
      </c>
      <c r="AF341" s="29">
        <f>AB341-AD341</f>
        <v/>
      </c>
      <c r="AG341" s="27">
        <f>IF(U341=0,"",ROUND((AB341-AD341)/U341*100,1))</f>
        <v/>
      </c>
      <c r="AH341" s="30" t="inlineStr">
        <is>
          <t>OK — totals reconciled</t>
        </is>
      </c>
      <c r="AI341" s="31" t="inlineStr">
        <is>
          <t>http://recuperacaojudicial.squarespace.com/s/LISTA-DE-CREDORES-CONSOLIDADA-ATE-04102024.pdf</t>
        </is>
      </c>
      <c r="AJ341" s="30" t="inlineStr">
        <is>
          <t>p6 r12</t>
        </is>
      </c>
      <c r="AK341" s="30" t="inlineStr">
        <is>
          <t>p6: R$ 296.123,94</t>
        </is>
      </c>
      <c r="AL341" s="30" t="inlineStr">
        <is>
          <t>AJ list (art. 7 §2)</t>
        </is>
      </c>
      <c r="AM341" s="30" t="inlineStr">
        <is>
          <t>2024-10-04</t>
        </is>
      </c>
      <c r="AN341" s="30" t="inlineStr">
        <is>
          <t>NONE FOUND</t>
        </is>
      </c>
      <c r="AO341" s="32" t="inlineStr">
        <is>
          <t>0800778-16.2023.8.20.5104</t>
        </is>
      </c>
      <c r="AP341" s="32" t="inlineStr">
        <is>
          <t>TJRN</t>
        </is>
      </c>
      <c r="AQ341" s="32" t="inlineStr">
        <is>
          <t>Recuperação judicial</t>
        </is>
      </c>
      <c r="AR341" s="32" t="inlineStr">
        <is>
          <t>DataJud: no closure/falência movement</t>
        </is>
      </c>
      <c r="AS341" s="32" t="n">
        <v>2023</v>
      </c>
      <c r="AT341" s="32" t="inlineStr">
        <is>
          <t>live case, no plan document yet</t>
        </is>
      </c>
      <c r="AU341" s="32" t="inlineStr"/>
      <c r="AV341" s="32" t="inlineStr">
        <is>
          <t>printed on the list (read twice)</t>
        </is>
      </c>
      <c r="AW341" s="32" t="inlineStr"/>
      <c r="AX341" s="32" t="inlineStr">
        <is>
          <t>RECIFE</t>
        </is>
      </c>
      <c r="AY341" s="32" t="inlineStr">
        <is>
          <t>PE</t>
        </is>
      </c>
      <c r="AZ341" s="32" t="inlineStr">
        <is>
          <t>Fabricação de resinas termoplásticas</t>
        </is>
      </c>
      <c r="BA341" s="32" t="inlineStr">
        <is>
          <t>não ME/EPP</t>
        </is>
      </c>
      <c r="BB341" s="33" t="n">
        <v>20000000</v>
      </c>
      <c r="BC341" s="32" t="inlineStr">
        <is>
          <t>MID-MARKET</t>
        </is>
      </c>
      <c r="BD341" s="32" t="inlineStr">
        <is>
          <t>08516950</t>
        </is>
      </c>
      <c r="BE341" s="32" t="n">
        <v>1</v>
      </c>
      <c r="BF341" s="32" t="inlineStr"/>
    </row>
    <row r="342">
      <c r="A342" s="17" t="inlineStr">
        <is>
          <t>TECFLUX LTDA.</t>
        </is>
      </c>
      <c r="B342" s="18" t="n">
        <v>291540.68</v>
      </c>
      <c r="C342" s="19" t="inlineStr">
        <is>
          <t>GRUPO EGESA (Egesa Engenharia S.A. + 9 group companies; see group members)</t>
        </is>
      </c>
      <c r="D342" s="20" t="inlineStr">
        <is>
          <t>NEW</t>
        </is>
      </c>
      <c r="E342" s="21" t="inlineStr"/>
      <c r="F342" s="20" t="inlineStr"/>
      <c r="G342" s="21" t="inlineStr"/>
      <c r="H342" s="20" t="inlineStr"/>
      <c r="I342" s="22" t="inlineStr">
        <is>
          <t>Mauricio Uyeda</t>
        </is>
      </c>
      <c r="J342" s="22" t="inlineStr">
        <is>
          <t>Head of F&amp;A</t>
        </is>
      </c>
      <c r="K342" s="22" t="inlineStr">
        <is>
          <t>(11) 2199-6965</t>
        </is>
      </c>
      <c r="L342" s="22" t="inlineStr"/>
      <c r="M342" s="22" t="inlineStr"/>
      <c r="N342" s="22" t="inlineStr">
        <is>
          <t>mauricio.uyeda@tecflux.com.br</t>
        </is>
      </c>
      <c r="O342" s="22" t="inlineStr">
        <is>
          <t>verified</t>
        </is>
      </c>
      <c r="P342" s="22" t="inlineStr">
        <is>
          <t>Ailton Conceicao</t>
        </is>
      </c>
      <c r="Q342" s="22" t="inlineStr">
        <is>
          <t>Operations General Manager</t>
        </is>
      </c>
      <c r="R342" s="22" t="inlineStr"/>
      <c r="S342" s="22" t="inlineStr">
        <is>
          <t>ailton.conceicao@tecflux.com.br</t>
        </is>
      </c>
      <c r="T342" s="22" t="inlineStr">
        <is>
          <t>DM: DM; BACKUP: backup</t>
        </is>
      </c>
      <c r="U342" s="24" t="n">
        <v>291540.68</v>
      </c>
      <c r="V342" s="25" t="inlineStr">
        <is>
          <t>B</t>
        </is>
      </c>
      <c r="W342" s="26" t="inlineStr"/>
      <c r="X342" s="27" t="inlineStr"/>
      <c r="Y342" s="27" t="inlineStr"/>
      <c r="Z342" s="26">
        <f>IF(W342&lt;&gt;"",W342,IFERROR(VLOOKUP(V342,Assumptions!$A$8:$F$12,2,FALSE),0))</f>
        <v/>
      </c>
      <c r="AA342" s="28">
        <f>IF(V342="A",MAX(1,IF(X342&lt;&gt;"",X342,IFERROR(VLOOKUP(V342,Assumptions!$A$8:$F$12,3,FALSE),3))+IF(Y342&lt;&gt;"",Y342,IFERROR(VLOOKUP(V342,Assumptions!$A$8:$F$12,4,FALSE),8))/2-MAX(0,IF(AS342="",0,YEAR(TODAY())-AS342)-IFERROR(VLOOKUP(V342,Assumptions!$A$8:$F$12,5,FALSE),1.5))),IFERROR(VLOOKUP(V342,Assumptions!$A$8:$F$12,5,FALSE),2.5)+IF(X342&lt;&gt;"",X342,IFERROR(VLOOKUP(V342,Assumptions!$A$8:$F$12,3,FALSE),3))+IF(Y342&lt;&gt;"",Y342,IFERROR(VLOOKUP(V342,Assumptions!$A$8:$F$12,4,FALSE),8))/2)</f>
        <v/>
      </c>
      <c r="AB342" s="24">
        <f>U342*Z342/(1+Assumptions!$B$3)^AA342</f>
        <v/>
      </c>
      <c r="AC342" s="27">
        <f>IF(U342=0,"",ROUND(AB342/U342*100,1))</f>
        <v/>
      </c>
      <c r="AD342" s="29">
        <f>AB342*Assumptions!$B$4</f>
        <v/>
      </c>
      <c r="AE342" s="27">
        <f>IF(U342=0,"",ROUND(AD342/U342*100,1))</f>
        <v/>
      </c>
      <c r="AF342" s="29">
        <f>AB342-AD342</f>
        <v/>
      </c>
      <c r="AG342" s="27">
        <f>IF(U342=0,"",ROUND((AB342-AD342)/U342*100,1))</f>
        <v/>
      </c>
      <c r="AH342" s="30" t="inlineStr">
        <is>
          <t>OK — totals reconciled</t>
        </is>
      </c>
      <c r="AI342" s="31" t="inlineStr">
        <is>
          <t>https://scalzilliaj.com.br/sgc/download.php?file=files/processo_documento/processo_documento09514021082025_1_.pdf&amp;nome=04 - Relação de credores das Recuperandas</t>
        </is>
      </c>
      <c r="AJ342" s="30" t="inlineStr">
        <is>
          <t>p74 r3; p74 r4</t>
        </is>
      </c>
      <c r="AK342" s="30" t="inlineStr">
        <is>
          <t>p74: R$ 227.901,38; p74: R$ 63.639,30</t>
        </is>
      </c>
      <c r="AL342" s="30" t="inlineStr">
        <is>
          <t>Debtor list (art. 51)</t>
        </is>
      </c>
      <c r="AM342" s="30" t="inlineStr"/>
      <c r="AN342" s="30" t="inlineStr">
        <is>
          <t>NONE FOUND</t>
        </is>
      </c>
      <c r="AO342" s="32" t="inlineStr">
        <is>
          <t>5088952-81.2025.8.13.0024</t>
        </is>
      </c>
      <c r="AP342" s="32" t="inlineStr">
        <is>
          <t>TJMG</t>
        </is>
      </c>
      <c r="AQ342" s="32" t="inlineStr"/>
      <c r="AR342" s="32" t="inlineStr">
        <is>
          <t>DataJud: no closure/falência movement</t>
        </is>
      </c>
      <c r="AS342" s="32" t="n">
        <v>2025</v>
      </c>
      <c r="AT342" s="32" t="inlineStr">
        <is>
          <t>live case, no plan document yet; case no. from the portal record, not printed on the list</t>
        </is>
      </c>
      <c r="AU342" s="32" t="inlineStr"/>
      <c r="AV342" s="32" t="inlineStr">
        <is>
          <t>portal page title / URL — not printed on the list</t>
        </is>
      </c>
      <c r="AW342" s="32" t="inlineStr"/>
      <c r="AX342" s="32" t="inlineStr">
        <is>
          <t>CARAPICUIBA</t>
        </is>
      </c>
      <c r="AY342" s="32" t="inlineStr">
        <is>
          <t>SP</t>
        </is>
      </c>
      <c r="AZ342" s="32" t="inlineStr">
        <is>
          <t>Comércio atacadista de Máquinas e equipamentos para uso industrial; partes e peças</t>
        </is>
      </c>
      <c r="BA342" s="32" t="inlineStr">
        <is>
          <t>não ME/EPP</t>
        </is>
      </c>
      <c r="BB342" s="33" t="n">
        <v>110000</v>
      </c>
      <c r="BC342" s="32" t="inlineStr">
        <is>
          <t>MID-MARKET</t>
        </is>
      </c>
      <c r="BD342" s="32" t="inlineStr">
        <is>
          <t>60933017</t>
        </is>
      </c>
      <c r="BE342" s="32" t="n">
        <v>2</v>
      </c>
      <c r="BF342" s="32" t="inlineStr">
        <is>
          <t>case no. corrected by reader case no. from portal record</t>
        </is>
      </c>
    </row>
    <row r="343">
      <c r="A343" s="17" t="inlineStr">
        <is>
          <t>EPHOXAL DO BRASIL INDUSTRIA E COMERCIO LTDA</t>
        </is>
      </c>
      <c r="B343" s="18" t="n">
        <v>1130990.79</v>
      </c>
      <c r="C343" s="19" t="inlineStr">
        <is>
          <t>BLUTRAFOS BLUMENAU TRANSFORMADORES LTDA</t>
        </is>
      </c>
      <c r="D343" s="20" t="inlineStr">
        <is>
          <t>NEW</t>
        </is>
      </c>
      <c r="E343" s="21" t="inlineStr"/>
      <c r="F343" s="20" t="inlineStr"/>
      <c r="G343" s="21" t="inlineStr"/>
      <c r="H343" s="20" t="inlineStr"/>
      <c r="I343" s="22" t="inlineStr">
        <is>
          <t>LUIZ CARLOS LAGO</t>
        </is>
      </c>
      <c r="J343" s="23" t="inlineStr">
        <is>
          <t>Sócio-Administrador (RFB partner)</t>
        </is>
      </c>
      <c r="K343" s="22" t="inlineStr">
        <is>
          <t>(11) 4138-9347</t>
        </is>
      </c>
      <c r="L343" s="22" t="inlineStr"/>
      <c r="M343" s="22" t="inlineStr"/>
      <c r="N343" s="22" t="inlineStr"/>
      <c r="O343" s="22" t="inlineStr"/>
      <c r="P343" s="22" t="inlineStr">
        <is>
          <t>MARIA HELENA TOMASSI</t>
        </is>
      </c>
      <c r="Q343" s="22" t="inlineStr">
        <is>
          <t>Administrador (RFB partner)</t>
        </is>
      </c>
      <c r="R343" s="22" t="inlineStr"/>
      <c r="S343" s="22" t="inlineStr"/>
      <c r="T343" s="22" t="inlineStr">
        <is>
          <t>DM = registered partner (RFB QSA); no Apollo match</t>
        </is>
      </c>
      <c r="U343" s="24" t="n">
        <v>1130990.79</v>
      </c>
      <c r="V343" s="39" t="inlineStr">
        <is>
          <t>C</t>
        </is>
      </c>
      <c r="W343" s="26" t="inlineStr"/>
      <c r="X343" s="27" t="inlineStr"/>
      <c r="Y343" s="27" t="inlineStr"/>
      <c r="Z343" s="26">
        <f>IF(W343&lt;&gt;"",W343,IFERROR(VLOOKUP(V343,Assumptions!$A$8:$F$12,2,FALSE),0))</f>
        <v/>
      </c>
      <c r="AA343" s="28">
        <f>IF(V343="A",MAX(1,IF(X343&lt;&gt;"",X343,IFERROR(VLOOKUP(V343,Assumptions!$A$8:$F$12,3,FALSE),3))+IF(Y343&lt;&gt;"",Y343,IFERROR(VLOOKUP(V343,Assumptions!$A$8:$F$12,4,FALSE),8))/2-MAX(0,IF(AS343="",0,YEAR(TODAY())-AS343)-IFERROR(VLOOKUP(V343,Assumptions!$A$8:$F$12,5,FALSE),1.5))),IFERROR(VLOOKUP(V343,Assumptions!$A$8:$F$12,5,FALSE),2.5)+IF(X343&lt;&gt;"",X343,IFERROR(VLOOKUP(V343,Assumptions!$A$8:$F$12,3,FALSE),3))+IF(Y343&lt;&gt;"",Y343,IFERROR(VLOOKUP(V343,Assumptions!$A$8:$F$12,4,FALSE),8))/2)</f>
        <v/>
      </c>
      <c r="AB343" s="24">
        <f>U343*Z343/(1+Assumptions!$B$3)^AA343</f>
        <v/>
      </c>
      <c r="AC343" s="27">
        <f>IF(U343=0,"",ROUND(AB343/U343*100,1))</f>
        <v/>
      </c>
      <c r="AD343" s="29">
        <f>AB343*Assumptions!$B$4</f>
        <v/>
      </c>
      <c r="AE343" s="27">
        <f>IF(U343=0,"",ROUND(AD343/U343*100,1))</f>
        <v/>
      </c>
      <c r="AF343" s="29">
        <f>AB343-AD343</f>
        <v/>
      </c>
      <c r="AG343" s="27">
        <f>IF(U343=0,"",ROUND((AB343-AD343)/U343*100,1))</f>
        <v/>
      </c>
      <c r="AH343" s="30" t="inlineStr">
        <is>
          <t>OK — totals reconciled</t>
        </is>
      </c>
      <c r="AI343" s="31" t="inlineStr">
        <is>
          <t>https://administradorajudicialgs.com.br/wp-content/uploads/2023/08/advogados-sgrott-doc-22-relacao-de-credores-do-administrador-judicial-classe-iii-05-02-14.pdf</t>
        </is>
      </c>
      <c r="AJ343" s="30" t="inlineStr">
        <is>
          <t>p2 r46</t>
        </is>
      </c>
      <c r="AK343" s="30" t="inlineStr">
        <is>
          <t>p2: R$ 1.130.990,79</t>
        </is>
      </c>
      <c r="AL343" s="30" t="inlineStr">
        <is>
          <t>Unclassified list</t>
        </is>
      </c>
      <c r="AM343" s="30" t="inlineStr"/>
      <c r="AN343" s="30" t="inlineStr">
        <is>
          <t>NONE FOUND</t>
        </is>
      </c>
      <c r="AO343" s="32" t="inlineStr">
        <is>
          <t>0022845-08.2013.8.24.0008</t>
        </is>
      </c>
      <c r="AP343" s="32" t="inlineStr">
        <is>
          <t>TJSC</t>
        </is>
      </c>
      <c r="AQ343" s="32" t="inlineStr"/>
      <c r="AR343" s="32" t="inlineStr">
        <is>
          <t>not in DataJud</t>
        </is>
      </c>
      <c r="AS343" s="32" t="n">
        <v>2013</v>
      </c>
      <c r="AT343" s="32" t="inlineStr">
        <is>
          <t>13y since filing; plan not in our documents; case no. from the portal record, not printed on the list</t>
        </is>
      </c>
      <c r="AU343" s="32" t="inlineStr"/>
      <c r="AV343" s="32" t="inlineStr">
        <is>
          <t>portal page title / URL — not printed on the list</t>
        </is>
      </c>
      <c r="AW343" s="32" t="inlineStr"/>
      <c r="AX343" s="32" t="inlineStr">
        <is>
          <t>EMBU DAS ARTES</t>
        </is>
      </c>
      <c r="AY343" s="32" t="inlineStr">
        <is>
          <t>SP</t>
        </is>
      </c>
      <c r="AZ343" s="32" t="inlineStr">
        <is>
          <t>Fabricação de resinas termofixas</t>
        </is>
      </c>
      <c r="BA343" s="32" t="inlineStr">
        <is>
          <t>não ME/EPP</t>
        </is>
      </c>
      <c r="BB343" s="33" t="n">
        <v>500000</v>
      </c>
      <c r="BC343" s="32" t="inlineStr">
        <is>
          <t>MID-MARKET</t>
        </is>
      </c>
      <c r="BD343" s="32" t="inlineStr">
        <is>
          <t>02770062</t>
        </is>
      </c>
      <c r="BE343" s="32" t="n">
        <v>1</v>
      </c>
      <c r="BF343" s="32" t="inlineStr"/>
    </row>
    <row r="344">
      <c r="A344" s="17" t="inlineStr">
        <is>
          <t>MAB - SP SERVICOS ADMINISTRATIVOS LTDA</t>
        </is>
      </c>
      <c r="B344" s="18" t="n">
        <v>288822.7</v>
      </c>
      <c r="C344" s="19" t="inlineStr">
        <is>
          <t>GRUPO EGESA (Egesa Engenharia S.A. + 9 group companies; see group members)</t>
        </is>
      </c>
      <c r="D344" s="20" t="inlineStr">
        <is>
          <t>NEW</t>
        </is>
      </c>
      <c r="E344" s="21" t="inlineStr"/>
      <c r="F344" s="20" t="inlineStr"/>
      <c r="G344" s="21" t="inlineStr"/>
      <c r="H344" s="20" t="inlineStr"/>
      <c r="I344" s="22" t="inlineStr">
        <is>
          <t>GISELMA TATIANA DOS SANTOS DE ROSSI</t>
        </is>
      </c>
      <c r="J344" s="23" t="inlineStr">
        <is>
          <t>Sócio-Administrador (RFB partner)</t>
        </is>
      </c>
      <c r="K344" s="22" t="inlineStr">
        <is>
          <t>(11) 4436-1775</t>
        </is>
      </c>
      <c r="L344" s="22" t="inlineStr"/>
      <c r="M344" s="22" t="inlineStr"/>
      <c r="N344" s="22" t="inlineStr"/>
      <c r="O344" s="22" t="inlineStr"/>
      <c r="P344" s="22" t="inlineStr"/>
      <c r="Q344" s="22" t="inlineStr"/>
      <c r="R344" s="22" t="inlineStr"/>
      <c r="S344" s="22" t="inlineStr"/>
      <c r="T344" s="22" t="inlineStr">
        <is>
          <t>DM = registered partner (RFB QSA); no Apollo match</t>
        </is>
      </c>
      <c r="U344" s="24" t="n">
        <v>288822.7</v>
      </c>
      <c r="V344" s="25" t="inlineStr">
        <is>
          <t>B</t>
        </is>
      </c>
      <c r="W344" s="26" t="inlineStr"/>
      <c r="X344" s="27" t="inlineStr"/>
      <c r="Y344" s="27" t="inlineStr"/>
      <c r="Z344" s="26">
        <f>IF(W344&lt;&gt;"",W344,IFERROR(VLOOKUP(V344,Assumptions!$A$8:$F$12,2,FALSE),0))</f>
        <v/>
      </c>
      <c r="AA344" s="28">
        <f>IF(V344="A",MAX(1,IF(X344&lt;&gt;"",X344,IFERROR(VLOOKUP(V344,Assumptions!$A$8:$F$12,3,FALSE),3))+IF(Y344&lt;&gt;"",Y344,IFERROR(VLOOKUP(V344,Assumptions!$A$8:$F$12,4,FALSE),8))/2-MAX(0,IF(AS344="",0,YEAR(TODAY())-AS344)-IFERROR(VLOOKUP(V344,Assumptions!$A$8:$F$12,5,FALSE),1.5))),IFERROR(VLOOKUP(V344,Assumptions!$A$8:$F$12,5,FALSE),2.5)+IF(X344&lt;&gt;"",X344,IFERROR(VLOOKUP(V344,Assumptions!$A$8:$F$12,3,FALSE),3))+IF(Y344&lt;&gt;"",Y344,IFERROR(VLOOKUP(V344,Assumptions!$A$8:$F$12,4,FALSE),8))/2)</f>
        <v/>
      </c>
      <c r="AB344" s="24">
        <f>U344*Z344/(1+Assumptions!$B$3)^AA344</f>
        <v/>
      </c>
      <c r="AC344" s="27">
        <f>IF(U344=0,"",ROUND(AB344/U344*100,1))</f>
        <v/>
      </c>
      <c r="AD344" s="29">
        <f>AB344*Assumptions!$B$4</f>
        <v/>
      </c>
      <c r="AE344" s="27">
        <f>IF(U344=0,"",ROUND(AD344/U344*100,1))</f>
        <v/>
      </c>
      <c r="AF344" s="29">
        <f>AB344-AD344</f>
        <v/>
      </c>
      <c r="AG344" s="27">
        <f>IF(U344=0,"",ROUND((AB344-AD344)/U344*100,1))</f>
        <v/>
      </c>
      <c r="AH344" s="30" t="inlineStr">
        <is>
          <t>OK — totals reconciled</t>
        </is>
      </c>
      <c r="AI344" s="31" t="inlineStr">
        <is>
          <t>https://scalzilliaj.com.br/sgc/download.php?file=files/processo_documento/processo_documento09514021082025_1_.pdf&amp;nome=04 - Relação de credores das Recuperandas</t>
        </is>
      </c>
      <c r="AJ344" s="30" t="inlineStr">
        <is>
          <t>p69 r8</t>
        </is>
      </c>
      <c r="AK344" s="30" t="inlineStr">
        <is>
          <t>p69: R$ 288.822,70</t>
        </is>
      </c>
      <c r="AL344" s="30" t="inlineStr">
        <is>
          <t>Debtor list (art. 51)</t>
        </is>
      </c>
      <c r="AM344" s="30" t="inlineStr"/>
      <c r="AN344" s="30" t="inlineStr">
        <is>
          <t>NONE FOUND</t>
        </is>
      </c>
      <c r="AO344" s="32" t="inlineStr">
        <is>
          <t>5088952-81.2025.8.13.0024</t>
        </is>
      </c>
      <c r="AP344" s="32" t="inlineStr">
        <is>
          <t>TJMG</t>
        </is>
      </c>
      <c r="AQ344" s="32" t="inlineStr"/>
      <c r="AR344" s="32" t="inlineStr">
        <is>
          <t>DataJud: no closure/falência movement</t>
        </is>
      </c>
      <c r="AS344" s="32" t="n">
        <v>2025</v>
      </c>
      <c r="AT344" s="32" t="inlineStr">
        <is>
          <t>live case, no plan document yet; case no. from the portal record, not printed on the list</t>
        </is>
      </c>
      <c r="AU344" s="32" t="inlineStr"/>
      <c r="AV344" s="32" t="inlineStr">
        <is>
          <t>portal page title / URL — not printed on the list</t>
        </is>
      </c>
      <c r="AW344" s="32" t="inlineStr"/>
      <c r="AX344" s="32" t="inlineStr">
        <is>
          <t>BARUERI</t>
        </is>
      </c>
      <c r="AY344" s="32" t="inlineStr">
        <is>
          <t>SP</t>
        </is>
      </c>
      <c r="AZ344" s="32" t="inlineStr">
        <is>
          <t>Serviços combinados de escritório e apoio administrativo</t>
        </is>
      </c>
      <c r="BA344" s="32" t="inlineStr">
        <is>
          <t>EMPRESA DE PEQUENO PORTE</t>
        </is>
      </c>
      <c r="BB344" s="33" t="n">
        <v>50000</v>
      </c>
      <c r="BC344" s="32" t="inlineStr">
        <is>
          <t>SMALL</t>
        </is>
      </c>
      <c r="BD344" s="32" t="inlineStr">
        <is>
          <t>01144076</t>
        </is>
      </c>
      <c r="BE344" s="32" t="n">
        <v>1</v>
      </c>
      <c r="BF344" s="32" t="inlineStr">
        <is>
          <t>case no. corrected by reader case no. from portal record</t>
        </is>
      </c>
    </row>
    <row r="345">
      <c r="A345" s="17" t="inlineStr">
        <is>
          <t>A X M ADMINISTRACAO E PARTICIPACOES LTDA</t>
        </is>
      </c>
      <c r="B345" s="18" t="n">
        <v>288256.26</v>
      </c>
      <c r="C345" s="19" t="inlineStr">
        <is>
          <t>GRUPO CATTAN</t>
        </is>
      </c>
      <c r="D345" s="20" t="inlineStr">
        <is>
          <t>NEW</t>
        </is>
      </c>
      <c r="E345" s="21" t="inlineStr"/>
      <c r="F345" s="20" t="inlineStr"/>
      <c r="G345" s="21" t="inlineStr"/>
      <c r="H345" s="20" t="inlineStr"/>
      <c r="I345" s="22" t="inlineStr">
        <is>
          <t>ANA LUCIA LEITE GIACCIO</t>
        </is>
      </c>
      <c r="J345" s="23" t="inlineStr">
        <is>
          <t>Sócio-Administrador (RFB partner)</t>
        </is>
      </c>
      <c r="K345" s="22" t="inlineStr">
        <is>
          <t>(41) 3233-9848</t>
        </is>
      </c>
      <c r="L345" s="22" t="inlineStr"/>
      <c r="M345" s="22" t="inlineStr"/>
      <c r="N345" s="22" t="inlineStr"/>
      <c r="O345" s="22" t="inlineStr"/>
      <c r="P345" s="22" t="inlineStr">
        <is>
          <t>MARCELO DE AMORIM LEITE</t>
        </is>
      </c>
      <c r="Q345" s="22" t="inlineStr">
        <is>
          <t>Sócio-Administrador (RFB partner)</t>
        </is>
      </c>
      <c r="R345" s="22" t="inlineStr"/>
      <c r="S345" s="22" t="inlineStr"/>
      <c r="T345" s="22" t="inlineStr">
        <is>
          <t>DM = registered partner (RFB QSA); no Apollo match</t>
        </is>
      </c>
      <c r="U345" s="24" t="n">
        <v>288256.26</v>
      </c>
      <c r="V345" s="25" t="inlineStr">
        <is>
          <t>B</t>
        </is>
      </c>
      <c r="W345" s="26" t="inlineStr"/>
      <c r="X345" s="27" t="inlineStr"/>
      <c r="Y345" s="27" t="inlineStr"/>
      <c r="Z345" s="26">
        <f>IF(W345&lt;&gt;"",W345,IFERROR(VLOOKUP(V345,Assumptions!$A$8:$F$12,2,FALSE),0))</f>
        <v/>
      </c>
      <c r="AA345" s="28">
        <f>IF(V345="A",MAX(1,IF(X345&lt;&gt;"",X345,IFERROR(VLOOKUP(V345,Assumptions!$A$8:$F$12,3,FALSE),3))+IF(Y345&lt;&gt;"",Y345,IFERROR(VLOOKUP(V345,Assumptions!$A$8:$F$12,4,FALSE),8))/2-MAX(0,IF(AS345="",0,YEAR(TODAY())-AS345)-IFERROR(VLOOKUP(V345,Assumptions!$A$8:$F$12,5,FALSE),1.5))),IFERROR(VLOOKUP(V345,Assumptions!$A$8:$F$12,5,FALSE),2.5)+IF(X345&lt;&gt;"",X345,IFERROR(VLOOKUP(V345,Assumptions!$A$8:$F$12,3,FALSE),3))+IF(Y345&lt;&gt;"",Y345,IFERROR(VLOOKUP(V345,Assumptions!$A$8:$F$12,4,FALSE),8))/2)</f>
        <v/>
      </c>
      <c r="AB345" s="24">
        <f>U345*Z345/(1+Assumptions!$B$3)^AA345</f>
        <v/>
      </c>
      <c r="AC345" s="27">
        <f>IF(U345=0,"",ROUND(AB345/U345*100,1))</f>
        <v/>
      </c>
      <c r="AD345" s="29">
        <f>AB345*Assumptions!$B$4</f>
        <v/>
      </c>
      <c r="AE345" s="27">
        <f>IF(U345=0,"",ROUND(AD345/U345*100,1))</f>
        <v/>
      </c>
      <c r="AF345" s="29">
        <f>AB345-AD345</f>
        <v/>
      </c>
      <c r="AG345" s="27">
        <f>IF(U345=0,"",ROUND((AB345-AD345)/U345*100,1))</f>
        <v/>
      </c>
      <c r="AH345" s="35" t="inlineStr">
        <is>
          <t>PARTIAL — class III reconciled, other classes not</t>
        </is>
      </c>
      <c r="AI345" s="31" t="inlineStr">
        <is>
          <t>https://lrflideres.com.br/wp-content/plugins/download-attachments/includes/download.php?id=4023</t>
        </is>
      </c>
      <c r="AJ345" s="30" t="inlineStr">
        <is>
          <t>p4 r54</t>
        </is>
      </c>
      <c r="AK345" s="30" t="inlineStr">
        <is>
          <t>p4: R$ 288.256,26</t>
        </is>
      </c>
      <c r="AL345" s="30" t="inlineStr">
        <is>
          <t>Debtor list (art. 51)</t>
        </is>
      </c>
      <c r="AM345" s="30" t="inlineStr"/>
      <c r="AN345" s="30" t="inlineStr">
        <is>
          <t>NONE FOUND</t>
        </is>
      </c>
      <c r="AO345" s="32" t="inlineStr">
        <is>
          <t>0002484-82.2022.8.17.2001</t>
        </is>
      </c>
      <c r="AP345" s="32" t="inlineStr">
        <is>
          <t>TJPE</t>
        </is>
      </c>
      <c r="AQ345" s="32" t="inlineStr">
        <is>
          <t>Recuperação judicial</t>
        </is>
      </c>
      <c r="AR345" s="32" t="inlineStr">
        <is>
          <t>DataJud: no closure/falência movement</t>
        </is>
      </c>
      <c r="AS345" s="32" t="n">
        <v>2022</v>
      </c>
      <c r="AT345" s="32" t="inlineStr">
        <is>
          <t>live case, no plan document yet</t>
        </is>
      </c>
      <c r="AU345" s="32" t="inlineStr"/>
      <c r="AV345" s="32" t="inlineStr">
        <is>
          <t>printed on the list (read twice)</t>
        </is>
      </c>
      <c r="AW345" s="32" t="inlineStr"/>
      <c r="AX345" s="32" t="inlineStr">
        <is>
          <t>CURITIBA</t>
        </is>
      </c>
      <c r="AY345" s="32" t="inlineStr">
        <is>
          <t>PR</t>
        </is>
      </c>
      <c r="AZ345" s="32" t="inlineStr">
        <is>
          <t>Aluguel de imóveis próprios</t>
        </is>
      </c>
      <c r="BA345" s="32" t="inlineStr">
        <is>
          <t>não ME/EPP</t>
        </is>
      </c>
      <c r="BB345" s="33" t="n">
        <v>15000</v>
      </c>
      <c r="BC345" s="32" t="inlineStr">
        <is>
          <t>MID-MARKET</t>
        </is>
      </c>
      <c r="BD345" s="32" t="inlineStr">
        <is>
          <t>24649441</t>
        </is>
      </c>
      <c r="BE345" s="32" t="n">
        <v>1</v>
      </c>
      <c r="BF345" s="32" t="inlineStr">
        <is>
          <t>class III reconciled (doc partial)</t>
        </is>
      </c>
    </row>
    <row r="346">
      <c r="A346" s="17" t="inlineStr">
        <is>
          <t>GG ADMINISTRADORA DE BENS S/A</t>
        </is>
      </c>
      <c r="B346" s="18" t="n">
        <v>288256.26</v>
      </c>
      <c r="C346" s="19" t="inlineStr">
        <is>
          <t>GRUPO CATTAN</t>
        </is>
      </c>
      <c r="D346" s="20" t="inlineStr">
        <is>
          <t>NEW</t>
        </is>
      </c>
      <c r="E346" s="21" t="inlineStr"/>
      <c r="F346" s="20" t="inlineStr"/>
      <c r="G346" s="21" t="inlineStr"/>
      <c r="H346" s="20" t="inlineStr"/>
      <c r="I346" s="22" t="inlineStr">
        <is>
          <t>ANA LUCIA LEITE GIACCIO</t>
        </is>
      </c>
      <c r="J346" s="23" t="inlineStr">
        <is>
          <t>Diretor (RFB partner)</t>
        </is>
      </c>
      <c r="K346" s="22" t="inlineStr">
        <is>
          <t>(48) 9961-4240</t>
        </is>
      </c>
      <c r="L346" s="22" t="inlineStr"/>
      <c r="M346" s="22" t="inlineStr"/>
      <c r="N346" s="22" t="inlineStr"/>
      <c r="O346" s="22" t="inlineStr"/>
      <c r="P346" s="22" t="inlineStr">
        <is>
          <t>GABRIELA LEITE GIACCIO BEWALSKI</t>
        </is>
      </c>
      <c r="Q346" s="22" t="inlineStr">
        <is>
          <t>Diretor (RFB partner)</t>
        </is>
      </c>
      <c r="R346" s="22" t="inlineStr"/>
      <c r="S346" s="22" t="inlineStr"/>
      <c r="T346" s="22" t="inlineStr">
        <is>
          <t>DM = registered partner (RFB QSA); no Apollo match</t>
        </is>
      </c>
      <c r="U346" s="24" t="n">
        <v>288256.26</v>
      </c>
      <c r="V346" s="25" t="inlineStr">
        <is>
          <t>B</t>
        </is>
      </c>
      <c r="W346" s="26" t="inlineStr"/>
      <c r="X346" s="27" t="inlineStr"/>
      <c r="Y346" s="27" t="inlineStr"/>
      <c r="Z346" s="26">
        <f>IF(W346&lt;&gt;"",W346,IFERROR(VLOOKUP(V346,Assumptions!$A$8:$F$12,2,FALSE),0))</f>
        <v/>
      </c>
      <c r="AA346" s="28">
        <f>IF(V346="A",MAX(1,IF(X346&lt;&gt;"",X346,IFERROR(VLOOKUP(V346,Assumptions!$A$8:$F$12,3,FALSE),3))+IF(Y346&lt;&gt;"",Y346,IFERROR(VLOOKUP(V346,Assumptions!$A$8:$F$12,4,FALSE),8))/2-MAX(0,IF(AS346="",0,YEAR(TODAY())-AS346)-IFERROR(VLOOKUP(V346,Assumptions!$A$8:$F$12,5,FALSE),1.5))),IFERROR(VLOOKUP(V346,Assumptions!$A$8:$F$12,5,FALSE),2.5)+IF(X346&lt;&gt;"",X346,IFERROR(VLOOKUP(V346,Assumptions!$A$8:$F$12,3,FALSE),3))+IF(Y346&lt;&gt;"",Y346,IFERROR(VLOOKUP(V346,Assumptions!$A$8:$F$12,4,FALSE),8))/2)</f>
        <v/>
      </c>
      <c r="AB346" s="24">
        <f>U346*Z346/(1+Assumptions!$B$3)^AA346</f>
        <v/>
      </c>
      <c r="AC346" s="27">
        <f>IF(U346=0,"",ROUND(AB346/U346*100,1))</f>
        <v/>
      </c>
      <c r="AD346" s="29">
        <f>AB346*Assumptions!$B$4</f>
        <v/>
      </c>
      <c r="AE346" s="27">
        <f>IF(U346=0,"",ROUND(AD346/U346*100,1))</f>
        <v/>
      </c>
      <c r="AF346" s="29">
        <f>AB346-AD346</f>
        <v/>
      </c>
      <c r="AG346" s="27">
        <f>IF(U346=0,"",ROUND((AB346-AD346)/U346*100,1))</f>
        <v/>
      </c>
      <c r="AH346" s="35" t="inlineStr">
        <is>
          <t>PARTIAL — class III reconciled, other classes not</t>
        </is>
      </c>
      <c r="AI346" s="31" t="inlineStr">
        <is>
          <t>https://lrflideres.com.br/wp-content/plugins/download-attachments/includes/download.php?id=4023</t>
        </is>
      </c>
      <c r="AJ346" s="30" t="inlineStr">
        <is>
          <t>p4 r75</t>
        </is>
      </c>
      <c r="AK346" s="30" t="inlineStr">
        <is>
          <t>p4: R$ 288.256,26</t>
        </is>
      </c>
      <c r="AL346" s="30" t="inlineStr">
        <is>
          <t>Debtor list (art. 51)</t>
        </is>
      </c>
      <c r="AM346" s="30" t="inlineStr"/>
      <c r="AN346" s="30" t="inlineStr">
        <is>
          <t>NONE FOUND</t>
        </is>
      </c>
      <c r="AO346" s="32" t="inlineStr">
        <is>
          <t>0002484-82.2022.8.17.2001</t>
        </is>
      </c>
      <c r="AP346" s="32" t="inlineStr">
        <is>
          <t>TJPE</t>
        </is>
      </c>
      <c r="AQ346" s="32" t="inlineStr">
        <is>
          <t>Recuperação judicial</t>
        </is>
      </c>
      <c r="AR346" s="32" t="inlineStr">
        <is>
          <t>DataJud: no closure/falência movement</t>
        </is>
      </c>
      <c r="AS346" s="32" t="n">
        <v>2022</v>
      </c>
      <c r="AT346" s="32" t="inlineStr">
        <is>
          <t>live case, no plan document yet</t>
        </is>
      </c>
      <c r="AU346" s="32" t="inlineStr"/>
      <c r="AV346" s="32" t="inlineStr">
        <is>
          <t>printed on the list (read twice)</t>
        </is>
      </c>
      <c r="AW346" s="32" t="inlineStr"/>
      <c r="AX346" s="32" t="inlineStr">
        <is>
          <t>CURITIBA</t>
        </is>
      </c>
      <c r="AY346" s="32" t="inlineStr">
        <is>
          <t>PR</t>
        </is>
      </c>
      <c r="AZ346" s="32" t="inlineStr">
        <is>
          <t>Aluguel de imóveis próprios</t>
        </is>
      </c>
      <c r="BA346" s="32" t="inlineStr">
        <is>
          <t>não ME/EPP</t>
        </is>
      </c>
      <c r="BB346" s="33" t="n">
        <v>10000</v>
      </c>
      <c r="BC346" s="32" t="inlineStr">
        <is>
          <t>MID-MARKET</t>
        </is>
      </c>
      <c r="BD346" s="32" t="inlineStr">
        <is>
          <t>24221282</t>
        </is>
      </c>
      <c r="BE346" s="32" t="n">
        <v>1</v>
      </c>
      <c r="BF346" s="32" t="inlineStr">
        <is>
          <t>class III reconciled (doc partial)</t>
        </is>
      </c>
    </row>
    <row r="347">
      <c r="A347" s="17" t="inlineStr">
        <is>
          <t>CTVA PROTECAO DE CULTIVOS LTDA.</t>
        </is>
      </c>
      <c r="B347" s="18" t="n">
        <v>286835.99</v>
      </c>
      <c r="C347" s="19" t="inlineStr">
        <is>
          <t>GRUPO FERRARI (ALEX, ALEXANDRE , ANDRIELLE FERRARI MANTELLI, ARCIR LUIS, ERICA SANTOS ASSIS LIMA, FERNANDO MANTELLI, IDELSI, TALITA LEITE SILVA, AGROPECUARIA FERRARI LTDA E FERRARI ARMAZENS GERAIS)</t>
        </is>
      </c>
      <c r="D347" s="20" t="inlineStr">
        <is>
          <t>NEW</t>
        </is>
      </c>
      <c r="E347" s="21" t="inlineStr"/>
      <c r="F347" s="20" t="inlineStr"/>
      <c r="G347" s="21" t="inlineStr"/>
      <c r="H347" s="20" t="inlineStr"/>
      <c r="I347" s="22" t="inlineStr">
        <is>
          <t>Sergio Silva</t>
        </is>
      </c>
      <c r="J347" s="22" t="inlineStr">
        <is>
          <t>Credit Manager</t>
        </is>
      </c>
      <c r="K347" s="22" t="inlineStr">
        <is>
          <t>(11) 4166-8122</t>
        </is>
      </c>
      <c r="L347" s="22" t="inlineStr"/>
      <c r="M347" s="22" t="inlineStr"/>
      <c r="N347" s="22" t="inlineStr">
        <is>
          <t>sergio-alexandre.silva-1@corteva.com</t>
        </is>
      </c>
      <c r="O347" s="22" t="inlineStr">
        <is>
          <t>verified</t>
        </is>
      </c>
      <c r="P347" s="22" t="inlineStr">
        <is>
          <t>Jesuaine Santos</t>
        </is>
      </c>
      <c r="Q347" s="22" t="inlineStr">
        <is>
          <t>Supervisora de Contas a Receber e Cobrança</t>
        </is>
      </c>
      <c r="R347" s="22" t="inlineStr"/>
      <c r="S347" s="22" t="inlineStr">
        <is>
          <t>jesuaine.santos@corteva.com</t>
        </is>
      </c>
      <c r="T347" s="22" t="inlineStr">
        <is>
          <t>DM: DM; LARGE CORP (CTVA Proteção de Cultivos); reveal of pre-picked person; email=catia.oliveira@corteva.com (extrapolated); org=Corteva Agriscience; LARGE CORP; VERIFY org: Apollo has this person at 'Corteva Agriscience'; BACKUP: backup; VERIFY org: Apollo has this person at 'Corteva Agriscience'</t>
        </is>
      </c>
      <c r="U347" s="24" t="n">
        <v>286835.99</v>
      </c>
      <c r="V347" s="25" t="inlineStr">
        <is>
          <t>B</t>
        </is>
      </c>
      <c r="W347" s="26" t="inlineStr"/>
      <c r="X347" s="27" t="inlineStr"/>
      <c r="Y347" s="27" t="inlineStr"/>
      <c r="Z347" s="26">
        <f>IF(W347&lt;&gt;"",W347,IFERROR(VLOOKUP(V347,Assumptions!$A$8:$F$12,2,FALSE),0))</f>
        <v/>
      </c>
      <c r="AA347" s="28">
        <f>IF(V347="A",MAX(1,IF(X347&lt;&gt;"",X347,IFERROR(VLOOKUP(V347,Assumptions!$A$8:$F$12,3,FALSE),3))+IF(Y347&lt;&gt;"",Y347,IFERROR(VLOOKUP(V347,Assumptions!$A$8:$F$12,4,FALSE),8))/2-MAX(0,IF(AS347="",0,YEAR(TODAY())-AS347)-IFERROR(VLOOKUP(V347,Assumptions!$A$8:$F$12,5,FALSE),1.5))),IFERROR(VLOOKUP(V347,Assumptions!$A$8:$F$12,5,FALSE),2.5)+IF(X347&lt;&gt;"",X347,IFERROR(VLOOKUP(V347,Assumptions!$A$8:$F$12,3,FALSE),3))+IF(Y347&lt;&gt;"",Y347,IFERROR(VLOOKUP(V347,Assumptions!$A$8:$F$12,4,FALSE),8))/2)</f>
        <v/>
      </c>
      <c r="AB347" s="24">
        <f>U347*Z347/(1+Assumptions!$B$3)^AA347</f>
        <v/>
      </c>
      <c r="AC347" s="27">
        <f>IF(U347=0,"",ROUND(AB347/U347*100,1))</f>
        <v/>
      </c>
      <c r="AD347" s="29">
        <f>AB347*Assumptions!$B$4</f>
        <v/>
      </c>
      <c r="AE347" s="27">
        <f>IF(U347=0,"",ROUND(AD347/U347*100,1))</f>
        <v/>
      </c>
      <c r="AF347" s="29">
        <f>AB347-AD347</f>
        <v/>
      </c>
      <c r="AG347" s="27">
        <f>IF(U347=0,"",ROUND((AB347-AD347)/U347*100,1))</f>
        <v/>
      </c>
      <c r="AH347" s="34" t="inlineStr">
        <is>
          <t>NO TOTALS — list prints none; check page</t>
        </is>
      </c>
      <c r="AI347" s="31" t="inlineStr">
        <is>
          <t>https://scalzilliaj.com.br/sgc/download.php?file=files/processo_documento/processo_documento11421222052026_1_.pdf&amp;nome=08. Lista de credores do edital do art. 52, §1º da LREF</t>
        </is>
      </c>
      <c r="AJ347" s="30" t="inlineStr">
        <is>
          <t>p4 r10</t>
        </is>
      </c>
      <c r="AK347" s="30" t="inlineStr">
        <is>
          <t>p4: R$ 286.835,99</t>
        </is>
      </c>
      <c r="AL347" s="30" t="inlineStr">
        <is>
          <t>Unclassified list</t>
        </is>
      </c>
      <c r="AM347" s="30" t="inlineStr"/>
      <c r="AN347" s="30" t="inlineStr">
        <is>
          <t>NONE FOUND</t>
        </is>
      </c>
      <c r="AO347" s="32" t="inlineStr">
        <is>
          <t>5011369-81.2026.8.09.0093</t>
        </is>
      </c>
      <c r="AP347" s="32" t="inlineStr">
        <is>
          <t>TJGO</t>
        </is>
      </c>
      <c r="AQ347" s="32" t="inlineStr"/>
      <c r="AR347" s="32" t="inlineStr">
        <is>
          <t>DataJud: no closure/falência movement</t>
        </is>
      </c>
      <c r="AS347" s="32" t="n">
        <v>2026</v>
      </c>
      <c r="AT347" s="32" t="inlineStr">
        <is>
          <t>live case, no plan document yet; case no. from the portal record, not printed on the list</t>
        </is>
      </c>
      <c r="AU347" s="32" t="inlineStr"/>
      <c r="AV347" s="32" t="inlineStr">
        <is>
          <t>portal page title / URL — not printed on the list</t>
        </is>
      </c>
      <c r="AW347" s="32" t="inlineStr"/>
      <c r="AX347" s="32" t="inlineStr">
        <is>
          <t>BARUERI</t>
        </is>
      </c>
      <c r="AY347" s="32" t="inlineStr">
        <is>
          <t>SP</t>
        </is>
      </c>
      <c r="AZ347" s="32" t="inlineStr">
        <is>
          <t>Atividades de consultoria em gestão empresarial, exceto consultoria técnica específica</t>
        </is>
      </c>
      <c r="BA347" s="32" t="inlineStr">
        <is>
          <t>não ME/EPP</t>
        </is>
      </c>
      <c r="BB347" s="33" t="n">
        <v>1121700000</v>
      </c>
      <c r="BC347" s="32" t="inlineStr">
        <is>
          <t>LARGE CORP</t>
        </is>
      </c>
      <c r="BD347" s="32" t="inlineStr">
        <is>
          <t>47180625</t>
        </is>
      </c>
      <c r="BE347" s="32" t="n">
        <v>1</v>
      </c>
      <c r="BF347" s="32" t="inlineStr">
        <is>
          <t>list prints no totals</t>
        </is>
      </c>
    </row>
    <row r="348">
      <c r="A348" s="17" t="inlineStr">
        <is>
          <t>ALIRIO COMERCIO DE CONFECCOES LTDA</t>
        </is>
      </c>
      <c r="B348" s="18" t="n">
        <v>284189.67</v>
      </c>
      <c r="C348" s="19" t="inlineStr">
        <is>
          <t>GRUPO CATTAN</t>
        </is>
      </c>
      <c r="D348" s="20" t="inlineStr">
        <is>
          <t>NEW</t>
        </is>
      </c>
      <c r="E348" s="21" t="inlineStr"/>
      <c r="F348" s="20" t="inlineStr"/>
      <c r="G348" s="21" t="inlineStr"/>
      <c r="H348" s="20" t="inlineStr"/>
      <c r="I348" s="22" t="inlineStr">
        <is>
          <t>CHARLES NAHRA</t>
        </is>
      </c>
      <c r="J348" s="23" t="inlineStr">
        <is>
          <t>Sócio-Administrador (RFB partner)</t>
        </is>
      </c>
      <c r="K348" s="22" t="inlineStr">
        <is>
          <t>(11) 2081-6261</t>
        </is>
      </c>
      <c r="L348" s="22" t="inlineStr"/>
      <c r="M348" s="22" t="inlineStr"/>
      <c r="N348" s="22" t="inlineStr"/>
      <c r="O348" s="22" t="inlineStr"/>
      <c r="P348" s="22" t="inlineStr"/>
      <c r="Q348" s="22" t="inlineStr"/>
      <c r="R348" s="22" t="inlineStr"/>
      <c r="S348" s="22" t="inlineStr"/>
      <c r="T348" s="22" t="inlineStr">
        <is>
          <t>DM = registered partner (RFB QSA); no Apollo match</t>
        </is>
      </c>
      <c r="U348" s="24" t="n">
        <v>284189.67</v>
      </c>
      <c r="V348" s="25" t="inlineStr">
        <is>
          <t>B</t>
        </is>
      </c>
      <c r="W348" s="26" t="inlineStr"/>
      <c r="X348" s="27" t="inlineStr"/>
      <c r="Y348" s="27" t="inlineStr"/>
      <c r="Z348" s="26">
        <f>IF(W348&lt;&gt;"",W348,IFERROR(VLOOKUP(V348,Assumptions!$A$8:$F$12,2,FALSE),0))</f>
        <v/>
      </c>
      <c r="AA348" s="28">
        <f>IF(V348="A",MAX(1,IF(X348&lt;&gt;"",X348,IFERROR(VLOOKUP(V348,Assumptions!$A$8:$F$12,3,FALSE),3))+IF(Y348&lt;&gt;"",Y348,IFERROR(VLOOKUP(V348,Assumptions!$A$8:$F$12,4,FALSE),8))/2-MAX(0,IF(AS348="",0,YEAR(TODAY())-AS348)-IFERROR(VLOOKUP(V348,Assumptions!$A$8:$F$12,5,FALSE),1.5))),IFERROR(VLOOKUP(V348,Assumptions!$A$8:$F$12,5,FALSE),2.5)+IF(X348&lt;&gt;"",X348,IFERROR(VLOOKUP(V348,Assumptions!$A$8:$F$12,3,FALSE),3))+IF(Y348&lt;&gt;"",Y348,IFERROR(VLOOKUP(V348,Assumptions!$A$8:$F$12,4,FALSE),8))/2)</f>
        <v/>
      </c>
      <c r="AB348" s="24">
        <f>U348*Z348/(1+Assumptions!$B$3)^AA348</f>
        <v/>
      </c>
      <c r="AC348" s="27">
        <f>IF(U348=0,"",ROUND(AB348/U348*100,1))</f>
        <v/>
      </c>
      <c r="AD348" s="29">
        <f>AB348*Assumptions!$B$4</f>
        <v/>
      </c>
      <c r="AE348" s="27">
        <f>IF(U348=0,"",ROUND(AD348/U348*100,1))</f>
        <v/>
      </c>
      <c r="AF348" s="29">
        <f>AB348-AD348</f>
        <v/>
      </c>
      <c r="AG348" s="27">
        <f>IF(U348=0,"",ROUND((AB348-AD348)/U348*100,1))</f>
        <v/>
      </c>
      <c r="AH348" s="35" t="inlineStr">
        <is>
          <t>PARTIAL — class III reconciled, other classes not</t>
        </is>
      </c>
      <c r="AI348" s="31" t="inlineStr">
        <is>
          <t>https://lrflideres.com.br/wp-content/plugins/download-attachments/includes/download.php?id=4023</t>
        </is>
      </c>
      <c r="AJ348" s="30" t="inlineStr">
        <is>
          <t>p7 r70; p9 r53</t>
        </is>
      </c>
      <c r="AK348" s="30" t="inlineStr">
        <is>
          <t>p7: R$ 241.980,69; p9: R$ 42.208,98</t>
        </is>
      </c>
      <c r="AL348" s="30" t="inlineStr">
        <is>
          <t>Debtor list (art. 51)</t>
        </is>
      </c>
      <c r="AM348" s="30" t="inlineStr"/>
      <c r="AN348" s="30" t="inlineStr">
        <is>
          <t>NONE FOUND</t>
        </is>
      </c>
      <c r="AO348" s="32" t="inlineStr">
        <is>
          <t>0002484-82.2022.8.17.2001</t>
        </is>
      </c>
      <c r="AP348" s="32" t="inlineStr">
        <is>
          <t>TJPE</t>
        </is>
      </c>
      <c r="AQ348" s="32" t="inlineStr">
        <is>
          <t>Recuperação judicial</t>
        </is>
      </c>
      <c r="AR348" s="32" t="inlineStr">
        <is>
          <t>DataJud: no closure/falência movement</t>
        </is>
      </c>
      <c r="AS348" s="32" t="n">
        <v>2022</v>
      </c>
      <c r="AT348" s="32" t="inlineStr">
        <is>
          <t>live case, no plan document yet</t>
        </is>
      </c>
      <c r="AU348" s="32" t="inlineStr"/>
      <c r="AV348" s="32" t="inlineStr">
        <is>
          <t>printed on the list (read twice)</t>
        </is>
      </c>
      <c r="AW348" s="32" t="inlineStr"/>
      <c r="AX348" s="32" t="inlineStr">
        <is>
          <t>ARAQUARI</t>
        </is>
      </c>
      <c r="AY348" s="32" t="inlineStr">
        <is>
          <t>SC</t>
        </is>
      </c>
      <c r="AZ348" s="32" t="inlineStr">
        <is>
          <t>Comércio atacadista de artigos do vestuário e acessórios, exceto profissionais e de segurança</t>
        </is>
      </c>
      <c r="BA348" s="32" t="inlineStr">
        <is>
          <t>não ME/EPP</t>
        </is>
      </c>
      <c r="BB348" s="33" t="n">
        <v>500000</v>
      </c>
      <c r="BC348" s="32" t="inlineStr">
        <is>
          <t>MID-MARKET</t>
        </is>
      </c>
      <c r="BD348" s="32" t="inlineStr">
        <is>
          <t>20203358</t>
        </is>
      </c>
      <c r="BE348" s="32" t="n">
        <v>2</v>
      </c>
      <c r="BF348" s="32" t="inlineStr">
        <is>
          <t>class III reconciled (doc partial)</t>
        </is>
      </c>
    </row>
    <row r="349">
      <c r="A349" s="17" t="inlineStr">
        <is>
          <t>CONTATTI COMERCIO E REPRESENTACOES LTDA</t>
        </is>
      </c>
      <c r="B349" s="18" t="n">
        <v>283293.5</v>
      </c>
      <c r="C349" s="19" t="inlineStr">
        <is>
          <t>ASSOCIAÇÃO DE CARIDADE SANTA CASA DO RIO GRANDE</t>
        </is>
      </c>
      <c r="D349" s="20" t="inlineStr">
        <is>
          <t>NEW</t>
        </is>
      </c>
      <c r="E349" s="21" t="inlineStr"/>
      <c r="F349" s="20" t="inlineStr"/>
      <c r="G349" s="21" t="inlineStr"/>
      <c r="H349" s="20" t="inlineStr"/>
      <c r="I349" s="22" t="inlineStr">
        <is>
          <t>Jessica Galski</t>
        </is>
      </c>
      <c r="J349" s="22" t="inlineStr">
        <is>
          <t>Financial Analyst</t>
        </is>
      </c>
      <c r="K349" s="22" t="inlineStr">
        <is>
          <t>(51) 2104-9500</t>
        </is>
      </c>
      <c r="L349" s="22" t="inlineStr"/>
      <c r="M349" s="22" t="inlineStr"/>
      <c r="N349" s="22" t="inlineStr">
        <is>
          <t>jessica.galski@contatti.com.br</t>
        </is>
      </c>
      <c r="O349" s="22" t="inlineStr">
        <is>
          <t>verified</t>
        </is>
      </c>
      <c r="P349" s="22" t="inlineStr">
        <is>
          <t>ALESSANDRO DOMENICO PALLAMOLLA</t>
        </is>
      </c>
      <c r="Q349" s="22" t="inlineStr">
        <is>
          <t>Sócio-Administrador (RFB partner)</t>
        </is>
      </c>
      <c r="R349" s="22" t="inlineStr"/>
      <c r="S349" s="22" t="inlineStr"/>
      <c r="T349" s="22" t="inlineStr">
        <is>
          <t>DM: DM</t>
        </is>
      </c>
      <c r="U349" s="24" t="n">
        <v>283293.5</v>
      </c>
      <c r="V349" s="25" t="inlineStr">
        <is>
          <t>B</t>
        </is>
      </c>
      <c r="W349" s="26" t="inlineStr"/>
      <c r="X349" s="27" t="inlineStr"/>
      <c r="Y349" s="27" t="inlineStr"/>
      <c r="Z349" s="26">
        <f>IF(W349&lt;&gt;"",W349,IFERROR(VLOOKUP(V349,Assumptions!$A$8:$F$12,2,FALSE),0))</f>
        <v/>
      </c>
      <c r="AA349" s="28">
        <f>IF(V349="A",MAX(1,IF(X349&lt;&gt;"",X349,IFERROR(VLOOKUP(V349,Assumptions!$A$8:$F$12,3,FALSE),3))+IF(Y349&lt;&gt;"",Y349,IFERROR(VLOOKUP(V349,Assumptions!$A$8:$F$12,4,FALSE),8))/2-MAX(0,IF(AS349="",0,YEAR(TODAY())-AS349)-IFERROR(VLOOKUP(V349,Assumptions!$A$8:$F$12,5,FALSE),1.5))),IFERROR(VLOOKUP(V349,Assumptions!$A$8:$F$12,5,FALSE),2.5)+IF(X349&lt;&gt;"",X349,IFERROR(VLOOKUP(V349,Assumptions!$A$8:$F$12,3,FALSE),3))+IF(Y349&lt;&gt;"",Y349,IFERROR(VLOOKUP(V349,Assumptions!$A$8:$F$12,4,FALSE),8))/2)</f>
        <v/>
      </c>
      <c r="AB349" s="24">
        <f>U349*Z349/(1+Assumptions!$B$3)^AA349</f>
        <v/>
      </c>
      <c r="AC349" s="27">
        <f>IF(U349=0,"",ROUND(AB349/U349*100,1))</f>
        <v/>
      </c>
      <c r="AD349" s="29">
        <f>AB349*Assumptions!$B$4</f>
        <v/>
      </c>
      <c r="AE349" s="27">
        <f>IF(U349=0,"",ROUND(AD349/U349*100,1))</f>
        <v/>
      </c>
      <c r="AF349" s="29">
        <f>AB349-AD349</f>
        <v/>
      </c>
      <c r="AG349" s="27">
        <f>IF(U349=0,"",ROUND((AB349-AD349)/U349*100,1))</f>
        <v/>
      </c>
      <c r="AH349" s="34" t="inlineStr">
        <is>
          <t>NO TOTALS — list prints none; check page</t>
        </is>
      </c>
      <c r="AI349" s="31" t="inlineStr">
        <is>
          <t>https://scalzilliaj.com.br/sgc/download.php?file=files/processo_documento/processo_documento09120721032023_1_.pdf&amp;nome=15 - Edital do art. 7º, §2º e 53 da Lei 11.101/2005 (segunda lista de credores e recebimento do plano))</t>
        </is>
      </c>
      <c r="AJ349" s="30" t="inlineStr">
        <is>
          <t>p26 r46</t>
        </is>
      </c>
      <c r="AK349" s="30" t="inlineStr">
        <is>
          <t>p26: R$ 283.293,50</t>
        </is>
      </c>
      <c r="AL349" s="30" t="inlineStr">
        <is>
          <t>AJ list (art. 7 §2)</t>
        </is>
      </c>
      <c r="AM349" s="30" t="inlineStr">
        <is>
          <t>2023-03-21</t>
        </is>
      </c>
      <c r="AN349" s="30" t="inlineStr">
        <is>
          <t>NONE FOUND</t>
        </is>
      </c>
      <c r="AO349" s="32" t="inlineStr">
        <is>
          <t>5012306-16.2022.8.21.0023</t>
        </is>
      </c>
      <c r="AP349" s="32" t="inlineStr">
        <is>
          <t>TJRS</t>
        </is>
      </c>
      <c r="AQ349" s="32" t="inlineStr">
        <is>
          <t>Recuperação judicial</t>
        </is>
      </c>
      <c r="AR349" s="32" t="inlineStr">
        <is>
          <t>DataJud: no closure/falência movement</t>
        </is>
      </c>
      <c r="AS349" s="32" t="n">
        <v>2022</v>
      </c>
      <c r="AT349" s="32" t="inlineStr">
        <is>
          <t>live case, no plan document yet; atypical debtor (associação/clube/hospital/produtor rural): admissibility or claim subjection may be contested</t>
        </is>
      </c>
      <c r="AU349" s="32" t="inlineStr"/>
      <c r="AV349" s="32" t="inlineStr">
        <is>
          <t>printed on the list (read twice)</t>
        </is>
      </c>
      <c r="AW349" s="32" t="inlineStr"/>
      <c r="AX349" s="32" t="inlineStr">
        <is>
          <t>PORTO ALEGRE</t>
        </is>
      </c>
      <c r="AY349" s="32" t="inlineStr">
        <is>
          <t>RS</t>
        </is>
      </c>
      <c r="AZ349" s="32" t="inlineStr">
        <is>
          <t>Comércio atacadista de instrumentos e materiais para uso médico, cirúrgico, hospitalar e de laboratórios</t>
        </is>
      </c>
      <c r="BA349" s="32" t="inlineStr">
        <is>
          <t>não ME/EPP</t>
        </is>
      </c>
      <c r="BB349" s="33" t="n">
        <v>12000000</v>
      </c>
      <c r="BC349" s="32" t="inlineStr">
        <is>
          <t>MID-MARKET</t>
        </is>
      </c>
      <c r="BD349" s="32" t="inlineStr">
        <is>
          <t>90108283</t>
        </is>
      </c>
      <c r="BE349" s="32" t="n">
        <v>1</v>
      </c>
      <c r="BF349" s="32" t="inlineStr">
        <is>
          <t>list prints no totals</t>
        </is>
      </c>
    </row>
    <row r="350">
      <c r="A350" s="17" t="inlineStr">
        <is>
          <t>BRANDT SOLUCOES EM AGRICULTURA LTDA</t>
        </is>
      </c>
      <c r="B350" s="18" t="n">
        <v>282047</v>
      </c>
      <c r="C350" s="19" t="inlineStr">
        <is>
          <t>SOJAL COMERCIAL AGRICOLA LTDA e OUTROS</t>
        </is>
      </c>
      <c r="D350" s="20" t="inlineStr">
        <is>
          <t>NEW</t>
        </is>
      </c>
      <c r="E350" s="21" t="inlineStr"/>
      <c r="F350" s="20" t="inlineStr"/>
      <c r="G350" s="21" t="inlineStr"/>
      <c r="H350" s="20" t="inlineStr"/>
      <c r="I350" s="22" t="inlineStr">
        <is>
          <t>WLADIMIR MASCHIO CARDOZO CHAGA</t>
        </is>
      </c>
      <c r="J350" s="23" t="inlineStr">
        <is>
          <t>Sócio-Administrador (RFB partner)</t>
        </is>
      </c>
      <c r="K350" s="22" t="inlineStr">
        <is>
          <t>(43) 3345-2323</t>
        </is>
      </c>
      <c r="L350" s="22" t="inlineStr"/>
      <c r="M350" s="22" t="inlineStr"/>
      <c r="N350" s="22" t="inlineStr"/>
      <c r="O350" s="22" t="inlineStr"/>
      <c r="P350" s="22" t="inlineStr">
        <is>
          <t>Rafael Foleis</t>
        </is>
      </c>
      <c r="Q350" s="22" t="inlineStr">
        <is>
          <t>Operations | Supply Chain Mananger</t>
        </is>
      </c>
      <c r="R350" s="22" t="inlineStr"/>
      <c r="S350" s="22" t="inlineStr">
        <is>
          <t>rafael.foleis@brandt.co</t>
        </is>
      </c>
      <c r="T350" s="22" t="inlineStr">
        <is>
          <t>DM = registered partner (RFB QSA); Apollo pick demoted to backup (non-finance role); BACKUP: backup; VERIFY org: BRANDT Brasil (brandt.co) vs BRANDT SOLUCOES EM AGRICULTURA; 2 namesake-surname results ignored</t>
        </is>
      </c>
      <c r="U350" s="24" t="n">
        <v>282047</v>
      </c>
      <c r="V350" s="25" t="inlineStr">
        <is>
          <t>B</t>
        </is>
      </c>
      <c r="W350" s="26" t="inlineStr"/>
      <c r="X350" s="27" t="inlineStr"/>
      <c r="Y350" s="27" t="inlineStr"/>
      <c r="Z350" s="26">
        <f>IF(W350&lt;&gt;"",W350,IFERROR(VLOOKUP(V350,Assumptions!$A$8:$F$12,2,FALSE),0))</f>
        <v/>
      </c>
      <c r="AA350" s="28">
        <f>IF(V350="A",MAX(1,IF(X350&lt;&gt;"",X350,IFERROR(VLOOKUP(V350,Assumptions!$A$8:$F$12,3,FALSE),3))+IF(Y350&lt;&gt;"",Y350,IFERROR(VLOOKUP(V350,Assumptions!$A$8:$F$12,4,FALSE),8))/2-MAX(0,IF(AS350="",0,YEAR(TODAY())-AS350)-IFERROR(VLOOKUP(V350,Assumptions!$A$8:$F$12,5,FALSE),1.5))),IFERROR(VLOOKUP(V350,Assumptions!$A$8:$F$12,5,FALSE),2.5)+IF(X350&lt;&gt;"",X350,IFERROR(VLOOKUP(V350,Assumptions!$A$8:$F$12,3,FALSE),3))+IF(Y350&lt;&gt;"",Y350,IFERROR(VLOOKUP(V350,Assumptions!$A$8:$F$12,4,FALSE),8))/2)</f>
        <v/>
      </c>
      <c r="AB350" s="24">
        <f>U350*Z350/(1+Assumptions!$B$3)^AA350</f>
        <v/>
      </c>
      <c r="AC350" s="27">
        <f>IF(U350=0,"",ROUND(AB350/U350*100,1))</f>
        <v/>
      </c>
      <c r="AD350" s="29">
        <f>AB350*Assumptions!$B$4</f>
        <v/>
      </c>
      <c r="AE350" s="27">
        <f>IF(U350=0,"",ROUND(AD350/U350*100,1))</f>
        <v/>
      </c>
      <c r="AF350" s="29">
        <f>AB350-AD350</f>
        <v/>
      </c>
      <c r="AG350" s="27">
        <f>IF(U350=0,"",ROUND((AB350-AD350)/U350*100,1))</f>
        <v/>
      </c>
      <c r="AH350" s="30" t="inlineStr">
        <is>
          <t>OK — totals reconciled</t>
        </is>
      </c>
      <c r="AI350" s="31" t="inlineStr">
        <is>
          <t>https://lrflideres.com.br/wp-content/plugins/download-attachments/includes/download.php?id=6879</t>
        </is>
      </c>
      <c r="AJ350" s="30" t="inlineStr">
        <is>
          <t>p1 r7</t>
        </is>
      </c>
      <c r="AK350" s="30" t="inlineStr">
        <is>
          <t>p1: R$ 282.047,00</t>
        </is>
      </c>
      <c r="AL350" s="30" t="inlineStr">
        <is>
          <t>AJ list (art. 7 §2)</t>
        </is>
      </c>
      <c r="AM350" s="30" t="inlineStr">
        <is>
          <t>2026-01-15</t>
        </is>
      </c>
      <c r="AN350" s="30" t="inlineStr">
        <is>
          <t>NONE FOUND</t>
        </is>
      </c>
      <c r="AO350" s="32" t="inlineStr">
        <is>
          <t>0804401-51.2025.8.14.0039</t>
        </is>
      </c>
      <c r="AP350" s="32" t="inlineStr">
        <is>
          <t>TJPA</t>
        </is>
      </c>
      <c r="AQ350" s="32" t="inlineStr">
        <is>
          <t>Recuperação judicial</t>
        </is>
      </c>
      <c r="AR350" s="32" t="inlineStr">
        <is>
          <t>DataJud: no closure/falência movement</t>
        </is>
      </c>
      <c r="AS350" s="32" t="n">
        <v>2025</v>
      </c>
      <c r="AT350" s="32" t="inlineStr">
        <is>
          <t>live case, no plan document yet</t>
        </is>
      </c>
      <c r="AU350" s="32" t="inlineStr"/>
      <c r="AV350" s="32" t="inlineStr">
        <is>
          <t>printed on the list (read twice)</t>
        </is>
      </c>
      <c r="AW350" s="32" t="inlineStr"/>
      <c r="AX350" s="32" t="inlineStr">
        <is>
          <t>CAMBE</t>
        </is>
      </c>
      <c r="AY350" s="32" t="inlineStr">
        <is>
          <t>PR</t>
        </is>
      </c>
      <c r="AZ350" s="32" t="inlineStr">
        <is>
          <t>Fabricação de adubos e fertilizantes, exceto organo-minerais</t>
        </is>
      </c>
      <c r="BA350" s="32" t="inlineStr">
        <is>
          <t>não ME/EPP</t>
        </is>
      </c>
      <c r="BB350" s="33" t="n">
        <v>106661360</v>
      </c>
      <c r="BC350" s="32" t="inlineStr">
        <is>
          <t>MID-MARKET</t>
        </is>
      </c>
      <c r="BD350" s="32" t="inlineStr">
        <is>
          <t>11516792</t>
        </is>
      </c>
      <c r="BE350" s="32" t="n">
        <v>1</v>
      </c>
      <c r="BF350" s="32" t="inlineStr"/>
    </row>
    <row r="351">
      <c r="A351" s="17" t="inlineStr">
        <is>
          <t>GOIAS RENDERING S/A</t>
        </is>
      </c>
      <c r="B351" s="18" t="n">
        <v>1227904</v>
      </c>
      <c r="C351" s="19" t="inlineStr">
        <is>
          <t>GRUPO 3E</t>
        </is>
      </c>
      <c r="D351" s="20" t="inlineStr">
        <is>
          <t>NEW</t>
        </is>
      </c>
      <c r="E351" s="21" t="inlineStr"/>
      <c r="F351" s="20" t="inlineStr"/>
      <c r="G351" s="21" t="inlineStr"/>
      <c r="H351" s="20" t="inlineStr"/>
      <c r="I351" s="22" t="inlineStr">
        <is>
          <t>JOSADACK ASSIS</t>
        </is>
      </c>
      <c r="J351" s="23" t="inlineStr">
        <is>
          <t>Presidente (RFB partner)</t>
        </is>
      </c>
      <c r="K351" s="22" t="inlineStr">
        <is>
          <t>(62) 3110-8309</t>
        </is>
      </c>
      <c r="L351" s="22" t="inlineStr"/>
      <c r="M351" s="22" t="inlineStr"/>
      <c r="N351" s="22" t="inlineStr"/>
      <c r="O351" s="22" t="inlineStr"/>
      <c r="P351" s="22" t="inlineStr">
        <is>
          <t>FLAVIO DE ABREU BRITO</t>
        </is>
      </c>
      <c r="Q351" s="22" t="inlineStr">
        <is>
          <t>Diretor (RFB partner)</t>
        </is>
      </c>
      <c r="R351" s="22" t="inlineStr"/>
      <c r="S351" s="22" t="inlineStr"/>
      <c r="T351" s="22" t="inlineStr">
        <is>
          <t>DM = registered partner (RFB QSA); no Apollo match</t>
        </is>
      </c>
      <c r="U351" s="24" t="n">
        <v>1227904</v>
      </c>
      <c r="V351" s="25" t="inlineStr">
        <is>
          <t>B</t>
        </is>
      </c>
      <c r="W351" s="26" t="n">
        <v>0.12</v>
      </c>
      <c r="X351" s="27" t="n">
        <v>2</v>
      </c>
      <c r="Y351" s="27" t="n">
        <v>13</v>
      </c>
      <c r="Z351" s="26">
        <f>IF(W351&lt;&gt;"",W351,IFERROR(VLOOKUP(V351,Assumptions!$A$8:$F$12,2,FALSE),0))</f>
        <v/>
      </c>
      <c r="AA351" s="28">
        <f>IF(V351="A",MAX(1,IF(X351&lt;&gt;"",X351,IFERROR(VLOOKUP(V351,Assumptions!$A$8:$F$12,3,FALSE),3))+IF(Y351&lt;&gt;"",Y351,IFERROR(VLOOKUP(V351,Assumptions!$A$8:$F$12,4,FALSE),8))/2-MAX(0,IF(AS351="",0,YEAR(TODAY())-AS351)-IFERROR(VLOOKUP(V351,Assumptions!$A$8:$F$12,5,FALSE),1.5))),IFERROR(VLOOKUP(V351,Assumptions!$A$8:$F$12,5,FALSE),2.5)+IF(X351&lt;&gt;"",X351,IFERROR(VLOOKUP(V351,Assumptions!$A$8:$F$12,3,FALSE),3))+IF(Y351&lt;&gt;"",Y351,IFERROR(VLOOKUP(V351,Assumptions!$A$8:$F$12,4,FALSE),8))/2)</f>
        <v/>
      </c>
      <c r="AB351" s="24">
        <f>U351*Z351/(1+Assumptions!$B$3)^AA351</f>
        <v/>
      </c>
      <c r="AC351" s="27">
        <f>IF(U351=0,"",ROUND(AB351/U351*100,1))</f>
        <v/>
      </c>
      <c r="AD351" s="29">
        <f>AB351*Assumptions!$B$4</f>
        <v/>
      </c>
      <c r="AE351" s="27">
        <f>IF(U351=0,"",ROUND(AD351/U351*100,1))</f>
        <v/>
      </c>
      <c r="AF351" s="29">
        <f>AB351-AD351</f>
        <v/>
      </c>
      <c r="AG351" s="27">
        <f>IF(U351=0,"",ROUND((AB351-AD351)/U351*100,1))</f>
        <v/>
      </c>
      <c r="AH351" s="34" t="inlineStr">
        <is>
          <t>NO TOTALS — list prints none; check page</t>
        </is>
      </c>
      <c r="AI351" s="31" t="inlineStr">
        <is>
          <t>https://stenius.com.br/wp-content/uploads/2026/06/EDITAL-GRUPO-3E.pdf</t>
        </is>
      </c>
      <c r="AJ351" s="30" t="inlineStr">
        <is>
          <t>p14 r13</t>
        </is>
      </c>
      <c r="AK351" s="30" t="inlineStr">
        <is>
          <t>p14: R$ 1.227.904,00</t>
        </is>
      </c>
      <c r="AL351" s="30" t="inlineStr">
        <is>
          <t>Debtor list (art. 51)</t>
        </is>
      </c>
      <c r="AM351" s="30" t="inlineStr">
        <is>
          <t>2026-06-22</t>
        </is>
      </c>
      <c r="AN351" s="30" t="inlineStr">
        <is>
          <t>PLAN FILED (art. 53), not granted</t>
        </is>
      </c>
      <c r="AO351" s="32" t="inlineStr">
        <is>
          <t>5341375-33.2026.8.09.0049</t>
        </is>
      </c>
      <c r="AP351" s="32" t="inlineStr">
        <is>
          <t>TJGO</t>
        </is>
      </c>
      <c r="AQ351" s="32" t="inlineStr">
        <is>
          <t>Recuperação judicial</t>
        </is>
      </c>
      <c r="AR351" s="32" t="inlineStr">
        <is>
          <t>DataJud: no closure/falência movement</t>
        </is>
      </c>
      <c r="AS351" s="32" t="n">
        <v>2026</v>
      </c>
      <c r="AT351" s="32" t="inlineStr">
        <is>
          <t>plan filed (art. 53), not yet granted</t>
        </is>
      </c>
      <c r="AU351" s="32" t="inlineStr"/>
      <c r="AV351" s="32" t="inlineStr">
        <is>
          <t>printed on the list (read twice)</t>
        </is>
      </c>
      <c r="AW351" s="32" t="inlineStr">
        <is>
          <t>Plano de Recuperação Judicial Grupo 3E v2.0 (Métis), mov. 321, pp.24-25</t>
        </is>
      </c>
      <c r="AX351" s="32" t="inlineStr">
        <is>
          <t>TRINDADE</t>
        </is>
      </c>
      <c r="AY351" s="32" t="inlineStr">
        <is>
          <t>GO</t>
        </is>
      </c>
      <c r="AZ351" s="32" t="inlineStr">
        <is>
          <t>Preparação de subprodutos do abate</t>
        </is>
      </c>
      <c r="BA351" s="32" t="inlineStr">
        <is>
          <t>não ME/EPP</t>
        </is>
      </c>
      <c r="BB351" s="33" t="n">
        <v>54000000</v>
      </c>
      <c r="BC351" s="32" t="inlineStr">
        <is>
          <t>MID-MARKET</t>
        </is>
      </c>
      <c r="BD351" s="32" t="inlineStr">
        <is>
          <t>19357388</t>
        </is>
      </c>
      <c r="BE351" s="32" t="n">
        <v>1</v>
      </c>
      <c r="BF351" s="32" t="inlineStr">
        <is>
          <t>list prints no totals</t>
        </is>
      </c>
    </row>
    <row r="352">
      <c r="A352" s="17" t="inlineStr">
        <is>
          <t>RCA CONSTRUTORA LTDA EM RECUPERACAO JUDICIAL</t>
        </is>
      </c>
      <c r="B352" s="18" t="n">
        <v>280030.53</v>
      </c>
      <c r="C352" s="19" t="inlineStr">
        <is>
          <t>GRUPO EGESA (Egesa Engenharia S.A. + 9 group companies; see group members)</t>
        </is>
      </c>
      <c r="D352" s="20" t="inlineStr">
        <is>
          <t>NEW</t>
        </is>
      </c>
      <c r="E352" s="21" t="inlineStr"/>
      <c r="F352" s="20" t="inlineStr"/>
      <c r="G352" s="21" t="inlineStr"/>
      <c r="H352" s="20" t="inlineStr"/>
      <c r="I352" s="22" t="inlineStr">
        <is>
          <t>ALTAMIR DE ARAUJO ROSO FILHO</t>
        </is>
      </c>
      <c r="J352" s="23" t="inlineStr">
        <is>
          <t>Sócio-Administrador (RFB partner)</t>
        </is>
      </c>
      <c r="K352" s="22" t="inlineStr">
        <is>
          <t>(34) 3334-6600</t>
        </is>
      </c>
      <c r="L352" s="22" t="inlineStr"/>
      <c r="M352" s="22" t="inlineStr"/>
      <c r="N352" s="22" t="inlineStr"/>
      <c r="O352" s="22" t="inlineStr"/>
      <c r="P352" s="22" t="inlineStr">
        <is>
          <t>ELCION EMERENCIANO DE CASTRO</t>
        </is>
      </c>
      <c r="Q352" s="22" t="inlineStr">
        <is>
          <t>Sócio-Administrador (RFB partner)</t>
        </is>
      </c>
      <c r="R352" s="22" t="inlineStr"/>
      <c r="S352" s="22" t="inlineStr"/>
      <c r="T352" s="22" t="inlineStr">
        <is>
          <t>DM = registered partner (RFB QSA); no Apollo match</t>
        </is>
      </c>
      <c r="U352" s="24" t="n">
        <v>280030.53</v>
      </c>
      <c r="V352" s="25" t="inlineStr">
        <is>
          <t>B</t>
        </is>
      </c>
      <c r="W352" s="26" t="inlineStr"/>
      <c r="X352" s="27" t="inlineStr"/>
      <c r="Y352" s="27" t="inlineStr"/>
      <c r="Z352" s="26">
        <f>IF(W352&lt;&gt;"",W352,IFERROR(VLOOKUP(V352,Assumptions!$A$8:$F$12,2,FALSE),0))</f>
        <v/>
      </c>
      <c r="AA352" s="28">
        <f>IF(V352="A",MAX(1,IF(X352&lt;&gt;"",X352,IFERROR(VLOOKUP(V352,Assumptions!$A$8:$F$12,3,FALSE),3))+IF(Y352&lt;&gt;"",Y352,IFERROR(VLOOKUP(V352,Assumptions!$A$8:$F$12,4,FALSE),8))/2-MAX(0,IF(AS352="",0,YEAR(TODAY())-AS352)-IFERROR(VLOOKUP(V352,Assumptions!$A$8:$F$12,5,FALSE),1.5))),IFERROR(VLOOKUP(V352,Assumptions!$A$8:$F$12,5,FALSE),2.5)+IF(X352&lt;&gt;"",X352,IFERROR(VLOOKUP(V352,Assumptions!$A$8:$F$12,3,FALSE),3))+IF(Y352&lt;&gt;"",Y352,IFERROR(VLOOKUP(V352,Assumptions!$A$8:$F$12,4,FALSE),8))/2)</f>
        <v/>
      </c>
      <c r="AB352" s="24">
        <f>U352*Z352/(1+Assumptions!$B$3)^AA352</f>
        <v/>
      </c>
      <c r="AC352" s="27">
        <f>IF(U352=0,"",ROUND(AB352/U352*100,1))</f>
        <v/>
      </c>
      <c r="AD352" s="29">
        <f>AB352*Assumptions!$B$4</f>
        <v/>
      </c>
      <c r="AE352" s="27">
        <f>IF(U352=0,"",ROUND(AD352/U352*100,1))</f>
        <v/>
      </c>
      <c r="AF352" s="29">
        <f>AB352-AD352</f>
        <v/>
      </c>
      <c r="AG352" s="27">
        <f>IF(U352=0,"",ROUND((AB352-AD352)/U352*100,1))</f>
        <v/>
      </c>
      <c r="AH352" s="30" t="inlineStr">
        <is>
          <t>OK — totals reconciled</t>
        </is>
      </c>
      <c r="AI352" s="31" t="inlineStr">
        <is>
          <t>https://scalzilliaj.com.br/sgc/download.php?file=files/processo_documento/processo_documento09514021082025_1_.pdf&amp;nome=04 - Relação de credores das Recuperandas</t>
        </is>
      </c>
      <c r="AJ352" s="30" t="inlineStr">
        <is>
          <t>p72 r3</t>
        </is>
      </c>
      <c r="AK352" s="30" t="inlineStr">
        <is>
          <t>p72: R$ 280.030,53</t>
        </is>
      </c>
      <c r="AL352" s="30" t="inlineStr">
        <is>
          <t>Debtor list (art. 51)</t>
        </is>
      </c>
      <c r="AM352" s="30" t="inlineStr"/>
      <c r="AN352" s="30" t="inlineStr">
        <is>
          <t>NONE FOUND</t>
        </is>
      </c>
      <c r="AO352" s="32" t="inlineStr">
        <is>
          <t>5088952-81.2025.8.13.0024</t>
        </is>
      </c>
      <c r="AP352" s="32" t="inlineStr">
        <is>
          <t>TJMG</t>
        </is>
      </c>
      <c r="AQ352" s="32" t="inlineStr"/>
      <c r="AR352" s="32" t="inlineStr">
        <is>
          <t>DataJud: no closure/falência movement</t>
        </is>
      </c>
      <c r="AS352" s="32" t="n">
        <v>2025</v>
      </c>
      <c r="AT352" s="32" t="inlineStr">
        <is>
          <t>live case, no plan document yet; case no. from the portal record, not printed on the list</t>
        </is>
      </c>
      <c r="AU352" s="32" t="inlineStr"/>
      <c r="AV352" s="32" t="inlineStr">
        <is>
          <t>portal page title / URL — not printed on the list</t>
        </is>
      </c>
      <c r="AW352" s="32" t="inlineStr"/>
      <c r="AX352" s="32" t="inlineStr">
        <is>
          <t>UBERABA</t>
        </is>
      </c>
      <c r="AY352" s="32" t="inlineStr">
        <is>
          <t>MG</t>
        </is>
      </c>
      <c r="AZ352" s="32" t="inlineStr">
        <is>
          <t>Construção de edifícios</t>
        </is>
      </c>
      <c r="BA352" s="32" t="inlineStr">
        <is>
          <t>não ME/EPP</t>
        </is>
      </c>
      <c r="BB352" s="33" t="n">
        <v>2500000</v>
      </c>
      <c r="BC352" s="32" t="inlineStr">
        <is>
          <t>MID-MARKET</t>
        </is>
      </c>
      <c r="BD352" s="32" t="inlineStr">
        <is>
          <t>86559960</t>
        </is>
      </c>
      <c r="BE352" s="32" t="n">
        <v>1</v>
      </c>
      <c r="BF352" s="32" t="inlineStr">
        <is>
          <t>case no. corrected by reader case no. from portal record</t>
        </is>
      </c>
    </row>
    <row r="353">
      <c r="A353" s="17" t="inlineStr">
        <is>
          <t>DANTAS CONFECCOES E COMERCIO LTDA - EM RECUPERACAO JUDICIAL</t>
        </is>
      </c>
      <c r="B353" s="18" t="n">
        <v>280000</v>
      </c>
      <c r="C353" s="19" t="inlineStr">
        <is>
          <t>GRUPO CATTAN</t>
        </is>
      </c>
      <c r="D353" s="20" t="inlineStr">
        <is>
          <t>NEW</t>
        </is>
      </c>
      <c r="E353" s="21" t="inlineStr"/>
      <c r="F353" s="20" t="inlineStr"/>
      <c r="G353" s="21" t="inlineStr"/>
      <c r="H353" s="20" t="inlineStr"/>
      <c r="I353" s="22" t="inlineStr">
        <is>
          <t>FLAVIO DANTAS CATAO</t>
        </is>
      </c>
      <c r="J353" s="23" t="inlineStr">
        <is>
          <t>Sócio-Administrador (RFB partner)</t>
        </is>
      </c>
      <c r="K353" s="22" t="inlineStr">
        <is>
          <t>(81) 3419-8550</t>
        </is>
      </c>
      <c r="L353" s="22" t="inlineStr">
        <is>
          <t>(81) 3032-8400</t>
        </is>
      </c>
      <c r="M353" s="22" t="inlineStr"/>
      <c r="N353" s="22" t="inlineStr"/>
      <c r="O353" s="22" t="inlineStr"/>
      <c r="P353" s="22" t="inlineStr"/>
      <c r="Q353" s="22" t="inlineStr"/>
      <c r="R353" s="22" t="inlineStr"/>
      <c r="S353" s="22" t="inlineStr"/>
      <c r="T353" s="22" t="inlineStr">
        <is>
          <t>DM = registered partner (RFB QSA); no Apollo match</t>
        </is>
      </c>
      <c r="U353" s="24" t="n">
        <v>280000</v>
      </c>
      <c r="V353" s="25" t="inlineStr">
        <is>
          <t>B</t>
        </is>
      </c>
      <c r="W353" s="26" t="inlineStr"/>
      <c r="X353" s="27" t="inlineStr"/>
      <c r="Y353" s="27" t="inlineStr"/>
      <c r="Z353" s="26">
        <f>IF(W353&lt;&gt;"",W353,IFERROR(VLOOKUP(V353,Assumptions!$A$8:$F$12,2,FALSE),0))</f>
        <v/>
      </c>
      <c r="AA353" s="28">
        <f>IF(V353="A",MAX(1,IF(X353&lt;&gt;"",X353,IFERROR(VLOOKUP(V353,Assumptions!$A$8:$F$12,3,FALSE),3))+IF(Y353&lt;&gt;"",Y353,IFERROR(VLOOKUP(V353,Assumptions!$A$8:$F$12,4,FALSE),8))/2-MAX(0,IF(AS353="",0,YEAR(TODAY())-AS353)-IFERROR(VLOOKUP(V353,Assumptions!$A$8:$F$12,5,FALSE),1.5))),IFERROR(VLOOKUP(V353,Assumptions!$A$8:$F$12,5,FALSE),2.5)+IF(X353&lt;&gt;"",X353,IFERROR(VLOOKUP(V353,Assumptions!$A$8:$F$12,3,FALSE),3))+IF(Y353&lt;&gt;"",Y353,IFERROR(VLOOKUP(V353,Assumptions!$A$8:$F$12,4,FALSE),8))/2)</f>
        <v/>
      </c>
      <c r="AB353" s="24">
        <f>U353*Z353/(1+Assumptions!$B$3)^AA353</f>
        <v/>
      </c>
      <c r="AC353" s="27">
        <f>IF(U353=0,"",ROUND(AB353/U353*100,1))</f>
        <v/>
      </c>
      <c r="AD353" s="29">
        <f>AB353*Assumptions!$B$4</f>
        <v/>
      </c>
      <c r="AE353" s="27">
        <f>IF(U353=0,"",ROUND(AD353/U353*100,1))</f>
        <v/>
      </c>
      <c r="AF353" s="29">
        <f>AB353-AD353</f>
        <v/>
      </c>
      <c r="AG353" s="27">
        <f>IF(U353=0,"",ROUND((AB353-AD353)/U353*100,1))</f>
        <v/>
      </c>
      <c r="AH353" s="35" t="inlineStr">
        <is>
          <t>PARTIAL — class III reconciled, other classes not</t>
        </is>
      </c>
      <c r="AI353" s="31" t="inlineStr">
        <is>
          <t>https://lrflideres.com.br/wp-content/plugins/download-attachments/includes/download.php?id=4023</t>
        </is>
      </c>
      <c r="AJ353" s="30" t="inlineStr">
        <is>
          <t>p4 r67; p9 r67</t>
        </is>
      </c>
      <c r="AK353" s="30" t="inlineStr">
        <is>
          <t>p4: R$ 270.000,00; p9: R$ 10.000,00</t>
        </is>
      </c>
      <c r="AL353" s="30" t="inlineStr">
        <is>
          <t>Debtor list (art. 51)</t>
        </is>
      </c>
      <c r="AM353" s="30" t="inlineStr"/>
      <c r="AN353" s="30" t="inlineStr">
        <is>
          <t>NONE FOUND</t>
        </is>
      </c>
      <c r="AO353" s="32" t="inlineStr">
        <is>
          <t>0002484-82.2022.8.17.2001</t>
        </is>
      </c>
      <c r="AP353" s="32" t="inlineStr">
        <is>
          <t>TJPE</t>
        </is>
      </c>
      <c r="AQ353" s="32" t="inlineStr">
        <is>
          <t>Recuperação judicial</t>
        </is>
      </c>
      <c r="AR353" s="32" t="inlineStr">
        <is>
          <t>DataJud: no closure/falência movement</t>
        </is>
      </c>
      <c r="AS353" s="32" t="n">
        <v>2022</v>
      </c>
      <c r="AT353" s="32" t="inlineStr">
        <is>
          <t>live case, no plan document yet</t>
        </is>
      </c>
      <c r="AU353" s="32" t="inlineStr"/>
      <c r="AV353" s="32" t="inlineStr">
        <is>
          <t>printed on the list (read twice)</t>
        </is>
      </c>
      <c r="AW353" s="32" t="inlineStr"/>
      <c r="AX353" s="32" t="inlineStr">
        <is>
          <t>RECIFE</t>
        </is>
      </c>
      <c r="AY353" s="32" t="inlineStr">
        <is>
          <t>PE</t>
        </is>
      </c>
      <c r="AZ353" s="32" t="inlineStr">
        <is>
          <t>Comércio varejista de artigos do vestuário e acessórios</t>
        </is>
      </c>
      <c r="BA353" s="32" t="inlineStr">
        <is>
          <t>não ME/EPP</t>
        </is>
      </c>
      <c r="BB353" s="33" t="n">
        <v>50000</v>
      </c>
      <c r="BC353" s="32" t="inlineStr">
        <is>
          <t>MID-MARKET</t>
        </is>
      </c>
      <c r="BD353" s="32" t="inlineStr">
        <is>
          <t>08627082</t>
        </is>
      </c>
      <c r="BE353" s="32" t="n">
        <v>2</v>
      </c>
      <c r="BF353" s="32" t="inlineStr">
        <is>
          <t>class III reconciled (doc partial)</t>
        </is>
      </c>
    </row>
    <row r="354">
      <c r="A354" s="17" t="inlineStr">
        <is>
          <t>JOHNSON &amp; JOHNSON DO BRASIL INDUSTRIA E COMERCIO DE PRODUTOS PARA SAUDE LTDA.</t>
        </is>
      </c>
      <c r="B354" s="18" t="n">
        <v>278216.77</v>
      </c>
      <c r="C354" s="19" t="inlineStr">
        <is>
          <t>ASSOCIAÇÃO DE CARIDADE SANTA CASA DO RIO GRANDE</t>
        </is>
      </c>
      <c r="D354" s="20" t="inlineStr">
        <is>
          <t>NEW</t>
        </is>
      </c>
      <c r="E354" s="21" t="inlineStr"/>
      <c r="F354" s="20" t="inlineStr"/>
      <c r="G354" s="21" t="inlineStr"/>
      <c r="H354" s="20" t="inlineStr"/>
      <c r="I354" s="22" t="inlineStr">
        <is>
          <t>Saulo Koga</t>
        </is>
      </c>
      <c r="J354" s="22" t="inlineStr">
        <is>
          <t>CFO - J&amp;J MedTech Brazil</t>
        </is>
      </c>
      <c r="K354" s="22" t="inlineStr">
        <is>
          <t>(11) 2788-1332</t>
        </is>
      </c>
      <c r="L354" s="22" t="inlineStr"/>
      <c r="M354" s="22" t="inlineStr"/>
      <c r="N354" s="22" t="inlineStr">
        <is>
          <t>skoga@its.jnj.com</t>
        </is>
      </c>
      <c r="O354" s="22" t="inlineStr">
        <is>
          <t>verified</t>
        </is>
      </c>
      <c r="P354" s="22" t="inlineStr">
        <is>
          <t>Paolla Lima</t>
        </is>
      </c>
      <c r="Q354" s="22" t="inlineStr">
        <is>
          <t>Coordenador Credito e Cobrança</t>
        </is>
      </c>
      <c r="R354" s="22" t="inlineStr"/>
      <c r="S354" s="22" t="inlineStr">
        <is>
          <t>plima77@its.jnj.com</t>
        </is>
      </c>
      <c r="T354" s="22" t="inlineStr">
        <is>
          <t>DM: DM; LARGE CORP. Slice kw 'Johnson &amp; Johnson Medical Brasil' returned medical-affairs people; used 'Johnson &amp; Johnson MedTech' + titles. VERIFY org: Johnson &amp; Johnson / Johnson &amp; Johnson MedTech; BACKUP: backup (org Johnson &amp; Johnson, may be consumer/pharma side)</t>
        </is>
      </c>
      <c r="U354" s="24" t="n">
        <v>278216.77</v>
      </c>
      <c r="V354" s="25" t="inlineStr">
        <is>
          <t>B</t>
        </is>
      </c>
      <c r="W354" s="26" t="inlineStr"/>
      <c r="X354" s="27" t="inlineStr"/>
      <c r="Y354" s="27" t="inlineStr"/>
      <c r="Z354" s="26">
        <f>IF(W354&lt;&gt;"",W354,IFERROR(VLOOKUP(V354,Assumptions!$A$8:$F$12,2,FALSE),0))</f>
        <v/>
      </c>
      <c r="AA354" s="28">
        <f>IF(V354="A",MAX(1,IF(X354&lt;&gt;"",X354,IFERROR(VLOOKUP(V354,Assumptions!$A$8:$F$12,3,FALSE),3))+IF(Y354&lt;&gt;"",Y354,IFERROR(VLOOKUP(V354,Assumptions!$A$8:$F$12,4,FALSE),8))/2-MAX(0,IF(AS354="",0,YEAR(TODAY())-AS354)-IFERROR(VLOOKUP(V354,Assumptions!$A$8:$F$12,5,FALSE),1.5))),IFERROR(VLOOKUP(V354,Assumptions!$A$8:$F$12,5,FALSE),2.5)+IF(X354&lt;&gt;"",X354,IFERROR(VLOOKUP(V354,Assumptions!$A$8:$F$12,3,FALSE),3))+IF(Y354&lt;&gt;"",Y354,IFERROR(VLOOKUP(V354,Assumptions!$A$8:$F$12,4,FALSE),8))/2)</f>
        <v/>
      </c>
      <c r="AB354" s="24">
        <f>U354*Z354/(1+Assumptions!$B$3)^AA354</f>
        <v/>
      </c>
      <c r="AC354" s="27">
        <f>IF(U354=0,"",ROUND(AB354/U354*100,1))</f>
        <v/>
      </c>
      <c r="AD354" s="29">
        <f>AB354*Assumptions!$B$4</f>
        <v/>
      </c>
      <c r="AE354" s="27">
        <f>IF(U354=0,"",ROUND(AD354/U354*100,1))</f>
        <v/>
      </c>
      <c r="AF354" s="29">
        <f>AB354-AD354</f>
        <v/>
      </c>
      <c r="AG354" s="27">
        <f>IF(U354=0,"",ROUND((AB354-AD354)/U354*100,1))</f>
        <v/>
      </c>
      <c r="AH354" s="34" t="inlineStr">
        <is>
          <t>NO TOTALS — list prints none; check page</t>
        </is>
      </c>
      <c r="AI354" s="31" t="inlineStr">
        <is>
          <t>https://scalzilliaj.com.br/sgc/download.php?file=files/processo_documento/processo_documento09120721032023_1_.pdf&amp;nome=15 - Edital do art. 7º, §2º e 53 da Lei 11.101/2005 (segunda lista de credores e recebimento do plano))</t>
        </is>
      </c>
      <c r="AJ354" s="30" t="inlineStr">
        <is>
          <t>p28 r19; p28 r20</t>
        </is>
      </c>
      <c r="AK354" s="30" t="inlineStr">
        <is>
          <t>p28: R$ 11.892,00; p28: R$ 266.324,77</t>
        </is>
      </c>
      <c r="AL354" s="30" t="inlineStr">
        <is>
          <t>AJ list (art. 7 §2)</t>
        </is>
      </c>
      <c r="AM354" s="30" t="inlineStr">
        <is>
          <t>2023-03-21</t>
        </is>
      </c>
      <c r="AN354" s="30" t="inlineStr">
        <is>
          <t>NONE FOUND</t>
        </is>
      </c>
      <c r="AO354" s="32" t="inlineStr">
        <is>
          <t>5012306-16.2022.8.21.0023</t>
        </is>
      </c>
      <c r="AP354" s="32" t="inlineStr">
        <is>
          <t>TJRS</t>
        </is>
      </c>
      <c r="AQ354" s="32" t="inlineStr">
        <is>
          <t>Recuperação judicial</t>
        </is>
      </c>
      <c r="AR354" s="32" t="inlineStr">
        <is>
          <t>DataJud: no closure/falência movement</t>
        </is>
      </c>
      <c r="AS354" s="32" t="n">
        <v>2022</v>
      </c>
      <c r="AT354" s="32" t="inlineStr">
        <is>
          <t>live case, no plan document yet; atypical debtor (associação/clube/hospital/produtor rural): admissibility or claim subjection may be contested</t>
        </is>
      </c>
      <c r="AU354" s="32" t="inlineStr"/>
      <c r="AV354" s="32" t="inlineStr">
        <is>
          <t>printed on the list (read twice)</t>
        </is>
      </c>
      <c r="AW354" s="32" t="inlineStr"/>
      <c r="AX354" s="32" t="inlineStr">
        <is>
          <t>SAO PAULO</t>
        </is>
      </c>
      <c r="AY354" s="32" t="inlineStr">
        <is>
          <t>SP</t>
        </is>
      </c>
      <c r="AZ354" s="32" t="inlineStr">
        <is>
          <t>Fabricação de instrumentos não-eletrônicos e utensílios para uso médico, cirúrgico, odontológico e de laboratório</t>
        </is>
      </c>
      <c r="BA354" s="32" t="inlineStr">
        <is>
          <t>não ME/EPP</t>
        </is>
      </c>
      <c r="BB354" s="33" t="n">
        <v>3111107800</v>
      </c>
      <c r="BC354" s="32" t="inlineStr">
        <is>
          <t>LARGE CORP</t>
        </is>
      </c>
      <c r="BD354" s="32" t="inlineStr">
        <is>
          <t>54516661</t>
        </is>
      </c>
      <c r="BE354" s="32" t="n">
        <v>2</v>
      </c>
      <c r="BF354" s="32" t="inlineStr">
        <is>
          <t>list prints no totals</t>
        </is>
      </c>
    </row>
    <row r="355">
      <c r="A355" s="17" t="inlineStr">
        <is>
          <t>GFE EQUIPAMENTOS ELETRICOS LTDA</t>
        </is>
      </c>
      <c r="B355" s="18" t="n">
        <v>1054854.54</v>
      </c>
      <c r="C355" s="19" t="inlineStr">
        <is>
          <t>BLUTRAFOS BLUMENAU TRANSFORMADORES LTDA</t>
        </is>
      </c>
      <c r="D355" s="20" t="inlineStr">
        <is>
          <t>NEW</t>
        </is>
      </c>
      <c r="E355" s="21" t="inlineStr"/>
      <c r="F355" s="20" t="inlineStr"/>
      <c r="G355" s="21" t="inlineStr"/>
      <c r="H355" s="20" t="inlineStr"/>
      <c r="I355" s="22" t="inlineStr">
        <is>
          <t>OSCAR LIBERATO MARTINS FILHO</t>
        </is>
      </c>
      <c r="J355" s="23" t="inlineStr">
        <is>
          <t>Sócio-Administrador (RFB partner)</t>
        </is>
      </c>
      <c r="K355" s="22" t="inlineStr">
        <is>
          <t>(47) 3039-9330</t>
        </is>
      </c>
      <c r="L355" s="22" t="inlineStr"/>
      <c r="M355" s="22" t="inlineStr"/>
      <c r="N355" s="22" t="inlineStr"/>
      <c r="O355" s="22" t="inlineStr"/>
      <c r="P355" s="22" t="inlineStr"/>
      <c r="Q355" s="22" t="inlineStr"/>
      <c r="R355" s="22" t="inlineStr"/>
      <c r="S355" s="22" t="inlineStr"/>
      <c r="T355" s="22" t="inlineStr">
        <is>
          <t>DM = registered partner (RFB QSA); no Apollo match</t>
        </is>
      </c>
      <c r="U355" s="24" t="n">
        <v>1054854.54</v>
      </c>
      <c r="V355" s="39" t="inlineStr">
        <is>
          <t>C</t>
        </is>
      </c>
      <c r="W355" s="26" t="inlineStr"/>
      <c r="X355" s="27" t="inlineStr"/>
      <c r="Y355" s="27" t="inlineStr"/>
      <c r="Z355" s="26">
        <f>IF(W355&lt;&gt;"",W355,IFERROR(VLOOKUP(V355,Assumptions!$A$8:$F$12,2,FALSE),0))</f>
        <v/>
      </c>
      <c r="AA355" s="28">
        <f>IF(V355="A",MAX(1,IF(X355&lt;&gt;"",X355,IFERROR(VLOOKUP(V355,Assumptions!$A$8:$F$12,3,FALSE),3))+IF(Y355&lt;&gt;"",Y355,IFERROR(VLOOKUP(V355,Assumptions!$A$8:$F$12,4,FALSE),8))/2-MAX(0,IF(AS355="",0,YEAR(TODAY())-AS355)-IFERROR(VLOOKUP(V355,Assumptions!$A$8:$F$12,5,FALSE),1.5))),IFERROR(VLOOKUP(V355,Assumptions!$A$8:$F$12,5,FALSE),2.5)+IF(X355&lt;&gt;"",X355,IFERROR(VLOOKUP(V355,Assumptions!$A$8:$F$12,3,FALSE),3))+IF(Y355&lt;&gt;"",Y355,IFERROR(VLOOKUP(V355,Assumptions!$A$8:$F$12,4,FALSE),8))/2)</f>
        <v/>
      </c>
      <c r="AB355" s="24">
        <f>U355*Z355/(1+Assumptions!$B$3)^AA355</f>
        <v/>
      </c>
      <c r="AC355" s="27">
        <f>IF(U355=0,"",ROUND(AB355/U355*100,1))</f>
        <v/>
      </c>
      <c r="AD355" s="29">
        <f>AB355*Assumptions!$B$4</f>
        <v/>
      </c>
      <c r="AE355" s="27">
        <f>IF(U355=0,"",ROUND(AD355/U355*100,1))</f>
        <v/>
      </c>
      <c r="AF355" s="29">
        <f>AB355-AD355</f>
        <v/>
      </c>
      <c r="AG355" s="27">
        <f>IF(U355=0,"",ROUND((AB355-AD355)/U355*100,1))</f>
        <v/>
      </c>
      <c r="AH355" s="30" t="inlineStr">
        <is>
          <t>OK — totals reconciled</t>
        </is>
      </c>
      <c r="AI355" s="31" t="inlineStr">
        <is>
          <t>https://administradorajudicialgs.com.br/wp-content/uploads/2023/08/advogados-sgrott-doc-22-relacao-de-credores-do-administrador-judicial-classe-iii-05-02-14.pdf</t>
        </is>
      </c>
      <c r="AJ355" s="30" t="inlineStr">
        <is>
          <t>p3 r8</t>
        </is>
      </c>
      <c r="AK355" s="30" t="inlineStr">
        <is>
          <t>p3: R$ 1.054.854,54</t>
        </is>
      </c>
      <c r="AL355" s="30" t="inlineStr">
        <is>
          <t>Unclassified list</t>
        </is>
      </c>
      <c r="AM355" s="30" t="inlineStr"/>
      <c r="AN355" s="30" t="inlineStr">
        <is>
          <t>NONE FOUND</t>
        </is>
      </c>
      <c r="AO355" s="32" t="inlineStr">
        <is>
          <t>0022845-08.2013.8.24.0008</t>
        </is>
      </c>
      <c r="AP355" s="32" t="inlineStr">
        <is>
          <t>TJSC</t>
        </is>
      </c>
      <c r="AQ355" s="32" t="inlineStr"/>
      <c r="AR355" s="32" t="inlineStr">
        <is>
          <t>not in DataJud</t>
        </is>
      </c>
      <c r="AS355" s="32" t="n">
        <v>2013</v>
      </c>
      <c r="AT355" s="32" t="inlineStr">
        <is>
          <t>13y since filing; plan not in our documents; case no. from the portal record, not printed on the list</t>
        </is>
      </c>
      <c r="AU355" s="32" t="inlineStr"/>
      <c r="AV355" s="32" t="inlineStr">
        <is>
          <t>portal page title / URL — not printed on the list</t>
        </is>
      </c>
      <c r="AW355" s="32" t="inlineStr"/>
      <c r="AX355" s="32" t="inlineStr">
        <is>
          <t>INDAIAL</t>
        </is>
      </c>
      <c r="AY355" s="32" t="inlineStr">
        <is>
          <t>SC</t>
        </is>
      </c>
      <c r="AZ355" s="32" t="inlineStr">
        <is>
          <t>Fabricação de transformadores, indutores, conversores, sincronizadores e semelhantes, peças e acessórios</t>
        </is>
      </c>
      <c r="BA355" s="32" t="inlineStr">
        <is>
          <t>EMPRESA DE PEQUENO PORTE</t>
        </is>
      </c>
      <c r="BB355" s="33" t="n">
        <v>300000</v>
      </c>
      <c r="BC355" s="32" t="inlineStr">
        <is>
          <t>SMALL</t>
        </is>
      </c>
      <c r="BD355" s="32" t="inlineStr">
        <is>
          <t>04756153</t>
        </is>
      </c>
      <c r="BE355" s="32" t="n">
        <v>1</v>
      </c>
      <c r="BF355" s="32" t="inlineStr"/>
    </row>
    <row r="356">
      <c r="A356" s="17" t="inlineStr">
        <is>
          <t>RAFAEL VERCELLI PARTICIPACOES LTDA</t>
        </is>
      </c>
      <c r="B356" s="18" t="n">
        <v>269991.1</v>
      </c>
      <c r="C356" s="19" t="inlineStr">
        <is>
          <t>CENTURY CONSTRUÇÕES COMÉRCIO E SERVIÇOS LTDA.</t>
        </is>
      </c>
      <c r="D356" s="20" t="inlineStr">
        <is>
          <t>NEW</t>
        </is>
      </c>
      <c r="E356" s="21" t="inlineStr"/>
      <c r="F356" s="20" t="inlineStr"/>
      <c r="G356" s="21" t="inlineStr"/>
      <c r="H356" s="20" t="inlineStr"/>
      <c r="I356" s="22" t="inlineStr">
        <is>
          <t>RAFAEL VERCELLI</t>
        </is>
      </c>
      <c r="J356" s="23" t="inlineStr">
        <is>
          <t>Sócio-Administrador (RFB partner)</t>
        </is>
      </c>
      <c r="K356" s="22" t="inlineStr">
        <is>
          <t>(11) 2365-1427</t>
        </is>
      </c>
      <c r="L356" s="22" t="inlineStr"/>
      <c r="M356" s="22" t="inlineStr"/>
      <c r="N356" s="22" t="inlineStr"/>
      <c r="O356" s="22" t="inlineStr"/>
      <c r="P356" s="22" t="inlineStr"/>
      <c r="Q356" s="22" t="inlineStr"/>
      <c r="R356" s="22" t="inlineStr"/>
      <c r="S356" s="22" t="inlineStr"/>
      <c r="T356" s="22" t="inlineStr">
        <is>
          <t>DM = registered partner (RFB QSA); no Apollo match</t>
        </is>
      </c>
      <c r="U356" s="24" t="n">
        <v>269991.1</v>
      </c>
      <c r="V356" s="25" t="inlineStr">
        <is>
          <t>B</t>
        </is>
      </c>
      <c r="W356" s="26" t="inlineStr"/>
      <c r="X356" s="27" t="inlineStr"/>
      <c r="Y356" s="27" t="inlineStr"/>
      <c r="Z356" s="26">
        <f>IF(W356&lt;&gt;"",W356,IFERROR(VLOOKUP(V356,Assumptions!$A$8:$F$12,2,FALSE),0))</f>
        <v/>
      </c>
      <c r="AA356" s="28">
        <f>IF(V356="A",MAX(1,IF(X356&lt;&gt;"",X356,IFERROR(VLOOKUP(V356,Assumptions!$A$8:$F$12,3,FALSE),3))+IF(Y356&lt;&gt;"",Y356,IFERROR(VLOOKUP(V356,Assumptions!$A$8:$F$12,4,FALSE),8))/2-MAX(0,IF(AS356="",0,YEAR(TODAY())-AS356)-IFERROR(VLOOKUP(V356,Assumptions!$A$8:$F$12,5,FALSE),1.5))),IFERROR(VLOOKUP(V356,Assumptions!$A$8:$F$12,5,FALSE),2.5)+IF(X356&lt;&gt;"",X356,IFERROR(VLOOKUP(V356,Assumptions!$A$8:$F$12,3,FALSE),3))+IF(Y356&lt;&gt;"",Y356,IFERROR(VLOOKUP(V356,Assumptions!$A$8:$F$12,4,FALSE),8))/2)</f>
        <v/>
      </c>
      <c r="AB356" s="24">
        <f>U356*Z356/(1+Assumptions!$B$3)^AA356</f>
        <v/>
      </c>
      <c r="AC356" s="27">
        <f>IF(U356=0,"",ROUND(AB356/U356*100,1))</f>
        <v/>
      </c>
      <c r="AD356" s="29">
        <f>AB356*Assumptions!$B$4</f>
        <v/>
      </c>
      <c r="AE356" s="27">
        <f>IF(U356=0,"",ROUND(AD356/U356*100,1))</f>
        <v/>
      </c>
      <c r="AF356" s="29">
        <f>AB356-AD356</f>
        <v/>
      </c>
      <c r="AG356" s="27">
        <f>IF(U356=0,"",ROUND((AB356-AD356)/U356*100,1))</f>
        <v/>
      </c>
      <c r="AH356" s="34" t="inlineStr">
        <is>
          <t>NO TOTALS — list prints none; check page</t>
        </is>
      </c>
      <c r="AI356" s="31" t="inlineStr">
        <is>
          <t>https://ativosajce.com.br/admin/download.php?file=files/processo_documento/processo_documento16022716122025_1_.pdf&amp;nome=Relação de credores - art. 52, §1º da Lei 11.101/05 - 15/12/2025</t>
        </is>
      </c>
      <c r="AJ356" s="30" t="inlineStr">
        <is>
          <t>p4 r20</t>
        </is>
      </c>
      <c r="AK356" s="30" t="inlineStr">
        <is>
          <t>p4: R$ 269.991,10</t>
        </is>
      </c>
      <c r="AL356" s="30" t="inlineStr">
        <is>
          <t>Unclassified list</t>
        </is>
      </c>
      <c r="AM356" s="30" t="inlineStr"/>
      <c r="AN356" s="30" t="inlineStr">
        <is>
          <t>NONE FOUND</t>
        </is>
      </c>
      <c r="AO356" s="32" t="inlineStr">
        <is>
          <t>4054599-35.2025.8.26.0100</t>
        </is>
      </c>
      <c r="AP356" s="32" t="inlineStr">
        <is>
          <t>TJSP</t>
        </is>
      </c>
      <c r="AQ356" s="32" t="inlineStr">
        <is>
          <t>Recuperação judicial</t>
        </is>
      </c>
      <c r="AR356" s="32" t="inlineStr">
        <is>
          <t>DataJud: no closure/falência movement</t>
        </is>
      </c>
      <c r="AS356" s="32" t="n">
        <v>2025</v>
      </c>
      <c r="AT356" s="32" t="inlineStr">
        <is>
          <t>live case, no plan document yet; case no. from the portal record, not printed on the list</t>
        </is>
      </c>
      <c r="AU356" s="32" t="inlineStr">
        <is>
          <t>03.299.563/0001-10</t>
        </is>
      </c>
      <c r="AV356" s="32" t="inlineStr">
        <is>
          <t>printed on the list (read twice)</t>
        </is>
      </c>
      <c r="AW356" s="32" t="inlineStr"/>
      <c r="AX356" s="32" t="inlineStr">
        <is>
          <t>SAO PAULO</t>
        </is>
      </c>
      <c r="AY356" s="32" t="inlineStr">
        <is>
          <t>SP</t>
        </is>
      </c>
      <c r="AZ356" s="32" t="inlineStr">
        <is>
          <t>Outras sociedades de participação, exceto holdings</t>
        </is>
      </c>
      <c r="BA356" s="32" t="inlineStr">
        <is>
          <t>não ME/EPP</t>
        </is>
      </c>
      <c r="BB356" s="33" t="n">
        <v>501000</v>
      </c>
      <c r="BC356" s="32" t="inlineStr">
        <is>
          <t>MID-MARKET</t>
        </is>
      </c>
      <c r="BD356" s="32" t="inlineStr">
        <is>
          <t>51186412</t>
        </is>
      </c>
      <c r="BE356" s="32" t="n">
        <v>1</v>
      </c>
      <c r="BF356" s="32" t="inlineStr">
        <is>
          <t>list prints no totals</t>
        </is>
      </c>
    </row>
    <row r="357">
      <c r="A357" s="17" t="inlineStr">
        <is>
          <t>OPTIMUM CONSULTORIA EM GESTAO PUBLICA E EMPRESARIAL LTDA</t>
        </is>
      </c>
      <c r="B357" s="18" t="n">
        <v>267635.55</v>
      </c>
      <c r="C357" s="19" t="inlineStr">
        <is>
          <t>TREZE FUTEBOL CLUBE</t>
        </is>
      </c>
      <c r="D357" s="20" t="inlineStr">
        <is>
          <t>NEW</t>
        </is>
      </c>
      <c r="E357" s="21" t="inlineStr"/>
      <c r="F357" s="20" t="inlineStr"/>
      <c r="G357" s="21" t="inlineStr"/>
      <c r="H357" s="20" t="inlineStr"/>
      <c r="I357" s="22" t="inlineStr">
        <is>
          <t>EOLO DE SOUZA SALES</t>
        </is>
      </c>
      <c r="J357" s="23" t="inlineStr">
        <is>
          <t>Sócio-Administrador (RFB partner)</t>
        </is>
      </c>
      <c r="K357" s="22" t="inlineStr">
        <is>
          <t>(83) 9975-0001</t>
        </is>
      </c>
      <c r="L357" s="22" t="inlineStr"/>
      <c r="M357" s="22" t="inlineStr"/>
      <c r="N357" s="22" t="inlineStr"/>
      <c r="O357" s="22" t="inlineStr"/>
      <c r="P357" s="22" t="inlineStr"/>
      <c r="Q357" s="22" t="inlineStr"/>
      <c r="R357" s="22" t="inlineStr"/>
      <c r="S357" s="22" t="inlineStr"/>
      <c r="T357" s="22" t="inlineStr">
        <is>
          <t>DM = registered partner (RFB QSA); no Apollo match</t>
        </is>
      </c>
      <c r="U357" s="24" t="n">
        <v>267635.55</v>
      </c>
      <c r="V357" s="25" t="inlineStr">
        <is>
          <t>B</t>
        </is>
      </c>
      <c r="W357" s="26" t="inlineStr"/>
      <c r="X357" s="27" t="inlineStr"/>
      <c r="Y357" s="27" t="inlineStr"/>
      <c r="Z357" s="26">
        <f>IF(W357&lt;&gt;"",W357,IFERROR(VLOOKUP(V357,Assumptions!$A$8:$F$12,2,FALSE),0))</f>
        <v/>
      </c>
      <c r="AA357" s="28">
        <f>IF(V357="A",MAX(1,IF(X357&lt;&gt;"",X357,IFERROR(VLOOKUP(V357,Assumptions!$A$8:$F$12,3,FALSE),3))+IF(Y357&lt;&gt;"",Y357,IFERROR(VLOOKUP(V357,Assumptions!$A$8:$F$12,4,FALSE),8))/2-MAX(0,IF(AS357="",0,YEAR(TODAY())-AS357)-IFERROR(VLOOKUP(V357,Assumptions!$A$8:$F$12,5,FALSE),1.5))),IFERROR(VLOOKUP(V357,Assumptions!$A$8:$F$12,5,FALSE),2.5)+IF(X357&lt;&gt;"",X357,IFERROR(VLOOKUP(V357,Assumptions!$A$8:$F$12,3,FALSE),3))+IF(Y357&lt;&gt;"",Y357,IFERROR(VLOOKUP(V357,Assumptions!$A$8:$F$12,4,FALSE),8))/2)</f>
        <v/>
      </c>
      <c r="AB357" s="24">
        <f>U357*Z357/(1+Assumptions!$B$3)^AA357</f>
        <v/>
      </c>
      <c r="AC357" s="27">
        <f>IF(U357=0,"",ROUND(AB357/U357*100,1))</f>
        <v/>
      </c>
      <c r="AD357" s="29">
        <f>AB357*Assumptions!$B$4</f>
        <v/>
      </c>
      <c r="AE357" s="27">
        <f>IF(U357=0,"",ROUND(AD357/U357*100,1))</f>
        <v/>
      </c>
      <c r="AF357" s="29">
        <f>AB357-AD357</f>
        <v/>
      </c>
      <c r="AG357" s="27">
        <f>IF(U357=0,"",ROUND((AB357-AD357)/U357*100,1))</f>
        <v/>
      </c>
      <c r="AH357" s="30" t="inlineStr">
        <is>
          <t>OK — totals reconciled</t>
        </is>
      </c>
      <c r="AI357" s="31" t="inlineStr">
        <is>
          <t>https://lrflideres.com.br/wp-content/plugins/download-attachments/includes/download.php?id=5828</t>
        </is>
      </c>
      <c r="AJ357" s="30" t="inlineStr">
        <is>
          <t>p3 r19</t>
        </is>
      </c>
      <c r="AK357" s="30" t="inlineStr">
        <is>
          <t>p3: R$ 267.635,55</t>
        </is>
      </c>
      <c r="AL357" s="30" t="inlineStr">
        <is>
          <t>AJ list (art. 7 §2)</t>
        </is>
      </c>
      <c r="AM357" s="30" t="inlineStr">
        <is>
          <t>2024-04-18</t>
        </is>
      </c>
      <c r="AN357" s="30" t="inlineStr">
        <is>
          <t>NONE FOUND</t>
        </is>
      </c>
      <c r="AO357" s="32" t="inlineStr">
        <is>
          <t>0829315-43.2023.8.15.0001</t>
        </is>
      </c>
      <c r="AP357" s="32" t="inlineStr">
        <is>
          <t>TJPB</t>
        </is>
      </c>
      <c r="AQ357" s="32" t="inlineStr">
        <is>
          <t>Recuperação judicial</t>
        </is>
      </c>
      <c r="AR357" s="32" t="inlineStr">
        <is>
          <t>DataJud: no closure/falência movement</t>
        </is>
      </c>
      <c r="AS357" s="32" t="n">
        <v>2023</v>
      </c>
      <c r="AT357" s="32" t="inlineStr">
        <is>
          <t>live case, no plan document yet; atypical debtor (associação/clube/hospital/produtor rural): admissibility or claim subjection may be contested</t>
        </is>
      </c>
      <c r="AU357" s="32" t="inlineStr"/>
      <c r="AV357" s="32" t="inlineStr">
        <is>
          <t>printed on the list (read twice)</t>
        </is>
      </c>
      <c r="AW357" s="32" t="inlineStr"/>
      <c r="AX357" s="32" t="inlineStr">
        <is>
          <t>CAMPINA GRANDE</t>
        </is>
      </c>
      <c r="AY357" s="32" t="inlineStr">
        <is>
          <t>PB</t>
        </is>
      </c>
      <c r="AZ357" s="32" t="inlineStr">
        <is>
          <t>Atividades de consultoria em gestão empresarial, exceto consultoria técnica específica</t>
        </is>
      </c>
      <c r="BA357" s="32" t="inlineStr">
        <is>
          <t>MICRO EMPRESA</t>
        </is>
      </c>
      <c r="BB357" s="33" t="n">
        <v>12000</v>
      </c>
      <c r="BC357" s="32" t="inlineStr">
        <is>
          <t>SMALL</t>
        </is>
      </c>
      <c r="BD357" s="32" t="inlineStr">
        <is>
          <t>10925045</t>
        </is>
      </c>
      <c r="BE357" s="32" t="n">
        <v>1</v>
      </c>
      <c r="BF357" s="32" t="inlineStr"/>
    </row>
    <row r="358">
      <c r="A358" s="17" t="inlineStr">
        <is>
          <t>WHIRLPOOL S.A</t>
        </is>
      </c>
      <c r="B358" s="18" t="n">
        <v>1044824.45</v>
      </c>
      <c r="C358" s="19" t="inlineStr">
        <is>
          <t>CREDIMÓVEIS NOVOLAR LTDA.</t>
        </is>
      </c>
      <c r="D358" s="20" t="inlineStr">
        <is>
          <t>NEW</t>
        </is>
      </c>
      <c r="E358" s="21" t="inlineStr"/>
      <c r="F358" s="20" t="inlineStr"/>
      <c r="G358" s="21" t="inlineStr"/>
      <c r="H358" s="20" t="inlineStr"/>
      <c r="I358" s="22" t="inlineStr">
        <is>
          <t>CARLOS ROBERTO BARBERY</t>
        </is>
      </c>
      <c r="J358" s="23" t="inlineStr">
        <is>
          <t>Diretor (RFB partner)</t>
        </is>
      </c>
      <c r="K358" s="22" t="inlineStr">
        <is>
          <t>(11) 3566-1431</t>
        </is>
      </c>
      <c r="L358" s="22" t="inlineStr"/>
      <c r="M358" s="22" t="inlineStr"/>
      <c r="N358" s="22" t="inlineStr"/>
      <c r="O358" s="22" t="inlineStr"/>
      <c r="P358" s="22" t="inlineStr">
        <is>
          <t>FRANCISCO AUGUSTO SEMERARO NETO</t>
        </is>
      </c>
      <c r="Q358" s="22" t="inlineStr">
        <is>
          <t>Diretor (RFB partner)</t>
        </is>
      </c>
      <c r="R358" s="22" t="inlineStr"/>
      <c r="S358" s="22" t="inlineStr"/>
      <c r="T358" s="22" t="inlineStr">
        <is>
          <t>DM = registered partner (RFB QSA); no Apollo match</t>
        </is>
      </c>
      <c r="U358" s="24" t="n">
        <v>1044824.45</v>
      </c>
      <c r="V358" s="39" t="inlineStr">
        <is>
          <t>C</t>
        </is>
      </c>
      <c r="W358" s="26" t="inlineStr"/>
      <c r="X358" s="27" t="inlineStr"/>
      <c r="Y358" s="27" t="inlineStr"/>
      <c r="Z358" s="26">
        <f>IF(W358&lt;&gt;"",W358,IFERROR(VLOOKUP(V358,Assumptions!$A$8:$F$12,2,FALSE),0))</f>
        <v/>
      </c>
      <c r="AA358" s="28">
        <f>IF(V358="A",MAX(1,IF(X358&lt;&gt;"",X358,IFERROR(VLOOKUP(V358,Assumptions!$A$8:$F$12,3,FALSE),3))+IF(Y358&lt;&gt;"",Y358,IFERROR(VLOOKUP(V358,Assumptions!$A$8:$F$12,4,FALSE),8))/2-MAX(0,IF(AS358="",0,YEAR(TODAY())-AS358)-IFERROR(VLOOKUP(V358,Assumptions!$A$8:$F$12,5,FALSE),1.5))),IFERROR(VLOOKUP(V358,Assumptions!$A$8:$F$12,5,FALSE),2.5)+IF(X358&lt;&gt;"",X358,IFERROR(VLOOKUP(V358,Assumptions!$A$8:$F$12,3,FALSE),3))+IF(Y358&lt;&gt;"",Y358,IFERROR(VLOOKUP(V358,Assumptions!$A$8:$F$12,4,FALSE),8))/2)</f>
        <v/>
      </c>
      <c r="AB358" s="24">
        <f>U358*Z358/(1+Assumptions!$B$3)^AA358</f>
        <v/>
      </c>
      <c r="AC358" s="27">
        <f>IF(U358=0,"",ROUND(AB358/U358*100,1))</f>
        <v/>
      </c>
      <c r="AD358" s="29">
        <f>AB358*Assumptions!$B$4</f>
        <v/>
      </c>
      <c r="AE358" s="27">
        <f>IF(U358=0,"",ROUND(AD358/U358*100,1))</f>
        <v/>
      </c>
      <c r="AF358" s="29">
        <f>AB358-AD358</f>
        <v/>
      </c>
      <c r="AG358" s="27">
        <f>IF(U358=0,"",ROUND((AB358-AD358)/U358*100,1))</f>
        <v/>
      </c>
      <c r="AH358" s="30" t="inlineStr">
        <is>
          <t>OK — totals reconciled</t>
        </is>
      </c>
      <c r="AI358" s="31" t="inlineStr">
        <is>
          <t>https://recuperacaojudicial.squarespace.com/s/RJ-Credimoveis-QGC-01082025.pdf</t>
        </is>
      </c>
      <c r="AJ358" s="30" t="inlineStr">
        <is>
          <t>p17 r11</t>
        </is>
      </c>
      <c r="AK358" s="30" t="inlineStr">
        <is>
          <t>p17: R$ 1.044.824,45</t>
        </is>
      </c>
      <c r="AL358" s="30" t="inlineStr">
        <is>
          <t>QGC (art. 18)</t>
        </is>
      </c>
      <c r="AM358" s="30" t="inlineStr">
        <is>
          <t>2026-01-28</t>
        </is>
      </c>
      <c r="AN358" s="30" t="inlineStr">
        <is>
          <t>NONE FOUND</t>
        </is>
      </c>
      <c r="AO358" s="32" t="inlineStr">
        <is>
          <t>0007565-40.2020.8.17.2370</t>
        </is>
      </c>
      <c r="AP358" s="32" t="inlineStr">
        <is>
          <t>TJPE</t>
        </is>
      </c>
      <c r="AQ358" s="32" t="inlineStr">
        <is>
          <t>Recuperação judicial</t>
        </is>
      </c>
      <c r="AR358" s="32" t="inlineStr">
        <is>
          <t>DataJud: no closure/falência movement</t>
        </is>
      </c>
      <c r="AS358" s="32" t="n">
        <v>2020</v>
      </c>
      <c r="AT358" s="32" t="inlineStr">
        <is>
          <t>6y since filing; plan not in our documents</t>
        </is>
      </c>
      <c r="AU358" s="32" t="inlineStr">
        <is>
          <t>09.930.165/0001-37</t>
        </is>
      </c>
      <c r="AV358" s="32" t="inlineStr">
        <is>
          <t>printed on the list (read twice)</t>
        </is>
      </c>
      <c r="AW358" s="32" t="inlineStr"/>
      <c r="AX358" s="32" t="inlineStr">
        <is>
          <t>SAO PAULO</t>
        </is>
      </c>
      <c r="AY358" s="32" t="inlineStr">
        <is>
          <t>SP</t>
        </is>
      </c>
      <c r="AZ358" s="32" t="inlineStr">
        <is>
          <t>Fabricação de fogões, refrigeradores e máquinas de lavar e secar para uso doméstico, peças e acessórios</t>
        </is>
      </c>
      <c r="BA358" s="32" t="inlineStr">
        <is>
          <t>não ME/EPP</t>
        </is>
      </c>
      <c r="BB358" s="33" t="n">
        <v>859102340</v>
      </c>
      <c r="BC358" s="32" t="inlineStr">
        <is>
          <t>LARGE CORP</t>
        </is>
      </c>
      <c r="BD358" s="32" t="inlineStr">
        <is>
          <t>59105999</t>
        </is>
      </c>
      <c r="BE358" s="32" t="n">
        <v>1</v>
      </c>
      <c r="BF358" s="32" t="inlineStr"/>
    </row>
    <row r="359">
      <c r="A359" s="17" t="inlineStr">
        <is>
          <t>ECOPNEUS COMERCIO DE PNEUMATICOS E SERVICOS LTDA</t>
        </is>
      </c>
      <c r="B359" s="18" t="n">
        <v>265611.35</v>
      </c>
      <c r="C359" s="19" t="inlineStr">
        <is>
          <t>GRUPO EGESA (Egesa Engenharia S.A. + 9 group companies; see group members)</t>
        </is>
      </c>
      <c r="D359" s="20" t="inlineStr">
        <is>
          <t>NEW</t>
        </is>
      </c>
      <c r="E359" s="21" t="inlineStr"/>
      <c r="F359" s="20" t="inlineStr"/>
      <c r="G359" s="21" t="inlineStr"/>
      <c r="H359" s="20" t="inlineStr"/>
      <c r="I359" s="22" t="inlineStr">
        <is>
          <t>ANTONIO VANDIMAR SIMOES</t>
        </is>
      </c>
      <c r="J359" s="23" t="inlineStr">
        <is>
          <t>Sócio-Administrador (RFB partner)</t>
        </is>
      </c>
      <c r="K359" s="22" t="inlineStr"/>
      <c r="L359" s="22" t="inlineStr"/>
      <c r="M359" s="22" t="inlineStr"/>
      <c r="N359" s="22" t="inlineStr"/>
      <c r="O359" s="22" t="inlineStr"/>
      <c r="P359" s="22" t="inlineStr">
        <is>
          <t>Celso Alves</t>
        </is>
      </c>
      <c r="Q359" s="22" t="inlineStr">
        <is>
          <t>Administrative</t>
        </is>
      </c>
      <c r="R359" s="22" t="inlineStr"/>
      <c r="S359" s="22" t="inlineStr"/>
      <c r="T359" s="22" t="inlineStr">
        <is>
          <t>DM = registered partner (RFB QSA); Apollo pick demoted to backup (non-finance role); BACKUP: DM extrapolated email c.alves@ecopneus.it (Apollo org = Ecopneus Italy; person in Santarém PA, likely Brazilian Ecopneus, wrong domain); VERIFY org: Apollo matched 'Ecopneus' (Milan, IT) and 'ECOPNEUS' (Paris); no finance staff; only admin people; email dropped: Italian namesake, not Ecopneus PA; NO ROUTE IN: no phone or email on file</t>
        </is>
      </c>
      <c r="U359" s="24" t="n">
        <v>265611.35</v>
      </c>
      <c r="V359" s="25" t="inlineStr">
        <is>
          <t>B</t>
        </is>
      </c>
      <c r="W359" s="26" t="inlineStr"/>
      <c r="X359" s="27" t="inlineStr"/>
      <c r="Y359" s="27" t="inlineStr"/>
      <c r="Z359" s="26">
        <f>IF(W359&lt;&gt;"",W359,IFERROR(VLOOKUP(V359,Assumptions!$A$8:$F$12,2,FALSE),0))</f>
        <v/>
      </c>
      <c r="AA359" s="28">
        <f>IF(V359="A",MAX(1,IF(X359&lt;&gt;"",X359,IFERROR(VLOOKUP(V359,Assumptions!$A$8:$F$12,3,FALSE),3))+IF(Y359&lt;&gt;"",Y359,IFERROR(VLOOKUP(V359,Assumptions!$A$8:$F$12,4,FALSE),8))/2-MAX(0,IF(AS359="",0,YEAR(TODAY())-AS359)-IFERROR(VLOOKUP(V359,Assumptions!$A$8:$F$12,5,FALSE),1.5))),IFERROR(VLOOKUP(V359,Assumptions!$A$8:$F$12,5,FALSE),2.5)+IF(X359&lt;&gt;"",X359,IFERROR(VLOOKUP(V359,Assumptions!$A$8:$F$12,3,FALSE),3))+IF(Y359&lt;&gt;"",Y359,IFERROR(VLOOKUP(V359,Assumptions!$A$8:$F$12,4,FALSE),8))/2)</f>
        <v/>
      </c>
      <c r="AB359" s="24">
        <f>U359*Z359/(1+Assumptions!$B$3)^AA359</f>
        <v/>
      </c>
      <c r="AC359" s="27">
        <f>IF(U359=0,"",ROUND(AB359/U359*100,1))</f>
        <v/>
      </c>
      <c r="AD359" s="29">
        <f>AB359*Assumptions!$B$4</f>
        <v/>
      </c>
      <c r="AE359" s="27">
        <f>IF(U359=0,"",ROUND(AD359/U359*100,1))</f>
        <v/>
      </c>
      <c r="AF359" s="29">
        <f>AB359-AD359</f>
        <v/>
      </c>
      <c r="AG359" s="27">
        <f>IF(U359=0,"",ROUND((AB359-AD359)/U359*100,1))</f>
        <v/>
      </c>
      <c r="AH359" s="30" t="inlineStr">
        <is>
          <t>OK — totals reconciled</t>
        </is>
      </c>
      <c r="AI359" s="31" t="inlineStr">
        <is>
          <t>https://scalzilliaj.com.br/sgc/download.php?file=files/processo_documento/processo_documento09514021082025_1_.pdf&amp;nome=04 - Relação de credores das Recuperandas</t>
        </is>
      </c>
      <c r="AJ359" s="30" t="inlineStr">
        <is>
          <t>p65 r10</t>
        </is>
      </c>
      <c r="AK359" s="30" t="inlineStr">
        <is>
          <t>p65: R$ 265.611,35</t>
        </is>
      </c>
      <c r="AL359" s="30" t="inlineStr">
        <is>
          <t>Debtor list (art. 51)</t>
        </is>
      </c>
      <c r="AM359" s="30" t="inlineStr"/>
      <c r="AN359" s="30" t="inlineStr">
        <is>
          <t>NONE FOUND</t>
        </is>
      </c>
      <c r="AO359" s="32" t="inlineStr">
        <is>
          <t>5088952-81.2025.8.13.0024</t>
        </is>
      </c>
      <c r="AP359" s="32" t="inlineStr">
        <is>
          <t>TJMG</t>
        </is>
      </c>
      <c r="AQ359" s="32" t="inlineStr"/>
      <c r="AR359" s="32" t="inlineStr">
        <is>
          <t>DataJud: no closure/falência movement</t>
        </is>
      </c>
      <c r="AS359" s="32" t="n">
        <v>2025</v>
      </c>
      <c r="AT359" s="32" t="inlineStr">
        <is>
          <t>live case, no plan document yet; case no. from the portal record, not printed on the list</t>
        </is>
      </c>
      <c r="AU359" s="32" t="inlineStr"/>
      <c r="AV359" s="32" t="inlineStr">
        <is>
          <t>portal page title / URL — not printed on the list</t>
        </is>
      </c>
      <c r="AW359" s="32" t="inlineStr"/>
      <c r="AX359" s="32" t="inlineStr">
        <is>
          <t>BARCARENA</t>
        </is>
      </c>
      <c r="AY359" s="32" t="inlineStr">
        <is>
          <t>PA</t>
        </is>
      </c>
      <c r="AZ359" s="32" t="inlineStr">
        <is>
          <t>Comércio por atacado de pneumáticos e câmaras-de-ar</t>
        </is>
      </c>
      <c r="BA359" s="32" t="inlineStr">
        <is>
          <t>não ME/EPP</t>
        </is>
      </c>
      <c r="BB359" s="33" t="n">
        <v>1200000</v>
      </c>
      <c r="BC359" s="32" t="inlineStr">
        <is>
          <t>MID-MARKET</t>
        </is>
      </c>
      <c r="BD359" s="32" t="inlineStr">
        <is>
          <t>07478963</t>
        </is>
      </c>
      <c r="BE359" s="32" t="n">
        <v>1</v>
      </c>
      <c r="BF359" s="32" t="inlineStr">
        <is>
          <t>case no. corrected by reader case no. from portal record no route in</t>
        </is>
      </c>
    </row>
    <row r="360">
      <c r="A360" s="17" t="inlineStr">
        <is>
          <t>SOAGRO - SOCIEDADE AGRO-PECUARIA LTDA</t>
        </is>
      </c>
      <c r="B360" s="18" t="n">
        <v>264931.98</v>
      </c>
      <c r="C360" s="19" t="inlineStr">
        <is>
          <t>GRUPO FERRARI (ALEX, ALEXANDRE , ANDRIELLE FERRARI MANTELLI, ARCIR LUIS, ERICA SANTOS ASSIS LIMA, FERNANDO MANTELLI, IDELSI, TALITA LEITE SILVA, AGROPECUARIA FERRARI LTDA E FERRARI ARMAZENS GERAIS)</t>
        </is>
      </c>
      <c r="D360" s="20" t="inlineStr">
        <is>
          <t>NEW</t>
        </is>
      </c>
      <c r="E360" s="21" t="inlineStr"/>
      <c r="F360" s="20" t="inlineStr"/>
      <c r="G360" s="21" t="inlineStr"/>
      <c r="H360" s="20" t="inlineStr"/>
      <c r="I360" s="22" t="inlineStr">
        <is>
          <t>Gerson Guimaraes</t>
        </is>
      </c>
      <c r="J360" s="22" t="inlineStr">
        <is>
          <t>Administrative Manager</t>
        </is>
      </c>
      <c r="K360" s="22" t="inlineStr">
        <is>
          <t>(64) 2101-4000</t>
        </is>
      </c>
      <c r="L360" s="22" t="inlineStr"/>
      <c r="M360" s="22" t="inlineStr"/>
      <c r="N360" s="22" t="inlineStr">
        <is>
          <t>gerson@soagro.com.br</t>
        </is>
      </c>
      <c r="O360" s="22" t="inlineStr">
        <is>
          <t>verified</t>
        </is>
      </c>
      <c r="P360" s="22" t="inlineStr">
        <is>
          <t>Carlos Oliveira</t>
        </is>
      </c>
      <c r="Q360" s="22" t="inlineStr">
        <is>
          <t>Director</t>
        </is>
      </c>
      <c r="R360" s="22" t="inlineStr"/>
      <c r="S360" s="22" t="inlineStr">
        <is>
          <t>cmaciel@soagro.com.br</t>
        </is>
      </c>
      <c r="T360" s="22" t="inlineStr">
        <is>
          <t>DM: DM verified email; BACKUP: backup verified email</t>
        </is>
      </c>
      <c r="U360" s="24" t="n">
        <v>264931.98</v>
      </c>
      <c r="V360" s="25" t="inlineStr">
        <is>
          <t>B</t>
        </is>
      </c>
      <c r="W360" s="26" t="inlineStr"/>
      <c r="X360" s="27" t="inlineStr"/>
      <c r="Y360" s="27" t="inlineStr"/>
      <c r="Z360" s="26">
        <f>IF(W360&lt;&gt;"",W360,IFERROR(VLOOKUP(V360,Assumptions!$A$8:$F$12,2,FALSE),0))</f>
        <v/>
      </c>
      <c r="AA360" s="28">
        <f>IF(V360="A",MAX(1,IF(X360&lt;&gt;"",X360,IFERROR(VLOOKUP(V360,Assumptions!$A$8:$F$12,3,FALSE),3))+IF(Y360&lt;&gt;"",Y360,IFERROR(VLOOKUP(V360,Assumptions!$A$8:$F$12,4,FALSE),8))/2-MAX(0,IF(AS360="",0,YEAR(TODAY())-AS360)-IFERROR(VLOOKUP(V360,Assumptions!$A$8:$F$12,5,FALSE),1.5))),IFERROR(VLOOKUP(V360,Assumptions!$A$8:$F$12,5,FALSE),2.5)+IF(X360&lt;&gt;"",X360,IFERROR(VLOOKUP(V360,Assumptions!$A$8:$F$12,3,FALSE),3))+IF(Y360&lt;&gt;"",Y360,IFERROR(VLOOKUP(V360,Assumptions!$A$8:$F$12,4,FALSE),8))/2)</f>
        <v/>
      </c>
      <c r="AB360" s="24">
        <f>U360*Z360/(1+Assumptions!$B$3)^AA360</f>
        <v/>
      </c>
      <c r="AC360" s="27">
        <f>IF(U360=0,"",ROUND(AB360/U360*100,1))</f>
        <v/>
      </c>
      <c r="AD360" s="29">
        <f>AB360*Assumptions!$B$4</f>
        <v/>
      </c>
      <c r="AE360" s="27">
        <f>IF(U360=0,"",ROUND(AD360/U360*100,1))</f>
        <v/>
      </c>
      <c r="AF360" s="29">
        <f>AB360-AD360</f>
        <v/>
      </c>
      <c r="AG360" s="27">
        <f>IF(U360=0,"",ROUND((AB360-AD360)/U360*100,1))</f>
        <v/>
      </c>
      <c r="AH360" s="34" t="inlineStr">
        <is>
          <t>NO TOTALS — list prints none; check page</t>
        </is>
      </c>
      <c r="AI360" s="31" t="inlineStr">
        <is>
          <t>https://scalzilliaj.com.br/sgc/download.php?file=files/processo_documento/processo_documento11421222052026_1_.pdf&amp;nome=08. Lista de credores do edital do art. 52, §1º da LREF</t>
        </is>
      </c>
      <c r="AJ360" s="30" t="inlineStr">
        <is>
          <t>p2 r4</t>
        </is>
      </c>
      <c r="AK360" s="30" t="inlineStr">
        <is>
          <t>p2: R$ 264.931,98</t>
        </is>
      </c>
      <c r="AL360" s="30" t="inlineStr">
        <is>
          <t>Unclassified list</t>
        </is>
      </c>
      <c r="AM360" s="30" t="inlineStr"/>
      <c r="AN360" s="30" t="inlineStr">
        <is>
          <t>NONE FOUND</t>
        </is>
      </c>
      <c r="AO360" s="32" t="inlineStr">
        <is>
          <t>5011369-81.2026.8.09.0093</t>
        </is>
      </c>
      <c r="AP360" s="32" t="inlineStr">
        <is>
          <t>TJGO</t>
        </is>
      </c>
      <c r="AQ360" s="32" t="inlineStr"/>
      <c r="AR360" s="32" t="inlineStr">
        <is>
          <t>DataJud: no closure/falência movement</t>
        </is>
      </c>
      <c r="AS360" s="32" t="n">
        <v>2026</v>
      </c>
      <c r="AT360" s="32" t="inlineStr">
        <is>
          <t>live case, no plan document yet; case no. from the portal record, not printed on the list</t>
        </is>
      </c>
      <c r="AU360" s="32" t="inlineStr"/>
      <c r="AV360" s="32" t="inlineStr">
        <is>
          <t>portal page title / URL — not printed on the list</t>
        </is>
      </c>
      <c r="AW360" s="32" t="inlineStr"/>
      <c r="AX360" s="32" t="inlineStr">
        <is>
          <t>RIO VERDE</t>
        </is>
      </c>
      <c r="AY360" s="32" t="inlineStr">
        <is>
          <t>GO</t>
        </is>
      </c>
      <c r="AZ360" s="32" t="inlineStr">
        <is>
          <t>Comércio atacadista de defensivos agrícolas, adubos, fertilizantes e corretivos do solo</t>
        </is>
      </c>
      <c r="BA360" s="32" t="inlineStr">
        <is>
          <t>não ME/EPP</t>
        </is>
      </c>
      <c r="BB360" s="33" t="n">
        <v>10000000</v>
      </c>
      <c r="BC360" s="32" t="inlineStr">
        <is>
          <t>MID-MARKET</t>
        </is>
      </c>
      <c r="BD360" s="32" t="inlineStr">
        <is>
          <t>02676351</t>
        </is>
      </c>
      <c r="BE360" s="32" t="n">
        <v>1</v>
      </c>
      <c r="BF360" s="32" t="inlineStr">
        <is>
          <t>list prints no totals</t>
        </is>
      </c>
    </row>
    <row r="361">
      <c r="A361" s="17" t="inlineStr">
        <is>
          <t>SALUX - INFORMATIZACAO EM SAUDE S.A.</t>
        </is>
      </c>
      <c r="B361" s="18" t="n">
        <v>260799.62</v>
      </c>
      <c r="C361" s="19" t="inlineStr">
        <is>
          <t>ASSOCIAÇÃO DE CARIDADE SANTA CASA DO RIO GRANDE</t>
        </is>
      </c>
      <c r="D361" s="20" t="inlineStr">
        <is>
          <t>NEW</t>
        </is>
      </c>
      <c r="E361" s="21" t="inlineStr"/>
      <c r="F361" s="20" t="inlineStr"/>
      <c r="G361" s="21" t="inlineStr"/>
      <c r="H361" s="20" t="inlineStr"/>
      <c r="I361" s="22" t="inlineStr">
        <is>
          <t>Sibele Carvalho</t>
        </is>
      </c>
      <c r="J361" s="22" t="inlineStr">
        <is>
          <t>Financial Administrative Manager</t>
        </is>
      </c>
      <c r="K361" s="22" t="inlineStr">
        <is>
          <t>(51) 3021-0055</t>
        </is>
      </c>
      <c r="L361" s="22" t="inlineStr"/>
      <c r="M361" s="22" t="inlineStr"/>
      <c r="N361" s="22" t="inlineStr">
        <is>
          <t>sibele.carvalho@salux.com.br</t>
        </is>
      </c>
      <c r="O361" s="22" t="inlineStr">
        <is>
          <t>verified</t>
        </is>
      </c>
      <c r="P361" s="22" t="inlineStr">
        <is>
          <t>Brenda Oliveira</t>
        </is>
      </c>
      <c r="Q361" s="22" t="inlineStr">
        <is>
          <t>Analista Adm. Financeiro</t>
        </is>
      </c>
      <c r="R361" s="22" t="inlineStr"/>
      <c r="S361" s="22" t="inlineStr">
        <is>
          <t>brenda.oliveira@salux.com.br</t>
        </is>
      </c>
      <c r="T361" s="22" t="inlineStr">
        <is>
          <t>DM: DM verified email; VERIFY org: Salux Technology (salux.com.br) vs SALUX - Informatização em Saúde S.A. Porto Alegre - likely same; BACKUP: backup verified email</t>
        </is>
      </c>
      <c r="U361" s="24" t="n">
        <v>260799.62</v>
      </c>
      <c r="V361" s="25" t="inlineStr">
        <is>
          <t>B</t>
        </is>
      </c>
      <c r="W361" s="26" t="inlineStr"/>
      <c r="X361" s="27" t="inlineStr"/>
      <c r="Y361" s="27" t="inlineStr"/>
      <c r="Z361" s="26">
        <f>IF(W361&lt;&gt;"",W361,IFERROR(VLOOKUP(V361,Assumptions!$A$8:$F$12,2,FALSE),0))</f>
        <v/>
      </c>
      <c r="AA361" s="28">
        <f>IF(V361="A",MAX(1,IF(X361&lt;&gt;"",X361,IFERROR(VLOOKUP(V361,Assumptions!$A$8:$F$12,3,FALSE),3))+IF(Y361&lt;&gt;"",Y361,IFERROR(VLOOKUP(V361,Assumptions!$A$8:$F$12,4,FALSE),8))/2-MAX(0,IF(AS361="",0,YEAR(TODAY())-AS361)-IFERROR(VLOOKUP(V361,Assumptions!$A$8:$F$12,5,FALSE),1.5))),IFERROR(VLOOKUP(V361,Assumptions!$A$8:$F$12,5,FALSE),2.5)+IF(X361&lt;&gt;"",X361,IFERROR(VLOOKUP(V361,Assumptions!$A$8:$F$12,3,FALSE),3))+IF(Y361&lt;&gt;"",Y361,IFERROR(VLOOKUP(V361,Assumptions!$A$8:$F$12,4,FALSE),8))/2)</f>
        <v/>
      </c>
      <c r="AB361" s="24">
        <f>U361*Z361/(1+Assumptions!$B$3)^AA361</f>
        <v/>
      </c>
      <c r="AC361" s="27">
        <f>IF(U361=0,"",ROUND(AB361/U361*100,1))</f>
        <v/>
      </c>
      <c r="AD361" s="29">
        <f>AB361*Assumptions!$B$4</f>
        <v/>
      </c>
      <c r="AE361" s="27">
        <f>IF(U361=0,"",ROUND(AD361/U361*100,1))</f>
        <v/>
      </c>
      <c r="AF361" s="29">
        <f>AB361-AD361</f>
        <v/>
      </c>
      <c r="AG361" s="27">
        <f>IF(U361=0,"",ROUND((AB361-AD361)/U361*100,1))</f>
        <v/>
      </c>
      <c r="AH361" s="34" t="inlineStr">
        <is>
          <t>NO TOTALS — list prints none; check page</t>
        </is>
      </c>
      <c r="AI361" s="31" t="inlineStr">
        <is>
          <t>https://scalzilliaj.com.br/sgc/download.php?file=files/processo_documento/processo_documento09120721032023_1_.pdf&amp;nome=15 - Edital do art. 7º, §2º e 53 da Lei 11.101/2005 (segunda lista de credores e recebimento do plano))</t>
        </is>
      </c>
      <c r="AJ361" s="30" t="inlineStr">
        <is>
          <t>p29 r43</t>
        </is>
      </c>
      <c r="AK361" s="30" t="inlineStr">
        <is>
          <t>p29: R$ 260.799,62</t>
        </is>
      </c>
      <c r="AL361" s="30" t="inlineStr">
        <is>
          <t>AJ list (art. 7 §2)</t>
        </is>
      </c>
      <c r="AM361" s="30" t="inlineStr">
        <is>
          <t>2023-03-21</t>
        </is>
      </c>
      <c r="AN361" s="30" t="inlineStr">
        <is>
          <t>NONE FOUND</t>
        </is>
      </c>
      <c r="AO361" s="32" t="inlineStr">
        <is>
          <t>5012306-16.2022.8.21.0023</t>
        </is>
      </c>
      <c r="AP361" s="32" t="inlineStr">
        <is>
          <t>TJRS</t>
        </is>
      </c>
      <c r="AQ361" s="32" t="inlineStr">
        <is>
          <t>Recuperação judicial</t>
        </is>
      </c>
      <c r="AR361" s="32" t="inlineStr">
        <is>
          <t>DataJud: no closure/falência movement</t>
        </is>
      </c>
      <c r="AS361" s="32" t="n">
        <v>2022</v>
      </c>
      <c r="AT361" s="32" t="inlineStr">
        <is>
          <t>live case, no plan document yet; atypical debtor (associação/clube/hospital/produtor rural): admissibility or claim subjection may be contested</t>
        </is>
      </c>
      <c r="AU361" s="32" t="inlineStr"/>
      <c r="AV361" s="32" t="inlineStr">
        <is>
          <t>printed on the list (read twice)</t>
        </is>
      </c>
      <c r="AW361" s="32" t="inlineStr"/>
      <c r="AX361" s="32" t="inlineStr">
        <is>
          <t>PORTO ALEGRE</t>
        </is>
      </c>
      <c r="AY361" s="32" t="inlineStr">
        <is>
          <t>RS</t>
        </is>
      </c>
      <c r="AZ361" s="32" t="inlineStr">
        <is>
          <t>Desenvolvimento e licenciamento de programas de computador customizáveis</t>
        </is>
      </c>
      <c r="BA361" s="32" t="inlineStr">
        <is>
          <t>não ME/EPP</t>
        </is>
      </c>
      <c r="BB361" s="33" t="n">
        <v>6200000</v>
      </c>
      <c r="BC361" s="32" t="inlineStr">
        <is>
          <t>MID-MARKET</t>
        </is>
      </c>
      <c r="BD361" s="32" t="inlineStr">
        <is>
          <t>05113942</t>
        </is>
      </c>
      <c r="BE361" s="32" t="n">
        <v>1</v>
      </c>
      <c r="BF361" s="32" t="inlineStr">
        <is>
          <t>list prints no totals</t>
        </is>
      </c>
    </row>
    <row r="362">
      <c r="A362" s="17" t="inlineStr">
        <is>
          <t>AUTO POSTO PRA FRENTE BRASIL LTDA</t>
        </is>
      </c>
      <c r="B362" s="18" t="n">
        <v>260175.73</v>
      </c>
      <c r="C362" s="19" t="inlineStr">
        <is>
          <t>Grupo Agromeal</t>
        </is>
      </c>
      <c r="D362" s="20" t="inlineStr">
        <is>
          <t>NEW</t>
        </is>
      </c>
      <c r="E362" s="21" t="inlineStr"/>
      <c r="F362" s="20" t="inlineStr"/>
      <c r="G362" s="21" t="inlineStr"/>
      <c r="H362" s="20" t="inlineStr"/>
      <c r="I362" s="22" t="inlineStr">
        <is>
          <t>Raul Neto</t>
        </is>
      </c>
      <c r="J362" s="22" t="inlineStr">
        <is>
          <t>Finance Manager</t>
        </is>
      </c>
      <c r="K362" s="22" t="inlineStr">
        <is>
          <t>(45) 3333-2000</t>
        </is>
      </c>
      <c r="L362" s="22" t="inlineStr">
        <is>
          <t>(45) 3228-1515</t>
        </is>
      </c>
      <c r="M362" s="22" t="inlineStr"/>
      <c r="N362" s="22" t="inlineStr"/>
      <c r="O362" s="22" t="inlineStr"/>
      <c r="P362" s="22" t="inlineStr">
        <is>
          <t>Jean Zini</t>
        </is>
      </c>
      <c r="Q362" s="22" t="inlineStr">
        <is>
          <t>Vice-president</t>
        </is>
      </c>
      <c r="R362" s="22" t="inlineStr"/>
      <c r="S362" s="22" t="inlineStr">
        <is>
          <t>jean@prafrentebrasil.com.br</t>
        </is>
      </c>
      <c r="T362" s="22" t="inlineStr">
        <is>
          <t>DM: DM (email unavailable); no work email in Apollo for DM; BACKUP: backup (owner family, verified email)</t>
        </is>
      </c>
      <c r="U362" s="24" t="n">
        <v>260175.73</v>
      </c>
      <c r="V362" s="25" t="inlineStr">
        <is>
          <t>B</t>
        </is>
      </c>
      <c r="W362" s="26" t="inlineStr"/>
      <c r="X362" s="27" t="inlineStr"/>
      <c r="Y362" s="27" t="inlineStr"/>
      <c r="Z362" s="26">
        <f>IF(W362&lt;&gt;"",W362,IFERROR(VLOOKUP(V362,Assumptions!$A$8:$F$12,2,FALSE),0))</f>
        <v/>
      </c>
      <c r="AA362" s="28">
        <f>IF(V362="A",MAX(1,IF(X362&lt;&gt;"",X362,IFERROR(VLOOKUP(V362,Assumptions!$A$8:$F$12,3,FALSE),3))+IF(Y362&lt;&gt;"",Y362,IFERROR(VLOOKUP(V362,Assumptions!$A$8:$F$12,4,FALSE),8))/2-MAX(0,IF(AS362="",0,YEAR(TODAY())-AS362)-IFERROR(VLOOKUP(V362,Assumptions!$A$8:$F$12,5,FALSE),1.5))),IFERROR(VLOOKUP(V362,Assumptions!$A$8:$F$12,5,FALSE),2.5)+IF(X362&lt;&gt;"",X362,IFERROR(VLOOKUP(V362,Assumptions!$A$8:$F$12,3,FALSE),3))+IF(Y362&lt;&gt;"",Y362,IFERROR(VLOOKUP(V362,Assumptions!$A$8:$F$12,4,FALSE),8))/2)</f>
        <v/>
      </c>
      <c r="AB362" s="24">
        <f>U362*Z362/(1+Assumptions!$B$3)^AA362</f>
        <v/>
      </c>
      <c r="AC362" s="27">
        <f>IF(U362=0,"",ROUND(AB362/U362*100,1))</f>
        <v/>
      </c>
      <c r="AD362" s="29">
        <f>AB362*Assumptions!$B$4</f>
        <v/>
      </c>
      <c r="AE362" s="27">
        <f>IF(U362=0,"",ROUND(AD362/U362*100,1))</f>
        <v/>
      </c>
      <c r="AF362" s="29">
        <f>AB362-AD362</f>
        <v/>
      </c>
      <c r="AG362" s="27">
        <f>IF(U362=0,"",ROUND((AB362-AD362)/U362*100,1))</f>
        <v/>
      </c>
      <c r="AH362" s="35" t="inlineStr">
        <is>
          <t>PARTIAL — class III reconciled, other classes not</t>
        </is>
      </c>
      <c r="AI362" s="31" t="inlineStr">
        <is>
          <t>https://marquesadmjudicial.com.br/sgc/download.php?file=files/processo_documento/processo_documento17040729052024_1_.pdf&amp;nome=Relação Nominal de Credores AJ-Sintética</t>
        </is>
      </c>
      <c r="AJ362" s="30" t="inlineStr">
        <is>
          <t>p9 r12</t>
        </is>
      </c>
      <c r="AK362" s="30" t="inlineStr">
        <is>
          <t>p9: R$ 260.175,73</t>
        </is>
      </c>
      <c r="AL362" s="30" t="inlineStr">
        <is>
          <t>AJ list (art. 7 §2)</t>
        </is>
      </c>
      <c r="AM362" s="30" t="inlineStr">
        <is>
          <t>2024-05-27</t>
        </is>
      </c>
      <c r="AN362" s="30" t="inlineStr">
        <is>
          <t>NONE FOUND</t>
        </is>
      </c>
      <c r="AO362" s="32" t="inlineStr">
        <is>
          <t>0003971-03.2023.8.16.0119</t>
        </is>
      </c>
      <c r="AP362" s="32" t="inlineStr">
        <is>
          <t>TJPR</t>
        </is>
      </c>
      <c r="AQ362" s="32" t="inlineStr">
        <is>
          <t>Recuperação judicial</t>
        </is>
      </c>
      <c r="AR362" s="32" t="inlineStr">
        <is>
          <t>DataJud: no closure/falência movement</t>
        </is>
      </c>
      <c r="AS362" s="32" t="n">
        <v>2023</v>
      </c>
      <c r="AT362" s="32" t="inlineStr">
        <is>
          <t>live case, no plan document yet</t>
        </is>
      </c>
      <c r="AU362" s="32" t="inlineStr">
        <is>
          <t>11.624.776/0001-07</t>
        </is>
      </c>
      <c r="AV362" s="32" t="inlineStr">
        <is>
          <t>printed on the list (read twice)</t>
        </is>
      </c>
      <c r="AW362" s="32" t="inlineStr"/>
      <c r="AX362" s="32" t="inlineStr">
        <is>
          <t>CASCAVEL</t>
        </is>
      </c>
      <c r="AY362" s="32" t="inlineStr">
        <is>
          <t>PR</t>
        </is>
      </c>
      <c r="AZ362" s="32" t="inlineStr">
        <is>
          <t>Comércio varejista de combustíveis para veículos automotores</t>
        </is>
      </c>
      <c r="BA362" s="32" t="inlineStr">
        <is>
          <t>não ME/EPP</t>
        </is>
      </c>
      <c r="BB362" s="33" t="n">
        <v>2633137</v>
      </c>
      <c r="BC362" s="32" t="inlineStr">
        <is>
          <t>MID-MARKET</t>
        </is>
      </c>
      <c r="BD362" s="32" t="inlineStr">
        <is>
          <t>04868412</t>
        </is>
      </c>
      <c r="BE362" s="32" t="n">
        <v>1</v>
      </c>
      <c r="BF362" s="32" t="inlineStr">
        <is>
          <t>class III reconciled (doc partial)</t>
        </is>
      </c>
    </row>
    <row r="363">
      <c r="A363" s="17" t="inlineStr">
        <is>
          <t>SELENE INDUSTRIA TEXTIL S A</t>
        </is>
      </c>
      <c r="B363" s="18" t="n">
        <v>259498.98</v>
      </c>
      <c r="C363" s="19" t="inlineStr">
        <is>
          <t>GRUPO CATTAN</t>
        </is>
      </c>
      <c r="D363" s="20" t="inlineStr">
        <is>
          <t>NEW</t>
        </is>
      </c>
      <c r="E363" s="21" t="inlineStr"/>
      <c r="F363" s="20" t="inlineStr"/>
      <c r="G363" s="21" t="inlineStr"/>
      <c r="H363" s="20" t="inlineStr"/>
      <c r="I363" s="22" t="inlineStr">
        <is>
          <t>Cristiane Covatti</t>
        </is>
      </c>
      <c r="J363" s="22" t="inlineStr">
        <is>
          <t>Financial Director</t>
        </is>
      </c>
      <c r="K363" s="22" t="inlineStr">
        <is>
          <t>(15) 3384-8888</t>
        </is>
      </c>
      <c r="L363" s="22" t="inlineStr"/>
      <c r="M363" s="22" t="inlineStr"/>
      <c r="N363" s="22" t="inlineStr">
        <is>
          <t>cristiane.covatti@selene.com.br</t>
        </is>
      </c>
      <c r="O363" s="22" t="inlineStr">
        <is>
          <t>verified</t>
        </is>
      </c>
      <c r="P363" s="22" t="inlineStr">
        <is>
          <t>Claudio Dalava</t>
        </is>
      </c>
      <c r="Q363" s="22" t="inlineStr">
        <is>
          <t>Coordenador Crédito e Cobrança</t>
        </is>
      </c>
      <c r="R363" s="22" t="inlineStr"/>
      <c r="S363" s="22" t="inlineStr">
        <is>
          <t>claudio.dalava@selene.com.br</t>
        </is>
      </c>
      <c r="T363" s="22" t="inlineStr">
        <is>
          <t>DM: DM verified email; LARGE CORP; Apollo org Selene Industria Textil S/A. (Cerquilho); BACKUP: backup verified email</t>
        </is>
      </c>
      <c r="U363" s="24" t="n">
        <v>259498.98</v>
      </c>
      <c r="V363" s="25" t="inlineStr">
        <is>
          <t>B</t>
        </is>
      </c>
      <c r="W363" s="26" t="inlineStr"/>
      <c r="X363" s="27" t="inlineStr"/>
      <c r="Y363" s="27" t="inlineStr"/>
      <c r="Z363" s="26">
        <f>IF(W363&lt;&gt;"",W363,IFERROR(VLOOKUP(V363,Assumptions!$A$8:$F$12,2,FALSE),0))</f>
        <v/>
      </c>
      <c r="AA363" s="28">
        <f>IF(V363="A",MAX(1,IF(X363&lt;&gt;"",X363,IFERROR(VLOOKUP(V363,Assumptions!$A$8:$F$12,3,FALSE),3))+IF(Y363&lt;&gt;"",Y363,IFERROR(VLOOKUP(V363,Assumptions!$A$8:$F$12,4,FALSE),8))/2-MAX(0,IF(AS363="",0,YEAR(TODAY())-AS363)-IFERROR(VLOOKUP(V363,Assumptions!$A$8:$F$12,5,FALSE),1.5))),IFERROR(VLOOKUP(V363,Assumptions!$A$8:$F$12,5,FALSE),2.5)+IF(X363&lt;&gt;"",X363,IFERROR(VLOOKUP(V363,Assumptions!$A$8:$F$12,3,FALSE),3))+IF(Y363&lt;&gt;"",Y363,IFERROR(VLOOKUP(V363,Assumptions!$A$8:$F$12,4,FALSE),8))/2)</f>
        <v/>
      </c>
      <c r="AB363" s="24">
        <f>U363*Z363/(1+Assumptions!$B$3)^AA363</f>
        <v/>
      </c>
      <c r="AC363" s="27">
        <f>IF(U363=0,"",ROUND(AB363/U363*100,1))</f>
        <v/>
      </c>
      <c r="AD363" s="29">
        <f>AB363*Assumptions!$B$4</f>
        <v/>
      </c>
      <c r="AE363" s="27">
        <f>IF(U363=0,"",ROUND(AD363/U363*100,1))</f>
        <v/>
      </c>
      <c r="AF363" s="29">
        <f>AB363-AD363</f>
        <v/>
      </c>
      <c r="AG363" s="27">
        <f>IF(U363=0,"",ROUND((AB363-AD363)/U363*100,1))</f>
        <v/>
      </c>
      <c r="AH363" s="35" t="inlineStr">
        <is>
          <t>PARTIAL — class III reconciled, other classes not</t>
        </is>
      </c>
      <c r="AI363" s="31" t="inlineStr">
        <is>
          <t>https://lrflideres.com.br/wp-content/plugins/download-attachments/includes/download.php?id=4023</t>
        </is>
      </c>
      <c r="AJ363" s="30" t="inlineStr">
        <is>
          <t>p4 r90; p7 r120; p9 r89</t>
        </is>
      </c>
      <c r="AK363" s="30" t="inlineStr">
        <is>
          <t>p4: R$ 63.666,17; p7: R$ 158.338,98; p9: R$ 37.493,83</t>
        </is>
      </c>
      <c r="AL363" s="30" t="inlineStr">
        <is>
          <t>Debtor list (art. 51)</t>
        </is>
      </c>
      <c r="AM363" s="30" t="inlineStr"/>
      <c r="AN363" s="30" t="inlineStr">
        <is>
          <t>NONE FOUND</t>
        </is>
      </c>
      <c r="AO363" s="32" t="inlineStr">
        <is>
          <t>0002484-82.2022.8.17.2001</t>
        </is>
      </c>
      <c r="AP363" s="32" t="inlineStr">
        <is>
          <t>TJPE</t>
        </is>
      </c>
      <c r="AQ363" s="32" t="inlineStr">
        <is>
          <t>Recuperação judicial</t>
        </is>
      </c>
      <c r="AR363" s="32" t="inlineStr">
        <is>
          <t>DataJud: no closure/falência movement</t>
        </is>
      </c>
      <c r="AS363" s="32" t="n">
        <v>2022</v>
      </c>
      <c r="AT363" s="32" t="inlineStr">
        <is>
          <t>live case, no plan document yet</t>
        </is>
      </c>
      <c r="AU363" s="32" t="inlineStr"/>
      <c r="AV363" s="32" t="inlineStr">
        <is>
          <t>printed on the list (read twice)</t>
        </is>
      </c>
      <c r="AW363" s="32" t="inlineStr"/>
      <c r="AX363" s="32" t="inlineStr">
        <is>
          <t>CERQUILHO</t>
        </is>
      </c>
      <c r="AY363" s="32" t="inlineStr">
        <is>
          <t>SP</t>
        </is>
      </c>
      <c r="AZ363" s="32" t="inlineStr">
        <is>
          <t>Fabricação de meias</t>
        </is>
      </c>
      <c r="BA363" s="32" t="inlineStr">
        <is>
          <t>não ME/EPP</t>
        </is>
      </c>
      <c r="BB363" s="33" t="n">
        <v>333685000</v>
      </c>
      <c r="BC363" s="32" t="inlineStr">
        <is>
          <t>MID-MARKET</t>
        </is>
      </c>
      <c r="BD363" s="32" t="inlineStr">
        <is>
          <t>47254545</t>
        </is>
      </c>
      <c r="BE363" s="32" t="n">
        <v>3</v>
      </c>
      <c r="BF363" s="32" t="inlineStr">
        <is>
          <t>class III reconciled (doc partial)</t>
        </is>
      </c>
    </row>
    <row r="364">
      <c r="A364" s="17" t="inlineStr">
        <is>
          <t>LOURENCO MALULY PARTICIPACOES LTDA</t>
        </is>
      </c>
      <c r="B364" s="18" t="n">
        <v>258139.2</v>
      </c>
      <c r="C364" s="19" t="inlineStr">
        <is>
          <t>CENTURY CONSTRUÇÕES COMÉRCIO E SERVIÇOS LTDA.</t>
        </is>
      </c>
      <c r="D364" s="20" t="inlineStr">
        <is>
          <t>NEW</t>
        </is>
      </c>
      <c r="E364" s="21" t="inlineStr"/>
      <c r="F364" s="20" t="inlineStr"/>
      <c r="G364" s="21" t="inlineStr"/>
      <c r="H364" s="20" t="inlineStr"/>
      <c r="I364" s="22" t="inlineStr">
        <is>
          <t>LOURENCO MALULY CARDOSO</t>
        </is>
      </c>
      <c r="J364" s="23" t="inlineStr">
        <is>
          <t>Sócio-Administrador (RFB partner)</t>
        </is>
      </c>
      <c r="K364" s="22" t="inlineStr">
        <is>
          <t>(11) 2365-1427</t>
        </is>
      </c>
      <c r="L364" s="22" t="inlineStr"/>
      <c r="M364" s="22" t="inlineStr"/>
      <c r="N364" s="22" t="inlineStr"/>
      <c r="O364" s="22" t="inlineStr"/>
      <c r="P364" s="22" t="inlineStr"/>
      <c r="Q364" s="22" t="inlineStr"/>
      <c r="R364" s="22" t="inlineStr"/>
      <c r="S364" s="22" t="inlineStr"/>
      <c r="T364" s="22" t="inlineStr">
        <is>
          <t>DM = registered partner (RFB QSA); no Apollo match</t>
        </is>
      </c>
      <c r="U364" s="24" t="n">
        <v>258139.2</v>
      </c>
      <c r="V364" s="25" t="inlineStr">
        <is>
          <t>B</t>
        </is>
      </c>
      <c r="W364" s="26" t="inlineStr"/>
      <c r="X364" s="27" t="inlineStr"/>
      <c r="Y364" s="27" t="inlineStr"/>
      <c r="Z364" s="26">
        <f>IF(W364&lt;&gt;"",W364,IFERROR(VLOOKUP(V364,Assumptions!$A$8:$F$12,2,FALSE),0))</f>
        <v/>
      </c>
      <c r="AA364" s="28">
        <f>IF(V364="A",MAX(1,IF(X364&lt;&gt;"",X364,IFERROR(VLOOKUP(V364,Assumptions!$A$8:$F$12,3,FALSE),3))+IF(Y364&lt;&gt;"",Y364,IFERROR(VLOOKUP(V364,Assumptions!$A$8:$F$12,4,FALSE),8))/2-MAX(0,IF(AS364="",0,YEAR(TODAY())-AS364)-IFERROR(VLOOKUP(V364,Assumptions!$A$8:$F$12,5,FALSE),1.5))),IFERROR(VLOOKUP(V364,Assumptions!$A$8:$F$12,5,FALSE),2.5)+IF(X364&lt;&gt;"",X364,IFERROR(VLOOKUP(V364,Assumptions!$A$8:$F$12,3,FALSE),3))+IF(Y364&lt;&gt;"",Y364,IFERROR(VLOOKUP(V364,Assumptions!$A$8:$F$12,4,FALSE),8))/2)</f>
        <v/>
      </c>
      <c r="AB364" s="24">
        <f>U364*Z364/(1+Assumptions!$B$3)^AA364</f>
        <v/>
      </c>
      <c r="AC364" s="27">
        <f>IF(U364=0,"",ROUND(AB364/U364*100,1))</f>
        <v/>
      </c>
      <c r="AD364" s="29">
        <f>AB364*Assumptions!$B$4</f>
        <v/>
      </c>
      <c r="AE364" s="27">
        <f>IF(U364=0,"",ROUND(AD364/U364*100,1))</f>
        <v/>
      </c>
      <c r="AF364" s="29">
        <f>AB364-AD364</f>
        <v/>
      </c>
      <c r="AG364" s="27">
        <f>IF(U364=0,"",ROUND((AB364-AD364)/U364*100,1))</f>
        <v/>
      </c>
      <c r="AH364" s="34" t="inlineStr">
        <is>
          <t>NO TOTALS — list prints none; check page</t>
        </is>
      </c>
      <c r="AI364" s="31" t="inlineStr">
        <is>
          <t>https://ativosajce.com.br/admin/download.php?file=files/processo_documento/processo_documento16022716122025_1_.pdf&amp;nome=Relação de credores - art. 52, §1º da Lei 11.101/05 - 15/12/2025</t>
        </is>
      </c>
      <c r="AJ364" s="30" t="inlineStr">
        <is>
          <t>p3 r49</t>
        </is>
      </c>
      <c r="AK364" s="30" t="inlineStr">
        <is>
          <t>p3: R$ 258.139,20</t>
        </is>
      </c>
      <c r="AL364" s="30" t="inlineStr">
        <is>
          <t>Unclassified list</t>
        </is>
      </c>
      <c r="AM364" s="30" t="inlineStr"/>
      <c r="AN364" s="30" t="inlineStr">
        <is>
          <t>NONE FOUND</t>
        </is>
      </c>
      <c r="AO364" s="32" t="inlineStr">
        <is>
          <t>4054599-35.2025.8.26.0100</t>
        </is>
      </c>
      <c r="AP364" s="32" t="inlineStr">
        <is>
          <t>TJSP</t>
        </is>
      </c>
      <c r="AQ364" s="32" t="inlineStr">
        <is>
          <t>Recuperação judicial</t>
        </is>
      </c>
      <c r="AR364" s="32" t="inlineStr">
        <is>
          <t>DataJud: no closure/falência movement</t>
        </is>
      </c>
      <c r="AS364" s="32" t="n">
        <v>2025</v>
      </c>
      <c r="AT364" s="32" t="inlineStr">
        <is>
          <t>live case, no plan document yet; case no. from the portal record, not printed on the list</t>
        </is>
      </c>
      <c r="AU364" s="32" t="inlineStr">
        <is>
          <t>03.299.563/0001-10</t>
        </is>
      </c>
      <c r="AV364" s="32" t="inlineStr">
        <is>
          <t>printed on the list (read twice)</t>
        </is>
      </c>
      <c r="AW364" s="32" t="inlineStr"/>
      <c r="AX364" s="32" t="inlineStr">
        <is>
          <t>SAO PAULO</t>
        </is>
      </c>
      <c r="AY364" s="32" t="inlineStr">
        <is>
          <t>SP</t>
        </is>
      </c>
      <c r="AZ364" s="32" t="inlineStr">
        <is>
          <t>Outras sociedades de participação, exceto holdings</t>
        </is>
      </c>
      <c r="BA364" s="32" t="inlineStr">
        <is>
          <t>não ME/EPP</t>
        </is>
      </c>
      <c r="BB364" s="33" t="n">
        <v>1000</v>
      </c>
      <c r="BC364" s="32" t="inlineStr">
        <is>
          <t>MID-MARKET</t>
        </is>
      </c>
      <c r="BD364" s="32" t="inlineStr">
        <is>
          <t>51473709</t>
        </is>
      </c>
      <c r="BE364" s="32" t="n">
        <v>1</v>
      </c>
      <c r="BF364" s="32" t="inlineStr">
        <is>
          <t>list prints no totals</t>
        </is>
      </c>
    </row>
    <row r="365">
      <c r="A365" s="17" t="inlineStr">
        <is>
          <t>AGROBRASILCHEMICAL INDUSTRIA E COMERCIO LTDA EM RECUPERACAO JUDICIAL</t>
        </is>
      </c>
      <c r="B365" s="18" t="n">
        <v>257434.5</v>
      </c>
      <c r="C365" s="19" t="inlineStr">
        <is>
          <t>Grupo Agromeal</t>
        </is>
      </c>
      <c r="D365" s="20" t="inlineStr">
        <is>
          <t>NEW</t>
        </is>
      </c>
      <c r="E365" s="21" t="inlineStr"/>
      <c r="F365" s="20" t="inlineStr"/>
      <c r="G365" s="21" t="inlineStr"/>
      <c r="H365" s="20" t="inlineStr"/>
      <c r="I365" s="22" t="inlineStr">
        <is>
          <t>RICARDO CASTELHANO</t>
        </is>
      </c>
      <c r="J365" s="23" t="inlineStr">
        <is>
          <t>Sócio-Administrador (RFB partner)</t>
        </is>
      </c>
      <c r="K365" s="22" t="inlineStr">
        <is>
          <t>(44) 9932-7251</t>
        </is>
      </c>
      <c r="L365" s="22" t="inlineStr"/>
      <c r="M365" s="22" t="inlineStr"/>
      <c r="N365" s="22" t="inlineStr"/>
      <c r="O365" s="22" t="inlineStr"/>
      <c r="P365" s="22" t="inlineStr"/>
      <c r="Q365" s="22" t="inlineStr"/>
      <c r="R365" s="22" t="inlineStr"/>
      <c r="S365" s="22" t="inlineStr"/>
      <c r="T365" s="22" t="inlineStr">
        <is>
          <t>DM = registered partner (RFB QSA); no Apollo match</t>
        </is>
      </c>
      <c r="U365" s="24" t="n">
        <v>257434.5</v>
      </c>
      <c r="V365" s="25" t="inlineStr">
        <is>
          <t>B</t>
        </is>
      </c>
      <c r="W365" s="26" t="inlineStr"/>
      <c r="X365" s="27" t="inlineStr"/>
      <c r="Y365" s="27" t="inlineStr"/>
      <c r="Z365" s="26">
        <f>IF(W365&lt;&gt;"",W365,IFERROR(VLOOKUP(V365,Assumptions!$A$8:$F$12,2,FALSE),0))</f>
        <v/>
      </c>
      <c r="AA365" s="28">
        <f>IF(V365="A",MAX(1,IF(X365&lt;&gt;"",X365,IFERROR(VLOOKUP(V365,Assumptions!$A$8:$F$12,3,FALSE),3))+IF(Y365&lt;&gt;"",Y365,IFERROR(VLOOKUP(V365,Assumptions!$A$8:$F$12,4,FALSE),8))/2-MAX(0,IF(AS365="",0,YEAR(TODAY())-AS365)-IFERROR(VLOOKUP(V365,Assumptions!$A$8:$F$12,5,FALSE),1.5))),IFERROR(VLOOKUP(V365,Assumptions!$A$8:$F$12,5,FALSE),2.5)+IF(X365&lt;&gt;"",X365,IFERROR(VLOOKUP(V365,Assumptions!$A$8:$F$12,3,FALSE),3))+IF(Y365&lt;&gt;"",Y365,IFERROR(VLOOKUP(V365,Assumptions!$A$8:$F$12,4,FALSE),8))/2)</f>
        <v/>
      </c>
      <c r="AB365" s="24">
        <f>U365*Z365/(1+Assumptions!$B$3)^AA365</f>
        <v/>
      </c>
      <c r="AC365" s="27">
        <f>IF(U365=0,"",ROUND(AB365/U365*100,1))</f>
        <v/>
      </c>
      <c r="AD365" s="29">
        <f>AB365*Assumptions!$B$4</f>
        <v/>
      </c>
      <c r="AE365" s="27">
        <f>IF(U365=0,"",ROUND(AD365/U365*100,1))</f>
        <v/>
      </c>
      <c r="AF365" s="29">
        <f>AB365-AD365</f>
        <v/>
      </c>
      <c r="AG365" s="27">
        <f>IF(U365=0,"",ROUND((AB365-AD365)/U365*100,1))</f>
        <v/>
      </c>
      <c r="AH365" s="35" t="inlineStr">
        <is>
          <t>PARTIAL — class III reconciled, other classes not</t>
        </is>
      </c>
      <c r="AI365" s="31" t="inlineStr">
        <is>
          <t>https://marquesadmjudicial.com.br/sgc/download.php?file=files/processo_documento/processo_documento17040729052024_1_.pdf&amp;nome=Relação Nominal de Credores AJ-Sintética</t>
        </is>
      </c>
      <c r="AJ365" s="30" t="inlineStr">
        <is>
          <t>p9 r3</t>
        </is>
      </c>
      <c r="AK365" s="30" t="inlineStr">
        <is>
          <t>p9: R$ 257.434,50</t>
        </is>
      </c>
      <c r="AL365" s="30" t="inlineStr">
        <is>
          <t>AJ list (art. 7 §2)</t>
        </is>
      </c>
      <c r="AM365" s="30" t="inlineStr">
        <is>
          <t>2024-05-27</t>
        </is>
      </c>
      <c r="AN365" s="30" t="inlineStr">
        <is>
          <t>NONE FOUND</t>
        </is>
      </c>
      <c r="AO365" s="32" t="inlineStr">
        <is>
          <t>0003971-03.2023.8.16.0119</t>
        </is>
      </c>
      <c r="AP365" s="32" t="inlineStr">
        <is>
          <t>TJPR</t>
        </is>
      </c>
      <c r="AQ365" s="32" t="inlineStr">
        <is>
          <t>Recuperação judicial</t>
        </is>
      </c>
      <c r="AR365" s="32" t="inlineStr">
        <is>
          <t>DataJud: no closure/falência movement</t>
        </is>
      </c>
      <c r="AS365" s="32" t="n">
        <v>2023</v>
      </c>
      <c r="AT365" s="32" t="inlineStr">
        <is>
          <t>live case, no plan document yet</t>
        </is>
      </c>
      <c r="AU365" s="32" t="inlineStr">
        <is>
          <t>11.624.776/0001-07</t>
        </is>
      </c>
      <c r="AV365" s="32" t="inlineStr">
        <is>
          <t>printed on the list (read twice)</t>
        </is>
      </c>
      <c r="AW365" s="32" t="inlineStr"/>
      <c r="AX365" s="32" t="inlineStr">
        <is>
          <t>MANDAGUARI</t>
        </is>
      </c>
      <c r="AY365" s="32" t="inlineStr">
        <is>
          <t>PR</t>
        </is>
      </c>
      <c r="AZ365" s="32" t="inlineStr">
        <is>
          <t>Fabricação de produtos de limpeza e polimento</t>
        </is>
      </c>
      <c r="BA365" s="32" t="inlineStr">
        <is>
          <t>não ME/EPP</t>
        </is>
      </c>
      <c r="BB365" s="33" t="n">
        <v>367000</v>
      </c>
      <c r="BC365" s="32" t="inlineStr">
        <is>
          <t>MID-MARKET</t>
        </is>
      </c>
      <c r="BD365" s="32" t="inlineStr">
        <is>
          <t>18773359</t>
        </is>
      </c>
      <c r="BE365" s="32" t="n">
        <v>1</v>
      </c>
      <c r="BF365" s="32" t="inlineStr">
        <is>
          <t>class III reconciled (doc partial)</t>
        </is>
      </c>
    </row>
    <row r="366">
      <c r="A366" s="17" t="inlineStr">
        <is>
          <t>NOVA TRIGO RESINAS TERMOPLASTICAS LTDA.</t>
        </is>
      </c>
      <c r="B366" s="18" t="n">
        <v>257394.62</v>
      </c>
      <c r="C366" s="37" t="inlineStr">
        <is>
          <t>(debtor not identified — see proof)</t>
        </is>
      </c>
      <c r="D366" s="20" t="inlineStr">
        <is>
          <t>NEW</t>
        </is>
      </c>
      <c r="E366" s="21" t="inlineStr"/>
      <c r="F366" s="20" t="inlineStr"/>
      <c r="G366" s="21" t="inlineStr"/>
      <c r="H366" s="20" t="inlineStr"/>
      <c r="I366" s="22" t="inlineStr">
        <is>
          <t>ELIANE PEDROSO TRIGO</t>
        </is>
      </c>
      <c r="J366" s="23" t="inlineStr">
        <is>
          <t>Sócio-Administrador (RFB partner)</t>
        </is>
      </c>
      <c r="K366" s="22" t="inlineStr">
        <is>
          <t>(11) 4424-1553</t>
        </is>
      </c>
      <c r="L366" s="22" t="inlineStr"/>
      <c r="M366" s="22" t="inlineStr"/>
      <c r="N366" s="22" t="inlineStr"/>
      <c r="O366" s="22" t="inlineStr"/>
      <c r="P366" s="22" t="inlineStr">
        <is>
          <t>SANDRO CARRAPEIRO TRIGO</t>
        </is>
      </c>
      <c r="Q366" s="22" t="inlineStr">
        <is>
          <t>Sócio-Administrador (RFB partner)</t>
        </is>
      </c>
      <c r="R366" s="22" t="inlineStr"/>
      <c r="S366" s="22" t="inlineStr"/>
      <c r="T366" s="22" t="inlineStr">
        <is>
          <t>DM = registered partner (RFB QSA); no Apollo match</t>
        </is>
      </c>
      <c r="U366" s="24" t="n">
        <v>257394.62</v>
      </c>
      <c r="V366" s="25" t="inlineStr">
        <is>
          <t>B</t>
        </is>
      </c>
      <c r="W366" s="26" t="inlineStr"/>
      <c r="X366" s="27" t="inlineStr"/>
      <c r="Y366" s="27" t="inlineStr"/>
      <c r="Z366" s="26">
        <f>IF(W366&lt;&gt;"",W366,IFERROR(VLOOKUP(V366,Assumptions!$A$8:$F$12,2,FALSE),0))</f>
        <v/>
      </c>
      <c r="AA366" s="28">
        <f>IF(V366="A",MAX(1,IF(X366&lt;&gt;"",X366,IFERROR(VLOOKUP(V366,Assumptions!$A$8:$F$12,3,FALSE),3))+IF(Y366&lt;&gt;"",Y366,IFERROR(VLOOKUP(V366,Assumptions!$A$8:$F$12,4,FALSE),8))/2-MAX(0,IF(AS366="",0,YEAR(TODAY())-AS366)-IFERROR(VLOOKUP(V366,Assumptions!$A$8:$F$12,5,FALSE),1.5))),IFERROR(VLOOKUP(V366,Assumptions!$A$8:$F$12,5,FALSE),2.5)+IF(X366&lt;&gt;"",X366,IFERROR(VLOOKUP(V366,Assumptions!$A$8:$F$12,3,FALSE),3))+IF(Y366&lt;&gt;"",Y366,IFERROR(VLOOKUP(V366,Assumptions!$A$8:$F$12,4,FALSE),8))/2)</f>
        <v/>
      </c>
      <c r="AB366" s="24">
        <f>U366*Z366/(1+Assumptions!$B$3)^AA366</f>
        <v/>
      </c>
      <c r="AC366" s="27">
        <f>IF(U366=0,"",ROUND(AB366/U366*100,1))</f>
        <v/>
      </c>
      <c r="AD366" s="29">
        <f>AB366*Assumptions!$B$4</f>
        <v/>
      </c>
      <c r="AE366" s="27">
        <f>IF(U366=0,"",ROUND(AD366/U366*100,1))</f>
        <v/>
      </c>
      <c r="AF366" s="29">
        <f>AB366-AD366</f>
        <v/>
      </c>
      <c r="AG366" s="27">
        <f>IF(U366=0,"",ROUND((AB366-AD366)/U366*100,1))</f>
        <v/>
      </c>
      <c r="AH366" s="30" t="inlineStr">
        <is>
          <t>OK — totals reconciled</t>
        </is>
      </c>
      <c r="AI366" s="31" t="inlineStr">
        <is>
          <t>https://ajruiz.com.br/sites/default/files/public/arquivos-processos/2024-04/relacao_de_credores_recuperanda_1.pdf</t>
        </is>
      </c>
      <c r="AJ366" s="30" t="inlineStr">
        <is>
          <t>p9 r3; p9 r4</t>
        </is>
      </c>
      <c r="AK366" s="30" t="inlineStr">
        <is>
          <t>p9: R$ 137.709,69; p9: R$ 119.684,93</t>
        </is>
      </c>
      <c r="AL366" s="30" t="inlineStr">
        <is>
          <t>QGC (art. 18)</t>
        </is>
      </c>
      <c r="AM366" s="30" t="inlineStr">
        <is>
          <t>2024-01-31</t>
        </is>
      </c>
      <c r="AN366" s="30" t="inlineStr">
        <is>
          <t>NONE FOUND</t>
        </is>
      </c>
      <c r="AO366" s="32" t="inlineStr">
        <is>
          <t>1022634-27.2024.8.26.0100</t>
        </is>
      </c>
      <c r="AP366" s="32" t="inlineStr">
        <is>
          <t>TJSP</t>
        </is>
      </c>
      <c r="AQ366" s="32" t="inlineStr"/>
      <c r="AR366" s="32" t="inlineStr">
        <is>
          <t>not in DataJud</t>
        </is>
      </c>
      <c r="AS366" s="32" t="n">
        <v>2024</v>
      </c>
      <c r="AT366" s="32" t="inlineStr">
        <is>
          <t>live case, no plan document yet; case no. from the portal record, not printed on the list</t>
        </is>
      </c>
      <c r="AU366" s="32" t="inlineStr"/>
      <c r="AV366" s="32" t="inlineStr">
        <is>
          <t>not identified</t>
        </is>
      </c>
      <c r="AW366" s="32" t="inlineStr"/>
      <c r="AX366" s="32" t="inlineStr">
        <is>
          <t>SAO BERNARDO DO CAMPO</t>
        </is>
      </c>
      <c r="AY366" s="32" t="inlineStr">
        <is>
          <t>SP</t>
        </is>
      </c>
      <c r="AZ366" s="32" t="inlineStr">
        <is>
          <t>Comércio atacadista de outros produtos químicos e petroquímicos não especificados anteriormente</t>
        </is>
      </c>
      <c r="BA366" s="32" t="inlineStr">
        <is>
          <t>não ME/EPP</t>
        </is>
      </c>
      <c r="BB366" s="33" t="n">
        <v>120000</v>
      </c>
      <c r="BC366" s="32" t="inlineStr">
        <is>
          <t>MID-MARKET</t>
        </is>
      </c>
      <c r="BD366" s="32" t="inlineStr">
        <is>
          <t>07094272</t>
        </is>
      </c>
      <c r="BE366" s="32" t="n">
        <v>2</v>
      </c>
      <c r="BF366" s="32" t="inlineStr">
        <is>
          <t>case no. corrected by reader</t>
        </is>
      </c>
    </row>
    <row r="367">
      <c r="A367" s="17" t="inlineStr">
        <is>
          <t>3- PLASTIC SOLUCOES EM COMERCIO DE POLIMEROS LTDA</t>
        </is>
      </c>
      <c r="B367" s="18" t="n">
        <v>256709.29</v>
      </c>
      <c r="C367" s="37" t="inlineStr">
        <is>
          <t>(debtor not identified — see proof)</t>
        </is>
      </c>
      <c r="D367" s="20" t="inlineStr">
        <is>
          <t>NEW</t>
        </is>
      </c>
      <c r="E367" s="21" t="inlineStr"/>
      <c r="F367" s="20" t="inlineStr"/>
      <c r="G367" s="21" t="inlineStr"/>
      <c r="H367" s="20" t="inlineStr"/>
      <c r="I367" s="22" t="inlineStr">
        <is>
          <t>Ademir Alcantara</t>
        </is>
      </c>
      <c r="J367" s="22" t="inlineStr">
        <is>
          <t>Partner</t>
        </is>
      </c>
      <c r="K367" s="22" t="inlineStr">
        <is>
          <t>(19) 8123-1209</t>
        </is>
      </c>
      <c r="L367" s="22" t="inlineStr"/>
      <c r="M367" s="22" t="inlineStr"/>
      <c r="N367" s="22" t="inlineStr">
        <is>
          <t>ademir@3-plastic.com.br</t>
        </is>
      </c>
      <c r="O367" s="22" t="inlineStr">
        <is>
          <t>verified</t>
        </is>
      </c>
      <c r="P367" s="22" t="inlineStr">
        <is>
          <t>ADEMIR BOSSA DE ALCANTARA</t>
        </is>
      </c>
      <c r="Q367" s="22" t="inlineStr">
        <is>
          <t>Administrador (RFB partner)</t>
        </is>
      </c>
      <c r="R367" s="22" t="inlineStr"/>
      <c r="S367" s="22" t="inlineStr"/>
      <c r="T367" s="22" t="inlineStr">
        <is>
          <t>DM: DM (sócio/diretor comercial; verified email)</t>
        </is>
      </c>
      <c r="U367" s="24" t="n">
        <v>256709.29</v>
      </c>
      <c r="V367" s="25" t="inlineStr">
        <is>
          <t>B</t>
        </is>
      </c>
      <c r="W367" s="26" t="inlineStr"/>
      <c r="X367" s="27" t="inlineStr"/>
      <c r="Y367" s="27" t="inlineStr"/>
      <c r="Z367" s="26">
        <f>IF(W367&lt;&gt;"",W367,IFERROR(VLOOKUP(V367,Assumptions!$A$8:$F$12,2,FALSE),0))</f>
        <v/>
      </c>
      <c r="AA367" s="28">
        <f>IF(V367="A",MAX(1,IF(X367&lt;&gt;"",X367,IFERROR(VLOOKUP(V367,Assumptions!$A$8:$F$12,3,FALSE),3))+IF(Y367&lt;&gt;"",Y367,IFERROR(VLOOKUP(V367,Assumptions!$A$8:$F$12,4,FALSE),8))/2-MAX(0,IF(AS367="",0,YEAR(TODAY())-AS367)-IFERROR(VLOOKUP(V367,Assumptions!$A$8:$F$12,5,FALSE),1.5))),IFERROR(VLOOKUP(V367,Assumptions!$A$8:$F$12,5,FALSE),2.5)+IF(X367&lt;&gt;"",X367,IFERROR(VLOOKUP(V367,Assumptions!$A$8:$F$12,3,FALSE),3))+IF(Y367&lt;&gt;"",Y367,IFERROR(VLOOKUP(V367,Assumptions!$A$8:$F$12,4,FALSE),8))/2)</f>
        <v/>
      </c>
      <c r="AB367" s="24">
        <f>U367*Z367/(1+Assumptions!$B$3)^AA367</f>
        <v/>
      </c>
      <c r="AC367" s="27">
        <f>IF(U367=0,"",ROUND(AB367/U367*100,1))</f>
        <v/>
      </c>
      <c r="AD367" s="29">
        <f>AB367*Assumptions!$B$4</f>
        <v/>
      </c>
      <c r="AE367" s="27">
        <f>IF(U367=0,"",ROUND(AD367/U367*100,1))</f>
        <v/>
      </c>
      <c r="AF367" s="29">
        <f>AB367-AD367</f>
        <v/>
      </c>
      <c r="AG367" s="27">
        <f>IF(U367=0,"",ROUND((AB367-AD367)/U367*100,1))</f>
        <v/>
      </c>
      <c r="AH367" s="30" t="inlineStr">
        <is>
          <t>OK — totals reconciled</t>
        </is>
      </c>
      <c r="AI367" s="31" t="inlineStr">
        <is>
          <t>https://ajruiz.com.br/sites/default/files/public/arquivos-processos/2024-04/relacao_de_credores_recuperanda_1.pdf</t>
        </is>
      </c>
      <c r="AJ367" s="30" t="inlineStr">
        <is>
          <t>p2 r2</t>
        </is>
      </c>
      <c r="AK367" s="30" t="inlineStr">
        <is>
          <t>p2: R$ 256.709,29</t>
        </is>
      </c>
      <c r="AL367" s="30" t="inlineStr">
        <is>
          <t>QGC (art. 18)</t>
        </is>
      </c>
      <c r="AM367" s="30" t="inlineStr">
        <is>
          <t>2024-01-31</t>
        </is>
      </c>
      <c r="AN367" s="30" t="inlineStr">
        <is>
          <t>NONE FOUND</t>
        </is>
      </c>
      <c r="AO367" s="32" t="inlineStr">
        <is>
          <t>1022634-27.2024.8.26.0100</t>
        </is>
      </c>
      <c r="AP367" s="32" t="inlineStr">
        <is>
          <t>TJSP</t>
        </is>
      </c>
      <c r="AQ367" s="32" t="inlineStr"/>
      <c r="AR367" s="32" t="inlineStr">
        <is>
          <t>not in DataJud</t>
        </is>
      </c>
      <c r="AS367" s="32" t="n">
        <v>2024</v>
      </c>
      <c r="AT367" s="32" t="inlineStr">
        <is>
          <t>live case, no plan document yet; case no. from the portal record, not printed on the list</t>
        </is>
      </c>
      <c r="AU367" s="32" t="inlineStr"/>
      <c r="AV367" s="32" t="inlineStr">
        <is>
          <t>not identified</t>
        </is>
      </c>
      <c r="AW367" s="32" t="inlineStr"/>
      <c r="AX367" s="32" t="inlineStr">
        <is>
          <t>AMERICANA</t>
        </is>
      </c>
      <c r="AY367" s="32" t="inlineStr">
        <is>
          <t>SP</t>
        </is>
      </c>
      <c r="AZ367" s="32" t="inlineStr">
        <is>
          <t>Comércio atacadista de resinas e elastômeros</t>
        </is>
      </c>
      <c r="BA367" s="32" t="inlineStr">
        <is>
          <t>não ME/EPP</t>
        </is>
      </c>
      <c r="BB367" s="33" t="n">
        <v>350000</v>
      </c>
      <c r="BC367" s="32" t="inlineStr">
        <is>
          <t>MID-MARKET</t>
        </is>
      </c>
      <c r="BD367" s="32" t="inlineStr">
        <is>
          <t>46167507</t>
        </is>
      </c>
      <c r="BE367" s="32" t="n">
        <v>1</v>
      </c>
      <c r="BF367" s="32" t="inlineStr">
        <is>
          <t>case no. corrected by reader</t>
        </is>
      </c>
    </row>
    <row r="368">
      <c r="A368" s="17" t="inlineStr">
        <is>
          <t>LOGOMAR COMERCIO, IMPORTACAO E EXPORTACAO LTDA</t>
        </is>
      </c>
      <c r="B368" s="18" t="n">
        <v>256557.88</v>
      </c>
      <c r="C368" s="19" t="inlineStr">
        <is>
          <t>AZEPLAST INDÚSTRIA E COMÉRCIO LTDA</t>
        </is>
      </c>
      <c r="D368" s="20" t="inlineStr">
        <is>
          <t>NEW</t>
        </is>
      </c>
      <c r="E368" s="21" t="inlineStr"/>
      <c r="F368" s="20" t="inlineStr"/>
      <c r="G368" s="21" t="inlineStr"/>
      <c r="H368" s="20" t="inlineStr"/>
      <c r="I368" s="22" t="inlineStr">
        <is>
          <t>Eduardo Andrade</t>
        </is>
      </c>
      <c r="J368" s="22" t="inlineStr">
        <is>
          <t>Partner</t>
        </is>
      </c>
      <c r="K368" s="22" t="inlineStr">
        <is>
          <t>(47) 3349-9700</t>
        </is>
      </c>
      <c r="L368" s="22" t="inlineStr"/>
      <c r="M368" s="22" t="inlineStr"/>
      <c r="N368" s="22" t="inlineStr">
        <is>
          <t>eduardo@logomar.com.br</t>
        </is>
      </c>
      <c r="O368" s="22" t="inlineStr">
        <is>
          <t>verified</t>
        </is>
      </c>
      <c r="P368" s="22" t="inlineStr">
        <is>
          <t>JAIME DE ANDRADE</t>
        </is>
      </c>
      <c r="Q368" s="22" t="inlineStr">
        <is>
          <t>Sócio-Administrador (RFB partner)</t>
        </is>
      </c>
      <c r="R368" s="22" t="inlineStr"/>
      <c r="S368" s="22" t="inlineStr"/>
      <c r="T368" s="22" t="inlineStr">
        <is>
          <t>DM: DM verified email (Administrador, Itajaí); VERIFY org: Apollo org 'Logomar' (logomar.com.br, 5 emp, no city); partner based in Itajaí SC matches</t>
        </is>
      </c>
      <c r="U368" s="24" t="n">
        <v>256557.88</v>
      </c>
      <c r="V368" s="25" t="inlineStr">
        <is>
          <t>B</t>
        </is>
      </c>
      <c r="W368" s="26" t="inlineStr"/>
      <c r="X368" s="27" t="inlineStr"/>
      <c r="Y368" s="27" t="inlineStr"/>
      <c r="Z368" s="26">
        <f>IF(W368&lt;&gt;"",W368,IFERROR(VLOOKUP(V368,Assumptions!$A$8:$F$12,2,FALSE),0))</f>
        <v/>
      </c>
      <c r="AA368" s="28">
        <f>IF(V368="A",MAX(1,IF(X368&lt;&gt;"",X368,IFERROR(VLOOKUP(V368,Assumptions!$A$8:$F$12,3,FALSE),3))+IF(Y368&lt;&gt;"",Y368,IFERROR(VLOOKUP(V368,Assumptions!$A$8:$F$12,4,FALSE),8))/2-MAX(0,IF(AS368="",0,YEAR(TODAY())-AS368)-IFERROR(VLOOKUP(V368,Assumptions!$A$8:$F$12,5,FALSE),1.5))),IFERROR(VLOOKUP(V368,Assumptions!$A$8:$F$12,5,FALSE),2.5)+IF(X368&lt;&gt;"",X368,IFERROR(VLOOKUP(V368,Assumptions!$A$8:$F$12,3,FALSE),3))+IF(Y368&lt;&gt;"",Y368,IFERROR(VLOOKUP(V368,Assumptions!$A$8:$F$12,4,FALSE),8))/2)</f>
        <v/>
      </c>
      <c r="AB368" s="24">
        <f>U368*Z368/(1+Assumptions!$B$3)^AA368</f>
        <v/>
      </c>
      <c r="AC368" s="27">
        <f>IF(U368=0,"",ROUND(AB368/U368*100,1))</f>
        <v/>
      </c>
      <c r="AD368" s="29">
        <f>AB368*Assumptions!$B$4</f>
        <v/>
      </c>
      <c r="AE368" s="27">
        <f>IF(U368=0,"",ROUND(AD368/U368*100,1))</f>
        <v/>
      </c>
      <c r="AF368" s="29">
        <f>AB368-AD368</f>
        <v/>
      </c>
      <c r="AG368" s="27">
        <f>IF(U368=0,"",ROUND((AB368-AD368)/U368*100,1))</f>
        <v/>
      </c>
      <c r="AH368" s="35" t="inlineStr">
        <is>
          <t>PARTIAL — class III reconciled, other classes not</t>
        </is>
      </c>
      <c r="AI368" s="31" t="inlineStr">
        <is>
          <t>https://ajruiz.com.br/sites/default/files/public/arquivos-processos/2026-08/qgc_azeplast_julho_2026.pdf</t>
        </is>
      </c>
      <c r="AJ368" s="30" t="inlineStr">
        <is>
          <t>p1 r39</t>
        </is>
      </c>
      <c r="AK368" s="30" t="inlineStr">
        <is>
          <t>p1: R$ 256.557,88</t>
        </is>
      </c>
      <c r="AL368" s="30" t="inlineStr">
        <is>
          <t>QGC (art. 18)</t>
        </is>
      </c>
      <c r="AM368" s="30" t="inlineStr"/>
      <c r="AN368" s="30" t="inlineStr">
        <is>
          <t>NONE FOUND</t>
        </is>
      </c>
      <c r="AO368" s="32" t="inlineStr">
        <is>
          <t>5008793-34.2023.8.24.0019</t>
        </is>
      </c>
      <c r="AP368" s="32" t="inlineStr">
        <is>
          <t>TJSC</t>
        </is>
      </c>
      <c r="AQ368" s="32" t="inlineStr">
        <is>
          <t>Recuperação judicial</t>
        </is>
      </c>
      <c r="AR368" s="32" t="inlineStr">
        <is>
          <t>DataJud: no closure/falência movement</t>
        </is>
      </c>
      <c r="AS368" s="32" t="n">
        <v>2023</v>
      </c>
      <c r="AT368" s="32" t="inlineStr">
        <is>
          <t>live case, no plan document yet</t>
        </is>
      </c>
      <c r="AU368" s="32" t="inlineStr"/>
      <c r="AV368" s="32" t="inlineStr">
        <is>
          <t>printed on the list (read twice)</t>
        </is>
      </c>
      <c r="AW368" s="32" t="inlineStr"/>
      <c r="AX368" s="32" t="inlineStr">
        <is>
          <t>ITAJAI</t>
        </is>
      </c>
      <c r="AY368" s="32" t="inlineStr">
        <is>
          <t>SC</t>
        </is>
      </c>
      <c r="AZ368" s="32" t="inlineStr">
        <is>
          <t>Comércio atacadista de resinas e elastômeros</t>
        </is>
      </c>
      <c r="BA368" s="32" t="inlineStr">
        <is>
          <t>não ME/EPP</t>
        </is>
      </c>
      <c r="BB368" s="33" t="n">
        <v>200000</v>
      </c>
      <c r="BC368" s="32" t="inlineStr">
        <is>
          <t>MID-MARKET</t>
        </is>
      </c>
      <c r="BD368" s="32" t="inlineStr">
        <is>
          <t>12863297</t>
        </is>
      </c>
      <c r="BE368" s="32" t="n">
        <v>1</v>
      </c>
      <c r="BF368" s="32" t="inlineStr">
        <is>
          <t>class III reconciled (doc partial)</t>
        </is>
      </c>
    </row>
    <row r="369">
      <c r="A369" s="17" t="inlineStr">
        <is>
          <t>TECELAGEM JOLITEX LTDA</t>
        </is>
      </c>
      <c r="B369" s="18" t="n">
        <v>1828397.18</v>
      </c>
      <c r="C369" s="19" t="inlineStr">
        <is>
          <t>Mannes</t>
        </is>
      </c>
      <c r="D369" s="20" t="inlineStr">
        <is>
          <t>NEW</t>
        </is>
      </c>
      <c r="E369" s="21" t="inlineStr"/>
      <c r="F369" s="20" t="inlineStr"/>
      <c r="G369" s="21" t="inlineStr"/>
      <c r="H369" s="20" t="inlineStr"/>
      <c r="I369" s="22" t="inlineStr">
        <is>
          <t>Josiane Oliveira</t>
        </is>
      </c>
      <c r="J369" s="22" t="inlineStr">
        <is>
          <t>Purchasing Coordinator</t>
        </is>
      </c>
      <c r="K369" s="22" t="inlineStr"/>
      <c r="L369" s="22" t="inlineStr"/>
      <c r="M369" s="22" t="inlineStr"/>
      <c r="N369" s="22" t="inlineStr">
        <is>
          <t>josiane@jolitex.com.br</t>
        </is>
      </c>
      <c r="O369" s="22" t="inlineStr">
        <is>
          <t>verified</t>
        </is>
      </c>
      <c r="P369" s="22" t="inlineStr">
        <is>
          <t>Natalia Nery</t>
        </is>
      </c>
      <c r="Q369" s="22" t="inlineStr">
        <is>
          <t>Coordenadora Financeira – Crédito e Cobrança</t>
        </is>
      </c>
      <c r="R369" s="22" t="inlineStr"/>
      <c r="S369" s="22" t="inlineStr">
        <is>
          <t>natalia.nery@jolitex.com</t>
        </is>
      </c>
      <c r="T369" s="22" t="inlineStr">
        <is>
          <t>DM: weak, has_email; no finance found; BACKUP: has_email, phone Yes</t>
        </is>
      </c>
      <c r="U369" s="24" t="n">
        <v>1828397.18</v>
      </c>
      <c r="V369" s="40" t="inlineStr">
        <is>
          <t>D</t>
        </is>
      </c>
      <c r="W369" s="26" t="inlineStr"/>
      <c r="X369" s="27" t="inlineStr"/>
      <c r="Y369" s="27" t="inlineStr"/>
      <c r="Z369" s="26">
        <f>IF(W369&lt;&gt;"",W369,IFERROR(VLOOKUP(V369,Assumptions!$A$8:$F$12,2,FALSE),0))</f>
        <v/>
      </c>
      <c r="AA369" s="28">
        <f>IF(V369="A",MAX(1,IF(X369&lt;&gt;"",X369,IFERROR(VLOOKUP(V369,Assumptions!$A$8:$F$12,3,FALSE),3))+IF(Y369&lt;&gt;"",Y369,IFERROR(VLOOKUP(V369,Assumptions!$A$8:$F$12,4,FALSE),8))/2-MAX(0,IF(AS369="",0,YEAR(TODAY())-AS369)-IFERROR(VLOOKUP(V369,Assumptions!$A$8:$F$12,5,FALSE),1.5))),IFERROR(VLOOKUP(V369,Assumptions!$A$8:$F$12,5,FALSE),2.5)+IF(X369&lt;&gt;"",X369,IFERROR(VLOOKUP(V369,Assumptions!$A$8:$F$12,3,FALSE),3))+IF(Y369&lt;&gt;"",Y369,IFERROR(VLOOKUP(V369,Assumptions!$A$8:$F$12,4,FALSE),8))/2)</f>
        <v/>
      </c>
      <c r="AB369" s="24">
        <f>U369*Z369/(1+Assumptions!$B$3)^AA369</f>
        <v/>
      </c>
      <c r="AC369" s="27">
        <f>IF(U369=0,"",ROUND(AB369/U369*100,1))</f>
        <v/>
      </c>
      <c r="AD369" s="29">
        <f>AB369*Assumptions!$B$4</f>
        <v/>
      </c>
      <c r="AE369" s="27">
        <f>IF(U369=0,"",ROUND(AD369/U369*100,1))</f>
        <v/>
      </c>
      <c r="AF369" s="29">
        <f>AB369-AD369</f>
        <v/>
      </c>
      <c r="AG369" s="27">
        <f>IF(U369=0,"",ROUND((AB369-AD369)/U369*100,1))</f>
        <v/>
      </c>
      <c r="AH369" s="36" t="inlineStr">
        <is>
          <t>CHECK — source is not a statutory creditor list</t>
        </is>
      </c>
      <c r="AI369" s="31" t="inlineStr">
        <is>
          <t>https://administradorajudicialgs.com.br/wp-content/uploads/2024/12/relacao-de-credores-da-falida.pdf</t>
        </is>
      </c>
      <c r="AJ369" s="30" t="inlineStr">
        <is>
          <t>p18 r50</t>
        </is>
      </c>
      <c r="AK369" s="30" t="inlineStr">
        <is>
          <t>p18: R$ 1.828.397,18</t>
        </is>
      </c>
      <c r="AL369" s="30" t="inlineStr">
        <is>
          <t>Other filing — NOT an art. 7/51 list</t>
        </is>
      </c>
      <c r="AM369" s="30" t="inlineStr">
        <is>
          <t>2025-03-25</t>
        </is>
      </c>
      <c r="AN369" s="30" t="inlineStr">
        <is>
          <t>NONE FOUND</t>
        </is>
      </c>
      <c r="AO369" s="32" t="inlineStr">
        <is>
          <t>0005010-50.2013.8.24.0026</t>
        </is>
      </c>
      <c r="AP369" s="32" t="inlineStr">
        <is>
          <t>TJSC</t>
        </is>
      </c>
      <c r="AQ369" s="32" t="inlineStr">
        <is>
          <t>Falência</t>
        </is>
      </c>
      <c r="AR369" s="32" t="inlineStr">
        <is>
          <t>not in DataJud</t>
        </is>
      </c>
      <c r="AS369" s="32" t="n">
        <v>2013</v>
      </c>
      <c r="AT369" s="32" t="inlineStr">
        <is>
          <t>falência proceeding (list/name says falida)</t>
        </is>
      </c>
      <c r="AU369" s="32" t="inlineStr"/>
      <c r="AV369" s="32" t="inlineStr">
        <is>
          <t>printed on the list (read twice)</t>
        </is>
      </c>
      <c r="AW369" s="32" t="inlineStr"/>
      <c r="AX369" s="32" t="inlineStr">
        <is>
          <t>AMERICANA</t>
        </is>
      </c>
      <c r="AY369" s="32" t="inlineStr">
        <is>
          <t>SP</t>
        </is>
      </c>
      <c r="AZ369" s="32" t="inlineStr">
        <is>
          <t>Preparação e fiação de fibras de algodão</t>
        </is>
      </c>
      <c r="BA369" s="32" t="inlineStr">
        <is>
          <t>não ME/EPP</t>
        </is>
      </c>
      <c r="BB369" s="33" t="n">
        <v>12000000</v>
      </c>
      <c r="BC369" s="32" t="inlineStr">
        <is>
          <t>MID-MARKET</t>
        </is>
      </c>
      <c r="BD369" s="32" t="inlineStr">
        <is>
          <t>43237254</t>
        </is>
      </c>
      <c r="BE369" s="32" t="n">
        <v>1</v>
      </c>
      <c r="BF369" s="32" t="inlineStr">
        <is>
          <t>list prints no totals case no. corrected by reader</t>
        </is>
      </c>
    </row>
    <row r="370">
      <c r="A370" s="17" t="inlineStr">
        <is>
          <t>CASA NOVA EMPREENDIMENTOS IMOBILIARIOS LTDA</t>
        </is>
      </c>
      <c r="B370" s="18" t="n">
        <v>255115.32</v>
      </c>
      <c r="C370" s="19" t="inlineStr">
        <is>
          <t>GRUPO IMOBI</t>
        </is>
      </c>
      <c r="D370" s="20" t="inlineStr">
        <is>
          <t>NEW</t>
        </is>
      </c>
      <c r="E370" s="21" t="inlineStr"/>
      <c r="F370" s="20" t="inlineStr"/>
      <c r="G370" s="21" t="inlineStr"/>
      <c r="H370" s="20" t="inlineStr"/>
      <c r="I370" s="22" t="inlineStr">
        <is>
          <t>SEMARES GENUINO VIEIRA</t>
        </is>
      </c>
      <c r="J370" s="23" t="inlineStr">
        <is>
          <t>Sócio-Administrador (RFB partner)</t>
        </is>
      </c>
      <c r="K370" s="22" t="inlineStr">
        <is>
          <t>(81) 9267-8720</t>
        </is>
      </c>
      <c r="L370" s="22" t="inlineStr">
        <is>
          <t>(81) 9267-8720</t>
        </is>
      </c>
      <c r="M370" s="22" t="inlineStr"/>
      <c r="N370" s="22" t="inlineStr"/>
      <c r="O370" s="22" t="inlineStr"/>
      <c r="P370" s="22" t="inlineStr">
        <is>
          <t>Andre Figueiredo</t>
        </is>
      </c>
      <c r="Q370" s="22" t="inlineStr">
        <is>
          <t>Civil Engineer</t>
        </is>
      </c>
      <c r="R370" s="22" t="inlineStr"/>
      <c r="S370" s="22" t="inlineStr"/>
      <c r="T370" s="22" t="inlineStr">
        <is>
          <t>DM = registered partner (RFB QSA); Apollo pick demoted to backup (non-finance role); BACKUP: DM (only non-shop-floor person; not finance) email unavailable; only 3 people (pedreiro, safety tech, civil engineer); no finance staff. VERIFY org: Casa Nova Empreendimentos Imobiliários / Nova Casa Empreendimentos Imobiliarios</t>
        </is>
      </c>
      <c r="U370" s="24" t="n">
        <v>255115.32</v>
      </c>
      <c r="V370" s="25" t="inlineStr">
        <is>
          <t>B</t>
        </is>
      </c>
      <c r="W370" s="26" t="inlineStr"/>
      <c r="X370" s="27" t="inlineStr"/>
      <c r="Y370" s="27" t="inlineStr"/>
      <c r="Z370" s="26">
        <f>IF(W370&lt;&gt;"",W370,IFERROR(VLOOKUP(V370,Assumptions!$A$8:$F$12,2,FALSE),0))</f>
        <v/>
      </c>
      <c r="AA370" s="28">
        <f>IF(V370="A",MAX(1,IF(X370&lt;&gt;"",X370,IFERROR(VLOOKUP(V370,Assumptions!$A$8:$F$12,3,FALSE),3))+IF(Y370&lt;&gt;"",Y370,IFERROR(VLOOKUP(V370,Assumptions!$A$8:$F$12,4,FALSE),8))/2-MAX(0,IF(AS370="",0,YEAR(TODAY())-AS370)-IFERROR(VLOOKUP(V370,Assumptions!$A$8:$F$12,5,FALSE),1.5))),IFERROR(VLOOKUP(V370,Assumptions!$A$8:$F$12,5,FALSE),2.5)+IF(X370&lt;&gt;"",X370,IFERROR(VLOOKUP(V370,Assumptions!$A$8:$F$12,3,FALSE),3))+IF(Y370&lt;&gt;"",Y370,IFERROR(VLOOKUP(V370,Assumptions!$A$8:$F$12,4,FALSE),8))/2)</f>
        <v/>
      </c>
      <c r="AB370" s="24">
        <f>U370*Z370/(1+Assumptions!$B$3)^AA370</f>
        <v/>
      </c>
      <c r="AC370" s="27">
        <f>IF(U370=0,"",ROUND(AB370/U370*100,1))</f>
        <v/>
      </c>
      <c r="AD370" s="29">
        <f>AB370*Assumptions!$B$4</f>
        <v/>
      </c>
      <c r="AE370" s="27">
        <f>IF(U370=0,"",ROUND(AD370/U370*100,1))</f>
        <v/>
      </c>
      <c r="AF370" s="29">
        <f>AB370-AD370</f>
        <v/>
      </c>
      <c r="AG370" s="27">
        <f>IF(U370=0,"",ROUND((AB370-AD370)/U370*100,1))</f>
        <v/>
      </c>
      <c r="AH370" s="30" t="inlineStr">
        <is>
          <t>OK — totals reconciled</t>
        </is>
      </c>
      <c r="AI370" s="31" t="inlineStr">
        <is>
          <t>https://lrflideres.com.br/wp-content/plugins/download-attachments/includes/download.php?id=6273</t>
        </is>
      </c>
      <c r="AJ370" s="30" t="inlineStr">
        <is>
          <t>p4 r13</t>
        </is>
      </c>
      <c r="AK370" s="30" t="inlineStr">
        <is>
          <t>p4: R$ 255.115,32</t>
        </is>
      </c>
      <c r="AL370" s="30" t="inlineStr">
        <is>
          <t>AJ list (art. 7 §2)</t>
        </is>
      </c>
      <c r="AM370" s="30" t="inlineStr">
        <is>
          <t>2024-11-14</t>
        </is>
      </c>
      <c r="AN370" s="30" t="inlineStr">
        <is>
          <t>NONE FOUND</t>
        </is>
      </c>
      <c r="AO370" s="32" t="inlineStr">
        <is>
          <t>0074500-63.2024.8.17.2001</t>
        </is>
      </c>
      <c r="AP370" s="32" t="inlineStr">
        <is>
          <t>TJPE</t>
        </is>
      </c>
      <c r="AQ370" s="32" t="inlineStr">
        <is>
          <t>Recuperação judicial</t>
        </is>
      </c>
      <c r="AR370" s="32" t="inlineStr">
        <is>
          <t>DataJud: no closure/falência movement</t>
        </is>
      </c>
      <c r="AS370" s="32" t="n">
        <v>2024</v>
      </c>
      <c r="AT370" s="32" t="inlineStr">
        <is>
          <t>live case, no plan document yet</t>
        </is>
      </c>
      <c r="AU370" s="32" t="inlineStr">
        <is>
          <t>02.284.048/0001-02</t>
        </is>
      </c>
      <c r="AV370" s="32" t="inlineStr">
        <is>
          <t>printed on the list (read twice)</t>
        </is>
      </c>
      <c r="AW370" s="32" t="inlineStr"/>
      <c r="AX370" s="32" t="inlineStr">
        <is>
          <t>OLINDA</t>
        </is>
      </c>
      <c r="AY370" s="32" t="inlineStr">
        <is>
          <t>PE</t>
        </is>
      </c>
      <c r="AZ370" s="32" t="inlineStr">
        <is>
          <t>Construção de edifícios</t>
        </is>
      </c>
      <c r="BA370" s="32" t="inlineStr">
        <is>
          <t>não ME/EPP</t>
        </is>
      </c>
      <c r="BB370" s="33" t="n">
        <v>5000</v>
      </c>
      <c r="BC370" s="32" t="inlineStr">
        <is>
          <t>MID-MARKET</t>
        </is>
      </c>
      <c r="BD370" s="32" t="inlineStr">
        <is>
          <t>16629296</t>
        </is>
      </c>
      <c r="BE370" s="32" t="n">
        <v>1</v>
      </c>
      <c r="BF370" s="32" t="inlineStr"/>
    </row>
    <row r="371">
      <c r="A371" s="17" t="inlineStr">
        <is>
          <t>SERASA S.A.</t>
        </is>
      </c>
      <c r="B371" s="18" t="n">
        <v>254832.18</v>
      </c>
      <c r="C371" s="19" t="inlineStr">
        <is>
          <t>Grupo Rech</t>
        </is>
      </c>
      <c r="D371" s="20" t="inlineStr">
        <is>
          <t>NEW</t>
        </is>
      </c>
      <c r="E371" s="21" t="inlineStr"/>
      <c r="F371" s="20" t="inlineStr"/>
      <c r="G371" s="21" t="inlineStr"/>
      <c r="H371" s="20" t="inlineStr"/>
      <c r="I371" s="22" t="inlineStr">
        <is>
          <t>Fabiana Ferreira</t>
        </is>
      </c>
      <c r="J371" s="22" t="inlineStr">
        <is>
          <t>Gerente Credito e Cobrança</t>
        </is>
      </c>
      <c r="K371" s="22" t="inlineStr">
        <is>
          <t>(11) 2847-9061</t>
        </is>
      </c>
      <c r="L371" s="22" t="inlineStr"/>
      <c r="M371" s="22" t="inlineStr"/>
      <c r="N371" s="22" t="inlineStr">
        <is>
          <t>fabiana.ferreira@br.experian.com</t>
        </is>
      </c>
      <c r="O371" s="22" t="inlineStr">
        <is>
          <t>verified</t>
        </is>
      </c>
      <c r="P371" s="22" t="inlineStr">
        <is>
          <t>Alysson Pedra</t>
        </is>
      </c>
      <c r="Q371" s="22" t="inlineStr">
        <is>
          <t>Gerente Financeiro - Tesouraria</t>
        </is>
      </c>
      <c r="R371" s="22" t="inlineStr"/>
      <c r="S371" s="22" t="inlineStr">
        <is>
          <t>alysson.pedra@br.experian.com</t>
        </is>
      </c>
      <c r="T371" s="22" t="inlineStr">
        <is>
          <t>DM: DM verified email; LARGE CORP; Apollo org Serasa Experian; emails @br.experian.com; BACKUP: backup verified email</t>
        </is>
      </c>
      <c r="U371" s="24" t="n">
        <v>254832.18</v>
      </c>
      <c r="V371" s="25" t="inlineStr">
        <is>
          <t>B</t>
        </is>
      </c>
      <c r="W371" s="26" t="inlineStr"/>
      <c r="X371" s="27" t="inlineStr"/>
      <c r="Y371" s="27" t="inlineStr"/>
      <c r="Z371" s="26">
        <f>IF(W371&lt;&gt;"",W371,IFERROR(VLOOKUP(V371,Assumptions!$A$8:$F$12,2,FALSE),0))</f>
        <v/>
      </c>
      <c r="AA371" s="28">
        <f>IF(V371="A",MAX(1,IF(X371&lt;&gt;"",X371,IFERROR(VLOOKUP(V371,Assumptions!$A$8:$F$12,3,FALSE),3))+IF(Y371&lt;&gt;"",Y371,IFERROR(VLOOKUP(V371,Assumptions!$A$8:$F$12,4,FALSE),8))/2-MAX(0,IF(AS371="",0,YEAR(TODAY())-AS371)-IFERROR(VLOOKUP(V371,Assumptions!$A$8:$F$12,5,FALSE),1.5))),IFERROR(VLOOKUP(V371,Assumptions!$A$8:$F$12,5,FALSE),2.5)+IF(X371&lt;&gt;"",X371,IFERROR(VLOOKUP(V371,Assumptions!$A$8:$F$12,3,FALSE),3))+IF(Y371&lt;&gt;"",Y371,IFERROR(VLOOKUP(V371,Assumptions!$A$8:$F$12,4,FALSE),8))/2)</f>
        <v/>
      </c>
      <c r="AB371" s="24">
        <f>U371*Z371/(1+Assumptions!$B$3)^AA371</f>
        <v/>
      </c>
      <c r="AC371" s="27">
        <f>IF(U371=0,"",ROUND(AB371/U371*100,1))</f>
        <v/>
      </c>
      <c r="AD371" s="29">
        <f>AB371*Assumptions!$B$4</f>
        <v/>
      </c>
      <c r="AE371" s="27">
        <f>IF(U371=0,"",ROUND(AD371/U371*100,1))</f>
        <v/>
      </c>
      <c r="AF371" s="29">
        <f>AB371-AD371</f>
        <v/>
      </c>
      <c r="AG371" s="27">
        <f>IF(U371=0,"",ROUND((AB371-AD371)/U371*100,1))</f>
        <v/>
      </c>
      <c r="AH371" s="36" t="inlineStr">
        <is>
          <t>CHECK — source is not a statutory creditor list</t>
        </is>
      </c>
      <c r="AI371" s="31" t="inlineStr">
        <is>
          <t>https://credibilita.com.br/wp-content/uploads/2025/09/Relacao-Credores-29.04.2026.pdf</t>
        </is>
      </c>
      <c r="AJ371" s="30" t="inlineStr">
        <is>
          <t>p2 r17</t>
        </is>
      </c>
      <c r="AK371" s="30" t="inlineStr">
        <is>
          <t>p2: R$ 254.832,18</t>
        </is>
      </c>
      <c r="AL371" s="30" t="inlineStr">
        <is>
          <t>Quorum list — NOT an art. 7/51 list</t>
        </is>
      </c>
      <c r="AM371" s="30" t="inlineStr"/>
      <c r="AN371" s="30" t="inlineStr">
        <is>
          <t>NONE FOUND</t>
        </is>
      </c>
      <c r="AO371" s="32" t="inlineStr">
        <is>
          <t>5057720-48.2025.8.24.0023</t>
        </is>
      </c>
      <c r="AP371" s="32" t="inlineStr">
        <is>
          <t>TJSC</t>
        </is>
      </c>
      <c r="AQ371" s="32" t="inlineStr"/>
      <c r="AR371" s="32" t="inlineStr">
        <is>
          <t>not in DataJud</t>
        </is>
      </c>
      <c r="AS371" s="32" t="n">
        <v>2025</v>
      </c>
      <c r="AT371" s="32" t="inlineStr">
        <is>
          <t>live case, no plan document yet; case no. from the portal record, not printed on the list</t>
        </is>
      </c>
      <c r="AU371" s="32" t="inlineStr"/>
      <c r="AV371" s="32" t="inlineStr">
        <is>
          <t>portal page title / URL — not printed on the list</t>
        </is>
      </c>
      <c r="AW371" s="32" t="inlineStr"/>
      <c r="AX371" s="32" t="inlineStr">
        <is>
          <t>SAO PAULO</t>
        </is>
      </c>
      <c r="AY371" s="32" t="inlineStr">
        <is>
          <t>SP</t>
        </is>
      </c>
      <c r="AZ371" s="32" t="inlineStr">
        <is>
          <t>Atividades de consultoria em gestão empresarial, exceto consultoria técnica específica</t>
        </is>
      </c>
      <c r="BA371" s="32" t="inlineStr">
        <is>
          <t>não ME/EPP</t>
        </is>
      </c>
      <c r="BB371" s="33" t="n">
        <v>1628949000</v>
      </c>
      <c r="BC371" s="32" t="inlineStr">
        <is>
          <t>LARGE CORP</t>
        </is>
      </c>
      <c r="BD371" s="32" t="inlineStr">
        <is>
          <t>62173620</t>
        </is>
      </c>
      <c r="BE371" s="32" t="n">
        <v>1</v>
      </c>
      <c r="BF371" s="32" t="inlineStr">
        <is>
          <t>list prints no totals case no. corrected by reader</t>
        </is>
      </c>
    </row>
    <row r="372">
      <c r="A372" s="17" t="inlineStr">
        <is>
          <t>CM HOSPITALAR S.A.</t>
        </is>
      </c>
      <c r="B372" s="18" t="n">
        <v>254179.99</v>
      </c>
      <c r="C372" s="19" t="inlineStr">
        <is>
          <t>ASSOCIAÇÃO DE CARIDADE SANTA CASA DO RIO GRANDE</t>
        </is>
      </c>
      <c r="D372" s="20" t="inlineStr">
        <is>
          <t>NEW</t>
        </is>
      </c>
      <c r="E372" s="21" t="inlineStr"/>
      <c r="F372" s="20" t="inlineStr"/>
      <c r="G372" s="21" t="inlineStr"/>
      <c r="H372" s="20" t="inlineStr"/>
      <c r="I372" s="22" t="inlineStr">
        <is>
          <t>Marcelo Ribeiro</t>
        </is>
      </c>
      <c r="J372" s="22" t="inlineStr">
        <is>
          <t>Financial Manager</t>
        </is>
      </c>
      <c r="K372" s="22" t="inlineStr">
        <is>
          <t>(47) 3321-8450</t>
        </is>
      </c>
      <c r="L372" s="22" t="inlineStr">
        <is>
          <t>(16) 3995-9401</t>
        </is>
      </c>
      <c r="M372" s="22" t="inlineStr"/>
      <c r="N372" s="22" t="inlineStr">
        <is>
          <t>marcelo.ribeiro@mafrasaude.com.br</t>
        </is>
      </c>
      <c r="O372" s="22" t="inlineStr">
        <is>
          <t>verified</t>
        </is>
      </c>
      <c r="P372" s="22" t="inlineStr">
        <is>
          <t>Maria Framos</t>
        </is>
      </c>
      <c r="Q372" s="22" t="inlineStr">
        <is>
          <t>Coordenadora de Projetos - Controladoria</t>
        </is>
      </c>
      <c r="R372" s="22" t="inlineStr"/>
      <c r="S372" s="22" t="inlineStr">
        <is>
          <t>framos.maria@mafrahospitalar.com.br</t>
        </is>
      </c>
      <c r="T372" s="22" t="inlineStr">
        <is>
          <t>DM: DM (headline says Profarma Specialty; email @mafrasaude.com.br); LARGE CORP. 'Mafra Hospitalar'+titles returned 0; used 'Mafra'+titles. VERIFY org: Mafra (mafrasaude.com.br) / Mafra Hospitalar S.A. — CM Hospitalar is Grupo Viveo; Marcelo may be at Profarma Specialty.; BACKUP: backup (Mafra Hospitalar S.A., verified)</t>
        </is>
      </c>
      <c r="U372" s="24" t="n">
        <v>254179.99</v>
      </c>
      <c r="V372" s="25" t="inlineStr">
        <is>
          <t>B</t>
        </is>
      </c>
      <c r="W372" s="26" t="inlineStr"/>
      <c r="X372" s="27" t="inlineStr"/>
      <c r="Y372" s="27" t="inlineStr"/>
      <c r="Z372" s="26">
        <f>IF(W372&lt;&gt;"",W372,IFERROR(VLOOKUP(V372,Assumptions!$A$8:$F$12,2,FALSE),0))</f>
        <v/>
      </c>
      <c r="AA372" s="28">
        <f>IF(V372="A",MAX(1,IF(X372&lt;&gt;"",X372,IFERROR(VLOOKUP(V372,Assumptions!$A$8:$F$12,3,FALSE),3))+IF(Y372&lt;&gt;"",Y372,IFERROR(VLOOKUP(V372,Assumptions!$A$8:$F$12,4,FALSE),8))/2-MAX(0,IF(AS372="",0,YEAR(TODAY())-AS372)-IFERROR(VLOOKUP(V372,Assumptions!$A$8:$F$12,5,FALSE),1.5))),IFERROR(VLOOKUP(V372,Assumptions!$A$8:$F$12,5,FALSE),2.5)+IF(X372&lt;&gt;"",X372,IFERROR(VLOOKUP(V372,Assumptions!$A$8:$F$12,3,FALSE),3))+IF(Y372&lt;&gt;"",Y372,IFERROR(VLOOKUP(V372,Assumptions!$A$8:$F$12,4,FALSE),8))/2)</f>
        <v/>
      </c>
      <c r="AB372" s="24">
        <f>U372*Z372/(1+Assumptions!$B$3)^AA372</f>
        <v/>
      </c>
      <c r="AC372" s="27">
        <f>IF(U372=0,"",ROUND(AB372/U372*100,1))</f>
        <v/>
      </c>
      <c r="AD372" s="29">
        <f>AB372*Assumptions!$B$4</f>
        <v/>
      </c>
      <c r="AE372" s="27">
        <f>IF(U372=0,"",ROUND(AD372/U372*100,1))</f>
        <v/>
      </c>
      <c r="AF372" s="29">
        <f>AB372-AD372</f>
        <v/>
      </c>
      <c r="AG372" s="27">
        <f>IF(U372=0,"",ROUND((AB372-AD372)/U372*100,1))</f>
        <v/>
      </c>
      <c r="AH372" s="34" t="inlineStr">
        <is>
          <t>NO TOTALS — list prints none; check page</t>
        </is>
      </c>
      <c r="AI372" s="31" t="inlineStr">
        <is>
          <t>https://scalzilliaj.com.br/sgc/download.php?file=files/processo_documento/processo_documento09120721032023_1_.pdf&amp;nome=15 - Edital do art. 7º, §2º e 53 da Lei 11.101/2005 (segunda lista de credores e recebimento do plano))</t>
        </is>
      </c>
      <c r="AJ372" s="30" t="inlineStr">
        <is>
          <t>p26 r35; p26 r36; p26 r37</t>
        </is>
      </c>
      <c r="AK372" s="30" t="inlineStr">
        <is>
          <t>p26: R$ 115.725,39; p26: R$ 21.768,85; p26: R$ 116.685,75</t>
        </is>
      </c>
      <c r="AL372" s="30" t="inlineStr">
        <is>
          <t>AJ list (art. 7 §2)</t>
        </is>
      </c>
      <c r="AM372" s="30" t="inlineStr">
        <is>
          <t>2023-03-21</t>
        </is>
      </c>
      <c r="AN372" s="30" t="inlineStr">
        <is>
          <t>NONE FOUND</t>
        </is>
      </c>
      <c r="AO372" s="32" t="inlineStr">
        <is>
          <t>5012306-16.2022.8.21.0023</t>
        </is>
      </c>
      <c r="AP372" s="32" t="inlineStr">
        <is>
          <t>TJRS</t>
        </is>
      </c>
      <c r="AQ372" s="32" t="inlineStr">
        <is>
          <t>Recuperação judicial</t>
        </is>
      </c>
      <c r="AR372" s="32" t="inlineStr">
        <is>
          <t>DataJud: no closure/falência movement</t>
        </is>
      </c>
      <c r="AS372" s="32" t="n">
        <v>2022</v>
      </c>
      <c r="AT372" s="32" t="inlineStr">
        <is>
          <t>live case, no plan document yet; atypical debtor (associação/clube/hospital/produtor rural): admissibility or claim subjection may be contested</t>
        </is>
      </c>
      <c r="AU372" s="32" t="inlineStr"/>
      <c r="AV372" s="32" t="inlineStr">
        <is>
          <t>printed on the list (read twice)</t>
        </is>
      </c>
      <c r="AW372" s="32" t="inlineStr"/>
      <c r="AX372" s="32" t="inlineStr">
        <is>
          <t>RIBEIRAO PRETO</t>
        </is>
      </c>
      <c r="AY372" s="32" t="inlineStr">
        <is>
          <t>SP</t>
        </is>
      </c>
      <c r="AZ372" s="32" t="inlineStr">
        <is>
          <t>Comércio atacadista de medicamentos e drogas de uso humano</t>
        </is>
      </c>
      <c r="BA372" s="32" t="inlineStr">
        <is>
          <t>não ME/EPP</t>
        </is>
      </c>
      <c r="BB372" s="33" t="n">
        <v>2549392400</v>
      </c>
      <c r="BC372" s="32" t="inlineStr">
        <is>
          <t>LARGE CORP</t>
        </is>
      </c>
      <c r="BD372" s="32" t="inlineStr">
        <is>
          <t>12420164</t>
        </is>
      </c>
      <c r="BE372" s="32" t="n">
        <v>3</v>
      </c>
      <c r="BF372" s="32" t="inlineStr">
        <is>
          <t>list prints no totals</t>
        </is>
      </c>
    </row>
    <row r="373">
      <c r="A373" s="17" t="inlineStr">
        <is>
          <t>VITAMEDIC INDUSTRIA FARMACEUTICA LTDA</t>
        </is>
      </c>
      <c r="B373" s="18" t="n">
        <v>250921.84</v>
      </c>
      <c r="C373" s="19" t="inlineStr">
        <is>
          <t>GRUPO DP4</t>
        </is>
      </c>
      <c r="D373" s="20" t="inlineStr">
        <is>
          <t>NEW</t>
        </is>
      </c>
      <c r="E373" s="21" t="inlineStr"/>
      <c r="F373" s="20" t="inlineStr"/>
      <c r="G373" s="21" t="inlineStr"/>
      <c r="H373" s="20" t="inlineStr"/>
      <c r="I373" s="22" t="inlineStr">
        <is>
          <t>Katia Gomes</t>
        </is>
      </c>
      <c r="J373" s="22" t="inlineStr">
        <is>
          <t>Financial Administrative Analyst</t>
        </is>
      </c>
      <c r="K373" s="22" t="inlineStr">
        <is>
          <t>(62) 3902-6100</t>
        </is>
      </c>
      <c r="L373" s="22" t="inlineStr">
        <is>
          <t>(62) 3902-6134</t>
        </is>
      </c>
      <c r="M373" s="22" t="inlineStr"/>
      <c r="N373" s="22" t="inlineStr">
        <is>
          <t>katia.silva@vitamedic.ind.br</t>
        </is>
      </c>
      <c r="O373" s="22" t="inlineStr">
        <is>
          <t>verified</t>
        </is>
      </c>
      <c r="P373" s="22" t="inlineStr">
        <is>
          <t>Valeria Costa</t>
        </is>
      </c>
      <c r="Q373" s="22" t="inlineStr">
        <is>
          <t>Coordenadora de Controladoria de Resultados Fiscal</t>
        </is>
      </c>
      <c r="R373" s="22" t="inlineStr"/>
      <c r="S373" s="22" t="inlineStr">
        <is>
          <t>valeria.costa@vitamedic.ind.br</t>
        </is>
      </c>
      <c r="T373" s="22" t="inlineStr">
        <is>
          <t>DM: DM verified email; LARGE CORP; Apollo org VITAMEDIC (vitamedic.ind.br); BACKUP: backup verified email</t>
        </is>
      </c>
      <c r="U373" s="24" t="n">
        <v>250921.84</v>
      </c>
      <c r="V373" s="25" t="inlineStr">
        <is>
          <t>B</t>
        </is>
      </c>
      <c r="W373" s="26" t="inlineStr"/>
      <c r="X373" s="27" t="inlineStr"/>
      <c r="Y373" s="27" t="inlineStr"/>
      <c r="Z373" s="26">
        <f>IF(W373&lt;&gt;"",W373,IFERROR(VLOOKUP(V373,Assumptions!$A$8:$F$12,2,FALSE),0))</f>
        <v/>
      </c>
      <c r="AA373" s="28">
        <f>IF(V373="A",MAX(1,IF(X373&lt;&gt;"",X373,IFERROR(VLOOKUP(V373,Assumptions!$A$8:$F$12,3,FALSE),3))+IF(Y373&lt;&gt;"",Y373,IFERROR(VLOOKUP(V373,Assumptions!$A$8:$F$12,4,FALSE),8))/2-MAX(0,IF(AS373="",0,YEAR(TODAY())-AS373)-IFERROR(VLOOKUP(V373,Assumptions!$A$8:$F$12,5,FALSE),1.5))),IFERROR(VLOOKUP(V373,Assumptions!$A$8:$F$12,5,FALSE),2.5)+IF(X373&lt;&gt;"",X373,IFERROR(VLOOKUP(V373,Assumptions!$A$8:$F$12,3,FALSE),3))+IF(Y373&lt;&gt;"",Y373,IFERROR(VLOOKUP(V373,Assumptions!$A$8:$F$12,4,FALSE),8))/2)</f>
        <v/>
      </c>
      <c r="AB373" s="24">
        <f>U373*Z373/(1+Assumptions!$B$3)^AA373</f>
        <v/>
      </c>
      <c r="AC373" s="27">
        <f>IF(U373=0,"",ROUND(AB373/U373*100,1))</f>
        <v/>
      </c>
      <c r="AD373" s="29">
        <f>AB373*Assumptions!$B$4</f>
        <v/>
      </c>
      <c r="AE373" s="27">
        <f>IF(U373=0,"",ROUND(AD373/U373*100,1))</f>
        <v/>
      </c>
      <c r="AF373" s="29">
        <f>AB373-AD373</f>
        <v/>
      </c>
      <c r="AG373" s="27">
        <f>IF(U373=0,"",ROUND((AB373-AD373)/U373*100,1))</f>
        <v/>
      </c>
      <c r="AH373" s="35" t="inlineStr">
        <is>
          <t>PARTIAL — class III reconciled, other classes not</t>
        </is>
      </c>
      <c r="AI373" s="31" t="inlineStr">
        <is>
          <t>https://marquesadmjudicial.com.br/sgc/download.php?file=files/processo_documento/processo_documento15293208032024_1_.pdf&amp;nome=Relação Nominal de Credores da AJ-Sintética</t>
        </is>
      </c>
      <c r="AJ373" s="30" t="inlineStr">
        <is>
          <t>p32 r9</t>
        </is>
      </c>
      <c r="AK373" s="30" t="inlineStr">
        <is>
          <t>p32: R$ 250.921,84</t>
        </is>
      </c>
      <c r="AL373" s="30" t="inlineStr">
        <is>
          <t>AJ list (art. 7 §2)</t>
        </is>
      </c>
      <c r="AM373" s="30" t="inlineStr">
        <is>
          <t>2023-03-02</t>
        </is>
      </c>
      <c r="AN373" s="30" t="inlineStr">
        <is>
          <t>NONE FOUND</t>
        </is>
      </c>
      <c r="AO373" s="32" t="inlineStr">
        <is>
          <t>0005010-98.2023.8.16.0001</t>
        </is>
      </c>
      <c r="AP373" s="32" t="inlineStr">
        <is>
          <t>TJPR</t>
        </is>
      </c>
      <c r="AQ373" s="32" t="inlineStr">
        <is>
          <t>Recuperação judicial</t>
        </is>
      </c>
      <c r="AR373" s="32" t="inlineStr">
        <is>
          <t>DataJud: no closure/falência movement</t>
        </is>
      </c>
      <c r="AS373" s="32" t="n">
        <v>2023</v>
      </c>
      <c r="AT373" s="32" t="inlineStr">
        <is>
          <t>live case, no plan document yet</t>
        </is>
      </c>
      <c r="AU373" s="32" t="inlineStr"/>
      <c r="AV373" s="32" t="inlineStr">
        <is>
          <t>printed on the list (read twice)</t>
        </is>
      </c>
      <c r="AW373" s="32" t="inlineStr"/>
      <c r="AX373" s="32" t="inlineStr">
        <is>
          <t>ANAPOLIS</t>
        </is>
      </c>
      <c r="AY373" s="32" t="inlineStr">
        <is>
          <t>GO</t>
        </is>
      </c>
      <c r="AZ373" s="32" t="inlineStr">
        <is>
          <t>Fabricação de medicamentos alopáticos para uso humano</t>
        </is>
      </c>
      <c r="BA373" s="32" t="inlineStr">
        <is>
          <t>não ME/EPP</t>
        </is>
      </c>
      <c r="BB373" s="33" t="n">
        <v>995417800</v>
      </c>
      <c r="BC373" s="32" t="inlineStr">
        <is>
          <t>MID-MARKET</t>
        </is>
      </c>
      <c r="BD373" s="32" t="inlineStr">
        <is>
          <t>30222814</t>
        </is>
      </c>
      <c r="BE373" s="32" t="n">
        <v>1</v>
      </c>
      <c r="BF373" s="32" t="inlineStr">
        <is>
          <t>class III reconciled (doc partial)</t>
        </is>
      </c>
    </row>
    <row r="374">
      <c r="A374" s="17" t="inlineStr">
        <is>
          <t>CATIVA TEXTIL INDUSTRIA E COMERCIO LTDA</t>
        </is>
      </c>
      <c r="B374" s="18" t="n">
        <v>249899.16</v>
      </c>
      <c r="C374" s="19" t="inlineStr">
        <is>
          <t>GRUPO CATTAN</t>
        </is>
      </c>
      <c r="D374" s="20" t="inlineStr">
        <is>
          <t>NEW</t>
        </is>
      </c>
      <c r="E374" s="21" t="inlineStr"/>
      <c r="F374" s="20" t="inlineStr"/>
      <c r="G374" s="21" t="inlineStr"/>
      <c r="H374" s="20" t="inlineStr"/>
      <c r="I374" s="22" t="inlineStr">
        <is>
          <t>Marcelo Kamchen</t>
        </is>
      </c>
      <c r="J374" s="22" t="inlineStr">
        <is>
          <t>Diretor Adm/Financeiro</t>
        </is>
      </c>
      <c r="K374" s="22" t="inlineStr">
        <is>
          <t>(47) 3387-9999</t>
        </is>
      </c>
      <c r="L374" s="22" t="inlineStr"/>
      <c r="M374" s="22" t="inlineStr"/>
      <c r="N374" s="22" t="inlineStr">
        <is>
          <t>marcelo.kamchen@cativa.com.br</t>
        </is>
      </c>
      <c r="O374" s="22" t="inlineStr">
        <is>
          <t>verified</t>
        </is>
      </c>
      <c r="P374" s="22" t="inlineStr">
        <is>
          <t>Vilmar Schonfelder</t>
        </is>
      </c>
      <c r="Q374" s="22" t="inlineStr">
        <is>
          <t>Financial Analyst</t>
        </is>
      </c>
      <c r="R374" s="22" t="inlineStr"/>
      <c r="S374" s="22" t="inlineStr">
        <is>
          <t>vilmar.schonfelder@cativa.com.br</t>
        </is>
      </c>
      <c r="T374" s="22" t="inlineStr">
        <is>
          <t>DM: DM verified email; kw 'Cativa Textil' returned nothing; 'Cativa' alone is a design agency; used 'Grupo Cativa' (cativa.com.br, Pomerode textile) - VERIFY org: Grupo Cativa; BACKUP: backup verified email</t>
        </is>
      </c>
      <c r="U374" s="24" t="n">
        <v>249899.16</v>
      </c>
      <c r="V374" s="25" t="inlineStr">
        <is>
          <t>B</t>
        </is>
      </c>
      <c r="W374" s="26" t="inlineStr"/>
      <c r="X374" s="27" t="inlineStr"/>
      <c r="Y374" s="27" t="inlineStr"/>
      <c r="Z374" s="26">
        <f>IF(W374&lt;&gt;"",W374,IFERROR(VLOOKUP(V374,Assumptions!$A$8:$F$12,2,FALSE),0))</f>
        <v/>
      </c>
      <c r="AA374" s="28">
        <f>IF(V374="A",MAX(1,IF(X374&lt;&gt;"",X374,IFERROR(VLOOKUP(V374,Assumptions!$A$8:$F$12,3,FALSE),3))+IF(Y374&lt;&gt;"",Y374,IFERROR(VLOOKUP(V374,Assumptions!$A$8:$F$12,4,FALSE),8))/2-MAX(0,IF(AS374="",0,YEAR(TODAY())-AS374)-IFERROR(VLOOKUP(V374,Assumptions!$A$8:$F$12,5,FALSE),1.5))),IFERROR(VLOOKUP(V374,Assumptions!$A$8:$F$12,5,FALSE),2.5)+IF(X374&lt;&gt;"",X374,IFERROR(VLOOKUP(V374,Assumptions!$A$8:$F$12,3,FALSE),3))+IF(Y374&lt;&gt;"",Y374,IFERROR(VLOOKUP(V374,Assumptions!$A$8:$F$12,4,FALSE),8))/2)</f>
        <v/>
      </c>
      <c r="AB374" s="24">
        <f>U374*Z374/(1+Assumptions!$B$3)^AA374</f>
        <v/>
      </c>
      <c r="AC374" s="27">
        <f>IF(U374=0,"",ROUND(AB374/U374*100,1))</f>
        <v/>
      </c>
      <c r="AD374" s="29">
        <f>AB374*Assumptions!$B$4</f>
        <v/>
      </c>
      <c r="AE374" s="27">
        <f>IF(U374=0,"",ROUND(AD374/U374*100,1))</f>
        <v/>
      </c>
      <c r="AF374" s="29">
        <f>AB374-AD374</f>
        <v/>
      </c>
      <c r="AG374" s="27">
        <f>IF(U374=0,"",ROUND((AB374-AD374)/U374*100,1))</f>
        <v/>
      </c>
      <c r="AH374" s="35" t="inlineStr">
        <is>
          <t>PARTIAL — class III reconciled, other classes not</t>
        </is>
      </c>
      <c r="AI374" s="31" t="inlineStr">
        <is>
          <t>https://lrflideres.com.br/wp-content/plugins/download-attachments/includes/download.php?id=4023</t>
        </is>
      </c>
      <c r="AJ374" s="30" t="inlineStr">
        <is>
          <t>p4 r61; p7 r84; p9 r63</t>
        </is>
      </c>
      <c r="AK374" s="30" t="inlineStr">
        <is>
          <t>p4: R$ 61.029,24; p7: R$ 155.348,64; p9: R$ 33.521,28</t>
        </is>
      </c>
      <c r="AL374" s="30" t="inlineStr">
        <is>
          <t>Debtor list (art. 51)</t>
        </is>
      </c>
      <c r="AM374" s="30" t="inlineStr"/>
      <c r="AN374" s="30" t="inlineStr">
        <is>
          <t>NONE FOUND</t>
        </is>
      </c>
      <c r="AO374" s="32" t="inlineStr">
        <is>
          <t>0002484-82.2022.8.17.2001</t>
        </is>
      </c>
      <c r="AP374" s="32" t="inlineStr">
        <is>
          <t>TJPE</t>
        </is>
      </c>
      <c r="AQ374" s="32" t="inlineStr">
        <is>
          <t>Recuperação judicial</t>
        </is>
      </c>
      <c r="AR374" s="32" t="inlineStr">
        <is>
          <t>DataJud: no closure/falência movement</t>
        </is>
      </c>
      <c r="AS374" s="32" t="n">
        <v>2022</v>
      </c>
      <c r="AT374" s="32" t="inlineStr">
        <is>
          <t>live case, no plan document yet</t>
        </is>
      </c>
      <c r="AU374" s="32" t="inlineStr"/>
      <c r="AV374" s="32" t="inlineStr">
        <is>
          <t>printed on the list (read twice)</t>
        </is>
      </c>
      <c r="AW374" s="32" t="inlineStr"/>
      <c r="AX374" s="32" t="inlineStr">
        <is>
          <t>POMERODE</t>
        </is>
      </c>
      <c r="AY374" s="32" t="inlineStr">
        <is>
          <t>SC</t>
        </is>
      </c>
      <c r="AZ374" s="32" t="inlineStr">
        <is>
          <t>Confecção de peças de vestuário, exceto roupas íntimas e as confeccionadas sob medida</t>
        </is>
      </c>
      <c r="BA374" s="32" t="inlineStr">
        <is>
          <t>não ME/EPP</t>
        </is>
      </c>
      <c r="BB374" s="33" t="n">
        <v>1404995</v>
      </c>
      <c r="BC374" s="32" t="inlineStr">
        <is>
          <t>MID-MARKET</t>
        </is>
      </c>
      <c r="BD374" s="32" t="inlineStr">
        <is>
          <t>80959513</t>
        </is>
      </c>
      <c r="BE374" s="32" t="n">
        <v>3</v>
      </c>
      <c r="BF374" s="32" t="inlineStr">
        <is>
          <t>class III reconciled (doc partial)</t>
        </is>
      </c>
    </row>
    <row r="375">
      <c r="A375" s="17" t="inlineStr">
        <is>
          <t>TERTO TRANSPORTES LTDA</t>
        </is>
      </c>
      <c r="B375" s="18" t="n">
        <v>247935.21</v>
      </c>
      <c r="C375" s="19" t="inlineStr">
        <is>
          <t>Grupo Agromeal</t>
        </is>
      </c>
      <c r="D375" s="20" t="inlineStr">
        <is>
          <t>NEW</t>
        </is>
      </c>
      <c r="E375" s="21" t="inlineStr"/>
      <c r="F375" s="20" t="inlineStr"/>
      <c r="G375" s="21" t="inlineStr"/>
      <c r="H375" s="20" t="inlineStr"/>
      <c r="I375" s="22" t="inlineStr">
        <is>
          <t>FERNANDO HENRIQUE CAMARGO</t>
        </is>
      </c>
      <c r="J375" s="23" t="inlineStr">
        <is>
          <t>Sócio-Administrador (RFB partner)</t>
        </is>
      </c>
      <c r="K375" s="22" t="inlineStr">
        <is>
          <t>(43) 9187-7904</t>
        </is>
      </c>
      <c r="L375" s="22" t="inlineStr"/>
      <c r="M375" s="22" t="inlineStr"/>
      <c r="N375" s="22" t="inlineStr"/>
      <c r="O375" s="22" t="inlineStr"/>
      <c r="P375" s="22" t="inlineStr"/>
      <c r="Q375" s="22" t="inlineStr"/>
      <c r="R375" s="22" t="inlineStr"/>
      <c r="S375" s="22" t="inlineStr"/>
      <c r="T375" s="22" t="inlineStr">
        <is>
          <t>DM = registered partner (RFB QSA); no Apollo match</t>
        </is>
      </c>
      <c r="U375" s="24" t="n">
        <v>247935.21</v>
      </c>
      <c r="V375" s="25" t="inlineStr">
        <is>
          <t>B</t>
        </is>
      </c>
      <c r="W375" s="26" t="inlineStr"/>
      <c r="X375" s="27" t="inlineStr"/>
      <c r="Y375" s="27" t="inlineStr"/>
      <c r="Z375" s="26">
        <f>IF(W375&lt;&gt;"",W375,IFERROR(VLOOKUP(V375,Assumptions!$A$8:$F$12,2,FALSE),0))</f>
        <v/>
      </c>
      <c r="AA375" s="28">
        <f>IF(V375="A",MAX(1,IF(X375&lt;&gt;"",X375,IFERROR(VLOOKUP(V375,Assumptions!$A$8:$F$12,3,FALSE),3))+IF(Y375&lt;&gt;"",Y375,IFERROR(VLOOKUP(V375,Assumptions!$A$8:$F$12,4,FALSE),8))/2-MAX(0,IF(AS375="",0,YEAR(TODAY())-AS375)-IFERROR(VLOOKUP(V375,Assumptions!$A$8:$F$12,5,FALSE),1.5))),IFERROR(VLOOKUP(V375,Assumptions!$A$8:$F$12,5,FALSE),2.5)+IF(X375&lt;&gt;"",X375,IFERROR(VLOOKUP(V375,Assumptions!$A$8:$F$12,3,FALSE),3))+IF(Y375&lt;&gt;"",Y375,IFERROR(VLOOKUP(V375,Assumptions!$A$8:$F$12,4,FALSE),8))/2)</f>
        <v/>
      </c>
      <c r="AB375" s="24">
        <f>U375*Z375/(1+Assumptions!$B$3)^AA375</f>
        <v/>
      </c>
      <c r="AC375" s="27">
        <f>IF(U375=0,"",ROUND(AB375/U375*100,1))</f>
        <v/>
      </c>
      <c r="AD375" s="29">
        <f>AB375*Assumptions!$B$4</f>
        <v/>
      </c>
      <c r="AE375" s="27">
        <f>IF(U375=0,"",ROUND(AD375/U375*100,1))</f>
        <v/>
      </c>
      <c r="AF375" s="29">
        <f>AB375-AD375</f>
        <v/>
      </c>
      <c r="AG375" s="27">
        <f>IF(U375=0,"",ROUND((AB375-AD375)/U375*100,1))</f>
        <v/>
      </c>
      <c r="AH375" s="35" t="inlineStr">
        <is>
          <t>PARTIAL — class III reconciled, other classes not</t>
        </is>
      </c>
      <c r="AI375" s="31" t="inlineStr">
        <is>
          <t>https://marquesadmjudicial.com.br/sgc/download.php?file=files/processo_documento/processo_documento17040729052024_1_.pdf&amp;nome=Relação Nominal de Credores AJ-Sintética</t>
        </is>
      </c>
      <c r="AJ375" s="30" t="inlineStr">
        <is>
          <t>p13 r8</t>
        </is>
      </c>
      <c r="AK375" s="30" t="inlineStr">
        <is>
          <t>p13: R$ 247.935,21</t>
        </is>
      </c>
      <c r="AL375" s="30" t="inlineStr">
        <is>
          <t>AJ list (art. 7 §2)</t>
        </is>
      </c>
      <c r="AM375" s="30" t="inlineStr">
        <is>
          <t>2024-05-27</t>
        </is>
      </c>
      <c r="AN375" s="30" t="inlineStr">
        <is>
          <t>NONE FOUND</t>
        </is>
      </c>
      <c r="AO375" s="32" t="inlineStr">
        <is>
          <t>0003971-03.2023.8.16.0119</t>
        </is>
      </c>
      <c r="AP375" s="32" t="inlineStr">
        <is>
          <t>TJPR</t>
        </is>
      </c>
      <c r="AQ375" s="32" t="inlineStr">
        <is>
          <t>Recuperação judicial</t>
        </is>
      </c>
      <c r="AR375" s="32" t="inlineStr">
        <is>
          <t>DataJud: no closure/falência movement</t>
        </is>
      </c>
      <c r="AS375" s="32" t="n">
        <v>2023</v>
      </c>
      <c r="AT375" s="32" t="inlineStr">
        <is>
          <t>live case, no plan document yet</t>
        </is>
      </c>
      <c r="AU375" s="32" t="inlineStr">
        <is>
          <t>11.624.776/0001-07</t>
        </is>
      </c>
      <c r="AV375" s="32" t="inlineStr">
        <is>
          <t>printed on the list (read twice)</t>
        </is>
      </c>
      <c r="AW375" s="32" t="inlineStr"/>
      <c r="AX375" s="32" t="inlineStr">
        <is>
          <t>APUCARANA</t>
        </is>
      </c>
      <c r="AY375" s="32" t="inlineStr">
        <is>
          <t>PR</t>
        </is>
      </c>
      <c r="AZ375" s="32" t="inlineStr">
        <is>
          <t>Transporte rodoviário de carga, exceto produtos perigosos e mudanças, intermunicipal, interestadual e internacional</t>
        </is>
      </c>
      <c r="BA375" s="32" t="inlineStr">
        <is>
          <t>não ME/EPP</t>
        </is>
      </c>
      <c r="BB375" s="33" t="n">
        <v>50000</v>
      </c>
      <c r="BC375" s="32" t="inlineStr">
        <is>
          <t>MID-MARKET</t>
        </is>
      </c>
      <c r="BD375" s="32" t="inlineStr">
        <is>
          <t>43026198</t>
        </is>
      </c>
      <c r="BE375" s="32" t="n">
        <v>1</v>
      </c>
      <c r="BF375" s="32" t="inlineStr">
        <is>
          <t>class III reconciled (doc partial)</t>
        </is>
      </c>
    </row>
    <row r="376">
      <c r="A376" s="17" t="inlineStr">
        <is>
          <t>BEM BOM PESCADOS LTDA</t>
        </is>
      </c>
      <c r="B376" s="18" t="n">
        <v>1077136.54</v>
      </c>
      <c r="C376" s="19" t="inlineStr">
        <is>
          <t>GRUPO 3E</t>
        </is>
      </c>
      <c r="D376" s="20" t="inlineStr">
        <is>
          <t>NEW</t>
        </is>
      </c>
      <c r="E376" s="21" t="inlineStr"/>
      <c r="F376" s="20" t="inlineStr"/>
      <c r="G376" s="21" t="inlineStr"/>
      <c r="H376" s="20" t="inlineStr"/>
      <c r="I376" s="22" t="inlineStr">
        <is>
          <t>EDSON VIANDELLI LOPES</t>
        </is>
      </c>
      <c r="J376" s="23" t="inlineStr">
        <is>
          <t>Administrador (RFB partner)</t>
        </is>
      </c>
      <c r="K376" s="22" t="inlineStr">
        <is>
          <t>(62) 8115-0283</t>
        </is>
      </c>
      <c r="L376" s="22" t="inlineStr">
        <is>
          <t>(62) 3389-9200</t>
        </is>
      </c>
      <c r="M376" s="22" t="inlineStr"/>
      <c r="N376" s="22" t="inlineStr"/>
      <c r="O376" s="22" t="inlineStr"/>
      <c r="P376" s="22" t="inlineStr">
        <is>
          <t>ELSON JOSE LOPES</t>
        </is>
      </c>
      <c r="Q376" s="22" t="inlineStr">
        <is>
          <t>Administrador (RFB partner)</t>
        </is>
      </c>
      <c r="R376" s="22" t="inlineStr"/>
      <c r="S376" s="22" t="inlineStr"/>
      <c r="T376" s="22" t="inlineStr">
        <is>
          <t>DM = registered partner (RFB QSA); no Apollo match</t>
        </is>
      </c>
      <c r="U376" s="24" t="n">
        <v>1077136.54</v>
      </c>
      <c r="V376" s="25" t="inlineStr">
        <is>
          <t>B</t>
        </is>
      </c>
      <c r="W376" s="26" t="n">
        <v>0.12</v>
      </c>
      <c r="X376" s="27" t="n">
        <v>2</v>
      </c>
      <c r="Y376" s="27" t="n">
        <v>13</v>
      </c>
      <c r="Z376" s="26">
        <f>IF(W376&lt;&gt;"",W376,IFERROR(VLOOKUP(V376,Assumptions!$A$8:$F$12,2,FALSE),0))</f>
        <v/>
      </c>
      <c r="AA376" s="28">
        <f>IF(V376="A",MAX(1,IF(X376&lt;&gt;"",X376,IFERROR(VLOOKUP(V376,Assumptions!$A$8:$F$12,3,FALSE),3))+IF(Y376&lt;&gt;"",Y376,IFERROR(VLOOKUP(V376,Assumptions!$A$8:$F$12,4,FALSE),8))/2-MAX(0,IF(AS376="",0,YEAR(TODAY())-AS376)-IFERROR(VLOOKUP(V376,Assumptions!$A$8:$F$12,5,FALSE),1.5))),IFERROR(VLOOKUP(V376,Assumptions!$A$8:$F$12,5,FALSE),2.5)+IF(X376&lt;&gt;"",X376,IFERROR(VLOOKUP(V376,Assumptions!$A$8:$F$12,3,FALSE),3))+IF(Y376&lt;&gt;"",Y376,IFERROR(VLOOKUP(V376,Assumptions!$A$8:$F$12,4,FALSE),8))/2)</f>
        <v/>
      </c>
      <c r="AB376" s="24">
        <f>U376*Z376/(1+Assumptions!$B$3)^AA376</f>
        <v/>
      </c>
      <c r="AC376" s="27">
        <f>IF(U376=0,"",ROUND(AB376/U376*100,1))</f>
        <v/>
      </c>
      <c r="AD376" s="29">
        <f>AB376*Assumptions!$B$4</f>
        <v/>
      </c>
      <c r="AE376" s="27">
        <f>IF(U376=0,"",ROUND(AD376/U376*100,1))</f>
        <v/>
      </c>
      <c r="AF376" s="29">
        <f>AB376-AD376</f>
        <v/>
      </c>
      <c r="AG376" s="27">
        <f>IF(U376=0,"",ROUND((AB376-AD376)/U376*100,1))</f>
        <v/>
      </c>
      <c r="AH376" s="34" t="inlineStr">
        <is>
          <t>NO TOTALS — list prints none; check page</t>
        </is>
      </c>
      <c r="AI376" s="31" t="inlineStr">
        <is>
          <t>https://stenius.com.br/wp-content/uploads/2026/06/EDITAL-GRUPO-3E.pdf</t>
        </is>
      </c>
      <c r="AJ376" s="30" t="inlineStr">
        <is>
          <t>p10 r52; p10 r53; p10 r54; p10 r55</t>
        </is>
      </c>
      <c r="AK376" s="30" t="inlineStr">
        <is>
          <t>p10: R$ 227.290,00; p10: R$ 82.398,28; p10: R$ 601.694,30; p10: R$ 165.753,96</t>
        </is>
      </c>
      <c r="AL376" s="30" t="inlineStr">
        <is>
          <t>Debtor list (art. 51)</t>
        </is>
      </c>
      <c r="AM376" s="30" t="inlineStr">
        <is>
          <t>2026-06-22</t>
        </is>
      </c>
      <c r="AN376" s="30" t="inlineStr">
        <is>
          <t>PLAN FILED (art. 53), not granted</t>
        </is>
      </c>
      <c r="AO376" s="32" t="inlineStr">
        <is>
          <t>5341375-33.2026.8.09.0049</t>
        </is>
      </c>
      <c r="AP376" s="32" t="inlineStr">
        <is>
          <t>TJGO</t>
        </is>
      </c>
      <c r="AQ376" s="32" t="inlineStr">
        <is>
          <t>Recuperação judicial</t>
        </is>
      </c>
      <c r="AR376" s="32" t="inlineStr">
        <is>
          <t>DataJud: no closure/falência movement</t>
        </is>
      </c>
      <c r="AS376" s="32" t="n">
        <v>2026</v>
      </c>
      <c r="AT376" s="32" t="inlineStr">
        <is>
          <t>plan filed (art. 53), not yet granted</t>
        </is>
      </c>
      <c r="AU376" s="32" t="inlineStr"/>
      <c r="AV376" s="32" t="inlineStr">
        <is>
          <t>printed on the list (read twice)</t>
        </is>
      </c>
      <c r="AW376" s="32" t="inlineStr">
        <is>
          <t>Plano de Recuperação Judicial Grupo 3E v2.0 (Métis), mov. 321, pp.24-25</t>
        </is>
      </c>
      <c r="AX376" s="32" t="inlineStr">
        <is>
          <t>GOIANESIA</t>
        </is>
      </c>
      <c r="AY376" s="32" t="inlineStr">
        <is>
          <t>GO</t>
        </is>
      </c>
      <c r="AZ376" s="32" t="inlineStr">
        <is>
          <t>Comércio atacadista de pescados e frutos do mar</t>
        </is>
      </c>
      <c r="BA376" s="32" t="inlineStr">
        <is>
          <t>não ME/EPP</t>
        </is>
      </c>
      <c r="BB376" s="33" t="n">
        <v>200000</v>
      </c>
      <c r="BC376" s="32" t="inlineStr">
        <is>
          <t>MID-MARKET</t>
        </is>
      </c>
      <c r="BD376" s="32" t="inlineStr">
        <is>
          <t>27703265</t>
        </is>
      </c>
      <c r="BE376" s="32" t="n">
        <v>4</v>
      </c>
      <c r="BF376" s="32" t="inlineStr">
        <is>
          <t>list prints no totals</t>
        </is>
      </c>
    </row>
    <row r="377">
      <c r="A377" s="17" t="inlineStr">
        <is>
          <t>OGAN SERVICOS ADMINISTRATIVOS LTDA</t>
        </is>
      </c>
      <c r="B377" s="18" t="n">
        <v>244053.12</v>
      </c>
      <c r="C377" s="37" t="inlineStr">
        <is>
          <t>(debtor not identified — see proof)</t>
        </is>
      </c>
      <c r="D377" s="20" t="inlineStr">
        <is>
          <t>NEW</t>
        </is>
      </c>
      <c r="E377" s="21" t="inlineStr"/>
      <c r="F377" s="20" t="inlineStr"/>
      <c r="G377" s="21" t="inlineStr"/>
      <c r="H377" s="20" t="inlineStr"/>
      <c r="I377" s="22" t="inlineStr">
        <is>
          <t>GLEIVINILSON DOS SANTOS</t>
        </is>
      </c>
      <c r="J377" s="23" t="inlineStr">
        <is>
          <t>Sócio-Administrador (RFB partner)</t>
        </is>
      </c>
      <c r="K377" s="22" t="inlineStr">
        <is>
          <t>(11) 5061-7968</t>
        </is>
      </c>
      <c r="L377" s="22" t="inlineStr">
        <is>
          <t>(11) 5061-7971</t>
        </is>
      </c>
      <c r="M377" s="22" t="inlineStr"/>
      <c r="N377" s="22" t="inlineStr"/>
      <c r="O377" s="22" t="inlineStr"/>
      <c r="P377" s="22" t="inlineStr"/>
      <c r="Q377" s="22" t="inlineStr"/>
      <c r="R377" s="22" t="inlineStr"/>
      <c r="S377" s="22" t="inlineStr"/>
      <c r="T377" s="22" t="inlineStr">
        <is>
          <t>DM = registered partner (RFB QSA); no Apollo match</t>
        </is>
      </c>
      <c r="U377" s="24" t="n">
        <v>244053.12</v>
      </c>
      <c r="V377" s="25" t="inlineStr">
        <is>
          <t>B</t>
        </is>
      </c>
      <c r="W377" s="26" t="inlineStr"/>
      <c r="X377" s="27" t="inlineStr"/>
      <c r="Y377" s="27" t="inlineStr"/>
      <c r="Z377" s="26">
        <f>IF(W377&lt;&gt;"",W377,IFERROR(VLOOKUP(V377,Assumptions!$A$8:$F$12,2,FALSE),0))</f>
        <v/>
      </c>
      <c r="AA377" s="28">
        <f>IF(V377="A",MAX(1,IF(X377&lt;&gt;"",X377,IFERROR(VLOOKUP(V377,Assumptions!$A$8:$F$12,3,FALSE),3))+IF(Y377&lt;&gt;"",Y377,IFERROR(VLOOKUP(V377,Assumptions!$A$8:$F$12,4,FALSE),8))/2-MAX(0,IF(AS377="",0,YEAR(TODAY())-AS377)-IFERROR(VLOOKUP(V377,Assumptions!$A$8:$F$12,5,FALSE),1.5))),IFERROR(VLOOKUP(V377,Assumptions!$A$8:$F$12,5,FALSE),2.5)+IF(X377&lt;&gt;"",X377,IFERROR(VLOOKUP(V377,Assumptions!$A$8:$F$12,3,FALSE),3))+IF(Y377&lt;&gt;"",Y377,IFERROR(VLOOKUP(V377,Assumptions!$A$8:$F$12,4,FALSE),8))/2)</f>
        <v/>
      </c>
      <c r="AB377" s="24">
        <f>U377*Z377/(1+Assumptions!$B$3)^AA377</f>
        <v/>
      </c>
      <c r="AC377" s="27">
        <f>IF(U377=0,"",ROUND(AB377/U377*100,1))</f>
        <v/>
      </c>
      <c r="AD377" s="29">
        <f>AB377*Assumptions!$B$4</f>
        <v/>
      </c>
      <c r="AE377" s="27">
        <f>IF(U377=0,"",ROUND(AD377/U377*100,1))</f>
        <v/>
      </c>
      <c r="AF377" s="29">
        <f>AB377-AD377</f>
        <v/>
      </c>
      <c r="AG377" s="27">
        <f>IF(U377=0,"",ROUND((AB377-AD377)/U377*100,1))</f>
        <v/>
      </c>
      <c r="AH377" s="30" t="inlineStr">
        <is>
          <t>OK — totals reconciled</t>
        </is>
      </c>
      <c r="AI377" s="31" t="inlineStr">
        <is>
          <t>https://ajruiz.com.br/sites/default/files/public/arquivos-processos/2024-04/relacao_de_credores_recuperanda_1.pdf</t>
        </is>
      </c>
      <c r="AJ377" s="30" t="inlineStr">
        <is>
          <t>p10 r1; p10 r2</t>
        </is>
      </c>
      <c r="AK377" s="30" t="inlineStr">
        <is>
          <t>p10: R$ 128.165,62; p10: R$ 115.887,50</t>
        </is>
      </c>
      <c r="AL377" s="30" t="inlineStr">
        <is>
          <t>QGC (art. 18)</t>
        </is>
      </c>
      <c r="AM377" s="30" t="inlineStr">
        <is>
          <t>2024-01-31</t>
        </is>
      </c>
      <c r="AN377" s="30" t="inlineStr">
        <is>
          <t>NONE FOUND</t>
        </is>
      </c>
      <c r="AO377" s="32" t="inlineStr">
        <is>
          <t>1022634-27.2024.8.26.0100</t>
        </is>
      </c>
      <c r="AP377" s="32" t="inlineStr">
        <is>
          <t>TJSP</t>
        </is>
      </c>
      <c r="AQ377" s="32" t="inlineStr"/>
      <c r="AR377" s="32" t="inlineStr">
        <is>
          <t>not in DataJud</t>
        </is>
      </c>
      <c r="AS377" s="32" t="n">
        <v>2024</v>
      </c>
      <c r="AT377" s="32" t="inlineStr">
        <is>
          <t>live case, no plan document yet; case no. from the portal record, not printed on the list</t>
        </is>
      </c>
      <c r="AU377" s="32" t="inlineStr"/>
      <c r="AV377" s="32" t="inlineStr">
        <is>
          <t>not identified</t>
        </is>
      </c>
      <c r="AW377" s="32" t="inlineStr"/>
      <c r="AX377" s="32" t="inlineStr">
        <is>
          <t>SAO BERNARDO DO CAMPO</t>
        </is>
      </c>
      <c r="AY377" s="32" t="inlineStr">
        <is>
          <t>SP</t>
        </is>
      </c>
      <c r="AZ377" s="32" t="inlineStr">
        <is>
          <t>Serviços combinados de escritório e apoio administrativo</t>
        </is>
      </c>
      <c r="BA377" s="32" t="inlineStr">
        <is>
          <t>não ME/EPP</t>
        </is>
      </c>
      <c r="BB377" s="33" t="n">
        <v>1000000</v>
      </c>
      <c r="BC377" s="32" t="inlineStr">
        <is>
          <t>MID-MARKET</t>
        </is>
      </c>
      <c r="BD377" s="32" t="inlineStr">
        <is>
          <t>08981590</t>
        </is>
      </c>
      <c r="BE377" s="32" t="n">
        <v>2</v>
      </c>
      <c r="BF377" s="32" t="inlineStr">
        <is>
          <t>case no. corrected by reader</t>
        </is>
      </c>
    </row>
    <row r="378">
      <c r="A378" s="17" t="inlineStr">
        <is>
          <t>TECNOPLAST S.A - INDUSTRIA E COMERCIO DE PLASTICOS</t>
        </is>
      </c>
      <c r="B378" s="18" t="n">
        <v>243641.39</v>
      </c>
      <c r="C378" s="19" t="inlineStr">
        <is>
          <t>TOP TEXTIL EMBALAGENS LTDA</t>
        </is>
      </c>
      <c r="D378" s="20" t="inlineStr">
        <is>
          <t>NEW</t>
        </is>
      </c>
      <c r="E378" s="21" t="inlineStr"/>
      <c r="F378" s="20" t="inlineStr"/>
      <c r="G378" s="21" t="inlineStr"/>
      <c r="H378" s="20" t="inlineStr"/>
      <c r="I378" s="22" t="inlineStr">
        <is>
          <t>Ingride Costa</t>
        </is>
      </c>
      <c r="J378" s="22" t="inlineStr">
        <is>
          <t>Financial</t>
        </is>
      </c>
      <c r="K378" s="22" t="inlineStr">
        <is>
          <t>(41) 3332-8383</t>
        </is>
      </c>
      <c r="L378" s="22" t="inlineStr">
        <is>
          <t>(41) 3075-8000</t>
        </is>
      </c>
      <c r="M378" s="22" t="inlineStr"/>
      <c r="N378" s="22" t="inlineStr"/>
      <c r="O378" s="22" t="inlineStr"/>
      <c r="P378" s="22" t="inlineStr">
        <is>
          <t>Alexandre Ramos</t>
        </is>
      </c>
      <c r="Q378" s="22" t="inlineStr">
        <is>
          <t>Managing Director</t>
        </is>
      </c>
      <c r="R378" s="22" t="inlineStr"/>
      <c r="S378" s="22" t="inlineStr">
        <is>
          <t>aramos@tecnoplast.com.br</t>
        </is>
      </c>
      <c r="T378" s="22" t="inlineStr">
        <is>
          <t>DM: DM email unavailable; many Tecnoplast namesakes (GmbH, Srl, Anúncios Luminosos); picked Tecnoplast Indústria e Comércio Ltda (tecnoplast.com.br) - VERIFY org matches Tecnoplast S.A. Curitiba; no work email in Apollo for DM; BACKUP: backup verified email</t>
        </is>
      </c>
      <c r="U378" s="24" t="n">
        <v>243641.39</v>
      </c>
      <c r="V378" s="25" t="inlineStr">
        <is>
          <t>B</t>
        </is>
      </c>
      <c r="W378" s="26" t="inlineStr"/>
      <c r="X378" s="27" t="inlineStr"/>
      <c r="Y378" s="27" t="inlineStr"/>
      <c r="Z378" s="26">
        <f>IF(W378&lt;&gt;"",W378,IFERROR(VLOOKUP(V378,Assumptions!$A$8:$F$12,2,FALSE),0))</f>
        <v/>
      </c>
      <c r="AA378" s="28">
        <f>IF(V378="A",MAX(1,IF(X378&lt;&gt;"",X378,IFERROR(VLOOKUP(V378,Assumptions!$A$8:$F$12,3,FALSE),3))+IF(Y378&lt;&gt;"",Y378,IFERROR(VLOOKUP(V378,Assumptions!$A$8:$F$12,4,FALSE),8))/2-MAX(0,IF(AS378="",0,YEAR(TODAY())-AS378)-IFERROR(VLOOKUP(V378,Assumptions!$A$8:$F$12,5,FALSE),1.5))),IFERROR(VLOOKUP(V378,Assumptions!$A$8:$F$12,5,FALSE),2.5)+IF(X378&lt;&gt;"",X378,IFERROR(VLOOKUP(V378,Assumptions!$A$8:$F$12,3,FALSE),3))+IF(Y378&lt;&gt;"",Y378,IFERROR(VLOOKUP(V378,Assumptions!$A$8:$F$12,4,FALSE),8))/2)</f>
        <v/>
      </c>
      <c r="AB378" s="24">
        <f>U378*Z378/(1+Assumptions!$B$3)^AA378</f>
        <v/>
      </c>
      <c r="AC378" s="27">
        <f>IF(U378=0,"",ROUND(AB378/U378*100,1))</f>
        <v/>
      </c>
      <c r="AD378" s="29">
        <f>AB378*Assumptions!$B$4</f>
        <v/>
      </c>
      <c r="AE378" s="27">
        <f>IF(U378=0,"",ROUND(AD378/U378*100,1))</f>
        <v/>
      </c>
      <c r="AF378" s="29">
        <f>AB378-AD378</f>
        <v/>
      </c>
      <c r="AG378" s="27">
        <f>IF(U378=0,"",ROUND((AB378-AD378)/U378*100,1))</f>
        <v/>
      </c>
      <c r="AH378" s="34" t="inlineStr">
        <is>
          <t>NO TOTALS — list prints none; check page</t>
        </is>
      </c>
      <c r="AI378" s="31" t="inlineStr">
        <is>
          <t>https://cataliseaj.com.br/sgc/download.php?file=files/processo_documento/processo_documento15092204102024_1_.pdf&amp;nome=02. RELAÇÃO DE CREDORES</t>
        </is>
      </c>
      <c r="AJ378" s="30" t="inlineStr">
        <is>
          <t>p3 r26</t>
        </is>
      </c>
      <c r="AK378" s="30" t="inlineStr">
        <is>
          <t>p3: R$ 243.641,39</t>
        </is>
      </c>
      <c r="AL378" s="30" t="inlineStr">
        <is>
          <t>Debtor list (art. 51)</t>
        </is>
      </c>
      <c r="AM378" s="30" t="inlineStr"/>
      <c r="AN378" s="30" t="inlineStr">
        <is>
          <t>NONE FOUND</t>
        </is>
      </c>
      <c r="AO378" s="32" t="inlineStr">
        <is>
          <t>5011460-87.2023.8.24.0020</t>
        </is>
      </c>
      <c r="AP378" s="32" t="inlineStr">
        <is>
          <t>TJSC</t>
        </is>
      </c>
      <c r="AQ378" s="32" t="inlineStr">
        <is>
          <t>Recuperação judicial</t>
        </is>
      </c>
      <c r="AR378" s="32" t="inlineStr">
        <is>
          <t>DataJud: no closure/falência movement</t>
        </is>
      </c>
      <c r="AS378" s="32" t="n">
        <v>2023</v>
      </c>
      <c r="AT378" s="32" t="inlineStr">
        <is>
          <t>live case, no plan document yet; case no. from the portal record, not printed on the list</t>
        </is>
      </c>
      <c r="AU378" s="32" t="inlineStr">
        <is>
          <t>26.588.741/0001-29</t>
        </is>
      </c>
      <c r="AV378" s="32" t="inlineStr">
        <is>
          <t>printed on the list (read twice)</t>
        </is>
      </c>
      <c r="AW378" s="32" t="inlineStr"/>
      <c r="AX378" s="32" t="inlineStr">
        <is>
          <t>CURITIBA</t>
        </is>
      </c>
      <c r="AY378" s="32" t="inlineStr">
        <is>
          <t>PR</t>
        </is>
      </c>
      <c r="AZ378" s="32" t="inlineStr">
        <is>
          <t>Fiação de fibras artificiais e sintéticas</t>
        </is>
      </c>
      <c r="BA378" s="32" t="inlineStr">
        <is>
          <t>não ME/EPP</t>
        </is>
      </c>
      <c r="BB378" s="33" t="n">
        <v>330000</v>
      </c>
      <c r="BC378" s="32" t="inlineStr">
        <is>
          <t>MID-MARKET</t>
        </is>
      </c>
      <c r="BD378" s="32" t="inlineStr">
        <is>
          <t>12995199</t>
        </is>
      </c>
      <c r="BE378" s="32" t="n">
        <v>1</v>
      </c>
      <c r="BF378" s="32" t="inlineStr">
        <is>
          <t>list prints no totals</t>
        </is>
      </c>
    </row>
    <row r="379">
      <c r="A379" s="17" t="inlineStr">
        <is>
          <t>GAZIN ATACADO CENTRO-OESTE LTDA</t>
        </is>
      </c>
      <c r="B379" s="18" t="n">
        <v>242126.42</v>
      </c>
      <c r="C379" s="19" t="inlineStr">
        <is>
          <t>GRUPO DP4</t>
        </is>
      </c>
      <c r="D379" s="20" t="inlineStr">
        <is>
          <t>NEW</t>
        </is>
      </c>
      <c r="E379" s="21" t="inlineStr"/>
      <c r="F379" s="20" t="inlineStr"/>
      <c r="G379" s="21" t="inlineStr"/>
      <c r="H379" s="20" t="inlineStr"/>
      <c r="I379" s="22" t="inlineStr">
        <is>
          <t>Natanael Estevao</t>
        </is>
      </c>
      <c r="J379" s="22" t="inlineStr">
        <is>
          <t>Gerente de Crédito e Cobrança PJ</t>
        </is>
      </c>
      <c r="K379" s="22" t="inlineStr">
        <is>
          <t>(44) 3663-8000</t>
        </is>
      </c>
      <c r="L379" s="22" t="inlineStr"/>
      <c r="M379" s="22" t="inlineStr"/>
      <c r="N379" s="22" t="inlineStr">
        <is>
          <t>natanael.estevao@gazin.com.br</t>
        </is>
      </c>
      <c r="O379" s="22" t="inlineStr">
        <is>
          <t>verified</t>
        </is>
      </c>
      <c r="P379" s="22" t="inlineStr">
        <is>
          <t>Luiz Custodio</t>
        </is>
      </c>
      <c r="Q379" s="22" t="inlineStr">
        <is>
          <t>Financial Director</t>
        </is>
      </c>
      <c r="R379" s="22" t="inlineStr"/>
      <c r="S379" s="22" t="inlineStr">
        <is>
          <t>luiz.custodio@gazin.com.br</t>
        </is>
      </c>
      <c r="T379" s="22" t="inlineStr">
        <is>
          <t>DM: DM (Gazin Atacado, verified); 'Gazin Atacado Centro Oeste' returned 0; used 'Gazin'. VERIFY org: Gazin Atacado (Douradina PR HQ) vs Centro-Oeste unit in Ipameri GO.; BACKUP: backup2 (Grupo Gazin, verified)</t>
        </is>
      </c>
      <c r="U379" s="24" t="n">
        <v>242126.42</v>
      </c>
      <c r="V379" s="25" t="inlineStr">
        <is>
          <t>B</t>
        </is>
      </c>
      <c r="W379" s="26" t="inlineStr"/>
      <c r="X379" s="27" t="inlineStr"/>
      <c r="Y379" s="27" t="inlineStr"/>
      <c r="Z379" s="26">
        <f>IF(W379&lt;&gt;"",W379,IFERROR(VLOOKUP(V379,Assumptions!$A$8:$F$12,2,FALSE),0))</f>
        <v/>
      </c>
      <c r="AA379" s="28">
        <f>IF(V379="A",MAX(1,IF(X379&lt;&gt;"",X379,IFERROR(VLOOKUP(V379,Assumptions!$A$8:$F$12,3,FALSE),3))+IF(Y379&lt;&gt;"",Y379,IFERROR(VLOOKUP(V379,Assumptions!$A$8:$F$12,4,FALSE),8))/2-MAX(0,IF(AS379="",0,YEAR(TODAY())-AS379)-IFERROR(VLOOKUP(V379,Assumptions!$A$8:$F$12,5,FALSE),1.5))),IFERROR(VLOOKUP(V379,Assumptions!$A$8:$F$12,5,FALSE),2.5)+IF(X379&lt;&gt;"",X379,IFERROR(VLOOKUP(V379,Assumptions!$A$8:$F$12,3,FALSE),3))+IF(Y379&lt;&gt;"",Y379,IFERROR(VLOOKUP(V379,Assumptions!$A$8:$F$12,4,FALSE),8))/2)</f>
        <v/>
      </c>
      <c r="AB379" s="24">
        <f>U379*Z379/(1+Assumptions!$B$3)^AA379</f>
        <v/>
      </c>
      <c r="AC379" s="27">
        <f>IF(U379=0,"",ROUND(AB379/U379*100,1))</f>
        <v/>
      </c>
      <c r="AD379" s="29">
        <f>AB379*Assumptions!$B$4</f>
        <v/>
      </c>
      <c r="AE379" s="27">
        <f>IF(U379=0,"",ROUND(AD379/U379*100,1))</f>
        <v/>
      </c>
      <c r="AF379" s="29">
        <f>AB379-AD379</f>
        <v/>
      </c>
      <c r="AG379" s="27">
        <f>IF(U379=0,"",ROUND((AB379-AD379)/U379*100,1))</f>
        <v/>
      </c>
      <c r="AH379" s="35" t="inlineStr">
        <is>
          <t>PARTIAL — class III reconciled, other classes not</t>
        </is>
      </c>
      <c r="AI379" s="31" t="inlineStr">
        <is>
          <t>https://marquesadmjudicial.com.br/sgc/download.php?file=files/processo_documento/processo_documento15293208032024_1_.pdf&amp;nome=Relação Nominal de Credores da AJ-Sintética</t>
        </is>
      </c>
      <c r="AJ379" s="30" t="inlineStr">
        <is>
          <t>p26 r2</t>
        </is>
      </c>
      <c r="AK379" s="30" t="inlineStr">
        <is>
          <t>p26: R$ 242.126,42</t>
        </is>
      </c>
      <c r="AL379" s="30" t="inlineStr">
        <is>
          <t>AJ list (art. 7 §2)</t>
        </is>
      </c>
      <c r="AM379" s="30" t="inlineStr">
        <is>
          <t>2023-03-02</t>
        </is>
      </c>
      <c r="AN379" s="30" t="inlineStr">
        <is>
          <t>NONE FOUND</t>
        </is>
      </c>
      <c r="AO379" s="32" t="inlineStr">
        <is>
          <t>0005010-98.2023.8.16.0001</t>
        </is>
      </c>
      <c r="AP379" s="32" t="inlineStr">
        <is>
          <t>TJPR</t>
        </is>
      </c>
      <c r="AQ379" s="32" t="inlineStr">
        <is>
          <t>Recuperação judicial</t>
        </is>
      </c>
      <c r="AR379" s="32" t="inlineStr">
        <is>
          <t>DataJud: no closure/falência movement</t>
        </is>
      </c>
      <c r="AS379" s="32" t="n">
        <v>2023</v>
      </c>
      <c r="AT379" s="32" t="inlineStr">
        <is>
          <t>live case, no plan document yet</t>
        </is>
      </c>
      <c r="AU379" s="32" t="inlineStr"/>
      <c r="AV379" s="32" t="inlineStr">
        <is>
          <t>printed on the list (read twice)</t>
        </is>
      </c>
      <c r="AW379" s="32" t="inlineStr"/>
      <c r="AX379" s="32" t="inlineStr">
        <is>
          <t>IPAMERI</t>
        </is>
      </c>
      <c r="AY379" s="32" t="inlineStr">
        <is>
          <t>GO</t>
        </is>
      </c>
      <c r="AZ379" s="32" t="inlineStr">
        <is>
          <t>Comércio atacadista de equipamentos elétricos de uso pessoal e doméstico</t>
        </is>
      </c>
      <c r="BA379" s="32" t="inlineStr">
        <is>
          <t>não ME/EPP</t>
        </is>
      </c>
      <c r="BB379" s="33" t="n">
        <v>275000000</v>
      </c>
      <c r="BC379" s="32" t="inlineStr">
        <is>
          <t>MID-MARKET</t>
        </is>
      </c>
      <c r="BD379" s="32" t="inlineStr">
        <is>
          <t>22962737</t>
        </is>
      </c>
      <c r="BE379" s="32" t="n">
        <v>1</v>
      </c>
      <c r="BF379" s="32" t="inlineStr">
        <is>
          <t>class III reconciled (doc partial)</t>
        </is>
      </c>
    </row>
    <row r="380">
      <c r="A380" s="17" t="inlineStr">
        <is>
          <t>MDG INDUSTRIA E COMERCIO DE PLASTICOS LTDA</t>
        </is>
      </c>
      <c r="B380" s="18" t="n">
        <v>241458.9</v>
      </c>
      <c r="C380" s="19" t="inlineStr">
        <is>
          <t>AZEPLAST INDÚSTRIA E COMÉRCIO LTDA</t>
        </is>
      </c>
      <c r="D380" s="20" t="inlineStr">
        <is>
          <t>NEW</t>
        </is>
      </c>
      <c r="E380" s="21" t="inlineStr"/>
      <c r="F380" s="20" t="inlineStr"/>
      <c r="G380" s="21" t="inlineStr"/>
      <c r="H380" s="20" t="inlineStr"/>
      <c r="I380" s="22" t="inlineStr">
        <is>
          <t>GLEB BERGER ZOMER</t>
        </is>
      </c>
      <c r="J380" s="23" t="inlineStr">
        <is>
          <t>Administrador (RFB partner)</t>
        </is>
      </c>
      <c r="K380" s="22" t="inlineStr">
        <is>
          <t>(92) 3199-8840</t>
        </is>
      </c>
      <c r="L380" s="22" t="inlineStr"/>
      <c r="M380" s="22" t="inlineStr"/>
      <c r="N380" s="22" t="inlineStr"/>
      <c r="O380" s="22" t="inlineStr"/>
      <c r="P380" s="22" t="inlineStr">
        <is>
          <t>MICHEL BERGER ZOMER</t>
        </is>
      </c>
      <c r="Q380" s="22" t="inlineStr">
        <is>
          <t>Administrador (RFB partner)</t>
        </is>
      </c>
      <c r="R380" s="22" t="inlineStr"/>
      <c r="S380" s="22" t="inlineStr"/>
      <c r="T380" s="22" t="inlineStr">
        <is>
          <t>DM = registered partner (RFB QSA); no Apollo match</t>
        </is>
      </c>
      <c r="U380" s="24" t="n">
        <v>241458.9</v>
      </c>
      <c r="V380" s="25" t="inlineStr">
        <is>
          <t>B</t>
        </is>
      </c>
      <c r="W380" s="26" t="inlineStr"/>
      <c r="X380" s="27" t="inlineStr"/>
      <c r="Y380" s="27" t="inlineStr"/>
      <c r="Z380" s="26">
        <f>IF(W380&lt;&gt;"",W380,IFERROR(VLOOKUP(V380,Assumptions!$A$8:$F$12,2,FALSE),0))</f>
        <v/>
      </c>
      <c r="AA380" s="28">
        <f>IF(V380="A",MAX(1,IF(X380&lt;&gt;"",X380,IFERROR(VLOOKUP(V380,Assumptions!$A$8:$F$12,3,FALSE),3))+IF(Y380&lt;&gt;"",Y380,IFERROR(VLOOKUP(V380,Assumptions!$A$8:$F$12,4,FALSE),8))/2-MAX(0,IF(AS380="",0,YEAR(TODAY())-AS380)-IFERROR(VLOOKUP(V380,Assumptions!$A$8:$F$12,5,FALSE),1.5))),IFERROR(VLOOKUP(V380,Assumptions!$A$8:$F$12,5,FALSE),2.5)+IF(X380&lt;&gt;"",X380,IFERROR(VLOOKUP(V380,Assumptions!$A$8:$F$12,3,FALSE),3))+IF(Y380&lt;&gt;"",Y380,IFERROR(VLOOKUP(V380,Assumptions!$A$8:$F$12,4,FALSE),8))/2)</f>
        <v/>
      </c>
      <c r="AB380" s="24">
        <f>U380*Z380/(1+Assumptions!$B$3)^AA380</f>
        <v/>
      </c>
      <c r="AC380" s="27">
        <f>IF(U380=0,"",ROUND(AB380/U380*100,1))</f>
        <v/>
      </c>
      <c r="AD380" s="29">
        <f>AB380*Assumptions!$B$4</f>
        <v/>
      </c>
      <c r="AE380" s="27">
        <f>IF(U380=0,"",ROUND(AD380/U380*100,1))</f>
        <v/>
      </c>
      <c r="AF380" s="29">
        <f>AB380-AD380</f>
        <v/>
      </c>
      <c r="AG380" s="27">
        <f>IF(U380=0,"",ROUND((AB380-AD380)/U380*100,1))</f>
        <v/>
      </c>
      <c r="AH380" s="35" t="inlineStr">
        <is>
          <t>PARTIAL — class III reconciled, other classes not</t>
        </is>
      </c>
      <c r="AI380" s="31" t="inlineStr">
        <is>
          <t>https://ajruiz.com.br/sites/default/files/public/arquivos-processos/2026-08/qgc_azeplast_julho_2026.pdf</t>
        </is>
      </c>
      <c r="AJ380" s="30" t="inlineStr">
        <is>
          <t>p1 r41</t>
        </is>
      </c>
      <c r="AK380" s="30" t="inlineStr">
        <is>
          <t>p1: R$ 241.458,90</t>
        </is>
      </c>
      <c r="AL380" s="30" t="inlineStr">
        <is>
          <t>QGC (art. 18)</t>
        </is>
      </c>
      <c r="AM380" s="30" t="inlineStr"/>
      <c r="AN380" s="30" t="inlineStr">
        <is>
          <t>NONE FOUND</t>
        </is>
      </c>
      <c r="AO380" s="32" t="inlineStr">
        <is>
          <t>5008793-34.2023.8.24.0019</t>
        </is>
      </c>
      <c r="AP380" s="32" t="inlineStr">
        <is>
          <t>TJSC</t>
        </is>
      </c>
      <c r="AQ380" s="32" t="inlineStr">
        <is>
          <t>Recuperação judicial</t>
        </is>
      </c>
      <c r="AR380" s="32" t="inlineStr">
        <is>
          <t>DataJud: no closure/falência movement</t>
        </is>
      </c>
      <c r="AS380" s="32" t="n">
        <v>2023</v>
      </c>
      <c r="AT380" s="32" t="inlineStr">
        <is>
          <t>live case, no plan document yet</t>
        </is>
      </c>
      <c r="AU380" s="32" t="inlineStr"/>
      <c r="AV380" s="32" t="inlineStr">
        <is>
          <t>printed on the list (read twice)</t>
        </is>
      </c>
      <c r="AW380" s="32" t="inlineStr"/>
      <c r="AX380" s="32" t="inlineStr">
        <is>
          <t>MANAUS</t>
        </is>
      </c>
      <c r="AY380" s="32" t="inlineStr">
        <is>
          <t>AM</t>
        </is>
      </c>
      <c r="AZ380" s="32" t="inlineStr">
        <is>
          <t>Fabricação de embalagens de material plástico</t>
        </is>
      </c>
      <c r="BA380" s="32" t="inlineStr">
        <is>
          <t>não ME/EPP</t>
        </is>
      </c>
      <c r="BB380" s="33" t="n">
        <v>32750000</v>
      </c>
      <c r="BC380" s="32" t="inlineStr">
        <is>
          <t>MID-MARKET</t>
        </is>
      </c>
      <c r="BD380" s="32" t="inlineStr">
        <is>
          <t>35474405</t>
        </is>
      </c>
      <c r="BE380" s="32" t="n">
        <v>1</v>
      </c>
      <c r="BF380" s="32" t="inlineStr">
        <is>
          <t>class III reconciled (doc partial)</t>
        </is>
      </c>
    </row>
    <row r="381">
      <c r="A381" s="17" t="inlineStr">
        <is>
          <t>PELOZATO HENRIQUE SOCIEDADE INDIVIDUAL DE ADVOCACIA</t>
        </is>
      </c>
      <c r="B381" s="18" t="n">
        <v>240000</v>
      </c>
      <c r="C381" s="19" t="inlineStr">
        <is>
          <t>CENTURY CONSTRUÇÕES COMÉRCIO E SERVIÇOS LTDA.</t>
        </is>
      </c>
      <c r="D381" s="20" t="inlineStr">
        <is>
          <t>NEW</t>
        </is>
      </c>
      <c r="E381" s="21" t="inlineStr"/>
      <c r="F381" s="20" t="inlineStr"/>
      <c r="G381" s="21" t="inlineStr"/>
      <c r="H381" s="20" t="inlineStr"/>
      <c r="I381" s="22" t="inlineStr">
        <is>
          <t>MARCOS PELOZATO HENRIQUE</t>
        </is>
      </c>
      <c r="J381" s="23" t="inlineStr">
        <is>
          <t>Sócio-Administrador (RFB partner)</t>
        </is>
      </c>
      <c r="K381" s="22" t="inlineStr">
        <is>
          <t>(11) 2198-4677</t>
        </is>
      </c>
      <c r="L381" s="22" t="inlineStr"/>
      <c r="M381" s="22" t="inlineStr"/>
      <c r="N381" s="22" t="inlineStr"/>
      <c r="O381" s="22" t="inlineStr"/>
      <c r="P381" s="22" t="inlineStr"/>
      <c r="Q381" s="22" t="inlineStr"/>
      <c r="R381" s="22" t="inlineStr"/>
      <c r="S381" s="22" t="inlineStr"/>
      <c r="T381" s="22" t="inlineStr">
        <is>
          <t>DM = registered partner (RFB QSA); no Apollo match</t>
        </is>
      </c>
      <c r="U381" s="24" t="n">
        <v>240000</v>
      </c>
      <c r="V381" s="25" t="inlineStr">
        <is>
          <t>B</t>
        </is>
      </c>
      <c r="W381" s="26" t="inlineStr"/>
      <c r="X381" s="27" t="inlineStr"/>
      <c r="Y381" s="27" t="inlineStr"/>
      <c r="Z381" s="26">
        <f>IF(W381&lt;&gt;"",W381,IFERROR(VLOOKUP(V381,Assumptions!$A$8:$F$12,2,FALSE),0))</f>
        <v/>
      </c>
      <c r="AA381" s="28">
        <f>IF(V381="A",MAX(1,IF(X381&lt;&gt;"",X381,IFERROR(VLOOKUP(V381,Assumptions!$A$8:$F$12,3,FALSE),3))+IF(Y381&lt;&gt;"",Y381,IFERROR(VLOOKUP(V381,Assumptions!$A$8:$F$12,4,FALSE),8))/2-MAX(0,IF(AS381="",0,YEAR(TODAY())-AS381)-IFERROR(VLOOKUP(V381,Assumptions!$A$8:$F$12,5,FALSE),1.5))),IFERROR(VLOOKUP(V381,Assumptions!$A$8:$F$12,5,FALSE),2.5)+IF(X381&lt;&gt;"",X381,IFERROR(VLOOKUP(V381,Assumptions!$A$8:$F$12,3,FALSE),3))+IF(Y381&lt;&gt;"",Y381,IFERROR(VLOOKUP(V381,Assumptions!$A$8:$F$12,4,FALSE),8))/2)</f>
        <v/>
      </c>
      <c r="AB381" s="24">
        <f>U381*Z381/(1+Assumptions!$B$3)^AA381</f>
        <v/>
      </c>
      <c r="AC381" s="27">
        <f>IF(U381=0,"",ROUND(AB381/U381*100,1))</f>
        <v/>
      </c>
      <c r="AD381" s="29">
        <f>AB381*Assumptions!$B$4</f>
        <v/>
      </c>
      <c r="AE381" s="27">
        <f>IF(U381=0,"",ROUND(AD381/U381*100,1))</f>
        <v/>
      </c>
      <c r="AF381" s="29">
        <f>AB381-AD381</f>
        <v/>
      </c>
      <c r="AG381" s="27">
        <f>IF(U381=0,"",ROUND((AB381-AD381)/U381*100,1))</f>
        <v/>
      </c>
      <c r="AH381" s="34" t="inlineStr">
        <is>
          <t>NO TOTALS — list prints none; check page</t>
        </is>
      </c>
      <c r="AI381" s="31" t="inlineStr">
        <is>
          <t>https://ativosajce.com.br/admin/download.php?file=files/processo_documento/processo_documento16022716122025_1_.pdf&amp;nome=Relação de credores - art. 52, §1º da Lei 11.101/05 - 15/12/2025</t>
        </is>
      </c>
      <c r="AJ381" s="30" t="inlineStr">
        <is>
          <t>p4 r2</t>
        </is>
      </c>
      <c r="AK381" s="30" t="inlineStr">
        <is>
          <t>p4: R$ 240.000,00</t>
        </is>
      </c>
      <c r="AL381" s="30" t="inlineStr">
        <is>
          <t>Unclassified list</t>
        </is>
      </c>
      <c r="AM381" s="30" t="inlineStr"/>
      <c r="AN381" s="30" t="inlineStr">
        <is>
          <t>NONE FOUND</t>
        </is>
      </c>
      <c r="AO381" s="32" t="inlineStr">
        <is>
          <t>4054599-35.2025.8.26.0100</t>
        </is>
      </c>
      <c r="AP381" s="32" t="inlineStr">
        <is>
          <t>TJSP</t>
        </is>
      </c>
      <c r="AQ381" s="32" t="inlineStr">
        <is>
          <t>Recuperação judicial</t>
        </is>
      </c>
      <c r="AR381" s="32" t="inlineStr">
        <is>
          <t>DataJud: no closure/falência movement</t>
        </is>
      </c>
      <c r="AS381" s="32" t="n">
        <v>2025</v>
      </c>
      <c r="AT381" s="32" t="inlineStr">
        <is>
          <t>live case, no plan document yet; case no. from the portal record, not printed on the list</t>
        </is>
      </c>
      <c r="AU381" s="32" t="inlineStr">
        <is>
          <t>03.299.563/0001-10</t>
        </is>
      </c>
      <c r="AV381" s="32" t="inlineStr">
        <is>
          <t>printed on the list (read twice)</t>
        </is>
      </c>
      <c r="AW381" s="32" t="inlineStr"/>
      <c r="AX381" s="32" t="inlineStr">
        <is>
          <t>BARUERI</t>
        </is>
      </c>
      <c r="AY381" s="32" t="inlineStr">
        <is>
          <t>SP</t>
        </is>
      </c>
      <c r="AZ381" s="32" t="inlineStr">
        <is>
          <t>Serviços advocatícios</t>
        </is>
      </c>
      <c r="BA381" s="32" t="inlineStr">
        <is>
          <t>não ME/EPP</t>
        </is>
      </c>
      <c r="BB381" s="33" t="n">
        <v>10000</v>
      </c>
      <c r="BC381" s="32" t="inlineStr">
        <is>
          <t>MID-MARKET</t>
        </is>
      </c>
      <c r="BD381" s="32" t="inlineStr">
        <is>
          <t>28929686</t>
        </is>
      </c>
      <c r="BE381" s="32" t="n">
        <v>1</v>
      </c>
      <c r="BF381" s="32" t="inlineStr">
        <is>
          <t>list prints no totals</t>
        </is>
      </c>
    </row>
    <row r="382">
      <c r="A382" s="17" t="inlineStr">
        <is>
          <t>BCR - COMERCIO E DISTRIBUICAO DE IMPLANTES CIRURGICOS LTDA.</t>
        </is>
      </c>
      <c r="B382" s="18" t="n">
        <v>239412.95</v>
      </c>
      <c r="C382" s="19" t="inlineStr">
        <is>
          <t>ASSOCIAÇÃO DE CARIDADE SANTA CASA DO RIO GRANDE</t>
        </is>
      </c>
      <c r="D382" s="20" t="inlineStr">
        <is>
          <t>NEW</t>
        </is>
      </c>
      <c r="E382" s="21" t="inlineStr"/>
      <c r="F382" s="20" t="inlineStr"/>
      <c r="G382" s="21" t="inlineStr"/>
      <c r="H382" s="20" t="inlineStr"/>
      <c r="I382" s="22" t="inlineStr">
        <is>
          <t>ELIANE BETIATTO</t>
        </is>
      </c>
      <c r="J382" s="23" t="inlineStr">
        <is>
          <t>Sócio-Administrador (RFB partner)</t>
        </is>
      </c>
      <c r="K382" s="22" t="inlineStr">
        <is>
          <t>(51) 3334-8589</t>
        </is>
      </c>
      <c r="L382" s="22" t="inlineStr"/>
      <c r="M382" s="22" t="inlineStr"/>
      <c r="N382" s="22" t="inlineStr"/>
      <c r="O382" s="22" t="inlineStr"/>
      <c r="P382" s="22" t="inlineStr">
        <is>
          <t>ROBER ROSSO</t>
        </is>
      </c>
      <c r="Q382" s="22" t="inlineStr">
        <is>
          <t>Sócio-Administrador (RFB partner)</t>
        </is>
      </c>
      <c r="R382" s="22" t="inlineStr"/>
      <c r="S382" s="22" t="inlineStr"/>
      <c r="T382" s="22" t="inlineStr">
        <is>
          <t>DM = registered partner (RFB QSA); Apollo pick demoted to backup (non-finance role)</t>
        </is>
      </c>
      <c r="U382" s="24" t="n">
        <v>239412.95</v>
      </c>
      <c r="V382" s="25" t="inlineStr">
        <is>
          <t>B</t>
        </is>
      </c>
      <c r="W382" s="26" t="inlineStr"/>
      <c r="X382" s="27" t="inlineStr"/>
      <c r="Y382" s="27" t="inlineStr"/>
      <c r="Z382" s="26">
        <f>IF(W382&lt;&gt;"",W382,IFERROR(VLOOKUP(V382,Assumptions!$A$8:$F$12,2,FALSE),0))</f>
        <v/>
      </c>
      <c r="AA382" s="28">
        <f>IF(V382="A",MAX(1,IF(X382&lt;&gt;"",X382,IFERROR(VLOOKUP(V382,Assumptions!$A$8:$F$12,3,FALSE),3))+IF(Y382&lt;&gt;"",Y382,IFERROR(VLOOKUP(V382,Assumptions!$A$8:$F$12,4,FALSE),8))/2-MAX(0,IF(AS382="",0,YEAR(TODAY())-AS382)-IFERROR(VLOOKUP(V382,Assumptions!$A$8:$F$12,5,FALSE),1.5))),IFERROR(VLOOKUP(V382,Assumptions!$A$8:$F$12,5,FALSE),2.5)+IF(X382&lt;&gt;"",X382,IFERROR(VLOOKUP(V382,Assumptions!$A$8:$F$12,3,FALSE),3))+IF(Y382&lt;&gt;"",Y382,IFERROR(VLOOKUP(V382,Assumptions!$A$8:$F$12,4,FALSE),8))/2)</f>
        <v/>
      </c>
      <c r="AB382" s="24">
        <f>U382*Z382/(1+Assumptions!$B$3)^AA382</f>
        <v/>
      </c>
      <c r="AC382" s="27">
        <f>IF(U382=0,"",ROUND(AB382/U382*100,1))</f>
        <v/>
      </c>
      <c r="AD382" s="29">
        <f>AB382*Assumptions!$B$4</f>
        <v/>
      </c>
      <c r="AE382" s="27">
        <f>IF(U382=0,"",ROUND(AD382/U382*100,1))</f>
        <v/>
      </c>
      <c r="AF382" s="29">
        <f>AB382-AD382</f>
        <v/>
      </c>
      <c r="AG382" s="27">
        <f>IF(U382=0,"",ROUND((AB382-AD382)/U382*100,1))</f>
        <v/>
      </c>
      <c r="AH382" s="34" t="inlineStr">
        <is>
          <t>NO TOTALS — list prints none; check page</t>
        </is>
      </c>
      <c r="AI382" s="31" t="inlineStr">
        <is>
          <t>https://scalzilliaj.com.br/sgc/download.php?file=files/processo_documento/processo_documento09120721032023_1_.pdf&amp;nome=15 - Edital do art. 7º, §2º e 53 da Lei 11.101/2005 (segunda lista de credores e recebimento do plano))</t>
        </is>
      </c>
      <c r="AJ382" s="30" t="inlineStr">
        <is>
          <t>p26 r3</t>
        </is>
      </c>
      <c r="AK382" s="30" t="inlineStr">
        <is>
          <t>p26: R$ 239.412,95</t>
        </is>
      </c>
      <c r="AL382" s="30" t="inlineStr">
        <is>
          <t>AJ list (art. 7 §2)</t>
        </is>
      </c>
      <c r="AM382" s="30" t="inlineStr">
        <is>
          <t>2023-03-21</t>
        </is>
      </c>
      <c r="AN382" s="30" t="inlineStr">
        <is>
          <t>NONE FOUND</t>
        </is>
      </c>
      <c r="AO382" s="32" t="inlineStr">
        <is>
          <t>5012306-16.2022.8.21.0023</t>
        </is>
      </c>
      <c r="AP382" s="32" t="inlineStr">
        <is>
          <t>TJRS</t>
        </is>
      </c>
      <c r="AQ382" s="32" t="inlineStr">
        <is>
          <t>Recuperação judicial</t>
        </is>
      </c>
      <c r="AR382" s="32" t="inlineStr">
        <is>
          <t>DataJud: no closure/falência movement</t>
        </is>
      </c>
      <c r="AS382" s="32" t="n">
        <v>2022</v>
      </c>
      <c r="AT382" s="32" t="inlineStr">
        <is>
          <t>live case, no plan document yet; atypical debtor (associação/clube/hospital/produtor rural): admissibility or claim subjection may be contested</t>
        </is>
      </c>
      <c r="AU382" s="32" t="inlineStr"/>
      <c r="AV382" s="32" t="inlineStr">
        <is>
          <t>printed on the list (read twice)</t>
        </is>
      </c>
      <c r="AW382" s="32" t="inlineStr"/>
      <c r="AX382" s="32" t="inlineStr">
        <is>
          <t>PORTO ALEGRE</t>
        </is>
      </c>
      <c r="AY382" s="32" t="inlineStr">
        <is>
          <t>RS</t>
        </is>
      </c>
      <c r="AZ382" s="32" t="inlineStr">
        <is>
          <t>Comércio atacadista de instrumentos e materiais para uso médico, cirúrgico, hospitalar e de laboratórios</t>
        </is>
      </c>
      <c r="BA382" s="32" t="inlineStr">
        <is>
          <t>não ME/EPP</t>
        </is>
      </c>
      <c r="BB382" s="33" t="n">
        <v>500000</v>
      </c>
      <c r="BC382" s="32" t="inlineStr">
        <is>
          <t>MID-MARKET</t>
        </is>
      </c>
      <c r="BD382" s="32" t="inlineStr">
        <is>
          <t>17958615</t>
        </is>
      </c>
      <c r="BE382" s="32" t="n">
        <v>1</v>
      </c>
      <c r="BF382" s="32" t="inlineStr">
        <is>
          <t>list prints no totals</t>
        </is>
      </c>
    </row>
    <row r="383">
      <c r="A383" s="17" t="inlineStr">
        <is>
          <t>UNICAP RENOVADORA DE PNEUS LTDA</t>
        </is>
      </c>
      <c r="B383" s="18" t="n">
        <v>448731</v>
      </c>
      <c r="C383" s="37" t="inlineStr">
        <is>
          <t>(debtor not identified — see proof)</t>
        </is>
      </c>
      <c r="D383" s="20" t="inlineStr">
        <is>
          <t>NEW</t>
        </is>
      </c>
      <c r="E383" s="21" t="inlineStr"/>
      <c r="F383" s="20" t="inlineStr"/>
      <c r="G383" s="21" t="inlineStr"/>
      <c r="H383" s="20" t="inlineStr"/>
      <c r="I383" s="22" t="inlineStr">
        <is>
          <t>DIRCEU VALENTIM FORMAGGIO</t>
        </is>
      </c>
      <c r="J383" s="23" t="inlineStr">
        <is>
          <t>Sócio-Administrador (RFB partner)</t>
        </is>
      </c>
      <c r="K383" s="22" t="inlineStr">
        <is>
          <t>(19) 3341-3700</t>
        </is>
      </c>
      <c r="L383" s="22" t="inlineStr"/>
      <c r="M383" s="22" t="inlineStr"/>
      <c r="N383" s="22" t="inlineStr"/>
      <c r="O383" s="22" t="inlineStr"/>
      <c r="P383" s="22" t="inlineStr">
        <is>
          <t>Jeferson Ferezini</t>
        </is>
      </c>
      <c r="Q383" s="22" t="inlineStr">
        <is>
          <t>Gerente de Desenvolvimento de Negócios de Vendas</t>
        </is>
      </c>
      <c r="R383" s="22" t="inlineStr"/>
      <c r="S383" s="22" t="inlineStr">
        <is>
          <t>jeferson@unicapradial.com.br</t>
        </is>
      </c>
      <c r="T383" s="22" t="inlineStr">
        <is>
          <t>DM = registered partner (RFB QSA); Apollo pick demoted to backup (non-finance role); BACKUP: weak, has_email</t>
        </is>
      </c>
      <c r="U383" s="24" t="n">
        <v>448731</v>
      </c>
      <c r="V383" s="38" t="inlineStr">
        <is>
          <t>U</t>
        </is>
      </c>
      <c r="W383" s="26" t="inlineStr"/>
      <c r="X383" s="27" t="inlineStr"/>
      <c r="Y383" s="27" t="inlineStr"/>
      <c r="Z383" s="26">
        <f>IF(W383&lt;&gt;"",W383,IFERROR(VLOOKUP(V383,Assumptions!$A$8:$F$12,2,FALSE),0))</f>
        <v/>
      </c>
      <c r="AA383" s="28">
        <f>IF(V383="A",MAX(1,IF(X383&lt;&gt;"",X383,IFERROR(VLOOKUP(V383,Assumptions!$A$8:$F$12,3,FALSE),3))+IF(Y383&lt;&gt;"",Y383,IFERROR(VLOOKUP(V383,Assumptions!$A$8:$F$12,4,FALSE),8))/2-MAX(0,IF(AS383="",0,YEAR(TODAY())-AS383)-IFERROR(VLOOKUP(V383,Assumptions!$A$8:$F$12,5,FALSE),1.5))),IFERROR(VLOOKUP(V383,Assumptions!$A$8:$F$12,5,FALSE),2.5)+IF(X383&lt;&gt;"",X383,IFERROR(VLOOKUP(V383,Assumptions!$A$8:$F$12,3,FALSE),3))+IF(Y383&lt;&gt;"",Y383,IFERROR(VLOOKUP(V383,Assumptions!$A$8:$F$12,4,FALSE),8))/2)</f>
        <v/>
      </c>
      <c r="AB383" s="24">
        <f>U383*Z383/(1+Assumptions!$B$3)^AA383</f>
        <v/>
      </c>
      <c r="AC383" s="27">
        <f>IF(U383=0,"",ROUND(AB383/U383*100,1))</f>
        <v/>
      </c>
      <c r="AD383" s="29">
        <f>AB383*Assumptions!$B$4</f>
        <v/>
      </c>
      <c r="AE383" s="27">
        <f>IF(U383=0,"",ROUND(AD383/U383*100,1))</f>
        <v/>
      </c>
      <c r="AF383" s="29">
        <f>AB383-AD383</f>
        <v/>
      </c>
      <c r="AG383" s="27">
        <f>IF(U383=0,"",ROUND((AB383-AD383)/U383*100,1))</f>
        <v/>
      </c>
      <c r="AH383" s="30" t="inlineStr">
        <is>
          <t>OK — totals reconciled</t>
        </is>
      </c>
      <c r="AI383" s="31" t="inlineStr">
        <is>
          <t>https://ajruiz.com.br/sites/default/files/public/arquivos-processos/2023-11/4_relacao_de_credores_analitica_art._51_iii_da_lre.pdf</t>
        </is>
      </c>
      <c r="AJ383" s="30" t="inlineStr">
        <is>
          <t>p4 r20</t>
        </is>
      </c>
      <c r="AK383" s="30" t="inlineStr">
        <is>
          <t>p4: R$ 448.731,00</t>
        </is>
      </c>
      <c r="AL383" s="30" t="inlineStr">
        <is>
          <t>Unclassified list</t>
        </is>
      </c>
      <c r="AM383" s="30" t="inlineStr"/>
      <c r="AN383" s="30" t="inlineStr">
        <is>
          <t>NONE FOUND</t>
        </is>
      </c>
      <c r="AO383" s="32" t="inlineStr">
        <is>
          <t>(not printed)</t>
        </is>
      </c>
      <c r="AP383" s="32" t="inlineStr"/>
      <c r="AQ383" s="32" t="inlineStr"/>
      <c r="AR383" s="32" t="inlineStr"/>
      <c r="AS383" s="32" t="inlineStr"/>
      <c r="AT383" s="32" t="inlineStr">
        <is>
          <t>RJ case number not identified on the document</t>
        </is>
      </c>
      <c r="AU383" s="32" t="inlineStr"/>
      <c r="AV383" s="32" t="inlineStr">
        <is>
          <t>not identified</t>
        </is>
      </c>
      <c r="AW383" s="32" t="inlineStr"/>
      <c r="AX383" s="32" t="inlineStr">
        <is>
          <t>NOVA ODESSA</t>
        </is>
      </c>
      <c r="AY383" s="32" t="inlineStr">
        <is>
          <t>SP</t>
        </is>
      </c>
      <c r="AZ383" s="32" t="inlineStr">
        <is>
          <t>Reforma de pneumáticos usados</t>
        </is>
      </c>
      <c r="BA383" s="32" t="inlineStr">
        <is>
          <t>não ME/EPP</t>
        </is>
      </c>
      <c r="BB383" s="33" t="n">
        <v>979642</v>
      </c>
      <c r="BC383" s="32" t="inlineStr">
        <is>
          <t>MID-MARKET</t>
        </is>
      </c>
      <c r="BD383" s="32" t="inlineStr">
        <is>
          <t>67943738</t>
        </is>
      </c>
      <c r="BE383" s="32" t="n">
        <v>1</v>
      </c>
      <c r="BF383" s="32" t="inlineStr">
        <is>
          <t>case no. corrected by reader</t>
        </is>
      </c>
    </row>
    <row r="384">
      <c r="A384" s="17" t="inlineStr">
        <is>
          <t>NIPRO MEDICAL CORPORATION PRODUTOS MEDICOS LTDA.</t>
        </is>
      </c>
      <c r="B384" s="18" t="n">
        <v>928406.79</v>
      </c>
      <c r="C384" s="19" t="inlineStr">
        <is>
          <t>CENTRO DE TRATAMENTO RENAL ZONA SUL LTDA</t>
        </is>
      </c>
      <c r="D384" s="20" t="inlineStr">
        <is>
          <t>NEW</t>
        </is>
      </c>
      <c r="E384" s="21" t="inlineStr"/>
      <c r="F384" s="20" t="inlineStr"/>
      <c r="G384" s="21" t="inlineStr"/>
      <c r="H384" s="20" t="inlineStr"/>
      <c r="I384" s="22" t="inlineStr">
        <is>
          <t>MARTIN ORTIZ DE ZEVALLOS MUNOZ</t>
        </is>
      </c>
      <c r="J384" s="23" t="inlineStr">
        <is>
          <t>Administrador (RFB partner)</t>
        </is>
      </c>
      <c r="K384" s="22" t="inlineStr">
        <is>
          <t>(11) 3643-0555</t>
        </is>
      </c>
      <c r="L384" s="22" t="inlineStr"/>
      <c r="M384" s="22" t="inlineStr"/>
      <c r="N384" s="22" t="inlineStr"/>
      <c r="O384" s="22" t="inlineStr"/>
      <c r="P384" s="22" t="inlineStr"/>
      <c r="Q384" s="22" t="inlineStr"/>
      <c r="R384" s="22" t="inlineStr"/>
      <c r="S384" s="22" t="inlineStr"/>
      <c r="T384" s="22" t="inlineStr">
        <is>
          <t>DM = registered partner (RFB QSA); no Apollo match</t>
        </is>
      </c>
      <c r="U384" s="24" t="n">
        <v>928406.79</v>
      </c>
      <c r="V384" s="39" t="inlineStr">
        <is>
          <t>C</t>
        </is>
      </c>
      <c r="W384" s="26" t="inlineStr"/>
      <c r="X384" s="27" t="inlineStr"/>
      <c r="Y384" s="27" t="inlineStr"/>
      <c r="Z384" s="26">
        <f>IF(W384&lt;&gt;"",W384,IFERROR(VLOOKUP(V384,Assumptions!$A$8:$F$12,2,FALSE),0))</f>
        <v/>
      </c>
      <c r="AA384" s="28">
        <f>IF(V384="A",MAX(1,IF(X384&lt;&gt;"",X384,IFERROR(VLOOKUP(V384,Assumptions!$A$8:$F$12,3,FALSE),3))+IF(Y384&lt;&gt;"",Y384,IFERROR(VLOOKUP(V384,Assumptions!$A$8:$F$12,4,FALSE),8))/2-MAX(0,IF(AS384="",0,YEAR(TODAY())-AS384)-IFERROR(VLOOKUP(V384,Assumptions!$A$8:$F$12,5,FALSE),1.5))),IFERROR(VLOOKUP(V384,Assumptions!$A$8:$F$12,5,FALSE),2.5)+IF(X384&lt;&gt;"",X384,IFERROR(VLOOKUP(V384,Assumptions!$A$8:$F$12,3,FALSE),3))+IF(Y384&lt;&gt;"",Y384,IFERROR(VLOOKUP(V384,Assumptions!$A$8:$F$12,4,FALSE),8))/2)</f>
        <v/>
      </c>
      <c r="AB384" s="24">
        <f>U384*Z384/(1+Assumptions!$B$3)^AA384</f>
        <v/>
      </c>
      <c r="AC384" s="27">
        <f>IF(U384=0,"",ROUND(AB384/U384*100,1))</f>
        <v/>
      </c>
      <c r="AD384" s="29">
        <f>AB384*Assumptions!$B$4</f>
        <v/>
      </c>
      <c r="AE384" s="27">
        <f>IF(U384=0,"",ROUND(AD384/U384*100,1))</f>
        <v/>
      </c>
      <c r="AF384" s="29">
        <f>AB384-AD384</f>
        <v/>
      </c>
      <c r="AG384" s="27">
        <f>IF(U384=0,"",ROUND((AB384-AD384)/U384*100,1))</f>
        <v/>
      </c>
      <c r="AH384" s="30" t="inlineStr">
        <is>
          <t>OK — totals reconciled</t>
        </is>
      </c>
      <c r="AI384" s="31" t="inlineStr">
        <is>
          <t>https://recuperacaojudicial.squarespace.com/s/4-RJCTREditalda2ListadeCredoresnovembro2019.pdf</t>
        </is>
      </c>
      <c r="AJ384" s="30" t="inlineStr">
        <is>
          <t>p3 r36</t>
        </is>
      </c>
      <c r="AK384" s="30" t="inlineStr">
        <is>
          <t>p3: R$ 928.406,79</t>
        </is>
      </c>
      <c r="AL384" s="30" t="inlineStr">
        <is>
          <t>AJ list (art. 7 §2)</t>
        </is>
      </c>
      <c r="AM384" s="30" t="inlineStr">
        <is>
          <t>2019-11-25</t>
        </is>
      </c>
      <c r="AN384" s="30" t="inlineStr">
        <is>
          <t>NONE FOUND</t>
        </is>
      </c>
      <c r="AO384" s="32" t="inlineStr">
        <is>
          <t>0015488-29.2018.8.17.2810</t>
        </is>
      </c>
      <c r="AP384" s="32" t="inlineStr">
        <is>
          <t>TJPE</t>
        </is>
      </c>
      <c r="AQ384" s="32" t="inlineStr">
        <is>
          <t>Recuperação judicial</t>
        </is>
      </c>
      <c r="AR384" s="32" t="inlineStr">
        <is>
          <t>not in DataJud</t>
        </is>
      </c>
      <c r="AS384" s="32" t="n">
        <v>2018</v>
      </c>
      <c r="AT384" s="32" t="inlineStr">
        <is>
          <t>8y since filing; plan not in our documents</t>
        </is>
      </c>
      <c r="AU384" s="32" t="inlineStr">
        <is>
          <t>03.648.189/0001-11</t>
        </is>
      </c>
      <c r="AV384" s="32" t="inlineStr">
        <is>
          <t>printed on the list (read twice)</t>
        </is>
      </c>
      <c r="AW384" s="32" t="inlineStr"/>
      <c r="AX384" s="32" t="inlineStr">
        <is>
          <t>SAO PAULO</t>
        </is>
      </c>
      <c r="AY384" s="32" t="inlineStr">
        <is>
          <t>SP</t>
        </is>
      </c>
      <c r="AZ384" s="32" t="inlineStr">
        <is>
          <t>Comércio atacadista de instrumentos e materiais para uso médico, cirúrgico, hospitalar e de laboratórios</t>
        </is>
      </c>
      <c r="BA384" s="32" t="inlineStr">
        <is>
          <t>não ME/EPP</t>
        </is>
      </c>
      <c r="BB384" s="33" t="n">
        <v>256136930</v>
      </c>
      <c r="BC384" s="32" t="inlineStr">
        <is>
          <t>MID-MARKET</t>
        </is>
      </c>
      <c r="BD384" s="32" t="inlineStr">
        <is>
          <t>13333090</t>
        </is>
      </c>
      <c r="BE384" s="32" t="n">
        <v>1</v>
      </c>
      <c r="BF384" s="32" t="inlineStr"/>
    </row>
    <row r="385">
      <c r="A385" s="17" t="inlineStr">
        <is>
          <t>IRMAOS D AGOSTO LTDA</t>
        </is>
      </c>
      <c r="B385" s="18" t="n">
        <v>236603.51</v>
      </c>
      <c r="C385" s="19" t="inlineStr">
        <is>
          <t>CENTURY CONSTRUÇÕES COMÉRCIO E SERVIÇOS LTDA.</t>
        </is>
      </c>
      <c r="D385" s="20" t="inlineStr">
        <is>
          <t>NEW</t>
        </is>
      </c>
      <c r="E385" s="21" t="inlineStr"/>
      <c r="F385" s="20" t="inlineStr"/>
      <c r="G385" s="21" t="inlineStr"/>
      <c r="H385" s="20" t="inlineStr"/>
      <c r="I385" s="22" t="inlineStr">
        <is>
          <t>ATILIO CARLOS D AGOSTO</t>
        </is>
      </c>
      <c r="J385" s="23" t="inlineStr">
        <is>
          <t>Sócio-Administrador (RFB partner)</t>
        </is>
      </c>
      <c r="K385" s="22" t="inlineStr">
        <is>
          <t>(11) 4032-5923</t>
        </is>
      </c>
      <c r="L385" s="22" t="inlineStr"/>
      <c r="M385" s="22" t="inlineStr"/>
      <c r="N385" s="22" t="inlineStr"/>
      <c r="O385" s="22" t="inlineStr"/>
      <c r="P385" s="22" t="inlineStr">
        <is>
          <t>Luciano Martins</t>
        </is>
      </c>
      <c r="Q385" s="22" t="inlineStr">
        <is>
          <t>Commercial Manager</t>
        </is>
      </c>
      <c r="R385" s="22" t="inlineStr"/>
      <c r="S385" s="22" t="inlineStr">
        <is>
          <t>luciano.martins@irmaosdagosto.com.br</t>
        </is>
      </c>
      <c r="T385" s="22" t="inlineStr">
        <is>
          <t>DM = registered partner (RFB QSA); Apollo pick demoted to backup (non-finance role); BACKUP: DM verified email (no finance person found)</t>
        </is>
      </c>
      <c r="U385" s="24" t="n">
        <v>236603.51</v>
      </c>
      <c r="V385" s="25" t="inlineStr">
        <is>
          <t>B</t>
        </is>
      </c>
      <c r="W385" s="26" t="inlineStr"/>
      <c r="X385" s="27" t="inlineStr"/>
      <c r="Y385" s="27" t="inlineStr"/>
      <c r="Z385" s="26">
        <f>IF(W385&lt;&gt;"",W385,IFERROR(VLOOKUP(V385,Assumptions!$A$8:$F$12,2,FALSE),0))</f>
        <v/>
      </c>
      <c r="AA385" s="28">
        <f>IF(V385="A",MAX(1,IF(X385&lt;&gt;"",X385,IFERROR(VLOOKUP(V385,Assumptions!$A$8:$F$12,3,FALSE),3))+IF(Y385&lt;&gt;"",Y385,IFERROR(VLOOKUP(V385,Assumptions!$A$8:$F$12,4,FALSE),8))/2-MAX(0,IF(AS385="",0,YEAR(TODAY())-AS385)-IFERROR(VLOOKUP(V385,Assumptions!$A$8:$F$12,5,FALSE),1.5))),IFERROR(VLOOKUP(V385,Assumptions!$A$8:$F$12,5,FALSE),2.5)+IF(X385&lt;&gt;"",X385,IFERROR(VLOOKUP(V385,Assumptions!$A$8:$F$12,3,FALSE),3))+IF(Y385&lt;&gt;"",Y385,IFERROR(VLOOKUP(V385,Assumptions!$A$8:$F$12,4,FALSE),8))/2)</f>
        <v/>
      </c>
      <c r="AB385" s="24">
        <f>U385*Z385/(1+Assumptions!$B$3)^AA385</f>
        <v/>
      </c>
      <c r="AC385" s="27">
        <f>IF(U385=0,"",ROUND(AB385/U385*100,1))</f>
        <v/>
      </c>
      <c r="AD385" s="29">
        <f>AB385*Assumptions!$B$4</f>
        <v/>
      </c>
      <c r="AE385" s="27">
        <f>IF(U385=0,"",ROUND(AD385/U385*100,1))</f>
        <v/>
      </c>
      <c r="AF385" s="29">
        <f>AB385-AD385</f>
        <v/>
      </c>
      <c r="AG385" s="27">
        <f>IF(U385=0,"",ROUND((AB385-AD385)/U385*100,1))</f>
        <v/>
      </c>
      <c r="AH385" s="34" t="inlineStr">
        <is>
          <t>NO TOTALS — list prints none; check page</t>
        </is>
      </c>
      <c r="AI385" s="31" t="inlineStr">
        <is>
          <t>https://ativosajce.com.br/admin/download.php?file=files/processo_documento/processo_documento16022716122025_1_.pdf&amp;nome=Relação de credores - art. 52, §1º da Lei 11.101/05 - 15/12/2025</t>
        </is>
      </c>
      <c r="AJ385" s="30" t="inlineStr">
        <is>
          <t>p3 r32</t>
        </is>
      </c>
      <c r="AK385" s="30" t="inlineStr">
        <is>
          <t>p3: R$ 236.603,51</t>
        </is>
      </c>
      <c r="AL385" s="30" t="inlineStr">
        <is>
          <t>Unclassified list</t>
        </is>
      </c>
      <c r="AM385" s="30" t="inlineStr"/>
      <c r="AN385" s="30" t="inlineStr">
        <is>
          <t>NONE FOUND</t>
        </is>
      </c>
      <c r="AO385" s="32" t="inlineStr">
        <is>
          <t>4054599-35.2025.8.26.0100</t>
        </is>
      </c>
      <c r="AP385" s="32" t="inlineStr">
        <is>
          <t>TJSP</t>
        </is>
      </c>
      <c r="AQ385" s="32" t="inlineStr">
        <is>
          <t>Recuperação judicial</t>
        </is>
      </c>
      <c r="AR385" s="32" t="inlineStr">
        <is>
          <t>DataJud: no closure/falência movement</t>
        </is>
      </c>
      <c r="AS385" s="32" t="n">
        <v>2025</v>
      </c>
      <c r="AT385" s="32" t="inlineStr">
        <is>
          <t>live case, no plan document yet; case no. from the portal record, not printed on the list</t>
        </is>
      </c>
      <c r="AU385" s="32" t="inlineStr">
        <is>
          <t>03.299.563/0001-10</t>
        </is>
      </c>
      <c r="AV385" s="32" t="inlineStr">
        <is>
          <t>printed on the list (read twice)</t>
        </is>
      </c>
      <c r="AW385" s="32" t="inlineStr"/>
      <c r="AX385" s="32" t="inlineStr">
        <is>
          <t>SAO PAULO</t>
        </is>
      </c>
      <c r="AY385" s="32" t="inlineStr">
        <is>
          <t>SP</t>
        </is>
      </c>
      <c r="AZ385" s="32" t="inlineStr">
        <is>
          <t>Serviços combinados de escritório e apoio administrativo</t>
        </is>
      </c>
      <c r="BA385" s="32" t="inlineStr">
        <is>
          <t>não ME/EPP</t>
        </is>
      </c>
      <c r="BB385" s="33" t="n">
        <v>2366000</v>
      </c>
      <c r="BC385" s="32" t="inlineStr">
        <is>
          <t>MID-MARKET</t>
        </is>
      </c>
      <c r="BD385" s="32" t="inlineStr">
        <is>
          <t>60752763</t>
        </is>
      </c>
      <c r="BE385" s="32" t="n">
        <v>1</v>
      </c>
      <c r="BF385" s="32" t="inlineStr">
        <is>
          <t>list prints no totals</t>
        </is>
      </c>
    </row>
    <row r="386">
      <c r="A386" s="17" t="inlineStr">
        <is>
          <t>MWM - TUPY DO BRASIL LTDA.</t>
        </is>
      </c>
      <c r="B386" s="18" t="n">
        <v>236192.33</v>
      </c>
      <c r="C386" s="19" t="inlineStr">
        <is>
          <t>Grupo Rech</t>
        </is>
      </c>
      <c r="D386" s="20" t="inlineStr">
        <is>
          <t>NEW</t>
        </is>
      </c>
      <c r="E386" s="21" t="inlineStr"/>
      <c r="F386" s="20" t="inlineStr"/>
      <c r="G386" s="21" t="inlineStr"/>
      <c r="H386" s="20" t="inlineStr"/>
      <c r="I386" s="22" t="inlineStr">
        <is>
          <t>Luiz Vespoli</t>
        </is>
      </c>
      <c r="J386" s="22" t="inlineStr">
        <is>
          <t>Treasury Manager</t>
        </is>
      </c>
      <c r="K386" s="22" t="inlineStr">
        <is>
          <t>(11) 3882-3200</t>
        </is>
      </c>
      <c r="L386" s="22" t="inlineStr"/>
      <c r="M386" s="22" t="inlineStr"/>
      <c r="N386" s="22" t="inlineStr"/>
      <c r="O386" s="22" t="inlineStr"/>
      <c r="P386" s="22" t="inlineStr">
        <is>
          <t>Carlos Galha</t>
        </is>
      </c>
      <c r="Q386" s="22" t="inlineStr">
        <is>
          <t>Financial &amp; Sales Controller Manager / Commercial Key Account</t>
        </is>
      </c>
      <c r="R386" s="22" t="inlineStr"/>
      <c r="S386" s="22" t="inlineStr">
        <is>
          <t>carlos.galha@mwm.com.br</t>
        </is>
      </c>
      <c r="T386" s="22" t="inlineStr">
        <is>
          <t>DM: DM (email unavailable); LARGE CORP. Apollo org MWM Motores e Geradores matches fantasia.; no work email in Apollo for DM; BACKUP: backup (verified email)</t>
        </is>
      </c>
      <c r="U386" s="24" t="n">
        <v>236192.33</v>
      </c>
      <c r="V386" s="25" t="inlineStr">
        <is>
          <t>B</t>
        </is>
      </c>
      <c r="W386" s="26" t="inlineStr"/>
      <c r="X386" s="27" t="inlineStr"/>
      <c r="Y386" s="27" t="inlineStr"/>
      <c r="Z386" s="26">
        <f>IF(W386&lt;&gt;"",W386,IFERROR(VLOOKUP(V386,Assumptions!$A$8:$F$12,2,FALSE),0))</f>
        <v/>
      </c>
      <c r="AA386" s="28">
        <f>IF(V386="A",MAX(1,IF(X386&lt;&gt;"",X386,IFERROR(VLOOKUP(V386,Assumptions!$A$8:$F$12,3,FALSE),3))+IF(Y386&lt;&gt;"",Y386,IFERROR(VLOOKUP(V386,Assumptions!$A$8:$F$12,4,FALSE),8))/2-MAX(0,IF(AS386="",0,YEAR(TODAY())-AS386)-IFERROR(VLOOKUP(V386,Assumptions!$A$8:$F$12,5,FALSE),1.5))),IFERROR(VLOOKUP(V386,Assumptions!$A$8:$F$12,5,FALSE),2.5)+IF(X386&lt;&gt;"",X386,IFERROR(VLOOKUP(V386,Assumptions!$A$8:$F$12,3,FALSE),3))+IF(Y386&lt;&gt;"",Y386,IFERROR(VLOOKUP(V386,Assumptions!$A$8:$F$12,4,FALSE),8))/2)</f>
        <v/>
      </c>
      <c r="AB386" s="24">
        <f>U386*Z386/(1+Assumptions!$B$3)^AA386</f>
        <v/>
      </c>
      <c r="AC386" s="27">
        <f>IF(U386=0,"",ROUND(AB386/U386*100,1))</f>
        <v/>
      </c>
      <c r="AD386" s="29">
        <f>AB386*Assumptions!$B$4</f>
        <v/>
      </c>
      <c r="AE386" s="27">
        <f>IF(U386=0,"",ROUND(AD386/U386*100,1))</f>
        <v/>
      </c>
      <c r="AF386" s="29">
        <f>AB386-AD386</f>
        <v/>
      </c>
      <c r="AG386" s="27">
        <f>IF(U386=0,"",ROUND((AB386-AD386)/U386*100,1))</f>
        <v/>
      </c>
      <c r="AH386" s="36" t="inlineStr">
        <is>
          <t>CHECK — source is not a statutory creditor list</t>
        </is>
      </c>
      <c r="AI386" s="31" t="inlineStr">
        <is>
          <t>https://credibilita.com.br/wp-content/uploads/2025/09/Relacao-Credores-29.04.2026.pdf</t>
        </is>
      </c>
      <c r="AJ386" s="30" t="inlineStr">
        <is>
          <t>p2 r6</t>
        </is>
      </c>
      <c r="AK386" s="30" t="inlineStr">
        <is>
          <t>p2: R$ 236.192,33</t>
        </is>
      </c>
      <c r="AL386" s="30" t="inlineStr">
        <is>
          <t>Quorum list — NOT an art. 7/51 list</t>
        </is>
      </c>
      <c r="AM386" s="30" t="inlineStr"/>
      <c r="AN386" s="30" t="inlineStr">
        <is>
          <t>NONE FOUND</t>
        </is>
      </c>
      <c r="AO386" s="32" t="inlineStr">
        <is>
          <t>5057720-48.2025.8.24.0023</t>
        </is>
      </c>
      <c r="AP386" s="32" t="inlineStr">
        <is>
          <t>TJSC</t>
        </is>
      </c>
      <c r="AQ386" s="32" t="inlineStr"/>
      <c r="AR386" s="32" t="inlineStr">
        <is>
          <t>not in DataJud</t>
        </is>
      </c>
      <c r="AS386" s="32" t="n">
        <v>2025</v>
      </c>
      <c r="AT386" s="32" t="inlineStr">
        <is>
          <t>live case, no plan document yet; case no. from the portal record, not printed on the list</t>
        </is>
      </c>
      <c r="AU386" s="32" t="inlineStr"/>
      <c r="AV386" s="32" t="inlineStr">
        <is>
          <t>portal page title / URL — not printed on the list</t>
        </is>
      </c>
      <c r="AW386" s="32" t="inlineStr"/>
      <c r="AX386" s="32" t="inlineStr">
        <is>
          <t>SAO PAULO</t>
        </is>
      </c>
      <c r="AY386" s="32" t="inlineStr">
        <is>
          <t>SP</t>
        </is>
      </c>
      <c r="AZ386" s="32" t="inlineStr">
        <is>
          <t>Serviços combinados de escritório e apoio administrativo</t>
        </is>
      </c>
      <c r="BA386" s="32" t="inlineStr">
        <is>
          <t>não ME/EPP</t>
        </is>
      </c>
      <c r="BB386" s="33" t="n">
        <v>1006582200</v>
      </c>
      <c r="BC386" s="32" t="inlineStr">
        <is>
          <t>LARGE CORP</t>
        </is>
      </c>
      <c r="BD386" s="32" t="inlineStr">
        <is>
          <t>02162259</t>
        </is>
      </c>
      <c r="BE386" s="32" t="n">
        <v>1</v>
      </c>
      <c r="BF386" s="32" t="inlineStr">
        <is>
          <t>list prints no totals case no. corrected by reader</t>
        </is>
      </c>
    </row>
    <row r="387">
      <c r="A387" s="17" t="inlineStr">
        <is>
          <t>LT QUIMICA LTDA</t>
        </is>
      </c>
      <c r="B387" s="18" t="n">
        <v>235156.14</v>
      </c>
      <c r="C387" s="19" t="inlineStr">
        <is>
          <t>GRUPO DIVINA</t>
        </is>
      </c>
      <c r="D387" s="20" t="inlineStr">
        <is>
          <t>NEW</t>
        </is>
      </c>
      <c r="E387" s="21" t="inlineStr"/>
      <c r="F387" s="20" t="inlineStr"/>
      <c r="G387" s="21" t="inlineStr"/>
      <c r="H387" s="20" t="inlineStr"/>
      <c r="I387" s="22" t="inlineStr">
        <is>
          <t>CARLOS ADOLFO BECKER</t>
        </is>
      </c>
      <c r="J387" s="23" t="inlineStr">
        <is>
          <t>Sócio-Administrador (RFB partner)</t>
        </is>
      </c>
      <c r="K387" s="22" t="inlineStr">
        <is>
          <t>(51) 3561-6000</t>
        </is>
      </c>
      <c r="L387" s="22" t="inlineStr"/>
      <c r="M387" s="22" t="inlineStr"/>
      <c r="N387" s="22" t="inlineStr"/>
      <c r="O387" s="22" t="inlineStr"/>
      <c r="P387" s="22" t="inlineStr">
        <is>
          <t>GILMAR PEREIRA LOURENCO</t>
        </is>
      </c>
      <c r="Q387" s="22" t="inlineStr">
        <is>
          <t>Administrador (RFB partner)</t>
        </is>
      </c>
      <c r="R387" s="22" t="inlineStr"/>
      <c r="S387" s="22" t="inlineStr"/>
      <c r="T387" s="22" t="inlineStr">
        <is>
          <t>DM = registered partner (RFB QSA); Apollo pick demoted to backup (non-finance role)</t>
        </is>
      </c>
      <c r="U387" s="24" t="n">
        <v>235156.14</v>
      </c>
      <c r="V387" s="25" t="inlineStr">
        <is>
          <t>B</t>
        </is>
      </c>
      <c r="W387" s="26" t="inlineStr"/>
      <c r="X387" s="27" t="inlineStr"/>
      <c r="Y387" s="27" t="inlineStr"/>
      <c r="Z387" s="26">
        <f>IF(W387&lt;&gt;"",W387,IFERROR(VLOOKUP(V387,Assumptions!$A$8:$F$12,2,FALSE),0))</f>
        <v/>
      </c>
      <c r="AA387" s="28">
        <f>IF(V387="A",MAX(1,IF(X387&lt;&gt;"",X387,IFERROR(VLOOKUP(V387,Assumptions!$A$8:$F$12,3,FALSE),3))+IF(Y387&lt;&gt;"",Y387,IFERROR(VLOOKUP(V387,Assumptions!$A$8:$F$12,4,FALSE),8))/2-MAX(0,IF(AS387="",0,YEAR(TODAY())-AS387)-IFERROR(VLOOKUP(V387,Assumptions!$A$8:$F$12,5,FALSE),1.5))),IFERROR(VLOOKUP(V387,Assumptions!$A$8:$F$12,5,FALSE),2.5)+IF(X387&lt;&gt;"",X387,IFERROR(VLOOKUP(V387,Assumptions!$A$8:$F$12,3,FALSE),3))+IF(Y387&lt;&gt;"",Y387,IFERROR(VLOOKUP(V387,Assumptions!$A$8:$F$12,4,FALSE),8))/2)</f>
        <v/>
      </c>
      <c r="AB387" s="24">
        <f>U387*Z387/(1+Assumptions!$B$3)^AA387</f>
        <v/>
      </c>
      <c r="AC387" s="27">
        <f>IF(U387=0,"",ROUND(AB387/U387*100,1))</f>
        <v/>
      </c>
      <c r="AD387" s="29">
        <f>AB387*Assumptions!$B$4</f>
        <v/>
      </c>
      <c r="AE387" s="27">
        <f>IF(U387=0,"",ROUND(AD387/U387*100,1))</f>
        <v/>
      </c>
      <c r="AF387" s="29">
        <f>AB387-AD387</f>
        <v/>
      </c>
      <c r="AG387" s="27">
        <f>IF(U387=0,"",ROUND((AB387-AD387)/U387*100,1))</f>
        <v/>
      </c>
      <c r="AH387" s="35" t="inlineStr">
        <is>
          <t>PARTIAL — class III reconciled, other classes not</t>
        </is>
      </c>
      <c r="AI387" s="31" t="inlineStr">
        <is>
          <t>https://lrflideres.com.br/wp-content/plugins/download-attachments/includes/download.php?id=6252</t>
        </is>
      </c>
      <c r="AJ387" s="30" t="inlineStr">
        <is>
          <t>p2 r58</t>
        </is>
      </c>
      <c r="AK387" s="30" t="inlineStr">
        <is>
          <t>p2: R$ 235.156,14</t>
        </is>
      </c>
      <c r="AL387" s="30" t="inlineStr">
        <is>
          <t>AJ list (art. 7 §2)</t>
        </is>
      </c>
      <c r="AM387" s="30" t="inlineStr">
        <is>
          <t>2024-11-27</t>
        </is>
      </c>
      <c r="AN387" s="30" t="inlineStr">
        <is>
          <t>NONE FOUND</t>
        </is>
      </c>
      <c r="AO387" s="32" t="inlineStr">
        <is>
          <t>0000721-61.2024.8.17.2620</t>
        </is>
      </c>
      <c r="AP387" s="32" t="inlineStr">
        <is>
          <t>TJPE</t>
        </is>
      </c>
      <c r="AQ387" s="32" t="inlineStr">
        <is>
          <t>Recuperação judicial</t>
        </is>
      </c>
      <c r="AR387" s="32" t="inlineStr">
        <is>
          <t>DataJud: no closure/falência movement</t>
        </is>
      </c>
      <c r="AS387" s="32" t="n">
        <v>2024</v>
      </c>
      <c r="AT387" s="32" t="inlineStr">
        <is>
          <t>live case, no plan document yet</t>
        </is>
      </c>
      <c r="AU387" s="32" t="inlineStr">
        <is>
          <t>08.785.522/0001-58</t>
        </is>
      </c>
      <c r="AV387" s="32" t="inlineStr">
        <is>
          <t>printed on the list (read twice)</t>
        </is>
      </c>
      <c r="AW387" s="32" t="inlineStr"/>
      <c r="AX387" s="32" t="inlineStr">
        <is>
          <t>ESTANCIA VELHA</t>
        </is>
      </c>
      <c r="AY387" s="32" t="inlineStr">
        <is>
          <t>RS</t>
        </is>
      </c>
      <c r="AZ387" s="32" t="inlineStr">
        <is>
          <t>Comércio atacadista especializado em outros produtos intermediários não especificados anteriormente</t>
        </is>
      </c>
      <c r="BA387" s="32" t="inlineStr">
        <is>
          <t>não ME/EPP</t>
        </is>
      </c>
      <c r="BB387" s="33" t="n">
        <v>300000</v>
      </c>
      <c r="BC387" s="32" t="inlineStr">
        <is>
          <t>MID-MARKET</t>
        </is>
      </c>
      <c r="BD387" s="32" t="inlineStr">
        <is>
          <t>04327273</t>
        </is>
      </c>
      <c r="BE387" s="32" t="n">
        <v>1</v>
      </c>
      <c r="BF387" s="32" t="inlineStr">
        <is>
          <t>class III reconciled (doc partial)</t>
        </is>
      </c>
    </row>
    <row r="388">
      <c r="A388" s="17" t="inlineStr">
        <is>
          <t>REFRESCOS BANDEIRANTES INDUSTRIA E COMERCIO LTDA</t>
        </is>
      </c>
      <c r="B388" s="18" t="n">
        <v>1020958.23</v>
      </c>
      <c r="C388" s="19" t="inlineStr">
        <is>
          <t>GRUPO 3E</t>
        </is>
      </c>
      <c r="D388" s="20" t="inlineStr">
        <is>
          <t>NEW</t>
        </is>
      </c>
      <c r="E388" s="21" t="inlineStr"/>
      <c r="F388" s="20" t="inlineStr"/>
      <c r="G388" s="21" t="inlineStr"/>
      <c r="H388" s="20" t="inlineStr"/>
      <c r="I388" s="22" t="inlineStr">
        <is>
          <t>Elismeire Ferreira</t>
        </is>
      </c>
      <c r="J388" s="22" t="inlineStr">
        <is>
          <t>Gerente Adm. e Financeiro</t>
        </is>
      </c>
      <c r="K388" s="22" t="inlineStr">
        <is>
          <t>(11) 5502-1200</t>
        </is>
      </c>
      <c r="L388" s="22" t="inlineStr"/>
      <c r="M388" s="22" t="inlineStr"/>
      <c r="N388" s="22" t="inlineStr">
        <is>
          <t>evieira@rebic.com.br</t>
        </is>
      </c>
      <c r="O388" s="22" t="inlineStr">
        <is>
          <t>verified</t>
        </is>
      </c>
      <c r="P388" s="22" t="inlineStr">
        <is>
          <t>Manoel Silva</t>
        </is>
      </c>
      <c r="Q388" s="22" t="inlineStr">
        <is>
          <t>Coordenador Contas A Receber</t>
        </is>
      </c>
      <c r="R388" s="22" t="inlineStr"/>
      <c r="S388" s="22" t="inlineStr">
        <is>
          <t>msilva@rebic.com.br</t>
        </is>
      </c>
      <c r="T388" s="22" t="inlineStr">
        <is>
          <t>DM: has_email, phone Yes; BACKUP: backup, has_email</t>
        </is>
      </c>
      <c r="U388" s="24" t="n">
        <v>1020958.23</v>
      </c>
      <c r="V388" s="25" t="inlineStr">
        <is>
          <t>B</t>
        </is>
      </c>
      <c r="W388" s="26" t="n">
        <v>0.12</v>
      </c>
      <c r="X388" s="27" t="n">
        <v>2</v>
      </c>
      <c r="Y388" s="27" t="n">
        <v>13</v>
      </c>
      <c r="Z388" s="26">
        <f>IF(W388&lt;&gt;"",W388,IFERROR(VLOOKUP(V388,Assumptions!$A$8:$F$12,2,FALSE),0))</f>
        <v/>
      </c>
      <c r="AA388" s="28">
        <f>IF(V388="A",MAX(1,IF(X388&lt;&gt;"",X388,IFERROR(VLOOKUP(V388,Assumptions!$A$8:$F$12,3,FALSE),3))+IF(Y388&lt;&gt;"",Y388,IFERROR(VLOOKUP(V388,Assumptions!$A$8:$F$12,4,FALSE),8))/2-MAX(0,IF(AS388="",0,YEAR(TODAY())-AS388)-IFERROR(VLOOKUP(V388,Assumptions!$A$8:$F$12,5,FALSE),1.5))),IFERROR(VLOOKUP(V388,Assumptions!$A$8:$F$12,5,FALSE),2.5)+IF(X388&lt;&gt;"",X388,IFERROR(VLOOKUP(V388,Assumptions!$A$8:$F$12,3,FALSE),3))+IF(Y388&lt;&gt;"",Y388,IFERROR(VLOOKUP(V388,Assumptions!$A$8:$F$12,4,FALSE),8))/2)</f>
        <v/>
      </c>
      <c r="AB388" s="24">
        <f>U388*Z388/(1+Assumptions!$B$3)^AA388</f>
        <v/>
      </c>
      <c r="AC388" s="27">
        <f>IF(U388=0,"",ROUND(AB388/U388*100,1))</f>
        <v/>
      </c>
      <c r="AD388" s="29">
        <f>AB388*Assumptions!$B$4</f>
        <v/>
      </c>
      <c r="AE388" s="27">
        <f>IF(U388=0,"",ROUND(AD388/U388*100,1))</f>
        <v/>
      </c>
      <c r="AF388" s="29">
        <f>AB388-AD388</f>
        <v/>
      </c>
      <c r="AG388" s="27">
        <f>IF(U388=0,"",ROUND((AB388-AD388)/U388*100,1))</f>
        <v/>
      </c>
      <c r="AH388" s="34" t="inlineStr">
        <is>
          <t>NO TOTALS — list prints none; check page</t>
        </is>
      </c>
      <c r="AI388" s="31" t="inlineStr">
        <is>
          <t>https://stenius.com.br/wp-content/uploads/2026/06/EDITAL-GRUPO-3E.pdf</t>
        </is>
      </c>
      <c r="AJ388" s="30" t="inlineStr">
        <is>
          <t>p11 r65; p11 r66; p11 r67</t>
        </is>
      </c>
      <c r="AK388" s="30" t="inlineStr">
        <is>
          <t>p11: R$ 424.506,14; p11: R$ 375.601,64; p11: R$ 220.850,45</t>
        </is>
      </c>
      <c r="AL388" s="30" t="inlineStr">
        <is>
          <t>Debtor list (art. 51)</t>
        </is>
      </c>
      <c r="AM388" s="30" t="inlineStr">
        <is>
          <t>2026-06-22</t>
        </is>
      </c>
      <c r="AN388" s="30" t="inlineStr">
        <is>
          <t>PLAN FILED (art. 53), not granted</t>
        </is>
      </c>
      <c r="AO388" s="32" t="inlineStr">
        <is>
          <t>5341375-33.2026.8.09.0049</t>
        </is>
      </c>
      <c r="AP388" s="32" t="inlineStr">
        <is>
          <t>TJGO</t>
        </is>
      </c>
      <c r="AQ388" s="32" t="inlineStr">
        <is>
          <t>Recuperação judicial</t>
        </is>
      </c>
      <c r="AR388" s="32" t="inlineStr">
        <is>
          <t>DataJud: no closure/falência movement</t>
        </is>
      </c>
      <c r="AS388" s="32" t="n">
        <v>2026</v>
      </c>
      <c r="AT388" s="32" t="inlineStr">
        <is>
          <t>plan filed (art. 53), not yet granted</t>
        </is>
      </c>
      <c r="AU388" s="32" t="inlineStr"/>
      <c r="AV388" s="32" t="inlineStr">
        <is>
          <t>printed on the list (read twice)</t>
        </is>
      </c>
      <c r="AW388" s="32" t="inlineStr">
        <is>
          <t>Plano de Recuperação Judicial Grupo 3E v2.0 (Métis), mov. 321, pp.24-25</t>
        </is>
      </c>
      <c r="AX388" s="32" t="inlineStr">
        <is>
          <t>SAO PAULO</t>
        </is>
      </c>
      <c r="AY388" s="32" t="inlineStr">
        <is>
          <t>SP</t>
        </is>
      </c>
      <c r="AZ388" s="32" t="inlineStr">
        <is>
          <t>Fabricação de refrigerantes</t>
        </is>
      </c>
      <c r="BA388" s="32" t="inlineStr">
        <is>
          <t>não ME/EPP</t>
        </is>
      </c>
      <c r="BB388" s="33" t="n">
        <v>720753200</v>
      </c>
      <c r="BC388" s="32" t="inlineStr">
        <is>
          <t>MID-MARKET</t>
        </is>
      </c>
      <c r="BD388" s="32" t="inlineStr">
        <is>
          <t>03380763</t>
        </is>
      </c>
      <c r="BE388" s="32" t="n">
        <v>3</v>
      </c>
      <c r="BF388" s="32" t="inlineStr">
        <is>
          <t>list prints no totals</t>
        </is>
      </c>
    </row>
    <row r="389">
      <c r="A389" s="17" t="inlineStr">
        <is>
          <t>DIMASTER - COMERCIO DE PRODUTOS HOSPITALARES LTDA.</t>
        </is>
      </c>
      <c r="B389" s="18" t="n">
        <v>232250.7</v>
      </c>
      <c r="C389" s="19" t="inlineStr">
        <is>
          <t>ASSOCIAÇÃO DE CARIDADE SANTA CASA DO RIO GRANDE</t>
        </is>
      </c>
      <c r="D389" s="20" t="inlineStr">
        <is>
          <t>NEW</t>
        </is>
      </c>
      <c r="E389" s="21" t="inlineStr"/>
      <c r="F389" s="20" t="inlineStr"/>
      <c r="G389" s="21" t="inlineStr"/>
      <c r="H389" s="20" t="inlineStr"/>
      <c r="I389" s="22" t="inlineStr">
        <is>
          <t>Odair Balestrin</t>
        </is>
      </c>
      <c r="J389" s="22" t="inlineStr">
        <is>
          <t>Director</t>
        </is>
      </c>
      <c r="K389" s="22" t="inlineStr">
        <is>
          <t>(54) 3523-2600</t>
        </is>
      </c>
      <c r="L389" s="22" t="inlineStr"/>
      <c r="M389" s="22" t="inlineStr"/>
      <c r="N389" s="22" t="inlineStr">
        <is>
          <t>odair@dimaster.com.br</t>
        </is>
      </c>
      <c r="O389" s="22" t="inlineStr">
        <is>
          <t>verified</t>
        </is>
      </c>
      <c r="P389" s="22" t="inlineStr">
        <is>
          <t>Cassieli Lima</t>
        </is>
      </c>
      <c r="Q389" s="22" t="inlineStr">
        <is>
          <t>Administrative Analyst</t>
        </is>
      </c>
      <c r="R389" s="22" t="inlineStr"/>
      <c r="S389" s="22" t="inlineStr">
        <is>
          <t>lima@dimaster.com.br</t>
        </is>
      </c>
      <c r="T389" s="22" t="inlineStr">
        <is>
          <t>DM: DM verified email (owner/diretor since 1998); BACKUP: backup2 extrapolated email; backup email is pattern-guessed</t>
        </is>
      </c>
      <c r="U389" s="24" t="n">
        <v>232250.7</v>
      </c>
      <c r="V389" s="25" t="inlineStr">
        <is>
          <t>B</t>
        </is>
      </c>
      <c r="W389" s="26" t="inlineStr"/>
      <c r="X389" s="27" t="inlineStr"/>
      <c r="Y389" s="27" t="inlineStr"/>
      <c r="Z389" s="26">
        <f>IF(W389&lt;&gt;"",W389,IFERROR(VLOOKUP(V389,Assumptions!$A$8:$F$12,2,FALSE),0))</f>
        <v/>
      </c>
      <c r="AA389" s="28">
        <f>IF(V389="A",MAX(1,IF(X389&lt;&gt;"",X389,IFERROR(VLOOKUP(V389,Assumptions!$A$8:$F$12,3,FALSE),3))+IF(Y389&lt;&gt;"",Y389,IFERROR(VLOOKUP(V389,Assumptions!$A$8:$F$12,4,FALSE),8))/2-MAX(0,IF(AS389="",0,YEAR(TODAY())-AS389)-IFERROR(VLOOKUP(V389,Assumptions!$A$8:$F$12,5,FALSE),1.5))),IFERROR(VLOOKUP(V389,Assumptions!$A$8:$F$12,5,FALSE),2.5)+IF(X389&lt;&gt;"",X389,IFERROR(VLOOKUP(V389,Assumptions!$A$8:$F$12,3,FALSE),3))+IF(Y389&lt;&gt;"",Y389,IFERROR(VLOOKUP(V389,Assumptions!$A$8:$F$12,4,FALSE),8))/2)</f>
        <v/>
      </c>
      <c r="AB389" s="24">
        <f>U389*Z389/(1+Assumptions!$B$3)^AA389</f>
        <v/>
      </c>
      <c r="AC389" s="27">
        <f>IF(U389=0,"",ROUND(AB389/U389*100,1))</f>
        <v/>
      </c>
      <c r="AD389" s="29">
        <f>AB389*Assumptions!$B$4</f>
        <v/>
      </c>
      <c r="AE389" s="27">
        <f>IF(U389=0,"",ROUND(AD389/U389*100,1))</f>
        <v/>
      </c>
      <c r="AF389" s="29">
        <f>AB389-AD389</f>
        <v/>
      </c>
      <c r="AG389" s="27">
        <f>IF(U389=0,"",ROUND((AB389-AD389)/U389*100,1))</f>
        <v/>
      </c>
      <c r="AH389" s="34" t="inlineStr">
        <is>
          <t>NO TOTALS — list prints none; check page</t>
        </is>
      </c>
      <c r="AI389" s="31" t="inlineStr">
        <is>
          <t>https://scalzilliaj.com.br/sgc/download.php?file=files/processo_documento/processo_documento09120721032023_1_.pdf&amp;nome=15 - Edital do art. 7º, §2º e 53 da Lei 11.101/2005 (segunda lista de credores e recebimento do plano))</t>
        </is>
      </c>
      <c r="AJ389" s="30" t="inlineStr">
        <is>
          <t>p27 r7</t>
        </is>
      </c>
      <c r="AK389" s="30" t="inlineStr">
        <is>
          <t>p27: R$ 232.250,70</t>
        </is>
      </c>
      <c r="AL389" s="30" t="inlineStr">
        <is>
          <t>AJ list (art. 7 §2)</t>
        </is>
      </c>
      <c r="AM389" s="30" t="inlineStr">
        <is>
          <t>2023-03-21</t>
        </is>
      </c>
      <c r="AN389" s="30" t="inlineStr">
        <is>
          <t>NONE FOUND</t>
        </is>
      </c>
      <c r="AO389" s="32" t="inlineStr">
        <is>
          <t>5012306-16.2022.8.21.0023</t>
        </is>
      </c>
      <c r="AP389" s="32" t="inlineStr">
        <is>
          <t>TJRS</t>
        </is>
      </c>
      <c r="AQ389" s="32" t="inlineStr">
        <is>
          <t>Recuperação judicial</t>
        </is>
      </c>
      <c r="AR389" s="32" t="inlineStr">
        <is>
          <t>DataJud: no closure/falência movement</t>
        </is>
      </c>
      <c r="AS389" s="32" t="n">
        <v>2022</v>
      </c>
      <c r="AT389" s="32" t="inlineStr">
        <is>
          <t>live case, no plan document yet; atypical debtor (associação/clube/hospital/produtor rural): admissibility or claim subjection may be contested</t>
        </is>
      </c>
      <c r="AU389" s="32" t="inlineStr"/>
      <c r="AV389" s="32" t="inlineStr">
        <is>
          <t>printed on the list (read twice)</t>
        </is>
      </c>
      <c r="AW389" s="32" t="inlineStr"/>
      <c r="AX389" s="32" t="inlineStr">
        <is>
          <t>BARAO DE COTEGIPE</t>
        </is>
      </c>
      <c r="AY389" s="32" t="inlineStr">
        <is>
          <t>RS</t>
        </is>
      </c>
      <c r="AZ389" s="32" t="inlineStr">
        <is>
          <t>Comércio atacadista de medicamentos e drogas de uso humano</t>
        </is>
      </c>
      <c r="BA389" s="32" t="inlineStr">
        <is>
          <t>não ME/EPP</t>
        </is>
      </c>
      <c r="BB389" s="33" t="n">
        <v>42915600</v>
      </c>
      <c r="BC389" s="32" t="inlineStr">
        <is>
          <t>MID-MARKET</t>
        </is>
      </c>
      <c r="BD389" s="32" t="inlineStr">
        <is>
          <t>02520829</t>
        </is>
      </c>
      <c r="BE389" s="32" t="n">
        <v>1</v>
      </c>
      <c r="BF389" s="32" t="inlineStr">
        <is>
          <t>list prints no totals</t>
        </is>
      </c>
    </row>
    <row r="390">
      <c r="A390" s="17" t="inlineStr">
        <is>
          <t>ALUMAQ LOCACAO E COMERCIO DE MAQUINAS DE SOLDA LTDA</t>
        </is>
      </c>
      <c r="B390" s="18" t="n">
        <v>231035.6</v>
      </c>
      <c r="C390" s="19" t="inlineStr">
        <is>
          <t>GRUPO EGESA (Egesa Engenharia S.A. + 9 group companies; see group members)</t>
        </is>
      </c>
      <c r="D390" s="20" t="inlineStr">
        <is>
          <t>NEW</t>
        </is>
      </c>
      <c r="E390" s="21" t="inlineStr"/>
      <c r="F390" s="20" t="inlineStr"/>
      <c r="G390" s="21" t="inlineStr"/>
      <c r="H390" s="20" t="inlineStr"/>
      <c r="I390" s="22" t="inlineStr">
        <is>
          <t>Joao Blanco</t>
        </is>
      </c>
      <c r="J390" s="22" t="inlineStr">
        <is>
          <t>Gerente Finanças e Controladoria</t>
        </is>
      </c>
      <c r="K390" s="22" t="inlineStr">
        <is>
          <t>(19) 3794-1201</t>
        </is>
      </c>
      <c r="L390" s="22" t="inlineStr"/>
      <c r="M390" s="22" t="inlineStr"/>
      <c r="N390" s="22" t="inlineStr"/>
      <c r="O390" s="22" t="inlineStr"/>
      <c r="P390" s="22" t="inlineStr">
        <is>
          <t>EDUARDO GAMA TAMBURUS</t>
        </is>
      </c>
      <c r="Q390" s="22" t="inlineStr">
        <is>
          <t>Sócio-Administrador (RFB partner)</t>
        </is>
      </c>
      <c r="R390" s="22" t="inlineStr"/>
      <c r="S390" s="22" t="inlineStr"/>
      <c r="T390" s="22" t="inlineStr">
        <is>
          <t>DM: DM (email unavailable); no work email in Apollo for DM</t>
        </is>
      </c>
      <c r="U390" s="24" t="n">
        <v>231035.6</v>
      </c>
      <c r="V390" s="25" t="inlineStr">
        <is>
          <t>B</t>
        </is>
      </c>
      <c r="W390" s="26" t="inlineStr"/>
      <c r="X390" s="27" t="inlineStr"/>
      <c r="Y390" s="27" t="inlineStr"/>
      <c r="Z390" s="26">
        <f>IF(W390&lt;&gt;"",W390,IFERROR(VLOOKUP(V390,Assumptions!$A$8:$F$12,2,FALSE),0))</f>
        <v/>
      </c>
      <c r="AA390" s="28">
        <f>IF(V390="A",MAX(1,IF(X390&lt;&gt;"",X390,IFERROR(VLOOKUP(V390,Assumptions!$A$8:$F$12,3,FALSE),3))+IF(Y390&lt;&gt;"",Y390,IFERROR(VLOOKUP(V390,Assumptions!$A$8:$F$12,4,FALSE),8))/2-MAX(0,IF(AS390="",0,YEAR(TODAY())-AS390)-IFERROR(VLOOKUP(V390,Assumptions!$A$8:$F$12,5,FALSE),1.5))),IFERROR(VLOOKUP(V390,Assumptions!$A$8:$F$12,5,FALSE),2.5)+IF(X390&lt;&gt;"",X390,IFERROR(VLOOKUP(V390,Assumptions!$A$8:$F$12,3,FALSE),3))+IF(Y390&lt;&gt;"",Y390,IFERROR(VLOOKUP(V390,Assumptions!$A$8:$F$12,4,FALSE),8))/2)</f>
        <v/>
      </c>
      <c r="AB390" s="24">
        <f>U390*Z390/(1+Assumptions!$B$3)^AA390</f>
        <v/>
      </c>
      <c r="AC390" s="27">
        <f>IF(U390=0,"",ROUND(AB390/U390*100,1))</f>
        <v/>
      </c>
      <c r="AD390" s="29">
        <f>AB390*Assumptions!$B$4</f>
        <v/>
      </c>
      <c r="AE390" s="27">
        <f>IF(U390=0,"",ROUND(AD390/U390*100,1))</f>
        <v/>
      </c>
      <c r="AF390" s="29">
        <f>AB390-AD390</f>
        <v/>
      </c>
      <c r="AG390" s="27">
        <f>IF(U390=0,"",ROUND((AB390-AD390)/U390*100,1))</f>
        <v/>
      </c>
      <c r="AH390" s="30" t="inlineStr">
        <is>
          <t>OK — totals reconciled</t>
        </is>
      </c>
      <c r="AI390" s="31" t="inlineStr">
        <is>
          <t>https://scalzilliaj.com.br/sgc/download.php?file=files/processo_documento/processo_documento09514021082025_1_.pdf&amp;nome=04 - Relação de credores das Recuperandas</t>
        </is>
      </c>
      <c r="AJ390" s="30" t="inlineStr">
        <is>
          <t>p62 r4</t>
        </is>
      </c>
      <c r="AK390" s="30" t="inlineStr">
        <is>
          <t>p62: R$ 231.035,60</t>
        </is>
      </c>
      <c r="AL390" s="30" t="inlineStr">
        <is>
          <t>Debtor list (art. 51)</t>
        </is>
      </c>
      <c r="AM390" s="30" t="inlineStr"/>
      <c r="AN390" s="30" t="inlineStr">
        <is>
          <t>NONE FOUND</t>
        </is>
      </c>
      <c r="AO390" s="32" t="inlineStr">
        <is>
          <t>5088952-81.2025.8.13.0024</t>
        </is>
      </c>
      <c r="AP390" s="32" t="inlineStr">
        <is>
          <t>TJMG</t>
        </is>
      </c>
      <c r="AQ390" s="32" t="inlineStr"/>
      <c r="AR390" s="32" t="inlineStr">
        <is>
          <t>DataJud: no closure/falência movement</t>
        </is>
      </c>
      <c r="AS390" s="32" t="n">
        <v>2025</v>
      </c>
      <c r="AT390" s="32" t="inlineStr">
        <is>
          <t>live case, no plan document yet; case no. from the portal record, not printed on the list</t>
        </is>
      </c>
      <c r="AU390" s="32" t="inlineStr"/>
      <c r="AV390" s="32" t="inlineStr">
        <is>
          <t>portal page title / URL — not printed on the list</t>
        </is>
      </c>
      <c r="AW390" s="32" t="inlineStr"/>
      <c r="AX390" s="32" t="inlineStr">
        <is>
          <t>CAMPINAS</t>
        </is>
      </c>
      <c r="AY390" s="32" t="inlineStr">
        <is>
          <t>SP</t>
        </is>
      </c>
      <c r="AZ390" s="32" t="inlineStr">
        <is>
          <t>Comércio atacadista de Máquinas e equipamentos para uso industrial; partes e peças</t>
        </is>
      </c>
      <c r="BA390" s="32" t="inlineStr">
        <is>
          <t>não ME/EPP</t>
        </is>
      </c>
      <c r="BB390" s="33" t="n">
        <v>9329889</v>
      </c>
      <c r="BC390" s="32" t="inlineStr">
        <is>
          <t>MID-MARKET</t>
        </is>
      </c>
      <c r="BD390" s="32" t="inlineStr">
        <is>
          <t>46991618</t>
        </is>
      </c>
      <c r="BE390" s="32" t="n">
        <v>1</v>
      </c>
      <c r="BF390" s="32" t="inlineStr">
        <is>
          <t>case no. corrected by reader case no. from portal record</t>
        </is>
      </c>
    </row>
    <row r="391">
      <c r="A391" s="17" t="inlineStr">
        <is>
          <t>UNICHARM DO BRASIL INDUSTRIA E COMERCIO DE PRODUTOS DE HIGIENE LTDA.,</t>
        </is>
      </c>
      <c r="B391" s="18" t="n">
        <v>228249.92</v>
      </c>
      <c r="C391" s="19" t="inlineStr">
        <is>
          <t>GRUPO DP4</t>
        </is>
      </c>
      <c r="D391" s="20" t="inlineStr">
        <is>
          <t>NEW</t>
        </is>
      </c>
      <c r="E391" s="21" t="inlineStr"/>
      <c r="F391" s="20" t="inlineStr"/>
      <c r="G391" s="21" t="inlineStr"/>
      <c r="H391" s="20" t="inlineStr"/>
      <c r="I391" s="22" t="inlineStr">
        <is>
          <t>Katsumi Fuki</t>
        </is>
      </c>
      <c r="J391" s="22" t="inlineStr">
        <is>
          <t>Diretor Financeiro na Unicharm</t>
        </is>
      </c>
      <c r="K391" s="22" t="inlineStr">
        <is>
          <t>(19) 3370-3249</t>
        </is>
      </c>
      <c r="L391" s="22" t="inlineStr">
        <is>
          <t>(19) 3370-3254</t>
        </is>
      </c>
      <c r="M391" s="22" t="inlineStr"/>
      <c r="N391" s="22" t="inlineStr">
        <is>
          <t>katsumi-fuki@unicharm.com</t>
        </is>
      </c>
      <c r="O391" s="22" t="inlineStr">
        <is>
          <t>verified</t>
        </is>
      </c>
      <c r="P391" s="22" t="inlineStr">
        <is>
          <t>Gleison Oliveira</t>
        </is>
      </c>
      <c r="Q391" s="22" t="inlineStr">
        <is>
          <t>Controller</t>
        </is>
      </c>
      <c r="R391" s="22" t="inlineStr"/>
      <c r="S391" s="22" t="inlineStr">
        <is>
          <t>gleison-oliveira@unicharm.com</t>
        </is>
      </c>
      <c r="T391" s="22" t="inlineStr">
        <is>
          <t>DM: DM (verified email); LARGE CORP. VERIFY org: Unicharm (global org, people are Brazil-based; emails on unicharm.com); BACKUP: backup (verified email)</t>
        </is>
      </c>
      <c r="U391" s="24" t="n">
        <v>228249.92</v>
      </c>
      <c r="V391" s="25" t="inlineStr">
        <is>
          <t>B</t>
        </is>
      </c>
      <c r="W391" s="26" t="inlineStr"/>
      <c r="X391" s="27" t="inlineStr"/>
      <c r="Y391" s="27" t="inlineStr"/>
      <c r="Z391" s="26">
        <f>IF(W391&lt;&gt;"",W391,IFERROR(VLOOKUP(V391,Assumptions!$A$8:$F$12,2,FALSE),0))</f>
        <v/>
      </c>
      <c r="AA391" s="28">
        <f>IF(V391="A",MAX(1,IF(X391&lt;&gt;"",X391,IFERROR(VLOOKUP(V391,Assumptions!$A$8:$F$12,3,FALSE),3))+IF(Y391&lt;&gt;"",Y391,IFERROR(VLOOKUP(V391,Assumptions!$A$8:$F$12,4,FALSE),8))/2-MAX(0,IF(AS391="",0,YEAR(TODAY())-AS391)-IFERROR(VLOOKUP(V391,Assumptions!$A$8:$F$12,5,FALSE),1.5))),IFERROR(VLOOKUP(V391,Assumptions!$A$8:$F$12,5,FALSE),2.5)+IF(X391&lt;&gt;"",X391,IFERROR(VLOOKUP(V391,Assumptions!$A$8:$F$12,3,FALSE),3))+IF(Y391&lt;&gt;"",Y391,IFERROR(VLOOKUP(V391,Assumptions!$A$8:$F$12,4,FALSE),8))/2)</f>
        <v/>
      </c>
      <c r="AB391" s="24">
        <f>U391*Z391/(1+Assumptions!$B$3)^AA391</f>
        <v/>
      </c>
      <c r="AC391" s="27">
        <f>IF(U391=0,"",ROUND(AB391/U391*100,1))</f>
        <v/>
      </c>
      <c r="AD391" s="29">
        <f>AB391*Assumptions!$B$4</f>
        <v/>
      </c>
      <c r="AE391" s="27">
        <f>IF(U391=0,"",ROUND(AD391/U391*100,1))</f>
        <v/>
      </c>
      <c r="AF391" s="29">
        <f>AB391-AD391</f>
        <v/>
      </c>
      <c r="AG391" s="27">
        <f>IF(U391=0,"",ROUND((AB391-AD391)/U391*100,1))</f>
        <v/>
      </c>
      <c r="AH391" s="35" t="inlineStr">
        <is>
          <t>PARTIAL — class III reconciled, other classes not</t>
        </is>
      </c>
      <c r="AI391" s="31" t="inlineStr">
        <is>
          <t>https://marquesadmjudicial.com.br/sgc/download.php?file=files/processo_documento/processo_documento15293208032024_1_.pdf&amp;nome=Relação Nominal de Credores da AJ-Sintética</t>
        </is>
      </c>
      <c r="AJ391" s="30" t="inlineStr">
        <is>
          <t>p32 r4</t>
        </is>
      </c>
      <c r="AK391" s="30" t="inlineStr">
        <is>
          <t>p32: R$ 228.249,92</t>
        </is>
      </c>
      <c r="AL391" s="30" t="inlineStr">
        <is>
          <t>AJ list (art. 7 §2)</t>
        </is>
      </c>
      <c r="AM391" s="30" t="inlineStr">
        <is>
          <t>2023-03-02</t>
        </is>
      </c>
      <c r="AN391" s="30" t="inlineStr">
        <is>
          <t>NONE FOUND</t>
        </is>
      </c>
      <c r="AO391" s="32" t="inlineStr">
        <is>
          <t>0005010-98.2023.8.16.0001</t>
        </is>
      </c>
      <c r="AP391" s="32" t="inlineStr">
        <is>
          <t>TJPR</t>
        </is>
      </c>
      <c r="AQ391" s="32" t="inlineStr">
        <is>
          <t>Recuperação judicial</t>
        </is>
      </c>
      <c r="AR391" s="32" t="inlineStr">
        <is>
          <t>DataJud: no closure/falência movement</t>
        </is>
      </c>
      <c r="AS391" s="32" t="n">
        <v>2023</v>
      </c>
      <c r="AT391" s="32" t="inlineStr">
        <is>
          <t>live case, no plan document yet</t>
        </is>
      </c>
      <c r="AU391" s="32" t="inlineStr"/>
      <c r="AV391" s="32" t="inlineStr">
        <is>
          <t>printed on the list (read twice)</t>
        </is>
      </c>
      <c r="AW391" s="32" t="inlineStr"/>
      <c r="AX391" s="32" t="inlineStr">
        <is>
          <t>JAGUARIUNA</t>
        </is>
      </c>
      <c r="AY391" s="32" t="inlineStr">
        <is>
          <t>SP</t>
        </is>
      </c>
      <c r="AZ391" s="32" t="inlineStr">
        <is>
          <t>Fabricação de fraldas descartáveis</t>
        </is>
      </c>
      <c r="BA391" s="32" t="inlineStr">
        <is>
          <t>não ME/EPP</t>
        </is>
      </c>
      <c r="BB391" s="33" t="n">
        <v>873783400</v>
      </c>
      <c r="BC391" s="32" t="inlineStr">
        <is>
          <t>MID-MARKET</t>
        </is>
      </c>
      <c r="BD391" s="32" t="inlineStr">
        <is>
          <t>13884068</t>
        </is>
      </c>
      <c r="BE391" s="32" t="n">
        <v>1</v>
      </c>
      <c r="BF391" s="32" t="inlineStr">
        <is>
          <t>class III reconciled (doc partial)</t>
        </is>
      </c>
    </row>
    <row r="392">
      <c r="A392" s="17" t="inlineStr">
        <is>
          <t>GOOGLE BRASIL INTERNET LTDA.</t>
        </is>
      </c>
      <c r="B392" s="18" t="n">
        <v>228215.86</v>
      </c>
      <c r="C392" s="19" t="inlineStr">
        <is>
          <t>Grupo Pneus Paulista (ITAIM SERVICOS AUTOMOTIVOS LTDA / SAÚDE SERVICOS AUTOMOTIVOS LTDA / TA…)</t>
        </is>
      </c>
      <c r="D392" s="20" t="inlineStr">
        <is>
          <t>NEW</t>
        </is>
      </c>
      <c r="E392" s="21" t="inlineStr"/>
      <c r="F392" s="20" t="inlineStr"/>
      <c r="G392" s="21" t="inlineStr"/>
      <c r="H392" s="20" t="inlineStr"/>
      <c r="I392" s="22" t="inlineStr">
        <is>
          <t>Sheimi Hayazaki</t>
        </is>
      </c>
      <c r="J392" s="22" t="inlineStr">
        <is>
          <t>Brazil Country Controller &amp; Latam Cloud Business Controller</t>
        </is>
      </c>
      <c r="K392" s="22" t="inlineStr">
        <is>
          <t>(11) 2395-8400</t>
        </is>
      </c>
      <c r="L392" s="22" t="inlineStr"/>
      <c r="M392" s="22" t="inlineStr"/>
      <c r="N392" s="22" t="inlineStr">
        <is>
          <t>sheimihayazaki@google.com</t>
        </is>
      </c>
      <c r="O392" s="22" t="inlineStr">
        <is>
          <t>verified</t>
        </is>
      </c>
      <c r="P392" s="22" t="inlineStr">
        <is>
          <t>Ednaldo Silveira</t>
        </is>
      </c>
      <c r="Q392" s="22" t="inlineStr">
        <is>
          <t>Senior Finance Director</t>
        </is>
      </c>
      <c r="R392" s="22" t="inlineStr"/>
      <c r="S392" s="22" t="inlineStr">
        <is>
          <t>ednaldo@google.com</t>
        </is>
      </c>
      <c r="T392" s="22" t="inlineStr">
        <is>
          <t>DM: DM verified email; LARGE CORP; 'Google Brasil Internet'/'Google Brasil' with titles 0 -&gt; 'Google' titles pass, Brazil-based staff at Google (google.com); BACKUP: backup verified email</t>
        </is>
      </c>
      <c r="U392" s="24" t="n">
        <v>228215.86</v>
      </c>
      <c r="V392" s="25" t="inlineStr">
        <is>
          <t>B</t>
        </is>
      </c>
      <c r="W392" s="26" t="inlineStr"/>
      <c r="X392" s="27" t="inlineStr"/>
      <c r="Y392" s="27" t="inlineStr"/>
      <c r="Z392" s="26">
        <f>IF(W392&lt;&gt;"",W392,IFERROR(VLOOKUP(V392,Assumptions!$A$8:$F$12,2,FALSE),0))</f>
        <v/>
      </c>
      <c r="AA392" s="28">
        <f>IF(V392="A",MAX(1,IF(X392&lt;&gt;"",X392,IFERROR(VLOOKUP(V392,Assumptions!$A$8:$F$12,3,FALSE),3))+IF(Y392&lt;&gt;"",Y392,IFERROR(VLOOKUP(V392,Assumptions!$A$8:$F$12,4,FALSE),8))/2-MAX(0,IF(AS392="",0,YEAR(TODAY())-AS392)-IFERROR(VLOOKUP(V392,Assumptions!$A$8:$F$12,5,FALSE),1.5))),IFERROR(VLOOKUP(V392,Assumptions!$A$8:$F$12,5,FALSE),2.5)+IF(X392&lt;&gt;"",X392,IFERROR(VLOOKUP(V392,Assumptions!$A$8:$F$12,3,FALSE),3))+IF(Y392&lt;&gt;"",Y392,IFERROR(VLOOKUP(V392,Assumptions!$A$8:$F$12,4,FALSE),8))/2)</f>
        <v/>
      </c>
      <c r="AB392" s="24">
        <f>U392*Z392/(1+Assumptions!$B$3)^AA392</f>
        <v/>
      </c>
      <c r="AC392" s="27">
        <f>IF(U392=0,"",ROUND(AB392/U392*100,1))</f>
        <v/>
      </c>
      <c r="AD392" s="29">
        <f>AB392*Assumptions!$B$4</f>
        <v/>
      </c>
      <c r="AE392" s="27">
        <f>IF(U392=0,"",ROUND(AD392/U392*100,1))</f>
        <v/>
      </c>
      <c r="AF392" s="29">
        <f>AB392-AD392</f>
        <v/>
      </c>
      <c r="AG392" s="27">
        <f>IF(U392=0,"",ROUND((AB392-AD392)/U392*100,1))</f>
        <v/>
      </c>
      <c r="AH392" s="34" t="inlineStr">
        <is>
          <t>NO TOTALS — list prints none; check page</t>
        </is>
      </c>
      <c r="AI392" s="31" t="inlineStr">
        <is>
          <t>https://acfb.com.br/wp-content/uploads/2026/06/Relacao_de_Credores_Pneus_-_SITE.pdf</t>
        </is>
      </c>
      <c r="AJ392" s="30" t="inlineStr">
        <is>
          <t>p6 r38</t>
        </is>
      </c>
      <c r="AK392" s="30" t="inlineStr">
        <is>
          <t>p6: R$ 228.215,86</t>
        </is>
      </c>
      <c r="AL392" s="30" t="inlineStr">
        <is>
          <t>Unclassified list</t>
        </is>
      </c>
      <c r="AM392" s="30" t="inlineStr"/>
      <c r="AN392" s="30" t="inlineStr">
        <is>
          <t>NONE FOUND</t>
        </is>
      </c>
      <c r="AO392" s="32" t="inlineStr">
        <is>
          <t>4077687-05.2025.8.26.0100</t>
        </is>
      </c>
      <c r="AP392" s="32" t="inlineStr">
        <is>
          <t>TJSP</t>
        </is>
      </c>
      <c r="AQ392" s="32" t="inlineStr">
        <is>
          <t>Recuperação judicial</t>
        </is>
      </c>
      <c r="AR392" s="32" t="inlineStr">
        <is>
          <t>DataJud: no closure/falência movement</t>
        </is>
      </c>
      <c r="AS392" s="32" t="n">
        <v>2025</v>
      </c>
      <c r="AT392" s="32" t="inlineStr">
        <is>
          <t>live case, no plan document yet; case no. from the portal record, not printed on the list</t>
        </is>
      </c>
      <c r="AU392" s="32" t="inlineStr"/>
      <c r="AV392" s="32" t="inlineStr">
        <is>
          <t>printed on the list (read twice)</t>
        </is>
      </c>
      <c r="AW392" s="32" t="inlineStr"/>
      <c r="AX392" s="32" t="inlineStr">
        <is>
          <t>SAO PAULO</t>
        </is>
      </c>
      <c r="AY392" s="32" t="inlineStr">
        <is>
          <t>SP</t>
        </is>
      </c>
      <c r="AZ392" s="32" t="inlineStr">
        <is>
          <t>Portais, provedores de conteúdo e outros serviços de informação na internet</t>
        </is>
      </c>
      <c r="BA392" s="32" t="inlineStr">
        <is>
          <t>não ME/EPP</t>
        </is>
      </c>
      <c r="BB392" s="33" t="n">
        <v>200000000</v>
      </c>
      <c r="BC392" s="32" t="inlineStr">
        <is>
          <t>MID-MARKET</t>
        </is>
      </c>
      <c r="BD392" s="32" t="inlineStr">
        <is>
          <t>06990590</t>
        </is>
      </c>
      <c r="BE392" s="32" t="n">
        <v>1</v>
      </c>
      <c r="BF392" s="32" t="inlineStr">
        <is>
          <t>list prints no totals</t>
        </is>
      </c>
    </row>
    <row r="393">
      <c r="A393" s="17" t="inlineStr">
        <is>
          <t>IOSEI PARTICIPACOES LTDA</t>
        </is>
      </c>
      <c r="B393" s="18" t="n">
        <v>226966.22</v>
      </c>
      <c r="C393" s="19" t="inlineStr">
        <is>
          <t>GRUPO DIAGSON</t>
        </is>
      </c>
      <c r="D393" s="20" t="inlineStr">
        <is>
          <t>NEW</t>
        </is>
      </c>
      <c r="E393" s="21" t="inlineStr"/>
      <c r="F393" s="20" t="inlineStr"/>
      <c r="G393" s="21" t="inlineStr"/>
      <c r="H393" s="20" t="inlineStr"/>
      <c r="I393" s="22" t="inlineStr">
        <is>
          <t>Aline Goncalves</t>
        </is>
      </c>
      <c r="J393" s="22" t="inlineStr">
        <is>
          <t>Director of Operations &amp; Global Expansion</t>
        </is>
      </c>
      <c r="K393" s="22" t="inlineStr">
        <is>
          <t>(62) 9128-0209</t>
        </is>
      </c>
      <c r="L393" s="22" t="inlineStr"/>
      <c r="M393" s="22" t="inlineStr"/>
      <c r="N393" s="22" t="inlineStr">
        <is>
          <t>aline@iosei.med.br</t>
        </is>
      </c>
      <c r="O393" s="22" t="inlineStr">
        <is>
          <t>verified</t>
        </is>
      </c>
      <c r="P393" s="22" t="inlineStr">
        <is>
          <t>Emerson Sousa</t>
        </is>
      </c>
      <c r="Q393" s="22" t="inlineStr">
        <is>
          <t>Gerente de Expansão Global</t>
        </is>
      </c>
      <c r="R393" s="22" t="inlineStr"/>
      <c r="S393" s="22" t="inlineStr">
        <is>
          <t>emerson@iosei.med.br</t>
        </is>
      </c>
      <c r="T393" s="22" t="inlineStr">
        <is>
          <t>DM: DM verified email (no finance person); BACKUP: backup extrapolated email; backup email is pattern-guessed</t>
        </is>
      </c>
      <c r="U393" s="24" t="n">
        <v>226966.22</v>
      </c>
      <c r="V393" s="25" t="inlineStr">
        <is>
          <t>B</t>
        </is>
      </c>
      <c r="W393" s="26" t="inlineStr"/>
      <c r="X393" s="27" t="inlineStr"/>
      <c r="Y393" s="27" t="inlineStr"/>
      <c r="Z393" s="26">
        <f>IF(W393&lt;&gt;"",W393,IFERROR(VLOOKUP(V393,Assumptions!$A$8:$F$12,2,FALSE),0))</f>
        <v/>
      </c>
      <c r="AA393" s="28">
        <f>IF(V393="A",MAX(1,IF(X393&lt;&gt;"",X393,IFERROR(VLOOKUP(V393,Assumptions!$A$8:$F$12,3,FALSE),3))+IF(Y393&lt;&gt;"",Y393,IFERROR(VLOOKUP(V393,Assumptions!$A$8:$F$12,4,FALSE),8))/2-MAX(0,IF(AS393="",0,YEAR(TODAY())-AS393)-IFERROR(VLOOKUP(V393,Assumptions!$A$8:$F$12,5,FALSE),1.5))),IFERROR(VLOOKUP(V393,Assumptions!$A$8:$F$12,5,FALSE),2.5)+IF(X393&lt;&gt;"",X393,IFERROR(VLOOKUP(V393,Assumptions!$A$8:$F$12,3,FALSE),3))+IF(Y393&lt;&gt;"",Y393,IFERROR(VLOOKUP(V393,Assumptions!$A$8:$F$12,4,FALSE),8))/2)</f>
        <v/>
      </c>
      <c r="AB393" s="24">
        <f>U393*Z393/(1+Assumptions!$B$3)^AA393</f>
        <v/>
      </c>
      <c r="AC393" s="27">
        <f>IF(U393=0,"",ROUND(AB393/U393*100,1))</f>
        <v/>
      </c>
      <c r="AD393" s="29">
        <f>AB393*Assumptions!$B$4</f>
        <v/>
      </c>
      <c r="AE393" s="27">
        <f>IF(U393=0,"",ROUND(AD393/U393*100,1))</f>
        <v/>
      </c>
      <c r="AF393" s="29">
        <f>AB393-AD393</f>
        <v/>
      </c>
      <c r="AG393" s="27">
        <f>IF(U393=0,"",ROUND((AB393-AD393)/U393*100,1))</f>
        <v/>
      </c>
      <c r="AH393" s="35" t="inlineStr">
        <is>
          <t>PARTIAL — class III reconciled, other classes not</t>
        </is>
      </c>
      <c r="AI393" s="31" t="inlineStr">
        <is>
          <t>https://lrflideres.com.br/wp-content/plugins/download-attachments/includes/download.php?id=7418</t>
        </is>
      </c>
      <c r="AJ393" s="30" t="inlineStr">
        <is>
          <t>p2 r65</t>
        </is>
      </c>
      <c r="AK393" s="30" t="inlineStr">
        <is>
          <t>p2: R$ 226.966,22</t>
        </is>
      </c>
      <c r="AL393" s="30" t="inlineStr">
        <is>
          <t>Debtor list (art. 51)</t>
        </is>
      </c>
      <c r="AM393" s="30" t="inlineStr">
        <is>
          <t>2026-07-28</t>
        </is>
      </c>
      <c r="AN393" s="30" t="inlineStr">
        <is>
          <t>NONE FOUND</t>
        </is>
      </c>
      <c r="AO393" s="32" t="inlineStr">
        <is>
          <t>0822279-56.2026.8.15.2001</t>
        </is>
      </c>
      <c r="AP393" s="32" t="inlineStr">
        <is>
          <t>TJPB</t>
        </is>
      </c>
      <c r="AQ393" s="32" t="inlineStr">
        <is>
          <t>Recuperação judicial</t>
        </is>
      </c>
      <c r="AR393" s="32" t="inlineStr">
        <is>
          <t>DataJud: no closure/falência movement</t>
        </is>
      </c>
      <c r="AS393" s="32" t="n">
        <v>2026</v>
      </c>
      <c r="AT393" s="32" t="inlineStr">
        <is>
          <t>live case, no plan document yet</t>
        </is>
      </c>
      <c r="AU393" s="32" t="inlineStr">
        <is>
          <t>00.149.703/0001-86</t>
        </is>
      </c>
      <c r="AV393" s="32" t="inlineStr">
        <is>
          <t>printed on the list (read twice)</t>
        </is>
      </c>
      <c r="AW393" s="32" t="inlineStr"/>
      <c r="AX393" s="32" t="inlineStr">
        <is>
          <t>GOIANIA</t>
        </is>
      </c>
      <c r="AY393" s="32" t="inlineStr">
        <is>
          <t>GO</t>
        </is>
      </c>
      <c r="AZ393" s="32" t="inlineStr">
        <is>
          <t>Serviços de diagnóstico por imagem com uso de radiação ionizante, exceto tomografia</t>
        </is>
      </c>
      <c r="BA393" s="32" t="inlineStr">
        <is>
          <t>não ME/EPP</t>
        </is>
      </c>
      <c r="BB393" s="33" t="n">
        <v>20000</v>
      </c>
      <c r="BC393" s="32" t="inlineStr">
        <is>
          <t>MID-MARKET</t>
        </is>
      </c>
      <c r="BD393" s="32" t="inlineStr">
        <is>
          <t>57378542</t>
        </is>
      </c>
      <c r="BE393" s="32" t="n">
        <v>1</v>
      </c>
      <c r="BF393" s="32" t="inlineStr">
        <is>
          <t>class III reconciled (doc partial)</t>
        </is>
      </c>
    </row>
    <row r="394">
      <c r="A394" s="17" t="inlineStr">
        <is>
          <t>VALGROUP AM INDUSTRIA DE MASTERBATCH LTDA.</t>
        </is>
      </c>
      <c r="B394" s="18" t="n">
        <v>226655</v>
      </c>
      <c r="C394" s="19" t="inlineStr">
        <is>
          <t>GRUPO IMPLASVERDE</t>
        </is>
      </c>
      <c r="D394" s="20" t="inlineStr">
        <is>
          <t>NEW</t>
        </is>
      </c>
      <c r="E394" s="21" t="inlineStr"/>
      <c r="F394" s="20" t="inlineStr"/>
      <c r="G394" s="21" t="inlineStr"/>
      <c r="H394" s="20" t="inlineStr"/>
      <c r="I394" s="22" t="inlineStr">
        <is>
          <t>Thiago Miranda</t>
        </is>
      </c>
      <c r="J394" s="22" t="inlineStr">
        <is>
          <t>Gerente Financeiro - Crédito e Contas a Receber</t>
        </is>
      </c>
      <c r="K394" s="22" t="inlineStr">
        <is>
          <t>(12) 2124-4400</t>
        </is>
      </c>
      <c r="L394" s="22" t="inlineStr"/>
      <c r="M394" s="22" t="inlineStr"/>
      <c r="N394" s="22" t="inlineStr">
        <is>
          <t>thiago.jose@valgroupco.com</t>
        </is>
      </c>
      <c r="O394" s="22" t="inlineStr">
        <is>
          <t>verified</t>
        </is>
      </c>
      <c r="P394" s="22" t="inlineStr">
        <is>
          <t>Vagner Nogueira</t>
        </is>
      </c>
      <c r="Q394" s="22" t="inlineStr">
        <is>
          <t>Diretor de Tesouraria</t>
        </is>
      </c>
      <c r="R394" s="22" t="inlineStr"/>
      <c r="S394" s="22" t="inlineStr">
        <is>
          <t>vagner.nogueira@valgroupco.com</t>
        </is>
      </c>
      <c r="T394" s="22" t="inlineStr">
        <is>
          <t>DM: DM (verified); LARGE CORP. Group-level finance (valgroupco.com); AM masterbatch unit is a subsidiary.; BACKUP: backup (verified)</t>
        </is>
      </c>
      <c r="U394" s="24" t="n">
        <v>226655</v>
      </c>
      <c r="V394" s="25" t="inlineStr">
        <is>
          <t>B</t>
        </is>
      </c>
      <c r="W394" s="26" t="inlineStr"/>
      <c r="X394" s="27" t="inlineStr"/>
      <c r="Y394" s="27" t="inlineStr"/>
      <c r="Z394" s="26">
        <f>IF(W394&lt;&gt;"",W394,IFERROR(VLOOKUP(V394,Assumptions!$A$8:$F$12,2,FALSE),0))</f>
        <v/>
      </c>
      <c r="AA394" s="28">
        <f>IF(V394="A",MAX(1,IF(X394&lt;&gt;"",X394,IFERROR(VLOOKUP(V394,Assumptions!$A$8:$F$12,3,FALSE),3))+IF(Y394&lt;&gt;"",Y394,IFERROR(VLOOKUP(V394,Assumptions!$A$8:$F$12,4,FALSE),8))/2-MAX(0,IF(AS394="",0,YEAR(TODAY())-AS394)-IFERROR(VLOOKUP(V394,Assumptions!$A$8:$F$12,5,FALSE),1.5))),IFERROR(VLOOKUP(V394,Assumptions!$A$8:$F$12,5,FALSE),2.5)+IF(X394&lt;&gt;"",X394,IFERROR(VLOOKUP(V394,Assumptions!$A$8:$F$12,3,FALSE),3))+IF(Y394&lt;&gt;"",Y394,IFERROR(VLOOKUP(V394,Assumptions!$A$8:$F$12,4,FALSE),8))/2)</f>
        <v/>
      </c>
      <c r="AB394" s="24">
        <f>U394*Z394/(1+Assumptions!$B$3)^AA394</f>
        <v/>
      </c>
      <c r="AC394" s="27">
        <f>IF(U394=0,"",ROUND(AB394/U394*100,1))</f>
        <v/>
      </c>
      <c r="AD394" s="29">
        <f>AB394*Assumptions!$B$4</f>
        <v/>
      </c>
      <c r="AE394" s="27">
        <f>IF(U394=0,"",ROUND(AD394/U394*100,1))</f>
        <v/>
      </c>
      <c r="AF394" s="29">
        <f>AB394-AD394</f>
        <v/>
      </c>
      <c r="AG394" s="27">
        <f>IF(U394=0,"",ROUND((AB394-AD394)/U394*100,1))</f>
        <v/>
      </c>
      <c r="AH394" s="30" t="inlineStr">
        <is>
          <t>OK — totals reconciled</t>
        </is>
      </c>
      <c r="AI394" s="31" t="inlineStr">
        <is>
          <t>http://recuperacaojudicial.squarespace.com/s/LISTA-DE-CREDORES-CONSOLIDADA-ATE-04102024.pdf</t>
        </is>
      </c>
      <c r="AJ394" s="30" t="inlineStr">
        <is>
          <t>p6 r20</t>
        </is>
      </c>
      <c r="AK394" s="30" t="inlineStr">
        <is>
          <t>p6: R$ 226.655,00</t>
        </is>
      </c>
      <c r="AL394" s="30" t="inlineStr">
        <is>
          <t>AJ list (art. 7 §2)</t>
        </is>
      </c>
      <c r="AM394" s="30" t="inlineStr">
        <is>
          <t>2024-10-04</t>
        </is>
      </c>
      <c r="AN394" s="30" t="inlineStr">
        <is>
          <t>NONE FOUND</t>
        </is>
      </c>
      <c r="AO394" s="32" t="inlineStr">
        <is>
          <t>0800778-16.2023.8.20.5104</t>
        </is>
      </c>
      <c r="AP394" s="32" t="inlineStr">
        <is>
          <t>TJRN</t>
        </is>
      </c>
      <c r="AQ394" s="32" t="inlineStr">
        <is>
          <t>Recuperação judicial</t>
        </is>
      </c>
      <c r="AR394" s="32" t="inlineStr">
        <is>
          <t>DataJud: no closure/falência movement</t>
        </is>
      </c>
      <c r="AS394" s="32" t="n">
        <v>2023</v>
      </c>
      <c r="AT394" s="32" t="inlineStr">
        <is>
          <t>live case, no plan document yet</t>
        </is>
      </c>
      <c r="AU394" s="32" t="inlineStr"/>
      <c r="AV394" s="32" t="inlineStr">
        <is>
          <t>printed on the list (read twice)</t>
        </is>
      </c>
      <c r="AW394" s="32" t="inlineStr"/>
      <c r="AX394" s="32" t="inlineStr">
        <is>
          <t>MANAUS</t>
        </is>
      </c>
      <c r="AY394" s="32" t="inlineStr">
        <is>
          <t>AM</t>
        </is>
      </c>
      <c r="AZ394" s="32" t="inlineStr">
        <is>
          <t>Fabricação de embalagens de material plástico</t>
        </is>
      </c>
      <c r="BA394" s="32" t="inlineStr">
        <is>
          <t>não ME/EPP</t>
        </is>
      </c>
      <c r="BB394" s="33" t="n">
        <v>2718466300</v>
      </c>
      <c r="BC394" s="32" t="inlineStr">
        <is>
          <t>LARGE CORP</t>
        </is>
      </c>
      <c r="BD394" s="32" t="inlineStr">
        <is>
          <t>03071894</t>
        </is>
      </c>
      <c r="BE394" s="32" t="n">
        <v>1</v>
      </c>
      <c r="BF394" s="32" t="inlineStr"/>
    </row>
    <row r="395">
      <c r="A395" s="17" t="inlineStr">
        <is>
          <t>WGM SISTEMAS IMPORTACAO E EXPORTACAO LTDA</t>
        </is>
      </c>
      <c r="B395" s="18" t="n">
        <v>226506.99</v>
      </c>
      <c r="C395" s="19" t="inlineStr">
        <is>
          <t>FLAVOUR MIX IND. E REP. ALIM. E INGR. QUÍMICOS LTDA.</t>
        </is>
      </c>
      <c r="D395" s="20" t="inlineStr">
        <is>
          <t>NEW</t>
        </is>
      </c>
      <c r="E395" s="21" t="inlineStr"/>
      <c r="F395" s="20" t="inlineStr"/>
      <c r="G395" s="21" t="inlineStr"/>
      <c r="H395" s="20" t="inlineStr"/>
      <c r="I395" s="22" t="inlineStr">
        <is>
          <t>Samantha Oliveira</t>
        </is>
      </c>
      <c r="J395" s="22" t="inlineStr">
        <is>
          <t>Administrative Manager</t>
        </is>
      </c>
      <c r="K395" s="22" t="inlineStr">
        <is>
          <t>(11) 3838-2823</t>
        </is>
      </c>
      <c r="L395" s="22" t="inlineStr"/>
      <c r="M395" s="22" t="inlineStr"/>
      <c r="N395" s="22" t="inlineStr">
        <is>
          <t>samantha.oliveira@wgmsistemas.com.br</t>
        </is>
      </c>
      <c r="O395" s="22" t="inlineStr">
        <is>
          <t>verified</t>
        </is>
      </c>
      <c r="P395" s="22" t="inlineStr">
        <is>
          <t>Joao Ribeiro</t>
        </is>
      </c>
      <c r="Q395" s="22" t="inlineStr">
        <is>
          <t>Financial Assistant</t>
        </is>
      </c>
      <c r="R395" s="22" t="inlineStr"/>
      <c r="S395" s="22" t="inlineStr">
        <is>
          <t>joao.ribeiro@wgmsistemas.com.br</t>
        </is>
      </c>
      <c r="T395" s="22" t="inlineStr">
        <is>
          <t>DM: DM (verified email; tax/admin background); BACKUP: backup (email extrapolated); backup email is pattern-guessed</t>
        </is>
      </c>
      <c r="U395" s="24" t="n">
        <v>226506.99</v>
      </c>
      <c r="V395" s="25" t="inlineStr">
        <is>
          <t>B</t>
        </is>
      </c>
      <c r="W395" s="26" t="inlineStr"/>
      <c r="X395" s="27" t="inlineStr"/>
      <c r="Y395" s="27" t="inlineStr"/>
      <c r="Z395" s="26">
        <f>IF(W395&lt;&gt;"",W395,IFERROR(VLOOKUP(V395,Assumptions!$A$8:$F$12,2,FALSE),0))</f>
        <v/>
      </c>
      <c r="AA395" s="28">
        <f>IF(V395="A",MAX(1,IF(X395&lt;&gt;"",X395,IFERROR(VLOOKUP(V395,Assumptions!$A$8:$F$12,3,FALSE),3))+IF(Y395&lt;&gt;"",Y395,IFERROR(VLOOKUP(V395,Assumptions!$A$8:$F$12,4,FALSE),8))/2-MAX(0,IF(AS395="",0,YEAR(TODAY())-AS395)-IFERROR(VLOOKUP(V395,Assumptions!$A$8:$F$12,5,FALSE),1.5))),IFERROR(VLOOKUP(V395,Assumptions!$A$8:$F$12,5,FALSE),2.5)+IF(X395&lt;&gt;"",X395,IFERROR(VLOOKUP(V395,Assumptions!$A$8:$F$12,3,FALSE),3))+IF(Y395&lt;&gt;"",Y395,IFERROR(VLOOKUP(V395,Assumptions!$A$8:$F$12,4,FALSE),8))/2)</f>
        <v/>
      </c>
      <c r="AB395" s="24">
        <f>U395*Z395/(1+Assumptions!$B$3)^AA395</f>
        <v/>
      </c>
      <c r="AC395" s="27">
        <f>IF(U395=0,"",ROUND(AB395/U395*100,1))</f>
        <v/>
      </c>
      <c r="AD395" s="29">
        <f>AB395*Assumptions!$B$4</f>
        <v/>
      </c>
      <c r="AE395" s="27">
        <f>IF(U395=0,"",ROUND(AD395/U395*100,1))</f>
        <v/>
      </c>
      <c r="AF395" s="29">
        <f>AB395-AD395</f>
        <v/>
      </c>
      <c r="AG395" s="27">
        <f>IF(U395=0,"",ROUND((AB395-AD395)/U395*100,1))</f>
        <v/>
      </c>
      <c r="AH395" s="34" t="inlineStr">
        <is>
          <t>NO TOTALS — list prints none; check page</t>
        </is>
      </c>
      <c r="AI395" s="31" t="inlineStr">
        <is>
          <t>https://ativosajce.com.br/admin/download.php?file=files/processo_documento/processo_documento13422625032025_1_.pdf&amp;nome=Relação de Credores - Art. 52º § 1º, da Lei nº 11.101/2005 - 25/02/2025</t>
        </is>
      </c>
      <c r="AJ395" s="30" t="inlineStr">
        <is>
          <t>p5 r48; p5 r49</t>
        </is>
      </c>
      <c r="AK395" s="30" t="inlineStr">
        <is>
          <t>[rows shown ≠ face] p5: R$ 226.506,99; p5: R$ 226.506,99</t>
        </is>
      </c>
      <c r="AL395" s="30" t="inlineStr">
        <is>
          <t>Unclassified list</t>
        </is>
      </c>
      <c r="AM395" s="30" t="inlineStr">
        <is>
          <t>2025-02-28</t>
        </is>
      </c>
      <c r="AN395" s="30" t="inlineStr">
        <is>
          <t>NONE FOUND</t>
        </is>
      </c>
      <c r="AO395" s="32" t="inlineStr">
        <is>
          <t>1000119-75.2025.8.26.0354</t>
        </is>
      </c>
      <c r="AP395" s="32" t="inlineStr">
        <is>
          <t>TJSP</t>
        </is>
      </c>
      <c r="AQ395" s="32" t="inlineStr">
        <is>
          <t>Recuperação judicial</t>
        </is>
      </c>
      <c r="AR395" s="32" t="inlineStr">
        <is>
          <t>DataJud: no closure/falência movement</t>
        </is>
      </c>
      <c r="AS395" s="32" t="n">
        <v>2025</v>
      </c>
      <c r="AT395" s="32" t="inlineStr">
        <is>
          <t>live case, no plan document yet; case no. from the portal record, not printed on the list</t>
        </is>
      </c>
      <c r="AU395" s="32" t="inlineStr">
        <is>
          <t>09.357.504/0001-38</t>
        </is>
      </c>
      <c r="AV395" s="32" t="inlineStr">
        <is>
          <t>printed on the list (read twice)</t>
        </is>
      </c>
      <c r="AW395" s="32" t="inlineStr"/>
      <c r="AX395" s="32" t="inlineStr">
        <is>
          <t>BARUERI</t>
        </is>
      </c>
      <c r="AY395" s="32" t="inlineStr">
        <is>
          <t>SP</t>
        </is>
      </c>
      <c r="AZ395" s="32" t="inlineStr">
        <is>
          <t>Fabricação de máquinas e equipamentos para as indústrias de alimentos, bebidas e fumo, peças e acessórios</t>
        </is>
      </c>
      <c r="BA395" s="32" t="inlineStr">
        <is>
          <t>não ME/EPP</t>
        </is>
      </c>
      <c r="BB395" s="33" t="n">
        <v>1800000</v>
      </c>
      <c r="BC395" s="32" t="inlineStr">
        <is>
          <t>MID-MARKET</t>
        </is>
      </c>
      <c r="BD395" s="32" t="inlineStr">
        <is>
          <t>65947236</t>
        </is>
      </c>
      <c r="BE395" s="32" t="n">
        <v>1</v>
      </c>
      <c r="BF395" s="32" t="inlineStr">
        <is>
          <t>list prints no totals</t>
        </is>
      </c>
    </row>
    <row r="396">
      <c r="A396" s="17" t="inlineStr">
        <is>
          <t>POTENCIAL AGRO S/A</t>
        </is>
      </c>
      <c r="B396" s="18" t="n">
        <v>222764.53</v>
      </c>
      <c r="C396" s="19" t="inlineStr">
        <is>
          <t>Alto Uruguai Indústria e Comércio de Óleos Ltda</t>
        </is>
      </c>
      <c r="D396" s="20" t="inlineStr">
        <is>
          <t>NEW</t>
        </is>
      </c>
      <c r="E396" s="21" t="inlineStr"/>
      <c r="F396" s="20" t="inlineStr"/>
      <c r="G396" s="21" t="inlineStr"/>
      <c r="H396" s="20" t="inlineStr"/>
      <c r="I396" s="22" t="inlineStr">
        <is>
          <t>Eduardo Bueno</t>
        </is>
      </c>
      <c r="J396" s="22" t="inlineStr">
        <is>
          <t>Diretor Financeiro no Grupo Potencial</t>
        </is>
      </c>
      <c r="K396" s="22" t="inlineStr">
        <is>
          <t>(41) 3163-3000</t>
        </is>
      </c>
      <c r="L396" s="22" t="inlineStr"/>
      <c r="M396" s="22" t="inlineStr"/>
      <c r="N396" s="22" t="inlineStr">
        <is>
          <t>eduardo.b@grpotencial.com.br</t>
        </is>
      </c>
      <c r="O396" s="22" t="inlineStr">
        <is>
          <t>verified</t>
        </is>
      </c>
      <c r="P396" s="22" t="inlineStr">
        <is>
          <t>Cristiane Melo</t>
        </is>
      </c>
      <c r="Q396" s="22" t="inlineStr">
        <is>
          <t>Supervisora de Crédito e Cobrança</t>
        </is>
      </c>
      <c r="R396" s="22" t="inlineStr"/>
      <c r="S396" s="22" t="inlineStr">
        <is>
          <t>cristiane.s@grpotencial.com.br</t>
        </is>
      </c>
      <c r="T396" s="22" t="inlineStr">
        <is>
          <t>DM: DM (verified email); LARGE CORP. 'Pb Bios' returned 0; 'Potencial Agro' returned only ops people; used 'Grupo Potencial' + titles. VERIFY org: Grupo Potencial (holding of Potencial Agro S/A / PB-Bios, Curitiba PR); BACKUP: backup (verified email)</t>
        </is>
      </c>
      <c r="U396" s="24" t="n">
        <v>222764.53</v>
      </c>
      <c r="V396" s="25" t="inlineStr">
        <is>
          <t>B</t>
        </is>
      </c>
      <c r="W396" s="26" t="inlineStr"/>
      <c r="X396" s="27" t="inlineStr"/>
      <c r="Y396" s="27" t="inlineStr"/>
      <c r="Z396" s="26">
        <f>IF(W396&lt;&gt;"",W396,IFERROR(VLOOKUP(V396,Assumptions!$A$8:$F$12,2,FALSE),0))</f>
        <v/>
      </c>
      <c r="AA396" s="28">
        <f>IF(V396="A",MAX(1,IF(X396&lt;&gt;"",X396,IFERROR(VLOOKUP(V396,Assumptions!$A$8:$F$12,3,FALSE),3))+IF(Y396&lt;&gt;"",Y396,IFERROR(VLOOKUP(V396,Assumptions!$A$8:$F$12,4,FALSE),8))/2-MAX(0,IF(AS396="",0,YEAR(TODAY())-AS396)-IFERROR(VLOOKUP(V396,Assumptions!$A$8:$F$12,5,FALSE),1.5))),IFERROR(VLOOKUP(V396,Assumptions!$A$8:$F$12,5,FALSE),2.5)+IF(X396&lt;&gt;"",X396,IFERROR(VLOOKUP(V396,Assumptions!$A$8:$F$12,3,FALSE),3))+IF(Y396&lt;&gt;"",Y396,IFERROR(VLOOKUP(V396,Assumptions!$A$8:$F$12,4,FALSE),8))/2)</f>
        <v/>
      </c>
      <c r="AB396" s="24">
        <f>U396*Z396/(1+Assumptions!$B$3)^AA396</f>
        <v/>
      </c>
      <c r="AC396" s="27">
        <f>IF(U396=0,"",ROUND(AB396/U396*100,1))</f>
        <v/>
      </c>
      <c r="AD396" s="29">
        <f>AB396*Assumptions!$B$4</f>
        <v/>
      </c>
      <c r="AE396" s="27">
        <f>IF(U396=0,"",ROUND(AD396/U396*100,1))</f>
        <v/>
      </c>
      <c r="AF396" s="29">
        <f>AB396-AD396</f>
        <v/>
      </c>
      <c r="AG396" s="27">
        <f>IF(U396=0,"",ROUND((AB396-AD396)/U396*100,1))</f>
        <v/>
      </c>
      <c r="AH396" s="30" t="inlineStr">
        <is>
          <t>OK — totals reconciled</t>
        </is>
      </c>
      <c r="AI396" s="31" t="inlineStr">
        <is>
          <t>https://ajruiz.com.br/sites/default/files/public/arquivos-processos/2026-06/alto_uruguai_qgc_junho.2026.pdf</t>
        </is>
      </c>
      <c r="AJ396" s="30" t="inlineStr">
        <is>
          <t>p1 r30</t>
        </is>
      </c>
      <c r="AK396" s="30" t="inlineStr">
        <is>
          <t>p1: R$ 222.764,53</t>
        </is>
      </c>
      <c r="AL396" s="30" t="inlineStr">
        <is>
          <t>Unclassified list</t>
        </is>
      </c>
      <c r="AM396" s="30" t="inlineStr"/>
      <c r="AN396" s="30" t="inlineStr">
        <is>
          <t>NONE FOUND</t>
        </is>
      </c>
      <c r="AO396" s="32" t="inlineStr">
        <is>
          <t>5012743-51.2023.8.24.0019</t>
        </is>
      </c>
      <c r="AP396" s="32" t="inlineStr">
        <is>
          <t>TJSC</t>
        </is>
      </c>
      <c r="AQ396" s="32" t="inlineStr">
        <is>
          <t>Recuperação judicial</t>
        </is>
      </c>
      <c r="AR396" s="32" t="inlineStr">
        <is>
          <t>DataJud: no closure/falência movement</t>
        </is>
      </c>
      <c r="AS396" s="32" t="n">
        <v>2023</v>
      </c>
      <c r="AT396" s="32" t="inlineStr">
        <is>
          <t>live case, no plan document yet</t>
        </is>
      </c>
      <c r="AU396" s="32" t="inlineStr"/>
      <c r="AV396" s="32" t="inlineStr">
        <is>
          <t>printed on the list (read twice)</t>
        </is>
      </c>
      <c r="AW396" s="32" t="inlineStr"/>
      <c r="AX396" s="32" t="inlineStr">
        <is>
          <t>LAPA</t>
        </is>
      </c>
      <c r="AY396" s="32" t="inlineStr">
        <is>
          <t>PR</t>
        </is>
      </c>
      <c r="AZ396" s="32" t="inlineStr">
        <is>
          <t>Fabricação de biocombustíveis, exceto álcool</t>
        </is>
      </c>
      <c r="BA396" s="32" t="inlineStr">
        <is>
          <t>não ME/EPP</t>
        </is>
      </c>
      <c r="BB396" s="33" t="n">
        <v>657000000</v>
      </c>
      <c r="BC396" s="32" t="inlineStr">
        <is>
          <t>LARGE CORP</t>
        </is>
      </c>
      <c r="BD396" s="32" t="inlineStr">
        <is>
          <t>12613484</t>
        </is>
      </c>
      <c r="BE396" s="32" t="n">
        <v>1</v>
      </c>
      <c r="BF396" s="32" t="inlineStr"/>
    </row>
    <row r="397">
      <c r="A397" s="17" t="inlineStr">
        <is>
          <t>GEOQUEST BRASIL LTDA</t>
        </is>
      </c>
      <c r="B397" s="18" t="n">
        <v>220382.08</v>
      </c>
      <c r="C397" s="19" t="inlineStr">
        <is>
          <t>GRUPO EGESA (Egesa Engenharia S.A. + 9 group companies; see group members)</t>
        </is>
      </c>
      <c r="D397" s="20" t="inlineStr">
        <is>
          <t>NEW</t>
        </is>
      </c>
      <c r="E397" s="21" t="inlineStr"/>
      <c r="F397" s="20" t="inlineStr"/>
      <c r="G397" s="21" t="inlineStr"/>
      <c r="H397" s="20" t="inlineStr"/>
      <c r="I397" s="22" t="inlineStr">
        <is>
          <t>BRUNO LUIZ MARSON FRANCO</t>
        </is>
      </c>
      <c r="J397" s="23" t="inlineStr">
        <is>
          <t>Administrador (RFB partner)</t>
        </is>
      </c>
      <c r="K397" s="22" t="inlineStr">
        <is>
          <t>(21) 2233-7353</t>
        </is>
      </c>
      <c r="L397" s="22" t="inlineStr">
        <is>
          <t>(21) 2233-7354</t>
        </is>
      </c>
      <c r="M397" s="22" t="inlineStr"/>
      <c r="N397" s="22" t="inlineStr"/>
      <c r="O397" s="22" t="inlineStr"/>
      <c r="P397" s="22" t="inlineStr">
        <is>
          <t>Rogerio Negosia</t>
        </is>
      </c>
      <c r="Q397" s="22" t="inlineStr">
        <is>
          <t>Customer Relationship Executive</t>
        </is>
      </c>
      <c r="R397" s="22" t="inlineStr"/>
      <c r="S397" s="22" t="inlineStr"/>
      <c r="T397" s="22" t="inlineStr">
        <is>
          <t>DM = registered partner (RFB QSA); Apollo pick demoted to backup (non-finance role); BACKUP: DM (only person) email unavailable; 'Geoquest Brasil' 0; VERIFY org: GeoQuest Technologies (may be foreign parent); no finance staff, no email</t>
        </is>
      </c>
      <c r="U397" s="24" t="n">
        <v>220382.08</v>
      </c>
      <c r="V397" s="25" t="inlineStr">
        <is>
          <t>B</t>
        </is>
      </c>
      <c r="W397" s="26" t="inlineStr"/>
      <c r="X397" s="27" t="inlineStr"/>
      <c r="Y397" s="27" t="inlineStr"/>
      <c r="Z397" s="26">
        <f>IF(W397&lt;&gt;"",W397,IFERROR(VLOOKUP(V397,Assumptions!$A$8:$F$12,2,FALSE),0))</f>
        <v/>
      </c>
      <c r="AA397" s="28">
        <f>IF(V397="A",MAX(1,IF(X397&lt;&gt;"",X397,IFERROR(VLOOKUP(V397,Assumptions!$A$8:$F$12,3,FALSE),3))+IF(Y397&lt;&gt;"",Y397,IFERROR(VLOOKUP(V397,Assumptions!$A$8:$F$12,4,FALSE),8))/2-MAX(0,IF(AS397="",0,YEAR(TODAY())-AS397)-IFERROR(VLOOKUP(V397,Assumptions!$A$8:$F$12,5,FALSE),1.5))),IFERROR(VLOOKUP(V397,Assumptions!$A$8:$F$12,5,FALSE),2.5)+IF(X397&lt;&gt;"",X397,IFERROR(VLOOKUP(V397,Assumptions!$A$8:$F$12,3,FALSE),3))+IF(Y397&lt;&gt;"",Y397,IFERROR(VLOOKUP(V397,Assumptions!$A$8:$F$12,4,FALSE),8))/2)</f>
        <v/>
      </c>
      <c r="AB397" s="24">
        <f>U397*Z397/(1+Assumptions!$B$3)^AA397</f>
        <v/>
      </c>
      <c r="AC397" s="27">
        <f>IF(U397=0,"",ROUND(AB397/U397*100,1))</f>
        <v/>
      </c>
      <c r="AD397" s="29">
        <f>AB397*Assumptions!$B$4</f>
        <v/>
      </c>
      <c r="AE397" s="27">
        <f>IF(U397=0,"",ROUND(AD397/U397*100,1))</f>
        <v/>
      </c>
      <c r="AF397" s="29">
        <f>AB397-AD397</f>
        <v/>
      </c>
      <c r="AG397" s="27">
        <f>IF(U397=0,"",ROUND((AB397-AD397)/U397*100,1))</f>
        <v/>
      </c>
      <c r="AH397" s="30" t="inlineStr">
        <is>
          <t>OK — totals reconciled</t>
        </is>
      </c>
      <c r="AI397" s="31" t="inlineStr">
        <is>
          <t>https://scalzilliaj.com.br/sgc/download.php?file=files/processo_documento/processo_documento09514021082025_1_.pdf&amp;nome=04 - Relação de credores das Recuperandas</t>
        </is>
      </c>
      <c r="AJ397" s="30" t="inlineStr">
        <is>
          <t>p74 r6</t>
        </is>
      </c>
      <c r="AK397" s="30" t="inlineStr">
        <is>
          <t>p74: R$ 220.382,08</t>
        </is>
      </c>
      <c r="AL397" s="30" t="inlineStr">
        <is>
          <t>Debtor list (art. 51)</t>
        </is>
      </c>
      <c r="AM397" s="30" t="inlineStr"/>
      <c r="AN397" s="30" t="inlineStr">
        <is>
          <t>NONE FOUND</t>
        </is>
      </c>
      <c r="AO397" s="32" t="inlineStr">
        <is>
          <t>5088952-81.2025.8.13.0024</t>
        </is>
      </c>
      <c r="AP397" s="32" t="inlineStr">
        <is>
          <t>TJMG</t>
        </is>
      </c>
      <c r="AQ397" s="32" t="inlineStr"/>
      <c r="AR397" s="32" t="inlineStr">
        <is>
          <t>DataJud: no closure/falência movement</t>
        </is>
      </c>
      <c r="AS397" s="32" t="n">
        <v>2025</v>
      </c>
      <c r="AT397" s="32" t="inlineStr">
        <is>
          <t>live case, no plan document yet; case no. from the portal record, not printed on the list</t>
        </is>
      </c>
      <c r="AU397" s="32" t="inlineStr"/>
      <c r="AV397" s="32" t="inlineStr">
        <is>
          <t>portal page title / URL — not printed on the list</t>
        </is>
      </c>
      <c r="AW397" s="32" t="inlineStr"/>
      <c r="AX397" s="32" t="inlineStr">
        <is>
          <t>RIO DE JANEIRO</t>
        </is>
      </c>
      <c r="AY397" s="32" t="inlineStr">
        <is>
          <t>RJ</t>
        </is>
      </c>
      <c r="AZ397" s="32" t="inlineStr">
        <is>
          <t>Outras obras de engenharia civil não especificadas anteriormente</t>
        </is>
      </c>
      <c r="BA397" s="32" t="inlineStr">
        <is>
          <t>não ME/EPP</t>
        </is>
      </c>
      <c r="BB397" s="33" t="n">
        <v>1073294</v>
      </c>
      <c r="BC397" s="32" t="inlineStr">
        <is>
          <t>MID-MARKET</t>
        </is>
      </c>
      <c r="BD397" s="32" t="inlineStr">
        <is>
          <t>42470088</t>
        </is>
      </c>
      <c r="BE397" s="32" t="n">
        <v>1</v>
      </c>
      <c r="BF397" s="32" t="inlineStr">
        <is>
          <t>case no. corrected by reader case no. from portal record</t>
        </is>
      </c>
    </row>
    <row r="398">
      <c r="A398" s="17" t="inlineStr">
        <is>
          <t>COMERCIAL CIRURGICA RIOCLARENSE LTDA</t>
        </is>
      </c>
      <c r="B398" s="18" t="n">
        <v>857146.9300000001</v>
      </c>
      <c r="C398" s="19" t="inlineStr">
        <is>
          <t>HOSPITAL SANTA MÔNICA LTDA</t>
        </is>
      </c>
      <c r="D398" s="20" t="inlineStr">
        <is>
          <t>NEW</t>
        </is>
      </c>
      <c r="E398" s="21" t="inlineStr"/>
      <c r="F398" s="20" t="inlineStr"/>
      <c r="G398" s="21" t="inlineStr"/>
      <c r="H398" s="20" t="inlineStr"/>
      <c r="I398" s="22" t="inlineStr">
        <is>
          <t>ANA LUCIA BARBOSA PROCHNOW</t>
        </is>
      </c>
      <c r="J398" s="23" t="inlineStr">
        <is>
          <t>Sócio-Administrador (RFB partner)</t>
        </is>
      </c>
      <c r="K398" s="22" t="inlineStr"/>
      <c r="L398" s="22" t="inlineStr"/>
      <c r="M398" s="22" t="inlineStr"/>
      <c r="N398" s="22" t="inlineStr"/>
      <c r="O398" s="22" t="inlineStr"/>
      <c r="P398" s="22" t="inlineStr">
        <is>
          <t>Michelle Tiburcio</t>
        </is>
      </c>
      <c r="Q398" s="22" t="inlineStr">
        <is>
          <t>Farmacêutica Responsável Tecnica</t>
        </is>
      </c>
      <c r="R398" s="22" t="inlineStr"/>
      <c r="S398" s="22" t="inlineStr">
        <is>
          <t>michelle.tiburcio@rioclarense.com.br</t>
        </is>
      </c>
      <c r="T398" s="22" t="inlineStr">
        <is>
          <t>DM = registered partner (RFB QSA); Apollo pick demoted to backup (non-finance role); BACKUP: weak, has_email</t>
        </is>
      </c>
      <c r="U398" s="24" t="n">
        <v>857146.9300000001</v>
      </c>
      <c r="V398" s="39" t="inlineStr">
        <is>
          <t>C</t>
        </is>
      </c>
      <c r="W398" s="26" t="inlineStr"/>
      <c r="X398" s="27" t="inlineStr"/>
      <c r="Y398" s="27" t="inlineStr"/>
      <c r="Z398" s="26">
        <f>IF(W398&lt;&gt;"",W398,IFERROR(VLOOKUP(V398,Assumptions!$A$8:$F$12,2,FALSE),0))</f>
        <v/>
      </c>
      <c r="AA398" s="28">
        <f>IF(V398="A",MAX(1,IF(X398&lt;&gt;"",X398,IFERROR(VLOOKUP(V398,Assumptions!$A$8:$F$12,3,FALSE),3))+IF(Y398&lt;&gt;"",Y398,IFERROR(VLOOKUP(V398,Assumptions!$A$8:$F$12,4,FALSE),8))/2-MAX(0,IF(AS398="",0,YEAR(TODAY())-AS398)-IFERROR(VLOOKUP(V398,Assumptions!$A$8:$F$12,5,FALSE),1.5))),IFERROR(VLOOKUP(V398,Assumptions!$A$8:$F$12,5,FALSE),2.5)+IF(X398&lt;&gt;"",X398,IFERROR(VLOOKUP(V398,Assumptions!$A$8:$F$12,3,FALSE),3))+IF(Y398&lt;&gt;"",Y398,IFERROR(VLOOKUP(V398,Assumptions!$A$8:$F$12,4,FALSE),8))/2)</f>
        <v/>
      </c>
      <c r="AB398" s="24">
        <f>U398*Z398/(1+Assumptions!$B$3)^AA398</f>
        <v/>
      </c>
      <c r="AC398" s="27">
        <f>IF(U398=0,"",ROUND(AB398/U398*100,1))</f>
        <v/>
      </c>
      <c r="AD398" s="29">
        <f>AB398*Assumptions!$B$4</f>
        <v/>
      </c>
      <c r="AE398" s="27">
        <f>IF(U398=0,"",ROUND(AD398/U398*100,1))</f>
        <v/>
      </c>
      <c r="AF398" s="29">
        <f>AB398-AD398</f>
        <v/>
      </c>
      <c r="AG398" s="27">
        <f>IF(U398=0,"",ROUND((AB398-AD398)/U398*100,1))</f>
        <v/>
      </c>
      <c r="AH398" s="34" t="inlineStr">
        <is>
          <t>NO TOTALS — list prints none; check page</t>
        </is>
      </c>
      <c r="AI398" s="31" t="inlineStr">
        <is>
          <t>https://ricardobiancardi.com.br/wp-content/uploads/2024/12/Edital-1-relacao-de-credores-pub.-02.12.24-.pdf</t>
        </is>
      </c>
      <c r="AJ398" s="30" t="inlineStr">
        <is>
          <t>p3 r23</t>
        </is>
      </c>
      <c r="AK398" s="30" t="inlineStr">
        <is>
          <t>p3: R$ 857.146,93</t>
        </is>
      </c>
      <c r="AL398" s="30" t="inlineStr">
        <is>
          <t>Debtor list (art. 51)</t>
        </is>
      </c>
      <c r="AM398" s="30" t="inlineStr">
        <is>
          <t>2024-12-02</t>
        </is>
      </c>
      <c r="AN398" s="30" t="inlineStr">
        <is>
          <t>NONE FOUND</t>
        </is>
      </c>
      <c r="AO398" s="32" t="inlineStr">
        <is>
          <t>0041309-42.2014.8.08.0024</t>
        </is>
      </c>
      <c r="AP398" s="32" t="inlineStr">
        <is>
          <t>TJES</t>
        </is>
      </c>
      <c r="AQ398" s="32" t="inlineStr">
        <is>
          <t>Recuperação judicial</t>
        </is>
      </c>
      <c r="AR398" s="32" t="inlineStr">
        <is>
          <t>not in DataJud</t>
        </is>
      </c>
      <c r="AS398" s="32" t="n">
        <v>2014</v>
      </c>
      <c r="AT398" s="32" t="inlineStr">
        <is>
          <t>12y since filing; plan not in our documents; atypical debtor (associação/clube/hospital/produtor rural): admissibility or claim subjection may be contested</t>
        </is>
      </c>
      <c r="AU398" s="32" t="inlineStr"/>
      <c r="AV398" s="32" t="inlineStr">
        <is>
          <t>printed on the list (read twice)</t>
        </is>
      </c>
      <c r="AW398" s="32" t="inlineStr"/>
      <c r="AX398" s="32" t="inlineStr">
        <is>
          <t>RIO CLARO</t>
        </is>
      </c>
      <c r="AY398" s="32" t="inlineStr">
        <is>
          <t>SP</t>
        </is>
      </c>
      <c r="AZ398" s="32" t="inlineStr">
        <is>
          <t>Comércio atacadista de medicamentos e drogas de uso humano</t>
        </is>
      </c>
      <c r="BA398" s="32" t="inlineStr">
        <is>
          <t>não ME/EPP</t>
        </is>
      </c>
      <c r="BB398" s="33" t="n">
        <v>2000000</v>
      </c>
      <c r="BC398" s="32" t="inlineStr">
        <is>
          <t>MID-MARKET</t>
        </is>
      </c>
      <c r="BD398" s="32" t="inlineStr">
        <is>
          <t>67729178</t>
        </is>
      </c>
      <c r="BE398" s="32" t="n">
        <v>1</v>
      </c>
      <c r="BF398" s="32" t="inlineStr">
        <is>
          <t>list prints no totals</t>
        </is>
      </c>
    </row>
    <row r="399">
      <c r="A399" s="17" t="inlineStr">
        <is>
          <t>EDENTEC INDUSTRIA E COMERCIO LTDA</t>
        </is>
      </c>
      <c r="B399" s="18" t="n">
        <v>219345.95</v>
      </c>
      <c r="C399" s="19" t="inlineStr">
        <is>
          <t>Grupo Conduscabos</t>
        </is>
      </c>
      <c r="D399" s="20" t="inlineStr">
        <is>
          <t>NEW</t>
        </is>
      </c>
      <c r="E399" s="21" t="inlineStr"/>
      <c r="F399" s="20" t="inlineStr"/>
      <c r="G399" s="21" t="inlineStr"/>
      <c r="H399" s="20" t="inlineStr"/>
      <c r="I399" s="22" t="inlineStr">
        <is>
          <t>Rubens Rizzardo</t>
        </is>
      </c>
      <c r="J399" s="22" t="inlineStr">
        <is>
          <t>Director</t>
        </is>
      </c>
      <c r="K399" s="22" t="inlineStr"/>
      <c r="L399" s="22" t="inlineStr"/>
      <c r="M399" s="22" t="inlineStr"/>
      <c r="N399" s="22" t="inlineStr">
        <is>
          <t>rubens@edentec.com.br</t>
        </is>
      </c>
      <c r="O399" s="22" t="inlineStr">
        <is>
          <t>verified</t>
        </is>
      </c>
      <c r="P399" s="22" t="inlineStr">
        <is>
          <t>Mayra Santos</t>
        </is>
      </c>
      <c r="Q399" s="22" t="inlineStr">
        <is>
          <t>Financial Assistant</t>
        </is>
      </c>
      <c r="R399" s="22" t="inlineStr"/>
      <c r="S399" s="22" t="inlineStr">
        <is>
          <t>mayra@edentec.com.br</t>
        </is>
      </c>
      <c r="T399" s="22" t="inlineStr">
        <is>
          <t>DM: DM (owner/diretor since 1976; verified email); BACKUP: backup (verified email)</t>
        </is>
      </c>
      <c r="U399" s="24" t="n">
        <v>219345.95</v>
      </c>
      <c r="V399" s="25" t="inlineStr">
        <is>
          <t>B</t>
        </is>
      </c>
      <c r="W399" s="26" t="inlineStr"/>
      <c r="X399" s="27" t="inlineStr"/>
      <c r="Y399" s="27" t="inlineStr"/>
      <c r="Z399" s="26">
        <f>IF(W399&lt;&gt;"",W399,IFERROR(VLOOKUP(V399,Assumptions!$A$8:$F$12,2,FALSE),0))</f>
        <v/>
      </c>
      <c r="AA399" s="28">
        <f>IF(V399="A",MAX(1,IF(X399&lt;&gt;"",X399,IFERROR(VLOOKUP(V399,Assumptions!$A$8:$F$12,3,FALSE),3))+IF(Y399&lt;&gt;"",Y399,IFERROR(VLOOKUP(V399,Assumptions!$A$8:$F$12,4,FALSE),8))/2-MAX(0,IF(AS399="",0,YEAR(TODAY())-AS399)-IFERROR(VLOOKUP(V399,Assumptions!$A$8:$F$12,5,FALSE),1.5))),IFERROR(VLOOKUP(V399,Assumptions!$A$8:$F$12,5,FALSE),2.5)+IF(X399&lt;&gt;"",X399,IFERROR(VLOOKUP(V399,Assumptions!$A$8:$F$12,3,FALSE),3))+IF(Y399&lt;&gt;"",Y399,IFERROR(VLOOKUP(V399,Assumptions!$A$8:$F$12,4,FALSE),8))/2)</f>
        <v/>
      </c>
      <c r="AB399" s="24">
        <f>U399*Z399/(1+Assumptions!$B$3)^AA399</f>
        <v/>
      </c>
      <c r="AC399" s="27">
        <f>IF(U399=0,"",ROUND(AB399/U399*100,1))</f>
        <v/>
      </c>
      <c r="AD399" s="29">
        <f>AB399*Assumptions!$B$4</f>
        <v/>
      </c>
      <c r="AE399" s="27">
        <f>IF(U399=0,"",ROUND(AD399/U399*100,1))</f>
        <v/>
      </c>
      <c r="AF399" s="29">
        <f>AB399-AD399</f>
        <v/>
      </c>
      <c r="AG399" s="27">
        <f>IF(U399=0,"",ROUND((AB399-AD399)/U399*100,1))</f>
        <v/>
      </c>
      <c r="AH399" s="34" t="inlineStr">
        <is>
          <t>NO TOTALS — list prints none; check page</t>
        </is>
      </c>
      <c r="AI399" s="31" t="inlineStr">
        <is>
          <t>https://assistjud.com.br/wp-content/uploads/elementor/forms/65098c80a5824.pdf</t>
        </is>
      </c>
      <c r="AJ399" s="30" t="inlineStr">
        <is>
          <t>p7 r3</t>
        </is>
      </c>
      <c r="AK399" s="30" t="inlineStr">
        <is>
          <t>p7: R$ 219.345,95</t>
        </is>
      </c>
      <c r="AL399" s="30" t="inlineStr">
        <is>
          <t>AJ list (art. 7 §2)</t>
        </is>
      </c>
      <c r="AM399" s="30" t="inlineStr">
        <is>
          <t>2023-09-18</t>
        </is>
      </c>
      <c r="AN399" s="30" t="inlineStr">
        <is>
          <t>NONE FOUND</t>
        </is>
      </c>
      <c r="AO399" s="32" t="inlineStr">
        <is>
          <t>8005129-09.2023.8.05.0039</t>
        </is>
      </c>
      <c r="AP399" s="32" t="inlineStr">
        <is>
          <t>TJBA</t>
        </is>
      </c>
      <c r="AQ399" s="32" t="inlineStr">
        <is>
          <t>Recuperação judicial</t>
        </is>
      </c>
      <c r="AR399" s="32" t="inlineStr">
        <is>
          <t>DataJud: no closure/falência movement</t>
        </is>
      </c>
      <c r="AS399" s="32" t="n">
        <v>2023</v>
      </c>
      <c r="AT399" s="32" t="inlineStr">
        <is>
          <t>live case, no plan document yet</t>
        </is>
      </c>
      <c r="AU399" s="32" t="inlineStr"/>
      <c r="AV399" s="32" t="inlineStr">
        <is>
          <t>printed on the list (read twice)</t>
        </is>
      </c>
      <c r="AW399" s="32" t="inlineStr"/>
      <c r="AX399" s="32" t="inlineStr">
        <is>
          <t>SOROCABA</t>
        </is>
      </c>
      <c r="AY399" s="32" t="inlineStr">
        <is>
          <t>SP</t>
        </is>
      </c>
      <c r="AZ399" s="32" t="inlineStr">
        <is>
          <t>Fabricação de artefatos diversos de madeira, exceto móveis</t>
        </is>
      </c>
      <c r="BA399" s="32" t="inlineStr">
        <is>
          <t>não ME/EPP</t>
        </is>
      </c>
      <c r="BB399" s="33" t="n">
        <v>4000000</v>
      </c>
      <c r="BC399" s="32" t="inlineStr">
        <is>
          <t>MID-MARKET</t>
        </is>
      </c>
      <c r="BD399" s="32" t="inlineStr">
        <is>
          <t>47799028</t>
        </is>
      </c>
      <c r="BE399" s="32" t="n">
        <v>1</v>
      </c>
      <c r="BF399" s="32" t="inlineStr">
        <is>
          <t>list prints no totals</t>
        </is>
      </c>
    </row>
    <row r="400">
      <c r="A400" s="17" t="inlineStr">
        <is>
          <t>P.U. ESPUMAS DO BRASIL LTDA</t>
        </is>
      </c>
      <c r="B400" s="18" t="n">
        <v>1560300.64</v>
      </c>
      <c r="C400" s="19" t="inlineStr">
        <is>
          <t>Mannes</t>
        </is>
      </c>
      <c r="D400" s="20" t="inlineStr">
        <is>
          <t>NEW</t>
        </is>
      </c>
      <c r="E400" s="21" t="inlineStr"/>
      <c r="F400" s="20" t="inlineStr"/>
      <c r="G400" s="21" t="inlineStr"/>
      <c r="H400" s="20" t="inlineStr"/>
      <c r="I400" s="22" t="inlineStr">
        <is>
          <t>GENESIO ALFREDO SAMPAIO LIMA</t>
        </is>
      </c>
      <c r="J400" s="23" t="inlineStr">
        <is>
          <t>Administrador (RFB partner)</t>
        </is>
      </c>
      <c r="K400" s="22" t="inlineStr">
        <is>
          <t>(11) 3488-1904</t>
        </is>
      </c>
      <c r="L400" s="22" t="inlineStr"/>
      <c r="M400" s="22" t="inlineStr"/>
      <c r="N400" s="22" t="inlineStr"/>
      <c r="O400" s="22" t="inlineStr"/>
      <c r="P400" s="22" t="inlineStr"/>
      <c r="Q400" s="22" t="inlineStr"/>
      <c r="R400" s="22" t="inlineStr"/>
      <c r="S400" s="22" t="inlineStr"/>
      <c r="T400" s="22" t="inlineStr">
        <is>
          <t>DM = registered partner (RFB QSA); no Apollo match</t>
        </is>
      </c>
      <c r="U400" s="24" t="n">
        <v>1560300.64</v>
      </c>
      <c r="V400" s="40" t="inlineStr">
        <is>
          <t>D</t>
        </is>
      </c>
      <c r="W400" s="26" t="inlineStr"/>
      <c r="X400" s="27" t="inlineStr"/>
      <c r="Y400" s="27" t="inlineStr"/>
      <c r="Z400" s="26">
        <f>IF(W400&lt;&gt;"",W400,IFERROR(VLOOKUP(V400,Assumptions!$A$8:$F$12,2,FALSE),0))</f>
        <v/>
      </c>
      <c r="AA400" s="28">
        <f>IF(V400="A",MAX(1,IF(X400&lt;&gt;"",X400,IFERROR(VLOOKUP(V400,Assumptions!$A$8:$F$12,3,FALSE),3))+IF(Y400&lt;&gt;"",Y400,IFERROR(VLOOKUP(V400,Assumptions!$A$8:$F$12,4,FALSE),8))/2-MAX(0,IF(AS400="",0,YEAR(TODAY())-AS400)-IFERROR(VLOOKUP(V400,Assumptions!$A$8:$F$12,5,FALSE),1.5))),IFERROR(VLOOKUP(V400,Assumptions!$A$8:$F$12,5,FALSE),2.5)+IF(X400&lt;&gt;"",X400,IFERROR(VLOOKUP(V400,Assumptions!$A$8:$F$12,3,FALSE),3))+IF(Y400&lt;&gt;"",Y400,IFERROR(VLOOKUP(V400,Assumptions!$A$8:$F$12,4,FALSE),8))/2)</f>
        <v/>
      </c>
      <c r="AB400" s="24">
        <f>U400*Z400/(1+Assumptions!$B$3)^AA400</f>
        <v/>
      </c>
      <c r="AC400" s="27">
        <f>IF(U400=0,"",ROUND(AB400/U400*100,1))</f>
        <v/>
      </c>
      <c r="AD400" s="29">
        <f>AB400*Assumptions!$B$4</f>
        <v/>
      </c>
      <c r="AE400" s="27">
        <f>IF(U400=0,"",ROUND(AD400/U400*100,1))</f>
        <v/>
      </c>
      <c r="AF400" s="29">
        <f>AB400-AD400</f>
        <v/>
      </c>
      <c r="AG400" s="27">
        <f>IF(U400=0,"",ROUND((AB400-AD400)/U400*100,1))</f>
        <v/>
      </c>
      <c r="AH400" s="36" t="inlineStr">
        <is>
          <t>CHECK — source is not a statutory creditor list</t>
        </is>
      </c>
      <c r="AI400" s="31" t="inlineStr">
        <is>
          <t>https://administradorajudicialgs.com.br/wp-content/uploads/2024/12/relacao-de-credores-da-falida.pdf</t>
        </is>
      </c>
      <c r="AJ400" s="30" t="inlineStr">
        <is>
          <t>p17 r28; p17 r43</t>
        </is>
      </c>
      <c r="AK400" s="30" t="inlineStr">
        <is>
          <t>p17: R$ 945.704,67; p17: R$ 614.595,97</t>
        </is>
      </c>
      <c r="AL400" s="30" t="inlineStr">
        <is>
          <t>Other filing — NOT an art. 7/51 list</t>
        </is>
      </c>
      <c r="AM400" s="30" t="inlineStr">
        <is>
          <t>2025-03-25</t>
        </is>
      </c>
      <c r="AN400" s="30" t="inlineStr">
        <is>
          <t>NONE FOUND</t>
        </is>
      </c>
      <c r="AO400" s="32" t="inlineStr">
        <is>
          <t>0005010-50.2013.8.24.0026</t>
        </is>
      </c>
      <c r="AP400" s="32" t="inlineStr">
        <is>
          <t>TJSC</t>
        </is>
      </c>
      <c r="AQ400" s="32" t="inlineStr">
        <is>
          <t>Falência</t>
        </is>
      </c>
      <c r="AR400" s="32" t="inlineStr">
        <is>
          <t>not in DataJud</t>
        </is>
      </c>
      <c r="AS400" s="32" t="n">
        <v>2013</v>
      </c>
      <c r="AT400" s="32" t="inlineStr">
        <is>
          <t>falência proceeding (list/name says falida)</t>
        </is>
      </c>
      <c r="AU400" s="32" t="inlineStr"/>
      <c r="AV400" s="32" t="inlineStr">
        <is>
          <t>printed on the list (read twice)</t>
        </is>
      </c>
      <c r="AW400" s="32" t="inlineStr"/>
      <c r="AX400" s="32" t="inlineStr">
        <is>
          <t>SAO PAULO</t>
        </is>
      </c>
      <c r="AY400" s="32" t="inlineStr">
        <is>
          <t>SP</t>
        </is>
      </c>
      <c r="AZ400" s="32" t="inlineStr">
        <is>
          <t>Comércio atacadista de outros produtos químicos e petroquímicos não especificados anteriormente</t>
        </is>
      </c>
      <c r="BA400" s="32" t="inlineStr">
        <is>
          <t>não ME/EPP</t>
        </is>
      </c>
      <c r="BB400" s="33" t="n">
        <v>20150000</v>
      </c>
      <c r="BC400" s="32" t="inlineStr">
        <is>
          <t>MID-MARKET</t>
        </is>
      </c>
      <c r="BD400" s="32" t="inlineStr">
        <is>
          <t>01494867</t>
        </is>
      </c>
      <c r="BE400" s="32" t="n">
        <v>2</v>
      </c>
      <c r="BF400" s="32" t="inlineStr">
        <is>
          <t>list prints no totals case no. corrected by reader</t>
        </is>
      </c>
    </row>
    <row r="401">
      <c r="A401" s="17" t="inlineStr">
        <is>
          <t>EDP ESPIRITO SANTO DISTRIBUICAO DE ENERGIA S.A.</t>
        </is>
      </c>
      <c r="B401" s="18" t="n">
        <v>850547.08</v>
      </c>
      <c r="C401" s="19" t="inlineStr">
        <is>
          <t>HOSPITAL SANTA MÔNICA LTDA</t>
        </is>
      </c>
      <c r="D401" s="20" t="inlineStr">
        <is>
          <t>NEW</t>
        </is>
      </c>
      <c r="E401" s="21" t="inlineStr"/>
      <c r="F401" s="20" t="inlineStr"/>
      <c r="G401" s="21" t="inlineStr"/>
      <c r="H401" s="20" t="inlineStr"/>
      <c r="I401" s="22" t="inlineStr">
        <is>
          <t>DYOGENES ROSI</t>
        </is>
      </c>
      <c r="J401" s="23" t="inlineStr">
        <is>
          <t>Presidente (RFB partner)</t>
        </is>
      </c>
      <c r="K401" s="22" t="inlineStr">
        <is>
          <t>(11) 2185-5199</t>
        </is>
      </c>
      <c r="L401" s="22" t="inlineStr">
        <is>
          <t>(11) 2185-5045</t>
        </is>
      </c>
      <c r="M401" s="22" t="inlineStr"/>
      <c r="N401" s="22" t="inlineStr"/>
      <c r="O401" s="22" t="inlineStr"/>
      <c r="P401" s="22" t="inlineStr">
        <is>
          <t>HUGO RENATO ANACLETO NUNES</t>
        </is>
      </c>
      <c r="Q401" s="22" t="inlineStr">
        <is>
          <t>Diretor (RFB partner)</t>
        </is>
      </c>
      <c r="R401" s="22" t="inlineStr"/>
      <c r="S401" s="22" t="inlineStr"/>
      <c r="T401" s="22" t="inlineStr">
        <is>
          <t>DM = registered partner (RFB QSA); no Apollo match</t>
        </is>
      </c>
      <c r="U401" s="24" t="n">
        <v>850547.08</v>
      </c>
      <c r="V401" s="39" t="inlineStr">
        <is>
          <t>C</t>
        </is>
      </c>
      <c r="W401" s="26" t="inlineStr"/>
      <c r="X401" s="27" t="inlineStr"/>
      <c r="Y401" s="27" t="inlineStr"/>
      <c r="Z401" s="26">
        <f>IF(W401&lt;&gt;"",W401,IFERROR(VLOOKUP(V401,Assumptions!$A$8:$F$12,2,FALSE),0))</f>
        <v/>
      </c>
      <c r="AA401" s="28">
        <f>IF(V401="A",MAX(1,IF(X401&lt;&gt;"",X401,IFERROR(VLOOKUP(V401,Assumptions!$A$8:$F$12,3,FALSE),3))+IF(Y401&lt;&gt;"",Y401,IFERROR(VLOOKUP(V401,Assumptions!$A$8:$F$12,4,FALSE),8))/2-MAX(0,IF(AS401="",0,YEAR(TODAY())-AS401)-IFERROR(VLOOKUP(V401,Assumptions!$A$8:$F$12,5,FALSE),1.5))),IFERROR(VLOOKUP(V401,Assumptions!$A$8:$F$12,5,FALSE),2.5)+IF(X401&lt;&gt;"",X401,IFERROR(VLOOKUP(V401,Assumptions!$A$8:$F$12,3,FALSE),3))+IF(Y401&lt;&gt;"",Y401,IFERROR(VLOOKUP(V401,Assumptions!$A$8:$F$12,4,FALSE),8))/2)</f>
        <v/>
      </c>
      <c r="AB401" s="24">
        <f>U401*Z401/(1+Assumptions!$B$3)^AA401</f>
        <v/>
      </c>
      <c r="AC401" s="27">
        <f>IF(U401=0,"",ROUND(AB401/U401*100,1))</f>
        <v/>
      </c>
      <c r="AD401" s="29">
        <f>AB401*Assumptions!$B$4</f>
        <v/>
      </c>
      <c r="AE401" s="27">
        <f>IF(U401=0,"",ROUND(AD401/U401*100,1))</f>
        <v/>
      </c>
      <c r="AF401" s="29">
        <f>AB401-AD401</f>
        <v/>
      </c>
      <c r="AG401" s="27">
        <f>IF(U401=0,"",ROUND((AB401-AD401)/U401*100,1))</f>
        <v/>
      </c>
      <c r="AH401" s="34" t="inlineStr">
        <is>
          <t>NO TOTALS — list prints none; check page</t>
        </is>
      </c>
      <c r="AI401" s="31" t="inlineStr">
        <is>
          <t>https://ricardobiancardi.com.br/wp-content/uploads/2024/12/Edital-1-relacao-de-credores-pub.-02.12.24-.pdf</t>
        </is>
      </c>
      <c r="AJ401" s="30" t="inlineStr">
        <is>
          <t>p4 r11</t>
        </is>
      </c>
      <c r="AK401" s="30" t="inlineStr">
        <is>
          <t>p4: R$ 850.547,08</t>
        </is>
      </c>
      <c r="AL401" s="30" t="inlineStr">
        <is>
          <t>Debtor list (art. 51)</t>
        </is>
      </c>
      <c r="AM401" s="30" t="inlineStr">
        <is>
          <t>2024-12-02</t>
        </is>
      </c>
      <c r="AN401" s="30" t="inlineStr">
        <is>
          <t>NONE FOUND</t>
        </is>
      </c>
      <c r="AO401" s="32" t="inlineStr">
        <is>
          <t>0041309-42.2014.8.08.0024</t>
        </is>
      </c>
      <c r="AP401" s="32" t="inlineStr">
        <is>
          <t>TJES</t>
        </is>
      </c>
      <c r="AQ401" s="32" t="inlineStr">
        <is>
          <t>Recuperação judicial</t>
        </is>
      </c>
      <c r="AR401" s="32" t="inlineStr">
        <is>
          <t>not in DataJud</t>
        </is>
      </c>
      <c r="AS401" s="32" t="n">
        <v>2014</v>
      </c>
      <c r="AT401" s="32" t="inlineStr">
        <is>
          <t>12y since filing; plan not in our documents; atypical debtor (associação/clube/hospital/produtor rural): admissibility or claim subjection may be contested</t>
        </is>
      </c>
      <c r="AU401" s="32" t="inlineStr"/>
      <c r="AV401" s="32" t="inlineStr">
        <is>
          <t>printed on the list (read twice)</t>
        </is>
      </c>
      <c r="AW401" s="32" t="inlineStr"/>
      <c r="AX401" s="32" t="inlineStr">
        <is>
          <t>VITORIA</t>
        </is>
      </c>
      <c r="AY401" s="32" t="inlineStr">
        <is>
          <t>ES</t>
        </is>
      </c>
      <c r="AZ401" s="32" t="inlineStr">
        <is>
          <t>Distribuição de energia elétrica</t>
        </is>
      </c>
      <c r="BA401" s="32" t="inlineStr">
        <is>
          <t>não ME/EPP</t>
        </is>
      </c>
      <c r="BB401" s="33" t="n">
        <v>893995800</v>
      </c>
      <c r="BC401" s="32" t="inlineStr">
        <is>
          <t>LARGE CORP</t>
        </is>
      </c>
      <c r="BD401" s="32" t="inlineStr">
        <is>
          <t>28152650</t>
        </is>
      </c>
      <c r="BE401" s="32" t="n">
        <v>1</v>
      </c>
      <c r="BF401" s="32" t="inlineStr">
        <is>
          <t>list prints no totals</t>
        </is>
      </c>
    </row>
    <row r="402">
      <c r="A402" s="17" t="inlineStr">
        <is>
          <t>SIEMENS HEALTHCARE DIAGNOSTICOS LTDA.</t>
        </is>
      </c>
      <c r="B402" s="18" t="n">
        <v>217731.21</v>
      </c>
      <c r="C402" s="19" t="inlineStr">
        <is>
          <t>GRUPO DIAGSON</t>
        </is>
      </c>
      <c r="D402" s="20" t="inlineStr">
        <is>
          <t>NEW</t>
        </is>
      </c>
      <c r="E402" s="21" t="inlineStr"/>
      <c r="F402" s="20" t="inlineStr"/>
      <c r="G402" s="21" t="inlineStr"/>
      <c r="H402" s="20" t="inlineStr"/>
      <c r="I402" s="22" t="inlineStr">
        <is>
          <t>ADRIANA SILVA DA COSTA</t>
        </is>
      </c>
      <c r="J402" s="23" t="inlineStr">
        <is>
          <t>Administrador (RFB partner)</t>
        </is>
      </c>
      <c r="K402" s="22" t="inlineStr">
        <is>
          <t>(11) 4585-7350</t>
        </is>
      </c>
      <c r="L402" s="22" t="inlineStr"/>
      <c r="M402" s="22" t="inlineStr"/>
      <c r="N402" s="22" t="inlineStr"/>
      <c r="O402" s="22" t="inlineStr"/>
      <c r="P402" s="22" t="inlineStr">
        <is>
          <t>CARLOS ALBERTO DI LORENZO</t>
        </is>
      </c>
      <c r="Q402" s="22" t="inlineStr">
        <is>
          <t>Administrador (RFB partner)</t>
        </is>
      </c>
      <c r="R402" s="22" t="inlineStr"/>
      <c r="S402" s="22" t="inlineStr"/>
      <c r="T402" s="22" t="inlineStr">
        <is>
          <t>DM = registered partner (RFB QSA); no Apollo match</t>
        </is>
      </c>
      <c r="U402" s="24" t="n">
        <v>217731.21</v>
      </c>
      <c r="V402" s="25" t="inlineStr">
        <is>
          <t>B</t>
        </is>
      </c>
      <c r="W402" s="26" t="inlineStr"/>
      <c r="X402" s="27" t="inlineStr"/>
      <c r="Y402" s="27" t="inlineStr"/>
      <c r="Z402" s="26">
        <f>IF(W402&lt;&gt;"",W402,IFERROR(VLOOKUP(V402,Assumptions!$A$8:$F$12,2,FALSE),0))</f>
        <v/>
      </c>
      <c r="AA402" s="28">
        <f>IF(V402="A",MAX(1,IF(X402&lt;&gt;"",X402,IFERROR(VLOOKUP(V402,Assumptions!$A$8:$F$12,3,FALSE),3))+IF(Y402&lt;&gt;"",Y402,IFERROR(VLOOKUP(V402,Assumptions!$A$8:$F$12,4,FALSE),8))/2-MAX(0,IF(AS402="",0,YEAR(TODAY())-AS402)-IFERROR(VLOOKUP(V402,Assumptions!$A$8:$F$12,5,FALSE),1.5))),IFERROR(VLOOKUP(V402,Assumptions!$A$8:$F$12,5,FALSE),2.5)+IF(X402&lt;&gt;"",X402,IFERROR(VLOOKUP(V402,Assumptions!$A$8:$F$12,3,FALSE),3))+IF(Y402&lt;&gt;"",Y402,IFERROR(VLOOKUP(V402,Assumptions!$A$8:$F$12,4,FALSE),8))/2)</f>
        <v/>
      </c>
      <c r="AB402" s="24">
        <f>U402*Z402/(1+Assumptions!$B$3)^AA402</f>
        <v/>
      </c>
      <c r="AC402" s="27">
        <f>IF(U402=0,"",ROUND(AB402/U402*100,1))</f>
        <v/>
      </c>
      <c r="AD402" s="29">
        <f>AB402*Assumptions!$B$4</f>
        <v/>
      </c>
      <c r="AE402" s="27">
        <f>IF(U402=0,"",ROUND(AD402/U402*100,1))</f>
        <v/>
      </c>
      <c r="AF402" s="29">
        <f>AB402-AD402</f>
        <v/>
      </c>
      <c r="AG402" s="27">
        <f>IF(U402=0,"",ROUND((AB402-AD402)/U402*100,1))</f>
        <v/>
      </c>
      <c r="AH402" s="35" t="inlineStr">
        <is>
          <t>PARTIAL — class III reconciled, other classes not</t>
        </is>
      </c>
      <c r="AI402" s="31" t="inlineStr">
        <is>
          <t>https://lrflideres.com.br/wp-content/plugins/download-attachments/includes/download.php?id=7418</t>
        </is>
      </c>
      <c r="AJ402" s="30" t="inlineStr">
        <is>
          <t>p2 r82</t>
        </is>
      </c>
      <c r="AK402" s="30" t="inlineStr">
        <is>
          <t>p2: R$ 217.731,21</t>
        </is>
      </c>
      <c r="AL402" s="30" t="inlineStr">
        <is>
          <t>Debtor list (art. 51)</t>
        </is>
      </c>
      <c r="AM402" s="30" t="inlineStr">
        <is>
          <t>2026-07-28</t>
        </is>
      </c>
      <c r="AN402" s="30" t="inlineStr">
        <is>
          <t>NONE FOUND</t>
        </is>
      </c>
      <c r="AO402" s="32" t="inlineStr">
        <is>
          <t>0822279-56.2026.8.15.2001</t>
        </is>
      </c>
      <c r="AP402" s="32" t="inlineStr">
        <is>
          <t>TJPB</t>
        </is>
      </c>
      <c r="AQ402" s="32" t="inlineStr">
        <is>
          <t>Recuperação judicial</t>
        </is>
      </c>
      <c r="AR402" s="32" t="inlineStr">
        <is>
          <t>DataJud: no closure/falência movement</t>
        </is>
      </c>
      <c r="AS402" s="32" t="n">
        <v>2026</v>
      </c>
      <c r="AT402" s="32" t="inlineStr">
        <is>
          <t>live case, no plan document yet</t>
        </is>
      </c>
      <c r="AU402" s="32" t="inlineStr">
        <is>
          <t>00.149.703/0001-86</t>
        </is>
      </c>
      <c r="AV402" s="32" t="inlineStr">
        <is>
          <t>printed on the list (read twice)</t>
        </is>
      </c>
      <c r="AW402" s="32" t="inlineStr"/>
      <c r="AX402" s="32" t="inlineStr">
        <is>
          <t>SAO PAULO</t>
        </is>
      </c>
      <c r="AY402" s="32" t="inlineStr">
        <is>
          <t>SP</t>
        </is>
      </c>
      <c r="AZ402" s="32" t="inlineStr">
        <is>
          <t>Comércio atacadista de instrumentos e materiais para uso médico, cirúrgico, hospitalar e de laboratórios</t>
        </is>
      </c>
      <c r="BA402" s="32" t="inlineStr">
        <is>
          <t>não ME/EPP</t>
        </is>
      </c>
      <c r="BB402" s="33" t="n">
        <v>309332500</v>
      </c>
      <c r="BC402" s="32" t="inlineStr">
        <is>
          <t>MID-MARKET</t>
        </is>
      </c>
      <c r="BD402" s="32" t="inlineStr">
        <is>
          <t>01449930</t>
        </is>
      </c>
      <c r="BE402" s="32" t="n">
        <v>1</v>
      </c>
      <c r="BF402" s="32" t="inlineStr">
        <is>
          <t>class III reconciled (doc partial)</t>
        </is>
      </c>
    </row>
    <row r="403">
      <c r="A403" s="17" t="inlineStr">
        <is>
          <t>POLYBRAS - POLIMEROS BRASILEIROS LTDA</t>
        </is>
      </c>
      <c r="B403" s="18" t="n">
        <v>217457.66</v>
      </c>
      <c r="C403" s="19" t="inlineStr">
        <is>
          <t>GRUPO IMPLASVERDE</t>
        </is>
      </c>
      <c r="D403" s="20" t="inlineStr">
        <is>
          <t>NEW</t>
        </is>
      </c>
      <c r="E403" s="21" t="inlineStr"/>
      <c r="F403" s="20" t="inlineStr"/>
      <c r="G403" s="21" t="inlineStr"/>
      <c r="H403" s="20" t="inlineStr"/>
      <c r="I403" s="22" t="inlineStr">
        <is>
          <t>KENIA KELLY MEDEIROS BORGES DE ANDRADE</t>
        </is>
      </c>
      <c r="J403" s="23" t="inlineStr">
        <is>
          <t>Sócio-Administrador (RFB partner)</t>
        </is>
      </c>
      <c r="K403" s="22" t="inlineStr">
        <is>
          <t>(84) 9614-2641</t>
        </is>
      </c>
      <c r="L403" s="22" t="inlineStr"/>
      <c r="M403" s="22" t="inlineStr"/>
      <c r="N403" s="22" t="inlineStr"/>
      <c r="O403" s="22" t="inlineStr"/>
      <c r="P403" s="22" t="inlineStr"/>
      <c r="Q403" s="22" t="inlineStr"/>
      <c r="R403" s="22" t="inlineStr"/>
      <c r="S403" s="22" t="inlineStr"/>
      <c r="T403" s="22" t="inlineStr">
        <is>
          <t>DM = registered partner (RFB QSA); no Apollo match</t>
        </is>
      </c>
      <c r="U403" s="24" t="n">
        <v>217457.66</v>
      </c>
      <c r="V403" s="25" t="inlineStr">
        <is>
          <t>B</t>
        </is>
      </c>
      <c r="W403" s="26" t="inlineStr"/>
      <c r="X403" s="27" t="inlineStr"/>
      <c r="Y403" s="27" t="inlineStr"/>
      <c r="Z403" s="26">
        <f>IF(W403&lt;&gt;"",W403,IFERROR(VLOOKUP(V403,Assumptions!$A$8:$F$12,2,FALSE),0))</f>
        <v/>
      </c>
      <c r="AA403" s="28">
        <f>IF(V403="A",MAX(1,IF(X403&lt;&gt;"",X403,IFERROR(VLOOKUP(V403,Assumptions!$A$8:$F$12,3,FALSE),3))+IF(Y403&lt;&gt;"",Y403,IFERROR(VLOOKUP(V403,Assumptions!$A$8:$F$12,4,FALSE),8))/2-MAX(0,IF(AS403="",0,YEAR(TODAY())-AS403)-IFERROR(VLOOKUP(V403,Assumptions!$A$8:$F$12,5,FALSE),1.5))),IFERROR(VLOOKUP(V403,Assumptions!$A$8:$F$12,5,FALSE),2.5)+IF(X403&lt;&gt;"",X403,IFERROR(VLOOKUP(V403,Assumptions!$A$8:$F$12,3,FALSE),3))+IF(Y403&lt;&gt;"",Y403,IFERROR(VLOOKUP(V403,Assumptions!$A$8:$F$12,4,FALSE),8))/2)</f>
        <v/>
      </c>
      <c r="AB403" s="24">
        <f>U403*Z403/(1+Assumptions!$B$3)^AA403</f>
        <v/>
      </c>
      <c r="AC403" s="27">
        <f>IF(U403=0,"",ROUND(AB403/U403*100,1))</f>
        <v/>
      </c>
      <c r="AD403" s="29">
        <f>AB403*Assumptions!$B$4</f>
        <v/>
      </c>
      <c r="AE403" s="27">
        <f>IF(U403=0,"",ROUND(AD403/U403*100,1))</f>
        <v/>
      </c>
      <c r="AF403" s="29">
        <f>AB403-AD403</f>
        <v/>
      </c>
      <c r="AG403" s="27">
        <f>IF(U403=0,"",ROUND((AB403-AD403)/U403*100,1))</f>
        <v/>
      </c>
      <c r="AH403" s="30" t="inlineStr">
        <is>
          <t>OK — totals reconciled</t>
        </is>
      </c>
      <c r="AI403" s="31" t="inlineStr">
        <is>
          <t>http://recuperacaojudicial.squarespace.com/s/LISTA-DE-CREDORES-CONSOLIDADA-ATE-04102024.pdf</t>
        </is>
      </c>
      <c r="AJ403" s="30" t="inlineStr">
        <is>
          <t>p6 r18</t>
        </is>
      </c>
      <c r="AK403" s="30" t="inlineStr">
        <is>
          <t>p6: R$ 217.457,66</t>
        </is>
      </c>
      <c r="AL403" s="30" t="inlineStr">
        <is>
          <t>AJ list (art. 7 §2)</t>
        </is>
      </c>
      <c r="AM403" s="30" t="inlineStr">
        <is>
          <t>2024-10-04</t>
        </is>
      </c>
      <c r="AN403" s="30" t="inlineStr">
        <is>
          <t>NONE FOUND</t>
        </is>
      </c>
      <c r="AO403" s="32" t="inlineStr">
        <is>
          <t>0800778-16.2023.8.20.5104</t>
        </is>
      </c>
      <c r="AP403" s="32" t="inlineStr">
        <is>
          <t>TJRN</t>
        </is>
      </c>
      <c r="AQ403" s="32" t="inlineStr">
        <is>
          <t>Recuperação judicial</t>
        </is>
      </c>
      <c r="AR403" s="32" t="inlineStr">
        <is>
          <t>DataJud: no closure/falência movement</t>
        </is>
      </c>
      <c r="AS403" s="32" t="n">
        <v>2023</v>
      </c>
      <c r="AT403" s="32" t="inlineStr">
        <is>
          <t>live case, no plan document yet</t>
        </is>
      </c>
      <c r="AU403" s="32" t="inlineStr"/>
      <c r="AV403" s="32" t="inlineStr">
        <is>
          <t>printed on the list (read twice)</t>
        </is>
      </c>
      <c r="AW403" s="32" t="inlineStr"/>
      <c r="AX403" s="32" t="inlineStr">
        <is>
          <t>MOSSORO</t>
        </is>
      </c>
      <c r="AY403" s="32" t="inlineStr">
        <is>
          <t>RN</t>
        </is>
      </c>
      <c r="AZ403" s="32" t="inlineStr">
        <is>
          <t>Recuperação de materiais plásticos</t>
        </is>
      </c>
      <c r="BA403" s="32" t="inlineStr">
        <is>
          <t>EMPRESA DE PEQUENO PORTE</t>
        </is>
      </c>
      <c r="BB403" s="33" t="n">
        <v>104500</v>
      </c>
      <c r="BC403" s="32" t="inlineStr">
        <is>
          <t>SMALL</t>
        </is>
      </c>
      <c r="BD403" s="32" t="inlineStr">
        <is>
          <t>17799898</t>
        </is>
      </c>
      <c r="BE403" s="32" t="n">
        <v>1</v>
      </c>
      <c r="BF403" s="32" t="inlineStr"/>
    </row>
    <row r="404">
      <c r="A404" s="17" t="inlineStr">
        <is>
          <t>LABORATORIO GLOBO SA</t>
        </is>
      </c>
      <c r="B404" s="18" t="n">
        <v>216418.96</v>
      </c>
      <c r="C404" s="19" t="inlineStr">
        <is>
          <t>GRUPO DP4</t>
        </is>
      </c>
      <c r="D404" s="20" t="inlineStr">
        <is>
          <t>NEW</t>
        </is>
      </c>
      <c r="E404" s="21" t="inlineStr"/>
      <c r="F404" s="20" t="inlineStr"/>
      <c r="G404" s="21" t="inlineStr"/>
      <c r="H404" s="20" t="inlineStr"/>
      <c r="I404" s="22" t="inlineStr">
        <is>
          <t>Nicholas Matte</t>
        </is>
      </c>
      <c r="J404" s="22" t="inlineStr">
        <is>
          <t>Chief Financial Officer</t>
        </is>
      </c>
      <c r="K404" s="22" t="inlineStr">
        <is>
          <t>(31) 3623-3500</t>
        </is>
      </c>
      <c r="L404" s="22" t="inlineStr">
        <is>
          <t>(31) 3623-3545</t>
        </is>
      </c>
      <c r="M404" s="22" t="inlineStr"/>
      <c r="N404" s="22" t="inlineStr">
        <is>
          <t>nicholas.matte@globopharma.com.br</t>
        </is>
      </c>
      <c r="O404" s="22" t="inlineStr">
        <is>
          <t>verified</t>
        </is>
      </c>
      <c r="P404" s="22" t="inlineStr">
        <is>
          <t>Robson Msc</t>
        </is>
      </c>
      <c r="Q404" s="22" t="inlineStr">
        <is>
          <t>Controlling Manager</t>
        </is>
      </c>
      <c r="R404" s="22" t="inlineStr"/>
      <c r="S404" s="22" t="inlineStr">
        <is>
          <t>robson.benicio@globopharma.com.br</t>
        </is>
      </c>
      <c r="T404" s="22" t="inlineStr">
        <is>
          <t>DM: DM (verified email); BACKUP: backup (verified email)</t>
        </is>
      </c>
      <c r="U404" s="24" t="n">
        <v>216418.96</v>
      </c>
      <c r="V404" s="25" t="inlineStr">
        <is>
          <t>B</t>
        </is>
      </c>
      <c r="W404" s="26" t="inlineStr"/>
      <c r="X404" s="27" t="inlineStr"/>
      <c r="Y404" s="27" t="inlineStr"/>
      <c r="Z404" s="26">
        <f>IF(W404&lt;&gt;"",W404,IFERROR(VLOOKUP(V404,Assumptions!$A$8:$F$12,2,FALSE),0))</f>
        <v/>
      </c>
      <c r="AA404" s="28">
        <f>IF(V404="A",MAX(1,IF(X404&lt;&gt;"",X404,IFERROR(VLOOKUP(V404,Assumptions!$A$8:$F$12,3,FALSE),3))+IF(Y404&lt;&gt;"",Y404,IFERROR(VLOOKUP(V404,Assumptions!$A$8:$F$12,4,FALSE),8))/2-MAX(0,IF(AS404="",0,YEAR(TODAY())-AS404)-IFERROR(VLOOKUP(V404,Assumptions!$A$8:$F$12,5,FALSE),1.5))),IFERROR(VLOOKUP(V404,Assumptions!$A$8:$F$12,5,FALSE),2.5)+IF(X404&lt;&gt;"",X404,IFERROR(VLOOKUP(V404,Assumptions!$A$8:$F$12,3,FALSE),3))+IF(Y404&lt;&gt;"",Y404,IFERROR(VLOOKUP(V404,Assumptions!$A$8:$F$12,4,FALSE),8))/2)</f>
        <v/>
      </c>
      <c r="AB404" s="24">
        <f>U404*Z404/(1+Assumptions!$B$3)^AA404</f>
        <v/>
      </c>
      <c r="AC404" s="27">
        <f>IF(U404=0,"",ROUND(AB404/U404*100,1))</f>
        <v/>
      </c>
      <c r="AD404" s="29">
        <f>AB404*Assumptions!$B$4</f>
        <v/>
      </c>
      <c r="AE404" s="27">
        <f>IF(U404=0,"",ROUND(AD404/U404*100,1))</f>
        <v/>
      </c>
      <c r="AF404" s="29">
        <f>AB404-AD404</f>
        <v/>
      </c>
      <c r="AG404" s="27">
        <f>IF(U404=0,"",ROUND((AB404-AD404)/U404*100,1))</f>
        <v/>
      </c>
      <c r="AH404" s="35" t="inlineStr">
        <is>
          <t>PARTIAL — class III reconciled, other classes not</t>
        </is>
      </c>
      <c r="AI404" s="31" t="inlineStr">
        <is>
          <t>https://marquesadmjudicial.com.br/sgc/download.php?file=files/processo_documento/processo_documento15293208032024_1_.pdf&amp;nome=Relação Nominal de Credores da AJ-Sintética</t>
        </is>
      </c>
      <c r="AJ404" s="30" t="inlineStr">
        <is>
          <t>p27 r11</t>
        </is>
      </c>
      <c r="AK404" s="30" t="inlineStr">
        <is>
          <t>p27: R$ 216.418,96</t>
        </is>
      </c>
      <c r="AL404" s="30" t="inlineStr">
        <is>
          <t>AJ list (art. 7 §2)</t>
        </is>
      </c>
      <c r="AM404" s="30" t="inlineStr">
        <is>
          <t>2023-03-02</t>
        </is>
      </c>
      <c r="AN404" s="30" t="inlineStr">
        <is>
          <t>NONE FOUND</t>
        </is>
      </c>
      <c r="AO404" s="32" t="inlineStr">
        <is>
          <t>0005010-98.2023.8.16.0001</t>
        </is>
      </c>
      <c r="AP404" s="32" t="inlineStr">
        <is>
          <t>TJPR</t>
        </is>
      </c>
      <c r="AQ404" s="32" t="inlineStr">
        <is>
          <t>Recuperação judicial</t>
        </is>
      </c>
      <c r="AR404" s="32" t="inlineStr">
        <is>
          <t>DataJud: no closure/falência movement</t>
        </is>
      </c>
      <c r="AS404" s="32" t="n">
        <v>2023</v>
      </c>
      <c r="AT404" s="32" t="inlineStr">
        <is>
          <t>live case, no plan document yet</t>
        </is>
      </c>
      <c r="AU404" s="32" t="inlineStr"/>
      <c r="AV404" s="32" t="inlineStr">
        <is>
          <t>printed on the list (read twice)</t>
        </is>
      </c>
      <c r="AW404" s="32" t="inlineStr"/>
      <c r="AX404" s="32" t="inlineStr">
        <is>
          <t>SAO JOSE DA LAPA</t>
        </is>
      </c>
      <c r="AY404" s="32" t="inlineStr">
        <is>
          <t>MG</t>
        </is>
      </c>
      <c r="AZ404" s="32" t="inlineStr">
        <is>
          <t>Fabricação de medicamentos alopáticos para uso humano</t>
        </is>
      </c>
      <c r="BA404" s="32" t="inlineStr">
        <is>
          <t>não ME/EPP</t>
        </is>
      </c>
      <c r="BB404" s="33" t="n">
        <v>88316060</v>
      </c>
      <c r="BC404" s="32" t="inlineStr">
        <is>
          <t>MID-MARKET</t>
        </is>
      </c>
      <c r="BD404" s="32" t="inlineStr">
        <is>
          <t>17115437</t>
        </is>
      </c>
      <c r="BE404" s="32" t="n">
        <v>1</v>
      </c>
      <c r="BF404" s="32" t="inlineStr">
        <is>
          <t>class III reconciled (doc partial)</t>
        </is>
      </c>
    </row>
    <row r="405">
      <c r="A405" s="17" t="inlineStr">
        <is>
          <t>UZ3 INDUSTRIA TEXTIL LTDA</t>
        </is>
      </c>
      <c r="B405" s="18" t="n">
        <v>215699.34</v>
      </c>
      <c r="C405" s="19" t="inlineStr">
        <is>
          <t>GRUPO CATTAN</t>
        </is>
      </c>
      <c r="D405" s="20" t="inlineStr">
        <is>
          <t>NEW</t>
        </is>
      </c>
      <c r="E405" s="21" t="inlineStr"/>
      <c r="F405" s="20" t="inlineStr"/>
      <c r="G405" s="21" t="inlineStr"/>
      <c r="H405" s="20" t="inlineStr"/>
      <c r="I405" s="22" t="inlineStr">
        <is>
          <t>DILNEI HEINZEN</t>
        </is>
      </c>
      <c r="J405" s="23" t="inlineStr">
        <is>
          <t>Sócio-Administrador (RFB partner)</t>
        </is>
      </c>
      <c r="K405" s="22" t="inlineStr">
        <is>
          <t>(47) 2123-2500</t>
        </is>
      </c>
      <c r="L405" s="22" t="inlineStr">
        <is>
          <t>(47) 2123-2501</t>
        </is>
      </c>
      <c r="M405" s="22" t="inlineStr"/>
      <c r="N405" s="22" t="inlineStr"/>
      <c r="O405" s="22" t="inlineStr"/>
      <c r="P405" s="22" t="inlineStr"/>
      <c r="Q405" s="22" t="inlineStr"/>
      <c r="R405" s="22" t="inlineStr"/>
      <c r="S405" s="22" t="inlineStr"/>
      <c r="T405" s="22" t="inlineStr">
        <is>
          <t>DM = registered partner (RFB QSA); no Apollo match</t>
        </is>
      </c>
      <c r="U405" s="24" t="n">
        <v>215699.34</v>
      </c>
      <c r="V405" s="25" t="inlineStr">
        <is>
          <t>B</t>
        </is>
      </c>
      <c r="W405" s="26" t="inlineStr"/>
      <c r="X405" s="27" t="inlineStr"/>
      <c r="Y405" s="27" t="inlineStr"/>
      <c r="Z405" s="26">
        <f>IF(W405&lt;&gt;"",W405,IFERROR(VLOOKUP(V405,Assumptions!$A$8:$F$12,2,FALSE),0))</f>
        <v/>
      </c>
      <c r="AA405" s="28">
        <f>IF(V405="A",MAX(1,IF(X405&lt;&gt;"",X405,IFERROR(VLOOKUP(V405,Assumptions!$A$8:$F$12,3,FALSE),3))+IF(Y405&lt;&gt;"",Y405,IFERROR(VLOOKUP(V405,Assumptions!$A$8:$F$12,4,FALSE),8))/2-MAX(0,IF(AS405="",0,YEAR(TODAY())-AS405)-IFERROR(VLOOKUP(V405,Assumptions!$A$8:$F$12,5,FALSE),1.5))),IFERROR(VLOOKUP(V405,Assumptions!$A$8:$F$12,5,FALSE),2.5)+IF(X405&lt;&gt;"",X405,IFERROR(VLOOKUP(V405,Assumptions!$A$8:$F$12,3,FALSE),3))+IF(Y405&lt;&gt;"",Y405,IFERROR(VLOOKUP(V405,Assumptions!$A$8:$F$12,4,FALSE),8))/2)</f>
        <v/>
      </c>
      <c r="AB405" s="24">
        <f>U405*Z405/(1+Assumptions!$B$3)^AA405</f>
        <v/>
      </c>
      <c r="AC405" s="27">
        <f>IF(U405=0,"",ROUND(AB405/U405*100,1))</f>
        <v/>
      </c>
      <c r="AD405" s="29">
        <f>AB405*Assumptions!$B$4</f>
        <v/>
      </c>
      <c r="AE405" s="27">
        <f>IF(U405=0,"",ROUND(AD405/U405*100,1))</f>
        <v/>
      </c>
      <c r="AF405" s="29">
        <f>AB405-AD405</f>
        <v/>
      </c>
      <c r="AG405" s="27">
        <f>IF(U405=0,"",ROUND((AB405-AD405)/U405*100,1))</f>
        <v/>
      </c>
      <c r="AH405" s="35" t="inlineStr">
        <is>
          <t>PARTIAL — class III reconciled, other classes not</t>
        </is>
      </c>
      <c r="AI405" s="31" t="inlineStr">
        <is>
          <t>https://lrflideres.com.br/wp-content/plugins/download-attachments/includes/download.php?id=4023</t>
        </is>
      </c>
      <c r="AJ405" s="30" t="inlineStr">
        <is>
          <t>p4 r94; p7 r126; p9 r92</t>
        </is>
      </c>
      <c r="AK405" s="30" t="inlineStr">
        <is>
          <t>p4: R$ 3.985,80; p7: R$ 179.097,50; p9: R$ 32.616,04</t>
        </is>
      </c>
      <c r="AL405" s="30" t="inlineStr">
        <is>
          <t>Debtor list (art. 51)</t>
        </is>
      </c>
      <c r="AM405" s="30" t="inlineStr"/>
      <c r="AN405" s="30" t="inlineStr">
        <is>
          <t>NONE FOUND</t>
        </is>
      </c>
      <c r="AO405" s="32" t="inlineStr">
        <is>
          <t>0002484-82.2022.8.17.2001</t>
        </is>
      </c>
      <c r="AP405" s="32" t="inlineStr">
        <is>
          <t>TJPE</t>
        </is>
      </c>
      <c r="AQ405" s="32" t="inlineStr">
        <is>
          <t>Recuperação judicial</t>
        </is>
      </c>
      <c r="AR405" s="32" t="inlineStr">
        <is>
          <t>DataJud: no closure/falência movement</t>
        </is>
      </c>
      <c r="AS405" s="32" t="n">
        <v>2022</v>
      </c>
      <c r="AT405" s="32" t="inlineStr">
        <is>
          <t>live case, no plan document yet</t>
        </is>
      </c>
      <c r="AU405" s="32" t="inlineStr"/>
      <c r="AV405" s="32" t="inlineStr">
        <is>
          <t>printed on the list (read twice)</t>
        </is>
      </c>
      <c r="AW405" s="32" t="inlineStr"/>
      <c r="AX405" s="32" t="inlineStr">
        <is>
          <t>INDAIAL</t>
        </is>
      </c>
      <c r="AY405" s="32" t="inlineStr">
        <is>
          <t>SC</t>
        </is>
      </c>
      <c r="AZ405" s="32" t="inlineStr">
        <is>
          <t>Confecção de peças de vestuário, exceto roupas íntimas e as confeccionadas sob medida</t>
        </is>
      </c>
      <c r="BA405" s="32" t="inlineStr">
        <is>
          <t>não ME/EPP</t>
        </is>
      </c>
      <c r="BB405" s="33" t="n">
        <v>10000000</v>
      </c>
      <c r="BC405" s="32" t="inlineStr">
        <is>
          <t>MID-MARKET</t>
        </is>
      </c>
      <c r="BD405" s="32" t="inlineStr">
        <is>
          <t>07206989</t>
        </is>
      </c>
      <c r="BE405" s="32" t="n">
        <v>3</v>
      </c>
      <c r="BF405" s="32" t="inlineStr">
        <is>
          <t>class III reconciled (doc partial)</t>
        </is>
      </c>
    </row>
    <row r="406">
      <c r="A406" s="17" t="inlineStr">
        <is>
          <t>RIOPAR PARTICIPACOES S.A.</t>
        </is>
      </c>
      <c r="B406" s="18" t="n">
        <v>215452.06</v>
      </c>
      <c r="C406" s="19" t="inlineStr">
        <is>
          <t>REAL DISTRIBUIDORA ÚNICA RIO COMÉRCIO DE REFRIGERAÇÃO LTDA.</t>
        </is>
      </c>
      <c r="D406" s="20" t="inlineStr">
        <is>
          <t>NEW</t>
        </is>
      </c>
      <c r="E406" s="21" t="inlineStr"/>
      <c r="F406" s="20" t="inlineStr"/>
      <c r="G406" s="21" t="inlineStr"/>
      <c r="H406" s="20" t="inlineStr"/>
      <c r="I406" s="22" t="inlineStr">
        <is>
          <t>Daniele Massoto</t>
        </is>
      </c>
      <c r="J406" s="22" t="inlineStr">
        <is>
          <t>Legal Manager</t>
        </is>
      </c>
      <c r="K406" s="22" t="inlineStr">
        <is>
          <t>(21) 3013-1415</t>
        </is>
      </c>
      <c r="L406" s="22" t="inlineStr"/>
      <c r="M406" s="22" t="inlineStr"/>
      <c r="N406" s="22" t="inlineStr"/>
      <c r="O406" s="22" t="inlineStr"/>
      <c r="P406" s="22" t="inlineStr">
        <is>
          <t>ARMANDO GALHARDO NUNES GUERRA JUNIOR</t>
        </is>
      </c>
      <c r="Q406" s="22" t="inlineStr">
        <is>
          <t>Presidente (RFB partner)</t>
        </is>
      </c>
      <c r="R406" s="22" t="inlineStr"/>
      <c r="S406" s="22" t="inlineStr"/>
      <c r="T406" s="22" t="inlineStr">
        <is>
          <t>DM: DM no email; no work email in Apollo for DM</t>
        </is>
      </c>
      <c r="U406" s="24" t="n">
        <v>215452.06</v>
      </c>
      <c r="V406" s="25" t="inlineStr">
        <is>
          <t>B</t>
        </is>
      </c>
      <c r="W406" s="26" t="inlineStr"/>
      <c r="X406" s="27" t="inlineStr"/>
      <c r="Y406" s="27" t="inlineStr"/>
      <c r="Z406" s="26">
        <f>IF(W406&lt;&gt;"",W406,IFERROR(VLOOKUP(V406,Assumptions!$A$8:$F$12,2,FALSE),0))</f>
        <v/>
      </c>
      <c r="AA406" s="28">
        <f>IF(V406="A",MAX(1,IF(X406&lt;&gt;"",X406,IFERROR(VLOOKUP(V406,Assumptions!$A$8:$F$12,3,FALSE),3))+IF(Y406&lt;&gt;"",Y406,IFERROR(VLOOKUP(V406,Assumptions!$A$8:$F$12,4,FALSE),8))/2-MAX(0,IF(AS406="",0,YEAR(TODAY())-AS406)-IFERROR(VLOOKUP(V406,Assumptions!$A$8:$F$12,5,FALSE),1.5))),IFERROR(VLOOKUP(V406,Assumptions!$A$8:$F$12,5,FALSE),2.5)+IF(X406&lt;&gt;"",X406,IFERROR(VLOOKUP(V406,Assumptions!$A$8:$F$12,3,FALSE),3))+IF(Y406&lt;&gt;"",Y406,IFERROR(VLOOKUP(V406,Assumptions!$A$8:$F$12,4,FALSE),8))/2)</f>
        <v/>
      </c>
      <c r="AB406" s="24">
        <f>U406*Z406/(1+Assumptions!$B$3)^AA406</f>
        <v/>
      </c>
      <c r="AC406" s="27">
        <f>IF(U406=0,"",ROUND(AB406/U406*100,1))</f>
        <v/>
      </c>
      <c r="AD406" s="29">
        <f>AB406*Assumptions!$B$4</f>
        <v/>
      </c>
      <c r="AE406" s="27">
        <f>IF(U406=0,"",ROUND(AD406/U406*100,1))</f>
        <v/>
      </c>
      <c r="AF406" s="29">
        <f>AB406-AD406</f>
        <v/>
      </c>
      <c r="AG406" s="27">
        <f>IF(U406=0,"",ROUND((AB406-AD406)/U406*100,1))</f>
        <v/>
      </c>
      <c r="AH406" s="30" t="inlineStr">
        <is>
          <t>OK — totals reconciled</t>
        </is>
      </c>
      <c r="AI406" s="31" t="inlineStr">
        <is>
          <t>https://inova-aj.com.br/wp-content/uploads/2026/08/1a-Relacao-de-Credores-Real.pdf</t>
        </is>
      </c>
      <c r="AJ406" s="30" t="inlineStr">
        <is>
          <t>p1 r48</t>
        </is>
      </c>
      <c r="AK406" s="30" t="inlineStr">
        <is>
          <t>p1: R$ 215.452,06</t>
        </is>
      </c>
      <c r="AL406" s="30" t="inlineStr">
        <is>
          <t>AJ list (art. 7 §2)</t>
        </is>
      </c>
      <c r="AM406" s="30" t="inlineStr">
        <is>
          <t>2023-06-05</t>
        </is>
      </c>
      <c r="AN406" s="30" t="inlineStr">
        <is>
          <t>NONE FOUND</t>
        </is>
      </c>
      <c r="AO406" s="32" t="inlineStr">
        <is>
          <t>0873061-47.2023.8.19.0001</t>
        </is>
      </c>
      <c r="AP406" s="32" t="inlineStr">
        <is>
          <t>TJRJ</t>
        </is>
      </c>
      <c r="AQ406" s="32" t="inlineStr">
        <is>
          <t>Recuperação judicial</t>
        </is>
      </c>
      <c r="AR406" s="32" t="inlineStr">
        <is>
          <t>not in DataJud</t>
        </is>
      </c>
      <c r="AS406" s="32" t="n">
        <v>2023</v>
      </c>
      <c r="AT406" s="32" t="inlineStr">
        <is>
          <t>live case, no plan document yet; case no. from the portal record, not printed on the list</t>
        </is>
      </c>
      <c r="AU406" s="32" t="inlineStr"/>
      <c r="AV406" s="32" t="inlineStr">
        <is>
          <t>printed on the list (read twice)</t>
        </is>
      </c>
      <c r="AW406" s="32" t="inlineStr"/>
      <c r="AX406" s="32" t="inlineStr">
        <is>
          <t>RIO DE JANEIRO</t>
        </is>
      </c>
      <c r="AY406" s="32" t="inlineStr">
        <is>
          <t>RJ</t>
        </is>
      </c>
      <c r="AZ406" s="32" t="inlineStr">
        <is>
          <t>Outras sociedades de participação, exceto holdings</t>
        </is>
      </c>
      <c r="BA406" s="32" t="inlineStr">
        <is>
          <t>não ME/EPP</t>
        </is>
      </c>
      <c r="BB406" s="33" t="n">
        <v>317671.9</v>
      </c>
      <c r="BC406" s="32" t="inlineStr">
        <is>
          <t>MID-MARKET</t>
        </is>
      </c>
      <c r="BD406" s="32" t="inlineStr">
        <is>
          <t>16727386</t>
        </is>
      </c>
      <c r="BE406" s="32" t="n">
        <v>1</v>
      </c>
      <c r="BF406" s="32" t="inlineStr">
        <is>
          <t>ALT_VALUE:R$156.656,93</t>
        </is>
      </c>
    </row>
    <row r="407">
      <c r="A407" s="17" t="inlineStr">
        <is>
          <t>TUBOS TIGRE-ADS DO BRASIL LIMITADA</t>
        </is>
      </c>
      <c r="B407" s="18" t="n">
        <v>840995.9399999999</v>
      </c>
      <c r="C407" s="19" t="inlineStr">
        <is>
          <t>CONSTRUTORA ANDRADE GUEDES LTDA</t>
        </is>
      </c>
      <c r="D407" s="20" t="inlineStr">
        <is>
          <t>NEW</t>
        </is>
      </c>
      <c r="E407" s="21" t="inlineStr"/>
      <c r="F407" s="20" t="inlineStr"/>
      <c r="G407" s="21" t="inlineStr"/>
      <c r="H407" s="20" t="inlineStr"/>
      <c r="I407" s="22" t="inlineStr">
        <is>
          <t>EDUARDO POZZANI REIS</t>
        </is>
      </c>
      <c r="J407" s="23" t="inlineStr">
        <is>
          <t>Administrador (RFB partner)</t>
        </is>
      </c>
      <c r="K407" s="22" t="inlineStr">
        <is>
          <t>(19) 8342-0006</t>
        </is>
      </c>
      <c r="L407" s="22" t="inlineStr"/>
      <c r="M407" s="22" t="inlineStr"/>
      <c r="N407" s="22" t="inlineStr"/>
      <c r="O407" s="22" t="inlineStr"/>
      <c r="P407" s="22" t="inlineStr">
        <is>
          <t>GABRIEL FIGUEIREDO NETO</t>
        </is>
      </c>
      <c r="Q407" s="22" t="inlineStr">
        <is>
          <t>Administrador (RFB partner)</t>
        </is>
      </c>
      <c r="R407" s="22" t="inlineStr"/>
      <c r="S407" s="22" t="inlineStr"/>
      <c r="T407" s="22" t="inlineStr">
        <is>
          <t>DM = registered partner (RFB QSA); no Apollo match</t>
        </is>
      </c>
      <c r="U407" s="24" t="n">
        <v>840995.9399999999</v>
      </c>
      <c r="V407" s="39" t="inlineStr">
        <is>
          <t>C</t>
        </is>
      </c>
      <c r="W407" s="26" t="inlineStr"/>
      <c r="X407" s="27" t="inlineStr"/>
      <c r="Y407" s="27" t="inlineStr"/>
      <c r="Z407" s="26">
        <f>IF(W407&lt;&gt;"",W407,IFERROR(VLOOKUP(V407,Assumptions!$A$8:$F$12,2,FALSE),0))</f>
        <v/>
      </c>
      <c r="AA407" s="28">
        <f>IF(V407="A",MAX(1,IF(X407&lt;&gt;"",X407,IFERROR(VLOOKUP(V407,Assumptions!$A$8:$F$12,3,FALSE),3))+IF(Y407&lt;&gt;"",Y407,IFERROR(VLOOKUP(V407,Assumptions!$A$8:$F$12,4,FALSE),8))/2-MAX(0,IF(AS407="",0,YEAR(TODAY())-AS407)-IFERROR(VLOOKUP(V407,Assumptions!$A$8:$F$12,5,FALSE),1.5))),IFERROR(VLOOKUP(V407,Assumptions!$A$8:$F$12,5,FALSE),2.5)+IF(X407&lt;&gt;"",X407,IFERROR(VLOOKUP(V407,Assumptions!$A$8:$F$12,3,FALSE),3))+IF(Y407&lt;&gt;"",Y407,IFERROR(VLOOKUP(V407,Assumptions!$A$8:$F$12,4,FALSE),8))/2)</f>
        <v/>
      </c>
      <c r="AB407" s="24">
        <f>U407*Z407/(1+Assumptions!$B$3)^AA407</f>
        <v/>
      </c>
      <c r="AC407" s="27">
        <f>IF(U407=0,"",ROUND(AB407/U407*100,1))</f>
        <v/>
      </c>
      <c r="AD407" s="29">
        <f>AB407*Assumptions!$B$4</f>
        <v/>
      </c>
      <c r="AE407" s="27">
        <f>IF(U407=0,"",ROUND(AD407/U407*100,1))</f>
        <v/>
      </c>
      <c r="AF407" s="29">
        <f>AB407-AD407</f>
        <v/>
      </c>
      <c r="AG407" s="27">
        <f>IF(U407=0,"",ROUND((AB407-AD407)/U407*100,1))</f>
        <v/>
      </c>
      <c r="AH407" s="34" t="inlineStr">
        <is>
          <t>NO TOTALS — list prints none; check page</t>
        </is>
      </c>
      <c r="AI407" s="31" t="inlineStr">
        <is>
          <t>https://diligence.adm.br/wp-content/plugins/download-attachments/includes/download.php?id=4599</t>
        </is>
      </c>
      <c r="AJ407" s="30" t="inlineStr">
        <is>
          <t>p10 r79</t>
        </is>
      </c>
      <c r="AK407" s="30" t="inlineStr">
        <is>
          <t>p10: R$ 840.995,94</t>
        </is>
      </c>
      <c r="AL407" s="30" t="inlineStr">
        <is>
          <t>AJ list (art. 7 §2)</t>
        </is>
      </c>
      <c r="AM407" s="30" t="inlineStr">
        <is>
          <t>2024-06-25</t>
        </is>
      </c>
      <c r="AN407" s="30" t="inlineStr">
        <is>
          <t>NONE FOUND</t>
        </is>
      </c>
      <c r="AO407" s="32" t="inlineStr">
        <is>
          <t>0000880-57.2020.8.17.2001</t>
        </is>
      </c>
      <c r="AP407" s="32" t="inlineStr">
        <is>
          <t>TJPE</t>
        </is>
      </c>
      <c r="AQ407" s="32" t="inlineStr">
        <is>
          <t>Recuperação judicial</t>
        </is>
      </c>
      <c r="AR407" s="32" t="inlineStr">
        <is>
          <t>DataJud: no closure/falência movement</t>
        </is>
      </c>
      <c r="AS407" s="32" t="n">
        <v>2020</v>
      </c>
      <c r="AT407" s="32" t="inlineStr">
        <is>
          <t>6y since filing; plan not in our documents</t>
        </is>
      </c>
      <c r="AU407" s="32" t="inlineStr">
        <is>
          <t>08.073.264/0001-87</t>
        </is>
      </c>
      <c r="AV407" s="32" t="inlineStr">
        <is>
          <t>printed on the list (read twice)</t>
        </is>
      </c>
      <c r="AW407" s="32" t="inlineStr"/>
      <c r="AX407" s="32" t="inlineStr">
        <is>
          <t>RIO CLARO</t>
        </is>
      </c>
      <c r="AY407" s="32" t="inlineStr">
        <is>
          <t>SP</t>
        </is>
      </c>
      <c r="AZ407" s="32" t="inlineStr">
        <is>
          <t>Fabricação de tubos e acessórios de material plástico para uso na construção</t>
        </is>
      </c>
      <c r="BA407" s="32" t="inlineStr">
        <is>
          <t>não ME/EPP</t>
        </is>
      </c>
      <c r="BB407" s="33" t="n">
        <v>82330904</v>
      </c>
      <c r="BC407" s="32" t="inlineStr">
        <is>
          <t>MID-MARKET</t>
        </is>
      </c>
      <c r="BD407" s="32" t="inlineStr">
        <is>
          <t>11069316</t>
        </is>
      </c>
      <c r="BE407" s="32" t="n">
        <v>1</v>
      </c>
      <c r="BF407" s="32" t="inlineStr">
        <is>
          <t>ALT_VALUE:R$840.995,94 list prints no totals</t>
        </is>
      </c>
    </row>
    <row r="408">
      <c r="A408" s="17" t="inlineStr">
        <is>
          <t>G GOTUZZO E CIA LTDA</t>
        </is>
      </c>
      <c r="B408" s="18" t="n">
        <v>213107.83</v>
      </c>
      <c r="C408" s="19" t="inlineStr">
        <is>
          <t>ASSOCIAÇÃO DE CARIDADE SANTA CASA DO RIO GRANDE</t>
        </is>
      </c>
      <c r="D408" s="20" t="inlineStr">
        <is>
          <t>NEW</t>
        </is>
      </c>
      <c r="E408" s="21" t="inlineStr"/>
      <c r="F408" s="20" t="inlineStr"/>
      <c r="G408" s="21" t="inlineStr"/>
      <c r="H408" s="20" t="inlineStr"/>
      <c r="I408" s="22" t="inlineStr">
        <is>
          <t>Ggotuzzo Gotuzzo</t>
        </is>
      </c>
      <c r="J408" s="22" t="inlineStr">
        <is>
          <t>Manager</t>
        </is>
      </c>
      <c r="K408" s="22" t="inlineStr">
        <is>
          <t>(53) 3284-3000</t>
        </is>
      </c>
      <c r="L408" s="22" t="inlineStr">
        <is>
          <t>(53) 3284-3013</t>
        </is>
      </c>
      <c r="M408" s="22" t="inlineStr"/>
      <c r="N408" s="22" t="inlineStr">
        <is>
          <t>ggotuzzo@ggotuzzo.com.br</t>
        </is>
      </c>
      <c r="O408" s="22" t="inlineStr">
        <is>
          <t>verified</t>
        </is>
      </c>
      <c r="P408" s="22" t="inlineStr">
        <is>
          <t>GETULIO GOTUZZO</t>
        </is>
      </c>
      <c r="Q408" s="22" t="inlineStr">
        <is>
          <t>Sócio-Administrador (RFB partner)</t>
        </is>
      </c>
      <c r="R408" s="22" t="inlineStr"/>
      <c r="S408" s="22" t="inlineStr"/>
      <c r="T408" s="22" t="inlineStr">
        <is>
          <t>DM: DM by default (company generic profile, verified email ggotuzzo@ggotuzzo.com.br); Small company (4 ppl); others are admin assistants without email. VERIFY org: G. Gotuzzo and Co. (Pelotas RS) = razao.</t>
        </is>
      </c>
      <c r="U408" s="24" t="n">
        <v>213107.83</v>
      </c>
      <c r="V408" s="25" t="inlineStr">
        <is>
          <t>B</t>
        </is>
      </c>
      <c r="W408" s="26" t="inlineStr"/>
      <c r="X408" s="27" t="inlineStr"/>
      <c r="Y408" s="27" t="inlineStr"/>
      <c r="Z408" s="26">
        <f>IF(W408&lt;&gt;"",W408,IFERROR(VLOOKUP(V408,Assumptions!$A$8:$F$12,2,FALSE),0))</f>
        <v/>
      </c>
      <c r="AA408" s="28">
        <f>IF(V408="A",MAX(1,IF(X408&lt;&gt;"",X408,IFERROR(VLOOKUP(V408,Assumptions!$A$8:$F$12,3,FALSE),3))+IF(Y408&lt;&gt;"",Y408,IFERROR(VLOOKUP(V408,Assumptions!$A$8:$F$12,4,FALSE),8))/2-MAX(0,IF(AS408="",0,YEAR(TODAY())-AS408)-IFERROR(VLOOKUP(V408,Assumptions!$A$8:$F$12,5,FALSE),1.5))),IFERROR(VLOOKUP(V408,Assumptions!$A$8:$F$12,5,FALSE),2.5)+IF(X408&lt;&gt;"",X408,IFERROR(VLOOKUP(V408,Assumptions!$A$8:$F$12,3,FALSE),3))+IF(Y408&lt;&gt;"",Y408,IFERROR(VLOOKUP(V408,Assumptions!$A$8:$F$12,4,FALSE),8))/2)</f>
        <v/>
      </c>
      <c r="AB408" s="24">
        <f>U408*Z408/(1+Assumptions!$B$3)^AA408</f>
        <v/>
      </c>
      <c r="AC408" s="27">
        <f>IF(U408=0,"",ROUND(AB408/U408*100,1))</f>
        <v/>
      </c>
      <c r="AD408" s="29">
        <f>AB408*Assumptions!$B$4</f>
        <v/>
      </c>
      <c r="AE408" s="27">
        <f>IF(U408=0,"",ROUND(AD408/U408*100,1))</f>
        <v/>
      </c>
      <c r="AF408" s="29">
        <f>AB408-AD408</f>
        <v/>
      </c>
      <c r="AG408" s="27">
        <f>IF(U408=0,"",ROUND((AB408-AD408)/U408*100,1))</f>
        <v/>
      </c>
      <c r="AH408" s="34" t="inlineStr">
        <is>
          <t>NO TOTALS — list prints none; check page</t>
        </is>
      </c>
      <c r="AI408" s="31" t="inlineStr">
        <is>
          <t>https://scalzilliaj.com.br/sgc/download.php?file=files/processo_documento/processo_documento09120721032023_1_.pdf&amp;nome=15 - Edital do art. 7º, §2º e 53 da Lei 11.101/2005 (segunda lista de credores e recebimento do plano))</t>
        </is>
      </c>
      <c r="AJ408" s="30" t="inlineStr">
        <is>
          <t>p27 r38</t>
        </is>
      </c>
      <c r="AK408" s="30" t="inlineStr">
        <is>
          <t>p27: R$ 213.107,83</t>
        </is>
      </c>
      <c r="AL408" s="30" t="inlineStr">
        <is>
          <t>AJ list (art. 7 §2)</t>
        </is>
      </c>
      <c r="AM408" s="30" t="inlineStr">
        <is>
          <t>2023-03-21</t>
        </is>
      </c>
      <c r="AN408" s="30" t="inlineStr">
        <is>
          <t>NONE FOUND</t>
        </is>
      </c>
      <c r="AO408" s="32" t="inlineStr">
        <is>
          <t>5012306-16.2022.8.21.0023</t>
        </is>
      </c>
      <c r="AP408" s="32" t="inlineStr">
        <is>
          <t>TJRS</t>
        </is>
      </c>
      <c r="AQ408" s="32" t="inlineStr">
        <is>
          <t>Recuperação judicial</t>
        </is>
      </c>
      <c r="AR408" s="32" t="inlineStr">
        <is>
          <t>DataJud: no closure/falência movement</t>
        </is>
      </c>
      <c r="AS408" s="32" t="n">
        <v>2022</v>
      </c>
      <c r="AT408" s="32" t="inlineStr">
        <is>
          <t>live case, no plan document yet; atypical debtor (associação/clube/hospital/produtor rural): admissibility or claim subjection may be contested</t>
        </is>
      </c>
      <c r="AU408" s="32" t="inlineStr"/>
      <c r="AV408" s="32" t="inlineStr">
        <is>
          <t>printed on the list (read twice)</t>
        </is>
      </c>
      <c r="AW408" s="32" t="inlineStr"/>
      <c r="AX408" s="32" t="inlineStr">
        <is>
          <t>PELOTAS</t>
        </is>
      </c>
      <c r="AY408" s="32" t="inlineStr">
        <is>
          <t>RS</t>
        </is>
      </c>
      <c r="AZ408" s="32" t="inlineStr">
        <is>
          <t>Comércio atacadista de instrumentos e materiais para uso médico, cirúrgico, hospitalar e de laboratórios</t>
        </is>
      </c>
      <c r="BA408" s="32" t="inlineStr">
        <is>
          <t>não ME/EPP</t>
        </is>
      </c>
      <c r="BB408" s="33" t="n">
        <v>2050000</v>
      </c>
      <c r="BC408" s="32" t="inlineStr">
        <is>
          <t>MID-MARKET</t>
        </is>
      </c>
      <c r="BD408" s="32" t="inlineStr">
        <is>
          <t>87651345</t>
        </is>
      </c>
      <c r="BE408" s="32" t="n">
        <v>1</v>
      </c>
      <c r="BF408" s="32" t="inlineStr">
        <is>
          <t>list prints no totals</t>
        </is>
      </c>
    </row>
    <row r="409">
      <c r="A409" s="17" t="inlineStr">
        <is>
          <t>CANADA LOCADORA DE EQUIPAMENTOS LIMITADA</t>
        </is>
      </c>
      <c r="B409" s="18" t="n">
        <v>212769.31</v>
      </c>
      <c r="C409" s="19" t="inlineStr">
        <is>
          <t>GRUPO EGESA (Egesa Engenharia S.A. + 9 group companies; see group members)</t>
        </is>
      </c>
      <c r="D409" s="20" t="inlineStr">
        <is>
          <t>NEW</t>
        </is>
      </c>
      <c r="E409" s="21" t="inlineStr"/>
      <c r="F409" s="20" t="inlineStr"/>
      <c r="G409" s="21" t="inlineStr"/>
      <c r="H409" s="20" t="inlineStr"/>
      <c r="I409" s="22" t="inlineStr">
        <is>
          <t>DANIELA ZIEGLER MAGALHAES</t>
        </is>
      </c>
      <c r="J409" s="23" t="inlineStr">
        <is>
          <t>Sócio-Administrador (RFB partner)</t>
        </is>
      </c>
      <c r="K409" s="22" t="inlineStr">
        <is>
          <t>(31) 3589-4500</t>
        </is>
      </c>
      <c r="L409" s="22" t="inlineStr"/>
      <c r="M409" s="22" t="inlineStr"/>
      <c r="N409" s="22" t="inlineStr"/>
      <c r="O409" s="22" t="inlineStr"/>
      <c r="P409" s="22" t="inlineStr">
        <is>
          <t>GUILHERME RUGANI ZIEGLER</t>
        </is>
      </c>
      <c r="Q409" s="22" t="inlineStr">
        <is>
          <t>Sócio-Administrador (RFB partner)</t>
        </is>
      </c>
      <c r="R409" s="22" t="inlineStr"/>
      <c r="S409" s="22" t="inlineStr"/>
      <c r="T409" s="22" t="inlineStr">
        <is>
          <t>DM = registered partner (RFB QSA); Apollo pick demoted to backup (non-finance role)</t>
        </is>
      </c>
      <c r="U409" s="24" t="n">
        <v>212769.31</v>
      </c>
      <c r="V409" s="25" t="inlineStr">
        <is>
          <t>B</t>
        </is>
      </c>
      <c r="W409" s="26" t="inlineStr"/>
      <c r="X409" s="27" t="inlineStr"/>
      <c r="Y409" s="27" t="inlineStr"/>
      <c r="Z409" s="26">
        <f>IF(W409&lt;&gt;"",W409,IFERROR(VLOOKUP(V409,Assumptions!$A$8:$F$12,2,FALSE),0))</f>
        <v/>
      </c>
      <c r="AA409" s="28">
        <f>IF(V409="A",MAX(1,IF(X409&lt;&gt;"",X409,IFERROR(VLOOKUP(V409,Assumptions!$A$8:$F$12,3,FALSE),3))+IF(Y409&lt;&gt;"",Y409,IFERROR(VLOOKUP(V409,Assumptions!$A$8:$F$12,4,FALSE),8))/2-MAX(0,IF(AS409="",0,YEAR(TODAY())-AS409)-IFERROR(VLOOKUP(V409,Assumptions!$A$8:$F$12,5,FALSE),1.5))),IFERROR(VLOOKUP(V409,Assumptions!$A$8:$F$12,5,FALSE),2.5)+IF(X409&lt;&gt;"",X409,IFERROR(VLOOKUP(V409,Assumptions!$A$8:$F$12,3,FALSE),3))+IF(Y409&lt;&gt;"",Y409,IFERROR(VLOOKUP(V409,Assumptions!$A$8:$F$12,4,FALSE),8))/2)</f>
        <v/>
      </c>
      <c r="AB409" s="24">
        <f>U409*Z409/(1+Assumptions!$B$3)^AA409</f>
        <v/>
      </c>
      <c r="AC409" s="27">
        <f>IF(U409=0,"",ROUND(AB409/U409*100,1))</f>
        <v/>
      </c>
      <c r="AD409" s="29">
        <f>AB409*Assumptions!$B$4</f>
        <v/>
      </c>
      <c r="AE409" s="27">
        <f>IF(U409=0,"",ROUND(AD409/U409*100,1))</f>
        <v/>
      </c>
      <c r="AF409" s="29">
        <f>AB409-AD409</f>
        <v/>
      </c>
      <c r="AG409" s="27">
        <f>IF(U409=0,"",ROUND((AB409-AD409)/U409*100,1))</f>
        <v/>
      </c>
      <c r="AH409" s="30" t="inlineStr">
        <is>
          <t>OK — totals reconciled</t>
        </is>
      </c>
      <c r="AI409" s="31" t="inlineStr">
        <is>
          <t>https://scalzilliaj.com.br/sgc/download.php?file=files/processo_documento/processo_documento09514021082025_1_.pdf&amp;nome=04 - Relação de credores das Recuperandas</t>
        </is>
      </c>
      <c r="AJ409" s="30" t="inlineStr">
        <is>
          <t>p64 r2</t>
        </is>
      </c>
      <c r="AK409" s="30" t="inlineStr">
        <is>
          <t>p64: R$ 212.769,31</t>
        </is>
      </c>
      <c r="AL409" s="30" t="inlineStr">
        <is>
          <t>Debtor list (art. 51)</t>
        </is>
      </c>
      <c r="AM409" s="30" t="inlineStr"/>
      <c r="AN409" s="30" t="inlineStr">
        <is>
          <t>NONE FOUND</t>
        </is>
      </c>
      <c r="AO409" s="32" t="inlineStr">
        <is>
          <t>5088952-81.2025.8.13.0024</t>
        </is>
      </c>
      <c r="AP409" s="32" t="inlineStr">
        <is>
          <t>TJMG</t>
        </is>
      </c>
      <c r="AQ409" s="32" t="inlineStr"/>
      <c r="AR409" s="32" t="inlineStr">
        <is>
          <t>DataJud: no closure/falência movement</t>
        </is>
      </c>
      <c r="AS409" s="32" t="n">
        <v>2025</v>
      </c>
      <c r="AT409" s="32" t="inlineStr">
        <is>
          <t>live case, no plan document yet; case no. from the portal record, not printed on the list</t>
        </is>
      </c>
      <c r="AU409" s="32" t="inlineStr"/>
      <c r="AV409" s="32" t="inlineStr">
        <is>
          <t>portal page title / URL — not printed on the list</t>
        </is>
      </c>
      <c r="AW409" s="32" t="inlineStr"/>
      <c r="AX409" s="32" t="inlineStr">
        <is>
          <t>NOVA LIMA</t>
        </is>
      </c>
      <c r="AY409" s="32" t="inlineStr">
        <is>
          <t>MG</t>
        </is>
      </c>
      <c r="AZ409" s="32" t="inlineStr">
        <is>
          <t>Fabricação de máquinas e equipamentos para uso industrial específico não especificados anteriormente, peças e acessórios</t>
        </is>
      </c>
      <c r="BA409" s="32" t="inlineStr">
        <is>
          <t>EMPRESA DE PEQUENO PORTE</t>
        </is>
      </c>
      <c r="BB409" s="33" t="n">
        <v>30000</v>
      </c>
      <c r="BC409" s="32" t="inlineStr">
        <is>
          <t>SMALL</t>
        </is>
      </c>
      <c r="BD409" s="32" t="inlineStr">
        <is>
          <t>02694691</t>
        </is>
      </c>
      <c r="BE409" s="32" t="n">
        <v>1</v>
      </c>
      <c r="BF409" s="32" t="inlineStr">
        <is>
          <t>case no. corrected by reader case no. from portal record</t>
        </is>
      </c>
    </row>
    <row r="410">
      <c r="A410" s="17" t="inlineStr">
        <is>
          <t>TRADESTAR IMPORTACAO E EXPORTACAO LTDA</t>
        </is>
      </c>
      <c r="B410" s="18" t="n">
        <v>210630</v>
      </c>
      <c r="C410" s="37" t="inlineStr">
        <is>
          <t>(debtor not identified — see proof)</t>
        </is>
      </c>
      <c r="D410" s="20" t="inlineStr">
        <is>
          <t>NEW</t>
        </is>
      </c>
      <c r="E410" s="21" t="inlineStr"/>
      <c r="F410" s="20" t="inlineStr"/>
      <c r="G410" s="21" t="inlineStr"/>
      <c r="H410" s="20" t="inlineStr"/>
      <c r="I410" s="22" t="inlineStr">
        <is>
          <t>JULIANO FONTES FORNASARO</t>
        </is>
      </c>
      <c r="J410" s="23" t="inlineStr">
        <is>
          <t>Sócio-Administrador (RFB partner)</t>
        </is>
      </c>
      <c r="K410" s="22" t="inlineStr">
        <is>
          <t>(41) 3771-9936</t>
        </is>
      </c>
      <c r="L410" s="22" t="inlineStr"/>
      <c r="M410" s="22" t="inlineStr"/>
      <c r="N410" s="22" t="inlineStr"/>
      <c r="O410" s="22" t="inlineStr"/>
      <c r="P410" s="22" t="inlineStr">
        <is>
          <t>David Vaes</t>
        </is>
      </c>
      <c r="Q410" s="22" t="inlineStr">
        <is>
          <t>Supply Analyst</t>
        </is>
      </c>
      <c r="R410" s="22" t="inlineStr"/>
      <c r="S410" s="22" t="inlineStr">
        <is>
          <t>david.vaes@tradestar.com.br</t>
        </is>
      </c>
      <c r="T410" s="22" t="inlineStr">
        <is>
          <t>DM = registered partner (RFB QSA); Apollo pick demoted to backup (non-finance role); BACKUP: DM (sole person) verified email @tradestar.com.br (non-finance)</t>
        </is>
      </c>
      <c r="U410" s="24" t="n">
        <v>210630</v>
      </c>
      <c r="V410" s="25" t="inlineStr">
        <is>
          <t>B</t>
        </is>
      </c>
      <c r="W410" s="26" t="inlineStr"/>
      <c r="X410" s="27" t="inlineStr"/>
      <c r="Y410" s="27" t="inlineStr"/>
      <c r="Z410" s="26">
        <f>IF(W410&lt;&gt;"",W410,IFERROR(VLOOKUP(V410,Assumptions!$A$8:$F$12,2,FALSE),0))</f>
        <v/>
      </c>
      <c r="AA410" s="28">
        <f>IF(V410="A",MAX(1,IF(X410&lt;&gt;"",X410,IFERROR(VLOOKUP(V410,Assumptions!$A$8:$F$12,3,FALSE),3))+IF(Y410&lt;&gt;"",Y410,IFERROR(VLOOKUP(V410,Assumptions!$A$8:$F$12,4,FALSE),8))/2-MAX(0,IF(AS410="",0,YEAR(TODAY())-AS410)-IFERROR(VLOOKUP(V410,Assumptions!$A$8:$F$12,5,FALSE),1.5))),IFERROR(VLOOKUP(V410,Assumptions!$A$8:$F$12,5,FALSE),2.5)+IF(X410&lt;&gt;"",X410,IFERROR(VLOOKUP(V410,Assumptions!$A$8:$F$12,3,FALSE),3))+IF(Y410&lt;&gt;"",Y410,IFERROR(VLOOKUP(V410,Assumptions!$A$8:$F$12,4,FALSE),8))/2)</f>
        <v/>
      </c>
      <c r="AB410" s="24">
        <f>U410*Z410/(1+Assumptions!$B$3)^AA410</f>
        <v/>
      </c>
      <c r="AC410" s="27">
        <f>IF(U410=0,"",ROUND(AB410/U410*100,1))</f>
        <v/>
      </c>
      <c r="AD410" s="29">
        <f>AB410*Assumptions!$B$4</f>
        <v/>
      </c>
      <c r="AE410" s="27">
        <f>IF(U410=0,"",ROUND(AD410/U410*100,1))</f>
        <v/>
      </c>
      <c r="AF410" s="29">
        <f>AB410-AD410</f>
        <v/>
      </c>
      <c r="AG410" s="27">
        <f>IF(U410=0,"",ROUND((AB410-AD410)/U410*100,1))</f>
        <v/>
      </c>
      <c r="AH410" s="30" t="inlineStr">
        <is>
          <t>OK — totals reconciled</t>
        </is>
      </c>
      <c r="AI410" s="31" t="inlineStr">
        <is>
          <t>https://ajruiz.com.br/sites/default/files/public/arquivos-processos/2024-04/relacao_de_credores_recuperanda_1.pdf</t>
        </is>
      </c>
      <c r="AJ410" s="30" t="inlineStr">
        <is>
          <t>p10 r5</t>
        </is>
      </c>
      <c r="AK410" s="30" t="inlineStr">
        <is>
          <t>p10: R$ 210.630,00</t>
        </is>
      </c>
      <c r="AL410" s="30" t="inlineStr">
        <is>
          <t>QGC (art. 18)</t>
        </is>
      </c>
      <c r="AM410" s="30" t="inlineStr">
        <is>
          <t>2024-01-31</t>
        </is>
      </c>
      <c r="AN410" s="30" t="inlineStr">
        <is>
          <t>NONE FOUND</t>
        </is>
      </c>
      <c r="AO410" s="32" t="inlineStr">
        <is>
          <t>1022634-27.2024.8.26.0100</t>
        </is>
      </c>
      <c r="AP410" s="32" t="inlineStr">
        <is>
          <t>TJSP</t>
        </is>
      </c>
      <c r="AQ410" s="32" t="inlineStr"/>
      <c r="AR410" s="32" t="inlineStr">
        <is>
          <t>not in DataJud</t>
        </is>
      </c>
      <c r="AS410" s="32" t="n">
        <v>2024</v>
      </c>
      <c r="AT410" s="32" t="inlineStr">
        <is>
          <t>live case, no plan document yet; case no. from the portal record, not printed on the list</t>
        </is>
      </c>
      <c r="AU410" s="32" t="inlineStr"/>
      <c r="AV410" s="32" t="inlineStr">
        <is>
          <t>not identified</t>
        </is>
      </c>
      <c r="AW410" s="32" t="inlineStr"/>
      <c r="AX410" s="32" t="inlineStr">
        <is>
          <t>GARUVA</t>
        </is>
      </c>
      <c r="AY410" s="32" t="inlineStr">
        <is>
          <t>SC</t>
        </is>
      </c>
      <c r="AZ410" s="32" t="inlineStr">
        <is>
          <t>Comércio atacadista de mercadorias em geral, sem predominância de alimentos ou de insumos agropecuários</t>
        </is>
      </c>
      <c r="BA410" s="32" t="inlineStr">
        <is>
          <t>não ME/EPP</t>
        </is>
      </c>
      <c r="BB410" s="33" t="n">
        <v>70550140</v>
      </c>
      <c r="BC410" s="32" t="inlineStr">
        <is>
          <t>MID-MARKET</t>
        </is>
      </c>
      <c r="BD410" s="32" t="inlineStr">
        <is>
          <t>21233373</t>
        </is>
      </c>
      <c r="BE410" s="32" t="n">
        <v>1</v>
      </c>
      <c r="BF410" s="32" t="inlineStr">
        <is>
          <t>case no. corrected by reader</t>
        </is>
      </c>
    </row>
    <row r="411">
      <c r="A411" s="17" t="inlineStr">
        <is>
          <t>RADICAL STYLE INDUSTRIA E COMERCIO DE CONFECCOES LTDA</t>
        </is>
      </c>
      <c r="B411" s="18" t="n">
        <v>210265.38</v>
      </c>
      <c r="C411" s="19" t="inlineStr">
        <is>
          <t>GRUPO CATTAN</t>
        </is>
      </c>
      <c r="D411" s="20" t="inlineStr">
        <is>
          <t>NEW</t>
        </is>
      </c>
      <c r="E411" s="21" t="inlineStr"/>
      <c r="F411" s="20" t="inlineStr"/>
      <c r="G411" s="21" t="inlineStr"/>
      <c r="H411" s="20" t="inlineStr"/>
      <c r="I411" s="22" t="inlineStr">
        <is>
          <t>Fabricio Bissoli</t>
        </is>
      </c>
      <c r="J411" s="22" t="inlineStr">
        <is>
          <t>General Manager</t>
        </is>
      </c>
      <c r="K411" s="22" t="inlineStr">
        <is>
          <t>(47) 3355-1000</t>
        </is>
      </c>
      <c r="L411" s="22" t="inlineStr"/>
      <c r="M411" s="22" t="inlineStr"/>
      <c r="N411" s="22" t="inlineStr"/>
      <c r="O411" s="22" t="inlineStr"/>
      <c r="P411" s="22" t="inlineStr">
        <is>
          <t>ARNALDO GIACOMOSSI</t>
        </is>
      </c>
      <c r="Q411" s="22" t="inlineStr">
        <is>
          <t>Administrador (RFB partner)</t>
        </is>
      </c>
      <c r="R411" s="22" t="inlineStr"/>
      <c r="S411" s="22" t="inlineStr"/>
      <c r="T411" s="22" t="inlineStr">
        <is>
          <t>DM: DM email unavailable; no work email in Apollo for DM</t>
        </is>
      </c>
      <c r="U411" s="24" t="n">
        <v>210265.38</v>
      </c>
      <c r="V411" s="25" t="inlineStr">
        <is>
          <t>B</t>
        </is>
      </c>
      <c r="W411" s="26" t="inlineStr"/>
      <c r="X411" s="27" t="inlineStr"/>
      <c r="Y411" s="27" t="inlineStr"/>
      <c r="Z411" s="26">
        <f>IF(W411&lt;&gt;"",W411,IFERROR(VLOOKUP(V411,Assumptions!$A$8:$F$12,2,FALSE),0))</f>
        <v/>
      </c>
      <c r="AA411" s="28">
        <f>IF(V411="A",MAX(1,IF(X411&lt;&gt;"",X411,IFERROR(VLOOKUP(V411,Assumptions!$A$8:$F$12,3,FALSE),3))+IF(Y411&lt;&gt;"",Y411,IFERROR(VLOOKUP(V411,Assumptions!$A$8:$F$12,4,FALSE),8))/2-MAX(0,IF(AS411="",0,YEAR(TODAY())-AS411)-IFERROR(VLOOKUP(V411,Assumptions!$A$8:$F$12,5,FALSE),1.5))),IFERROR(VLOOKUP(V411,Assumptions!$A$8:$F$12,5,FALSE),2.5)+IF(X411&lt;&gt;"",X411,IFERROR(VLOOKUP(V411,Assumptions!$A$8:$F$12,3,FALSE),3))+IF(Y411&lt;&gt;"",Y411,IFERROR(VLOOKUP(V411,Assumptions!$A$8:$F$12,4,FALSE),8))/2)</f>
        <v/>
      </c>
      <c r="AB411" s="24">
        <f>U411*Z411/(1+Assumptions!$B$3)^AA411</f>
        <v/>
      </c>
      <c r="AC411" s="27">
        <f>IF(U411=0,"",ROUND(AB411/U411*100,1))</f>
        <v/>
      </c>
      <c r="AD411" s="29">
        <f>AB411*Assumptions!$B$4</f>
        <v/>
      </c>
      <c r="AE411" s="27">
        <f>IF(U411=0,"",ROUND(AD411/U411*100,1))</f>
        <v/>
      </c>
      <c r="AF411" s="29">
        <f>AB411-AD411</f>
        <v/>
      </c>
      <c r="AG411" s="27">
        <f>IF(U411=0,"",ROUND((AB411-AD411)/U411*100,1))</f>
        <v/>
      </c>
      <c r="AH411" s="35" t="inlineStr">
        <is>
          <t>PARTIAL — class III reconciled, other classes not</t>
        </is>
      </c>
      <c r="AI411" s="31" t="inlineStr">
        <is>
          <t>https://lrflideres.com.br/wp-content/plugins/download-attachments/includes/download.php?id=4023</t>
        </is>
      </c>
      <c r="AJ411" s="30" t="inlineStr">
        <is>
          <t>p4 r89; p7 r116; p9 r87</t>
        </is>
      </c>
      <c r="AK411" s="30" t="inlineStr">
        <is>
          <t>p4: R$ 73.074,78; p7: R$ 107.424,36; p9: R$ 29.766,24</t>
        </is>
      </c>
      <c r="AL411" s="30" t="inlineStr">
        <is>
          <t>Debtor list (art. 51)</t>
        </is>
      </c>
      <c r="AM411" s="30" t="inlineStr"/>
      <c r="AN411" s="30" t="inlineStr">
        <is>
          <t>NONE FOUND</t>
        </is>
      </c>
      <c r="AO411" s="32" t="inlineStr">
        <is>
          <t>0002484-82.2022.8.17.2001</t>
        </is>
      </c>
      <c r="AP411" s="32" t="inlineStr">
        <is>
          <t>TJPE</t>
        </is>
      </c>
      <c r="AQ411" s="32" t="inlineStr">
        <is>
          <t>Recuperação judicial</t>
        </is>
      </c>
      <c r="AR411" s="32" t="inlineStr">
        <is>
          <t>DataJud: no closure/falência movement</t>
        </is>
      </c>
      <c r="AS411" s="32" t="n">
        <v>2022</v>
      </c>
      <c r="AT411" s="32" t="inlineStr">
        <is>
          <t>live case, no plan document yet</t>
        </is>
      </c>
      <c r="AU411" s="32" t="inlineStr"/>
      <c r="AV411" s="32" t="inlineStr">
        <is>
          <t>printed on the list (read twice)</t>
        </is>
      </c>
      <c r="AW411" s="32" t="inlineStr"/>
      <c r="AX411" s="32" t="inlineStr">
        <is>
          <t>TIJUCAS</t>
        </is>
      </c>
      <c r="AY411" s="32" t="inlineStr">
        <is>
          <t>SC</t>
        </is>
      </c>
      <c r="AZ411" s="32" t="inlineStr">
        <is>
          <t>Confecção de peças de vestuário, exceto roupas íntimas e as confeccionadas sob medida</t>
        </is>
      </c>
      <c r="BA411" s="32" t="inlineStr">
        <is>
          <t>não ME/EPP</t>
        </is>
      </c>
      <c r="BB411" s="33" t="n">
        <v>600000</v>
      </c>
      <c r="BC411" s="32" t="inlineStr">
        <is>
          <t>MID-MARKET</t>
        </is>
      </c>
      <c r="BD411" s="32" t="inlineStr">
        <is>
          <t>08584931</t>
        </is>
      </c>
      <c r="BE411" s="32" t="n">
        <v>3</v>
      </c>
      <c r="BF411" s="32" t="inlineStr">
        <is>
          <t>class III reconciled (doc partial)</t>
        </is>
      </c>
    </row>
    <row r="412">
      <c r="A412" s="17" t="inlineStr">
        <is>
          <t>COMPANHIA VALENCA INDUSTRIAL</t>
        </is>
      </c>
      <c r="B412" s="18" t="n">
        <v>209967.04</v>
      </c>
      <c r="C412" s="19" t="inlineStr">
        <is>
          <t>GRUPO BE EIGHT</t>
        </is>
      </c>
      <c r="D412" s="20" t="inlineStr">
        <is>
          <t>NEW</t>
        </is>
      </c>
      <c r="E412" s="21" t="inlineStr"/>
      <c r="F412" s="20" t="inlineStr"/>
      <c r="G412" s="21" t="inlineStr"/>
      <c r="H412" s="20" t="inlineStr"/>
      <c r="I412" s="22" t="inlineStr">
        <is>
          <t>Camilla Oliveira</t>
        </is>
      </c>
      <c r="J412" s="22" t="inlineStr">
        <is>
          <t>Credit and Collection Analyst</t>
        </is>
      </c>
      <c r="K412" s="22" t="inlineStr">
        <is>
          <t>(75) 3643-3188</t>
        </is>
      </c>
      <c r="L412" s="22" t="inlineStr">
        <is>
          <t>(75) 3643-3189</t>
        </is>
      </c>
      <c r="M412" s="22" t="inlineStr"/>
      <c r="N412" s="22" t="inlineStr">
        <is>
          <t>camila.oliveira@valenca.com.br</t>
        </is>
      </c>
      <c r="O412" s="22" t="inlineStr">
        <is>
          <t>verified</t>
        </is>
      </c>
      <c r="P412" s="22" t="inlineStr">
        <is>
          <t>Sulamita Nunes</t>
        </is>
      </c>
      <c r="Q412" s="22" t="inlineStr">
        <is>
          <t>Financial</t>
        </is>
      </c>
      <c r="R412" s="22" t="inlineStr"/>
      <c r="S412" s="22" t="inlineStr">
        <is>
          <t>sulamita.nunes@valenca.com.br</t>
        </is>
      </c>
      <c r="T412" s="22" t="inlineStr">
        <is>
          <t>DM: DM (verified); BACKUP: backup (extrapolated email); backup email is pattern-guessed</t>
        </is>
      </c>
      <c r="U412" s="24" t="n">
        <v>209967.04</v>
      </c>
      <c r="V412" s="25" t="inlineStr">
        <is>
          <t>B</t>
        </is>
      </c>
      <c r="W412" s="26" t="inlineStr"/>
      <c r="X412" s="27" t="inlineStr"/>
      <c r="Y412" s="27" t="inlineStr"/>
      <c r="Z412" s="26">
        <f>IF(W412&lt;&gt;"",W412,IFERROR(VLOOKUP(V412,Assumptions!$A$8:$F$12,2,FALSE),0))</f>
        <v/>
      </c>
      <c r="AA412" s="28">
        <f>IF(V412="A",MAX(1,IF(X412&lt;&gt;"",X412,IFERROR(VLOOKUP(V412,Assumptions!$A$8:$F$12,3,FALSE),3))+IF(Y412&lt;&gt;"",Y412,IFERROR(VLOOKUP(V412,Assumptions!$A$8:$F$12,4,FALSE),8))/2-MAX(0,IF(AS412="",0,YEAR(TODAY())-AS412)-IFERROR(VLOOKUP(V412,Assumptions!$A$8:$F$12,5,FALSE),1.5))),IFERROR(VLOOKUP(V412,Assumptions!$A$8:$F$12,5,FALSE),2.5)+IF(X412&lt;&gt;"",X412,IFERROR(VLOOKUP(V412,Assumptions!$A$8:$F$12,3,FALSE),3))+IF(Y412&lt;&gt;"",Y412,IFERROR(VLOOKUP(V412,Assumptions!$A$8:$F$12,4,FALSE),8))/2)</f>
        <v/>
      </c>
      <c r="AB412" s="24">
        <f>U412*Z412/(1+Assumptions!$B$3)^AA412</f>
        <v/>
      </c>
      <c r="AC412" s="27">
        <f>IF(U412=0,"",ROUND(AB412/U412*100,1))</f>
        <v/>
      </c>
      <c r="AD412" s="29">
        <f>AB412*Assumptions!$B$4</f>
        <v/>
      </c>
      <c r="AE412" s="27">
        <f>IF(U412=0,"",ROUND(AD412/U412*100,1))</f>
        <v/>
      </c>
      <c r="AF412" s="29">
        <f>AB412-AD412</f>
        <v/>
      </c>
      <c r="AG412" s="27">
        <f>IF(U412=0,"",ROUND((AB412-AD412)/U412*100,1))</f>
        <v/>
      </c>
      <c r="AH412" s="34" t="inlineStr">
        <is>
          <t>NO TOTALS — list prints none; check page</t>
        </is>
      </c>
      <c r="AI412" s="31" t="inlineStr">
        <is>
          <t>https://marquesadmjudicial.com.br/sgc/download.php?file=files/processo_documento/processo_documento09444722082025_1_.pdf&amp;nome=2° Edital - Relação de Credores AJ e PRJ</t>
        </is>
      </c>
      <c r="AJ412" s="30" t="inlineStr">
        <is>
          <t>p2 r154</t>
        </is>
      </c>
      <c r="AK412" s="30" t="inlineStr">
        <is>
          <t>p2: R$ 209.967,04</t>
        </is>
      </c>
      <c r="AL412" s="30" t="inlineStr">
        <is>
          <t>AJ list (art. 7 §2)</t>
        </is>
      </c>
      <c r="AM412" s="30" t="inlineStr">
        <is>
          <t>2025-04-08</t>
        </is>
      </c>
      <c r="AN412" s="30" t="inlineStr">
        <is>
          <t>NONE FOUND</t>
        </is>
      </c>
      <c r="AO412" s="32" t="inlineStr">
        <is>
          <t>0008897-71.2025.8.16.0017</t>
        </is>
      </c>
      <c r="AP412" s="32" t="inlineStr">
        <is>
          <t>TJPR</t>
        </is>
      </c>
      <c r="AQ412" s="32" t="inlineStr">
        <is>
          <t>Recuperação judicial</t>
        </is>
      </c>
      <c r="AR412" s="32" t="inlineStr">
        <is>
          <t>DataJud: no closure/falência movement</t>
        </is>
      </c>
      <c r="AS412" s="32" t="n">
        <v>2025</v>
      </c>
      <c r="AT412" s="32" t="inlineStr">
        <is>
          <t>live case, no plan document yet</t>
        </is>
      </c>
      <c r="AU412" s="32" t="inlineStr">
        <is>
          <t>02.790.680/0001-10</t>
        </is>
      </c>
      <c r="AV412" s="32" t="inlineStr">
        <is>
          <t>printed on the list (read twice)</t>
        </is>
      </c>
      <c r="AW412" s="32" t="inlineStr"/>
      <c r="AX412" s="32" t="inlineStr">
        <is>
          <t>VALENCA</t>
        </is>
      </c>
      <c r="AY412" s="32" t="inlineStr">
        <is>
          <t>BA</t>
        </is>
      </c>
      <c r="AZ412" s="32" t="inlineStr">
        <is>
          <t>Tecelagem de fios de algodão</t>
        </is>
      </c>
      <c r="BA412" s="32" t="inlineStr">
        <is>
          <t>não ME/EPP</t>
        </is>
      </c>
      <c r="BB412" s="33" t="inlineStr"/>
      <c r="BC412" s="32" t="inlineStr">
        <is>
          <t>UNKNOWN</t>
        </is>
      </c>
      <c r="BD412" s="32" t="inlineStr">
        <is>
          <t>15102098</t>
        </is>
      </c>
      <c r="BE412" s="32" t="n">
        <v>1</v>
      </c>
      <c r="BF412" s="32" t="inlineStr">
        <is>
          <t>list prints no totals</t>
        </is>
      </c>
    </row>
    <row r="413">
      <c r="A413" s="17" t="inlineStr">
        <is>
          <t>WAL CONSULTORIA AERONAUTICA LTDA</t>
        </is>
      </c>
      <c r="B413" s="18" t="n">
        <v>208303.18</v>
      </c>
      <c r="C413" s="19" t="inlineStr">
        <is>
          <t>GRUPO EGESA (Egesa Engenharia S.A. + 9 group companies; see group members)</t>
        </is>
      </c>
      <c r="D413" s="20" t="inlineStr">
        <is>
          <t>NEW</t>
        </is>
      </c>
      <c r="E413" s="21" t="inlineStr"/>
      <c r="F413" s="20" t="inlineStr"/>
      <c r="G413" s="21" t="inlineStr"/>
      <c r="H413" s="20" t="inlineStr"/>
      <c r="I413" s="22" t="inlineStr">
        <is>
          <t>Wanderson Costa</t>
        </is>
      </c>
      <c r="J413" s="22" t="inlineStr">
        <is>
          <t>Technical Director</t>
        </is>
      </c>
      <c r="K413" s="22" t="inlineStr">
        <is>
          <t>(31) 2536-4813</t>
        </is>
      </c>
      <c r="L413" s="22" t="inlineStr"/>
      <c r="M413" s="22" t="inlineStr"/>
      <c r="N413" s="22" t="inlineStr">
        <is>
          <t>wcosta@walaviation.com</t>
        </is>
      </c>
      <c r="O413" s="22" t="inlineStr">
        <is>
          <t>verified</t>
        </is>
      </c>
      <c r="P413" s="22" t="inlineStr">
        <is>
          <t>Lais Soares</t>
        </is>
      </c>
      <c r="Q413" s="22" t="inlineStr">
        <is>
          <t>Technical Consultant</t>
        </is>
      </c>
      <c r="R413" s="22" t="inlineStr"/>
      <c r="S413" s="22" t="inlineStr">
        <is>
          <t>lais@walaviation.com</t>
        </is>
      </c>
      <c r="T413" s="22" t="inlineStr">
        <is>
          <t>DM: DM (director, small 5-person firm; no finance role) verified email; BACKUP: backup verified email</t>
        </is>
      </c>
      <c r="U413" s="24" t="n">
        <v>208303.18</v>
      </c>
      <c r="V413" s="25" t="inlineStr">
        <is>
          <t>B</t>
        </is>
      </c>
      <c r="W413" s="26" t="inlineStr"/>
      <c r="X413" s="27" t="inlineStr"/>
      <c r="Y413" s="27" t="inlineStr"/>
      <c r="Z413" s="26">
        <f>IF(W413&lt;&gt;"",W413,IFERROR(VLOOKUP(V413,Assumptions!$A$8:$F$12,2,FALSE),0))</f>
        <v/>
      </c>
      <c r="AA413" s="28">
        <f>IF(V413="A",MAX(1,IF(X413&lt;&gt;"",X413,IFERROR(VLOOKUP(V413,Assumptions!$A$8:$F$12,3,FALSE),3))+IF(Y413&lt;&gt;"",Y413,IFERROR(VLOOKUP(V413,Assumptions!$A$8:$F$12,4,FALSE),8))/2-MAX(0,IF(AS413="",0,YEAR(TODAY())-AS413)-IFERROR(VLOOKUP(V413,Assumptions!$A$8:$F$12,5,FALSE),1.5))),IFERROR(VLOOKUP(V413,Assumptions!$A$8:$F$12,5,FALSE),2.5)+IF(X413&lt;&gt;"",X413,IFERROR(VLOOKUP(V413,Assumptions!$A$8:$F$12,3,FALSE),3))+IF(Y413&lt;&gt;"",Y413,IFERROR(VLOOKUP(V413,Assumptions!$A$8:$F$12,4,FALSE),8))/2)</f>
        <v/>
      </c>
      <c r="AB413" s="24">
        <f>U413*Z413/(1+Assumptions!$B$3)^AA413</f>
        <v/>
      </c>
      <c r="AC413" s="27">
        <f>IF(U413=0,"",ROUND(AB413/U413*100,1))</f>
        <v/>
      </c>
      <c r="AD413" s="29">
        <f>AB413*Assumptions!$B$4</f>
        <v/>
      </c>
      <c r="AE413" s="27">
        <f>IF(U413=0,"",ROUND(AD413/U413*100,1))</f>
        <v/>
      </c>
      <c r="AF413" s="29">
        <f>AB413-AD413</f>
        <v/>
      </c>
      <c r="AG413" s="27">
        <f>IF(U413=0,"",ROUND((AB413-AD413)/U413*100,1))</f>
        <v/>
      </c>
      <c r="AH413" s="30" t="inlineStr">
        <is>
          <t>OK — totals reconciled</t>
        </is>
      </c>
      <c r="AI413" s="31" t="inlineStr">
        <is>
          <t>https://scalzilliaj.com.br/sgc/download.php?file=files/processo_documento/processo_documento09514021082025_1_.pdf&amp;nome=04 - Relação de credores das Recuperandas</t>
        </is>
      </c>
      <c r="AJ413" s="30" t="inlineStr">
        <is>
          <t>p76 r6</t>
        </is>
      </c>
      <c r="AK413" s="30" t="inlineStr">
        <is>
          <t>p76: R$ 208.303,18</t>
        </is>
      </c>
      <c r="AL413" s="30" t="inlineStr">
        <is>
          <t>Debtor list (art. 51)</t>
        </is>
      </c>
      <c r="AM413" s="30" t="inlineStr"/>
      <c r="AN413" s="30" t="inlineStr">
        <is>
          <t>NONE FOUND</t>
        </is>
      </c>
      <c r="AO413" s="32" t="inlineStr">
        <is>
          <t>5088952-81.2025.8.13.0024</t>
        </is>
      </c>
      <c r="AP413" s="32" t="inlineStr">
        <is>
          <t>TJMG</t>
        </is>
      </c>
      <c r="AQ413" s="32" t="inlineStr"/>
      <c r="AR413" s="32" t="inlineStr">
        <is>
          <t>DataJud: no closure/falência movement</t>
        </is>
      </c>
      <c r="AS413" s="32" t="n">
        <v>2025</v>
      </c>
      <c r="AT413" s="32" t="inlineStr">
        <is>
          <t>live case, no plan document yet; case no. from the portal record, not printed on the list</t>
        </is>
      </c>
      <c r="AU413" s="32" t="inlineStr"/>
      <c r="AV413" s="32" t="inlineStr">
        <is>
          <t>portal page title / URL — not printed on the list</t>
        </is>
      </c>
      <c r="AW413" s="32" t="inlineStr"/>
      <c r="AX413" s="32" t="inlineStr">
        <is>
          <t>BELO HORIZONTE</t>
        </is>
      </c>
      <c r="AY413" s="32" t="inlineStr">
        <is>
          <t>MG</t>
        </is>
      </c>
      <c r="AZ413" s="32" t="inlineStr">
        <is>
          <t>Outras atividades profissionais, científicas e técnicas não especificadas anteriormente</t>
        </is>
      </c>
      <c r="BA413" s="32" t="inlineStr">
        <is>
          <t>não ME/EPP</t>
        </is>
      </c>
      <c r="BB413" s="33" t="n">
        <v>20000</v>
      </c>
      <c r="BC413" s="32" t="inlineStr">
        <is>
          <t>MID-MARKET</t>
        </is>
      </c>
      <c r="BD413" s="32" t="inlineStr">
        <is>
          <t>08464282</t>
        </is>
      </c>
      <c r="BE413" s="32" t="n">
        <v>1</v>
      </c>
      <c r="BF413" s="32" t="inlineStr">
        <is>
          <t>case no. corrected by reader case no. from portal record</t>
        </is>
      </c>
    </row>
    <row r="414">
      <c r="A414" s="17" t="inlineStr">
        <is>
          <t>MOVEIS SAO CARLOS LTDA</t>
        </is>
      </c>
      <c r="B414" s="18" t="n">
        <v>813501.86</v>
      </c>
      <c r="C414" s="19" t="inlineStr">
        <is>
          <t>CREDIMÓVEIS NOVOLAR LTDA.</t>
        </is>
      </c>
      <c r="D414" s="20" t="inlineStr">
        <is>
          <t>NEW</t>
        </is>
      </c>
      <c r="E414" s="21" t="inlineStr"/>
      <c r="F414" s="20" t="inlineStr"/>
      <c r="G414" s="21" t="inlineStr"/>
      <c r="H414" s="20" t="inlineStr"/>
      <c r="I414" s="22" t="inlineStr">
        <is>
          <t>Guilherme Brito</t>
        </is>
      </c>
      <c r="J414" s="22" t="inlineStr">
        <is>
          <t>Administrative Director</t>
        </is>
      </c>
      <c r="K414" s="22" t="inlineStr">
        <is>
          <t>(87) 3838-1279</t>
        </is>
      </c>
      <c r="L414" s="22" t="inlineStr"/>
      <c r="M414" s="22" t="inlineStr"/>
      <c r="N414" s="22" t="inlineStr">
        <is>
          <t>guilhermebrito@moveissaocarlos.com.br</t>
        </is>
      </c>
      <c r="O414" s="22" t="inlineStr">
        <is>
          <t>verified</t>
        </is>
      </c>
      <c r="P414" s="22" t="inlineStr">
        <is>
          <t>Daniele Cocati</t>
        </is>
      </c>
      <c r="Q414" s="22" t="inlineStr">
        <is>
          <t>Financial Assistant</t>
        </is>
      </c>
      <c r="R414" s="22" t="inlineStr"/>
      <c r="S414" s="22" t="inlineStr">
        <is>
          <t>danielecocati@moveissaocarlos.com.br</t>
        </is>
      </c>
      <c r="T414" s="22" t="inlineStr">
        <is>
          <t>DM: has_email, phone Yes; BACKUP: backup; backup email is pattern-guessed</t>
        </is>
      </c>
      <c r="U414" s="24" t="n">
        <v>813501.86</v>
      </c>
      <c r="V414" s="39" t="inlineStr">
        <is>
          <t>C</t>
        </is>
      </c>
      <c r="W414" s="26" t="inlineStr"/>
      <c r="X414" s="27" t="inlineStr"/>
      <c r="Y414" s="27" t="inlineStr"/>
      <c r="Z414" s="26">
        <f>IF(W414&lt;&gt;"",W414,IFERROR(VLOOKUP(V414,Assumptions!$A$8:$F$12,2,FALSE),0))</f>
        <v/>
      </c>
      <c r="AA414" s="28">
        <f>IF(V414="A",MAX(1,IF(X414&lt;&gt;"",X414,IFERROR(VLOOKUP(V414,Assumptions!$A$8:$F$12,3,FALSE),3))+IF(Y414&lt;&gt;"",Y414,IFERROR(VLOOKUP(V414,Assumptions!$A$8:$F$12,4,FALSE),8))/2-MAX(0,IF(AS414="",0,YEAR(TODAY())-AS414)-IFERROR(VLOOKUP(V414,Assumptions!$A$8:$F$12,5,FALSE),1.5))),IFERROR(VLOOKUP(V414,Assumptions!$A$8:$F$12,5,FALSE),2.5)+IF(X414&lt;&gt;"",X414,IFERROR(VLOOKUP(V414,Assumptions!$A$8:$F$12,3,FALSE),3))+IF(Y414&lt;&gt;"",Y414,IFERROR(VLOOKUP(V414,Assumptions!$A$8:$F$12,4,FALSE),8))/2)</f>
        <v/>
      </c>
      <c r="AB414" s="24">
        <f>U414*Z414/(1+Assumptions!$B$3)^AA414</f>
        <v/>
      </c>
      <c r="AC414" s="27">
        <f>IF(U414=0,"",ROUND(AB414/U414*100,1))</f>
        <v/>
      </c>
      <c r="AD414" s="29">
        <f>AB414*Assumptions!$B$4</f>
        <v/>
      </c>
      <c r="AE414" s="27">
        <f>IF(U414=0,"",ROUND(AD414/U414*100,1))</f>
        <v/>
      </c>
      <c r="AF414" s="29">
        <f>AB414-AD414</f>
        <v/>
      </c>
      <c r="AG414" s="27">
        <f>IF(U414=0,"",ROUND((AB414-AD414)/U414*100,1))</f>
        <v/>
      </c>
      <c r="AH414" s="30" t="inlineStr">
        <is>
          <t>OK — totals reconciled</t>
        </is>
      </c>
      <c r="AI414" s="31" t="inlineStr">
        <is>
          <t>https://recuperacaojudicial.squarespace.com/s/RJ-Credimoveis-QGC-01082025.pdf</t>
        </is>
      </c>
      <c r="AJ414" s="30" t="inlineStr">
        <is>
          <t>p16 r25</t>
        </is>
      </c>
      <c r="AK414" s="30" t="inlineStr">
        <is>
          <t>p16: R$ 813.501,86</t>
        </is>
      </c>
      <c r="AL414" s="30" t="inlineStr">
        <is>
          <t>QGC (art. 18)</t>
        </is>
      </c>
      <c r="AM414" s="30" t="inlineStr">
        <is>
          <t>2026-01-28</t>
        </is>
      </c>
      <c r="AN414" s="30" t="inlineStr">
        <is>
          <t>NONE FOUND</t>
        </is>
      </c>
      <c r="AO414" s="32" t="inlineStr">
        <is>
          <t>0007565-40.2020.8.17.2370</t>
        </is>
      </c>
      <c r="AP414" s="32" t="inlineStr">
        <is>
          <t>TJPE</t>
        </is>
      </c>
      <c r="AQ414" s="32" t="inlineStr">
        <is>
          <t>Recuperação judicial</t>
        </is>
      </c>
      <c r="AR414" s="32" t="inlineStr">
        <is>
          <t>DataJud: no closure/falência movement</t>
        </is>
      </c>
      <c r="AS414" s="32" t="n">
        <v>2020</v>
      </c>
      <c r="AT414" s="32" t="inlineStr">
        <is>
          <t>6y since filing; plan not in our documents</t>
        </is>
      </c>
      <c r="AU414" s="32" t="inlineStr">
        <is>
          <t>09.930.165/0001-37</t>
        </is>
      </c>
      <c r="AV414" s="32" t="inlineStr">
        <is>
          <t>printed on the list (read twice)</t>
        </is>
      </c>
      <c r="AW414" s="32" t="inlineStr"/>
      <c r="AX414" s="32" t="inlineStr">
        <is>
          <t>AFOGADOS DA INGAZEIRA</t>
        </is>
      </c>
      <c r="AY414" s="32" t="inlineStr">
        <is>
          <t>PE</t>
        </is>
      </c>
      <c r="AZ414" s="32" t="inlineStr">
        <is>
          <t>Fabricação de móveis com predominância de madeira</t>
        </is>
      </c>
      <c r="BA414" s="32" t="inlineStr">
        <is>
          <t>não ME/EPP</t>
        </is>
      </c>
      <c r="BB414" s="33" t="n">
        <v>20000000</v>
      </c>
      <c r="BC414" s="32" t="inlineStr">
        <is>
          <t>MID-MARKET</t>
        </is>
      </c>
      <c r="BD414" s="32" t="inlineStr">
        <is>
          <t>40887838</t>
        </is>
      </c>
      <c r="BE414" s="32" t="n">
        <v>1</v>
      </c>
      <c r="BF414" s="32" t="inlineStr"/>
    </row>
    <row r="415">
      <c r="A415" s="17" t="inlineStr">
        <is>
          <t>LEGGETT &amp; PLATT DO BRASIL LTDA</t>
        </is>
      </c>
      <c r="B415" s="18" t="n">
        <v>1488789.48</v>
      </c>
      <c r="C415" s="19" t="inlineStr">
        <is>
          <t>Mannes</t>
        </is>
      </c>
      <c r="D415" s="20" t="inlineStr">
        <is>
          <t>NEW</t>
        </is>
      </c>
      <c r="E415" s="21" t="inlineStr"/>
      <c r="F415" s="20" t="inlineStr"/>
      <c r="G415" s="21" t="inlineStr"/>
      <c r="H415" s="20" t="inlineStr"/>
      <c r="I415" s="22" t="inlineStr">
        <is>
          <t>GUSTAVO GOULART LEMOS</t>
        </is>
      </c>
      <c r="J415" s="23" t="inlineStr">
        <is>
          <t>Administrador (RFB partner)</t>
        </is>
      </c>
      <c r="K415" s="22" t="inlineStr">
        <is>
          <t>(11) 4894-6027</t>
        </is>
      </c>
      <c r="L415" s="22" t="inlineStr"/>
      <c r="M415" s="22" t="inlineStr"/>
      <c r="N415" s="22" t="inlineStr"/>
      <c r="O415" s="22" t="inlineStr"/>
      <c r="P415" s="22" t="inlineStr"/>
      <c r="Q415" s="22" t="inlineStr"/>
      <c r="R415" s="22" t="inlineStr"/>
      <c r="S415" s="22" t="inlineStr"/>
      <c r="T415" s="22" t="inlineStr">
        <is>
          <t>DM = registered partner (RFB QSA); no Apollo match</t>
        </is>
      </c>
      <c r="U415" s="24" t="n">
        <v>1488789.48</v>
      </c>
      <c r="V415" s="40" t="inlineStr">
        <is>
          <t>D</t>
        </is>
      </c>
      <c r="W415" s="26" t="inlineStr"/>
      <c r="X415" s="27" t="inlineStr"/>
      <c r="Y415" s="27" t="inlineStr"/>
      <c r="Z415" s="26">
        <f>IF(W415&lt;&gt;"",W415,IFERROR(VLOOKUP(V415,Assumptions!$A$8:$F$12,2,FALSE),0))</f>
        <v/>
      </c>
      <c r="AA415" s="28">
        <f>IF(V415="A",MAX(1,IF(X415&lt;&gt;"",X415,IFERROR(VLOOKUP(V415,Assumptions!$A$8:$F$12,3,FALSE),3))+IF(Y415&lt;&gt;"",Y415,IFERROR(VLOOKUP(V415,Assumptions!$A$8:$F$12,4,FALSE),8))/2-MAX(0,IF(AS415="",0,YEAR(TODAY())-AS415)-IFERROR(VLOOKUP(V415,Assumptions!$A$8:$F$12,5,FALSE),1.5))),IFERROR(VLOOKUP(V415,Assumptions!$A$8:$F$12,5,FALSE),2.5)+IF(X415&lt;&gt;"",X415,IFERROR(VLOOKUP(V415,Assumptions!$A$8:$F$12,3,FALSE),3))+IF(Y415&lt;&gt;"",Y415,IFERROR(VLOOKUP(V415,Assumptions!$A$8:$F$12,4,FALSE),8))/2)</f>
        <v/>
      </c>
      <c r="AB415" s="24">
        <f>U415*Z415/(1+Assumptions!$B$3)^AA415</f>
        <v/>
      </c>
      <c r="AC415" s="27">
        <f>IF(U415=0,"",ROUND(AB415/U415*100,1))</f>
        <v/>
      </c>
      <c r="AD415" s="29">
        <f>AB415*Assumptions!$B$4</f>
        <v/>
      </c>
      <c r="AE415" s="27">
        <f>IF(U415=0,"",ROUND(AD415/U415*100,1))</f>
        <v/>
      </c>
      <c r="AF415" s="29">
        <f>AB415-AD415</f>
        <v/>
      </c>
      <c r="AG415" s="27">
        <f>IF(U415=0,"",ROUND((AB415-AD415)/U415*100,1))</f>
        <v/>
      </c>
      <c r="AH415" s="36" t="inlineStr">
        <is>
          <t>CHECK — source is not a statutory creditor list</t>
        </is>
      </c>
      <c r="AI415" s="31" t="inlineStr">
        <is>
          <t>https://administradorajudicialgs.com.br/wp-content/uploads/2024/12/relacao-de-credores-da-falida.pdf</t>
        </is>
      </c>
      <c r="AJ415" s="30" t="inlineStr">
        <is>
          <t>p16 r12</t>
        </is>
      </c>
      <c r="AK415" s="30" t="inlineStr">
        <is>
          <t>p16: R$ 1.488.789,48</t>
        </is>
      </c>
      <c r="AL415" s="30" t="inlineStr">
        <is>
          <t>Other filing — NOT an art. 7/51 list</t>
        </is>
      </c>
      <c r="AM415" s="30" t="inlineStr">
        <is>
          <t>2025-03-25</t>
        </is>
      </c>
      <c r="AN415" s="30" t="inlineStr">
        <is>
          <t>NONE FOUND</t>
        </is>
      </c>
      <c r="AO415" s="32" t="inlineStr">
        <is>
          <t>0005010-50.2013.8.24.0026</t>
        </is>
      </c>
      <c r="AP415" s="32" t="inlineStr">
        <is>
          <t>TJSC</t>
        </is>
      </c>
      <c r="AQ415" s="32" t="inlineStr">
        <is>
          <t>Falência</t>
        </is>
      </c>
      <c r="AR415" s="32" t="inlineStr">
        <is>
          <t>not in DataJud</t>
        </is>
      </c>
      <c r="AS415" s="32" t="n">
        <v>2013</v>
      </c>
      <c r="AT415" s="32" t="inlineStr">
        <is>
          <t>falência proceeding (list/name says falida)</t>
        </is>
      </c>
      <c r="AU415" s="32" t="inlineStr"/>
      <c r="AV415" s="32" t="inlineStr">
        <is>
          <t>printed on the list (read twice)</t>
        </is>
      </c>
      <c r="AW415" s="32" t="inlineStr"/>
      <c r="AX415" s="32" t="inlineStr">
        <is>
          <t>CAMANDUCAIA</t>
        </is>
      </c>
      <c r="AY415" s="32" t="inlineStr">
        <is>
          <t>MG</t>
        </is>
      </c>
      <c r="AZ415" s="32" t="inlineStr">
        <is>
          <t>Fabricação de outros produtos de metal não especificados anteriormente</t>
        </is>
      </c>
      <c r="BA415" s="32" t="inlineStr">
        <is>
          <t>não ME/EPP</t>
        </is>
      </c>
      <c r="BB415" s="33" t="n">
        <v>129000000</v>
      </c>
      <c r="BC415" s="32" t="inlineStr">
        <is>
          <t>MID-MARKET</t>
        </is>
      </c>
      <c r="BD415" s="32" t="inlineStr">
        <is>
          <t>03213075</t>
        </is>
      </c>
      <c r="BE415" s="32" t="n">
        <v>1</v>
      </c>
      <c r="BF415" s="32" t="inlineStr">
        <is>
          <t>list prints no totals case no. corrected by reader</t>
        </is>
      </c>
    </row>
    <row r="416">
      <c r="A416" s="17" t="inlineStr">
        <is>
          <t>AEROMECANICA LTDA</t>
        </is>
      </c>
      <c r="B416" s="18" t="n">
        <v>205080.7</v>
      </c>
      <c r="C416" s="19" t="inlineStr">
        <is>
          <t>ENIVALDO BARELLA TIRONI, MATEUS MANHANI BARELLA, LEILA REGINA MANHANI BARELLA, B&amp;F AGRO COMÉRCIO DE GRÃOS E INSUMOS AGRÍCOLAS LTDA, BARELLA &amp; FILHOS LTDA E M M LOCAÇÃO EIRELI</t>
        </is>
      </c>
      <c r="D416" s="20" t="inlineStr">
        <is>
          <t>NEW</t>
        </is>
      </c>
      <c r="E416" s="21" t="inlineStr"/>
      <c r="F416" s="20" t="inlineStr"/>
      <c r="G416" s="21" t="inlineStr"/>
      <c r="H416" s="20" t="inlineStr"/>
      <c r="I416" s="22" t="inlineStr">
        <is>
          <t>JOAOMAR NASCIMENTO DE AZEVEDO JUNIOR</t>
        </is>
      </c>
      <c r="J416" s="23" t="inlineStr">
        <is>
          <t>Sócio-Administrador (RFB partner)</t>
        </is>
      </c>
      <c r="K416" s="22" t="inlineStr">
        <is>
          <t>(41) 3888-3200</t>
        </is>
      </c>
      <c r="L416" s="22" t="inlineStr"/>
      <c r="M416" s="22" t="inlineStr"/>
      <c r="N416" s="22" t="inlineStr"/>
      <c r="O416" s="22" t="inlineStr"/>
      <c r="P416" s="22" t="inlineStr">
        <is>
          <t>Aeromecanica Ltda</t>
        </is>
      </c>
      <c r="Q416" s="22" t="inlineStr">
        <is>
          <t>CTM</t>
        </is>
      </c>
      <c r="R416" s="22" t="inlineStr"/>
      <c r="S416" s="22" t="inlineStr">
        <is>
          <t>aeromecanica@aeromecanica.net</t>
        </is>
      </c>
      <c r="T416" s="22" t="inlineStr">
        <is>
          <t>DM = registered partner (RFB QSA); Apollo pick demoted to backup (non-finance role); BACKUP: DM is a generic company profile 'Aeromecanica Ltda' with verified generic email aeromecanica@aeromecanica.net; org phone +55 41 3888-3200</t>
        </is>
      </c>
      <c r="U416" s="24" t="n">
        <v>205080.7</v>
      </c>
      <c r="V416" s="25" t="inlineStr">
        <is>
          <t>B</t>
        </is>
      </c>
      <c r="W416" s="26" t="inlineStr"/>
      <c r="X416" s="27" t="inlineStr"/>
      <c r="Y416" s="27" t="inlineStr"/>
      <c r="Z416" s="26">
        <f>IF(W416&lt;&gt;"",W416,IFERROR(VLOOKUP(V416,Assumptions!$A$8:$F$12,2,FALSE),0))</f>
        <v/>
      </c>
      <c r="AA416" s="28">
        <f>IF(V416="A",MAX(1,IF(X416&lt;&gt;"",X416,IFERROR(VLOOKUP(V416,Assumptions!$A$8:$F$12,3,FALSE),3))+IF(Y416&lt;&gt;"",Y416,IFERROR(VLOOKUP(V416,Assumptions!$A$8:$F$12,4,FALSE),8))/2-MAX(0,IF(AS416="",0,YEAR(TODAY())-AS416)-IFERROR(VLOOKUP(V416,Assumptions!$A$8:$F$12,5,FALSE),1.5))),IFERROR(VLOOKUP(V416,Assumptions!$A$8:$F$12,5,FALSE),2.5)+IF(X416&lt;&gt;"",X416,IFERROR(VLOOKUP(V416,Assumptions!$A$8:$F$12,3,FALSE),3))+IF(Y416&lt;&gt;"",Y416,IFERROR(VLOOKUP(V416,Assumptions!$A$8:$F$12,4,FALSE),8))/2)</f>
        <v/>
      </c>
      <c r="AB416" s="24">
        <f>U416*Z416/(1+Assumptions!$B$3)^AA416</f>
        <v/>
      </c>
      <c r="AC416" s="27">
        <f>IF(U416=0,"",ROUND(AB416/U416*100,1))</f>
        <v/>
      </c>
      <c r="AD416" s="29">
        <f>AB416*Assumptions!$B$4</f>
        <v/>
      </c>
      <c r="AE416" s="27">
        <f>IF(U416=0,"",ROUND(AD416/U416*100,1))</f>
        <v/>
      </c>
      <c r="AF416" s="29">
        <f>AB416-AD416</f>
        <v/>
      </c>
      <c r="AG416" s="27">
        <f>IF(U416=0,"",ROUND((AB416-AD416)/U416*100,1))</f>
        <v/>
      </c>
      <c r="AH416" s="34" t="inlineStr">
        <is>
          <t>NO TOTALS — list prints none; check page</t>
        </is>
      </c>
      <c r="AI416" s="31" t="inlineStr">
        <is>
          <t>https://scalzilliaj.com.br/sgc/download.php?file=files/processo_documento/processo_documento15542620022025_1_.pdf&amp;nome=11 - Relação de credores - art. 7º, §2º, da LREF</t>
        </is>
      </c>
      <c r="AJ416" s="30" t="inlineStr">
        <is>
          <t>p1 r8</t>
        </is>
      </c>
      <c r="AK416" s="30" t="inlineStr">
        <is>
          <t>p1: R$ 205.080,70</t>
        </is>
      </c>
      <c r="AL416" s="30" t="inlineStr">
        <is>
          <t>AJ list (art. 7 §2)</t>
        </is>
      </c>
      <c r="AM416" s="30" t="inlineStr">
        <is>
          <t>2025-02-19</t>
        </is>
      </c>
      <c r="AN416" s="30" t="inlineStr">
        <is>
          <t>NONE FOUND</t>
        </is>
      </c>
      <c r="AO416" s="32" t="inlineStr">
        <is>
          <t>0028131-73.2024.8.16.0017</t>
        </is>
      </c>
      <c r="AP416" s="32" t="inlineStr">
        <is>
          <t>TJPR</t>
        </is>
      </c>
      <c r="AQ416" s="32" t="inlineStr">
        <is>
          <t>Recuperação judicial</t>
        </is>
      </c>
      <c r="AR416" s="32" t="inlineStr">
        <is>
          <t>DataJud: no closure/falência movement</t>
        </is>
      </c>
      <c r="AS416" s="32" t="n">
        <v>2024</v>
      </c>
      <c r="AT416" s="32" t="inlineStr">
        <is>
          <t>live case, no plan document yet</t>
        </is>
      </c>
      <c r="AU416" s="32" t="inlineStr"/>
      <c r="AV416" s="32" t="inlineStr">
        <is>
          <t>printed on the list (read twice)</t>
        </is>
      </c>
      <c r="AW416" s="32" t="inlineStr"/>
      <c r="AX416" s="32" t="inlineStr">
        <is>
          <t>CURITIBA</t>
        </is>
      </c>
      <c r="AY416" s="32" t="inlineStr">
        <is>
          <t>PR</t>
        </is>
      </c>
      <c r="AZ416" s="32" t="inlineStr">
        <is>
          <t>Manutenção e reparação de aeronaves, exceto a manutenção na pista</t>
        </is>
      </c>
      <c r="BA416" s="32" t="inlineStr">
        <is>
          <t>não ME/EPP</t>
        </is>
      </c>
      <c r="BB416" s="33" t="n">
        <v>1163607</v>
      </c>
      <c r="BC416" s="32" t="inlineStr">
        <is>
          <t>MID-MARKET</t>
        </is>
      </c>
      <c r="BD416" s="32" t="inlineStr">
        <is>
          <t>03609434</t>
        </is>
      </c>
      <c r="BE416" s="32" t="n">
        <v>1</v>
      </c>
      <c r="BF416" s="32" t="inlineStr">
        <is>
          <t>list prints no totals</t>
        </is>
      </c>
    </row>
    <row r="417">
      <c r="A417" s="17" t="inlineStr">
        <is>
          <t>A2 COMERCIO ATACADISTA DE ELETRONICOS LTDA</t>
        </is>
      </c>
      <c r="B417" s="18" t="n">
        <v>788981.8199999999</v>
      </c>
      <c r="C417" s="19" t="inlineStr">
        <is>
          <t>CREDIMÓVEIS NOVOLAR LTDA.</t>
        </is>
      </c>
      <c r="D417" s="20" t="inlineStr">
        <is>
          <t>NEW</t>
        </is>
      </c>
      <c r="E417" s="21" t="inlineStr"/>
      <c r="F417" s="20" t="inlineStr"/>
      <c r="G417" s="21" t="inlineStr"/>
      <c r="H417" s="20" t="inlineStr"/>
      <c r="I417" s="22" t="inlineStr">
        <is>
          <t>SEBASTIAO ATANAEL DE REZENDE</t>
        </is>
      </c>
      <c r="J417" s="23" t="inlineStr">
        <is>
          <t>Sócio-Administrador (RFB partner)</t>
        </is>
      </c>
      <c r="K417" s="22" t="inlineStr">
        <is>
          <t>(87) 3848-3000</t>
        </is>
      </c>
      <c r="L417" s="22" t="inlineStr"/>
      <c r="M417" s="22" t="inlineStr"/>
      <c r="N417" s="22" t="inlineStr"/>
      <c r="O417" s="22" t="inlineStr"/>
      <c r="P417" s="22" t="inlineStr"/>
      <c r="Q417" s="22" t="inlineStr"/>
      <c r="R417" s="22" t="inlineStr"/>
      <c r="S417" s="22" t="inlineStr"/>
      <c r="T417" s="22" t="inlineStr">
        <is>
          <t>DM = registered partner (RFB QSA); no Apollo match</t>
        </is>
      </c>
      <c r="U417" s="24" t="n">
        <v>788981.8199999999</v>
      </c>
      <c r="V417" s="39" t="inlineStr">
        <is>
          <t>C</t>
        </is>
      </c>
      <c r="W417" s="26" t="inlineStr"/>
      <c r="X417" s="27" t="inlineStr"/>
      <c r="Y417" s="27" t="inlineStr"/>
      <c r="Z417" s="26">
        <f>IF(W417&lt;&gt;"",W417,IFERROR(VLOOKUP(V417,Assumptions!$A$8:$F$12,2,FALSE),0))</f>
        <v/>
      </c>
      <c r="AA417" s="28">
        <f>IF(V417="A",MAX(1,IF(X417&lt;&gt;"",X417,IFERROR(VLOOKUP(V417,Assumptions!$A$8:$F$12,3,FALSE),3))+IF(Y417&lt;&gt;"",Y417,IFERROR(VLOOKUP(V417,Assumptions!$A$8:$F$12,4,FALSE),8))/2-MAX(0,IF(AS417="",0,YEAR(TODAY())-AS417)-IFERROR(VLOOKUP(V417,Assumptions!$A$8:$F$12,5,FALSE),1.5))),IFERROR(VLOOKUP(V417,Assumptions!$A$8:$F$12,5,FALSE),2.5)+IF(X417&lt;&gt;"",X417,IFERROR(VLOOKUP(V417,Assumptions!$A$8:$F$12,3,FALSE),3))+IF(Y417&lt;&gt;"",Y417,IFERROR(VLOOKUP(V417,Assumptions!$A$8:$F$12,4,FALSE),8))/2)</f>
        <v/>
      </c>
      <c r="AB417" s="24">
        <f>U417*Z417/(1+Assumptions!$B$3)^AA417</f>
        <v/>
      </c>
      <c r="AC417" s="27">
        <f>IF(U417=0,"",ROUND(AB417/U417*100,1))</f>
        <v/>
      </c>
      <c r="AD417" s="29">
        <f>AB417*Assumptions!$B$4</f>
        <v/>
      </c>
      <c r="AE417" s="27">
        <f>IF(U417=0,"",ROUND(AD417/U417*100,1))</f>
        <v/>
      </c>
      <c r="AF417" s="29">
        <f>AB417-AD417</f>
        <v/>
      </c>
      <c r="AG417" s="27">
        <f>IF(U417=0,"",ROUND((AB417-AD417)/U417*100,1))</f>
        <v/>
      </c>
      <c r="AH417" s="30" t="inlineStr">
        <is>
          <t>OK — totals reconciled</t>
        </is>
      </c>
      <c r="AI417" s="31" t="inlineStr">
        <is>
          <t>https://recuperacaojudicial.squarespace.com/s/RJ-Credimoveis-QGC-01082025.pdf</t>
        </is>
      </c>
      <c r="AJ417" s="30" t="inlineStr">
        <is>
          <t>p15 r2</t>
        </is>
      </c>
      <c r="AK417" s="30" t="inlineStr">
        <is>
          <t>p15: R$ 788.981,82</t>
        </is>
      </c>
      <c r="AL417" s="30" t="inlineStr">
        <is>
          <t>QGC (art. 18)</t>
        </is>
      </c>
      <c r="AM417" s="30" t="inlineStr">
        <is>
          <t>2026-01-28</t>
        </is>
      </c>
      <c r="AN417" s="30" t="inlineStr">
        <is>
          <t>NONE FOUND</t>
        </is>
      </c>
      <c r="AO417" s="32" t="inlineStr">
        <is>
          <t>0007565-40.2020.8.17.2370</t>
        </is>
      </c>
      <c r="AP417" s="32" t="inlineStr">
        <is>
          <t>TJPE</t>
        </is>
      </c>
      <c r="AQ417" s="32" t="inlineStr">
        <is>
          <t>Recuperação judicial</t>
        </is>
      </c>
      <c r="AR417" s="32" t="inlineStr">
        <is>
          <t>DataJud: no closure/falência movement</t>
        </is>
      </c>
      <c r="AS417" s="32" t="n">
        <v>2020</v>
      </c>
      <c r="AT417" s="32" t="inlineStr">
        <is>
          <t>6y since filing; plan not in our documents</t>
        </is>
      </c>
      <c r="AU417" s="32" t="inlineStr">
        <is>
          <t>09.930.165/0001-37</t>
        </is>
      </c>
      <c r="AV417" s="32" t="inlineStr">
        <is>
          <t>printed on the list (read twice)</t>
        </is>
      </c>
      <c r="AW417" s="32" t="inlineStr"/>
      <c r="AX417" s="32" t="inlineStr">
        <is>
          <t>CAMPINA GRANDE</t>
        </is>
      </c>
      <c r="AY417" s="32" t="inlineStr">
        <is>
          <t>PB</t>
        </is>
      </c>
      <c r="AZ417" s="32" t="inlineStr">
        <is>
          <t>Comércio atacadista de aparelhos eletrônicos de uso pessoal e doméstico</t>
        </is>
      </c>
      <c r="BA417" s="32" t="inlineStr">
        <is>
          <t>não ME/EPP</t>
        </is>
      </c>
      <c r="BB417" s="33" t="n">
        <v>82743570</v>
      </c>
      <c r="BC417" s="32" t="inlineStr">
        <is>
          <t>MID-MARKET</t>
        </is>
      </c>
      <c r="BD417" s="32" t="inlineStr">
        <is>
          <t>26910194</t>
        </is>
      </c>
      <c r="BE417" s="32" t="n">
        <v>1</v>
      </c>
      <c r="BF417" s="32" t="inlineStr"/>
    </row>
    <row r="418">
      <c r="A418" s="17" t="inlineStr">
        <is>
          <t>ITATIAIA ELETRO E MOVEIS S/A</t>
        </is>
      </c>
      <c r="B418" s="18" t="n">
        <v>780425.22</v>
      </c>
      <c r="C418" s="19" t="inlineStr">
        <is>
          <t>CREDIMÓVEIS NOVOLAR LTDA.</t>
        </is>
      </c>
      <c r="D418" s="20" t="inlineStr">
        <is>
          <t>NEW</t>
        </is>
      </c>
      <c r="E418" s="21" t="inlineStr"/>
      <c r="F418" s="20" t="inlineStr"/>
      <c r="G418" s="21" t="inlineStr"/>
      <c r="H418" s="20" t="inlineStr"/>
      <c r="I418" s="22" t="inlineStr">
        <is>
          <t>VICTOR PENNA COSTA</t>
        </is>
      </c>
      <c r="J418" s="23" t="inlineStr">
        <is>
          <t>Presidente (RFB partner)</t>
        </is>
      </c>
      <c r="K418" s="22" t="inlineStr">
        <is>
          <t>(32) 3539-1200</t>
        </is>
      </c>
      <c r="L418" s="22" t="inlineStr"/>
      <c r="M418" s="22" t="inlineStr"/>
      <c r="N418" s="22" t="inlineStr"/>
      <c r="O418" s="22" t="inlineStr"/>
      <c r="P418" s="22" t="inlineStr">
        <is>
          <t>AGNALDO CAZITA LOPES</t>
        </is>
      </c>
      <c r="Q418" s="22" t="inlineStr">
        <is>
          <t>Diretor (RFB partner)</t>
        </is>
      </c>
      <c r="R418" s="22" t="inlineStr"/>
      <c r="S418" s="22" t="inlineStr"/>
      <c r="T418" s="22" t="inlineStr">
        <is>
          <t>DM = registered partner (RFB QSA); no Apollo match</t>
        </is>
      </c>
      <c r="U418" s="24" t="n">
        <v>780425.22</v>
      </c>
      <c r="V418" s="39" t="inlineStr">
        <is>
          <t>C</t>
        </is>
      </c>
      <c r="W418" s="26" t="inlineStr"/>
      <c r="X418" s="27" t="inlineStr"/>
      <c r="Y418" s="27" t="inlineStr"/>
      <c r="Z418" s="26">
        <f>IF(W418&lt;&gt;"",W418,IFERROR(VLOOKUP(V418,Assumptions!$A$8:$F$12,2,FALSE),0))</f>
        <v/>
      </c>
      <c r="AA418" s="28">
        <f>IF(V418="A",MAX(1,IF(X418&lt;&gt;"",X418,IFERROR(VLOOKUP(V418,Assumptions!$A$8:$F$12,3,FALSE),3))+IF(Y418&lt;&gt;"",Y418,IFERROR(VLOOKUP(V418,Assumptions!$A$8:$F$12,4,FALSE),8))/2-MAX(0,IF(AS418="",0,YEAR(TODAY())-AS418)-IFERROR(VLOOKUP(V418,Assumptions!$A$8:$F$12,5,FALSE),1.5))),IFERROR(VLOOKUP(V418,Assumptions!$A$8:$F$12,5,FALSE),2.5)+IF(X418&lt;&gt;"",X418,IFERROR(VLOOKUP(V418,Assumptions!$A$8:$F$12,3,FALSE),3))+IF(Y418&lt;&gt;"",Y418,IFERROR(VLOOKUP(V418,Assumptions!$A$8:$F$12,4,FALSE),8))/2)</f>
        <v/>
      </c>
      <c r="AB418" s="24">
        <f>U418*Z418/(1+Assumptions!$B$3)^AA418</f>
        <v/>
      </c>
      <c r="AC418" s="27">
        <f>IF(U418=0,"",ROUND(AB418/U418*100,1))</f>
        <v/>
      </c>
      <c r="AD418" s="29">
        <f>AB418*Assumptions!$B$4</f>
        <v/>
      </c>
      <c r="AE418" s="27">
        <f>IF(U418=0,"",ROUND(AD418/U418*100,1))</f>
        <v/>
      </c>
      <c r="AF418" s="29">
        <f>AB418-AD418</f>
        <v/>
      </c>
      <c r="AG418" s="27">
        <f>IF(U418=0,"",ROUND((AB418-AD418)/U418*100,1))</f>
        <v/>
      </c>
      <c r="AH418" s="30" t="inlineStr">
        <is>
          <t>OK — totals reconciled</t>
        </is>
      </c>
      <c r="AI418" s="31" t="inlineStr">
        <is>
          <t>https://recuperacaojudicial.squarespace.com/s/RJ-Credimoveis-QGC-01082025.pdf</t>
        </is>
      </c>
      <c r="AJ418" s="30" t="inlineStr">
        <is>
          <t>p15 r63</t>
        </is>
      </c>
      <c r="AK418" s="30" t="inlineStr">
        <is>
          <t>p15: R$ 780.425,22</t>
        </is>
      </c>
      <c r="AL418" s="30" t="inlineStr">
        <is>
          <t>QGC (art. 18)</t>
        </is>
      </c>
      <c r="AM418" s="30" t="inlineStr">
        <is>
          <t>2026-01-28</t>
        </is>
      </c>
      <c r="AN418" s="30" t="inlineStr">
        <is>
          <t>NONE FOUND</t>
        </is>
      </c>
      <c r="AO418" s="32" t="inlineStr">
        <is>
          <t>0007565-40.2020.8.17.2370</t>
        </is>
      </c>
      <c r="AP418" s="32" t="inlineStr">
        <is>
          <t>TJPE</t>
        </is>
      </c>
      <c r="AQ418" s="32" t="inlineStr">
        <is>
          <t>Recuperação judicial</t>
        </is>
      </c>
      <c r="AR418" s="32" t="inlineStr">
        <is>
          <t>DataJud: no closure/falência movement</t>
        </is>
      </c>
      <c r="AS418" s="32" t="n">
        <v>2020</v>
      </c>
      <c r="AT418" s="32" t="inlineStr">
        <is>
          <t>6y since filing; plan not in our documents</t>
        </is>
      </c>
      <c r="AU418" s="32" t="inlineStr">
        <is>
          <t>09.930.165/0001-37</t>
        </is>
      </c>
      <c r="AV418" s="32" t="inlineStr">
        <is>
          <t>printed on the list (read twice)</t>
        </is>
      </c>
      <c r="AW418" s="32" t="inlineStr"/>
      <c r="AX418" s="32" t="inlineStr">
        <is>
          <t>UBA</t>
        </is>
      </c>
      <c r="AY418" s="32" t="inlineStr">
        <is>
          <t>MG</t>
        </is>
      </c>
      <c r="AZ418" s="32" t="inlineStr">
        <is>
          <t>Fabricação de móveis com predominância de metal</t>
        </is>
      </c>
      <c r="BA418" s="32" t="inlineStr">
        <is>
          <t>não ME/EPP</t>
        </is>
      </c>
      <c r="BB418" s="33" t="n">
        <v>250611730</v>
      </c>
      <c r="BC418" s="32" t="inlineStr">
        <is>
          <t>MID-MARKET</t>
        </is>
      </c>
      <c r="BD418" s="32" t="inlineStr">
        <is>
          <t>25331521</t>
        </is>
      </c>
      <c r="BE418" s="32" t="n">
        <v>1</v>
      </c>
      <c r="BF418" s="32" t="inlineStr"/>
    </row>
    <row r="419">
      <c r="A419" s="17" t="inlineStr">
        <is>
          <t>ATLAS INDUSTRIA DE ELETRODOMESTICOS LTDA.</t>
        </is>
      </c>
      <c r="B419" s="18" t="n">
        <v>779392.23</v>
      </c>
      <c r="C419" s="19" t="inlineStr">
        <is>
          <t>CREDIMÓVEIS NOVOLAR LTDA.</t>
        </is>
      </c>
      <c r="D419" s="20" t="inlineStr">
        <is>
          <t>NEW</t>
        </is>
      </c>
      <c r="E419" s="21" t="inlineStr"/>
      <c r="F419" s="20" t="inlineStr"/>
      <c r="G419" s="21" t="inlineStr"/>
      <c r="H419" s="20" t="inlineStr"/>
      <c r="I419" s="22" t="inlineStr">
        <is>
          <t>Edenilson Dalbosco</t>
        </is>
      </c>
      <c r="J419" s="22" t="inlineStr">
        <is>
          <t>Dir. Adm/Financeiro</t>
        </is>
      </c>
      <c r="K419" s="22" t="inlineStr">
        <is>
          <t>(46) 3771-1500</t>
        </is>
      </c>
      <c r="L419" s="22" t="inlineStr">
        <is>
          <t>(46) 3771-5090</t>
        </is>
      </c>
      <c r="M419" s="22" t="inlineStr"/>
      <c r="N419" s="22" t="inlineStr"/>
      <c r="O419" s="22" t="inlineStr"/>
      <c r="P419" s="22" t="inlineStr">
        <is>
          <t>Luciano Vieira</t>
        </is>
      </c>
      <c r="Q419" s="22" t="inlineStr">
        <is>
          <t>Financial Manager</t>
        </is>
      </c>
      <c r="R419" s="22" t="inlineStr"/>
      <c r="S419" s="22" t="inlineStr">
        <is>
          <t>luciano.vieira@atlas.ind.br</t>
        </is>
      </c>
      <c r="T419" s="22" t="inlineStr">
        <is>
          <t>DM: phone Yes; no work email in Apollo for DM; BACKUP: backup, has_email, phone Yes</t>
        </is>
      </c>
      <c r="U419" s="24" t="n">
        <v>779392.23</v>
      </c>
      <c r="V419" s="39" t="inlineStr">
        <is>
          <t>C</t>
        </is>
      </c>
      <c r="W419" s="26" t="inlineStr"/>
      <c r="X419" s="27" t="inlineStr"/>
      <c r="Y419" s="27" t="inlineStr"/>
      <c r="Z419" s="26">
        <f>IF(W419&lt;&gt;"",W419,IFERROR(VLOOKUP(V419,Assumptions!$A$8:$F$12,2,FALSE),0))</f>
        <v/>
      </c>
      <c r="AA419" s="28">
        <f>IF(V419="A",MAX(1,IF(X419&lt;&gt;"",X419,IFERROR(VLOOKUP(V419,Assumptions!$A$8:$F$12,3,FALSE),3))+IF(Y419&lt;&gt;"",Y419,IFERROR(VLOOKUP(V419,Assumptions!$A$8:$F$12,4,FALSE),8))/2-MAX(0,IF(AS419="",0,YEAR(TODAY())-AS419)-IFERROR(VLOOKUP(V419,Assumptions!$A$8:$F$12,5,FALSE),1.5))),IFERROR(VLOOKUP(V419,Assumptions!$A$8:$F$12,5,FALSE),2.5)+IF(X419&lt;&gt;"",X419,IFERROR(VLOOKUP(V419,Assumptions!$A$8:$F$12,3,FALSE),3))+IF(Y419&lt;&gt;"",Y419,IFERROR(VLOOKUP(V419,Assumptions!$A$8:$F$12,4,FALSE),8))/2)</f>
        <v/>
      </c>
      <c r="AB419" s="24">
        <f>U419*Z419/(1+Assumptions!$B$3)^AA419</f>
        <v/>
      </c>
      <c r="AC419" s="27">
        <f>IF(U419=0,"",ROUND(AB419/U419*100,1))</f>
        <v/>
      </c>
      <c r="AD419" s="29">
        <f>AB419*Assumptions!$B$4</f>
        <v/>
      </c>
      <c r="AE419" s="27">
        <f>IF(U419=0,"",ROUND(AD419/U419*100,1))</f>
        <v/>
      </c>
      <c r="AF419" s="29">
        <f>AB419-AD419</f>
        <v/>
      </c>
      <c r="AG419" s="27">
        <f>IF(U419=0,"",ROUND((AB419-AD419)/U419*100,1))</f>
        <v/>
      </c>
      <c r="AH419" s="30" t="inlineStr">
        <is>
          <t>OK — totals reconciled</t>
        </is>
      </c>
      <c r="AI419" s="31" t="inlineStr">
        <is>
          <t>https://recuperacaojudicial.squarespace.com/s/RJ-Credimoveis-QGC-01082025.pdf</t>
        </is>
      </c>
      <c r="AJ419" s="30" t="inlineStr">
        <is>
          <t>p15 r11</t>
        </is>
      </c>
      <c r="AK419" s="30" t="inlineStr">
        <is>
          <t>p15: R$ 779.392,23</t>
        </is>
      </c>
      <c r="AL419" s="30" t="inlineStr">
        <is>
          <t>QGC (art. 18)</t>
        </is>
      </c>
      <c r="AM419" s="30" t="inlineStr">
        <is>
          <t>2026-01-28</t>
        </is>
      </c>
      <c r="AN419" s="30" t="inlineStr">
        <is>
          <t>NONE FOUND</t>
        </is>
      </c>
      <c r="AO419" s="32" t="inlineStr">
        <is>
          <t>0007565-40.2020.8.17.2370</t>
        </is>
      </c>
      <c r="AP419" s="32" t="inlineStr">
        <is>
          <t>TJPE</t>
        </is>
      </c>
      <c r="AQ419" s="32" t="inlineStr">
        <is>
          <t>Recuperação judicial</t>
        </is>
      </c>
      <c r="AR419" s="32" t="inlineStr">
        <is>
          <t>DataJud: no closure/falência movement</t>
        </is>
      </c>
      <c r="AS419" s="32" t="n">
        <v>2020</v>
      </c>
      <c r="AT419" s="32" t="inlineStr">
        <is>
          <t>6y since filing; plan not in our documents</t>
        </is>
      </c>
      <c r="AU419" s="32" t="inlineStr">
        <is>
          <t>09.930.165/0001-37</t>
        </is>
      </c>
      <c r="AV419" s="32" t="inlineStr">
        <is>
          <t>printed on the list (read twice)</t>
        </is>
      </c>
      <c r="AW419" s="32" t="inlineStr"/>
      <c r="AX419" s="32" t="inlineStr">
        <is>
          <t>PATO BRANCO</t>
        </is>
      </c>
      <c r="AY419" s="32" t="inlineStr">
        <is>
          <t>PR</t>
        </is>
      </c>
      <c r="AZ419" s="32" t="inlineStr">
        <is>
          <t>Fabricação de fogões, refrigeradores e máquinas de lavar e secar para uso doméstico, peças e acessórios</t>
        </is>
      </c>
      <c r="BA419" s="32" t="inlineStr">
        <is>
          <t>não ME/EPP</t>
        </is>
      </c>
      <c r="BB419" s="33" t="n">
        <v>42305000</v>
      </c>
      <c r="BC419" s="32" t="inlineStr">
        <is>
          <t>MID-MARKET</t>
        </is>
      </c>
      <c r="BD419" s="32" t="inlineStr">
        <is>
          <t>78242849</t>
        </is>
      </c>
      <c r="BE419" s="32" t="n">
        <v>1</v>
      </c>
      <c r="BF419" s="32" t="inlineStr"/>
    </row>
    <row r="420">
      <c r="A420" s="17" t="inlineStr">
        <is>
          <t>BRUSINOX INDUSTRIA COMERCIO MAQUINAS EQUIPAMENTOS LTDA.</t>
        </is>
      </c>
      <c r="B420" s="18" t="n">
        <v>870843.88</v>
      </c>
      <c r="C420" s="19" t="inlineStr">
        <is>
          <t>GRUPO 3E</t>
        </is>
      </c>
      <c r="D420" s="20" t="inlineStr">
        <is>
          <t>NEW</t>
        </is>
      </c>
      <c r="E420" s="21" t="inlineStr"/>
      <c r="F420" s="20" t="inlineStr"/>
      <c r="G420" s="21" t="inlineStr"/>
      <c r="H420" s="20" t="inlineStr"/>
      <c r="I420" s="22" t="inlineStr">
        <is>
          <t>Simoni Bertolini</t>
        </is>
      </c>
      <c r="J420" s="22" t="inlineStr">
        <is>
          <t>Auxiliar Administrativo - Endomarketing e Assistente Financeiro</t>
        </is>
      </c>
      <c r="K420" s="22" t="inlineStr">
        <is>
          <t>(47) 3351-4500</t>
        </is>
      </c>
      <c r="L420" s="22" t="inlineStr"/>
      <c r="M420" s="22" t="inlineStr"/>
      <c r="N420" s="22" t="inlineStr">
        <is>
          <t>aux.adm@brusinox.com.br</t>
        </is>
      </c>
      <c r="O420" s="22" t="inlineStr">
        <is>
          <t>verified</t>
        </is>
      </c>
      <c r="P420" s="22" t="inlineStr">
        <is>
          <t>Marcos Brandt</t>
        </is>
      </c>
      <c r="Q420" s="22" t="inlineStr">
        <is>
          <t>(no title)</t>
        </is>
      </c>
      <c r="R420" s="22" t="inlineStr"/>
      <c r="S420" s="22" t="inlineStr">
        <is>
          <t>marcos@brusinox.com.br</t>
        </is>
      </c>
      <c r="T420" s="22" t="inlineStr">
        <is>
          <t>DM: weak, has_email, phone Yes; BACKUP: backup, has_email</t>
        </is>
      </c>
      <c r="U420" s="24" t="n">
        <v>870843.88</v>
      </c>
      <c r="V420" s="25" t="inlineStr">
        <is>
          <t>B</t>
        </is>
      </c>
      <c r="W420" s="26" t="n">
        <v>0.12</v>
      </c>
      <c r="X420" s="27" t="n">
        <v>2</v>
      </c>
      <c r="Y420" s="27" t="n">
        <v>13</v>
      </c>
      <c r="Z420" s="26">
        <f>IF(W420&lt;&gt;"",W420,IFERROR(VLOOKUP(V420,Assumptions!$A$8:$F$12,2,FALSE),0))</f>
        <v/>
      </c>
      <c r="AA420" s="28">
        <f>IF(V420="A",MAX(1,IF(X420&lt;&gt;"",X420,IFERROR(VLOOKUP(V420,Assumptions!$A$8:$F$12,3,FALSE),3))+IF(Y420&lt;&gt;"",Y420,IFERROR(VLOOKUP(V420,Assumptions!$A$8:$F$12,4,FALSE),8))/2-MAX(0,IF(AS420="",0,YEAR(TODAY())-AS420)-IFERROR(VLOOKUP(V420,Assumptions!$A$8:$F$12,5,FALSE),1.5))),IFERROR(VLOOKUP(V420,Assumptions!$A$8:$F$12,5,FALSE),2.5)+IF(X420&lt;&gt;"",X420,IFERROR(VLOOKUP(V420,Assumptions!$A$8:$F$12,3,FALSE),3))+IF(Y420&lt;&gt;"",Y420,IFERROR(VLOOKUP(V420,Assumptions!$A$8:$F$12,4,FALSE),8))/2)</f>
        <v/>
      </c>
      <c r="AB420" s="24">
        <f>U420*Z420/(1+Assumptions!$B$3)^AA420</f>
        <v/>
      </c>
      <c r="AC420" s="27">
        <f>IF(U420=0,"",ROUND(AB420/U420*100,1))</f>
        <v/>
      </c>
      <c r="AD420" s="29">
        <f>AB420*Assumptions!$B$4</f>
        <v/>
      </c>
      <c r="AE420" s="27">
        <f>IF(U420=0,"",ROUND(AD420/U420*100,1))</f>
        <v/>
      </c>
      <c r="AF420" s="29">
        <f>AB420-AD420</f>
        <v/>
      </c>
      <c r="AG420" s="27">
        <f>IF(U420=0,"",ROUND((AB420-AD420)/U420*100,1))</f>
        <v/>
      </c>
      <c r="AH420" s="34" t="inlineStr">
        <is>
          <t>NO TOTALS — list prints none; check page</t>
        </is>
      </c>
      <c r="AI420" s="31" t="inlineStr">
        <is>
          <t>https://stenius.com.br/wp-content/uploads/2026/06/EDITAL-GRUPO-3E.pdf</t>
        </is>
      </c>
      <c r="AJ420" s="30" t="inlineStr">
        <is>
          <t>p11 r17</t>
        </is>
      </c>
      <c r="AK420" s="30" t="inlineStr">
        <is>
          <t>p11: R$ 870.843,88</t>
        </is>
      </c>
      <c r="AL420" s="30" t="inlineStr">
        <is>
          <t>Debtor list (art. 51)</t>
        </is>
      </c>
      <c r="AM420" s="30" t="inlineStr">
        <is>
          <t>2026-06-22</t>
        </is>
      </c>
      <c r="AN420" s="30" t="inlineStr">
        <is>
          <t>PLAN FILED (art. 53), not granted</t>
        </is>
      </c>
      <c r="AO420" s="32" t="inlineStr">
        <is>
          <t>5341375-33.2026.8.09.0049</t>
        </is>
      </c>
      <c r="AP420" s="32" t="inlineStr">
        <is>
          <t>TJGO</t>
        </is>
      </c>
      <c r="AQ420" s="32" t="inlineStr">
        <is>
          <t>Recuperação judicial</t>
        </is>
      </c>
      <c r="AR420" s="32" t="inlineStr">
        <is>
          <t>DataJud: no closure/falência movement</t>
        </is>
      </c>
      <c r="AS420" s="32" t="n">
        <v>2026</v>
      </c>
      <c r="AT420" s="32" t="inlineStr">
        <is>
          <t>plan filed (art. 53), not yet granted</t>
        </is>
      </c>
      <c r="AU420" s="32" t="inlineStr"/>
      <c r="AV420" s="32" t="inlineStr">
        <is>
          <t>printed on the list (read twice)</t>
        </is>
      </c>
      <c r="AW420" s="32" t="inlineStr">
        <is>
          <t>Plano de Recuperação Judicial Grupo 3E v2.0 (Métis), mov. 321, pp.24-25</t>
        </is>
      </c>
      <c r="AX420" s="32" t="inlineStr">
        <is>
          <t>BRUSQUE</t>
        </is>
      </c>
      <c r="AY420" s="32" t="inlineStr">
        <is>
          <t>SC</t>
        </is>
      </c>
      <c r="AZ420" s="32" t="inlineStr">
        <is>
          <t>Fabricação de outras máquinas e equipamentos de uso geral não especificados anteriormente, peças e acessórios</t>
        </is>
      </c>
      <c r="BA420" s="32" t="inlineStr">
        <is>
          <t>não ME/EPP</t>
        </is>
      </c>
      <c r="BB420" s="33" t="n">
        <v>2000000</v>
      </c>
      <c r="BC420" s="32" t="inlineStr">
        <is>
          <t>MID-MARKET</t>
        </is>
      </c>
      <c r="BD420" s="32" t="inlineStr">
        <is>
          <t>00939873</t>
        </is>
      </c>
      <c r="BE420" s="32" t="n">
        <v>1</v>
      </c>
      <c r="BF420" s="32" t="inlineStr">
        <is>
          <t>list prints no totals</t>
        </is>
      </c>
    </row>
    <row r="421">
      <c r="A421" s="17" t="inlineStr">
        <is>
          <t>MERCOFRICON S/A</t>
        </is>
      </c>
      <c r="B421" s="18" t="n">
        <v>744752.65</v>
      </c>
      <c r="C421" s="19" t="inlineStr">
        <is>
          <t>CREDIMÓVEIS NOVOLAR LTDA.</t>
        </is>
      </c>
      <c r="D421" s="20" t="inlineStr">
        <is>
          <t>NEW</t>
        </is>
      </c>
      <c r="E421" s="21" t="inlineStr"/>
      <c r="F421" s="20" t="inlineStr"/>
      <c r="G421" s="21" t="inlineStr"/>
      <c r="H421" s="20" t="inlineStr"/>
      <c r="I421" s="22" t="inlineStr">
        <is>
          <t>RUI MANUEL COUTINHO DE AZEVEDO</t>
        </is>
      </c>
      <c r="J421" s="23" t="inlineStr">
        <is>
          <t>Presidente (RFB partner)</t>
        </is>
      </c>
      <c r="K421" s="22" t="inlineStr">
        <is>
          <t>(81) 2121-5047</t>
        </is>
      </c>
      <c r="L421" s="22" t="inlineStr"/>
      <c r="M421" s="22" t="inlineStr"/>
      <c r="N421" s="22" t="inlineStr"/>
      <c r="O421" s="22" t="inlineStr"/>
      <c r="P421" s="22" t="inlineStr">
        <is>
          <t>ARTUR BORGES AZEVEDO</t>
        </is>
      </c>
      <c r="Q421" s="22" t="inlineStr">
        <is>
          <t>Diretor (RFB partner)</t>
        </is>
      </c>
      <c r="R421" s="22" t="inlineStr"/>
      <c r="S421" s="22" t="inlineStr"/>
      <c r="T421" s="22" t="inlineStr">
        <is>
          <t>DM = registered partner (RFB QSA); no Apollo match</t>
        </is>
      </c>
      <c r="U421" s="24" t="n">
        <v>744752.65</v>
      </c>
      <c r="V421" s="39" t="inlineStr">
        <is>
          <t>C</t>
        </is>
      </c>
      <c r="W421" s="26" t="inlineStr"/>
      <c r="X421" s="27" t="inlineStr"/>
      <c r="Y421" s="27" t="inlineStr"/>
      <c r="Z421" s="26">
        <f>IF(W421&lt;&gt;"",W421,IFERROR(VLOOKUP(V421,Assumptions!$A$8:$F$12,2,FALSE),0))</f>
        <v/>
      </c>
      <c r="AA421" s="28">
        <f>IF(V421="A",MAX(1,IF(X421&lt;&gt;"",X421,IFERROR(VLOOKUP(V421,Assumptions!$A$8:$F$12,3,FALSE),3))+IF(Y421&lt;&gt;"",Y421,IFERROR(VLOOKUP(V421,Assumptions!$A$8:$F$12,4,FALSE),8))/2-MAX(0,IF(AS421="",0,YEAR(TODAY())-AS421)-IFERROR(VLOOKUP(V421,Assumptions!$A$8:$F$12,5,FALSE),1.5))),IFERROR(VLOOKUP(V421,Assumptions!$A$8:$F$12,5,FALSE),2.5)+IF(X421&lt;&gt;"",X421,IFERROR(VLOOKUP(V421,Assumptions!$A$8:$F$12,3,FALSE),3))+IF(Y421&lt;&gt;"",Y421,IFERROR(VLOOKUP(V421,Assumptions!$A$8:$F$12,4,FALSE),8))/2)</f>
        <v/>
      </c>
      <c r="AB421" s="24">
        <f>U421*Z421/(1+Assumptions!$B$3)^AA421</f>
        <v/>
      </c>
      <c r="AC421" s="27">
        <f>IF(U421=0,"",ROUND(AB421/U421*100,1))</f>
        <v/>
      </c>
      <c r="AD421" s="29">
        <f>AB421*Assumptions!$B$4</f>
        <v/>
      </c>
      <c r="AE421" s="27">
        <f>IF(U421=0,"",ROUND(AD421/U421*100,1))</f>
        <v/>
      </c>
      <c r="AF421" s="29">
        <f>AB421-AD421</f>
        <v/>
      </c>
      <c r="AG421" s="27">
        <f>IF(U421=0,"",ROUND((AB421-AD421)/U421*100,1))</f>
        <v/>
      </c>
      <c r="AH421" s="30" t="inlineStr">
        <is>
          <t>OK — totals reconciled</t>
        </is>
      </c>
      <c r="AI421" s="31" t="inlineStr">
        <is>
          <t>https://recuperacaojudicial.squarespace.com/s/RJ-Credimoveis-QGC-01082025.pdf</t>
        </is>
      </c>
      <c r="AJ421" s="30" t="inlineStr">
        <is>
          <t>p16 r17</t>
        </is>
      </c>
      <c r="AK421" s="30" t="inlineStr">
        <is>
          <t>p16: R$ 744.752,65</t>
        </is>
      </c>
      <c r="AL421" s="30" t="inlineStr">
        <is>
          <t>QGC (art. 18)</t>
        </is>
      </c>
      <c r="AM421" s="30" t="inlineStr">
        <is>
          <t>2026-01-28</t>
        </is>
      </c>
      <c r="AN421" s="30" t="inlineStr">
        <is>
          <t>NONE FOUND</t>
        </is>
      </c>
      <c r="AO421" s="32" t="inlineStr">
        <is>
          <t>0007565-40.2020.8.17.2370</t>
        </is>
      </c>
      <c r="AP421" s="32" t="inlineStr">
        <is>
          <t>TJPE</t>
        </is>
      </c>
      <c r="AQ421" s="32" t="inlineStr">
        <is>
          <t>Recuperação judicial</t>
        </is>
      </c>
      <c r="AR421" s="32" t="inlineStr">
        <is>
          <t>DataJud: no closure/falência movement</t>
        </is>
      </c>
      <c r="AS421" s="32" t="n">
        <v>2020</v>
      </c>
      <c r="AT421" s="32" t="inlineStr">
        <is>
          <t>6y since filing; plan not in our documents</t>
        </is>
      </c>
      <c r="AU421" s="32" t="inlineStr">
        <is>
          <t>09.930.165/0001-37</t>
        </is>
      </c>
      <c r="AV421" s="32" t="inlineStr">
        <is>
          <t>printed on the list (read twice)</t>
        </is>
      </c>
      <c r="AW421" s="32" t="inlineStr"/>
      <c r="AX421" s="32" t="inlineStr">
        <is>
          <t>PAULISTA</t>
        </is>
      </c>
      <c r="AY421" s="32" t="inlineStr">
        <is>
          <t>PE</t>
        </is>
      </c>
      <c r="AZ421" s="32" t="inlineStr">
        <is>
          <t>Fabricação de máquinas e aparelhos de refrigeração e ventilação para uso industrial e comercial, peças e acessórios</t>
        </is>
      </c>
      <c r="BA421" s="32" t="inlineStr">
        <is>
          <t>não ME/EPP</t>
        </is>
      </c>
      <c r="BB421" s="33" t="n">
        <v>223300000</v>
      </c>
      <c r="BC421" s="32" t="inlineStr">
        <is>
          <t>MID-MARKET</t>
        </is>
      </c>
      <c r="BD421" s="32" t="inlineStr">
        <is>
          <t>02802419</t>
        </is>
      </c>
      <c r="BE421" s="32" t="n">
        <v>1</v>
      </c>
      <c r="BF421" s="32" t="inlineStr"/>
    </row>
    <row r="422">
      <c r="A422" s="17" t="inlineStr">
        <is>
          <t>RDF CONSULTORIA EMPRESARIAL LTDA</t>
        </is>
      </c>
      <c r="B422" s="18" t="n">
        <v>709622.12</v>
      </c>
      <c r="C422" s="19" t="inlineStr">
        <is>
          <t>VECTOR INDÚSTRIA DE PRODUTOS METALÚRGICOS LTDA.</t>
        </is>
      </c>
      <c r="D422" s="20" t="inlineStr">
        <is>
          <t>NEW</t>
        </is>
      </c>
      <c r="E422" s="21" t="inlineStr"/>
      <c r="F422" s="20" t="inlineStr"/>
      <c r="G422" s="21" t="inlineStr"/>
      <c r="H422" s="20" t="inlineStr"/>
      <c r="I422" s="22" t="inlineStr">
        <is>
          <t>EDUARDO SCHULTZE BRAESKE ROTUNNO</t>
        </is>
      </c>
      <c r="J422" s="23" t="inlineStr">
        <is>
          <t>Sócio-Administrador (RFB partner)</t>
        </is>
      </c>
      <c r="K422" s="22" t="inlineStr">
        <is>
          <t>(51) 3377-9787</t>
        </is>
      </c>
      <c r="L422" s="22" t="inlineStr"/>
      <c r="M422" s="22" t="inlineStr"/>
      <c r="N422" s="22" t="inlineStr"/>
      <c r="O422" s="22" t="inlineStr"/>
      <c r="P422" s="22" t="inlineStr">
        <is>
          <t>ROGERIO SIMOES ROTUNNO</t>
        </is>
      </c>
      <c r="Q422" s="22" t="inlineStr">
        <is>
          <t>Sócio-Administrador (RFB partner)</t>
        </is>
      </c>
      <c r="R422" s="22" t="inlineStr"/>
      <c r="S422" s="22" t="inlineStr"/>
      <c r="T422" s="22" t="inlineStr">
        <is>
          <t>DM = registered partner (RFB QSA); no Apollo match</t>
        </is>
      </c>
      <c r="U422" s="24" t="n">
        <v>709622.12</v>
      </c>
      <c r="V422" s="39" t="inlineStr">
        <is>
          <t>C</t>
        </is>
      </c>
      <c r="W422" s="26" t="inlineStr"/>
      <c r="X422" s="27" t="inlineStr"/>
      <c r="Y422" s="27" t="inlineStr"/>
      <c r="Z422" s="26">
        <f>IF(W422&lt;&gt;"",W422,IFERROR(VLOOKUP(V422,Assumptions!$A$8:$F$12,2,FALSE),0))</f>
        <v/>
      </c>
      <c r="AA422" s="28">
        <f>IF(V422="A",MAX(1,IF(X422&lt;&gt;"",X422,IFERROR(VLOOKUP(V422,Assumptions!$A$8:$F$12,3,FALSE),3))+IF(Y422&lt;&gt;"",Y422,IFERROR(VLOOKUP(V422,Assumptions!$A$8:$F$12,4,FALSE),8))/2-MAX(0,IF(AS422="",0,YEAR(TODAY())-AS422)-IFERROR(VLOOKUP(V422,Assumptions!$A$8:$F$12,5,FALSE),1.5))),IFERROR(VLOOKUP(V422,Assumptions!$A$8:$F$12,5,FALSE),2.5)+IF(X422&lt;&gt;"",X422,IFERROR(VLOOKUP(V422,Assumptions!$A$8:$F$12,3,FALSE),3))+IF(Y422&lt;&gt;"",Y422,IFERROR(VLOOKUP(V422,Assumptions!$A$8:$F$12,4,FALSE),8))/2)</f>
        <v/>
      </c>
      <c r="AB422" s="24">
        <f>U422*Z422/(1+Assumptions!$B$3)^AA422</f>
        <v/>
      </c>
      <c r="AC422" s="27">
        <f>IF(U422=0,"",ROUND(AB422/U422*100,1))</f>
        <v/>
      </c>
      <c r="AD422" s="29">
        <f>AB422*Assumptions!$B$4</f>
        <v/>
      </c>
      <c r="AE422" s="27">
        <f>IF(U422=0,"",ROUND(AD422/U422*100,1))</f>
        <v/>
      </c>
      <c r="AF422" s="29">
        <f>AB422-AD422</f>
        <v/>
      </c>
      <c r="AG422" s="27">
        <f>IF(U422=0,"",ROUND((AB422-AD422)/U422*100,1))</f>
        <v/>
      </c>
      <c r="AH422" s="34" t="inlineStr">
        <is>
          <t>NO TOTALS — list prints none; check page</t>
        </is>
      </c>
      <c r="AI422" s="31" t="inlineStr">
        <is>
          <t>https://scalzilliaj.com.br/sgc/download.php?file=files/processo_documento/processo_documento15513401112022_1_.pdf&amp;nome=15 - Edital do art. 7º, §2º (segunda lista de credores) e do art. 53 da Lei 11.101/2005 (recebimento do plano)</t>
        </is>
      </c>
      <c r="AJ422" s="30" t="inlineStr">
        <is>
          <t>p9 r12</t>
        </is>
      </c>
      <c r="AK422" s="30" t="inlineStr">
        <is>
          <t>p9: R$ 709.622,12</t>
        </is>
      </c>
      <c r="AL422" s="30" t="inlineStr">
        <is>
          <t>AJ list (art. 7 §2)</t>
        </is>
      </c>
      <c r="AM422" s="30" t="inlineStr">
        <is>
          <t>2022-11-01</t>
        </is>
      </c>
      <c r="AN422" s="30" t="inlineStr">
        <is>
          <t>NONE FOUND</t>
        </is>
      </c>
      <c r="AO422" s="32" t="inlineStr">
        <is>
          <t>5014104-85.2021.8.21.0010</t>
        </is>
      </c>
      <c r="AP422" s="32" t="inlineStr">
        <is>
          <t>TJRS</t>
        </is>
      </c>
      <c r="AQ422" s="32" t="inlineStr">
        <is>
          <t>Recuperação judicial</t>
        </is>
      </c>
      <c r="AR422" s="32" t="inlineStr">
        <is>
          <t>DataJud: no closure/falência movement</t>
        </is>
      </c>
      <c r="AS422" s="32" t="n">
        <v>2021</v>
      </c>
      <c r="AT422" s="32" t="inlineStr">
        <is>
          <t>5y since filing; plan not in our documents</t>
        </is>
      </c>
      <c r="AU422" s="32" t="inlineStr">
        <is>
          <t>03.018.339/0001-03</t>
        </is>
      </c>
      <c r="AV422" s="32" t="inlineStr">
        <is>
          <t>printed on the list (read twice)</t>
        </is>
      </c>
      <c r="AW422" s="32" t="inlineStr"/>
      <c r="AX422" s="32" t="inlineStr">
        <is>
          <t>PORTO ALEGRE</t>
        </is>
      </c>
      <c r="AY422" s="32" t="inlineStr">
        <is>
          <t>RS</t>
        </is>
      </c>
      <c r="AZ422" s="32" t="inlineStr">
        <is>
          <t>Atividades de consultoria em gestão empresarial, exceto consultoria técnica específica</t>
        </is>
      </c>
      <c r="BA422" s="32" t="inlineStr">
        <is>
          <t>não ME/EPP</t>
        </is>
      </c>
      <c r="BB422" s="33" t="n">
        <v>5000</v>
      </c>
      <c r="BC422" s="32" t="inlineStr">
        <is>
          <t>MID-MARKET</t>
        </is>
      </c>
      <c r="BD422" s="32" t="inlineStr">
        <is>
          <t>19362088</t>
        </is>
      </c>
      <c r="BE422" s="32" t="n">
        <v>1</v>
      </c>
      <c r="BF422" s="32" t="inlineStr">
        <is>
          <t>list prints no totals</t>
        </is>
      </c>
    </row>
    <row r="423">
      <c r="A423" s="17" t="inlineStr">
        <is>
          <t>PESCADO CENTRAL LTDA</t>
        </is>
      </c>
      <c r="B423" s="18" t="n">
        <v>793333.33</v>
      </c>
      <c r="C423" s="19" t="inlineStr">
        <is>
          <t>GRUPO 3E</t>
        </is>
      </c>
      <c r="D423" s="20" t="inlineStr">
        <is>
          <t>NEW</t>
        </is>
      </c>
      <c r="E423" s="21" t="inlineStr"/>
      <c r="F423" s="20" t="inlineStr"/>
      <c r="G423" s="21" t="inlineStr"/>
      <c r="H423" s="20" t="inlineStr"/>
      <c r="I423" s="22" t="inlineStr">
        <is>
          <t>FORTUNATO ANTUNES DE OLIVEIRA</t>
        </is>
      </c>
      <c r="J423" s="23" t="inlineStr">
        <is>
          <t>Sócio-Administrador (RFB partner)</t>
        </is>
      </c>
      <c r="K423" s="22" t="inlineStr">
        <is>
          <t>(34) 3293-0600</t>
        </is>
      </c>
      <c r="L423" s="22" t="inlineStr"/>
      <c r="M423" s="22" t="inlineStr"/>
      <c r="N423" s="22" t="inlineStr"/>
      <c r="O423" s="22" t="inlineStr"/>
      <c r="P423" s="22" t="inlineStr"/>
      <c r="Q423" s="22" t="inlineStr"/>
      <c r="R423" s="22" t="inlineStr"/>
      <c r="S423" s="22" t="inlineStr"/>
      <c r="T423" s="22" t="inlineStr">
        <is>
          <t>DM = registered partner (RFB QSA); no Apollo match</t>
        </is>
      </c>
      <c r="U423" s="24" t="n">
        <v>793333.33</v>
      </c>
      <c r="V423" s="25" t="inlineStr">
        <is>
          <t>B</t>
        </is>
      </c>
      <c r="W423" s="26" t="n">
        <v>0.12</v>
      </c>
      <c r="X423" s="27" t="n">
        <v>2</v>
      </c>
      <c r="Y423" s="27" t="n">
        <v>13</v>
      </c>
      <c r="Z423" s="26">
        <f>IF(W423&lt;&gt;"",W423,IFERROR(VLOOKUP(V423,Assumptions!$A$8:$F$12,2,FALSE),0))</f>
        <v/>
      </c>
      <c r="AA423" s="28">
        <f>IF(V423="A",MAX(1,IF(X423&lt;&gt;"",X423,IFERROR(VLOOKUP(V423,Assumptions!$A$8:$F$12,3,FALSE),3))+IF(Y423&lt;&gt;"",Y423,IFERROR(VLOOKUP(V423,Assumptions!$A$8:$F$12,4,FALSE),8))/2-MAX(0,IF(AS423="",0,YEAR(TODAY())-AS423)-IFERROR(VLOOKUP(V423,Assumptions!$A$8:$F$12,5,FALSE),1.5))),IFERROR(VLOOKUP(V423,Assumptions!$A$8:$F$12,5,FALSE),2.5)+IF(X423&lt;&gt;"",X423,IFERROR(VLOOKUP(V423,Assumptions!$A$8:$F$12,3,FALSE),3))+IF(Y423&lt;&gt;"",Y423,IFERROR(VLOOKUP(V423,Assumptions!$A$8:$F$12,4,FALSE),8))/2)</f>
        <v/>
      </c>
      <c r="AB423" s="24">
        <f>U423*Z423/(1+Assumptions!$B$3)^AA423</f>
        <v/>
      </c>
      <c r="AC423" s="27">
        <f>IF(U423=0,"",ROUND(AB423/U423*100,1))</f>
        <v/>
      </c>
      <c r="AD423" s="29">
        <f>AB423*Assumptions!$B$4</f>
        <v/>
      </c>
      <c r="AE423" s="27">
        <f>IF(U423=0,"",ROUND(AD423/U423*100,1))</f>
        <v/>
      </c>
      <c r="AF423" s="29">
        <f>AB423-AD423</f>
        <v/>
      </c>
      <c r="AG423" s="27">
        <f>IF(U423=0,"",ROUND((AB423-AD423)/U423*100,1))</f>
        <v/>
      </c>
      <c r="AH423" s="34" t="inlineStr">
        <is>
          <t>NO TOTALS — list prints none; check page</t>
        </is>
      </c>
      <c r="AI423" s="31" t="inlineStr">
        <is>
          <t>https://stenius.com.br/wp-content/uploads/2026/06/EDITAL-GRUPO-3E.pdf</t>
        </is>
      </c>
      <c r="AJ423" s="30" t="inlineStr">
        <is>
          <t>p17 r8</t>
        </is>
      </c>
      <c r="AK423" s="30" t="inlineStr">
        <is>
          <t>p17: R$ 793.333,33</t>
        </is>
      </c>
      <c r="AL423" s="30" t="inlineStr">
        <is>
          <t>Debtor list (art. 51)</t>
        </is>
      </c>
      <c r="AM423" s="30" t="inlineStr">
        <is>
          <t>2026-06-22</t>
        </is>
      </c>
      <c r="AN423" s="30" t="inlineStr">
        <is>
          <t>PLAN FILED (art. 53), not granted</t>
        </is>
      </c>
      <c r="AO423" s="32" t="inlineStr">
        <is>
          <t>5341375-33.2026.8.09.0049</t>
        </is>
      </c>
      <c r="AP423" s="32" t="inlineStr">
        <is>
          <t>TJGO</t>
        </is>
      </c>
      <c r="AQ423" s="32" t="inlineStr">
        <is>
          <t>Recuperação judicial</t>
        </is>
      </c>
      <c r="AR423" s="32" t="inlineStr">
        <is>
          <t>DataJud: no closure/falência movement</t>
        </is>
      </c>
      <c r="AS423" s="32" t="n">
        <v>2026</v>
      </c>
      <c r="AT423" s="32" t="inlineStr">
        <is>
          <t>plan filed (art. 53), not yet granted</t>
        </is>
      </c>
      <c r="AU423" s="32" t="inlineStr"/>
      <c r="AV423" s="32" t="inlineStr">
        <is>
          <t>printed on the list (read twice)</t>
        </is>
      </c>
      <c r="AW423" s="32" t="inlineStr">
        <is>
          <t>Plano de Recuperação Judicial Grupo 3E v2.0 (Métis), mov. 321, pp.24-25</t>
        </is>
      </c>
      <c r="AX423" s="32" t="inlineStr">
        <is>
          <t>IPIACU</t>
        </is>
      </c>
      <c r="AY423" s="32" t="inlineStr">
        <is>
          <t>MG</t>
        </is>
      </c>
      <c r="AZ423" s="32" t="inlineStr">
        <is>
          <t>Fabricação de conservas de peixes, crustáceos e moluscos</t>
        </is>
      </c>
      <c r="BA423" s="32" t="inlineStr">
        <is>
          <t>não ME/EPP</t>
        </is>
      </c>
      <c r="BB423" s="33" t="n">
        <v>99800</v>
      </c>
      <c r="BC423" s="32" t="inlineStr">
        <is>
          <t>MID-MARKET</t>
        </is>
      </c>
      <c r="BD423" s="32" t="inlineStr">
        <is>
          <t>32126501</t>
        </is>
      </c>
      <c r="BE423" s="32" t="n">
        <v>1</v>
      </c>
      <c r="BF423" s="32" t="inlineStr">
        <is>
          <t>list prints no totals</t>
        </is>
      </c>
    </row>
    <row r="424">
      <c r="A424" s="17" t="inlineStr">
        <is>
          <t>CAIRU INDUSTRIA DE BICICLETAS LTDA</t>
        </is>
      </c>
      <c r="B424" s="18" t="n">
        <v>680366.63</v>
      </c>
      <c r="C424" s="19" t="inlineStr">
        <is>
          <t>CREDIMÓVEIS NOVOLAR LTDA.</t>
        </is>
      </c>
      <c r="D424" s="20" t="inlineStr">
        <is>
          <t>NEW</t>
        </is>
      </c>
      <c r="E424" s="21" t="inlineStr"/>
      <c r="F424" s="20" t="inlineStr"/>
      <c r="G424" s="21" t="inlineStr"/>
      <c r="H424" s="20" t="inlineStr"/>
      <c r="I424" s="22" t="inlineStr">
        <is>
          <t>EUFLAVIO ODILON RIBEIRO</t>
        </is>
      </c>
      <c r="J424" s="23" t="inlineStr">
        <is>
          <t>Sócio-Administrador (RFB partner)</t>
        </is>
      </c>
      <c r="K424" s="22" t="inlineStr">
        <is>
          <t>(69) 3451-0500</t>
        </is>
      </c>
      <c r="L424" s="22" t="inlineStr">
        <is>
          <t>(69) 8142-0004</t>
        </is>
      </c>
      <c r="M424" s="22" t="inlineStr"/>
      <c r="N424" s="22" t="inlineStr"/>
      <c r="O424" s="22" t="inlineStr"/>
      <c r="P424" s="22" t="inlineStr">
        <is>
          <t>EUGENIO ODILON RIBEIRO</t>
        </is>
      </c>
      <c r="Q424" s="22" t="inlineStr">
        <is>
          <t>Sócio-Administrador (RFB partner)</t>
        </is>
      </c>
      <c r="R424" s="22" t="inlineStr"/>
      <c r="S424" s="22" t="inlineStr"/>
      <c r="T424" s="22" t="inlineStr">
        <is>
          <t>DM = registered partner (RFB QSA); Apollo pick demoted to backup (non-finance role)</t>
        </is>
      </c>
      <c r="U424" s="24" t="n">
        <v>680366.63</v>
      </c>
      <c r="V424" s="39" t="inlineStr">
        <is>
          <t>C</t>
        </is>
      </c>
      <c r="W424" s="26" t="inlineStr"/>
      <c r="X424" s="27" t="inlineStr"/>
      <c r="Y424" s="27" t="inlineStr"/>
      <c r="Z424" s="26">
        <f>IF(W424&lt;&gt;"",W424,IFERROR(VLOOKUP(V424,Assumptions!$A$8:$F$12,2,FALSE),0))</f>
        <v/>
      </c>
      <c r="AA424" s="28">
        <f>IF(V424="A",MAX(1,IF(X424&lt;&gt;"",X424,IFERROR(VLOOKUP(V424,Assumptions!$A$8:$F$12,3,FALSE),3))+IF(Y424&lt;&gt;"",Y424,IFERROR(VLOOKUP(V424,Assumptions!$A$8:$F$12,4,FALSE),8))/2-MAX(0,IF(AS424="",0,YEAR(TODAY())-AS424)-IFERROR(VLOOKUP(V424,Assumptions!$A$8:$F$12,5,FALSE),1.5))),IFERROR(VLOOKUP(V424,Assumptions!$A$8:$F$12,5,FALSE),2.5)+IF(X424&lt;&gt;"",X424,IFERROR(VLOOKUP(V424,Assumptions!$A$8:$F$12,3,FALSE),3))+IF(Y424&lt;&gt;"",Y424,IFERROR(VLOOKUP(V424,Assumptions!$A$8:$F$12,4,FALSE),8))/2)</f>
        <v/>
      </c>
      <c r="AB424" s="24">
        <f>U424*Z424/(1+Assumptions!$B$3)^AA424</f>
        <v/>
      </c>
      <c r="AC424" s="27">
        <f>IF(U424=0,"",ROUND(AB424/U424*100,1))</f>
        <v/>
      </c>
      <c r="AD424" s="29">
        <f>AB424*Assumptions!$B$4</f>
        <v/>
      </c>
      <c r="AE424" s="27">
        <f>IF(U424=0,"",ROUND(AD424/U424*100,1))</f>
        <v/>
      </c>
      <c r="AF424" s="29">
        <f>AB424-AD424</f>
        <v/>
      </c>
      <c r="AG424" s="27">
        <f>IF(U424=0,"",ROUND((AB424-AD424)/U424*100,1))</f>
        <v/>
      </c>
      <c r="AH424" s="30" t="inlineStr">
        <is>
          <t>OK — totals reconciled</t>
        </is>
      </c>
      <c r="AI424" s="31" t="inlineStr">
        <is>
          <t>https://recuperacaojudicial.squarespace.com/s/RJ-Credimoveis-QGC-01082025.pdf</t>
        </is>
      </c>
      <c r="AJ424" s="30" t="inlineStr">
        <is>
          <t>p15 r27</t>
        </is>
      </c>
      <c r="AK424" s="30" t="inlineStr">
        <is>
          <t>p15: R$ 680.366,63</t>
        </is>
      </c>
      <c r="AL424" s="30" t="inlineStr">
        <is>
          <t>QGC (art. 18)</t>
        </is>
      </c>
      <c r="AM424" s="30" t="inlineStr">
        <is>
          <t>2026-01-28</t>
        </is>
      </c>
      <c r="AN424" s="30" t="inlineStr">
        <is>
          <t>NONE FOUND</t>
        </is>
      </c>
      <c r="AO424" s="32" t="inlineStr">
        <is>
          <t>0007565-40.2020.8.17.2370</t>
        </is>
      </c>
      <c r="AP424" s="32" t="inlineStr">
        <is>
          <t>TJPE</t>
        </is>
      </c>
      <c r="AQ424" s="32" t="inlineStr">
        <is>
          <t>Recuperação judicial</t>
        </is>
      </c>
      <c r="AR424" s="32" t="inlineStr">
        <is>
          <t>DataJud: no closure/falência movement</t>
        </is>
      </c>
      <c r="AS424" s="32" t="n">
        <v>2020</v>
      </c>
      <c r="AT424" s="32" t="inlineStr">
        <is>
          <t>6y since filing; plan not in our documents</t>
        </is>
      </c>
      <c r="AU424" s="32" t="inlineStr">
        <is>
          <t>09.930.165/0001-37</t>
        </is>
      </c>
      <c r="AV424" s="32" t="inlineStr">
        <is>
          <t>printed on the list (read twice)</t>
        </is>
      </c>
      <c r="AW424" s="32" t="inlineStr"/>
      <c r="AX424" s="32" t="inlineStr">
        <is>
          <t>PIMENTA BUENO</t>
        </is>
      </c>
      <c r="AY424" s="32" t="inlineStr">
        <is>
          <t>RO</t>
        </is>
      </c>
      <c r="AZ424" s="32" t="inlineStr">
        <is>
          <t>Fabricação de bicicletas e triciclos não-motorizados, peças e acessórios</t>
        </is>
      </c>
      <c r="BA424" s="32" t="inlineStr">
        <is>
          <t>não ME/EPP</t>
        </is>
      </c>
      <c r="BB424" s="33" t="n">
        <v>1500000</v>
      </c>
      <c r="BC424" s="32" t="inlineStr">
        <is>
          <t>MID-MARKET</t>
        </is>
      </c>
      <c r="BD424" s="32" t="inlineStr">
        <is>
          <t>10288920</t>
        </is>
      </c>
      <c r="BE424" s="32" t="n">
        <v>1</v>
      </c>
      <c r="BF424" s="32" t="inlineStr"/>
    </row>
    <row r="425">
      <c r="A425" s="17" t="inlineStr">
        <is>
          <t>CIMAR - CIMENTOS DO MARANHAO S.A.</t>
        </is>
      </c>
      <c r="B425" s="18" t="n">
        <v>675124.95</v>
      </c>
      <c r="C425" s="19" t="inlineStr">
        <is>
          <t>Roque Materiais para Construção</t>
        </is>
      </c>
      <c r="D425" s="20" t="inlineStr">
        <is>
          <t>NEW</t>
        </is>
      </c>
      <c r="E425" s="21" t="inlineStr"/>
      <c r="F425" s="20" t="inlineStr"/>
      <c r="G425" s="21" t="inlineStr"/>
      <c r="H425" s="20" t="inlineStr"/>
      <c r="I425" s="22" t="inlineStr">
        <is>
          <t>JOSE ANTERO DOS SANTOS</t>
        </is>
      </c>
      <c r="J425" s="23" t="inlineStr">
        <is>
          <t>Presidente (RFB partner)</t>
        </is>
      </c>
      <c r="K425" s="22" t="inlineStr">
        <is>
          <t>(11) 2360-2033</t>
        </is>
      </c>
      <c r="L425" s="22" t="inlineStr">
        <is>
          <t>(98) 3232-3232</t>
        </is>
      </c>
      <c r="M425" s="22" t="inlineStr"/>
      <c r="N425" s="22" t="inlineStr"/>
      <c r="O425" s="22" t="inlineStr"/>
      <c r="P425" s="22" t="inlineStr">
        <is>
          <t>HUMBERTO JORGE COELHO DE GOUVEA</t>
        </is>
      </c>
      <c r="Q425" s="22" t="inlineStr">
        <is>
          <t>Diretor (RFB partner)</t>
        </is>
      </c>
      <c r="R425" s="22" t="inlineStr"/>
      <c r="S425" s="22" t="inlineStr"/>
      <c r="T425" s="22" t="inlineStr">
        <is>
          <t>DM = registered partner (RFB QSA); no Apollo match</t>
        </is>
      </c>
      <c r="U425" s="24" t="n">
        <v>675124.95</v>
      </c>
      <c r="V425" s="39" t="inlineStr">
        <is>
          <t>C</t>
        </is>
      </c>
      <c r="W425" s="26" t="inlineStr"/>
      <c r="X425" s="27" t="inlineStr"/>
      <c r="Y425" s="27" t="inlineStr"/>
      <c r="Z425" s="26">
        <f>IF(W425&lt;&gt;"",W425,IFERROR(VLOOKUP(V425,Assumptions!$A$8:$F$12,2,FALSE),0))</f>
        <v/>
      </c>
      <c r="AA425" s="28">
        <f>IF(V425="A",MAX(1,IF(X425&lt;&gt;"",X425,IFERROR(VLOOKUP(V425,Assumptions!$A$8:$F$12,3,FALSE),3))+IF(Y425&lt;&gt;"",Y425,IFERROR(VLOOKUP(V425,Assumptions!$A$8:$F$12,4,FALSE),8))/2-MAX(0,IF(AS425="",0,YEAR(TODAY())-AS425)-IFERROR(VLOOKUP(V425,Assumptions!$A$8:$F$12,5,FALSE),1.5))),IFERROR(VLOOKUP(V425,Assumptions!$A$8:$F$12,5,FALSE),2.5)+IF(X425&lt;&gt;"",X425,IFERROR(VLOOKUP(V425,Assumptions!$A$8:$F$12,3,FALSE),3))+IF(Y425&lt;&gt;"",Y425,IFERROR(VLOOKUP(V425,Assumptions!$A$8:$F$12,4,FALSE),8))/2)</f>
        <v/>
      </c>
      <c r="AB425" s="24">
        <f>U425*Z425/(1+Assumptions!$B$3)^AA425</f>
        <v/>
      </c>
      <c r="AC425" s="27">
        <f>IF(U425=0,"",ROUND(AB425/U425*100,1))</f>
        <v/>
      </c>
      <c r="AD425" s="29">
        <f>AB425*Assumptions!$B$4</f>
        <v/>
      </c>
      <c r="AE425" s="27">
        <f>IF(U425=0,"",ROUND(AD425/U425*100,1))</f>
        <v/>
      </c>
      <c r="AF425" s="29">
        <f>AB425-AD425</f>
        <v/>
      </c>
      <c r="AG425" s="27">
        <f>IF(U425=0,"",ROUND((AB425-AD425)/U425*100,1))</f>
        <v/>
      </c>
      <c r="AH425" s="30" t="inlineStr">
        <is>
          <t>OK — totals reconciled</t>
        </is>
      </c>
      <c r="AI425" s="31" t="inlineStr">
        <is>
          <t>https://realbrasil.com.br/wp-content/uploads/2018/06/2_LISTA-DE-CREDORES-DA-RECUPERANDA_ROQUE.pdf</t>
        </is>
      </c>
      <c r="AJ425" s="30" t="inlineStr">
        <is>
          <t>p2 r5</t>
        </is>
      </c>
      <c r="AK425" s="30" t="inlineStr">
        <is>
          <t>p2: R$ 675.124,95</t>
        </is>
      </c>
      <c r="AL425" s="30" t="inlineStr">
        <is>
          <t>Unclassified list</t>
        </is>
      </c>
      <c r="AM425" s="30" t="inlineStr"/>
      <c r="AN425" s="30" t="inlineStr">
        <is>
          <t>NONE FOUND</t>
        </is>
      </c>
      <c r="AO425" s="32" t="inlineStr">
        <is>
          <t>0802426-35.2019.8.10.0000</t>
        </is>
      </c>
      <c r="AP425" s="32" t="inlineStr">
        <is>
          <t>TJMA</t>
        </is>
      </c>
      <c r="AQ425" s="32" t="inlineStr"/>
      <c r="AR425" s="32" t="inlineStr">
        <is>
          <t>not in DataJud</t>
        </is>
      </c>
      <c r="AS425" s="32" t="n">
        <v>2019</v>
      </c>
      <c r="AT425" s="32" t="inlineStr">
        <is>
          <t>7y since filing; plan not in our documents; case no. from the portal record, not printed on the list</t>
        </is>
      </c>
      <c r="AU425" s="32" t="inlineStr"/>
      <c r="AV425" s="32" t="inlineStr">
        <is>
          <t>portal page title / URL — not printed on the list</t>
        </is>
      </c>
      <c r="AW425" s="32" t="inlineStr"/>
      <c r="AX425" s="32" t="inlineStr">
        <is>
          <t>SAO LUIS</t>
        </is>
      </c>
      <c r="AY425" s="32" t="inlineStr">
        <is>
          <t>MA</t>
        </is>
      </c>
      <c r="AZ425" s="32" t="inlineStr">
        <is>
          <t>Fabricação de cimento</t>
        </is>
      </c>
      <c r="BA425" s="32" t="inlineStr">
        <is>
          <t>não ME/EPP</t>
        </is>
      </c>
      <c r="BB425" s="33" t="n">
        <v>27274226</v>
      </c>
      <c r="BC425" s="32" t="inlineStr">
        <is>
          <t>MID-MARKET</t>
        </is>
      </c>
      <c r="BD425" s="32" t="inlineStr">
        <is>
          <t>15129010</t>
        </is>
      </c>
      <c r="BE425" s="32" t="n">
        <v>1</v>
      </c>
      <c r="BF425" s="32" t="inlineStr"/>
    </row>
    <row r="426">
      <c r="A426" s="17" t="inlineStr">
        <is>
          <t>BRF S.A.</t>
        </is>
      </c>
      <c r="B426" s="18" t="n">
        <v>741289.9</v>
      </c>
      <c r="C426" s="19" t="inlineStr">
        <is>
          <t>GRUPO 3E</t>
        </is>
      </c>
      <c r="D426" s="20" t="inlineStr">
        <is>
          <t>NEW</t>
        </is>
      </c>
      <c r="E426" s="21" t="inlineStr"/>
      <c r="F426" s="20" t="inlineStr"/>
      <c r="G426" s="21" t="inlineStr"/>
      <c r="H426" s="20" t="inlineStr"/>
      <c r="I426" s="22" t="inlineStr">
        <is>
          <t>MIGUEL DE SOUZA GULARTE</t>
        </is>
      </c>
      <c r="J426" s="23" t="inlineStr">
        <is>
          <t>Presidente (RFB partner)</t>
        </is>
      </c>
      <c r="K426" s="22" t="inlineStr">
        <is>
          <t>(47) 3249-4100</t>
        </is>
      </c>
      <c r="L426" s="22" t="inlineStr"/>
      <c r="M426" s="22" t="inlineStr"/>
      <c r="N426" s="22" t="inlineStr"/>
      <c r="O426" s="22" t="inlineStr"/>
      <c r="P426" s="22" t="inlineStr">
        <is>
          <t>ARTEMIO LISTONI</t>
        </is>
      </c>
      <c r="Q426" s="22" t="inlineStr">
        <is>
          <t>Diretor (RFB partner)</t>
        </is>
      </c>
      <c r="R426" s="22" t="inlineStr"/>
      <c r="S426" s="22" t="inlineStr"/>
      <c r="T426" s="22" t="inlineStr">
        <is>
          <t>DM = registered partner (RFB QSA); no Apollo match</t>
        </is>
      </c>
      <c r="U426" s="24" t="n">
        <v>741289.9</v>
      </c>
      <c r="V426" s="25" t="inlineStr">
        <is>
          <t>B</t>
        </is>
      </c>
      <c r="W426" s="26" t="n">
        <v>0.12</v>
      </c>
      <c r="X426" s="27" t="n">
        <v>2</v>
      </c>
      <c r="Y426" s="27" t="n">
        <v>13</v>
      </c>
      <c r="Z426" s="26">
        <f>IF(W426&lt;&gt;"",W426,IFERROR(VLOOKUP(V426,Assumptions!$A$8:$F$12,2,FALSE),0))</f>
        <v/>
      </c>
      <c r="AA426" s="28">
        <f>IF(V426="A",MAX(1,IF(X426&lt;&gt;"",X426,IFERROR(VLOOKUP(V426,Assumptions!$A$8:$F$12,3,FALSE),3))+IF(Y426&lt;&gt;"",Y426,IFERROR(VLOOKUP(V426,Assumptions!$A$8:$F$12,4,FALSE),8))/2-MAX(0,IF(AS426="",0,YEAR(TODAY())-AS426)-IFERROR(VLOOKUP(V426,Assumptions!$A$8:$F$12,5,FALSE),1.5))),IFERROR(VLOOKUP(V426,Assumptions!$A$8:$F$12,5,FALSE),2.5)+IF(X426&lt;&gt;"",X426,IFERROR(VLOOKUP(V426,Assumptions!$A$8:$F$12,3,FALSE),3))+IF(Y426&lt;&gt;"",Y426,IFERROR(VLOOKUP(V426,Assumptions!$A$8:$F$12,4,FALSE),8))/2)</f>
        <v/>
      </c>
      <c r="AB426" s="24">
        <f>U426*Z426/(1+Assumptions!$B$3)^AA426</f>
        <v/>
      </c>
      <c r="AC426" s="27">
        <f>IF(U426=0,"",ROUND(AB426/U426*100,1))</f>
        <v/>
      </c>
      <c r="AD426" s="29">
        <f>AB426*Assumptions!$B$4</f>
        <v/>
      </c>
      <c r="AE426" s="27">
        <f>IF(U426=0,"",ROUND(AD426/U426*100,1))</f>
        <v/>
      </c>
      <c r="AF426" s="29">
        <f>AB426-AD426</f>
        <v/>
      </c>
      <c r="AG426" s="27">
        <f>IF(U426=0,"",ROUND((AB426-AD426)/U426*100,1))</f>
        <v/>
      </c>
      <c r="AH426" s="34" t="inlineStr">
        <is>
          <t>NO TOTALS — list prints none; check page</t>
        </is>
      </c>
      <c r="AI426" s="31" t="inlineStr">
        <is>
          <t>https://stenius.com.br/wp-content/uploads/2026/06/EDITAL-GRUPO-3E.pdf</t>
        </is>
      </c>
      <c r="AJ426" s="30" t="inlineStr">
        <is>
          <t>p11 r11</t>
        </is>
      </c>
      <c r="AK426" s="30" t="inlineStr">
        <is>
          <t>p11: R$ 741.289,90</t>
        </is>
      </c>
      <c r="AL426" s="30" t="inlineStr">
        <is>
          <t>Debtor list (art. 51)</t>
        </is>
      </c>
      <c r="AM426" s="30" t="inlineStr">
        <is>
          <t>2026-06-22</t>
        </is>
      </c>
      <c r="AN426" s="30" t="inlineStr">
        <is>
          <t>PLAN FILED (art. 53), not granted</t>
        </is>
      </c>
      <c r="AO426" s="32" t="inlineStr">
        <is>
          <t>5341375-33.2026.8.09.0049</t>
        </is>
      </c>
      <c r="AP426" s="32" t="inlineStr">
        <is>
          <t>TJGO</t>
        </is>
      </c>
      <c r="AQ426" s="32" t="inlineStr">
        <is>
          <t>Recuperação judicial</t>
        </is>
      </c>
      <c r="AR426" s="32" t="inlineStr">
        <is>
          <t>DataJud: no closure/falência movement</t>
        </is>
      </c>
      <c r="AS426" s="32" t="n">
        <v>2026</v>
      </c>
      <c r="AT426" s="32" t="inlineStr">
        <is>
          <t>plan filed (art. 53), not yet granted</t>
        </is>
      </c>
      <c r="AU426" s="32" t="inlineStr"/>
      <c r="AV426" s="32" t="inlineStr">
        <is>
          <t>printed on the list (read twice)</t>
        </is>
      </c>
      <c r="AW426" s="32" t="inlineStr">
        <is>
          <t>Plano de Recuperação Judicial Grupo 3E v2.0 (Métis), mov. 321, pp.24-25</t>
        </is>
      </c>
      <c r="AX426" s="32" t="inlineStr">
        <is>
          <t>ITAJAI</t>
        </is>
      </c>
      <c r="AY426" s="32" t="inlineStr">
        <is>
          <t>SC</t>
        </is>
      </c>
      <c r="AZ426" s="32" t="inlineStr">
        <is>
          <t>Abate de aves</t>
        </is>
      </c>
      <c r="BA426" s="32" t="inlineStr">
        <is>
          <t>não ME/EPP</t>
        </is>
      </c>
      <c r="BB426" s="33" t="n">
        <v>13653418000</v>
      </c>
      <c r="BC426" s="32" t="inlineStr">
        <is>
          <t>LARGE CORP</t>
        </is>
      </c>
      <c r="BD426" s="32" t="inlineStr">
        <is>
          <t>01838723</t>
        </is>
      </c>
      <c r="BE426" s="32" t="n">
        <v>1</v>
      </c>
      <c r="BF426" s="32" t="inlineStr">
        <is>
          <t>list prints no totals</t>
        </is>
      </c>
    </row>
    <row r="427">
      <c r="A427" s="17" t="inlineStr">
        <is>
          <t>LAPONIA SUDESTE LTDA.</t>
        </is>
      </c>
      <c r="B427" s="18" t="n">
        <v>316198.79</v>
      </c>
      <c r="C427" s="37" t="inlineStr">
        <is>
          <t>(debtor not identified — see proof)</t>
        </is>
      </c>
      <c r="D427" s="20" t="inlineStr">
        <is>
          <t>NEW</t>
        </is>
      </c>
      <c r="E427" s="21" t="inlineStr"/>
      <c r="F427" s="20" t="inlineStr"/>
      <c r="G427" s="21" t="inlineStr"/>
      <c r="H427" s="20" t="inlineStr"/>
      <c r="I427" s="22" t="inlineStr">
        <is>
          <t>Rosane Pafetti</t>
        </is>
      </c>
      <c r="J427" s="22" t="inlineStr">
        <is>
          <t>Administrative Coordinator</t>
        </is>
      </c>
      <c r="K427" s="22" t="inlineStr">
        <is>
          <t>(11) 4026-9800</t>
        </is>
      </c>
      <c r="L427" s="22" t="inlineStr">
        <is>
          <t>(11) 4026-9810</t>
        </is>
      </c>
      <c r="M427" s="22" t="inlineStr"/>
      <c r="N427" s="22" t="inlineStr"/>
      <c r="O427" s="22" t="inlineStr"/>
      <c r="P427" s="22" t="inlineStr">
        <is>
          <t>DOUGLAS NAKANO</t>
        </is>
      </c>
      <c r="Q427" s="22" t="inlineStr">
        <is>
          <t>Sócio-Administrador (RFB partner)</t>
        </is>
      </c>
      <c r="R427" s="22" t="inlineStr"/>
      <c r="S427" s="22" t="inlineStr"/>
      <c r="T427" s="22" t="inlineStr">
        <is>
          <t>DM: DM (weak); reveal of pre-picked person; email=micheli@casaraomc.com.br (extrapolated); org=Laponia Sudeste Ltda.; VERIFY org: email domain casaraomc.com.br (side job), not Laponia; no work email in Apollo for DM</t>
        </is>
      </c>
      <c r="U427" s="24" t="n">
        <v>316198.79</v>
      </c>
      <c r="V427" s="38" t="inlineStr">
        <is>
          <t>U</t>
        </is>
      </c>
      <c r="W427" s="26" t="inlineStr"/>
      <c r="X427" s="27" t="inlineStr"/>
      <c r="Y427" s="27" t="inlineStr"/>
      <c r="Z427" s="26">
        <f>IF(W427&lt;&gt;"",W427,IFERROR(VLOOKUP(V427,Assumptions!$A$8:$F$12,2,FALSE),0))</f>
        <v/>
      </c>
      <c r="AA427" s="28">
        <f>IF(V427="A",MAX(1,IF(X427&lt;&gt;"",X427,IFERROR(VLOOKUP(V427,Assumptions!$A$8:$F$12,3,FALSE),3))+IF(Y427&lt;&gt;"",Y427,IFERROR(VLOOKUP(V427,Assumptions!$A$8:$F$12,4,FALSE),8))/2-MAX(0,IF(AS427="",0,YEAR(TODAY())-AS427)-IFERROR(VLOOKUP(V427,Assumptions!$A$8:$F$12,5,FALSE),1.5))),IFERROR(VLOOKUP(V427,Assumptions!$A$8:$F$12,5,FALSE),2.5)+IF(X427&lt;&gt;"",X427,IFERROR(VLOOKUP(V427,Assumptions!$A$8:$F$12,3,FALSE),3))+IF(Y427&lt;&gt;"",Y427,IFERROR(VLOOKUP(V427,Assumptions!$A$8:$F$12,4,FALSE),8))/2)</f>
        <v/>
      </c>
      <c r="AB427" s="24">
        <f>U427*Z427/(1+Assumptions!$B$3)^AA427</f>
        <v/>
      </c>
      <c r="AC427" s="27">
        <f>IF(U427=0,"",ROUND(AB427/U427*100,1))</f>
        <v/>
      </c>
      <c r="AD427" s="29">
        <f>AB427*Assumptions!$B$4</f>
        <v/>
      </c>
      <c r="AE427" s="27">
        <f>IF(U427=0,"",ROUND(AD427/U427*100,1))</f>
        <v/>
      </c>
      <c r="AF427" s="29">
        <f>AB427-AD427</f>
        <v/>
      </c>
      <c r="AG427" s="27">
        <f>IF(U427=0,"",ROUND((AB427-AD427)/U427*100,1))</f>
        <v/>
      </c>
      <c r="AH427" s="30" t="inlineStr">
        <is>
          <t>OK — totals reconciled</t>
        </is>
      </c>
      <c r="AI427" s="31" t="inlineStr">
        <is>
          <t>https://ajruiz.com.br/sites/default/files/public/arquivos-processos/2023-11/4_relacao_de_credores_analitica_art._51_iii_da_lre.pdf</t>
        </is>
      </c>
      <c r="AJ427" s="30" t="inlineStr">
        <is>
          <t>p3 r24; p3 r25</t>
        </is>
      </c>
      <c r="AK427" s="30" t="inlineStr">
        <is>
          <t>p3: R$ 111.893,80; p3: R$ 204.304,99</t>
        </is>
      </c>
      <c r="AL427" s="30" t="inlineStr">
        <is>
          <t>Unclassified list</t>
        </is>
      </c>
      <c r="AM427" s="30" t="inlineStr"/>
      <c r="AN427" s="30" t="inlineStr">
        <is>
          <t>NONE FOUND</t>
        </is>
      </c>
      <c r="AO427" s="32" t="inlineStr">
        <is>
          <t>(not printed)</t>
        </is>
      </c>
      <c r="AP427" s="32" t="inlineStr"/>
      <c r="AQ427" s="32" t="inlineStr"/>
      <c r="AR427" s="32" t="inlineStr"/>
      <c r="AS427" s="32" t="inlineStr"/>
      <c r="AT427" s="32" t="inlineStr">
        <is>
          <t>RJ case number not identified on the document</t>
        </is>
      </c>
      <c r="AU427" s="32" t="inlineStr"/>
      <c r="AV427" s="32" t="inlineStr">
        <is>
          <t>not identified</t>
        </is>
      </c>
      <c r="AW427" s="32" t="inlineStr"/>
      <c r="AX427" s="32" t="inlineStr">
        <is>
          <t>ITU</t>
        </is>
      </c>
      <c r="AY427" s="32" t="inlineStr">
        <is>
          <t>SP</t>
        </is>
      </c>
      <c r="AZ427" s="32" t="inlineStr">
        <is>
          <t>Comércio por atacado de caminhões novos e usados</t>
        </is>
      </c>
      <c r="BA427" s="32" t="inlineStr">
        <is>
          <t>não ME/EPP</t>
        </is>
      </c>
      <c r="BB427" s="33" t="n">
        <v>18109100</v>
      </c>
      <c r="BC427" s="32" t="inlineStr">
        <is>
          <t>MID-MARKET</t>
        </is>
      </c>
      <c r="BD427" s="32" t="inlineStr">
        <is>
          <t>04422548</t>
        </is>
      </c>
      <c r="BE427" s="32" t="n">
        <v>2</v>
      </c>
      <c r="BF427" s="32" t="inlineStr">
        <is>
          <t>case no. corrected by reader</t>
        </is>
      </c>
    </row>
    <row r="428">
      <c r="A428" s="17" t="inlineStr">
        <is>
          <t>GAZIN INDUSTRIA E COMERCIO DE MOVEIS E ELETRODOMESTICOS S.A</t>
        </is>
      </c>
      <c r="B428" s="18" t="n">
        <v>641648.34</v>
      </c>
      <c r="C428" s="19" t="inlineStr">
        <is>
          <t>CREDIMÓVEIS NOVOLAR LTDA.</t>
        </is>
      </c>
      <c r="D428" s="20" t="inlineStr">
        <is>
          <t>NEW</t>
        </is>
      </c>
      <c r="E428" s="21" t="inlineStr"/>
      <c r="F428" s="20" t="inlineStr"/>
      <c r="G428" s="21" t="inlineStr"/>
      <c r="H428" s="20" t="inlineStr"/>
      <c r="I428" s="22" t="inlineStr">
        <is>
          <t>Natanael Estevao</t>
        </is>
      </c>
      <c r="J428" s="22" t="inlineStr">
        <is>
          <t>Gerente de Crédito e Cobrança PJ</t>
        </is>
      </c>
      <c r="K428" s="22" t="inlineStr">
        <is>
          <t>(44) 3663-8000</t>
        </is>
      </c>
      <c r="L428" s="22" t="inlineStr">
        <is>
          <t>(44) 3663-8000</t>
        </is>
      </c>
      <c r="M428" s="22" t="inlineStr"/>
      <c r="N428" s="22" t="inlineStr">
        <is>
          <t>natanael.estevao@gazin.com.br</t>
        </is>
      </c>
      <c r="O428" s="22" t="inlineStr">
        <is>
          <t>verified</t>
        </is>
      </c>
      <c r="P428" s="22" t="inlineStr">
        <is>
          <t>Fernando Graci</t>
        </is>
      </c>
      <c r="Q428" s="22" t="inlineStr">
        <is>
          <t>Controller</t>
        </is>
      </c>
      <c r="R428" s="22" t="inlineStr"/>
      <c r="S428" s="22" t="inlineStr">
        <is>
          <t>fernando.graci@gazin.com.br</t>
        </is>
      </c>
      <c r="T428" s="22" t="inlineStr">
        <is>
          <t>DM: has_email, phone Yes; BACKUP: backup, has_email, phone Yes</t>
        </is>
      </c>
      <c r="U428" s="24" t="n">
        <v>641648.34</v>
      </c>
      <c r="V428" s="39" t="inlineStr">
        <is>
          <t>C</t>
        </is>
      </c>
      <c r="W428" s="26" t="inlineStr"/>
      <c r="X428" s="27" t="inlineStr"/>
      <c r="Y428" s="27" t="inlineStr"/>
      <c r="Z428" s="26">
        <f>IF(W428&lt;&gt;"",W428,IFERROR(VLOOKUP(V428,Assumptions!$A$8:$F$12,2,FALSE),0))</f>
        <v/>
      </c>
      <c r="AA428" s="28">
        <f>IF(V428="A",MAX(1,IF(X428&lt;&gt;"",X428,IFERROR(VLOOKUP(V428,Assumptions!$A$8:$F$12,3,FALSE),3))+IF(Y428&lt;&gt;"",Y428,IFERROR(VLOOKUP(V428,Assumptions!$A$8:$F$12,4,FALSE),8))/2-MAX(0,IF(AS428="",0,YEAR(TODAY())-AS428)-IFERROR(VLOOKUP(V428,Assumptions!$A$8:$F$12,5,FALSE),1.5))),IFERROR(VLOOKUP(V428,Assumptions!$A$8:$F$12,5,FALSE),2.5)+IF(X428&lt;&gt;"",X428,IFERROR(VLOOKUP(V428,Assumptions!$A$8:$F$12,3,FALSE),3))+IF(Y428&lt;&gt;"",Y428,IFERROR(VLOOKUP(V428,Assumptions!$A$8:$F$12,4,FALSE),8))/2)</f>
        <v/>
      </c>
      <c r="AB428" s="24">
        <f>U428*Z428/(1+Assumptions!$B$3)^AA428</f>
        <v/>
      </c>
      <c r="AC428" s="27">
        <f>IF(U428=0,"",ROUND(AB428/U428*100,1))</f>
        <v/>
      </c>
      <c r="AD428" s="29">
        <f>AB428*Assumptions!$B$4</f>
        <v/>
      </c>
      <c r="AE428" s="27">
        <f>IF(U428=0,"",ROUND(AD428/U428*100,1))</f>
        <v/>
      </c>
      <c r="AF428" s="29">
        <f>AB428-AD428</f>
        <v/>
      </c>
      <c r="AG428" s="27">
        <f>IF(U428=0,"",ROUND((AB428-AD428)/U428*100,1))</f>
        <v/>
      </c>
      <c r="AH428" s="30" t="inlineStr">
        <is>
          <t>OK — totals reconciled</t>
        </is>
      </c>
      <c r="AI428" s="31" t="inlineStr">
        <is>
          <t>https://recuperacaojudicial.squarespace.com/s/RJ-Credimoveis-QGC-01082025.pdf</t>
        </is>
      </c>
      <c r="AJ428" s="30" t="inlineStr">
        <is>
          <t>p15 r46</t>
        </is>
      </c>
      <c r="AK428" s="30" t="inlineStr">
        <is>
          <t>p15: R$ 641.648,34</t>
        </is>
      </c>
      <c r="AL428" s="30" t="inlineStr">
        <is>
          <t>QGC (art. 18)</t>
        </is>
      </c>
      <c r="AM428" s="30" t="inlineStr">
        <is>
          <t>2026-01-28</t>
        </is>
      </c>
      <c r="AN428" s="30" t="inlineStr">
        <is>
          <t>NONE FOUND</t>
        </is>
      </c>
      <c r="AO428" s="32" t="inlineStr">
        <is>
          <t>0007565-40.2020.8.17.2370</t>
        </is>
      </c>
      <c r="AP428" s="32" t="inlineStr">
        <is>
          <t>TJPE</t>
        </is>
      </c>
      <c r="AQ428" s="32" t="inlineStr">
        <is>
          <t>Recuperação judicial</t>
        </is>
      </c>
      <c r="AR428" s="32" t="inlineStr">
        <is>
          <t>DataJud: no closure/falência movement</t>
        </is>
      </c>
      <c r="AS428" s="32" t="n">
        <v>2020</v>
      </c>
      <c r="AT428" s="32" t="inlineStr">
        <is>
          <t>6y since filing; plan not in our documents</t>
        </is>
      </c>
      <c r="AU428" s="32" t="inlineStr">
        <is>
          <t>09.930.165/0001-37</t>
        </is>
      </c>
      <c r="AV428" s="32" t="inlineStr">
        <is>
          <t>printed on the list (read twice)</t>
        </is>
      </c>
      <c r="AW428" s="32" t="inlineStr"/>
      <c r="AX428" s="32" t="inlineStr">
        <is>
          <t>DOURADINA</t>
        </is>
      </c>
      <c r="AY428" s="32" t="inlineStr">
        <is>
          <t>PR</t>
        </is>
      </c>
      <c r="AZ428" s="32" t="inlineStr">
        <is>
          <t>Comércio varejista especializado de eletrodomésticos e equipamentos de áudio e vídeo</t>
        </is>
      </c>
      <c r="BA428" s="32" t="inlineStr">
        <is>
          <t>não ME/EPP</t>
        </is>
      </c>
      <c r="BB428" s="33" t="n">
        <v>1800000000</v>
      </c>
      <c r="BC428" s="32" t="inlineStr">
        <is>
          <t>LARGE CORP</t>
        </is>
      </c>
      <c r="BD428" s="32" t="inlineStr">
        <is>
          <t>77941490</t>
        </is>
      </c>
      <c r="BE428" s="32" t="n">
        <v>1</v>
      </c>
      <c r="BF428" s="32" t="inlineStr"/>
    </row>
    <row r="429">
      <c r="A429" s="17" t="inlineStr">
        <is>
          <t>EVERTON FPS INDUSTRIA E COMERCIO DE PECAS LTDA</t>
        </is>
      </c>
      <c r="B429" s="18" t="n">
        <v>632893.59</v>
      </c>
      <c r="C429" s="19" t="inlineStr">
        <is>
          <t>EVER TON FPS IMPORTAÇÃO E EXPORTAÇÃO LTDA EPP E OUTRAS</t>
        </is>
      </c>
      <c r="D429" s="20" t="inlineStr">
        <is>
          <t>NEW</t>
        </is>
      </c>
      <c r="E429" s="21" t="inlineStr"/>
      <c r="F429" s="20" t="inlineStr"/>
      <c r="G429" s="21" t="inlineStr"/>
      <c r="H429" s="20" t="inlineStr"/>
      <c r="I429" s="22" t="inlineStr">
        <is>
          <t>ANTONIO JADIR MIRANDA</t>
        </is>
      </c>
      <c r="J429" s="23" t="inlineStr">
        <is>
          <t>Sócio-Administrador (RFB partner)</t>
        </is>
      </c>
      <c r="K429" s="22" t="inlineStr">
        <is>
          <t>(11) 3525-8700</t>
        </is>
      </c>
      <c r="L429" s="22" t="inlineStr">
        <is>
          <t>(11) 3525-8712</t>
        </is>
      </c>
      <c r="M429" s="22" t="inlineStr"/>
      <c r="N429" s="22" t="inlineStr"/>
      <c r="O429" s="22" t="inlineStr"/>
      <c r="P429" s="22" t="inlineStr"/>
      <c r="Q429" s="22" t="inlineStr"/>
      <c r="R429" s="22" t="inlineStr"/>
      <c r="S429" s="22" t="inlineStr"/>
      <c r="T429" s="22" t="inlineStr">
        <is>
          <t>DM = registered partner (RFB QSA); no Apollo match</t>
        </is>
      </c>
      <c r="U429" s="24" t="n">
        <v>632893.59</v>
      </c>
      <c r="V429" s="39" t="inlineStr">
        <is>
          <t>C</t>
        </is>
      </c>
      <c r="W429" s="26" t="inlineStr"/>
      <c r="X429" s="27" t="inlineStr"/>
      <c r="Y429" s="27" t="inlineStr"/>
      <c r="Z429" s="26">
        <f>IF(W429&lt;&gt;"",W429,IFERROR(VLOOKUP(V429,Assumptions!$A$8:$F$12,2,FALSE),0))</f>
        <v/>
      </c>
      <c r="AA429" s="28">
        <f>IF(V429="A",MAX(1,IF(X429&lt;&gt;"",X429,IFERROR(VLOOKUP(V429,Assumptions!$A$8:$F$12,3,FALSE),3))+IF(Y429&lt;&gt;"",Y429,IFERROR(VLOOKUP(V429,Assumptions!$A$8:$F$12,4,FALSE),8))/2-MAX(0,IF(AS429="",0,YEAR(TODAY())-AS429)-IFERROR(VLOOKUP(V429,Assumptions!$A$8:$F$12,5,FALSE),1.5))),IFERROR(VLOOKUP(V429,Assumptions!$A$8:$F$12,5,FALSE),2.5)+IF(X429&lt;&gt;"",X429,IFERROR(VLOOKUP(V429,Assumptions!$A$8:$F$12,3,FALSE),3))+IF(Y429&lt;&gt;"",Y429,IFERROR(VLOOKUP(V429,Assumptions!$A$8:$F$12,4,FALSE),8))/2)</f>
        <v/>
      </c>
      <c r="AB429" s="24">
        <f>U429*Z429/(1+Assumptions!$B$3)^AA429</f>
        <v/>
      </c>
      <c r="AC429" s="27">
        <f>IF(U429=0,"",ROUND(AB429/U429*100,1))</f>
        <v/>
      </c>
      <c r="AD429" s="29">
        <f>AB429*Assumptions!$B$4</f>
        <v/>
      </c>
      <c r="AE429" s="27">
        <f>IF(U429=0,"",ROUND(AD429/U429*100,1))</f>
        <v/>
      </c>
      <c r="AF429" s="29">
        <f>AB429-AD429</f>
        <v/>
      </c>
      <c r="AG429" s="27">
        <f>IF(U429=0,"",ROUND((AB429-AD429)/U429*100,1))</f>
        <v/>
      </c>
      <c r="AH429" s="34" t="inlineStr">
        <is>
          <t>NO TOTALS — list prints none; check page</t>
        </is>
      </c>
      <c r="AI429" s="31" t="inlineStr">
        <is>
          <t>https://violet-wolf-754008.hostingersite.com/wp-content/uploads/recuperacoes-judiciais/ever-ton/1º-edital.pdf</t>
        </is>
      </c>
      <c r="AJ429" s="30" t="inlineStr">
        <is>
          <t>p4 r8</t>
        </is>
      </c>
      <c r="AK429" s="30" t="inlineStr">
        <is>
          <t>p4: R$ 632.893,59</t>
        </is>
      </c>
      <c r="AL429" s="30" t="inlineStr">
        <is>
          <t>QGC (art. 18)</t>
        </is>
      </c>
      <c r="AM429" s="30" t="inlineStr"/>
      <c r="AN429" s="30" t="inlineStr">
        <is>
          <t>NONE FOUND</t>
        </is>
      </c>
      <c r="AO429" s="32" t="inlineStr">
        <is>
          <t>1054969-12.2018.8.26.0100</t>
        </is>
      </c>
      <c r="AP429" s="32" t="inlineStr">
        <is>
          <t>TJSP</t>
        </is>
      </c>
      <c r="AQ429" s="32" t="inlineStr">
        <is>
          <t>Recuperação judicial</t>
        </is>
      </c>
      <c r="AR429" s="32" t="inlineStr">
        <is>
          <t>not in DataJud</t>
        </is>
      </c>
      <c r="AS429" s="32" t="n">
        <v>2018</v>
      </c>
      <c r="AT429" s="32" t="inlineStr">
        <is>
          <t>8y since filing; plan not in our documents</t>
        </is>
      </c>
      <c r="AU429" s="32" t="inlineStr">
        <is>
          <t>15.338.345/0001-27</t>
        </is>
      </c>
      <c r="AV429" s="32" t="inlineStr">
        <is>
          <t>printed on the list (read twice)</t>
        </is>
      </c>
      <c r="AW429" s="32" t="inlineStr"/>
      <c r="AX429" s="32" t="inlineStr">
        <is>
          <t>COTIA</t>
        </is>
      </c>
      <c r="AY429" s="32" t="inlineStr">
        <is>
          <t>SP</t>
        </is>
      </c>
      <c r="AZ429" s="32" t="inlineStr">
        <is>
          <t>Fabricação de máquinas e equipamentos para uso industrial específico não especificados anteriormente, peças e acessórios</t>
        </is>
      </c>
      <c r="BA429" s="32" t="inlineStr">
        <is>
          <t>EMPRESA DE PEQUENO PORTE</t>
        </is>
      </c>
      <c r="BB429" s="33" t="n">
        <v>250000</v>
      </c>
      <c r="BC429" s="32" t="inlineStr">
        <is>
          <t>SMALL</t>
        </is>
      </c>
      <c r="BD429" s="32" t="inlineStr">
        <is>
          <t>07243854</t>
        </is>
      </c>
      <c r="BE429" s="32" t="n">
        <v>1</v>
      </c>
      <c r="BF429" s="32" t="inlineStr">
        <is>
          <t>list prints no totals</t>
        </is>
      </c>
    </row>
    <row r="430">
      <c r="A430" s="17" t="inlineStr">
        <is>
          <t>CHARRUA COMERCIAL AGRICOLA LTDA</t>
        </is>
      </c>
      <c r="B430" s="18" t="n">
        <v>704080</v>
      </c>
      <c r="C430" s="19" t="inlineStr">
        <is>
          <t>GRUPO 3E</t>
        </is>
      </c>
      <c r="D430" s="20" t="inlineStr">
        <is>
          <t>NEW</t>
        </is>
      </c>
      <c r="E430" s="21" t="inlineStr"/>
      <c r="F430" s="20" t="inlineStr"/>
      <c r="G430" s="21" t="inlineStr"/>
      <c r="H430" s="20" t="inlineStr"/>
      <c r="I430" s="22" t="inlineStr">
        <is>
          <t>Giselle Ornelas</t>
        </is>
      </c>
      <c r="J430" s="22" t="inlineStr">
        <is>
          <t>Analista Financeiro Contas a Pagar</t>
        </is>
      </c>
      <c r="K430" s="22" t="inlineStr">
        <is>
          <t>(54) 3311-2615</t>
        </is>
      </c>
      <c r="L430" s="22" t="inlineStr"/>
      <c r="M430" s="22" t="inlineStr"/>
      <c r="N430" s="22" t="inlineStr">
        <is>
          <t>giselle.ornelas@charrua.agr.br</t>
        </is>
      </c>
      <c r="O430" s="22" t="inlineStr">
        <is>
          <t>verified</t>
        </is>
      </c>
      <c r="P430" s="22" t="inlineStr">
        <is>
          <t>Leiliane Lima</t>
        </is>
      </c>
      <c r="Q430" s="22" t="inlineStr">
        <is>
          <t>Executiva de Recursos Humanos</t>
        </is>
      </c>
      <c r="R430" s="22" t="inlineStr"/>
      <c r="S430" s="22" t="inlineStr">
        <is>
          <t>leiliane.lima@charrua.agr.br</t>
        </is>
      </c>
      <c r="T430" s="22" t="inlineStr">
        <is>
          <t>DM: has_email, phone Yes; BACKUP: backup, has_email, phone Yes</t>
        </is>
      </c>
      <c r="U430" s="24" t="n">
        <v>704080</v>
      </c>
      <c r="V430" s="25" t="inlineStr">
        <is>
          <t>B</t>
        </is>
      </c>
      <c r="W430" s="26" t="n">
        <v>0.12</v>
      </c>
      <c r="X430" s="27" t="n">
        <v>2</v>
      </c>
      <c r="Y430" s="27" t="n">
        <v>13</v>
      </c>
      <c r="Z430" s="26">
        <f>IF(W430&lt;&gt;"",W430,IFERROR(VLOOKUP(V430,Assumptions!$A$8:$F$12,2,FALSE),0))</f>
        <v/>
      </c>
      <c r="AA430" s="28">
        <f>IF(V430="A",MAX(1,IF(X430&lt;&gt;"",X430,IFERROR(VLOOKUP(V430,Assumptions!$A$8:$F$12,3,FALSE),3))+IF(Y430&lt;&gt;"",Y430,IFERROR(VLOOKUP(V430,Assumptions!$A$8:$F$12,4,FALSE),8))/2-MAX(0,IF(AS430="",0,YEAR(TODAY())-AS430)-IFERROR(VLOOKUP(V430,Assumptions!$A$8:$F$12,5,FALSE),1.5))),IFERROR(VLOOKUP(V430,Assumptions!$A$8:$F$12,5,FALSE),2.5)+IF(X430&lt;&gt;"",X430,IFERROR(VLOOKUP(V430,Assumptions!$A$8:$F$12,3,FALSE),3))+IF(Y430&lt;&gt;"",Y430,IFERROR(VLOOKUP(V430,Assumptions!$A$8:$F$12,4,FALSE),8))/2)</f>
        <v/>
      </c>
      <c r="AB430" s="24">
        <f>U430*Z430/(1+Assumptions!$B$3)^AA430</f>
        <v/>
      </c>
      <c r="AC430" s="27">
        <f>IF(U430=0,"",ROUND(AB430/U430*100,1))</f>
        <v/>
      </c>
      <c r="AD430" s="29">
        <f>AB430*Assumptions!$B$4</f>
        <v/>
      </c>
      <c r="AE430" s="27">
        <f>IF(U430=0,"",ROUND(AD430/U430*100,1))</f>
        <v/>
      </c>
      <c r="AF430" s="29">
        <f>AB430-AD430</f>
        <v/>
      </c>
      <c r="AG430" s="27">
        <f>IF(U430=0,"",ROUND((AB430-AD430)/U430*100,1))</f>
        <v/>
      </c>
      <c r="AH430" s="34" t="inlineStr">
        <is>
          <t>NO TOTALS — list prints none; check page</t>
        </is>
      </c>
      <c r="AI430" s="31" t="inlineStr">
        <is>
          <t>https://stenius.com.br/wp-content/uploads/2026/06/EDITAL-GRUPO-3E.pdf</t>
        </is>
      </c>
      <c r="AJ430" s="30" t="inlineStr">
        <is>
          <t>p11 r59</t>
        </is>
      </c>
      <c r="AK430" s="30" t="inlineStr">
        <is>
          <t>p11: R$ 704.080,00</t>
        </is>
      </c>
      <c r="AL430" s="30" t="inlineStr">
        <is>
          <t>Debtor list (art. 51)</t>
        </is>
      </c>
      <c r="AM430" s="30" t="inlineStr">
        <is>
          <t>2026-06-22</t>
        </is>
      </c>
      <c r="AN430" s="30" t="inlineStr">
        <is>
          <t>PLAN FILED (art. 53), not granted</t>
        </is>
      </c>
      <c r="AO430" s="32" t="inlineStr">
        <is>
          <t>5341375-33.2026.8.09.0049</t>
        </is>
      </c>
      <c r="AP430" s="32" t="inlineStr">
        <is>
          <t>TJGO</t>
        </is>
      </c>
      <c r="AQ430" s="32" t="inlineStr">
        <is>
          <t>Recuperação judicial</t>
        </is>
      </c>
      <c r="AR430" s="32" t="inlineStr">
        <is>
          <t>DataJud: no closure/falência movement</t>
        </is>
      </c>
      <c r="AS430" s="32" t="n">
        <v>2026</v>
      </c>
      <c r="AT430" s="32" t="inlineStr">
        <is>
          <t>plan filed (art. 53), not yet granted</t>
        </is>
      </c>
      <c r="AU430" s="32" t="inlineStr"/>
      <c r="AV430" s="32" t="inlineStr">
        <is>
          <t>printed on the list (read twice)</t>
        </is>
      </c>
      <c r="AW430" s="32" t="inlineStr">
        <is>
          <t>Plano de Recuperação Judicial Grupo 3E v2.0 (Métis), mov. 321, pp.24-25</t>
        </is>
      </c>
      <c r="AX430" s="32" t="inlineStr">
        <is>
          <t>FORMOSA</t>
        </is>
      </c>
      <c r="AY430" s="32" t="inlineStr">
        <is>
          <t>GO</t>
        </is>
      </c>
      <c r="AZ430" s="32" t="inlineStr">
        <is>
          <t>Comércio atacadista de defensivos agrícolas, adubos, fertilizantes e corretivos do solo</t>
        </is>
      </c>
      <c r="BA430" s="32" t="inlineStr">
        <is>
          <t>não ME/EPP</t>
        </is>
      </c>
      <c r="BB430" s="33" t="n">
        <v>20000000</v>
      </c>
      <c r="BC430" s="32" t="inlineStr">
        <is>
          <t>MID-MARKET</t>
        </is>
      </c>
      <c r="BD430" s="32" t="inlineStr">
        <is>
          <t>37031044</t>
        </is>
      </c>
      <c r="BE430" s="32" t="n">
        <v>1</v>
      </c>
      <c r="BF430" s="32" t="inlineStr">
        <is>
          <t>list prints no totals</t>
        </is>
      </c>
    </row>
    <row r="431">
      <c r="A431" s="17" t="inlineStr">
        <is>
          <t>LINK COMERCIAL IMPORTADORA E EXPORTADORA LTDA</t>
        </is>
      </c>
      <c r="B431" s="18" t="n">
        <v>622086.4</v>
      </c>
      <c r="C431" s="19" t="inlineStr">
        <is>
          <t>BLUTRAFOS BLUMENAU TRANSFORMADORES LTDA</t>
        </is>
      </c>
      <c r="D431" s="20" t="inlineStr">
        <is>
          <t>NEW</t>
        </is>
      </c>
      <c r="E431" s="21" t="inlineStr"/>
      <c r="F431" s="20" t="inlineStr"/>
      <c r="G431" s="21" t="inlineStr"/>
      <c r="H431" s="20" t="inlineStr"/>
      <c r="I431" s="22" t="inlineStr">
        <is>
          <t>ELIAS MARTINS</t>
        </is>
      </c>
      <c r="J431" s="23" t="inlineStr">
        <is>
          <t>Administrador (RFB partner)</t>
        </is>
      </c>
      <c r="K431" s="22" t="inlineStr">
        <is>
          <t>(47) 9712-3161</t>
        </is>
      </c>
      <c r="L431" s="22" t="inlineStr"/>
      <c r="M431" s="22" t="inlineStr"/>
      <c r="N431" s="22" t="inlineStr"/>
      <c r="O431" s="22" t="inlineStr"/>
      <c r="P431" s="22" t="inlineStr"/>
      <c r="Q431" s="22" t="inlineStr"/>
      <c r="R431" s="22" t="inlineStr"/>
      <c r="S431" s="22" t="inlineStr"/>
      <c r="T431" s="22" t="inlineStr">
        <is>
          <t>DM = registered partner (RFB QSA); no Apollo match</t>
        </is>
      </c>
      <c r="U431" s="24" t="n">
        <v>622086.4</v>
      </c>
      <c r="V431" s="39" t="inlineStr">
        <is>
          <t>C</t>
        </is>
      </c>
      <c r="W431" s="26" t="inlineStr"/>
      <c r="X431" s="27" t="inlineStr"/>
      <c r="Y431" s="27" t="inlineStr"/>
      <c r="Z431" s="26">
        <f>IF(W431&lt;&gt;"",W431,IFERROR(VLOOKUP(V431,Assumptions!$A$8:$F$12,2,FALSE),0))</f>
        <v/>
      </c>
      <c r="AA431" s="28">
        <f>IF(V431="A",MAX(1,IF(X431&lt;&gt;"",X431,IFERROR(VLOOKUP(V431,Assumptions!$A$8:$F$12,3,FALSE),3))+IF(Y431&lt;&gt;"",Y431,IFERROR(VLOOKUP(V431,Assumptions!$A$8:$F$12,4,FALSE),8))/2-MAX(0,IF(AS431="",0,YEAR(TODAY())-AS431)-IFERROR(VLOOKUP(V431,Assumptions!$A$8:$F$12,5,FALSE),1.5))),IFERROR(VLOOKUP(V431,Assumptions!$A$8:$F$12,5,FALSE),2.5)+IF(X431&lt;&gt;"",X431,IFERROR(VLOOKUP(V431,Assumptions!$A$8:$F$12,3,FALSE),3))+IF(Y431&lt;&gt;"",Y431,IFERROR(VLOOKUP(V431,Assumptions!$A$8:$F$12,4,FALSE),8))/2)</f>
        <v/>
      </c>
      <c r="AB431" s="24">
        <f>U431*Z431/(1+Assumptions!$B$3)^AA431</f>
        <v/>
      </c>
      <c r="AC431" s="27">
        <f>IF(U431=0,"",ROUND(AB431/U431*100,1))</f>
        <v/>
      </c>
      <c r="AD431" s="29">
        <f>AB431*Assumptions!$B$4</f>
        <v/>
      </c>
      <c r="AE431" s="27">
        <f>IF(U431=0,"",ROUND(AD431/U431*100,1))</f>
        <v/>
      </c>
      <c r="AF431" s="29">
        <f>AB431-AD431</f>
        <v/>
      </c>
      <c r="AG431" s="27">
        <f>IF(U431=0,"",ROUND((AB431-AD431)/U431*100,1))</f>
        <v/>
      </c>
      <c r="AH431" s="30" t="inlineStr">
        <is>
          <t>OK — totals reconciled</t>
        </is>
      </c>
      <c r="AI431" s="31" t="inlineStr">
        <is>
          <t>https://administradorajudicialgs.com.br/wp-content/uploads/2023/08/advogados-sgrott-doc-22-relacao-de-credores-do-administrador-judicial-classe-iii-05-02-14.pdf</t>
        </is>
      </c>
      <c r="AJ431" s="30" t="inlineStr">
        <is>
          <t>p4 r4</t>
        </is>
      </c>
      <c r="AK431" s="30" t="inlineStr">
        <is>
          <t>p4: R$ 622.086,40</t>
        </is>
      </c>
      <c r="AL431" s="30" t="inlineStr">
        <is>
          <t>Unclassified list</t>
        </is>
      </c>
      <c r="AM431" s="30" t="inlineStr"/>
      <c r="AN431" s="30" t="inlineStr">
        <is>
          <t>NONE FOUND</t>
        </is>
      </c>
      <c r="AO431" s="32" t="inlineStr">
        <is>
          <t>0022845-08.2013.8.24.0008</t>
        </is>
      </c>
      <c r="AP431" s="32" t="inlineStr">
        <is>
          <t>TJSC</t>
        </is>
      </c>
      <c r="AQ431" s="32" t="inlineStr"/>
      <c r="AR431" s="32" t="inlineStr">
        <is>
          <t>not in DataJud</t>
        </is>
      </c>
      <c r="AS431" s="32" t="n">
        <v>2013</v>
      </c>
      <c r="AT431" s="32" t="inlineStr">
        <is>
          <t>13y since filing; plan not in our documents; case no. from the portal record, not printed on the list</t>
        </is>
      </c>
      <c r="AU431" s="32" t="inlineStr"/>
      <c r="AV431" s="32" t="inlineStr">
        <is>
          <t>portal page title / URL — not printed on the list</t>
        </is>
      </c>
      <c r="AW431" s="32" t="inlineStr"/>
      <c r="AX431" s="32" t="inlineStr">
        <is>
          <t>POMERODE</t>
        </is>
      </c>
      <c r="AY431" s="32" t="inlineStr">
        <is>
          <t>SC</t>
        </is>
      </c>
      <c r="AZ431" s="32" t="inlineStr">
        <is>
          <t>Comércio atacadista especializado em outros produtos intermediários não especificados anteriormente</t>
        </is>
      </c>
      <c r="BA431" s="32" t="inlineStr">
        <is>
          <t>não ME/EPP</t>
        </is>
      </c>
      <c r="BB431" s="33" t="n">
        <v>120000000</v>
      </c>
      <c r="BC431" s="32" t="inlineStr">
        <is>
          <t>MID-MARKET</t>
        </is>
      </c>
      <c r="BD431" s="32" t="inlineStr">
        <is>
          <t>06089521</t>
        </is>
      </c>
      <c r="BE431" s="32" t="n">
        <v>1</v>
      </c>
      <c r="BF431" s="32" t="inlineStr"/>
    </row>
    <row r="432">
      <c r="A432" s="17" t="inlineStr">
        <is>
          <t>ATIVA EMPREENDIMENTOS LTDA</t>
        </is>
      </c>
      <c r="B432" s="18" t="n">
        <v>605635.3199999999</v>
      </c>
      <c r="C432" s="19" t="inlineStr">
        <is>
          <t>GRUPO ARNON DE MELLO</t>
        </is>
      </c>
      <c r="D432" s="20" t="inlineStr">
        <is>
          <t>NEW</t>
        </is>
      </c>
      <c r="E432" s="21" t="inlineStr"/>
      <c r="F432" s="20" t="inlineStr"/>
      <c r="G432" s="21" t="inlineStr"/>
      <c r="H432" s="20" t="inlineStr"/>
      <c r="I432" s="22" t="inlineStr">
        <is>
          <t>ARTHUR MALTA DE AMORIM</t>
        </is>
      </c>
      <c r="J432" s="23" t="inlineStr">
        <is>
          <t>Administrador (RFB partner)</t>
        </is>
      </c>
      <c r="K432" s="22" t="inlineStr">
        <is>
          <t>(82) 3316-8570</t>
        </is>
      </c>
      <c r="L432" s="22" t="inlineStr"/>
      <c r="M432" s="22" t="inlineStr"/>
      <c r="N432" s="22" t="inlineStr"/>
      <c r="O432" s="22" t="inlineStr"/>
      <c r="P432" s="22" t="inlineStr">
        <is>
          <t>BERNARDO MALTA DE AMORIM</t>
        </is>
      </c>
      <c r="Q432" s="22" t="inlineStr">
        <is>
          <t>Administrador (RFB partner)</t>
        </is>
      </c>
      <c r="R432" s="22" t="inlineStr"/>
      <c r="S432" s="22" t="inlineStr"/>
      <c r="T432" s="22" t="inlineStr">
        <is>
          <t>DM = registered partner (RFB QSA); no Apollo match</t>
        </is>
      </c>
      <c r="U432" s="24" t="n">
        <v>605635.3199999999</v>
      </c>
      <c r="V432" s="39" t="inlineStr">
        <is>
          <t>C</t>
        </is>
      </c>
      <c r="W432" s="26" t="inlineStr"/>
      <c r="X432" s="27" t="inlineStr"/>
      <c r="Y432" s="27" t="inlineStr"/>
      <c r="Z432" s="26">
        <f>IF(W432&lt;&gt;"",W432,IFERROR(VLOOKUP(V432,Assumptions!$A$8:$F$12,2,FALSE),0))</f>
        <v/>
      </c>
      <c r="AA432" s="28">
        <f>IF(V432="A",MAX(1,IF(X432&lt;&gt;"",X432,IFERROR(VLOOKUP(V432,Assumptions!$A$8:$F$12,3,FALSE),3))+IF(Y432&lt;&gt;"",Y432,IFERROR(VLOOKUP(V432,Assumptions!$A$8:$F$12,4,FALSE),8))/2-MAX(0,IF(AS432="",0,YEAR(TODAY())-AS432)-IFERROR(VLOOKUP(V432,Assumptions!$A$8:$F$12,5,FALSE),1.5))),IFERROR(VLOOKUP(V432,Assumptions!$A$8:$F$12,5,FALSE),2.5)+IF(X432&lt;&gt;"",X432,IFERROR(VLOOKUP(V432,Assumptions!$A$8:$F$12,3,FALSE),3))+IF(Y432&lt;&gt;"",Y432,IFERROR(VLOOKUP(V432,Assumptions!$A$8:$F$12,4,FALSE),8))/2)</f>
        <v/>
      </c>
      <c r="AB432" s="24">
        <f>U432*Z432/(1+Assumptions!$B$3)^AA432</f>
        <v/>
      </c>
      <c r="AC432" s="27">
        <f>IF(U432=0,"",ROUND(AB432/U432*100,1))</f>
        <v/>
      </c>
      <c r="AD432" s="29">
        <f>AB432*Assumptions!$B$4</f>
        <v/>
      </c>
      <c r="AE432" s="27">
        <f>IF(U432=0,"",ROUND(AD432/U432*100,1))</f>
        <v/>
      </c>
      <c r="AF432" s="29">
        <f>AB432-AD432</f>
        <v/>
      </c>
      <c r="AG432" s="27">
        <f>IF(U432=0,"",ROUND((AB432-AD432)/U432*100,1))</f>
        <v/>
      </c>
      <c r="AH432" s="34" t="inlineStr">
        <is>
          <t>NO TOTALS — list prints none; check page</t>
        </is>
      </c>
      <c r="AI432" s="31" t="inlineStr">
        <is>
          <t>https://recuperacaojudicial.squarespace.com/s/RJ-Grupo-Arnon-de-Melo-Lista-de-Credores-Consolidada-abril-2022.pdf</t>
        </is>
      </c>
      <c r="AJ432" s="30" t="inlineStr">
        <is>
          <t>p7 r17</t>
        </is>
      </c>
      <c r="AK432" s="30" t="inlineStr">
        <is>
          <t>p7: R$ 605.635,32</t>
        </is>
      </c>
      <c r="AL432" s="30" t="inlineStr">
        <is>
          <t>AJ list (art. 7 §2)</t>
        </is>
      </c>
      <c r="AM432" s="30" t="inlineStr"/>
      <c r="AN432" s="30" t="inlineStr">
        <is>
          <t>NONE FOUND</t>
        </is>
      </c>
      <c r="AO432" s="32" t="inlineStr">
        <is>
          <t>0700256-03.2019.8.02.0066</t>
        </is>
      </c>
      <c r="AP432" s="32" t="inlineStr">
        <is>
          <t>TJAL</t>
        </is>
      </c>
      <c r="AQ432" s="32" t="inlineStr">
        <is>
          <t>Recuperação judicial</t>
        </is>
      </c>
      <c r="AR432" s="32" t="inlineStr">
        <is>
          <t>not in DataJud</t>
        </is>
      </c>
      <c r="AS432" s="32" t="n">
        <v>2019</v>
      </c>
      <c r="AT432" s="32" t="inlineStr">
        <is>
          <t>7y since filing; plan not in our documents</t>
        </is>
      </c>
      <c r="AU432" s="32" t="inlineStr">
        <is>
          <t>12.503.801/0001-59</t>
        </is>
      </c>
      <c r="AV432" s="32" t="inlineStr">
        <is>
          <t>printed on the list (read twice)</t>
        </is>
      </c>
      <c r="AW432" s="32" t="inlineStr"/>
      <c r="AX432" s="32" t="inlineStr">
        <is>
          <t>MACEIO</t>
        </is>
      </c>
      <c r="AY432" s="32" t="inlineStr">
        <is>
          <t>AL</t>
        </is>
      </c>
      <c r="AZ432" s="32" t="inlineStr">
        <is>
          <t>Construção de edifícios</t>
        </is>
      </c>
      <c r="BA432" s="32" t="inlineStr">
        <is>
          <t>não ME/EPP</t>
        </is>
      </c>
      <c r="BB432" s="33" t="n">
        <v>16924792</v>
      </c>
      <c r="BC432" s="32" t="inlineStr">
        <is>
          <t>MID-MARKET</t>
        </is>
      </c>
      <c r="BD432" s="32" t="inlineStr">
        <is>
          <t>05399862</t>
        </is>
      </c>
      <c r="BE432" s="32" t="n">
        <v>1</v>
      </c>
      <c r="BF432" s="32" t="inlineStr">
        <is>
          <t>list prints no totals</t>
        </is>
      </c>
    </row>
    <row r="433">
      <c r="A433" s="17" t="inlineStr">
        <is>
          <t>TESSIN INDUSTRIA E COMERCIO LTDA</t>
        </is>
      </c>
      <c r="B433" s="18" t="n">
        <v>588544.67</v>
      </c>
      <c r="C433" s="19" t="inlineStr">
        <is>
          <t>BLUTRAFOS BLUMENAU TRANSFORMADORES LTDA</t>
        </is>
      </c>
      <c r="D433" s="20" t="inlineStr">
        <is>
          <t>NEW</t>
        </is>
      </c>
      <c r="E433" s="21" t="inlineStr"/>
      <c r="F433" s="20" t="inlineStr"/>
      <c r="G433" s="21" t="inlineStr"/>
      <c r="H433" s="20" t="inlineStr"/>
      <c r="I433" s="22" t="inlineStr">
        <is>
          <t>AMON YAMAGUCHI NISHIKUNI</t>
        </is>
      </c>
      <c r="J433" s="23" t="inlineStr">
        <is>
          <t>Sócio-Administrador (RFB partner)</t>
        </is>
      </c>
      <c r="K433" s="22" t="inlineStr">
        <is>
          <t>(11) 4748-3922</t>
        </is>
      </c>
      <c r="L433" s="22" t="inlineStr"/>
      <c r="M433" s="22" t="inlineStr"/>
      <c r="N433" s="22" t="inlineStr"/>
      <c r="O433" s="22" t="inlineStr"/>
      <c r="P433" s="22" t="inlineStr"/>
      <c r="Q433" s="22" t="inlineStr"/>
      <c r="R433" s="22" t="inlineStr"/>
      <c r="S433" s="22" t="inlineStr"/>
      <c r="T433" s="22" t="inlineStr">
        <is>
          <t>DM = registered partner (RFB QSA); no Apollo match</t>
        </is>
      </c>
      <c r="U433" s="24" t="n">
        <v>588544.67</v>
      </c>
      <c r="V433" s="39" t="inlineStr">
        <is>
          <t>C</t>
        </is>
      </c>
      <c r="W433" s="26" t="inlineStr"/>
      <c r="X433" s="27" t="inlineStr"/>
      <c r="Y433" s="27" t="inlineStr"/>
      <c r="Z433" s="26">
        <f>IF(W433&lt;&gt;"",W433,IFERROR(VLOOKUP(V433,Assumptions!$A$8:$F$12,2,FALSE),0))</f>
        <v/>
      </c>
      <c r="AA433" s="28">
        <f>IF(V433="A",MAX(1,IF(X433&lt;&gt;"",X433,IFERROR(VLOOKUP(V433,Assumptions!$A$8:$F$12,3,FALSE),3))+IF(Y433&lt;&gt;"",Y433,IFERROR(VLOOKUP(V433,Assumptions!$A$8:$F$12,4,FALSE),8))/2-MAX(0,IF(AS433="",0,YEAR(TODAY())-AS433)-IFERROR(VLOOKUP(V433,Assumptions!$A$8:$F$12,5,FALSE),1.5))),IFERROR(VLOOKUP(V433,Assumptions!$A$8:$F$12,5,FALSE),2.5)+IF(X433&lt;&gt;"",X433,IFERROR(VLOOKUP(V433,Assumptions!$A$8:$F$12,3,FALSE),3))+IF(Y433&lt;&gt;"",Y433,IFERROR(VLOOKUP(V433,Assumptions!$A$8:$F$12,4,FALSE),8))/2)</f>
        <v/>
      </c>
      <c r="AB433" s="24">
        <f>U433*Z433/(1+Assumptions!$B$3)^AA433</f>
        <v/>
      </c>
      <c r="AC433" s="27">
        <f>IF(U433=0,"",ROUND(AB433/U433*100,1))</f>
        <v/>
      </c>
      <c r="AD433" s="29">
        <f>AB433*Assumptions!$B$4</f>
        <v/>
      </c>
      <c r="AE433" s="27">
        <f>IF(U433=0,"",ROUND(AD433/U433*100,1))</f>
        <v/>
      </c>
      <c r="AF433" s="29">
        <f>AB433-AD433</f>
        <v/>
      </c>
      <c r="AG433" s="27">
        <f>IF(U433=0,"",ROUND((AB433-AD433)/U433*100,1))</f>
        <v/>
      </c>
      <c r="AH433" s="30" t="inlineStr">
        <is>
          <t>OK — totals reconciled</t>
        </is>
      </c>
      <c r="AI433" s="31" t="inlineStr">
        <is>
          <t>https://administradorajudicialgs.com.br/wp-content/uploads/2023/08/advogados-sgrott-doc-22-relacao-de-credores-do-administrador-judicial-classe-iii-05-02-14.pdf</t>
        </is>
      </c>
      <c r="AJ433" s="30" t="inlineStr">
        <is>
          <t>p6 r3</t>
        </is>
      </c>
      <c r="AK433" s="30" t="inlineStr">
        <is>
          <t>p6: R$ 588.544,67</t>
        </is>
      </c>
      <c r="AL433" s="30" t="inlineStr">
        <is>
          <t>Unclassified list</t>
        </is>
      </c>
      <c r="AM433" s="30" t="inlineStr"/>
      <c r="AN433" s="30" t="inlineStr">
        <is>
          <t>NONE FOUND</t>
        </is>
      </c>
      <c r="AO433" s="32" t="inlineStr">
        <is>
          <t>0022845-08.2013.8.24.0008</t>
        </is>
      </c>
      <c r="AP433" s="32" t="inlineStr">
        <is>
          <t>TJSC</t>
        </is>
      </c>
      <c r="AQ433" s="32" t="inlineStr"/>
      <c r="AR433" s="32" t="inlineStr">
        <is>
          <t>not in DataJud</t>
        </is>
      </c>
      <c r="AS433" s="32" t="n">
        <v>2013</v>
      </c>
      <c r="AT433" s="32" t="inlineStr">
        <is>
          <t>13y since filing; plan not in our documents; case no. from the portal record, not printed on the list</t>
        </is>
      </c>
      <c r="AU433" s="32" t="inlineStr"/>
      <c r="AV433" s="32" t="inlineStr">
        <is>
          <t>portal page title / URL — not printed on the list</t>
        </is>
      </c>
      <c r="AW433" s="32" t="inlineStr"/>
      <c r="AX433" s="32" t="inlineStr">
        <is>
          <t>SUZANO</t>
        </is>
      </c>
      <c r="AY433" s="32" t="inlineStr">
        <is>
          <t>SP</t>
        </is>
      </c>
      <c r="AZ433" s="32" t="inlineStr">
        <is>
          <t>Fabricação de componentes eletrônicos</t>
        </is>
      </c>
      <c r="BA433" s="32" t="inlineStr">
        <is>
          <t>não ME/EPP</t>
        </is>
      </c>
      <c r="BB433" s="33" t="n">
        <v>35000000</v>
      </c>
      <c r="BC433" s="32" t="inlineStr">
        <is>
          <t>MID-MARKET</t>
        </is>
      </c>
      <c r="BD433" s="32" t="inlineStr">
        <is>
          <t>44412435</t>
        </is>
      </c>
      <c r="BE433" s="32" t="n">
        <v>1</v>
      </c>
      <c r="BF433" s="32" t="inlineStr"/>
    </row>
    <row r="434">
      <c r="A434" s="17" t="inlineStr">
        <is>
          <t>ALPHA MOTION DO BRASIL LTDA</t>
        </is>
      </c>
      <c r="B434" s="18" t="n">
        <v>1059494.57</v>
      </c>
      <c r="C434" s="19" t="inlineStr">
        <is>
          <t>Mannes</t>
        </is>
      </c>
      <c r="D434" s="20" t="inlineStr">
        <is>
          <t>NEW</t>
        </is>
      </c>
      <c r="E434" s="21" t="inlineStr"/>
      <c r="F434" s="20" t="inlineStr"/>
      <c r="G434" s="21" t="inlineStr"/>
      <c r="H434" s="20" t="inlineStr"/>
      <c r="I434" s="22" t="inlineStr">
        <is>
          <t>ANTONIO APARECIDO SERINI</t>
        </is>
      </c>
      <c r="J434" s="23" t="inlineStr">
        <is>
          <t>Sócio-Administrador (RFB partner)</t>
        </is>
      </c>
      <c r="K434" s="22" t="inlineStr">
        <is>
          <t>(67) 3565-9100</t>
        </is>
      </c>
      <c r="L434" s="22" t="inlineStr"/>
      <c r="M434" s="22" t="inlineStr"/>
      <c r="N434" s="22" t="inlineStr"/>
      <c r="O434" s="22" t="inlineStr"/>
      <c r="P434" s="22" t="inlineStr"/>
      <c r="Q434" s="22" t="inlineStr"/>
      <c r="R434" s="22" t="inlineStr"/>
      <c r="S434" s="22" t="inlineStr"/>
      <c r="T434" s="22" t="inlineStr">
        <is>
          <t>DM = registered partner (RFB QSA); no Apollo match</t>
        </is>
      </c>
      <c r="U434" s="24" t="n">
        <v>1059494.57</v>
      </c>
      <c r="V434" s="40" t="inlineStr">
        <is>
          <t>D</t>
        </is>
      </c>
      <c r="W434" s="26" t="inlineStr"/>
      <c r="X434" s="27" t="inlineStr"/>
      <c r="Y434" s="27" t="inlineStr"/>
      <c r="Z434" s="26">
        <f>IF(W434&lt;&gt;"",W434,IFERROR(VLOOKUP(V434,Assumptions!$A$8:$F$12,2,FALSE),0))</f>
        <v/>
      </c>
      <c r="AA434" s="28">
        <f>IF(V434="A",MAX(1,IF(X434&lt;&gt;"",X434,IFERROR(VLOOKUP(V434,Assumptions!$A$8:$F$12,3,FALSE),3))+IF(Y434&lt;&gt;"",Y434,IFERROR(VLOOKUP(V434,Assumptions!$A$8:$F$12,4,FALSE),8))/2-MAX(0,IF(AS434="",0,YEAR(TODAY())-AS434)-IFERROR(VLOOKUP(V434,Assumptions!$A$8:$F$12,5,FALSE),1.5))),IFERROR(VLOOKUP(V434,Assumptions!$A$8:$F$12,5,FALSE),2.5)+IF(X434&lt;&gt;"",X434,IFERROR(VLOOKUP(V434,Assumptions!$A$8:$F$12,3,FALSE),3))+IF(Y434&lt;&gt;"",Y434,IFERROR(VLOOKUP(V434,Assumptions!$A$8:$F$12,4,FALSE),8))/2)</f>
        <v/>
      </c>
      <c r="AB434" s="24">
        <f>U434*Z434/(1+Assumptions!$B$3)^AA434</f>
        <v/>
      </c>
      <c r="AC434" s="27">
        <f>IF(U434=0,"",ROUND(AB434/U434*100,1))</f>
        <v/>
      </c>
      <c r="AD434" s="29">
        <f>AB434*Assumptions!$B$4</f>
        <v/>
      </c>
      <c r="AE434" s="27">
        <f>IF(U434=0,"",ROUND(AD434/U434*100,1))</f>
        <v/>
      </c>
      <c r="AF434" s="29">
        <f>AB434-AD434</f>
        <v/>
      </c>
      <c r="AG434" s="27">
        <f>IF(U434=0,"",ROUND((AB434-AD434)/U434*100,1))</f>
        <v/>
      </c>
      <c r="AH434" s="36" t="inlineStr">
        <is>
          <t>CHECK — source is not a statutory creditor list</t>
        </is>
      </c>
      <c r="AI434" s="31" t="inlineStr">
        <is>
          <t>https://administradorajudicialgs.com.br/wp-content/uploads/2024/12/relacao-de-credores-da-falida.pdf</t>
        </is>
      </c>
      <c r="AJ434" s="30" t="inlineStr">
        <is>
          <t>p12 r42</t>
        </is>
      </c>
      <c r="AK434" s="30" t="inlineStr">
        <is>
          <t>p12: R$ 1.059.494,57</t>
        </is>
      </c>
      <c r="AL434" s="30" t="inlineStr">
        <is>
          <t>Other filing — NOT an art. 7/51 list</t>
        </is>
      </c>
      <c r="AM434" s="30" t="inlineStr">
        <is>
          <t>2025-03-25</t>
        </is>
      </c>
      <c r="AN434" s="30" t="inlineStr">
        <is>
          <t>NONE FOUND</t>
        </is>
      </c>
      <c r="AO434" s="32" t="inlineStr">
        <is>
          <t>0005010-50.2013.8.24.0026</t>
        </is>
      </c>
      <c r="AP434" s="32" t="inlineStr">
        <is>
          <t>TJSC</t>
        </is>
      </c>
      <c r="AQ434" s="32" t="inlineStr">
        <is>
          <t>Falência</t>
        </is>
      </c>
      <c r="AR434" s="32" t="inlineStr">
        <is>
          <t>not in DataJud</t>
        </is>
      </c>
      <c r="AS434" s="32" t="n">
        <v>2013</v>
      </c>
      <c r="AT434" s="32" t="inlineStr">
        <is>
          <t>falência proceeding (list/name says falida)</t>
        </is>
      </c>
      <c r="AU434" s="32" t="inlineStr"/>
      <c r="AV434" s="32" t="inlineStr">
        <is>
          <t>printed on the list (read twice)</t>
        </is>
      </c>
      <c r="AW434" s="32" t="inlineStr"/>
      <c r="AX434" s="32" t="inlineStr">
        <is>
          <t>APARECIDA DO TABOADO</t>
        </is>
      </c>
      <c r="AY434" s="32" t="inlineStr">
        <is>
          <t>MS</t>
        </is>
      </c>
      <c r="AZ434" s="32" t="inlineStr">
        <is>
          <t>Fabricação de móveis com predominância de metal</t>
        </is>
      </c>
      <c r="BA434" s="32" t="inlineStr">
        <is>
          <t>não ME/EPP</t>
        </is>
      </c>
      <c r="BB434" s="33" t="n">
        <v>1000000</v>
      </c>
      <c r="BC434" s="32" t="inlineStr">
        <is>
          <t>MID-MARKET</t>
        </is>
      </c>
      <c r="BD434" s="32" t="inlineStr">
        <is>
          <t>04547784</t>
        </is>
      </c>
      <c r="BE434" s="32" t="n">
        <v>1</v>
      </c>
      <c r="BF434" s="32" t="inlineStr">
        <is>
          <t>list prints no totals case no. corrected by reader</t>
        </is>
      </c>
    </row>
    <row r="435">
      <c r="A435" s="17" t="inlineStr">
        <is>
          <t>VEREDA ALIMENTOS LTDA</t>
        </is>
      </c>
      <c r="B435" s="18" t="n">
        <v>634021.16</v>
      </c>
      <c r="C435" s="19" t="inlineStr">
        <is>
          <t>GRUPO 3E</t>
        </is>
      </c>
      <c r="D435" s="20" t="inlineStr">
        <is>
          <t>NEW</t>
        </is>
      </c>
      <c r="E435" s="21" t="inlineStr"/>
      <c r="F435" s="20" t="inlineStr"/>
      <c r="G435" s="21" t="inlineStr"/>
      <c r="H435" s="20" t="inlineStr"/>
      <c r="I435" s="22" t="inlineStr">
        <is>
          <t>EDVALDO ANTONIO LOPES</t>
        </is>
      </c>
      <c r="J435" s="23" t="inlineStr">
        <is>
          <t>Administrador (RFB partner)</t>
        </is>
      </c>
      <c r="K435" s="22" t="inlineStr">
        <is>
          <t>(62) 8147-9122</t>
        </is>
      </c>
      <c r="L435" s="22" t="inlineStr"/>
      <c r="M435" s="22" t="inlineStr"/>
      <c r="N435" s="22" t="inlineStr"/>
      <c r="O435" s="22" t="inlineStr"/>
      <c r="P435" s="22" t="inlineStr">
        <is>
          <t>Rogerio Rocha</t>
        </is>
      </c>
      <c r="Q435" s="22" t="inlineStr">
        <is>
          <t>Sales Manager</t>
        </is>
      </c>
      <c r="R435" s="22" t="inlineStr"/>
      <c r="S435" s="22" t="inlineStr">
        <is>
          <t>rogerio@vereda.com</t>
        </is>
      </c>
      <c r="T435" s="22" t="inlineStr">
        <is>
          <t>DM = registered partner (RFB QSA); Apollo pick demoted to backup (non-finance role); BACKUP: weak, has_email</t>
        </is>
      </c>
      <c r="U435" s="24" t="n">
        <v>634021.16</v>
      </c>
      <c r="V435" s="25" t="inlineStr">
        <is>
          <t>B</t>
        </is>
      </c>
      <c r="W435" s="26" t="n">
        <v>0.12</v>
      </c>
      <c r="X435" s="27" t="n">
        <v>2</v>
      </c>
      <c r="Y435" s="27" t="n">
        <v>13</v>
      </c>
      <c r="Z435" s="26">
        <f>IF(W435&lt;&gt;"",W435,IFERROR(VLOOKUP(V435,Assumptions!$A$8:$F$12,2,FALSE),0))</f>
        <v/>
      </c>
      <c r="AA435" s="28">
        <f>IF(V435="A",MAX(1,IF(X435&lt;&gt;"",X435,IFERROR(VLOOKUP(V435,Assumptions!$A$8:$F$12,3,FALSE),3))+IF(Y435&lt;&gt;"",Y435,IFERROR(VLOOKUP(V435,Assumptions!$A$8:$F$12,4,FALSE),8))/2-MAX(0,IF(AS435="",0,YEAR(TODAY())-AS435)-IFERROR(VLOOKUP(V435,Assumptions!$A$8:$F$12,5,FALSE),1.5))),IFERROR(VLOOKUP(V435,Assumptions!$A$8:$F$12,5,FALSE),2.5)+IF(X435&lt;&gt;"",X435,IFERROR(VLOOKUP(V435,Assumptions!$A$8:$F$12,3,FALSE),3))+IF(Y435&lt;&gt;"",Y435,IFERROR(VLOOKUP(V435,Assumptions!$A$8:$F$12,4,FALSE),8))/2)</f>
        <v/>
      </c>
      <c r="AB435" s="24">
        <f>U435*Z435/(1+Assumptions!$B$3)^AA435</f>
        <v/>
      </c>
      <c r="AC435" s="27">
        <f>IF(U435=0,"",ROUND(AB435/U435*100,1))</f>
        <v/>
      </c>
      <c r="AD435" s="29">
        <f>AB435*Assumptions!$B$4</f>
        <v/>
      </c>
      <c r="AE435" s="27">
        <f>IF(U435=0,"",ROUND(AD435/U435*100,1))</f>
        <v/>
      </c>
      <c r="AF435" s="29">
        <f>AB435-AD435</f>
        <v/>
      </c>
      <c r="AG435" s="27">
        <f>IF(U435=0,"",ROUND((AB435-AD435)/U435*100,1))</f>
        <v/>
      </c>
      <c r="AH435" s="34" t="inlineStr">
        <is>
          <t>NO TOTALS — list prints none; check page</t>
        </is>
      </c>
      <c r="AI435" s="31" t="inlineStr">
        <is>
          <t>https://stenius.com.br/wp-content/uploads/2026/06/EDITAL-GRUPO-3E.pdf</t>
        </is>
      </c>
      <c r="AJ435" s="30" t="inlineStr">
        <is>
          <t>p9 r11</t>
        </is>
      </c>
      <c r="AK435" s="30" t="inlineStr">
        <is>
          <t>p9: R$ 634.021,16</t>
        </is>
      </c>
      <c r="AL435" s="30" t="inlineStr">
        <is>
          <t>Debtor list (art. 51)</t>
        </is>
      </c>
      <c r="AM435" s="30" t="inlineStr">
        <is>
          <t>2026-06-22</t>
        </is>
      </c>
      <c r="AN435" s="30" t="inlineStr">
        <is>
          <t>PLAN FILED (art. 53), not granted</t>
        </is>
      </c>
      <c r="AO435" s="32" t="inlineStr">
        <is>
          <t>5341375-33.2026.8.09.0049</t>
        </is>
      </c>
      <c r="AP435" s="32" t="inlineStr">
        <is>
          <t>TJGO</t>
        </is>
      </c>
      <c r="AQ435" s="32" t="inlineStr">
        <is>
          <t>Recuperação judicial</t>
        </is>
      </c>
      <c r="AR435" s="32" t="inlineStr">
        <is>
          <t>DataJud: no closure/falência movement</t>
        </is>
      </c>
      <c r="AS435" s="32" t="n">
        <v>2026</v>
      </c>
      <c r="AT435" s="32" t="inlineStr">
        <is>
          <t>plan filed (art. 53), not yet granted</t>
        </is>
      </c>
      <c r="AU435" s="32" t="inlineStr"/>
      <c r="AV435" s="32" t="inlineStr">
        <is>
          <t>printed on the list (read twice)</t>
        </is>
      </c>
      <c r="AW435" s="32" t="inlineStr">
        <is>
          <t>Plano de Recuperação Judicial Grupo 3E v2.0 (Métis), mov. 321, pp.24-25</t>
        </is>
      </c>
      <c r="AX435" s="32" t="inlineStr">
        <is>
          <t>GOIANESIA</t>
        </is>
      </c>
      <c r="AY435" s="32" t="inlineStr">
        <is>
          <t>GO</t>
        </is>
      </c>
      <c r="AZ435" s="32" t="inlineStr">
        <is>
          <t>Frigorífico - abate de bovinos</t>
        </is>
      </c>
      <c r="BA435" s="32" t="inlineStr">
        <is>
          <t>não ME/EPP</t>
        </is>
      </c>
      <c r="BB435" s="33" t="n">
        <v>10000</v>
      </c>
      <c r="BC435" s="32" t="inlineStr">
        <is>
          <t>MID-MARKET</t>
        </is>
      </c>
      <c r="BD435" s="32" t="inlineStr">
        <is>
          <t>04454667</t>
        </is>
      </c>
      <c r="BE435" s="32" t="n">
        <v>1</v>
      </c>
      <c r="BF435" s="32" t="inlineStr">
        <is>
          <t>list prints no totals</t>
        </is>
      </c>
    </row>
    <row r="436">
      <c r="A436" s="17" t="inlineStr">
        <is>
          <t>EQUATORIAL ALAGOAS DISTRIBUIDORA DE ENERGIA S.A.</t>
        </is>
      </c>
      <c r="B436" s="18" t="n">
        <v>558539.73</v>
      </c>
      <c r="C436" s="19" t="inlineStr">
        <is>
          <t>GRUPO ARNON DE MELLO</t>
        </is>
      </c>
      <c r="D436" s="20" t="inlineStr">
        <is>
          <t>NEW</t>
        </is>
      </c>
      <c r="E436" s="21" t="inlineStr"/>
      <c r="F436" s="20" t="inlineStr"/>
      <c r="G436" s="21" t="inlineStr"/>
      <c r="H436" s="20" t="inlineStr"/>
      <c r="I436" s="22" t="inlineStr">
        <is>
          <t>SERGIO RICARDO DE ANDRADE OLIVEIRA</t>
        </is>
      </c>
      <c r="J436" s="23" t="inlineStr">
        <is>
          <t>Presidente (RFB partner)</t>
        </is>
      </c>
      <c r="K436" s="22" t="inlineStr"/>
      <c r="L436" s="22" t="inlineStr"/>
      <c r="M436" s="22" t="inlineStr"/>
      <c r="N436" s="22" t="inlineStr"/>
      <c r="O436" s="22" t="inlineStr"/>
      <c r="P436" s="22" t="inlineStr">
        <is>
          <t>CRISTIANO DE LIMA LOGRADO</t>
        </is>
      </c>
      <c r="Q436" s="22" t="inlineStr">
        <is>
          <t>Diretor (RFB partner)</t>
        </is>
      </c>
      <c r="R436" s="22" t="inlineStr"/>
      <c r="S436" s="22" t="inlineStr"/>
      <c r="T436" s="22" t="inlineStr">
        <is>
          <t>DM = registered partner (RFB QSA); no Apollo match; NO ROUTE IN: no phone or email on file</t>
        </is>
      </c>
      <c r="U436" s="24" t="n">
        <v>558539.73</v>
      </c>
      <c r="V436" s="39" t="inlineStr">
        <is>
          <t>C</t>
        </is>
      </c>
      <c r="W436" s="26" t="inlineStr"/>
      <c r="X436" s="27" t="inlineStr"/>
      <c r="Y436" s="27" t="inlineStr"/>
      <c r="Z436" s="26">
        <f>IF(W436&lt;&gt;"",W436,IFERROR(VLOOKUP(V436,Assumptions!$A$8:$F$12,2,FALSE),0))</f>
        <v/>
      </c>
      <c r="AA436" s="28">
        <f>IF(V436="A",MAX(1,IF(X436&lt;&gt;"",X436,IFERROR(VLOOKUP(V436,Assumptions!$A$8:$F$12,3,FALSE),3))+IF(Y436&lt;&gt;"",Y436,IFERROR(VLOOKUP(V436,Assumptions!$A$8:$F$12,4,FALSE),8))/2-MAX(0,IF(AS436="",0,YEAR(TODAY())-AS436)-IFERROR(VLOOKUP(V436,Assumptions!$A$8:$F$12,5,FALSE),1.5))),IFERROR(VLOOKUP(V436,Assumptions!$A$8:$F$12,5,FALSE),2.5)+IF(X436&lt;&gt;"",X436,IFERROR(VLOOKUP(V436,Assumptions!$A$8:$F$12,3,FALSE),3))+IF(Y436&lt;&gt;"",Y436,IFERROR(VLOOKUP(V436,Assumptions!$A$8:$F$12,4,FALSE),8))/2)</f>
        <v/>
      </c>
      <c r="AB436" s="24">
        <f>U436*Z436/(1+Assumptions!$B$3)^AA436</f>
        <v/>
      </c>
      <c r="AC436" s="27">
        <f>IF(U436=0,"",ROUND(AB436/U436*100,1))</f>
        <v/>
      </c>
      <c r="AD436" s="29">
        <f>AB436*Assumptions!$B$4</f>
        <v/>
      </c>
      <c r="AE436" s="27">
        <f>IF(U436=0,"",ROUND(AD436/U436*100,1))</f>
        <v/>
      </c>
      <c r="AF436" s="29">
        <f>AB436-AD436</f>
        <v/>
      </c>
      <c r="AG436" s="27">
        <f>IF(U436=0,"",ROUND((AB436-AD436)/U436*100,1))</f>
        <v/>
      </c>
      <c r="AH436" s="34" t="inlineStr">
        <is>
          <t>NO TOTALS — list prints none; check page</t>
        </is>
      </c>
      <c r="AI436" s="31" t="inlineStr">
        <is>
          <t>https://recuperacaojudicial.squarespace.com/s/RJ-Grupo-Arnon-de-Melo-Lista-de-Credores-Consolidada-abril-2022.pdf</t>
        </is>
      </c>
      <c r="AJ436" s="30" t="inlineStr">
        <is>
          <t>p7 r46</t>
        </is>
      </c>
      <c r="AK436" s="30" t="inlineStr">
        <is>
          <t>p7: R$ 558.539,73</t>
        </is>
      </c>
      <c r="AL436" s="30" t="inlineStr">
        <is>
          <t>AJ list (art. 7 §2)</t>
        </is>
      </c>
      <c r="AM436" s="30" t="inlineStr"/>
      <c r="AN436" s="30" t="inlineStr">
        <is>
          <t>NONE FOUND</t>
        </is>
      </c>
      <c r="AO436" s="32" t="inlineStr">
        <is>
          <t>0700256-03.2019.8.02.0066</t>
        </is>
      </c>
      <c r="AP436" s="32" t="inlineStr">
        <is>
          <t>TJAL</t>
        </is>
      </c>
      <c r="AQ436" s="32" t="inlineStr">
        <is>
          <t>Recuperação judicial</t>
        </is>
      </c>
      <c r="AR436" s="32" t="inlineStr">
        <is>
          <t>not in DataJud</t>
        </is>
      </c>
      <c r="AS436" s="32" t="n">
        <v>2019</v>
      </c>
      <c r="AT436" s="32" t="inlineStr">
        <is>
          <t>7y since filing; plan not in our documents</t>
        </is>
      </c>
      <c r="AU436" s="32" t="inlineStr">
        <is>
          <t>12.503.801/0001-59</t>
        </is>
      </c>
      <c r="AV436" s="32" t="inlineStr">
        <is>
          <t>printed on the list (read twice)</t>
        </is>
      </c>
      <c r="AW436" s="32" t="inlineStr"/>
      <c r="AX436" s="32" t="inlineStr">
        <is>
          <t>MACEIO</t>
        </is>
      </c>
      <c r="AY436" s="32" t="inlineStr">
        <is>
          <t>AL</t>
        </is>
      </c>
      <c r="AZ436" s="32" t="inlineStr">
        <is>
          <t>Distribuição de energia elétrica</t>
        </is>
      </c>
      <c r="BA436" s="32" t="inlineStr">
        <is>
          <t>não ME/EPP</t>
        </is>
      </c>
      <c r="BB436" s="33" t="n">
        <v>641779900</v>
      </c>
      <c r="BC436" s="32" t="inlineStr">
        <is>
          <t>LARGE CORP</t>
        </is>
      </c>
      <c r="BD436" s="32" t="inlineStr">
        <is>
          <t>12272084</t>
        </is>
      </c>
      <c r="BE436" s="32" t="n">
        <v>1</v>
      </c>
      <c r="BF436" s="32" t="inlineStr">
        <is>
          <t>list prints no totals no route in</t>
        </is>
      </c>
    </row>
    <row r="437">
      <c r="A437" s="17" t="inlineStr">
        <is>
          <t>DOW BRASIL SUDESTE INDUSTRIAL LTDA.</t>
        </is>
      </c>
      <c r="B437" s="18" t="n">
        <v>994732.16</v>
      </c>
      <c r="C437" s="19" t="inlineStr">
        <is>
          <t>Mannes</t>
        </is>
      </c>
      <c r="D437" s="20" t="inlineStr">
        <is>
          <t>NEW</t>
        </is>
      </c>
      <c r="E437" s="21" t="inlineStr"/>
      <c r="F437" s="20" t="inlineStr"/>
      <c r="G437" s="21" t="inlineStr"/>
      <c r="H437" s="20" t="inlineStr"/>
      <c r="I437" s="22" t="inlineStr">
        <is>
          <t>BRUNA PELLEGRINO GENTILE</t>
        </is>
      </c>
      <c r="J437" s="23" t="inlineStr">
        <is>
          <t>Administrador (RFB partner)</t>
        </is>
      </c>
      <c r="K437" s="22" t="inlineStr">
        <is>
          <t>(11) 5188-9184</t>
        </is>
      </c>
      <c r="L437" s="22" t="inlineStr"/>
      <c r="M437" s="22" t="inlineStr"/>
      <c r="N437" s="22" t="inlineStr"/>
      <c r="O437" s="22" t="inlineStr"/>
      <c r="P437" s="22" t="inlineStr">
        <is>
          <t>HURE JOSE DE ANDRADE JUNIOR</t>
        </is>
      </c>
      <c r="Q437" s="22" t="inlineStr">
        <is>
          <t>Administrador (RFB partner)</t>
        </is>
      </c>
      <c r="R437" s="22" t="inlineStr"/>
      <c r="S437" s="22" t="inlineStr"/>
      <c r="T437" s="22" t="inlineStr">
        <is>
          <t>DM = registered partner (RFB QSA); no Apollo match</t>
        </is>
      </c>
      <c r="U437" s="24" t="n">
        <v>994732.16</v>
      </c>
      <c r="V437" s="40" t="inlineStr">
        <is>
          <t>D</t>
        </is>
      </c>
      <c r="W437" s="26" t="inlineStr"/>
      <c r="X437" s="27" t="inlineStr"/>
      <c r="Y437" s="27" t="inlineStr"/>
      <c r="Z437" s="26">
        <f>IF(W437&lt;&gt;"",W437,IFERROR(VLOOKUP(V437,Assumptions!$A$8:$F$12,2,FALSE),0))</f>
        <v/>
      </c>
      <c r="AA437" s="28">
        <f>IF(V437="A",MAX(1,IF(X437&lt;&gt;"",X437,IFERROR(VLOOKUP(V437,Assumptions!$A$8:$F$12,3,FALSE),3))+IF(Y437&lt;&gt;"",Y437,IFERROR(VLOOKUP(V437,Assumptions!$A$8:$F$12,4,FALSE),8))/2-MAX(0,IF(AS437="",0,YEAR(TODAY())-AS437)-IFERROR(VLOOKUP(V437,Assumptions!$A$8:$F$12,5,FALSE),1.5))),IFERROR(VLOOKUP(V437,Assumptions!$A$8:$F$12,5,FALSE),2.5)+IF(X437&lt;&gt;"",X437,IFERROR(VLOOKUP(V437,Assumptions!$A$8:$F$12,3,FALSE),3))+IF(Y437&lt;&gt;"",Y437,IFERROR(VLOOKUP(V437,Assumptions!$A$8:$F$12,4,FALSE),8))/2)</f>
        <v/>
      </c>
      <c r="AB437" s="24">
        <f>U437*Z437/(1+Assumptions!$B$3)^AA437</f>
        <v/>
      </c>
      <c r="AC437" s="27">
        <f>IF(U437=0,"",ROUND(AB437/U437*100,1))</f>
        <v/>
      </c>
      <c r="AD437" s="29">
        <f>AB437*Assumptions!$B$4</f>
        <v/>
      </c>
      <c r="AE437" s="27">
        <f>IF(U437=0,"",ROUND(AD437/U437*100,1))</f>
        <v/>
      </c>
      <c r="AF437" s="29">
        <f>AB437-AD437</f>
        <v/>
      </c>
      <c r="AG437" s="27">
        <f>IF(U437=0,"",ROUND((AB437-AD437)/U437*100,1))</f>
        <v/>
      </c>
      <c r="AH437" s="36" t="inlineStr">
        <is>
          <t>CHECK — source is not a statutory creditor list</t>
        </is>
      </c>
      <c r="AI437" s="31" t="inlineStr">
        <is>
          <t>https://administradorajudicialgs.com.br/wp-content/uploads/2024/12/relacao-de-credores-da-falida.pdf</t>
        </is>
      </c>
      <c r="AJ437" s="30" t="inlineStr">
        <is>
          <t>p14 r12</t>
        </is>
      </c>
      <c r="AK437" s="30" t="inlineStr">
        <is>
          <t>p14: R$ 994.732,16</t>
        </is>
      </c>
      <c r="AL437" s="30" t="inlineStr">
        <is>
          <t>Other filing — NOT an art. 7/51 list</t>
        </is>
      </c>
      <c r="AM437" s="30" t="inlineStr">
        <is>
          <t>2025-03-25</t>
        </is>
      </c>
      <c r="AN437" s="30" t="inlineStr">
        <is>
          <t>NONE FOUND</t>
        </is>
      </c>
      <c r="AO437" s="32" t="inlineStr">
        <is>
          <t>0005010-50.2013.8.24.0026</t>
        </is>
      </c>
      <c r="AP437" s="32" t="inlineStr">
        <is>
          <t>TJSC</t>
        </is>
      </c>
      <c r="AQ437" s="32" t="inlineStr">
        <is>
          <t>Falência</t>
        </is>
      </c>
      <c r="AR437" s="32" t="inlineStr">
        <is>
          <t>not in DataJud</t>
        </is>
      </c>
      <c r="AS437" s="32" t="n">
        <v>2013</v>
      </c>
      <c r="AT437" s="32" t="inlineStr">
        <is>
          <t>falência proceeding (list/name says falida)</t>
        </is>
      </c>
      <c r="AU437" s="32" t="inlineStr"/>
      <c r="AV437" s="32" t="inlineStr">
        <is>
          <t>printed on the list (read twice)</t>
        </is>
      </c>
      <c r="AW437" s="32" t="inlineStr"/>
      <c r="AX437" s="32" t="inlineStr">
        <is>
          <t>SAO PAULO</t>
        </is>
      </c>
      <c r="AY437" s="32" t="inlineStr">
        <is>
          <t>SP</t>
        </is>
      </c>
      <c r="AZ437" s="32" t="inlineStr">
        <is>
          <t>Fabricação de resinas termoplásticas</t>
        </is>
      </c>
      <c r="BA437" s="32" t="inlineStr">
        <is>
          <t>não ME/EPP</t>
        </is>
      </c>
      <c r="BB437" s="33" t="n">
        <v>738247800</v>
      </c>
      <c r="BC437" s="32" t="inlineStr">
        <is>
          <t>MID-MARKET</t>
        </is>
      </c>
      <c r="BD437" s="32" t="inlineStr">
        <is>
          <t>53877627</t>
        </is>
      </c>
      <c r="BE437" s="32" t="n">
        <v>1</v>
      </c>
      <c r="BF437" s="32" t="inlineStr">
        <is>
          <t>list prints no totals case no. corrected by reader</t>
        </is>
      </c>
    </row>
    <row r="438">
      <c r="A438" s="17" t="inlineStr">
        <is>
          <t>GERDAU ACOS LONGOS S.A.</t>
        </is>
      </c>
      <c r="B438" s="18" t="n">
        <v>530847.4399999999</v>
      </c>
      <c r="C438" s="19" t="inlineStr">
        <is>
          <t>Roque Materiais para Construção</t>
        </is>
      </c>
      <c r="D438" s="20" t="inlineStr">
        <is>
          <t>NEW</t>
        </is>
      </c>
      <c r="E438" s="21" t="inlineStr"/>
      <c r="F438" s="20" t="inlineStr"/>
      <c r="G438" s="21" t="inlineStr"/>
      <c r="H438" s="20" t="inlineStr"/>
      <c r="I438" s="22" t="inlineStr">
        <is>
          <t>Guilherme Freitas</t>
        </is>
      </c>
      <c r="J438" s="22" t="inlineStr">
        <is>
          <t>Coordenador de Crédito e Cobrança</t>
        </is>
      </c>
      <c r="K438" s="22" t="inlineStr">
        <is>
          <t>(11) 3094-6600</t>
        </is>
      </c>
      <c r="L438" s="22" t="inlineStr"/>
      <c r="M438" s="22" t="inlineStr"/>
      <c r="N438" s="22" t="inlineStr">
        <is>
          <t>guilherme.freitas@gerdau.com.br</t>
        </is>
      </c>
      <c r="O438" s="22" t="inlineStr">
        <is>
          <t>verified</t>
        </is>
      </c>
      <c r="P438" s="22" t="inlineStr">
        <is>
          <t>GUSTAVO WERNECK DA CUNHA</t>
        </is>
      </c>
      <c r="Q438" s="22" t="inlineStr">
        <is>
          <t>Presidente (RFB partner)</t>
        </is>
      </c>
      <c r="R438" s="22" t="inlineStr"/>
      <c r="S438" s="22" t="inlineStr"/>
      <c r="T438" s="22" t="inlineStr">
        <is>
          <t>DM: has_email, phone Yes; large corp</t>
        </is>
      </c>
      <c r="U438" s="24" t="n">
        <v>530847.4399999999</v>
      </c>
      <c r="V438" s="39" t="inlineStr">
        <is>
          <t>C</t>
        </is>
      </c>
      <c r="W438" s="26" t="inlineStr"/>
      <c r="X438" s="27" t="inlineStr"/>
      <c r="Y438" s="27" t="inlineStr"/>
      <c r="Z438" s="26">
        <f>IF(W438&lt;&gt;"",W438,IFERROR(VLOOKUP(V438,Assumptions!$A$8:$F$12,2,FALSE),0))</f>
        <v/>
      </c>
      <c r="AA438" s="28">
        <f>IF(V438="A",MAX(1,IF(X438&lt;&gt;"",X438,IFERROR(VLOOKUP(V438,Assumptions!$A$8:$F$12,3,FALSE),3))+IF(Y438&lt;&gt;"",Y438,IFERROR(VLOOKUP(V438,Assumptions!$A$8:$F$12,4,FALSE),8))/2-MAX(0,IF(AS438="",0,YEAR(TODAY())-AS438)-IFERROR(VLOOKUP(V438,Assumptions!$A$8:$F$12,5,FALSE),1.5))),IFERROR(VLOOKUP(V438,Assumptions!$A$8:$F$12,5,FALSE),2.5)+IF(X438&lt;&gt;"",X438,IFERROR(VLOOKUP(V438,Assumptions!$A$8:$F$12,3,FALSE),3))+IF(Y438&lt;&gt;"",Y438,IFERROR(VLOOKUP(V438,Assumptions!$A$8:$F$12,4,FALSE),8))/2)</f>
        <v/>
      </c>
      <c r="AB438" s="24">
        <f>U438*Z438/(1+Assumptions!$B$3)^AA438</f>
        <v/>
      </c>
      <c r="AC438" s="27">
        <f>IF(U438=0,"",ROUND(AB438/U438*100,1))</f>
        <v/>
      </c>
      <c r="AD438" s="29">
        <f>AB438*Assumptions!$B$4</f>
        <v/>
      </c>
      <c r="AE438" s="27">
        <f>IF(U438=0,"",ROUND(AD438/U438*100,1))</f>
        <v/>
      </c>
      <c r="AF438" s="29">
        <f>AB438-AD438</f>
        <v/>
      </c>
      <c r="AG438" s="27">
        <f>IF(U438=0,"",ROUND((AB438-AD438)/U438*100,1))</f>
        <v/>
      </c>
      <c r="AH438" s="30" t="inlineStr">
        <is>
          <t>OK — totals reconciled</t>
        </is>
      </c>
      <c r="AI438" s="31" t="inlineStr">
        <is>
          <t>https://realbrasil.com.br/wp-content/uploads/2018/06/2_LISTA-DE-CREDORES-DA-RECUPERANDA_ROQUE.pdf</t>
        </is>
      </c>
      <c r="AJ438" s="30" t="inlineStr">
        <is>
          <t>p2 r6</t>
        </is>
      </c>
      <c r="AK438" s="30" t="inlineStr">
        <is>
          <t>p2: R$ 530.847,44</t>
        </is>
      </c>
      <c r="AL438" s="30" t="inlineStr">
        <is>
          <t>Unclassified list</t>
        </is>
      </c>
      <c r="AM438" s="30" t="inlineStr"/>
      <c r="AN438" s="30" t="inlineStr">
        <is>
          <t>NONE FOUND</t>
        </is>
      </c>
      <c r="AO438" s="32" t="inlineStr">
        <is>
          <t>0802426-35.2019.8.10.0000</t>
        </is>
      </c>
      <c r="AP438" s="32" t="inlineStr">
        <is>
          <t>TJMA</t>
        </is>
      </c>
      <c r="AQ438" s="32" t="inlineStr"/>
      <c r="AR438" s="32" t="inlineStr">
        <is>
          <t>not in DataJud</t>
        </is>
      </c>
      <c r="AS438" s="32" t="n">
        <v>2019</v>
      </c>
      <c r="AT438" s="32" t="inlineStr">
        <is>
          <t>7y since filing; plan not in our documents; case no. from the portal record, not printed on the list</t>
        </is>
      </c>
      <c r="AU438" s="32" t="inlineStr"/>
      <c r="AV438" s="32" t="inlineStr">
        <is>
          <t>portal page title / URL — not printed on the list</t>
        </is>
      </c>
      <c r="AW438" s="32" t="inlineStr"/>
      <c r="AX438" s="32" t="inlineStr">
        <is>
          <t>RIO DE JANEIRO</t>
        </is>
      </c>
      <c r="AY438" s="32" t="inlineStr">
        <is>
          <t>RJ</t>
        </is>
      </c>
      <c r="AZ438" s="32" t="inlineStr">
        <is>
          <t>Produção de laminados longos de aço, exceto tubos</t>
        </is>
      </c>
      <c r="BA438" s="32" t="inlineStr">
        <is>
          <t>não ME/EPP</t>
        </is>
      </c>
      <c r="BB438" s="33" t="n">
        <v>7707648000</v>
      </c>
      <c r="BC438" s="32" t="inlineStr">
        <is>
          <t>LARGE CORP</t>
        </is>
      </c>
      <c r="BD438" s="32" t="inlineStr">
        <is>
          <t>07358761</t>
        </is>
      </c>
      <c r="BE438" s="32" t="n">
        <v>1</v>
      </c>
      <c r="BF438" s="32" t="inlineStr"/>
    </row>
    <row r="439">
      <c r="A439" s="17" t="inlineStr">
        <is>
          <t>ALLIED TECNOLOGIA S.A.</t>
        </is>
      </c>
      <c r="B439" s="18" t="n">
        <v>529483.15</v>
      </c>
      <c r="C439" s="19" t="inlineStr">
        <is>
          <t>CREDIMÓVEIS NOVOLAR LTDA.</t>
        </is>
      </c>
      <c r="D439" s="20" t="inlineStr">
        <is>
          <t>NEW</t>
        </is>
      </c>
      <c r="E439" s="21" t="inlineStr"/>
      <c r="F439" s="20" t="inlineStr"/>
      <c r="G439" s="21" t="inlineStr"/>
      <c r="H439" s="20" t="inlineStr"/>
      <c r="I439" s="22" t="inlineStr">
        <is>
          <t>SILVIO STAGNI</t>
        </is>
      </c>
      <c r="J439" s="23" t="inlineStr">
        <is>
          <t>Presidente (RFB partner)</t>
        </is>
      </c>
      <c r="K439" s="22" t="inlineStr">
        <is>
          <t>(11) 5503-9993</t>
        </is>
      </c>
      <c r="L439" s="22" t="inlineStr">
        <is>
          <t>(11) 5503-9999</t>
        </is>
      </c>
      <c r="M439" s="22" t="inlineStr"/>
      <c r="N439" s="22" t="inlineStr"/>
      <c r="O439" s="22" t="inlineStr"/>
      <c r="P439" s="22" t="inlineStr">
        <is>
          <t>BRUNO SERRANO GIACOMETTI</t>
        </is>
      </c>
      <c r="Q439" s="22" t="inlineStr">
        <is>
          <t>Diretor (RFB partner)</t>
        </is>
      </c>
      <c r="R439" s="22" t="inlineStr"/>
      <c r="S439" s="22" t="inlineStr"/>
      <c r="T439" s="22" t="inlineStr">
        <is>
          <t>DM = registered partner (RFB QSA); no Apollo match</t>
        </is>
      </c>
      <c r="U439" s="24" t="n">
        <v>529483.15</v>
      </c>
      <c r="V439" s="39" t="inlineStr">
        <is>
          <t>C</t>
        </is>
      </c>
      <c r="W439" s="26" t="inlineStr"/>
      <c r="X439" s="27" t="inlineStr"/>
      <c r="Y439" s="27" t="inlineStr"/>
      <c r="Z439" s="26">
        <f>IF(W439&lt;&gt;"",W439,IFERROR(VLOOKUP(V439,Assumptions!$A$8:$F$12,2,FALSE),0))</f>
        <v/>
      </c>
      <c r="AA439" s="28">
        <f>IF(V439="A",MAX(1,IF(X439&lt;&gt;"",X439,IFERROR(VLOOKUP(V439,Assumptions!$A$8:$F$12,3,FALSE),3))+IF(Y439&lt;&gt;"",Y439,IFERROR(VLOOKUP(V439,Assumptions!$A$8:$F$12,4,FALSE),8))/2-MAX(0,IF(AS439="",0,YEAR(TODAY())-AS439)-IFERROR(VLOOKUP(V439,Assumptions!$A$8:$F$12,5,FALSE),1.5))),IFERROR(VLOOKUP(V439,Assumptions!$A$8:$F$12,5,FALSE),2.5)+IF(X439&lt;&gt;"",X439,IFERROR(VLOOKUP(V439,Assumptions!$A$8:$F$12,3,FALSE),3))+IF(Y439&lt;&gt;"",Y439,IFERROR(VLOOKUP(V439,Assumptions!$A$8:$F$12,4,FALSE),8))/2)</f>
        <v/>
      </c>
      <c r="AB439" s="24">
        <f>U439*Z439/(1+Assumptions!$B$3)^AA439</f>
        <v/>
      </c>
      <c r="AC439" s="27">
        <f>IF(U439=0,"",ROUND(AB439/U439*100,1))</f>
        <v/>
      </c>
      <c r="AD439" s="29">
        <f>AB439*Assumptions!$B$4</f>
        <v/>
      </c>
      <c r="AE439" s="27">
        <f>IF(U439=0,"",ROUND(AD439/U439*100,1))</f>
        <v/>
      </c>
      <c r="AF439" s="29">
        <f>AB439-AD439</f>
        <v/>
      </c>
      <c r="AG439" s="27">
        <f>IF(U439=0,"",ROUND((AB439-AD439)/U439*100,1))</f>
        <v/>
      </c>
      <c r="AH439" s="30" t="inlineStr">
        <is>
          <t>OK — totals reconciled</t>
        </is>
      </c>
      <c r="AI439" s="31" t="inlineStr">
        <is>
          <t>https://recuperacaojudicial.squarespace.com/s/RJ-Credimoveis-QGC-01082025.pdf</t>
        </is>
      </c>
      <c r="AJ439" s="30" t="inlineStr">
        <is>
          <t>p15 r5</t>
        </is>
      </c>
      <c r="AK439" s="30" t="inlineStr">
        <is>
          <t>p15: R$ 529.483,15</t>
        </is>
      </c>
      <c r="AL439" s="30" t="inlineStr">
        <is>
          <t>QGC (art. 18)</t>
        </is>
      </c>
      <c r="AM439" s="30" t="inlineStr">
        <is>
          <t>2026-01-28</t>
        </is>
      </c>
      <c r="AN439" s="30" t="inlineStr">
        <is>
          <t>NONE FOUND</t>
        </is>
      </c>
      <c r="AO439" s="32" t="inlineStr">
        <is>
          <t>0007565-40.2020.8.17.2370</t>
        </is>
      </c>
      <c r="AP439" s="32" t="inlineStr">
        <is>
          <t>TJPE</t>
        </is>
      </c>
      <c r="AQ439" s="32" t="inlineStr">
        <is>
          <t>Recuperação judicial</t>
        </is>
      </c>
      <c r="AR439" s="32" t="inlineStr">
        <is>
          <t>DataJud: no closure/falência movement</t>
        </is>
      </c>
      <c r="AS439" s="32" t="n">
        <v>2020</v>
      </c>
      <c r="AT439" s="32" t="inlineStr">
        <is>
          <t>6y since filing; plan not in our documents</t>
        </is>
      </c>
      <c r="AU439" s="32" t="inlineStr">
        <is>
          <t>09.930.165/0001-37</t>
        </is>
      </c>
      <c r="AV439" s="32" t="inlineStr">
        <is>
          <t>printed on the list (read twice)</t>
        </is>
      </c>
      <c r="AW439" s="32" t="inlineStr"/>
      <c r="AX439" s="32" t="inlineStr">
        <is>
          <t>JUNDIAI</t>
        </is>
      </c>
      <c r="AY439" s="32" t="inlineStr">
        <is>
          <t>SP</t>
        </is>
      </c>
      <c r="AZ439" s="32" t="inlineStr">
        <is>
          <t>Comércio atacadista de componentes eletrônicos e equipamentos de telefonia e comunicação</t>
        </is>
      </c>
      <c r="BA439" s="32" t="inlineStr">
        <is>
          <t>não ME/EPP</t>
        </is>
      </c>
      <c r="BB439" s="33" t="n">
        <v>852092160</v>
      </c>
      <c r="BC439" s="32" t="inlineStr">
        <is>
          <t>LARGE CORP</t>
        </is>
      </c>
      <c r="BD439" s="32" t="inlineStr">
        <is>
          <t>20247322</t>
        </is>
      </c>
      <c r="BE439" s="32" t="n">
        <v>1</v>
      </c>
      <c r="BF439" s="32" t="inlineStr"/>
    </row>
    <row r="440">
      <c r="A440" s="17" t="inlineStr">
        <is>
          <t>TUBOARTE INDUSTRIA E COMERCIO LTDA</t>
        </is>
      </c>
      <c r="B440" s="18" t="n">
        <v>527489.5</v>
      </c>
      <c r="C440" s="19" t="inlineStr">
        <is>
          <t>CREDIMÓVEIS NOVOLAR LTDA.</t>
        </is>
      </c>
      <c r="D440" s="20" t="inlineStr">
        <is>
          <t>NEW</t>
        </is>
      </c>
      <c r="E440" s="21" t="inlineStr"/>
      <c r="F440" s="20" t="inlineStr"/>
      <c r="G440" s="21" t="inlineStr"/>
      <c r="H440" s="20" t="inlineStr"/>
      <c r="I440" s="22" t="inlineStr">
        <is>
          <t>Ygor Raul</t>
        </is>
      </c>
      <c r="J440" s="22" t="inlineStr">
        <is>
          <t>Advogado e Fundador da Móveis Home (Tuboarte)</t>
        </is>
      </c>
      <c r="K440" s="22" t="inlineStr">
        <is>
          <t>(88) 3522-8300</t>
        </is>
      </c>
      <c r="L440" s="22" t="inlineStr"/>
      <c r="M440" s="22" t="inlineStr"/>
      <c r="N440" s="22" t="inlineStr">
        <is>
          <t>raul@tuboarte.com.br</t>
        </is>
      </c>
      <c r="O440" s="22" t="inlineStr">
        <is>
          <t>verified</t>
        </is>
      </c>
      <c r="P440" s="22" t="inlineStr">
        <is>
          <t>JOSE EDSON NOGUEIRA DE FRANCA</t>
        </is>
      </c>
      <c r="Q440" s="22" t="inlineStr">
        <is>
          <t>Sócio-Administrador (RFB partner)</t>
        </is>
      </c>
      <c r="R440" s="22" t="inlineStr"/>
      <c r="S440" s="22" t="inlineStr"/>
      <c r="T440" s="22" t="inlineStr">
        <is>
          <t>DM: weak, has_email, phone Yes</t>
        </is>
      </c>
      <c r="U440" s="24" t="n">
        <v>527489.5</v>
      </c>
      <c r="V440" s="39" t="inlineStr">
        <is>
          <t>C</t>
        </is>
      </c>
      <c r="W440" s="26" t="inlineStr"/>
      <c r="X440" s="27" t="inlineStr"/>
      <c r="Y440" s="27" t="inlineStr"/>
      <c r="Z440" s="26">
        <f>IF(W440&lt;&gt;"",W440,IFERROR(VLOOKUP(V440,Assumptions!$A$8:$F$12,2,FALSE),0))</f>
        <v/>
      </c>
      <c r="AA440" s="28">
        <f>IF(V440="A",MAX(1,IF(X440&lt;&gt;"",X440,IFERROR(VLOOKUP(V440,Assumptions!$A$8:$F$12,3,FALSE),3))+IF(Y440&lt;&gt;"",Y440,IFERROR(VLOOKUP(V440,Assumptions!$A$8:$F$12,4,FALSE),8))/2-MAX(0,IF(AS440="",0,YEAR(TODAY())-AS440)-IFERROR(VLOOKUP(V440,Assumptions!$A$8:$F$12,5,FALSE),1.5))),IFERROR(VLOOKUP(V440,Assumptions!$A$8:$F$12,5,FALSE),2.5)+IF(X440&lt;&gt;"",X440,IFERROR(VLOOKUP(V440,Assumptions!$A$8:$F$12,3,FALSE),3))+IF(Y440&lt;&gt;"",Y440,IFERROR(VLOOKUP(V440,Assumptions!$A$8:$F$12,4,FALSE),8))/2)</f>
        <v/>
      </c>
      <c r="AB440" s="24">
        <f>U440*Z440/(1+Assumptions!$B$3)^AA440</f>
        <v/>
      </c>
      <c r="AC440" s="27">
        <f>IF(U440=0,"",ROUND(AB440/U440*100,1))</f>
        <v/>
      </c>
      <c r="AD440" s="29">
        <f>AB440*Assumptions!$B$4</f>
        <v/>
      </c>
      <c r="AE440" s="27">
        <f>IF(U440=0,"",ROUND(AD440/U440*100,1))</f>
        <v/>
      </c>
      <c r="AF440" s="29">
        <f>AB440-AD440</f>
        <v/>
      </c>
      <c r="AG440" s="27">
        <f>IF(U440=0,"",ROUND((AB440-AD440)/U440*100,1))</f>
        <v/>
      </c>
      <c r="AH440" s="30" t="inlineStr">
        <is>
          <t>OK — totals reconciled</t>
        </is>
      </c>
      <c r="AI440" s="31" t="inlineStr">
        <is>
          <t>https://recuperacaojudicial.squarespace.com/s/RJ-Credimoveis-QGC-01082025.pdf</t>
        </is>
      </c>
      <c r="AJ440" s="30" t="inlineStr">
        <is>
          <t>p17 r5</t>
        </is>
      </c>
      <c r="AK440" s="30" t="inlineStr">
        <is>
          <t>p17: R$ 527.489,50</t>
        </is>
      </c>
      <c r="AL440" s="30" t="inlineStr">
        <is>
          <t>QGC (art. 18)</t>
        </is>
      </c>
      <c r="AM440" s="30" t="inlineStr">
        <is>
          <t>2026-01-28</t>
        </is>
      </c>
      <c r="AN440" s="30" t="inlineStr">
        <is>
          <t>NONE FOUND</t>
        </is>
      </c>
      <c r="AO440" s="32" t="inlineStr">
        <is>
          <t>0007565-40.2020.8.17.2370</t>
        </is>
      </c>
      <c r="AP440" s="32" t="inlineStr">
        <is>
          <t>TJPE</t>
        </is>
      </c>
      <c r="AQ440" s="32" t="inlineStr">
        <is>
          <t>Recuperação judicial</t>
        </is>
      </c>
      <c r="AR440" s="32" t="inlineStr">
        <is>
          <t>DataJud: no closure/falência movement</t>
        </is>
      </c>
      <c r="AS440" s="32" t="n">
        <v>2020</v>
      </c>
      <c r="AT440" s="32" t="inlineStr">
        <is>
          <t>6y since filing; plan not in our documents</t>
        </is>
      </c>
      <c r="AU440" s="32" t="inlineStr">
        <is>
          <t>09.930.165/0001-37</t>
        </is>
      </c>
      <c r="AV440" s="32" t="inlineStr">
        <is>
          <t>printed on the list (read twice)</t>
        </is>
      </c>
      <c r="AW440" s="32" t="inlineStr"/>
      <c r="AX440" s="32" t="inlineStr">
        <is>
          <t>JAGUARIBE</t>
        </is>
      </c>
      <c r="AY440" s="32" t="inlineStr">
        <is>
          <t>CE</t>
        </is>
      </c>
      <c r="AZ440" s="32" t="inlineStr">
        <is>
          <t>Fabricação de móveis com predominância de madeira</t>
        </is>
      </c>
      <c r="BA440" s="32" t="inlineStr">
        <is>
          <t>não ME/EPP</t>
        </is>
      </c>
      <c r="BB440" s="33" t="n">
        <v>109135310</v>
      </c>
      <c r="BC440" s="32" t="inlineStr">
        <is>
          <t>MID-MARKET</t>
        </is>
      </c>
      <c r="BD440" s="32" t="inlineStr">
        <is>
          <t>01802541</t>
        </is>
      </c>
      <c r="BE440" s="32" t="n">
        <v>1</v>
      </c>
      <c r="BF440" s="32" t="inlineStr"/>
    </row>
    <row r="441">
      <c r="A441" s="17" t="inlineStr">
        <is>
          <t>MERCK SHARP &amp; DOHME SAUDE ANIMAL LTDA</t>
        </is>
      </c>
      <c r="B441" s="18" t="n">
        <v>564684.01</v>
      </c>
      <c r="C441" s="19" t="inlineStr">
        <is>
          <t>GRUPO 3E</t>
        </is>
      </c>
      <c r="D441" s="20" t="inlineStr">
        <is>
          <t>NEW</t>
        </is>
      </c>
      <c r="E441" s="21" t="inlineStr"/>
      <c r="F441" s="20" t="inlineStr"/>
      <c r="G441" s="21" t="inlineStr"/>
      <c r="H441" s="20" t="inlineStr"/>
      <c r="I441" s="22" t="inlineStr">
        <is>
          <t>ALEXANDRE DE ANDRADE AFONSO</t>
        </is>
      </c>
      <c r="J441" s="23" t="inlineStr">
        <is>
          <t>Administrador (RFB partner)</t>
        </is>
      </c>
      <c r="K441" s="22" t="inlineStr">
        <is>
          <t>(11) 5189-7700</t>
        </is>
      </c>
      <c r="L441" s="22" t="inlineStr"/>
      <c r="M441" s="22" t="inlineStr"/>
      <c r="N441" s="22" t="inlineStr"/>
      <c r="O441" s="22" t="inlineStr"/>
      <c r="P441" s="22" t="inlineStr">
        <is>
          <t>LAURA YANETH VILLARREAL</t>
        </is>
      </c>
      <c r="Q441" s="22" t="inlineStr">
        <is>
          <t>Administrador (RFB partner)</t>
        </is>
      </c>
      <c r="R441" s="22" t="inlineStr"/>
      <c r="S441" s="22" t="inlineStr"/>
      <c r="T441" s="22" t="inlineStr">
        <is>
          <t>DM = registered partner (RFB QSA); no Apollo match</t>
        </is>
      </c>
      <c r="U441" s="24" t="n">
        <v>564684.01</v>
      </c>
      <c r="V441" s="25" t="inlineStr">
        <is>
          <t>B</t>
        </is>
      </c>
      <c r="W441" s="26" t="n">
        <v>0.12</v>
      </c>
      <c r="X441" s="27" t="n">
        <v>2</v>
      </c>
      <c r="Y441" s="27" t="n">
        <v>13</v>
      </c>
      <c r="Z441" s="26">
        <f>IF(W441&lt;&gt;"",W441,IFERROR(VLOOKUP(V441,Assumptions!$A$8:$F$12,2,FALSE),0))</f>
        <v/>
      </c>
      <c r="AA441" s="28">
        <f>IF(V441="A",MAX(1,IF(X441&lt;&gt;"",X441,IFERROR(VLOOKUP(V441,Assumptions!$A$8:$F$12,3,FALSE),3))+IF(Y441&lt;&gt;"",Y441,IFERROR(VLOOKUP(V441,Assumptions!$A$8:$F$12,4,FALSE),8))/2-MAX(0,IF(AS441="",0,YEAR(TODAY())-AS441)-IFERROR(VLOOKUP(V441,Assumptions!$A$8:$F$12,5,FALSE),1.5))),IFERROR(VLOOKUP(V441,Assumptions!$A$8:$F$12,5,FALSE),2.5)+IF(X441&lt;&gt;"",X441,IFERROR(VLOOKUP(V441,Assumptions!$A$8:$F$12,3,FALSE),3))+IF(Y441&lt;&gt;"",Y441,IFERROR(VLOOKUP(V441,Assumptions!$A$8:$F$12,4,FALSE),8))/2)</f>
        <v/>
      </c>
      <c r="AB441" s="24">
        <f>U441*Z441/(1+Assumptions!$B$3)^AA441</f>
        <v/>
      </c>
      <c r="AC441" s="27">
        <f>IF(U441=0,"",ROUND(AB441/U441*100,1))</f>
        <v/>
      </c>
      <c r="AD441" s="29">
        <f>AB441*Assumptions!$B$4</f>
        <v/>
      </c>
      <c r="AE441" s="27">
        <f>IF(U441=0,"",ROUND(AD441/U441*100,1))</f>
        <v/>
      </c>
      <c r="AF441" s="29">
        <f>AB441-AD441</f>
        <v/>
      </c>
      <c r="AG441" s="27">
        <f>IF(U441=0,"",ROUND((AB441-AD441)/U441*100,1))</f>
        <v/>
      </c>
      <c r="AH441" s="34" t="inlineStr">
        <is>
          <t>NO TOTALS — list prints none; check page</t>
        </is>
      </c>
      <c r="AI441" s="31" t="inlineStr">
        <is>
          <t>https://stenius.com.br/wp-content/uploads/2026/06/EDITAL-GRUPO-3E.pdf</t>
        </is>
      </c>
      <c r="AJ441" s="30" t="inlineStr">
        <is>
          <t>p16 r8; p16 r9</t>
        </is>
      </c>
      <c r="AK441" s="30" t="inlineStr">
        <is>
          <t>p16: R$ 52.443,82; p16: R$ 512.240,19</t>
        </is>
      </c>
      <c r="AL441" s="30" t="inlineStr">
        <is>
          <t>Debtor list (art. 51)</t>
        </is>
      </c>
      <c r="AM441" s="30" t="inlineStr">
        <is>
          <t>2026-06-22</t>
        </is>
      </c>
      <c r="AN441" s="30" t="inlineStr">
        <is>
          <t>PLAN FILED (art. 53), not granted</t>
        </is>
      </c>
      <c r="AO441" s="32" t="inlineStr">
        <is>
          <t>5341375-33.2026.8.09.0049</t>
        </is>
      </c>
      <c r="AP441" s="32" t="inlineStr">
        <is>
          <t>TJGO</t>
        </is>
      </c>
      <c r="AQ441" s="32" t="inlineStr">
        <is>
          <t>Recuperação judicial</t>
        </is>
      </c>
      <c r="AR441" s="32" t="inlineStr">
        <is>
          <t>DataJud: no closure/falência movement</t>
        </is>
      </c>
      <c r="AS441" s="32" t="n">
        <v>2026</v>
      </c>
      <c r="AT441" s="32" t="inlineStr">
        <is>
          <t>plan filed (art. 53), not yet granted</t>
        </is>
      </c>
      <c r="AU441" s="32" t="inlineStr"/>
      <c r="AV441" s="32" t="inlineStr">
        <is>
          <t>printed on the list (read twice)</t>
        </is>
      </c>
      <c r="AW441" s="32" t="inlineStr">
        <is>
          <t>Plano de Recuperação Judicial Grupo 3E v2.0 (Métis), mov. 321, pp.24-25</t>
        </is>
      </c>
      <c r="AX441" s="32" t="inlineStr">
        <is>
          <t>CRUZEIRO</t>
        </is>
      </c>
      <c r="AY441" s="32" t="inlineStr">
        <is>
          <t>SP</t>
        </is>
      </c>
      <c r="AZ441" s="32" t="inlineStr">
        <is>
          <t>Fabricação de medicamentos para uso veterinário</t>
        </is>
      </c>
      <c r="BA441" s="32" t="inlineStr">
        <is>
          <t>não ME/EPP</t>
        </is>
      </c>
      <c r="BB441" s="33" t="n">
        <v>3856917000</v>
      </c>
      <c r="BC441" s="32" t="inlineStr">
        <is>
          <t>LARGE CORP</t>
        </is>
      </c>
      <c r="BD441" s="32" t="inlineStr">
        <is>
          <t>07954091</t>
        </is>
      </c>
      <c r="BE441" s="32" t="n">
        <v>2</v>
      </c>
      <c r="BF441" s="32" t="inlineStr">
        <is>
          <t>list prints no totals</t>
        </is>
      </c>
    </row>
    <row r="442">
      <c r="A442" s="17" t="inlineStr">
        <is>
          <t>TBM - TEXTIL BEZERRA DE MENEZES S/A</t>
        </is>
      </c>
      <c r="B442" s="18" t="n">
        <v>497707.51</v>
      </c>
      <c r="C442" s="19" t="inlineStr">
        <is>
          <t>CONFECÇÕES ANDRIMALHAS LTDA</t>
        </is>
      </c>
      <c r="D442" s="20" t="inlineStr">
        <is>
          <t>NEW</t>
        </is>
      </c>
      <c r="E442" s="21" t="inlineStr"/>
      <c r="F442" s="20" t="inlineStr"/>
      <c r="G442" s="21" t="inlineStr"/>
      <c r="H442" s="20" t="inlineStr"/>
      <c r="I442" s="22" t="inlineStr">
        <is>
          <t>IVAN RODRIGUES BEZERRA</t>
        </is>
      </c>
      <c r="J442" s="23" t="inlineStr">
        <is>
          <t>Presidente (RFB partner)</t>
        </is>
      </c>
      <c r="K442" s="22" t="inlineStr">
        <is>
          <t>(85) 4012-9140</t>
        </is>
      </c>
      <c r="L442" s="22" t="inlineStr"/>
      <c r="M442" s="22" t="inlineStr"/>
      <c r="N442" s="22" t="inlineStr"/>
      <c r="O442" s="22" t="inlineStr"/>
      <c r="P442" s="22" t="inlineStr">
        <is>
          <t>IVAN JOSE BEZERRA DE MENEZES</t>
        </is>
      </c>
      <c r="Q442" s="22" t="inlineStr">
        <is>
          <t>Diretor (RFB partner)</t>
        </is>
      </c>
      <c r="R442" s="22" t="inlineStr"/>
      <c r="S442" s="22" t="inlineStr"/>
      <c r="T442" s="22" t="inlineStr">
        <is>
          <t>DM = registered partner (RFB QSA); no Apollo match</t>
        </is>
      </c>
      <c r="U442" s="24" t="n">
        <v>497707.51</v>
      </c>
      <c r="V442" s="39" t="inlineStr">
        <is>
          <t>C</t>
        </is>
      </c>
      <c r="W442" s="26" t="inlineStr"/>
      <c r="X442" s="27" t="inlineStr"/>
      <c r="Y442" s="27" t="inlineStr"/>
      <c r="Z442" s="26">
        <f>IF(W442&lt;&gt;"",W442,IFERROR(VLOOKUP(V442,Assumptions!$A$8:$F$12,2,FALSE),0))</f>
        <v/>
      </c>
      <c r="AA442" s="28">
        <f>IF(V442="A",MAX(1,IF(X442&lt;&gt;"",X442,IFERROR(VLOOKUP(V442,Assumptions!$A$8:$F$12,3,FALSE),3))+IF(Y442&lt;&gt;"",Y442,IFERROR(VLOOKUP(V442,Assumptions!$A$8:$F$12,4,FALSE),8))/2-MAX(0,IF(AS442="",0,YEAR(TODAY())-AS442)-IFERROR(VLOOKUP(V442,Assumptions!$A$8:$F$12,5,FALSE),1.5))),IFERROR(VLOOKUP(V442,Assumptions!$A$8:$F$12,5,FALSE),2.5)+IF(X442&lt;&gt;"",X442,IFERROR(VLOOKUP(V442,Assumptions!$A$8:$F$12,3,FALSE),3))+IF(Y442&lt;&gt;"",Y442,IFERROR(VLOOKUP(V442,Assumptions!$A$8:$F$12,4,FALSE),8))/2)</f>
        <v/>
      </c>
      <c r="AB442" s="24">
        <f>U442*Z442/(1+Assumptions!$B$3)^AA442</f>
        <v/>
      </c>
      <c r="AC442" s="27">
        <f>IF(U442=0,"",ROUND(AB442/U442*100,1))</f>
        <v/>
      </c>
      <c r="AD442" s="29">
        <f>AB442*Assumptions!$B$4</f>
        <v/>
      </c>
      <c r="AE442" s="27">
        <f>IF(U442=0,"",ROUND(AD442/U442*100,1))</f>
        <v/>
      </c>
      <c r="AF442" s="29">
        <f>AB442-AD442</f>
        <v/>
      </c>
      <c r="AG442" s="27">
        <f>IF(U442=0,"",ROUND((AB442-AD442)/U442*100,1))</f>
        <v/>
      </c>
      <c r="AH442" s="35" t="inlineStr">
        <is>
          <t>PARTIAL — class III reconciled, other classes not</t>
        </is>
      </c>
      <c r="AI442" s="31" t="inlineStr">
        <is>
          <t>https://administradorajudicialgs.com.br/wp-content/uploads/2023/08/doc-06-relacao-credores-do-administrador-judicial-10-02-2015.pdf</t>
        </is>
      </c>
      <c r="AJ442" s="30" t="inlineStr">
        <is>
          <t>p2 r40</t>
        </is>
      </c>
      <c r="AK442" s="30" t="inlineStr">
        <is>
          <t>p2: R$ 497.707,51</t>
        </is>
      </c>
      <c r="AL442" s="30" t="inlineStr">
        <is>
          <t>AJ list (art. 7 §2)</t>
        </is>
      </c>
      <c r="AM442" s="30" t="inlineStr"/>
      <c r="AN442" s="30" t="inlineStr">
        <is>
          <t>NONE FOUND</t>
        </is>
      </c>
      <c r="AO442" s="32" t="inlineStr">
        <is>
          <t>0302174-63.2015.8.24.0025</t>
        </is>
      </c>
      <c r="AP442" s="32" t="inlineStr">
        <is>
          <t>TJSC</t>
        </is>
      </c>
      <c r="AQ442" s="32" t="inlineStr">
        <is>
          <t>Recuperação judicial</t>
        </is>
      </c>
      <c r="AR442" s="32" t="inlineStr">
        <is>
          <t>not in DataJud</t>
        </is>
      </c>
      <c r="AS442" s="32" t="n">
        <v>2015</v>
      </c>
      <c r="AT442" s="32" t="inlineStr">
        <is>
          <t>11y since filing; plan not in our documents; case no. from the portal record, not printed on the list</t>
        </is>
      </c>
      <c r="AU442" s="32" t="inlineStr"/>
      <c r="AV442" s="32" t="inlineStr">
        <is>
          <t>printed on the list (read twice)</t>
        </is>
      </c>
      <c r="AW442" s="32" t="inlineStr"/>
      <c r="AX442" s="32" t="inlineStr">
        <is>
          <t>FORTALEZA</t>
        </is>
      </c>
      <c r="AY442" s="32" t="inlineStr">
        <is>
          <t>CE</t>
        </is>
      </c>
      <c r="AZ442" s="32" t="inlineStr">
        <is>
          <t>Preparação e fiação de fibras de algodão</t>
        </is>
      </c>
      <c r="BA442" s="32" t="inlineStr">
        <is>
          <t>não ME/EPP</t>
        </is>
      </c>
      <c r="BB442" s="33" t="inlineStr"/>
      <c r="BC442" s="32" t="inlineStr">
        <is>
          <t>UNKNOWN</t>
        </is>
      </c>
      <c r="BD442" s="32" t="inlineStr">
        <is>
          <t>07671092</t>
        </is>
      </c>
      <c r="BE442" s="32" t="n">
        <v>1</v>
      </c>
      <c r="BF442" s="32" t="inlineStr">
        <is>
          <t>class III reconciled (doc partial)</t>
        </is>
      </c>
    </row>
    <row r="443">
      <c r="A443" s="17" t="inlineStr">
        <is>
          <t>COBB-VANTRESS BRASIL LTDA</t>
        </is>
      </c>
      <c r="B443" s="18" t="n">
        <v>497078.85</v>
      </c>
      <c r="C443" s="19" t="inlineStr">
        <is>
          <t>AGROPECUÁRIA SERROTE REDONDO</t>
        </is>
      </c>
      <c r="D443" s="20" t="inlineStr">
        <is>
          <t>NEW</t>
        </is>
      </c>
      <c r="E443" s="21" t="inlineStr"/>
      <c r="F443" s="20" t="inlineStr"/>
      <c r="G443" s="21" t="inlineStr"/>
      <c r="H443" s="20" t="inlineStr"/>
      <c r="I443" s="22" t="inlineStr">
        <is>
          <t>RODRIGO FERREIRA SIQUEIRA DE MELLO</t>
        </is>
      </c>
      <c r="J443" s="23" t="inlineStr">
        <is>
          <t>Administrador (RFB partner)</t>
        </is>
      </c>
      <c r="K443" s="22" t="inlineStr"/>
      <c r="L443" s="22" t="inlineStr"/>
      <c r="M443" s="22" t="inlineStr"/>
      <c r="N443" s="22" t="inlineStr"/>
      <c r="O443" s="22" t="inlineStr"/>
      <c r="P443" s="22" t="inlineStr"/>
      <c r="Q443" s="22" t="inlineStr"/>
      <c r="R443" s="22" t="inlineStr"/>
      <c r="S443" s="22" t="inlineStr"/>
      <c r="T443" s="22" t="inlineStr">
        <is>
          <t>DM = registered partner (RFB QSA); no Apollo match; NO ROUTE IN: no phone or email on file</t>
        </is>
      </c>
      <c r="U443" s="24" t="n">
        <v>497078.85</v>
      </c>
      <c r="V443" s="39" t="inlineStr">
        <is>
          <t>C</t>
        </is>
      </c>
      <c r="W443" s="26" t="inlineStr"/>
      <c r="X443" s="27" t="inlineStr"/>
      <c r="Y443" s="27" t="inlineStr"/>
      <c r="Z443" s="26">
        <f>IF(W443&lt;&gt;"",W443,IFERROR(VLOOKUP(V443,Assumptions!$A$8:$F$12,2,FALSE),0))</f>
        <v/>
      </c>
      <c r="AA443" s="28">
        <f>IF(V443="A",MAX(1,IF(X443&lt;&gt;"",X443,IFERROR(VLOOKUP(V443,Assumptions!$A$8:$F$12,3,FALSE),3))+IF(Y443&lt;&gt;"",Y443,IFERROR(VLOOKUP(V443,Assumptions!$A$8:$F$12,4,FALSE),8))/2-MAX(0,IF(AS443="",0,YEAR(TODAY())-AS443)-IFERROR(VLOOKUP(V443,Assumptions!$A$8:$F$12,5,FALSE),1.5))),IFERROR(VLOOKUP(V443,Assumptions!$A$8:$F$12,5,FALSE),2.5)+IF(X443&lt;&gt;"",X443,IFERROR(VLOOKUP(V443,Assumptions!$A$8:$F$12,3,FALSE),3))+IF(Y443&lt;&gt;"",Y443,IFERROR(VLOOKUP(V443,Assumptions!$A$8:$F$12,4,FALSE),8))/2)</f>
        <v/>
      </c>
      <c r="AB443" s="24">
        <f>U443*Z443/(1+Assumptions!$B$3)^AA443</f>
        <v/>
      </c>
      <c r="AC443" s="27">
        <f>IF(U443=0,"",ROUND(AB443/U443*100,1))</f>
        <v/>
      </c>
      <c r="AD443" s="29">
        <f>AB443*Assumptions!$B$4</f>
        <v/>
      </c>
      <c r="AE443" s="27">
        <f>IF(U443=0,"",ROUND(AD443/U443*100,1))</f>
        <v/>
      </c>
      <c r="AF443" s="29">
        <f>AB443-AD443</f>
        <v/>
      </c>
      <c r="AG443" s="27">
        <f>IF(U443=0,"",ROUND((AB443-AD443)/U443*100,1))</f>
        <v/>
      </c>
      <c r="AH443" s="30" t="inlineStr">
        <is>
          <t>OK — totals reconciled</t>
        </is>
      </c>
      <c r="AI443" s="31" t="inlineStr">
        <is>
          <t>https://lrflideres.com.br/wp-content/plugins/download-attachments/includes/download.php?id=5001</t>
        </is>
      </c>
      <c r="AJ443" s="30" t="inlineStr">
        <is>
          <t>p1 r23</t>
        </is>
      </c>
      <c r="AK443" s="30" t="inlineStr">
        <is>
          <t>p1: R$ 497.078,85</t>
        </is>
      </c>
      <c r="AL443" s="30" t="inlineStr">
        <is>
          <t>Unclassified list</t>
        </is>
      </c>
      <c r="AM443" s="30" t="inlineStr"/>
      <c r="AN443" s="30" t="inlineStr">
        <is>
          <t>NONE FOUND</t>
        </is>
      </c>
      <c r="AO443" s="32" t="inlineStr">
        <is>
          <t>0000206-69.2013.8.17.1340</t>
        </is>
      </c>
      <c r="AP443" s="32" t="inlineStr">
        <is>
          <t>TJPE</t>
        </is>
      </c>
      <c r="AQ443" s="32" t="inlineStr"/>
      <c r="AR443" s="32" t="inlineStr">
        <is>
          <t>not in DataJud</t>
        </is>
      </c>
      <c r="AS443" s="32" t="n">
        <v>2013</v>
      </c>
      <c r="AT443" s="32" t="inlineStr">
        <is>
          <t>13y since filing; plan not in our documents; case no. from the portal record, not printed on the list</t>
        </is>
      </c>
      <c r="AU443" s="32" t="inlineStr"/>
      <c r="AV443" s="32" t="inlineStr">
        <is>
          <t>portal page title / URL — not printed on the list</t>
        </is>
      </c>
      <c r="AW443" s="32" t="inlineStr"/>
      <c r="AX443" s="32" t="inlineStr">
        <is>
          <t>GUAPIACU</t>
        </is>
      </c>
      <c r="AY443" s="32" t="inlineStr">
        <is>
          <t>SP</t>
        </is>
      </c>
      <c r="AZ443" s="32" t="inlineStr">
        <is>
          <t>Produção de pintos de um dia</t>
        </is>
      </c>
      <c r="BA443" s="32" t="inlineStr">
        <is>
          <t>não ME/EPP</t>
        </is>
      </c>
      <c r="BB443" s="33" t="n">
        <v>160750000</v>
      </c>
      <c r="BC443" s="32" t="inlineStr">
        <is>
          <t>MID-MARKET</t>
        </is>
      </c>
      <c r="BD443" s="32" t="inlineStr">
        <is>
          <t>00466591</t>
        </is>
      </c>
      <c r="BE443" s="32" t="n">
        <v>1</v>
      </c>
      <c r="BF443" s="32" t="inlineStr">
        <is>
          <t>ALT_VALUE:497.078,85 no route in</t>
        </is>
      </c>
    </row>
    <row r="444">
      <c r="A444" s="17" t="inlineStr">
        <is>
          <t>DOREMUS ALIMENTOS LTDA</t>
        </is>
      </c>
      <c r="B444" s="18" t="n">
        <v>235792.34</v>
      </c>
      <c r="C444" s="37" t="inlineStr">
        <is>
          <t>(debtor not identified — see proof)</t>
        </is>
      </c>
      <c r="D444" s="20" t="inlineStr">
        <is>
          <t>NEW</t>
        </is>
      </c>
      <c r="E444" s="21" t="inlineStr"/>
      <c r="F444" s="20" t="inlineStr"/>
      <c r="G444" s="21" t="inlineStr"/>
      <c r="H444" s="20" t="inlineStr"/>
      <c r="I444" s="22" t="inlineStr">
        <is>
          <t>Eber Coelho</t>
        </is>
      </c>
      <c r="J444" s="22" t="inlineStr">
        <is>
          <t>Chief Financial Officer</t>
        </is>
      </c>
      <c r="K444" s="22" t="inlineStr">
        <is>
          <t>(11) 2436-3333</t>
        </is>
      </c>
      <c r="L444" s="22" t="inlineStr"/>
      <c r="M444" s="22" t="inlineStr"/>
      <c r="N444" s="22" t="inlineStr">
        <is>
          <t>eber.coelho@doremus.com.br</t>
        </is>
      </c>
      <c r="O444" s="22" t="inlineStr">
        <is>
          <t>verified</t>
        </is>
      </c>
      <c r="P444" s="22" t="inlineStr">
        <is>
          <t>Cristiane Kawano</t>
        </is>
      </c>
      <c r="Q444" s="22" t="inlineStr">
        <is>
          <t>Financial Manager</t>
        </is>
      </c>
      <c r="R444" s="22" t="inlineStr"/>
      <c r="S444" s="22" t="inlineStr">
        <is>
          <t>cristiane.kawano@doremus.com.br</t>
        </is>
      </c>
      <c r="T444" s="22" t="inlineStr">
        <is>
          <t>DM: DM verified email; BACKUP: backup verified email</t>
        </is>
      </c>
      <c r="U444" s="24" t="n">
        <v>235792.34</v>
      </c>
      <c r="V444" s="38" t="inlineStr">
        <is>
          <t>U</t>
        </is>
      </c>
      <c r="W444" s="26" t="inlineStr"/>
      <c r="X444" s="27" t="inlineStr"/>
      <c r="Y444" s="27" t="inlineStr"/>
      <c r="Z444" s="26">
        <f>IF(W444&lt;&gt;"",W444,IFERROR(VLOOKUP(V444,Assumptions!$A$8:$F$12,2,FALSE),0))</f>
        <v/>
      </c>
      <c r="AA444" s="28">
        <f>IF(V444="A",MAX(1,IF(X444&lt;&gt;"",X444,IFERROR(VLOOKUP(V444,Assumptions!$A$8:$F$12,3,FALSE),3))+IF(Y444&lt;&gt;"",Y444,IFERROR(VLOOKUP(V444,Assumptions!$A$8:$F$12,4,FALSE),8))/2-MAX(0,IF(AS444="",0,YEAR(TODAY())-AS444)-IFERROR(VLOOKUP(V444,Assumptions!$A$8:$F$12,5,FALSE),1.5))),IFERROR(VLOOKUP(V444,Assumptions!$A$8:$F$12,5,FALSE),2.5)+IF(X444&lt;&gt;"",X444,IFERROR(VLOOKUP(V444,Assumptions!$A$8:$F$12,3,FALSE),3))+IF(Y444&lt;&gt;"",Y444,IFERROR(VLOOKUP(V444,Assumptions!$A$8:$F$12,4,FALSE),8))/2)</f>
        <v/>
      </c>
      <c r="AB444" s="24">
        <f>U444*Z444/(1+Assumptions!$B$3)^AA444</f>
        <v/>
      </c>
      <c r="AC444" s="27">
        <f>IF(U444=0,"",ROUND(AB444/U444*100,1))</f>
        <v/>
      </c>
      <c r="AD444" s="29">
        <f>AB444*Assumptions!$B$4</f>
        <v/>
      </c>
      <c r="AE444" s="27">
        <f>IF(U444=0,"",ROUND(AD444/U444*100,1))</f>
        <v/>
      </c>
      <c r="AF444" s="29">
        <f>AB444-AD444</f>
        <v/>
      </c>
      <c r="AG444" s="27">
        <f>IF(U444=0,"",ROUND((AB444-AD444)/U444*100,1))</f>
        <v/>
      </c>
      <c r="AH444" s="30" t="inlineStr">
        <is>
          <t>OK — totals reconciled</t>
        </is>
      </c>
      <c r="AI444" s="31" t="inlineStr">
        <is>
          <t>http://bernardobicalho.com.br/login/app/documents/Rela%C3%A7%C3%A3o%20de%20Credores/6.%20RVC-%20Nutricium%20-%20simplificada.pdf</t>
        </is>
      </c>
      <c r="AJ444" s="30" t="inlineStr">
        <is>
          <t>p3 r14</t>
        </is>
      </c>
      <c r="AK444" s="30" t="inlineStr">
        <is>
          <t>p3: R$ 235.792,34</t>
        </is>
      </c>
      <c r="AL444" s="30" t="inlineStr">
        <is>
          <t>AJ list (art. 7 §2)</t>
        </is>
      </c>
      <c r="AM444" s="30" t="inlineStr"/>
      <c r="AN444" s="30" t="inlineStr">
        <is>
          <t>NONE FOUND</t>
        </is>
      </c>
      <c r="AO444" s="32" t="inlineStr">
        <is>
          <t>(not printed)</t>
        </is>
      </c>
      <c r="AP444" s="32" t="inlineStr"/>
      <c r="AQ444" s="32" t="inlineStr"/>
      <c r="AR444" s="32" t="inlineStr"/>
      <c r="AS444" s="32" t="inlineStr"/>
      <c r="AT444" s="32" t="inlineStr">
        <is>
          <t>RJ case number not identified on the document</t>
        </is>
      </c>
      <c r="AU444" s="32" t="inlineStr"/>
      <c r="AV444" s="32" t="inlineStr">
        <is>
          <t>not identified</t>
        </is>
      </c>
      <c r="AW444" s="32" t="inlineStr"/>
      <c r="AX444" s="32" t="inlineStr">
        <is>
          <t>GUARULHOS</t>
        </is>
      </c>
      <c r="AY444" s="32" t="inlineStr">
        <is>
          <t>SP</t>
        </is>
      </c>
      <c r="AZ444" s="32" t="inlineStr">
        <is>
          <t>Fabricação de outros produtos alimentícios não especificados anteriormente</t>
        </is>
      </c>
      <c r="BA444" s="32" t="inlineStr">
        <is>
          <t>não ME/EPP</t>
        </is>
      </c>
      <c r="BB444" s="33" t="n">
        <v>80000000</v>
      </c>
      <c r="BC444" s="32" t="inlineStr">
        <is>
          <t>MID-MARKET</t>
        </is>
      </c>
      <c r="BD444" s="32" t="inlineStr">
        <is>
          <t>54289830</t>
        </is>
      </c>
      <c r="BE444" s="32" t="n">
        <v>1</v>
      </c>
      <c r="BF444" s="32" t="inlineStr">
        <is>
          <t>CASE_NUMBER_MISSING</t>
        </is>
      </c>
    </row>
    <row r="445">
      <c r="A445" s="17" t="inlineStr">
        <is>
          <t>COLOR VISAO DO BRASIL INDUSTRIA ACRILICA LIMITADA</t>
        </is>
      </c>
      <c r="B445" s="18" t="n">
        <v>491209.57</v>
      </c>
      <c r="C445" s="19" t="inlineStr">
        <is>
          <t>CREDIMÓVEIS NOVOLAR LTDA.</t>
        </is>
      </c>
      <c r="D445" s="20" t="inlineStr">
        <is>
          <t>NEW</t>
        </is>
      </c>
      <c r="E445" s="21" t="inlineStr"/>
      <c r="F445" s="20" t="inlineStr"/>
      <c r="G445" s="21" t="inlineStr"/>
      <c r="H445" s="20" t="inlineStr"/>
      <c r="I445" s="22" t="inlineStr">
        <is>
          <t>CARLOS ALBERTO RIBEIRO DA SILVA</t>
        </is>
      </c>
      <c r="J445" s="23" t="inlineStr">
        <is>
          <t>Sócio-Administrador (RFB partner)</t>
        </is>
      </c>
      <c r="K445" s="22" t="inlineStr">
        <is>
          <t>(18) 3631-8500</t>
        </is>
      </c>
      <c r="L445" s="22" t="inlineStr"/>
      <c r="M445" s="22" t="inlineStr"/>
      <c r="N445" s="22" t="inlineStr"/>
      <c r="O445" s="22" t="inlineStr"/>
      <c r="P445" s="22" t="inlineStr">
        <is>
          <t>JARRIER BELMONTE SILVA</t>
        </is>
      </c>
      <c r="Q445" s="22" t="inlineStr">
        <is>
          <t>Sócio-Administrador (RFB partner)</t>
        </is>
      </c>
      <c r="R445" s="22" t="inlineStr"/>
      <c r="S445" s="22" t="inlineStr"/>
      <c r="T445" s="22" t="inlineStr">
        <is>
          <t>DM = registered partner (RFB QSA); no Apollo match</t>
        </is>
      </c>
      <c r="U445" s="24" t="n">
        <v>491209.57</v>
      </c>
      <c r="V445" s="39" t="inlineStr">
        <is>
          <t>C</t>
        </is>
      </c>
      <c r="W445" s="26" t="inlineStr"/>
      <c r="X445" s="27" t="inlineStr"/>
      <c r="Y445" s="27" t="inlineStr"/>
      <c r="Z445" s="26">
        <f>IF(W445&lt;&gt;"",W445,IFERROR(VLOOKUP(V445,Assumptions!$A$8:$F$12,2,FALSE),0))</f>
        <v/>
      </c>
      <c r="AA445" s="28">
        <f>IF(V445="A",MAX(1,IF(X445&lt;&gt;"",X445,IFERROR(VLOOKUP(V445,Assumptions!$A$8:$F$12,3,FALSE),3))+IF(Y445&lt;&gt;"",Y445,IFERROR(VLOOKUP(V445,Assumptions!$A$8:$F$12,4,FALSE),8))/2-MAX(0,IF(AS445="",0,YEAR(TODAY())-AS445)-IFERROR(VLOOKUP(V445,Assumptions!$A$8:$F$12,5,FALSE),1.5))),IFERROR(VLOOKUP(V445,Assumptions!$A$8:$F$12,5,FALSE),2.5)+IF(X445&lt;&gt;"",X445,IFERROR(VLOOKUP(V445,Assumptions!$A$8:$F$12,3,FALSE),3))+IF(Y445&lt;&gt;"",Y445,IFERROR(VLOOKUP(V445,Assumptions!$A$8:$F$12,4,FALSE),8))/2)</f>
        <v/>
      </c>
      <c r="AB445" s="24">
        <f>U445*Z445/(1+Assumptions!$B$3)^AA445</f>
        <v/>
      </c>
      <c r="AC445" s="27">
        <f>IF(U445=0,"",ROUND(AB445/U445*100,1))</f>
        <v/>
      </c>
      <c r="AD445" s="29">
        <f>AB445*Assumptions!$B$4</f>
        <v/>
      </c>
      <c r="AE445" s="27">
        <f>IF(U445=0,"",ROUND(AD445/U445*100,1))</f>
        <v/>
      </c>
      <c r="AF445" s="29">
        <f>AB445-AD445</f>
        <v/>
      </c>
      <c r="AG445" s="27">
        <f>IF(U445=0,"",ROUND((AB445-AD445)/U445*100,1))</f>
        <v/>
      </c>
      <c r="AH445" s="30" t="inlineStr">
        <is>
          <t>OK — totals reconciled</t>
        </is>
      </c>
      <c r="AI445" s="31" t="inlineStr">
        <is>
          <t>https://recuperacaojudicial.squarespace.com/s/RJ-Credimoveis-QGC-01082025.pdf</t>
        </is>
      </c>
      <c r="AJ445" s="30" t="inlineStr">
        <is>
          <t>p15 r35</t>
        </is>
      </c>
      <c r="AK445" s="30" t="inlineStr">
        <is>
          <t>p15: R$ 491.209,57</t>
        </is>
      </c>
      <c r="AL445" s="30" t="inlineStr">
        <is>
          <t>QGC (art. 18)</t>
        </is>
      </c>
      <c r="AM445" s="30" t="inlineStr">
        <is>
          <t>2026-01-28</t>
        </is>
      </c>
      <c r="AN445" s="30" t="inlineStr">
        <is>
          <t>NONE FOUND</t>
        </is>
      </c>
      <c r="AO445" s="32" t="inlineStr">
        <is>
          <t>0007565-40.2020.8.17.2370</t>
        </is>
      </c>
      <c r="AP445" s="32" t="inlineStr">
        <is>
          <t>TJPE</t>
        </is>
      </c>
      <c r="AQ445" s="32" t="inlineStr">
        <is>
          <t>Recuperação judicial</t>
        </is>
      </c>
      <c r="AR445" s="32" t="inlineStr">
        <is>
          <t>DataJud: no closure/falência movement</t>
        </is>
      </c>
      <c r="AS445" s="32" t="n">
        <v>2020</v>
      </c>
      <c r="AT445" s="32" t="inlineStr">
        <is>
          <t>6y since filing; plan not in our documents</t>
        </is>
      </c>
      <c r="AU445" s="32" t="inlineStr">
        <is>
          <t>09.930.165/0001-37</t>
        </is>
      </c>
      <c r="AV445" s="32" t="inlineStr">
        <is>
          <t>printed on the list (read twice)</t>
        </is>
      </c>
      <c r="AW445" s="32" t="inlineStr"/>
      <c r="AX445" s="32" t="inlineStr">
        <is>
          <t>ARACATUBA</t>
        </is>
      </c>
      <c r="AY445" s="32" t="inlineStr">
        <is>
          <t>SP</t>
        </is>
      </c>
      <c r="AZ445" s="32" t="inlineStr">
        <is>
          <t>Fabricação de fogões, refrigeradores e máquinas de lavar e secar para uso doméstico, peças e acessórios</t>
        </is>
      </c>
      <c r="BA445" s="32" t="inlineStr">
        <is>
          <t>não ME/EPP</t>
        </is>
      </c>
      <c r="BB445" s="33" t="n">
        <v>17110940</v>
      </c>
      <c r="BC445" s="32" t="inlineStr">
        <is>
          <t>MID-MARKET</t>
        </is>
      </c>
      <c r="BD445" s="32" t="inlineStr">
        <is>
          <t>47747969</t>
        </is>
      </c>
      <c r="BE445" s="32" t="n">
        <v>1</v>
      </c>
      <c r="BF445" s="32" t="inlineStr"/>
    </row>
    <row r="446">
      <c r="A446" s="17" t="inlineStr">
        <is>
          <t>CAEL ATACADO LTDA</t>
        </is>
      </c>
      <c r="B446" s="18" t="n">
        <v>489038.37</v>
      </c>
      <c r="C446" s="19" t="inlineStr">
        <is>
          <t>CREDIMÓVEIS NOVOLAR LTDA.</t>
        </is>
      </c>
      <c r="D446" s="20" t="inlineStr">
        <is>
          <t>NEW</t>
        </is>
      </c>
      <c r="E446" s="21" t="inlineStr"/>
      <c r="F446" s="20" t="inlineStr"/>
      <c r="G446" s="21" t="inlineStr"/>
      <c r="H446" s="20" t="inlineStr"/>
      <c r="I446" s="22" t="inlineStr">
        <is>
          <t>ALEXANDRE BARBOSA LEAL</t>
        </is>
      </c>
      <c r="J446" s="23" t="inlineStr">
        <is>
          <t>Sócio-Administrador (RFB partner)</t>
        </is>
      </c>
      <c r="K446" s="22" t="inlineStr">
        <is>
          <t>(81) 3722-5599</t>
        </is>
      </c>
      <c r="L446" s="22" t="inlineStr"/>
      <c r="M446" s="22" t="inlineStr"/>
      <c r="N446" s="22" t="inlineStr"/>
      <c r="O446" s="22" t="inlineStr"/>
      <c r="P446" s="22" t="inlineStr">
        <is>
          <t>TACIANA BARBOSA LEAL</t>
        </is>
      </c>
      <c r="Q446" s="22" t="inlineStr">
        <is>
          <t>Sócio-Administrador (RFB partner)</t>
        </is>
      </c>
      <c r="R446" s="22" t="inlineStr"/>
      <c r="S446" s="22" t="inlineStr"/>
      <c r="T446" s="22" t="inlineStr">
        <is>
          <t>DM = registered partner (RFB QSA); no Apollo match</t>
        </is>
      </c>
      <c r="U446" s="24" t="n">
        <v>489038.37</v>
      </c>
      <c r="V446" s="39" t="inlineStr">
        <is>
          <t>C</t>
        </is>
      </c>
      <c r="W446" s="26" t="inlineStr"/>
      <c r="X446" s="27" t="inlineStr"/>
      <c r="Y446" s="27" t="inlineStr"/>
      <c r="Z446" s="26">
        <f>IF(W446&lt;&gt;"",W446,IFERROR(VLOOKUP(V446,Assumptions!$A$8:$F$12,2,FALSE),0))</f>
        <v/>
      </c>
      <c r="AA446" s="28">
        <f>IF(V446="A",MAX(1,IF(X446&lt;&gt;"",X446,IFERROR(VLOOKUP(V446,Assumptions!$A$8:$F$12,3,FALSE),3))+IF(Y446&lt;&gt;"",Y446,IFERROR(VLOOKUP(V446,Assumptions!$A$8:$F$12,4,FALSE),8))/2-MAX(0,IF(AS446="",0,YEAR(TODAY())-AS446)-IFERROR(VLOOKUP(V446,Assumptions!$A$8:$F$12,5,FALSE),1.5))),IFERROR(VLOOKUP(V446,Assumptions!$A$8:$F$12,5,FALSE),2.5)+IF(X446&lt;&gt;"",X446,IFERROR(VLOOKUP(V446,Assumptions!$A$8:$F$12,3,FALSE),3))+IF(Y446&lt;&gt;"",Y446,IFERROR(VLOOKUP(V446,Assumptions!$A$8:$F$12,4,FALSE),8))/2)</f>
        <v/>
      </c>
      <c r="AB446" s="24">
        <f>U446*Z446/(1+Assumptions!$B$3)^AA446</f>
        <v/>
      </c>
      <c r="AC446" s="27">
        <f>IF(U446=0,"",ROUND(AB446/U446*100,1))</f>
        <v/>
      </c>
      <c r="AD446" s="29">
        <f>AB446*Assumptions!$B$4</f>
        <v/>
      </c>
      <c r="AE446" s="27">
        <f>IF(U446=0,"",ROUND(AD446/U446*100,1))</f>
        <v/>
      </c>
      <c r="AF446" s="29">
        <f>AB446-AD446</f>
        <v/>
      </c>
      <c r="AG446" s="27">
        <f>IF(U446=0,"",ROUND((AB446-AD446)/U446*100,1))</f>
        <v/>
      </c>
      <c r="AH446" s="30" t="inlineStr">
        <is>
          <t>OK — totals reconciled</t>
        </is>
      </c>
      <c r="AI446" s="31" t="inlineStr">
        <is>
          <t>https://recuperacaojudicial.squarespace.com/s/RJ-Credimoveis-QGC-01082025.pdf</t>
        </is>
      </c>
      <c r="AJ446" s="30" t="inlineStr">
        <is>
          <t>p15 r25</t>
        </is>
      </c>
      <c r="AK446" s="30" t="inlineStr">
        <is>
          <t>p15: R$ 489.038,37</t>
        </is>
      </c>
      <c r="AL446" s="30" t="inlineStr">
        <is>
          <t>QGC (art. 18)</t>
        </is>
      </c>
      <c r="AM446" s="30" t="inlineStr">
        <is>
          <t>2026-01-28</t>
        </is>
      </c>
      <c r="AN446" s="30" t="inlineStr">
        <is>
          <t>NONE FOUND</t>
        </is>
      </c>
      <c r="AO446" s="32" t="inlineStr">
        <is>
          <t>0007565-40.2020.8.17.2370</t>
        </is>
      </c>
      <c r="AP446" s="32" t="inlineStr">
        <is>
          <t>TJPE</t>
        </is>
      </c>
      <c r="AQ446" s="32" t="inlineStr">
        <is>
          <t>Recuperação judicial</t>
        </is>
      </c>
      <c r="AR446" s="32" t="inlineStr">
        <is>
          <t>DataJud: no closure/falência movement</t>
        </is>
      </c>
      <c r="AS446" s="32" t="n">
        <v>2020</v>
      </c>
      <c r="AT446" s="32" t="inlineStr">
        <is>
          <t>6y since filing; plan not in our documents</t>
        </is>
      </c>
      <c r="AU446" s="32" t="inlineStr">
        <is>
          <t>09.930.165/0001-37</t>
        </is>
      </c>
      <c r="AV446" s="32" t="inlineStr">
        <is>
          <t>printed on the list (read twice)</t>
        </is>
      </c>
      <c r="AW446" s="32" t="inlineStr"/>
      <c r="AX446" s="32" t="inlineStr">
        <is>
          <t>CARUARU</t>
        </is>
      </c>
      <c r="AY446" s="32" t="inlineStr">
        <is>
          <t>PE</t>
        </is>
      </c>
      <c r="AZ446" s="32" t="inlineStr">
        <is>
          <t>Comércio atacadista de outros equipamentos e artigos de uso pessoal e doméstico não especificados anteriormente</t>
        </is>
      </c>
      <c r="BA446" s="32" t="inlineStr">
        <is>
          <t>não ME/EPP</t>
        </is>
      </c>
      <c r="BB446" s="33" t="n">
        <v>3700000</v>
      </c>
      <c r="BC446" s="32" t="inlineStr">
        <is>
          <t>MID-MARKET</t>
        </is>
      </c>
      <c r="BD446" s="32" t="inlineStr">
        <is>
          <t>08439087</t>
        </is>
      </c>
      <c r="BE446" s="32" t="n">
        <v>1</v>
      </c>
      <c r="BF446" s="32" t="inlineStr"/>
    </row>
    <row r="447">
      <c r="A447" s="17" t="inlineStr">
        <is>
          <t>SUPERFINE STEEL ACOS INOXIDAVEIS LTDA</t>
        </is>
      </c>
      <c r="B447" s="18" t="n">
        <v>540317.62</v>
      </c>
      <c r="C447" s="19" t="inlineStr">
        <is>
          <t>GRUPO 3E</t>
        </is>
      </c>
      <c r="D447" s="20" t="inlineStr">
        <is>
          <t>NEW</t>
        </is>
      </c>
      <c r="E447" s="21" t="inlineStr"/>
      <c r="F447" s="20" t="inlineStr"/>
      <c r="G447" s="21" t="inlineStr"/>
      <c r="H447" s="20" t="inlineStr"/>
      <c r="I447" s="22" t="inlineStr">
        <is>
          <t>JOAO PASSARELLA</t>
        </is>
      </c>
      <c r="J447" s="23" t="inlineStr">
        <is>
          <t>Administrador (RFB partner)</t>
        </is>
      </c>
      <c r="K447" s="22" t="inlineStr">
        <is>
          <t>(11) 3129-8590</t>
        </is>
      </c>
      <c r="L447" s="22" t="inlineStr"/>
      <c r="M447" s="22" t="inlineStr"/>
      <c r="N447" s="22" t="inlineStr"/>
      <c r="O447" s="22" t="inlineStr"/>
      <c r="P447" s="22" t="inlineStr">
        <is>
          <t>Rosemeire Paula</t>
        </is>
      </c>
      <c r="Q447" s="22" t="inlineStr">
        <is>
          <t>(no title)</t>
        </is>
      </c>
      <c r="R447" s="22" t="inlineStr"/>
      <c r="S447" s="22" t="inlineStr">
        <is>
          <t>gerenciaadm@superfine.com.br</t>
        </is>
      </c>
      <c r="T447" s="22" t="inlineStr">
        <is>
          <t>DM = registered partner (RFB QSA); Apollo pick demoted to backup (non-finance role); BACKUP: weak, has_email, phone Yes</t>
        </is>
      </c>
      <c r="U447" s="24" t="n">
        <v>540317.62</v>
      </c>
      <c r="V447" s="25" t="inlineStr">
        <is>
          <t>B</t>
        </is>
      </c>
      <c r="W447" s="26" t="n">
        <v>0.12</v>
      </c>
      <c r="X447" s="27" t="n">
        <v>2</v>
      </c>
      <c r="Y447" s="27" t="n">
        <v>13</v>
      </c>
      <c r="Z447" s="26">
        <f>IF(W447&lt;&gt;"",W447,IFERROR(VLOOKUP(V447,Assumptions!$A$8:$F$12,2,FALSE),0))</f>
        <v/>
      </c>
      <c r="AA447" s="28">
        <f>IF(V447="A",MAX(1,IF(X447&lt;&gt;"",X447,IFERROR(VLOOKUP(V447,Assumptions!$A$8:$F$12,3,FALSE),3))+IF(Y447&lt;&gt;"",Y447,IFERROR(VLOOKUP(V447,Assumptions!$A$8:$F$12,4,FALSE),8))/2-MAX(0,IF(AS447="",0,YEAR(TODAY())-AS447)-IFERROR(VLOOKUP(V447,Assumptions!$A$8:$F$12,5,FALSE),1.5))),IFERROR(VLOOKUP(V447,Assumptions!$A$8:$F$12,5,FALSE),2.5)+IF(X447&lt;&gt;"",X447,IFERROR(VLOOKUP(V447,Assumptions!$A$8:$F$12,3,FALSE),3))+IF(Y447&lt;&gt;"",Y447,IFERROR(VLOOKUP(V447,Assumptions!$A$8:$F$12,4,FALSE),8))/2)</f>
        <v/>
      </c>
      <c r="AB447" s="24">
        <f>U447*Z447/(1+Assumptions!$B$3)^AA447</f>
        <v/>
      </c>
      <c r="AC447" s="27">
        <f>IF(U447=0,"",ROUND(AB447/U447*100,1))</f>
        <v/>
      </c>
      <c r="AD447" s="29">
        <f>AB447*Assumptions!$B$4</f>
        <v/>
      </c>
      <c r="AE447" s="27">
        <f>IF(U447=0,"",ROUND(AD447/U447*100,1))</f>
        <v/>
      </c>
      <c r="AF447" s="29">
        <f>AB447-AD447</f>
        <v/>
      </c>
      <c r="AG447" s="27">
        <f>IF(U447=0,"",ROUND((AB447-AD447)/U447*100,1))</f>
        <v/>
      </c>
      <c r="AH447" s="34" t="inlineStr">
        <is>
          <t>NO TOTALS — list prints none; check page</t>
        </is>
      </c>
      <c r="AI447" s="31" t="inlineStr">
        <is>
          <t>https://stenius.com.br/wp-content/uploads/2026/06/EDITAL-GRUPO-3E.pdf</t>
        </is>
      </c>
      <c r="AJ447" s="30" t="inlineStr">
        <is>
          <t>p18 r17</t>
        </is>
      </c>
      <c r="AK447" s="30" t="inlineStr">
        <is>
          <t>p18: R$ 540.317,62</t>
        </is>
      </c>
      <c r="AL447" s="30" t="inlineStr">
        <is>
          <t>Debtor list (art. 51)</t>
        </is>
      </c>
      <c r="AM447" s="30" t="inlineStr">
        <is>
          <t>2026-06-22</t>
        </is>
      </c>
      <c r="AN447" s="30" t="inlineStr">
        <is>
          <t>PLAN FILED (art. 53), not granted</t>
        </is>
      </c>
      <c r="AO447" s="32" t="inlineStr">
        <is>
          <t>5341375-33.2026.8.09.0049</t>
        </is>
      </c>
      <c r="AP447" s="32" t="inlineStr">
        <is>
          <t>TJGO</t>
        </is>
      </c>
      <c r="AQ447" s="32" t="inlineStr">
        <is>
          <t>Recuperação judicial</t>
        </is>
      </c>
      <c r="AR447" s="32" t="inlineStr">
        <is>
          <t>DataJud: no closure/falência movement</t>
        </is>
      </c>
      <c r="AS447" s="32" t="n">
        <v>2026</v>
      </c>
      <c r="AT447" s="32" t="inlineStr">
        <is>
          <t>plan filed (art. 53), not yet granted</t>
        </is>
      </c>
      <c r="AU447" s="32" t="inlineStr"/>
      <c r="AV447" s="32" t="inlineStr">
        <is>
          <t>printed on the list (read twice)</t>
        </is>
      </c>
      <c r="AW447" s="32" t="inlineStr">
        <is>
          <t>Plano de Recuperação Judicial Grupo 3E v2.0 (Métis), mov. 321, pp.24-25</t>
        </is>
      </c>
      <c r="AX447" s="32" t="inlineStr">
        <is>
          <t>SANTA BARBARA D'OESTE</t>
        </is>
      </c>
      <c r="AY447" s="32" t="inlineStr">
        <is>
          <t>SP</t>
        </is>
      </c>
      <c r="AZ447" s="32" t="inlineStr">
        <is>
          <t>Produção de arames de aço</t>
        </is>
      </c>
      <c r="BA447" s="32" t="inlineStr">
        <is>
          <t>não ME/EPP</t>
        </is>
      </c>
      <c r="BB447" s="33" t="n">
        <v>3500000</v>
      </c>
      <c r="BC447" s="32" t="inlineStr">
        <is>
          <t>MID-MARKET</t>
        </is>
      </c>
      <c r="BD447" s="32" t="inlineStr">
        <is>
          <t>00749526</t>
        </is>
      </c>
      <c r="BE447" s="32" t="n">
        <v>1</v>
      </c>
      <c r="BF447" s="32" t="inlineStr">
        <is>
          <t>list prints no totals</t>
        </is>
      </c>
    </row>
    <row r="448">
      <c r="A448" s="17" t="inlineStr">
        <is>
          <t>PALUDETTO &amp; CIA LTDA</t>
        </is>
      </c>
      <c r="B448" s="18" t="n">
        <v>475452</v>
      </c>
      <c r="C448" s="19" t="inlineStr">
        <is>
          <t>CREDIMÓVEIS NOVOLAR LTDA.</t>
        </is>
      </c>
      <c r="D448" s="20" t="inlineStr">
        <is>
          <t>NEW</t>
        </is>
      </c>
      <c r="E448" s="21" t="inlineStr"/>
      <c r="F448" s="20" t="inlineStr"/>
      <c r="G448" s="21" t="inlineStr"/>
      <c r="H448" s="20" t="inlineStr"/>
      <c r="I448" s="22" t="inlineStr">
        <is>
          <t>ANDREY WILDER PALUDETTO</t>
        </is>
      </c>
      <c r="J448" s="23" t="inlineStr">
        <is>
          <t>Sócio-Administrador (RFB partner)</t>
        </is>
      </c>
      <c r="K448" s="22" t="inlineStr">
        <is>
          <t>(43) 3172-1600</t>
        </is>
      </c>
      <c r="L448" s="22" t="inlineStr">
        <is>
          <t>(43) 3172-1646</t>
        </is>
      </c>
      <c r="M448" s="22" t="inlineStr"/>
      <c r="N448" s="22" t="inlineStr"/>
      <c r="O448" s="22" t="inlineStr"/>
      <c r="P448" s="22" t="inlineStr">
        <is>
          <t>Andrey Paludetto</t>
        </is>
      </c>
      <c r="Q448" s="22" t="inlineStr">
        <is>
          <t>Commercial Director</t>
        </is>
      </c>
      <c r="R448" s="22" t="inlineStr"/>
      <c r="S448" s="22" t="inlineStr">
        <is>
          <t>andrey@moveisalbatroz.com.br</t>
        </is>
      </c>
      <c r="T448" s="22" t="inlineStr">
        <is>
          <t>DM = registered partner (RFB QSA); Apollo pick demoted to backup (non-finance role); BACKUP: has_email, phone Yes</t>
        </is>
      </c>
      <c r="U448" s="24" t="n">
        <v>475452</v>
      </c>
      <c r="V448" s="39" t="inlineStr">
        <is>
          <t>C</t>
        </is>
      </c>
      <c r="W448" s="26" t="inlineStr"/>
      <c r="X448" s="27" t="inlineStr"/>
      <c r="Y448" s="27" t="inlineStr"/>
      <c r="Z448" s="26">
        <f>IF(W448&lt;&gt;"",W448,IFERROR(VLOOKUP(V448,Assumptions!$A$8:$F$12,2,FALSE),0))</f>
        <v/>
      </c>
      <c r="AA448" s="28">
        <f>IF(V448="A",MAX(1,IF(X448&lt;&gt;"",X448,IFERROR(VLOOKUP(V448,Assumptions!$A$8:$F$12,3,FALSE),3))+IF(Y448&lt;&gt;"",Y448,IFERROR(VLOOKUP(V448,Assumptions!$A$8:$F$12,4,FALSE),8))/2-MAX(0,IF(AS448="",0,YEAR(TODAY())-AS448)-IFERROR(VLOOKUP(V448,Assumptions!$A$8:$F$12,5,FALSE),1.5))),IFERROR(VLOOKUP(V448,Assumptions!$A$8:$F$12,5,FALSE),2.5)+IF(X448&lt;&gt;"",X448,IFERROR(VLOOKUP(V448,Assumptions!$A$8:$F$12,3,FALSE),3))+IF(Y448&lt;&gt;"",Y448,IFERROR(VLOOKUP(V448,Assumptions!$A$8:$F$12,4,FALSE),8))/2)</f>
        <v/>
      </c>
      <c r="AB448" s="24">
        <f>U448*Z448/(1+Assumptions!$B$3)^AA448</f>
        <v/>
      </c>
      <c r="AC448" s="27">
        <f>IF(U448=0,"",ROUND(AB448/U448*100,1))</f>
        <v/>
      </c>
      <c r="AD448" s="29">
        <f>AB448*Assumptions!$B$4</f>
        <v/>
      </c>
      <c r="AE448" s="27">
        <f>IF(U448=0,"",ROUND(AD448/U448*100,1))</f>
        <v/>
      </c>
      <c r="AF448" s="29">
        <f>AB448-AD448</f>
        <v/>
      </c>
      <c r="AG448" s="27">
        <f>IF(U448=0,"",ROUND((AB448-AD448)/U448*100,1))</f>
        <v/>
      </c>
      <c r="AH448" s="30" t="inlineStr">
        <is>
          <t>OK — totals reconciled</t>
        </is>
      </c>
      <c r="AI448" s="31" t="inlineStr">
        <is>
          <t>https://recuperacaojudicial.squarespace.com/s/RJ-Credimoveis-QGC-01082025.pdf</t>
        </is>
      </c>
      <c r="AJ448" s="30" t="inlineStr">
        <is>
          <t>p16 r37</t>
        </is>
      </c>
      <c r="AK448" s="30" t="inlineStr">
        <is>
          <t>p16: R$ 475.452,00</t>
        </is>
      </c>
      <c r="AL448" s="30" t="inlineStr">
        <is>
          <t>QGC (art. 18)</t>
        </is>
      </c>
      <c r="AM448" s="30" t="inlineStr">
        <is>
          <t>2026-01-28</t>
        </is>
      </c>
      <c r="AN448" s="30" t="inlineStr">
        <is>
          <t>NONE FOUND</t>
        </is>
      </c>
      <c r="AO448" s="32" t="inlineStr">
        <is>
          <t>0007565-40.2020.8.17.2370</t>
        </is>
      </c>
      <c r="AP448" s="32" t="inlineStr">
        <is>
          <t>TJPE</t>
        </is>
      </c>
      <c r="AQ448" s="32" t="inlineStr">
        <is>
          <t>Recuperação judicial</t>
        </is>
      </c>
      <c r="AR448" s="32" t="inlineStr">
        <is>
          <t>DataJud: no closure/falência movement</t>
        </is>
      </c>
      <c r="AS448" s="32" t="n">
        <v>2020</v>
      </c>
      <c r="AT448" s="32" t="inlineStr">
        <is>
          <t>6y since filing; plan not in our documents</t>
        </is>
      </c>
      <c r="AU448" s="32" t="inlineStr">
        <is>
          <t>09.930.165/0001-37</t>
        </is>
      </c>
      <c r="AV448" s="32" t="inlineStr">
        <is>
          <t>printed on the list (read twice)</t>
        </is>
      </c>
      <c r="AW448" s="32" t="inlineStr"/>
      <c r="AX448" s="32" t="inlineStr">
        <is>
          <t>ARAPONGAS</t>
        </is>
      </c>
      <c r="AY448" s="32" t="inlineStr">
        <is>
          <t>PR</t>
        </is>
      </c>
      <c r="AZ448" s="32" t="inlineStr">
        <is>
          <t>Fabricação de móveis com predominância de madeira</t>
        </is>
      </c>
      <c r="BA448" s="32" t="inlineStr">
        <is>
          <t>não ME/EPP</t>
        </is>
      </c>
      <c r="BB448" s="33" t="n">
        <v>4000000</v>
      </c>
      <c r="BC448" s="32" t="inlineStr">
        <is>
          <t>MID-MARKET</t>
        </is>
      </c>
      <c r="BD448" s="32" t="inlineStr">
        <is>
          <t>77991552</t>
        </is>
      </c>
      <c r="BE448" s="32" t="n">
        <v>1</v>
      </c>
      <c r="BF448" s="32" t="inlineStr"/>
    </row>
    <row r="449">
      <c r="A449" s="17" t="inlineStr">
        <is>
          <t>GSV MONTAGENS INDUSTRIAIS LTDA</t>
        </is>
      </c>
      <c r="B449" s="18" t="n">
        <v>525000</v>
      </c>
      <c r="C449" s="19" t="inlineStr">
        <is>
          <t>GRUPO 3E</t>
        </is>
      </c>
      <c r="D449" s="20" t="inlineStr">
        <is>
          <t>NEW</t>
        </is>
      </c>
      <c r="E449" s="21" t="inlineStr"/>
      <c r="F449" s="20" t="inlineStr"/>
      <c r="G449" s="21" t="inlineStr"/>
      <c r="H449" s="20" t="inlineStr"/>
      <c r="I449" s="22" t="inlineStr">
        <is>
          <t>LUIZ CARLOS PEREIRA SANTANA</t>
        </is>
      </c>
      <c r="J449" s="23" t="inlineStr">
        <is>
          <t>Sócio-Administrador (RFB partner)</t>
        </is>
      </c>
      <c r="K449" s="22" t="inlineStr">
        <is>
          <t>(62) 3353-6092</t>
        </is>
      </c>
      <c r="L449" s="22" t="inlineStr"/>
      <c r="M449" s="22" t="inlineStr"/>
      <c r="N449" s="22" t="inlineStr"/>
      <c r="O449" s="22" t="inlineStr"/>
      <c r="P449" s="22" t="inlineStr">
        <is>
          <t>VANDERLEI VIEIRA DA FONSECA</t>
        </is>
      </c>
      <c r="Q449" s="22" t="inlineStr">
        <is>
          <t>Sócio-Administrador (RFB partner)</t>
        </is>
      </c>
      <c r="R449" s="22" t="inlineStr"/>
      <c r="S449" s="22" t="inlineStr"/>
      <c r="T449" s="22" t="inlineStr">
        <is>
          <t>DM = registered partner (RFB QSA); no Apollo match</t>
        </is>
      </c>
      <c r="U449" s="24" t="n">
        <v>525000</v>
      </c>
      <c r="V449" s="25" t="inlineStr">
        <is>
          <t>B</t>
        </is>
      </c>
      <c r="W449" s="26" t="n">
        <v>0.12</v>
      </c>
      <c r="X449" s="27" t="n">
        <v>2</v>
      </c>
      <c r="Y449" s="27" t="n">
        <v>13</v>
      </c>
      <c r="Z449" s="26">
        <f>IF(W449&lt;&gt;"",W449,IFERROR(VLOOKUP(V449,Assumptions!$A$8:$F$12,2,FALSE),0))</f>
        <v/>
      </c>
      <c r="AA449" s="28">
        <f>IF(V449="A",MAX(1,IF(X449&lt;&gt;"",X449,IFERROR(VLOOKUP(V449,Assumptions!$A$8:$F$12,3,FALSE),3))+IF(Y449&lt;&gt;"",Y449,IFERROR(VLOOKUP(V449,Assumptions!$A$8:$F$12,4,FALSE),8))/2-MAX(0,IF(AS449="",0,YEAR(TODAY())-AS449)-IFERROR(VLOOKUP(V449,Assumptions!$A$8:$F$12,5,FALSE),1.5))),IFERROR(VLOOKUP(V449,Assumptions!$A$8:$F$12,5,FALSE),2.5)+IF(X449&lt;&gt;"",X449,IFERROR(VLOOKUP(V449,Assumptions!$A$8:$F$12,3,FALSE),3))+IF(Y449&lt;&gt;"",Y449,IFERROR(VLOOKUP(V449,Assumptions!$A$8:$F$12,4,FALSE),8))/2)</f>
        <v/>
      </c>
      <c r="AB449" s="24">
        <f>U449*Z449/(1+Assumptions!$B$3)^AA449</f>
        <v/>
      </c>
      <c r="AC449" s="27">
        <f>IF(U449=0,"",ROUND(AB449/U449*100,1))</f>
        <v/>
      </c>
      <c r="AD449" s="29">
        <f>AB449*Assumptions!$B$4</f>
        <v/>
      </c>
      <c r="AE449" s="27">
        <f>IF(U449=0,"",ROUND(AD449/U449*100,1))</f>
        <v/>
      </c>
      <c r="AF449" s="29">
        <f>AB449-AD449</f>
        <v/>
      </c>
      <c r="AG449" s="27">
        <f>IF(U449=0,"",ROUND((AB449-AD449)/U449*100,1))</f>
        <v/>
      </c>
      <c r="AH449" s="34" t="inlineStr">
        <is>
          <t>NO TOTALS — list prints none; check page</t>
        </is>
      </c>
      <c r="AI449" s="31" t="inlineStr">
        <is>
          <t>https://stenius.com.br/wp-content/uploads/2026/06/EDITAL-GRUPO-3E.pdf</t>
        </is>
      </c>
      <c r="AJ449" s="30" t="inlineStr">
        <is>
          <t>p14 r22</t>
        </is>
      </c>
      <c r="AK449" s="30" t="inlineStr">
        <is>
          <t>p14: R$ 525.000,00</t>
        </is>
      </c>
      <c r="AL449" s="30" t="inlineStr">
        <is>
          <t>Debtor list (art. 51)</t>
        </is>
      </c>
      <c r="AM449" s="30" t="inlineStr">
        <is>
          <t>2026-06-22</t>
        </is>
      </c>
      <c r="AN449" s="30" t="inlineStr">
        <is>
          <t>PLAN FILED (art. 53), not granted</t>
        </is>
      </c>
      <c r="AO449" s="32" t="inlineStr">
        <is>
          <t>5341375-33.2026.8.09.0049</t>
        </is>
      </c>
      <c r="AP449" s="32" t="inlineStr">
        <is>
          <t>TJGO</t>
        </is>
      </c>
      <c r="AQ449" s="32" t="inlineStr">
        <is>
          <t>Recuperação judicial</t>
        </is>
      </c>
      <c r="AR449" s="32" t="inlineStr">
        <is>
          <t>DataJud: no closure/falência movement</t>
        </is>
      </c>
      <c r="AS449" s="32" t="n">
        <v>2026</v>
      </c>
      <c r="AT449" s="32" t="inlineStr">
        <is>
          <t>plan filed (art. 53), not yet granted</t>
        </is>
      </c>
      <c r="AU449" s="32" t="inlineStr"/>
      <c r="AV449" s="32" t="inlineStr">
        <is>
          <t>printed on the list (read twice)</t>
        </is>
      </c>
      <c r="AW449" s="32" t="inlineStr">
        <is>
          <t>Plano de Recuperação Judicial Grupo 3E v2.0 (Métis), mov. 321, pp.24-25</t>
        </is>
      </c>
      <c r="AX449" s="32" t="inlineStr">
        <is>
          <t>GOIANESIA</t>
        </is>
      </c>
      <c r="AY449" s="32" t="inlineStr">
        <is>
          <t>GO</t>
        </is>
      </c>
      <c r="AZ449" s="32" t="inlineStr">
        <is>
          <t>Fabricação de estruturas metálicas</t>
        </is>
      </c>
      <c r="BA449" s="32" t="inlineStr">
        <is>
          <t>não ME/EPP</t>
        </is>
      </c>
      <c r="BB449" s="33" t="n">
        <v>800000</v>
      </c>
      <c r="BC449" s="32" t="inlineStr">
        <is>
          <t>MID-MARKET</t>
        </is>
      </c>
      <c r="BD449" s="32" t="inlineStr">
        <is>
          <t>11225183</t>
        </is>
      </c>
      <c r="BE449" s="32" t="n">
        <v>1</v>
      </c>
      <c r="BF449" s="32" t="inlineStr">
        <is>
          <t>list prints no totals</t>
        </is>
      </c>
    </row>
    <row r="450">
      <c r="A450" s="17" t="inlineStr">
        <is>
          <t>ESCRITORIO CENTRAL DE ARRECADACAO E DISTRIBUICAO ECAD</t>
        </is>
      </c>
      <c r="B450" s="18" t="n">
        <v>453771.76</v>
      </c>
      <c r="C450" s="19" t="inlineStr">
        <is>
          <t>GRUPO ARNON DE MELLO</t>
        </is>
      </c>
      <c r="D450" s="20" t="inlineStr">
        <is>
          <t>NEW</t>
        </is>
      </c>
      <c r="E450" s="21" t="inlineStr"/>
      <c r="F450" s="20" t="inlineStr"/>
      <c r="G450" s="21" t="inlineStr"/>
      <c r="H450" s="20" t="inlineStr"/>
      <c r="I450" s="22" t="inlineStr">
        <is>
          <t>ISABEL AMORIM SICHERLE</t>
        </is>
      </c>
      <c r="J450" s="23" t="inlineStr">
        <is>
          <t>Presidente (RFB partner)</t>
        </is>
      </c>
      <c r="K450" s="22" t="inlineStr">
        <is>
          <t>(21) 3505-8500</t>
        </is>
      </c>
      <c r="L450" s="22" t="inlineStr"/>
      <c r="M450" s="22" t="inlineStr"/>
      <c r="N450" s="22" t="inlineStr"/>
      <c r="O450" s="22" t="inlineStr"/>
      <c r="P450" s="22" t="inlineStr"/>
      <c r="Q450" s="22" t="inlineStr"/>
      <c r="R450" s="22" t="inlineStr"/>
      <c r="S450" s="22" t="inlineStr"/>
      <c r="T450" s="22" t="inlineStr">
        <is>
          <t>DM = registered partner (RFB QSA); no Apollo match</t>
        </is>
      </c>
      <c r="U450" s="24" t="n">
        <v>453771.76</v>
      </c>
      <c r="V450" s="39" t="inlineStr">
        <is>
          <t>C</t>
        </is>
      </c>
      <c r="W450" s="26" t="inlineStr"/>
      <c r="X450" s="27" t="inlineStr"/>
      <c r="Y450" s="27" t="inlineStr"/>
      <c r="Z450" s="26">
        <f>IF(W450&lt;&gt;"",W450,IFERROR(VLOOKUP(V450,Assumptions!$A$8:$F$12,2,FALSE),0))</f>
        <v/>
      </c>
      <c r="AA450" s="28">
        <f>IF(V450="A",MAX(1,IF(X450&lt;&gt;"",X450,IFERROR(VLOOKUP(V450,Assumptions!$A$8:$F$12,3,FALSE),3))+IF(Y450&lt;&gt;"",Y450,IFERROR(VLOOKUP(V450,Assumptions!$A$8:$F$12,4,FALSE),8))/2-MAX(0,IF(AS450="",0,YEAR(TODAY())-AS450)-IFERROR(VLOOKUP(V450,Assumptions!$A$8:$F$12,5,FALSE),1.5))),IFERROR(VLOOKUP(V450,Assumptions!$A$8:$F$12,5,FALSE),2.5)+IF(X450&lt;&gt;"",X450,IFERROR(VLOOKUP(V450,Assumptions!$A$8:$F$12,3,FALSE),3))+IF(Y450&lt;&gt;"",Y450,IFERROR(VLOOKUP(V450,Assumptions!$A$8:$F$12,4,FALSE),8))/2)</f>
        <v/>
      </c>
      <c r="AB450" s="24">
        <f>U450*Z450/(1+Assumptions!$B$3)^AA450</f>
        <v/>
      </c>
      <c r="AC450" s="27">
        <f>IF(U450=0,"",ROUND(AB450/U450*100,1))</f>
        <v/>
      </c>
      <c r="AD450" s="29">
        <f>AB450*Assumptions!$B$4</f>
        <v/>
      </c>
      <c r="AE450" s="27">
        <f>IF(U450=0,"",ROUND(AD450/U450*100,1))</f>
        <v/>
      </c>
      <c r="AF450" s="29">
        <f>AB450-AD450</f>
        <v/>
      </c>
      <c r="AG450" s="27">
        <f>IF(U450=0,"",ROUND((AB450-AD450)/U450*100,1))</f>
        <v/>
      </c>
      <c r="AH450" s="34" t="inlineStr">
        <is>
          <t>NO TOTALS — list prints none; check page</t>
        </is>
      </c>
      <c r="AI450" s="31" t="inlineStr">
        <is>
          <t>https://recuperacaojudicial.squarespace.com/s/RJ-Grupo-Arnon-de-Melo-Lista-de-Credores-Consolidada-abril-2022.pdf</t>
        </is>
      </c>
      <c r="AJ450" s="30" t="inlineStr">
        <is>
          <t>p8 r4</t>
        </is>
      </c>
      <c r="AK450" s="30" t="inlineStr">
        <is>
          <t>p8: R$ 453.771,76</t>
        </is>
      </c>
      <c r="AL450" s="30" t="inlineStr">
        <is>
          <t>AJ list (art. 7 §2)</t>
        </is>
      </c>
      <c r="AM450" s="30" t="inlineStr"/>
      <c r="AN450" s="30" t="inlineStr">
        <is>
          <t>NONE FOUND</t>
        </is>
      </c>
      <c r="AO450" s="32" t="inlineStr">
        <is>
          <t>0700256-03.2019.8.02.0066</t>
        </is>
      </c>
      <c r="AP450" s="32" t="inlineStr">
        <is>
          <t>TJAL</t>
        </is>
      </c>
      <c r="AQ450" s="32" t="inlineStr">
        <is>
          <t>Recuperação judicial</t>
        </is>
      </c>
      <c r="AR450" s="32" t="inlineStr">
        <is>
          <t>not in DataJud</t>
        </is>
      </c>
      <c r="AS450" s="32" t="n">
        <v>2019</v>
      </c>
      <c r="AT450" s="32" t="inlineStr">
        <is>
          <t>7y since filing; plan not in our documents</t>
        </is>
      </c>
      <c r="AU450" s="32" t="inlineStr">
        <is>
          <t>12.503.801/0001-59</t>
        </is>
      </c>
      <c r="AV450" s="32" t="inlineStr">
        <is>
          <t>printed on the list (read twice)</t>
        </is>
      </c>
      <c r="AW450" s="32" t="inlineStr"/>
      <c r="AX450" s="32" t="inlineStr">
        <is>
          <t>RIO DE JANEIRO</t>
        </is>
      </c>
      <c r="AY450" s="32" t="inlineStr">
        <is>
          <t>RJ</t>
        </is>
      </c>
      <c r="AZ450" s="32" t="inlineStr">
        <is>
          <t>Atividades de organizações associativas ligadas à cultura e à arte</t>
        </is>
      </c>
      <c r="BA450" s="32" t="inlineStr">
        <is>
          <t>não ME/EPP</t>
        </is>
      </c>
      <c r="BB450" s="33" t="inlineStr"/>
      <c r="BC450" s="32" t="inlineStr">
        <is>
          <t>UNKNOWN</t>
        </is>
      </c>
      <c r="BD450" s="32" t="inlineStr">
        <is>
          <t>00474973</t>
        </is>
      </c>
      <c r="BE450" s="32" t="n">
        <v>1</v>
      </c>
      <c r="BF450" s="32" t="inlineStr">
        <is>
          <t>list prints no totals</t>
        </is>
      </c>
    </row>
    <row r="451">
      <c r="A451" s="17" t="inlineStr">
        <is>
          <t>NP BRASIL SERVICOS E PROJETOS LTDA</t>
        </is>
      </c>
      <c r="B451" s="18" t="n">
        <v>830950.0600000001</v>
      </c>
      <c r="C451" s="19" t="inlineStr">
        <is>
          <t>Mannes</t>
        </is>
      </c>
      <c r="D451" s="20" t="inlineStr">
        <is>
          <t>NEW</t>
        </is>
      </c>
      <c r="E451" s="21" t="inlineStr"/>
      <c r="F451" s="20" t="inlineStr"/>
      <c r="G451" s="21" t="inlineStr"/>
      <c r="H451" s="20" t="inlineStr"/>
      <c r="I451" s="22" t="inlineStr">
        <is>
          <t>ANTONIO SERGIO HURTADO</t>
        </is>
      </c>
      <c r="J451" s="23" t="inlineStr">
        <is>
          <t>Sócio-Administrador (RFB partner)</t>
        </is>
      </c>
      <c r="K451" s="22" t="inlineStr">
        <is>
          <t>(11) 4443-1000</t>
        </is>
      </c>
      <c r="L451" s="22" t="inlineStr"/>
      <c r="M451" s="22" t="inlineStr"/>
      <c r="N451" s="22" t="inlineStr"/>
      <c r="O451" s="22" t="inlineStr"/>
      <c r="P451" s="22" t="inlineStr"/>
      <c r="Q451" s="22" t="inlineStr"/>
      <c r="R451" s="22" t="inlineStr"/>
      <c r="S451" s="22" t="inlineStr"/>
      <c r="T451" s="22" t="inlineStr">
        <is>
          <t>DM = registered partner (RFB QSA); no Apollo match</t>
        </is>
      </c>
      <c r="U451" s="24" t="n">
        <v>830950.0600000001</v>
      </c>
      <c r="V451" s="40" t="inlineStr">
        <is>
          <t>D</t>
        </is>
      </c>
      <c r="W451" s="26" t="inlineStr"/>
      <c r="X451" s="27" t="inlineStr"/>
      <c r="Y451" s="27" t="inlineStr"/>
      <c r="Z451" s="26">
        <f>IF(W451&lt;&gt;"",W451,IFERROR(VLOOKUP(V451,Assumptions!$A$8:$F$12,2,FALSE),0))</f>
        <v/>
      </c>
      <c r="AA451" s="28">
        <f>IF(V451="A",MAX(1,IF(X451&lt;&gt;"",X451,IFERROR(VLOOKUP(V451,Assumptions!$A$8:$F$12,3,FALSE),3))+IF(Y451&lt;&gt;"",Y451,IFERROR(VLOOKUP(V451,Assumptions!$A$8:$F$12,4,FALSE),8))/2-MAX(0,IF(AS451="",0,YEAR(TODAY())-AS451)-IFERROR(VLOOKUP(V451,Assumptions!$A$8:$F$12,5,FALSE),1.5))),IFERROR(VLOOKUP(V451,Assumptions!$A$8:$F$12,5,FALSE),2.5)+IF(X451&lt;&gt;"",X451,IFERROR(VLOOKUP(V451,Assumptions!$A$8:$F$12,3,FALSE),3))+IF(Y451&lt;&gt;"",Y451,IFERROR(VLOOKUP(V451,Assumptions!$A$8:$F$12,4,FALSE),8))/2)</f>
        <v/>
      </c>
      <c r="AB451" s="24">
        <f>U451*Z451/(1+Assumptions!$B$3)^AA451</f>
        <v/>
      </c>
      <c r="AC451" s="27">
        <f>IF(U451=0,"",ROUND(AB451/U451*100,1))</f>
        <v/>
      </c>
      <c r="AD451" s="29">
        <f>AB451*Assumptions!$B$4</f>
        <v/>
      </c>
      <c r="AE451" s="27">
        <f>IF(U451=0,"",ROUND(AD451/U451*100,1))</f>
        <v/>
      </c>
      <c r="AF451" s="29">
        <f>AB451-AD451</f>
        <v/>
      </c>
      <c r="AG451" s="27">
        <f>IF(U451=0,"",ROUND((AB451-AD451)/U451*100,1))</f>
        <v/>
      </c>
      <c r="AH451" s="36" t="inlineStr">
        <is>
          <t>CHECK — source is not a statutory creditor list</t>
        </is>
      </c>
      <c r="AI451" s="31" t="inlineStr">
        <is>
          <t>https://administradorajudicialgs.com.br/wp-content/uploads/2024/12/relacao-de-credores-da-falida.pdf</t>
        </is>
      </c>
      <c r="AJ451" s="30" t="inlineStr">
        <is>
          <t>p17 r14</t>
        </is>
      </c>
      <c r="AK451" s="30" t="inlineStr">
        <is>
          <t>p17: R$ 830.950,06</t>
        </is>
      </c>
      <c r="AL451" s="30" t="inlineStr">
        <is>
          <t>Other filing — NOT an art. 7/51 list</t>
        </is>
      </c>
      <c r="AM451" s="30" t="inlineStr">
        <is>
          <t>2025-03-25</t>
        </is>
      </c>
      <c r="AN451" s="30" t="inlineStr">
        <is>
          <t>NONE FOUND</t>
        </is>
      </c>
      <c r="AO451" s="32" t="inlineStr">
        <is>
          <t>0005010-50.2013.8.24.0026</t>
        </is>
      </c>
      <c r="AP451" s="32" t="inlineStr">
        <is>
          <t>TJSC</t>
        </is>
      </c>
      <c r="AQ451" s="32" t="inlineStr">
        <is>
          <t>Falência</t>
        </is>
      </c>
      <c r="AR451" s="32" t="inlineStr">
        <is>
          <t>not in DataJud</t>
        </is>
      </c>
      <c r="AS451" s="32" t="n">
        <v>2013</v>
      </c>
      <c r="AT451" s="32" t="inlineStr">
        <is>
          <t>falência proceeding (list/name says falida)</t>
        </is>
      </c>
      <c r="AU451" s="32" t="inlineStr"/>
      <c r="AV451" s="32" t="inlineStr">
        <is>
          <t>printed on the list (read twice)</t>
        </is>
      </c>
      <c r="AW451" s="32" t="inlineStr"/>
      <c r="AX451" s="32" t="inlineStr">
        <is>
          <t>FRANCO DA ROCHA</t>
        </is>
      </c>
      <c r="AY451" s="32" t="inlineStr">
        <is>
          <t>SP</t>
        </is>
      </c>
      <c r="AZ451" s="32" t="inlineStr">
        <is>
          <t>Fabricação de embalagens de material plástico</t>
        </is>
      </c>
      <c r="BA451" s="32" t="inlineStr">
        <is>
          <t>não ME/EPP</t>
        </is>
      </c>
      <c r="BB451" s="33" t="n">
        <v>460000</v>
      </c>
      <c r="BC451" s="32" t="inlineStr">
        <is>
          <t>MID-MARKET</t>
        </is>
      </c>
      <c r="BD451" s="32" t="inlineStr">
        <is>
          <t>67959015</t>
        </is>
      </c>
      <c r="BE451" s="32" t="n">
        <v>1</v>
      </c>
      <c r="BF451" s="32" t="inlineStr">
        <is>
          <t>list prints no totals case no. corrected by reader</t>
        </is>
      </c>
    </row>
    <row r="452">
      <c r="A452" s="17" t="inlineStr">
        <is>
          <t>MK BR S.A</t>
        </is>
      </c>
      <c r="B452" s="18" t="n">
        <v>450760.99</v>
      </c>
      <c r="C452" s="19" t="inlineStr">
        <is>
          <t>CREDIMÓVEIS NOVOLAR LTDA.</t>
        </is>
      </c>
      <c r="D452" s="20" t="inlineStr">
        <is>
          <t>NEW</t>
        </is>
      </c>
      <c r="E452" s="21" t="inlineStr"/>
      <c r="F452" s="20" t="inlineStr"/>
      <c r="G452" s="21" t="inlineStr"/>
      <c r="H452" s="20" t="inlineStr"/>
      <c r="I452" s="22" t="inlineStr">
        <is>
          <t>ALBERTO BAGGIANI</t>
        </is>
      </c>
      <c r="J452" s="23" t="inlineStr">
        <is>
          <t>Diretor (RFB partner)</t>
        </is>
      </c>
      <c r="K452" s="22" t="inlineStr">
        <is>
          <t>(11) 3581-4125</t>
        </is>
      </c>
      <c r="L452" s="22" t="inlineStr"/>
      <c r="M452" s="22" t="inlineStr"/>
      <c r="N452" s="22" t="inlineStr"/>
      <c r="O452" s="22" t="inlineStr"/>
      <c r="P452" s="22" t="inlineStr">
        <is>
          <t>GIOVANNI MARINS CARDOSO</t>
        </is>
      </c>
      <c r="Q452" s="22" t="inlineStr">
        <is>
          <t>Diretor (RFB partner)</t>
        </is>
      </c>
      <c r="R452" s="22" t="inlineStr"/>
      <c r="S452" s="22" t="inlineStr"/>
      <c r="T452" s="22" t="inlineStr">
        <is>
          <t>DM = registered partner (RFB QSA); no Apollo match</t>
        </is>
      </c>
      <c r="U452" s="24" t="n">
        <v>450760.99</v>
      </c>
      <c r="V452" s="39" t="inlineStr">
        <is>
          <t>C</t>
        </is>
      </c>
      <c r="W452" s="26" t="inlineStr"/>
      <c r="X452" s="27" t="inlineStr"/>
      <c r="Y452" s="27" t="inlineStr"/>
      <c r="Z452" s="26">
        <f>IF(W452&lt;&gt;"",W452,IFERROR(VLOOKUP(V452,Assumptions!$A$8:$F$12,2,FALSE),0))</f>
        <v/>
      </c>
      <c r="AA452" s="28">
        <f>IF(V452="A",MAX(1,IF(X452&lt;&gt;"",X452,IFERROR(VLOOKUP(V452,Assumptions!$A$8:$F$12,3,FALSE),3))+IF(Y452&lt;&gt;"",Y452,IFERROR(VLOOKUP(V452,Assumptions!$A$8:$F$12,4,FALSE),8))/2-MAX(0,IF(AS452="",0,YEAR(TODAY())-AS452)-IFERROR(VLOOKUP(V452,Assumptions!$A$8:$F$12,5,FALSE),1.5))),IFERROR(VLOOKUP(V452,Assumptions!$A$8:$F$12,5,FALSE),2.5)+IF(X452&lt;&gt;"",X452,IFERROR(VLOOKUP(V452,Assumptions!$A$8:$F$12,3,FALSE),3))+IF(Y452&lt;&gt;"",Y452,IFERROR(VLOOKUP(V452,Assumptions!$A$8:$F$12,4,FALSE),8))/2)</f>
        <v/>
      </c>
      <c r="AB452" s="24">
        <f>U452*Z452/(1+Assumptions!$B$3)^AA452</f>
        <v/>
      </c>
      <c r="AC452" s="27">
        <f>IF(U452=0,"",ROUND(AB452/U452*100,1))</f>
        <v/>
      </c>
      <c r="AD452" s="29">
        <f>AB452*Assumptions!$B$4</f>
        <v/>
      </c>
      <c r="AE452" s="27">
        <f>IF(U452=0,"",ROUND(AD452/U452*100,1))</f>
        <v/>
      </c>
      <c r="AF452" s="29">
        <f>AB452-AD452</f>
        <v/>
      </c>
      <c r="AG452" s="27">
        <f>IF(U452=0,"",ROUND((AB452-AD452)/U452*100,1))</f>
        <v/>
      </c>
      <c r="AH452" s="30" t="inlineStr">
        <is>
          <t>OK — totals reconciled</t>
        </is>
      </c>
      <c r="AI452" s="31" t="inlineStr">
        <is>
          <t>https://recuperacaojudicial.squarespace.com/s/RJ-Credimoveis-QGC-01082025.pdf</t>
        </is>
      </c>
      <c r="AJ452" s="30" t="inlineStr">
        <is>
          <t>p16 r20</t>
        </is>
      </c>
      <c r="AK452" s="30" t="inlineStr">
        <is>
          <t>p16: R$ 450.760,99</t>
        </is>
      </c>
      <c r="AL452" s="30" t="inlineStr">
        <is>
          <t>QGC (art. 18)</t>
        </is>
      </c>
      <c r="AM452" s="30" t="inlineStr">
        <is>
          <t>2026-01-28</t>
        </is>
      </c>
      <c r="AN452" s="30" t="inlineStr">
        <is>
          <t>NONE FOUND</t>
        </is>
      </c>
      <c r="AO452" s="32" t="inlineStr">
        <is>
          <t>0007565-40.2020.8.17.2370</t>
        </is>
      </c>
      <c r="AP452" s="32" t="inlineStr">
        <is>
          <t>TJPE</t>
        </is>
      </c>
      <c r="AQ452" s="32" t="inlineStr">
        <is>
          <t>Recuperação judicial</t>
        </is>
      </c>
      <c r="AR452" s="32" t="inlineStr">
        <is>
          <t>DataJud: no closure/falência movement</t>
        </is>
      </c>
      <c r="AS452" s="32" t="n">
        <v>2020</v>
      </c>
      <c r="AT452" s="32" t="inlineStr">
        <is>
          <t>6y since filing; plan not in our documents</t>
        </is>
      </c>
      <c r="AU452" s="32" t="inlineStr">
        <is>
          <t>09.930.165/0001-37</t>
        </is>
      </c>
      <c r="AV452" s="32" t="inlineStr">
        <is>
          <t>printed on the list (read twice)</t>
        </is>
      </c>
      <c r="AW452" s="32" t="inlineStr"/>
      <c r="AX452" s="32" t="inlineStr">
        <is>
          <t>CONCEICAO DO JACUIPE</t>
        </is>
      </c>
      <c r="AY452" s="32" t="inlineStr">
        <is>
          <t>BA</t>
        </is>
      </c>
      <c r="AZ452" s="32" t="inlineStr">
        <is>
          <t>Fabricação de outros aparelhos eletrodomésticos não especificados anteriormente, peças e acessórios</t>
        </is>
      </c>
      <c r="BA452" s="32" t="inlineStr">
        <is>
          <t>não ME/EPP</t>
        </is>
      </c>
      <c r="BB452" s="33" t="n">
        <v>4121320</v>
      </c>
      <c r="BC452" s="32" t="inlineStr">
        <is>
          <t>MID-MARKET</t>
        </is>
      </c>
      <c r="BD452" s="32" t="inlineStr">
        <is>
          <t>07666567</t>
        </is>
      </c>
      <c r="BE452" s="32" t="n">
        <v>1</v>
      </c>
      <c r="BF452" s="32" t="inlineStr"/>
    </row>
    <row r="453">
      <c r="A453" s="17" t="inlineStr">
        <is>
          <t>GRUPO K1 S.A.</t>
        </is>
      </c>
      <c r="B453" s="18" t="n">
        <v>449678.5</v>
      </c>
      <c r="C453" s="19" t="inlineStr">
        <is>
          <t>CREDIMÓVEIS NOVOLAR LTDA.</t>
        </is>
      </c>
      <c r="D453" s="20" t="inlineStr">
        <is>
          <t>NEW</t>
        </is>
      </c>
      <c r="E453" s="21" t="inlineStr"/>
      <c r="F453" s="20" t="inlineStr"/>
      <c r="G453" s="21" t="inlineStr"/>
      <c r="H453" s="20" t="inlineStr"/>
      <c r="I453" s="22" t="inlineStr">
        <is>
          <t>Aline Bervian</t>
        </is>
      </c>
      <c r="J453" s="22" t="inlineStr">
        <is>
          <t>Administrative Director (ex Gerente de Crédito e Cobrança)</t>
        </is>
      </c>
      <c r="K453" s="22" t="inlineStr">
        <is>
          <t>(51) 3635-8800</t>
        </is>
      </c>
      <c r="L453" s="22" t="inlineStr">
        <is>
          <t>(51) 3635-8819</t>
        </is>
      </c>
      <c r="M453" s="22" t="inlineStr"/>
      <c r="N453" s="22" t="inlineStr">
        <is>
          <t>aline@kappesberg.com.br</t>
        </is>
      </c>
      <c r="O453" s="22" t="inlineStr">
        <is>
          <t>verified</t>
        </is>
      </c>
      <c r="P453" s="22" t="inlineStr">
        <is>
          <t>CARLOS LUIZ SOST</t>
        </is>
      </c>
      <c r="Q453" s="22" t="inlineStr">
        <is>
          <t>Presidente (RFB partner)</t>
        </is>
      </c>
      <c r="R453" s="22" t="inlineStr"/>
      <c r="S453" s="22" t="inlineStr"/>
      <c r="T453" s="22" t="inlineStr">
        <is>
          <t>DM: has_email, phone Yes</t>
        </is>
      </c>
      <c r="U453" s="24" t="n">
        <v>449678.5</v>
      </c>
      <c r="V453" s="39" t="inlineStr">
        <is>
          <t>C</t>
        </is>
      </c>
      <c r="W453" s="26" t="inlineStr"/>
      <c r="X453" s="27" t="inlineStr"/>
      <c r="Y453" s="27" t="inlineStr"/>
      <c r="Z453" s="26">
        <f>IF(W453&lt;&gt;"",W453,IFERROR(VLOOKUP(V453,Assumptions!$A$8:$F$12,2,FALSE),0))</f>
        <v/>
      </c>
      <c r="AA453" s="28">
        <f>IF(V453="A",MAX(1,IF(X453&lt;&gt;"",X453,IFERROR(VLOOKUP(V453,Assumptions!$A$8:$F$12,3,FALSE),3))+IF(Y453&lt;&gt;"",Y453,IFERROR(VLOOKUP(V453,Assumptions!$A$8:$F$12,4,FALSE),8))/2-MAX(0,IF(AS453="",0,YEAR(TODAY())-AS453)-IFERROR(VLOOKUP(V453,Assumptions!$A$8:$F$12,5,FALSE),1.5))),IFERROR(VLOOKUP(V453,Assumptions!$A$8:$F$12,5,FALSE),2.5)+IF(X453&lt;&gt;"",X453,IFERROR(VLOOKUP(V453,Assumptions!$A$8:$F$12,3,FALSE),3))+IF(Y453&lt;&gt;"",Y453,IFERROR(VLOOKUP(V453,Assumptions!$A$8:$F$12,4,FALSE),8))/2)</f>
        <v/>
      </c>
      <c r="AB453" s="24">
        <f>U453*Z453/(1+Assumptions!$B$3)^AA453</f>
        <v/>
      </c>
      <c r="AC453" s="27">
        <f>IF(U453=0,"",ROUND(AB453/U453*100,1))</f>
        <v/>
      </c>
      <c r="AD453" s="29">
        <f>AB453*Assumptions!$B$4</f>
        <v/>
      </c>
      <c r="AE453" s="27">
        <f>IF(U453=0,"",ROUND(AD453/U453*100,1))</f>
        <v/>
      </c>
      <c r="AF453" s="29">
        <f>AB453-AD453</f>
        <v/>
      </c>
      <c r="AG453" s="27">
        <f>IF(U453=0,"",ROUND((AB453-AD453)/U453*100,1))</f>
        <v/>
      </c>
      <c r="AH453" s="30" t="inlineStr">
        <is>
          <t>OK — totals reconciled</t>
        </is>
      </c>
      <c r="AI453" s="31" t="inlineStr">
        <is>
          <t>https://recuperacaojudicial.squarespace.com/s/RJ-Credimoveis-QGC-01082025.pdf</t>
        </is>
      </c>
      <c r="AJ453" s="30" t="inlineStr">
        <is>
          <t>p16 r23</t>
        </is>
      </c>
      <c r="AK453" s="30" t="inlineStr">
        <is>
          <t>p16: R$ 449.678,50</t>
        </is>
      </c>
      <c r="AL453" s="30" t="inlineStr">
        <is>
          <t>QGC (art. 18)</t>
        </is>
      </c>
      <c r="AM453" s="30" t="inlineStr">
        <is>
          <t>2026-01-28</t>
        </is>
      </c>
      <c r="AN453" s="30" t="inlineStr">
        <is>
          <t>NONE FOUND</t>
        </is>
      </c>
      <c r="AO453" s="32" t="inlineStr">
        <is>
          <t>0007565-40.2020.8.17.2370</t>
        </is>
      </c>
      <c r="AP453" s="32" t="inlineStr">
        <is>
          <t>TJPE</t>
        </is>
      </c>
      <c r="AQ453" s="32" t="inlineStr">
        <is>
          <t>Recuperação judicial</t>
        </is>
      </c>
      <c r="AR453" s="32" t="inlineStr">
        <is>
          <t>DataJud: no closure/falência movement</t>
        </is>
      </c>
      <c r="AS453" s="32" t="n">
        <v>2020</v>
      </c>
      <c r="AT453" s="32" t="inlineStr">
        <is>
          <t>6y since filing; plan not in our documents</t>
        </is>
      </c>
      <c r="AU453" s="32" t="inlineStr">
        <is>
          <t>09.930.165/0001-37</t>
        </is>
      </c>
      <c r="AV453" s="32" t="inlineStr">
        <is>
          <t>printed on the list (read twice)</t>
        </is>
      </c>
      <c r="AW453" s="32" t="inlineStr"/>
      <c r="AX453" s="32" t="inlineStr">
        <is>
          <t>TUPANDI</t>
        </is>
      </c>
      <c r="AY453" s="32" t="inlineStr">
        <is>
          <t>RS</t>
        </is>
      </c>
      <c r="AZ453" s="32" t="inlineStr">
        <is>
          <t>Fabricação de móveis com predominância de madeira</t>
        </is>
      </c>
      <c r="BA453" s="32" t="inlineStr">
        <is>
          <t>não ME/EPP</t>
        </is>
      </c>
      <c r="BB453" s="33" t="n">
        <v>60015000</v>
      </c>
      <c r="BC453" s="32" t="inlineStr">
        <is>
          <t>MID-MARKET</t>
        </is>
      </c>
      <c r="BD453" s="32" t="inlineStr">
        <is>
          <t>00912882</t>
        </is>
      </c>
      <c r="BE453" s="32" t="n">
        <v>1</v>
      </c>
      <c r="BF453" s="32" t="inlineStr"/>
    </row>
    <row r="454">
      <c r="A454" s="17" t="inlineStr">
        <is>
          <t>GBF NEGOCIOS IMOBILIARIOS LTDA</t>
        </is>
      </c>
      <c r="B454" s="18" t="n">
        <v>499600</v>
      </c>
      <c r="C454" s="19" t="inlineStr">
        <is>
          <t>GRUPO 3E</t>
        </is>
      </c>
      <c r="D454" s="20" t="inlineStr">
        <is>
          <t>NEW</t>
        </is>
      </c>
      <c r="E454" s="21" t="inlineStr"/>
      <c r="F454" s="20" t="inlineStr"/>
      <c r="G454" s="21" t="inlineStr"/>
      <c r="H454" s="20" t="inlineStr"/>
      <c r="I454" s="22" t="inlineStr">
        <is>
          <t>ANTONIO TRENTO KIHARA SCHEFFER</t>
        </is>
      </c>
      <c r="J454" s="23" t="inlineStr">
        <is>
          <t>Sócio-Administrador (RFB partner)</t>
        </is>
      </c>
      <c r="K454" s="22" t="inlineStr">
        <is>
          <t>(65) 3645-8000</t>
        </is>
      </c>
      <c r="L454" s="22" t="inlineStr">
        <is>
          <t>(65) 3645-8000</t>
        </is>
      </c>
      <c r="M454" s="22" t="inlineStr"/>
      <c r="N454" s="22" t="inlineStr"/>
      <c r="O454" s="22" t="inlineStr"/>
      <c r="P454" s="22" t="inlineStr">
        <is>
          <t>DONATO CECHINEL</t>
        </is>
      </c>
      <c r="Q454" s="22" t="inlineStr">
        <is>
          <t>Administrador (RFB partner)</t>
        </is>
      </c>
      <c r="R454" s="22" t="inlineStr"/>
      <c r="S454" s="22" t="inlineStr"/>
      <c r="T454" s="22" t="inlineStr">
        <is>
          <t>DM = registered partner (RFB QSA); no Apollo match</t>
        </is>
      </c>
      <c r="U454" s="24" t="n">
        <v>499600</v>
      </c>
      <c r="V454" s="25" t="inlineStr">
        <is>
          <t>B</t>
        </is>
      </c>
      <c r="W454" s="26" t="n">
        <v>0.12</v>
      </c>
      <c r="X454" s="27" t="n">
        <v>2</v>
      </c>
      <c r="Y454" s="27" t="n">
        <v>13</v>
      </c>
      <c r="Z454" s="26">
        <f>IF(W454&lt;&gt;"",W454,IFERROR(VLOOKUP(V454,Assumptions!$A$8:$F$12,2,FALSE),0))</f>
        <v/>
      </c>
      <c r="AA454" s="28">
        <f>IF(V454="A",MAX(1,IF(X454&lt;&gt;"",X454,IFERROR(VLOOKUP(V454,Assumptions!$A$8:$F$12,3,FALSE),3))+IF(Y454&lt;&gt;"",Y454,IFERROR(VLOOKUP(V454,Assumptions!$A$8:$F$12,4,FALSE),8))/2-MAX(0,IF(AS454="",0,YEAR(TODAY())-AS454)-IFERROR(VLOOKUP(V454,Assumptions!$A$8:$F$12,5,FALSE),1.5))),IFERROR(VLOOKUP(V454,Assumptions!$A$8:$F$12,5,FALSE),2.5)+IF(X454&lt;&gt;"",X454,IFERROR(VLOOKUP(V454,Assumptions!$A$8:$F$12,3,FALSE),3))+IF(Y454&lt;&gt;"",Y454,IFERROR(VLOOKUP(V454,Assumptions!$A$8:$F$12,4,FALSE),8))/2)</f>
        <v/>
      </c>
      <c r="AB454" s="24">
        <f>U454*Z454/(1+Assumptions!$B$3)^AA454</f>
        <v/>
      </c>
      <c r="AC454" s="27">
        <f>IF(U454=0,"",ROUND(AB454/U454*100,1))</f>
        <v/>
      </c>
      <c r="AD454" s="29">
        <f>AB454*Assumptions!$B$4</f>
        <v/>
      </c>
      <c r="AE454" s="27">
        <f>IF(U454=0,"",ROUND(AD454/U454*100,1))</f>
        <v/>
      </c>
      <c r="AF454" s="29">
        <f>AB454-AD454</f>
        <v/>
      </c>
      <c r="AG454" s="27">
        <f>IF(U454=0,"",ROUND((AB454-AD454)/U454*100,1))</f>
        <v/>
      </c>
      <c r="AH454" s="34" t="inlineStr">
        <is>
          <t>NO TOTALS — list prints none; check page</t>
        </is>
      </c>
      <c r="AI454" s="31" t="inlineStr">
        <is>
          <t>https://stenius.com.br/wp-content/uploads/2026/06/EDITAL-GRUPO-3E.pdf</t>
        </is>
      </c>
      <c r="AJ454" s="30" t="inlineStr">
        <is>
          <t>p14 r1</t>
        </is>
      </c>
      <c r="AK454" s="30" t="inlineStr">
        <is>
          <t>p14: R$ 499.600,00</t>
        </is>
      </c>
      <c r="AL454" s="30" t="inlineStr">
        <is>
          <t>Debtor list (art. 51)</t>
        </is>
      </c>
      <c r="AM454" s="30" t="inlineStr">
        <is>
          <t>2026-06-22</t>
        </is>
      </c>
      <c r="AN454" s="30" t="inlineStr">
        <is>
          <t>PLAN FILED (art. 53), not granted</t>
        </is>
      </c>
      <c r="AO454" s="32" t="inlineStr">
        <is>
          <t>5341375-33.2026.8.09.0049</t>
        </is>
      </c>
      <c r="AP454" s="32" t="inlineStr">
        <is>
          <t>TJGO</t>
        </is>
      </c>
      <c r="AQ454" s="32" t="inlineStr">
        <is>
          <t>Recuperação judicial</t>
        </is>
      </c>
      <c r="AR454" s="32" t="inlineStr">
        <is>
          <t>DataJud: no closure/falência movement</t>
        </is>
      </c>
      <c r="AS454" s="32" t="n">
        <v>2026</v>
      </c>
      <c r="AT454" s="32" t="inlineStr">
        <is>
          <t>plan filed (art. 53), not yet granted</t>
        </is>
      </c>
      <c r="AU454" s="32" t="inlineStr"/>
      <c r="AV454" s="32" t="inlineStr">
        <is>
          <t>printed on the list (read twice)</t>
        </is>
      </c>
      <c r="AW454" s="32" t="inlineStr">
        <is>
          <t>Plano de Recuperação Judicial Grupo 3E v2.0 (Métis), mov. 321, pp.24-25</t>
        </is>
      </c>
      <c r="AX454" s="32" t="inlineStr">
        <is>
          <t>CUIABA</t>
        </is>
      </c>
      <c r="AY454" s="32" t="inlineStr">
        <is>
          <t>MT</t>
        </is>
      </c>
      <c r="AZ454" s="32" t="inlineStr">
        <is>
          <t>Compra e venda de imóveis próprios</t>
        </is>
      </c>
      <c r="BA454" s="32" t="inlineStr">
        <is>
          <t>não ME/EPP</t>
        </is>
      </c>
      <c r="BB454" s="33" t="n">
        <v>91725096</v>
      </c>
      <c r="BC454" s="32" t="inlineStr">
        <is>
          <t>MID-MARKET</t>
        </is>
      </c>
      <c r="BD454" s="32" t="inlineStr">
        <is>
          <t>10431349</t>
        </is>
      </c>
      <c r="BE454" s="32" t="n">
        <v>1</v>
      </c>
      <c r="BF454" s="32" t="inlineStr">
        <is>
          <t>list prints no totals</t>
        </is>
      </c>
    </row>
    <row r="455">
      <c r="A455" s="17" t="inlineStr">
        <is>
          <t>SAO SALVADOR ALIMENTOS S/A</t>
        </is>
      </c>
      <c r="B455" s="18" t="n">
        <v>483031.1</v>
      </c>
      <c r="C455" s="19" t="inlineStr">
        <is>
          <t>GRUPO 3E</t>
        </is>
      </c>
      <c r="D455" s="20" t="inlineStr">
        <is>
          <t>NEW</t>
        </is>
      </c>
      <c r="E455" s="21" t="inlineStr"/>
      <c r="F455" s="20" t="inlineStr"/>
      <c r="G455" s="21" t="inlineStr"/>
      <c r="H455" s="20" t="inlineStr"/>
      <c r="I455" s="22" t="inlineStr">
        <is>
          <t>Leopoldo Saboya</t>
        </is>
      </c>
      <c r="J455" s="22" t="inlineStr">
        <is>
          <t>CFO / Iro</t>
        </is>
      </c>
      <c r="K455" s="22" t="inlineStr">
        <is>
          <t>(62) 3375-7000</t>
        </is>
      </c>
      <c r="L455" s="22" t="inlineStr"/>
      <c r="M455" s="22" t="inlineStr"/>
      <c r="N455" s="22" t="inlineStr">
        <is>
          <t>leopoldo.saboya@ssa-br.com</t>
        </is>
      </c>
      <c r="O455" s="22" t="inlineStr">
        <is>
          <t>verified</t>
        </is>
      </c>
      <c r="P455" s="22" t="inlineStr">
        <is>
          <t>Joao Paulo</t>
        </is>
      </c>
      <c r="Q455" s="22" t="inlineStr">
        <is>
          <t>Analista Financeiro - Contas a Receber - Sênior</t>
        </is>
      </c>
      <c r="R455" s="22" t="inlineStr"/>
      <c r="S455" s="22" t="inlineStr">
        <is>
          <t>jpaulo.castro@ssa-br.com</t>
        </is>
      </c>
      <c r="T455" s="22" t="inlineStr">
        <is>
          <t>DM: has_email, phone Yes; BACKUP: backup, has_email, phone Yes</t>
        </is>
      </c>
      <c r="U455" s="24" t="n">
        <v>483031.1</v>
      </c>
      <c r="V455" s="25" t="inlineStr">
        <is>
          <t>B</t>
        </is>
      </c>
      <c r="W455" s="26" t="n">
        <v>0.12</v>
      </c>
      <c r="X455" s="27" t="n">
        <v>2</v>
      </c>
      <c r="Y455" s="27" t="n">
        <v>13</v>
      </c>
      <c r="Z455" s="26">
        <f>IF(W455&lt;&gt;"",W455,IFERROR(VLOOKUP(V455,Assumptions!$A$8:$F$12,2,FALSE),0))</f>
        <v/>
      </c>
      <c r="AA455" s="28">
        <f>IF(V455="A",MAX(1,IF(X455&lt;&gt;"",X455,IFERROR(VLOOKUP(V455,Assumptions!$A$8:$F$12,3,FALSE),3))+IF(Y455&lt;&gt;"",Y455,IFERROR(VLOOKUP(V455,Assumptions!$A$8:$F$12,4,FALSE),8))/2-MAX(0,IF(AS455="",0,YEAR(TODAY())-AS455)-IFERROR(VLOOKUP(V455,Assumptions!$A$8:$F$12,5,FALSE),1.5))),IFERROR(VLOOKUP(V455,Assumptions!$A$8:$F$12,5,FALSE),2.5)+IF(X455&lt;&gt;"",X455,IFERROR(VLOOKUP(V455,Assumptions!$A$8:$F$12,3,FALSE),3))+IF(Y455&lt;&gt;"",Y455,IFERROR(VLOOKUP(V455,Assumptions!$A$8:$F$12,4,FALSE),8))/2)</f>
        <v/>
      </c>
      <c r="AB455" s="24">
        <f>U455*Z455/(1+Assumptions!$B$3)^AA455</f>
        <v/>
      </c>
      <c r="AC455" s="27">
        <f>IF(U455=0,"",ROUND(AB455/U455*100,1))</f>
        <v/>
      </c>
      <c r="AD455" s="29">
        <f>AB455*Assumptions!$B$4</f>
        <v/>
      </c>
      <c r="AE455" s="27">
        <f>IF(U455=0,"",ROUND(AD455/U455*100,1))</f>
        <v/>
      </c>
      <c r="AF455" s="29">
        <f>AB455-AD455</f>
        <v/>
      </c>
      <c r="AG455" s="27">
        <f>IF(U455=0,"",ROUND((AB455-AD455)/U455*100,1))</f>
        <v/>
      </c>
      <c r="AH455" s="34" t="inlineStr">
        <is>
          <t>NO TOTALS — list prints none; check page</t>
        </is>
      </c>
      <c r="AI455" s="31" t="inlineStr">
        <is>
          <t>https://stenius.com.br/wp-content/uploads/2026/06/EDITAL-GRUPO-3E.pdf</t>
        </is>
      </c>
      <c r="AJ455" s="30" t="inlineStr">
        <is>
          <t>p18 r14; p18 r15</t>
        </is>
      </c>
      <c r="AK455" s="30" t="inlineStr">
        <is>
          <t>p18: R$ 289.071,49; p18: R$ 193.959,61</t>
        </is>
      </c>
      <c r="AL455" s="30" t="inlineStr">
        <is>
          <t>Debtor list (art. 51)</t>
        </is>
      </c>
      <c r="AM455" s="30" t="inlineStr">
        <is>
          <t>2026-06-22</t>
        </is>
      </c>
      <c r="AN455" s="30" t="inlineStr">
        <is>
          <t>PLAN FILED (art. 53), not granted</t>
        </is>
      </c>
      <c r="AO455" s="32" t="inlineStr">
        <is>
          <t>5341375-33.2026.8.09.0049</t>
        </is>
      </c>
      <c r="AP455" s="32" t="inlineStr">
        <is>
          <t>TJGO</t>
        </is>
      </c>
      <c r="AQ455" s="32" t="inlineStr">
        <is>
          <t>Recuperação judicial</t>
        </is>
      </c>
      <c r="AR455" s="32" t="inlineStr">
        <is>
          <t>DataJud: no closure/falência movement</t>
        </is>
      </c>
      <c r="AS455" s="32" t="n">
        <v>2026</v>
      </c>
      <c r="AT455" s="32" t="inlineStr">
        <is>
          <t>plan filed (art. 53), not yet granted</t>
        </is>
      </c>
      <c r="AU455" s="32" t="inlineStr"/>
      <c r="AV455" s="32" t="inlineStr">
        <is>
          <t>printed on the list (read twice)</t>
        </is>
      </c>
      <c r="AW455" s="32" t="inlineStr">
        <is>
          <t>Plano de Recuperação Judicial Grupo 3E v2.0 (Métis), mov. 321, pp.24-25</t>
        </is>
      </c>
      <c r="AX455" s="32" t="inlineStr">
        <is>
          <t>ITABERAI</t>
        </is>
      </c>
      <c r="AY455" s="32" t="inlineStr">
        <is>
          <t>GO</t>
        </is>
      </c>
      <c r="AZ455" s="32" t="inlineStr">
        <is>
          <t>Abate de aves</t>
        </is>
      </c>
      <c r="BA455" s="32" t="inlineStr">
        <is>
          <t>não ME/EPP</t>
        </is>
      </c>
      <c r="BB455" s="33" t="n">
        <v>210000000</v>
      </c>
      <c r="BC455" s="32" t="inlineStr">
        <is>
          <t>MID-MARKET</t>
        </is>
      </c>
      <c r="BD455" s="32" t="inlineStr">
        <is>
          <t>03387396</t>
        </is>
      </c>
      <c r="BE455" s="32" t="n">
        <v>2</v>
      </c>
      <c r="BF455" s="32" t="inlineStr">
        <is>
          <t>list prints no totals</t>
        </is>
      </c>
    </row>
    <row r="456">
      <c r="A456" s="17" t="inlineStr">
        <is>
          <t>HUESKER LTDA</t>
        </is>
      </c>
      <c r="B456" s="18" t="n">
        <v>429201.75</v>
      </c>
      <c r="C456" s="19" t="inlineStr">
        <is>
          <t>CONSTRUTORA ANDRADE GUEDES LTDA</t>
        </is>
      </c>
      <c r="D456" s="20" t="inlineStr">
        <is>
          <t>NEW</t>
        </is>
      </c>
      <c r="E456" s="21" t="inlineStr"/>
      <c r="F456" s="20" t="inlineStr"/>
      <c r="G456" s="21" t="inlineStr"/>
      <c r="H456" s="20" t="inlineStr"/>
      <c r="I456" s="22" t="inlineStr">
        <is>
          <t>ANDRE ESTEVAO FERREIRA DA SILVA</t>
        </is>
      </c>
      <c r="J456" s="23" t="inlineStr">
        <is>
          <t>Administrador (RFB partner)</t>
        </is>
      </c>
      <c r="K456" s="22" t="inlineStr">
        <is>
          <t>(12) 3903-9300</t>
        </is>
      </c>
      <c r="L456" s="22" t="inlineStr">
        <is>
          <t>(12) 2138-8200</t>
        </is>
      </c>
      <c r="M456" s="22" t="inlineStr"/>
      <c r="N456" s="22" t="inlineStr"/>
      <c r="O456" s="22" t="inlineStr"/>
      <c r="P456" s="22" t="inlineStr">
        <is>
          <t>Fernando Wickert</t>
        </is>
      </c>
      <c r="Q456" s="22" t="inlineStr">
        <is>
          <t>Commercial Director</t>
        </is>
      </c>
      <c r="R456" s="22" t="inlineStr"/>
      <c r="S456" s="22" t="inlineStr">
        <is>
          <t>fernando.wickert@huesker.com.br</t>
        </is>
      </c>
      <c r="T456" s="22" t="inlineStr">
        <is>
          <t>DM = registered partner (RFB QSA); Apollo pick demoted to backup (non-finance role); BACKUP: has_email, phone Yes</t>
        </is>
      </c>
      <c r="U456" s="24" t="n">
        <v>429201.75</v>
      </c>
      <c r="V456" s="39" t="inlineStr">
        <is>
          <t>C</t>
        </is>
      </c>
      <c r="W456" s="26" t="inlineStr"/>
      <c r="X456" s="27" t="inlineStr"/>
      <c r="Y456" s="27" t="inlineStr"/>
      <c r="Z456" s="26">
        <f>IF(W456&lt;&gt;"",W456,IFERROR(VLOOKUP(V456,Assumptions!$A$8:$F$12,2,FALSE),0))</f>
        <v/>
      </c>
      <c r="AA456" s="28">
        <f>IF(V456="A",MAX(1,IF(X456&lt;&gt;"",X456,IFERROR(VLOOKUP(V456,Assumptions!$A$8:$F$12,3,FALSE),3))+IF(Y456&lt;&gt;"",Y456,IFERROR(VLOOKUP(V456,Assumptions!$A$8:$F$12,4,FALSE),8))/2-MAX(0,IF(AS456="",0,YEAR(TODAY())-AS456)-IFERROR(VLOOKUP(V456,Assumptions!$A$8:$F$12,5,FALSE),1.5))),IFERROR(VLOOKUP(V456,Assumptions!$A$8:$F$12,5,FALSE),2.5)+IF(X456&lt;&gt;"",X456,IFERROR(VLOOKUP(V456,Assumptions!$A$8:$F$12,3,FALSE),3))+IF(Y456&lt;&gt;"",Y456,IFERROR(VLOOKUP(V456,Assumptions!$A$8:$F$12,4,FALSE),8))/2)</f>
        <v/>
      </c>
      <c r="AB456" s="24">
        <f>U456*Z456/(1+Assumptions!$B$3)^AA456</f>
        <v/>
      </c>
      <c r="AC456" s="27">
        <f>IF(U456=0,"",ROUND(AB456/U456*100,1))</f>
        <v/>
      </c>
      <c r="AD456" s="29">
        <f>AB456*Assumptions!$B$4</f>
        <v/>
      </c>
      <c r="AE456" s="27">
        <f>IF(U456=0,"",ROUND(AD456/U456*100,1))</f>
        <v/>
      </c>
      <c r="AF456" s="29">
        <f>AB456-AD456</f>
        <v/>
      </c>
      <c r="AG456" s="27">
        <f>IF(U456=0,"",ROUND((AB456-AD456)/U456*100,1))</f>
        <v/>
      </c>
      <c r="AH456" s="34" t="inlineStr">
        <is>
          <t>NO TOTALS — list prints none; check page</t>
        </is>
      </c>
      <c r="AI456" s="31" t="inlineStr">
        <is>
          <t>https://diligence.adm.br/wp-content/plugins/download-attachments/includes/download.php?id=4599</t>
        </is>
      </c>
      <c r="AJ456" s="30" t="inlineStr">
        <is>
          <t>p10 r38</t>
        </is>
      </c>
      <c r="AK456" s="30" t="inlineStr">
        <is>
          <t>p10: R$ 429.201,75</t>
        </is>
      </c>
      <c r="AL456" s="30" t="inlineStr">
        <is>
          <t>AJ list (art. 7 §2)</t>
        </is>
      </c>
      <c r="AM456" s="30" t="inlineStr">
        <is>
          <t>2024-06-25</t>
        </is>
      </c>
      <c r="AN456" s="30" t="inlineStr">
        <is>
          <t>NONE FOUND</t>
        </is>
      </c>
      <c r="AO456" s="32" t="inlineStr">
        <is>
          <t>0000880-57.2020.8.17.2001</t>
        </is>
      </c>
      <c r="AP456" s="32" t="inlineStr">
        <is>
          <t>TJPE</t>
        </is>
      </c>
      <c r="AQ456" s="32" t="inlineStr">
        <is>
          <t>Recuperação judicial</t>
        </is>
      </c>
      <c r="AR456" s="32" t="inlineStr">
        <is>
          <t>DataJud: no closure/falência movement</t>
        </is>
      </c>
      <c r="AS456" s="32" t="n">
        <v>2020</v>
      </c>
      <c r="AT456" s="32" t="inlineStr">
        <is>
          <t>6y since filing; plan not in our documents</t>
        </is>
      </c>
      <c r="AU456" s="32" t="inlineStr">
        <is>
          <t>08.073.264/0001-87</t>
        </is>
      </c>
      <c r="AV456" s="32" t="inlineStr">
        <is>
          <t>printed on the list (read twice)</t>
        </is>
      </c>
      <c r="AW456" s="32" t="inlineStr"/>
      <c r="AX456" s="32" t="inlineStr">
        <is>
          <t>SAO JOSE DOS CAMPOS</t>
        </is>
      </c>
      <c r="AY456" s="32" t="inlineStr">
        <is>
          <t>SP</t>
        </is>
      </c>
      <c r="AZ456" s="32" t="inlineStr">
        <is>
          <t>Comércio atacadista especializado de materiais de construção não especificados anteriormente</t>
        </is>
      </c>
      <c r="BA456" s="32" t="inlineStr">
        <is>
          <t>não ME/EPP</t>
        </is>
      </c>
      <c r="BB456" s="33" t="n">
        <v>158000</v>
      </c>
      <c r="BC456" s="32" t="inlineStr">
        <is>
          <t>MID-MARKET</t>
        </is>
      </c>
      <c r="BD456" s="32" t="inlineStr">
        <is>
          <t>02565876</t>
        </is>
      </c>
      <c r="BE456" s="32" t="n">
        <v>1</v>
      </c>
      <c r="BF456" s="32" t="inlineStr">
        <is>
          <t>ALT_VALUE:R$429.201,75 list prints no totals</t>
        </is>
      </c>
    </row>
    <row r="457">
      <c r="A457" s="17" t="inlineStr">
        <is>
          <t>POLIMIX CONCRETO LTDA</t>
        </is>
      </c>
      <c r="B457" s="18" t="n">
        <v>425000</v>
      </c>
      <c r="C457" s="19" t="inlineStr">
        <is>
          <t>CONSTRUTORA ANDRADE GUEDES LTDA</t>
        </is>
      </c>
      <c r="D457" s="20" t="inlineStr">
        <is>
          <t>NEW</t>
        </is>
      </c>
      <c r="E457" s="21" t="inlineStr"/>
      <c r="F457" s="20" t="inlineStr"/>
      <c r="G457" s="21" t="inlineStr"/>
      <c r="H457" s="20" t="inlineStr"/>
      <c r="I457" s="22" t="inlineStr">
        <is>
          <t>ALCINDO ANTONIO CHRUSCIELSKI</t>
        </is>
      </c>
      <c r="J457" s="23" t="inlineStr">
        <is>
          <t>Administrador (RFB partner)</t>
        </is>
      </c>
      <c r="K457" s="22" t="inlineStr">
        <is>
          <t>(11) 4168-0300</t>
        </is>
      </c>
      <c r="L457" s="22" t="inlineStr"/>
      <c r="M457" s="22" t="inlineStr"/>
      <c r="N457" s="22" t="inlineStr"/>
      <c r="O457" s="22" t="inlineStr"/>
      <c r="P457" s="22" t="inlineStr">
        <is>
          <t>ANDERSON JOSE MESSIAS</t>
        </is>
      </c>
      <c r="Q457" s="22" t="inlineStr">
        <is>
          <t>Administrador (RFB partner)</t>
        </is>
      </c>
      <c r="R457" s="22" t="inlineStr"/>
      <c r="S457" s="22" t="inlineStr"/>
      <c r="T457" s="22" t="inlineStr">
        <is>
          <t>DM = registered partner (RFB QSA); no Apollo match</t>
        </is>
      </c>
      <c r="U457" s="24" t="n">
        <v>425000</v>
      </c>
      <c r="V457" s="39" t="inlineStr">
        <is>
          <t>C</t>
        </is>
      </c>
      <c r="W457" s="26" t="inlineStr"/>
      <c r="X457" s="27" t="inlineStr"/>
      <c r="Y457" s="27" t="inlineStr"/>
      <c r="Z457" s="26">
        <f>IF(W457&lt;&gt;"",W457,IFERROR(VLOOKUP(V457,Assumptions!$A$8:$F$12,2,FALSE),0))</f>
        <v/>
      </c>
      <c r="AA457" s="28">
        <f>IF(V457="A",MAX(1,IF(X457&lt;&gt;"",X457,IFERROR(VLOOKUP(V457,Assumptions!$A$8:$F$12,3,FALSE),3))+IF(Y457&lt;&gt;"",Y457,IFERROR(VLOOKUP(V457,Assumptions!$A$8:$F$12,4,FALSE),8))/2-MAX(0,IF(AS457="",0,YEAR(TODAY())-AS457)-IFERROR(VLOOKUP(V457,Assumptions!$A$8:$F$12,5,FALSE),1.5))),IFERROR(VLOOKUP(V457,Assumptions!$A$8:$F$12,5,FALSE),2.5)+IF(X457&lt;&gt;"",X457,IFERROR(VLOOKUP(V457,Assumptions!$A$8:$F$12,3,FALSE),3))+IF(Y457&lt;&gt;"",Y457,IFERROR(VLOOKUP(V457,Assumptions!$A$8:$F$12,4,FALSE),8))/2)</f>
        <v/>
      </c>
      <c r="AB457" s="24">
        <f>U457*Z457/(1+Assumptions!$B$3)^AA457</f>
        <v/>
      </c>
      <c r="AC457" s="27">
        <f>IF(U457=0,"",ROUND(AB457/U457*100,1))</f>
        <v/>
      </c>
      <c r="AD457" s="29">
        <f>AB457*Assumptions!$B$4</f>
        <v/>
      </c>
      <c r="AE457" s="27">
        <f>IF(U457=0,"",ROUND(AD457/U457*100,1))</f>
        <v/>
      </c>
      <c r="AF457" s="29">
        <f>AB457-AD457</f>
        <v/>
      </c>
      <c r="AG457" s="27">
        <f>IF(U457=0,"",ROUND((AB457-AD457)/U457*100,1))</f>
        <v/>
      </c>
      <c r="AH457" s="34" t="inlineStr">
        <is>
          <t>NO TOTALS — list prints none; check page</t>
        </is>
      </c>
      <c r="AI457" s="31" t="inlineStr">
        <is>
          <t>https://diligence.adm.br/wp-content/plugins/download-attachments/includes/download.php?id=4599</t>
        </is>
      </c>
      <c r="AJ457" s="30" t="inlineStr">
        <is>
          <t>p10 r65</t>
        </is>
      </c>
      <c r="AK457" s="30" t="inlineStr">
        <is>
          <t>p10: R$ 425.000,00</t>
        </is>
      </c>
      <c r="AL457" s="30" t="inlineStr">
        <is>
          <t>AJ list (art. 7 §2)</t>
        </is>
      </c>
      <c r="AM457" s="30" t="inlineStr">
        <is>
          <t>2024-06-25</t>
        </is>
      </c>
      <c r="AN457" s="30" t="inlineStr">
        <is>
          <t>NONE FOUND</t>
        </is>
      </c>
      <c r="AO457" s="32" t="inlineStr">
        <is>
          <t>0000880-57.2020.8.17.2001</t>
        </is>
      </c>
      <c r="AP457" s="32" t="inlineStr">
        <is>
          <t>TJPE</t>
        </is>
      </c>
      <c r="AQ457" s="32" t="inlineStr">
        <is>
          <t>Recuperação judicial</t>
        </is>
      </c>
      <c r="AR457" s="32" t="inlineStr">
        <is>
          <t>DataJud: no closure/falência movement</t>
        </is>
      </c>
      <c r="AS457" s="32" t="n">
        <v>2020</v>
      </c>
      <c r="AT457" s="32" t="inlineStr">
        <is>
          <t>6y since filing; plan not in our documents</t>
        </is>
      </c>
      <c r="AU457" s="32" t="inlineStr">
        <is>
          <t>08.073.264/0001-87</t>
        </is>
      </c>
      <c r="AV457" s="32" t="inlineStr">
        <is>
          <t>printed on the list (read twice)</t>
        </is>
      </c>
      <c r="AW457" s="32" t="inlineStr"/>
      <c r="AX457" s="32" t="inlineStr">
        <is>
          <t>SANTANA DE PARNAIBA</t>
        </is>
      </c>
      <c r="AY457" s="32" t="inlineStr">
        <is>
          <t>SP</t>
        </is>
      </c>
      <c r="AZ457" s="32" t="inlineStr">
        <is>
          <t>Serviços combinados de escritório e apoio administrativo</t>
        </is>
      </c>
      <c r="BA457" s="32" t="inlineStr">
        <is>
          <t>não ME/EPP</t>
        </is>
      </c>
      <c r="BB457" s="33" t="n">
        <v>1135600000</v>
      </c>
      <c r="BC457" s="32" t="inlineStr">
        <is>
          <t>LARGE CORP</t>
        </is>
      </c>
      <c r="BD457" s="32" t="inlineStr">
        <is>
          <t>29067113</t>
        </is>
      </c>
      <c r="BE457" s="32" t="n">
        <v>1</v>
      </c>
      <c r="BF457" s="32" t="inlineStr">
        <is>
          <t>ALT_VALUE:-R$25.000,00 ALT_VALUE:R$450.000,00 list prints no totals</t>
        </is>
      </c>
    </row>
    <row r="458">
      <c r="A458" s="17" t="inlineStr">
        <is>
          <t>VIBRA ENERGIA S.A</t>
        </is>
      </c>
      <c r="B458" s="18" t="n">
        <v>422999.28</v>
      </c>
      <c r="C458" s="19" t="inlineStr">
        <is>
          <t>AUTO POSTO FREITAS &amp; MAIA LTDA</t>
        </is>
      </c>
      <c r="D458" s="20" t="inlineStr">
        <is>
          <t>NEW</t>
        </is>
      </c>
      <c r="E458" s="21" t="inlineStr"/>
      <c r="F458" s="20" t="inlineStr"/>
      <c r="G458" s="21" t="inlineStr"/>
      <c r="H458" s="20" t="inlineStr"/>
      <c r="I458" s="22" t="inlineStr">
        <is>
          <t>ERNESTO PERES POUSADA JUNIOR</t>
        </is>
      </c>
      <c r="J458" s="23" t="inlineStr">
        <is>
          <t>Presidente (RFB partner)</t>
        </is>
      </c>
      <c r="K458" s="22" t="inlineStr">
        <is>
          <t>(21) 2354-3151</t>
        </is>
      </c>
      <c r="L458" s="22" t="inlineStr">
        <is>
          <t>(21) 2354-3146</t>
        </is>
      </c>
      <c r="M458" s="22" t="inlineStr"/>
      <c r="N458" s="22" t="inlineStr"/>
      <c r="O458" s="22" t="inlineStr"/>
      <c r="P458" s="22" t="inlineStr">
        <is>
          <t>DANIEL DRUMOND CAMPOS E SILVA</t>
        </is>
      </c>
      <c r="Q458" s="22" t="inlineStr">
        <is>
          <t>Diretor (RFB partner)</t>
        </is>
      </c>
      <c r="R458" s="22" t="inlineStr"/>
      <c r="S458" s="22" t="inlineStr"/>
      <c r="T458" s="22" t="inlineStr">
        <is>
          <t>DM = registered partner (RFB QSA); no Apollo match</t>
        </is>
      </c>
      <c r="U458" s="24" t="n">
        <v>422999.28</v>
      </c>
      <c r="V458" s="39" t="inlineStr">
        <is>
          <t>C</t>
        </is>
      </c>
      <c r="W458" s="26" t="inlineStr"/>
      <c r="X458" s="27" t="inlineStr"/>
      <c r="Y458" s="27" t="inlineStr"/>
      <c r="Z458" s="26">
        <f>IF(W458&lt;&gt;"",W458,IFERROR(VLOOKUP(V458,Assumptions!$A$8:$F$12,2,FALSE),0))</f>
        <v/>
      </c>
      <c r="AA458" s="28">
        <f>IF(V458="A",MAX(1,IF(X458&lt;&gt;"",X458,IFERROR(VLOOKUP(V458,Assumptions!$A$8:$F$12,3,FALSE),3))+IF(Y458&lt;&gt;"",Y458,IFERROR(VLOOKUP(V458,Assumptions!$A$8:$F$12,4,FALSE),8))/2-MAX(0,IF(AS458="",0,YEAR(TODAY())-AS458)-IFERROR(VLOOKUP(V458,Assumptions!$A$8:$F$12,5,FALSE),1.5))),IFERROR(VLOOKUP(V458,Assumptions!$A$8:$F$12,5,FALSE),2.5)+IF(X458&lt;&gt;"",X458,IFERROR(VLOOKUP(V458,Assumptions!$A$8:$F$12,3,FALSE),3))+IF(Y458&lt;&gt;"",Y458,IFERROR(VLOOKUP(V458,Assumptions!$A$8:$F$12,4,FALSE),8))/2)</f>
        <v/>
      </c>
      <c r="AB458" s="24">
        <f>U458*Z458/(1+Assumptions!$B$3)^AA458</f>
        <v/>
      </c>
      <c r="AC458" s="27">
        <f>IF(U458=0,"",ROUND(AB458/U458*100,1))</f>
        <v/>
      </c>
      <c r="AD458" s="29">
        <f>AB458*Assumptions!$B$4</f>
        <v/>
      </c>
      <c r="AE458" s="27">
        <f>IF(U458=0,"",ROUND(AD458/U458*100,1))</f>
        <v/>
      </c>
      <c r="AF458" s="29">
        <f>AB458-AD458</f>
        <v/>
      </c>
      <c r="AG458" s="27">
        <f>IF(U458=0,"",ROUND((AB458-AD458)/U458*100,1))</f>
        <v/>
      </c>
      <c r="AH458" s="30" t="inlineStr">
        <is>
          <t>OK — totals reconciled</t>
        </is>
      </c>
      <c r="AI458" s="31" t="inlineStr">
        <is>
          <t>https://recuperacaojudicial.squarespace.com/s/LISTA-DE-CREDORES-CONSOLIDADA-EM-11072025_6419.pdf</t>
        </is>
      </c>
      <c r="AJ458" s="30" t="inlineStr">
        <is>
          <t>p4 r7</t>
        </is>
      </c>
      <c r="AK458" s="30" t="inlineStr">
        <is>
          <t>p4: R$ 422.999,28</t>
        </is>
      </c>
      <c r="AL458" s="30" t="inlineStr">
        <is>
          <t>AJ list (art. 7 §2)</t>
        </is>
      </c>
      <c r="AM458" s="30" t="inlineStr">
        <is>
          <t>2025-07-15</t>
        </is>
      </c>
      <c r="AN458" s="30" t="inlineStr">
        <is>
          <t>NONE FOUND</t>
        </is>
      </c>
      <c r="AO458" s="32" t="inlineStr">
        <is>
          <t>0700087-51.2020.8.02.0043</t>
        </is>
      </c>
      <c r="AP458" s="32" t="inlineStr">
        <is>
          <t>TJAL</t>
        </is>
      </c>
      <c r="AQ458" s="32" t="inlineStr">
        <is>
          <t>Recuperação judicial</t>
        </is>
      </c>
      <c r="AR458" s="32" t="inlineStr">
        <is>
          <t>DataJud: no closure/falência movement</t>
        </is>
      </c>
      <c r="AS458" s="32" t="n">
        <v>2020</v>
      </c>
      <c r="AT458" s="32" t="inlineStr">
        <is>
          <t>6y since filing; plan not in our documents</t>
        </is>
      </c>
      <c r="AU458" s="32" t="inlineStr">
        <is>
          <t>12.436.978/0001-80</t>
        </is>
      </c>
      <c r="AV458" s="32" t="inlineStr">
        <is>
          <t>printed on the list (read twice)</t>
        </is>
      </c>
      <c r="AW458" s="32" t="inlineStr"/>
      <c r="AX458" s="32" t="inlineStr">
        <is>
          <t>RIO DE JANEIRO</t>
        </is>
      </c>
      <c r="AY458" s="32" t="inlineStr">
        <is>
          <t>RJ</t>
        </is>
      </c>
      <c r="AZ458" s="32" t="inlineStr">
        <is>
          <t>Comércio atacadista de álcool carburante, biodiesel, gasolina e demais derivados de petróleo, exceto lubrificantes, não realizado por transportador re</t>
        </is>
      </c>
      <c r="BA458" s="32" t="inlineStr">
        <is>
          <t>não ME/EPP</t>
        </is>
      </c>
      <c r="BB458" s="33" t="n">
        <v>12051386000</v>
      </c>
      <c r="BC458" s="32" t="inlineStr">
        <is>
          <t>LARGE CORP</t>
        </is>
      </c>
      <c r="BD458" s="32" t="inlineStr">
        <is>
          <t>34274233</t>
        </is>
      </c>
      <c r="BE458" s="32" t="n">
        <v>1</v>
      </c>
      <c r="BF458" s="32" t="inlineStr"/>
    </row>
    <row r="459">
      <c r="A459" s="17" t="inlineStr">
        <is>
          <t>TCL SEMP INDUSTRIA E COMERCIO DE ELETROELETRONICOS S.A</t>
        </is>
      </c>
      <c r="B459" s="18" t="n">
        <v>412477.83</v>
      </c>
      <c r="C459" s="19" t="inlineStr">
        <is>
          <t>CREDIMÓVEIS NOVOLAR LTDA.</t>
        </is>
      </c>
      <c r="D459" s="20" t="inlineStr">
        <is>
          <t>NEW</t>
        </is>
      </c>
      <c r="E459" s="21" t="inlineStr"/>
      <c r="F459" s="20" t="inlineStr"/>
      <c r="G459" s="21" t="inlineStr"/>
      <c r="H459" s="20" t="inlineStr"/>
      <c r="I459" s="22" t="inlineStr">
        <is>
          <t>Pedro Carvalho</t>
        </is>
      </c>
      <c r="J459" s="22" t="inlineStr">
        <is>
          <t>Chief Financial Officer</t>
        </is>
      </c>
      <c r="K459" s="22" t="inlineStr">
        <is>
          <t>(92) 2127-6333</t>
        </is>
      </c>
      <c r="L459" s="22" t="inlineStr"/>
      <c r="M459" s="22" t="inlineStr"/>
      <c r="N459" s="22" t="inlineStr">
        <is>
          <t>pedro.carvalho@tclsemp.com.br</t>
        </is>
      </c>
      <c r="O459" s="22" t="inlineStr">
        <is>
          <t>verified</t>
        </is>
      </c>
      <c r="P459" s="22" t="inlineStr">
        <is>
          <t>Claudinei Batista</t>
        </is>
      </c>
      <c r="Q459" s="22" t="inlineStr">
        <is>
          <t>Analista de Crédito e Cobrança Sênior</t>
        </is>
      </c>
      <c r="R459" s="22" t="inlineStr"/>
      <c r="S459" s="22" t="inlineStr">
        <is>
          <t>claudinei.batista@tclsemp.com.br</t>
        </is>
      </c>
      <c r="T459" s="22" t="inlineStr">
        <is>
          <t>DM: has_email, phone Yes; BACKUP: backup, has_email, phone Yes</t>
        </is>
      </c>
      <c r="U459" s="24" t="n">
        <v>412477.83</v>
      </c>
      <c r="V459" s="39" t="inlineStr">
        <is>
          <t>C</t>
        </is>
      </c>
      <c r="W459" s="26" t="inlineStr"/>
      <c r="X459" s="27" t="inlineStr"/>
      <c r="Y459" s="27" t="inlineStr"/>
      <c r="Z459" s="26">
        <f>IF(W459&lt;&gt;"",W459,IFERROR(VLOOKUP(V459,Assumptions!$A$8:$F$12,2,FALSE),0))</f>
        <v/>
      </c>
      <c r="AA459" s="28">
        <f>IF(V459="A",MAX(1,IF(X459&lt;&gt;"",X459,IFERROR(VLOOKUP(V459,Assumptions!$A$8:$F$12,3,FALSE),3))+IF(Y459&lt;&gt;"",Y459,IFERROR(VLOOKUP(V459,Assumptions!$A$8:$F$12,4,FALSE),8))/2-MAX(0,IF(AS459="",0,YEAR(TODAY())-AS459)-IFERROR(VLOOKUP(V459,Assumptions!$A$8:$F$12,5,FALSE),1.5))),IFERROR(VLOOKUP(V459,Assumptions!$A$8:$F$12,5,FALSE),2.5)+IF(X459&lt;&gt;"",X459,IFERROR(VLOOKUP(V459,Assumptions!$A$8:$F$12,3,FALSE),3))+IF(Y459&lt;&gt;"",Y459,IFERROR(VLOOKUP(V459,Assumptions!$A$8:$F$12,4,FALSE),8))/2)</f>
        <v/>
      </c>
      <c r="AB459" s="24">
        <f>U459*Z459/(1+Assumptions!$B$3)^AA459</f>
        <v/>
      </c>
      <c r="AC459" s="27">
        <f>IF(U459=0,"",ROUND(AB459/U459*100,1))</f>
        <v/>
      </c>
      <c r="AD459" s="29">
        <f>AB459*Assumptions!$B$4</f>
        <v/>
      </c>
      <c r="AE459" s="27">
        <f>IF(U459=0,"",ROUND(AD459/U459*100,1))</f>
        <v/>
      </c>
      <c r="AF459" s="29">
        <f>AB459-AD459</f>
        <v/>
      </c>
      <c r="AG459" s="27">
        <f>IF(U459=0,"",ROUND((AB459-AD459)/U459*100,1))</f>
        <v/>
      </c>
      <c r="AH459" s="30" t="inlineStr">
        <is>
          <t>OK — totals reconciled</t>
        </is>
      </c>
      <c r="AI459" s="31" t="inlineStr">
        <is>
          <t>https://recuperacaojudicial.squarespace.com/s/RJ-Credimoveis-QGC-01082025.pdf</t>
        </is>
      </c>
      <c r="AJ459" s="30" t="inlineStr">
        <is>
          <t>p16 r58</t>
        </is>
      </c>
      <c r="AK459" s="30" t="inlineStr">
        <is>
          <t>p16: R$ 412.477,83</t>
        </is>
      </c>
      <c r="AL459" s="30" t="inlineStr">
        <is>
          <t>QGC (art. 18)</t>
        </is>
      </c>
      <c r="AM459" s="30" t="inlineStr">
        <is>
          <t>2026-01-28</t>
        </is>
      </c>
      <c r="AN459" s="30" t="inlineStr">
        <is>
          <t>NONE FOUND</t>
        </is>
      </c>
      <c r="AO459" s="32" t="inlineStr">
        <is>
          <t>0007565-40.2020.8.17.2370</t>
        </is>
      </c>
      <c r="AP459" s="32" t="inlineStr">
        <is>
          <t>TJPE</t>
        </is>
      </c>
      <c r="AQ459" s="32" t="inlineStr">
        <is>
          <t>Recuperação judicial</t>
        </is>
      </c>
      <c r="AR459" s="32" t="inlineStr">
        <is>
          <t>DataJud: no closure/falência movement</t>
        </is>
      </c>
      <c r="AS459" s="32" t="n">
        <v>2020</v>
      </c>
      <c r="AT459" s="32" t="inlineStr">
        <is>
          <t>6y since filing; plan not in our documents</t>
        </is>
      </c>
      <c r="AU459" s="32" t="inlineStr">
        <is>
          <t>09.930.165/0001-37</t>
        </is>
      </c>
      <c r="AV459" s="32" t="inlineStr">
        <is>
          <t>printed on the list (read twice)</t>
        </is>
      </c>
      <c r="AW459" s="32" t="inlineStr"/>
      <c r="AX459" s="32" t="inlineStr">
        <is>
          <t>MANAUS</t>
        </is>
      </c>
      <c r="AY459" s="32" t="inlineStr">
        <is>
          <t>AM</t>
        </is>
      </c>
      <c r="AZ459" s="32" t="inlineStr">
        <is>
          <t>Fabricação de aparelhos de recepção, reprodução, gravação e amplificação de áudio e vídeo</t>
        </is>
      </c>
      <c r="BA459" s="32" t="inlineStr">
        <is>
          <t>não ME/EPP</t>
        </is>
      </c>
      <c r="BB459" s="33" t="n">
        <v>600949440</v>
      </c>
      <c r="BC459" s="32" t="inlineStr">
        <is>
          <t>LARGE CORP</t>
        </is>
      </c>
      <c r="BD459" s="32" t="inlineStr">
        <is>
          <t>24227491</t>
        </is>
      </c>
      <c r="BE459" s="32" t="n">
        <v>1</v>
      </c>
      <c r="BF459" s="32" t="inlineStr"/>
    </row>
    <row r="460">
      <c r="A460" s="17" t="inlineStr">
        <is>
          <t>DOCELAR MOVEIS LTDA</t>
        </is>
      </c>
      <c r="B460" s="18" t="n">
        <v>406451</v>
      </c>
      <c r="C460" s="19" t="inlineStr">
        <is>
          <t>CREDIMÓVEIS NOVOLAR LTDA.</t>
        </is>
      </c>
      <c r="D460" s="20" t="inlineStr">
        <is>
          <t>NEW</t>
        </is>
      </c>
      <c r="E460" s="21" t="inlineStr"/>
      <c r="F460" s="20" t="inlineStr"/>
      <c r="G460" s="21" t="inlineStr"/>
      <c r="H460" s="20" t="inlineStr"/>
      <c r="I460" s="22" t="inlineStr">
        <is>
          <t>Ana Flavia</t>
        </is>
      </c>
      <c r="J460" s="22" t="inlineStr">
        <is>
          <t>Gestor Administrativo Financeiro</t>
        </is>
      </c>
      <c r="K460" s="22" t="inlineStr">
        <is>
          <t>(27) 3372-6868</t>
        </is>
      </c>
      <c r="L460" s="22" t="inlineStr"/>
      <c r="M460" s="22" t="inlineStr"/>
      <c r="N460" s="22" t="inlineStr"/>
      <c r="O460" s="22" t="inlineStr"/>
      <c r="P460" s="22" t="inlineStr">
        <is>
          <t>Marcia Matoso</t>
        </is>
      </c>
      <c r="Q460" s="22" t="inlineStr">
        <is>
          <t>Financial Analyst</t>
        </is>
      </c>
      <c r="R460" s="22" t="inlineStr"/>
      <c r="S460" s="22" t="inlineStr">
        <is>
          <t>marcia@docelarmoveis.com.br</t>
        </is>
      </c>
      <c r="T460" s="22" t="inlineStr">
        <is>
          <t>no work email in Apollo for DM; BACKUP: backup; backup email is pattern-guessed</t>
        </is>
      </c>
      <c r="U460" s="24" t="n">
        <v>406451</v>
      </c>
      <c r="V460" s="39" t="inlineStr">
        <is>
          <t>C</t>
        </is>
      </c>
      <c r="W460" s="26" t="inlineStr"/>
      <c r="X460" s="27" t="inlineStr"/>
      <c r="Y460" s="27" t="inlineStr"/>
      <c r="Z460" s="26">
        <f>IF(W460&lt;&gt;"",W460,IFERROR(VLOOKUP(V460,Assumptions!$A$8:$F$12,2,FALSE),0))</f>
        <v/>
      </c>
      <c r="AA460" s="28">
        <f>IF(V460="A",MAX(1,IF(X460&lt;&gt;"",X460,IFERROR(VLOOKUP(V460,Assumptions!$A$8:$F$12,3,FALSE),3))+IF(Y460&lt;&gt;"",Y460,IFERROR(VLOOKUP(V460,Assumptions!$A$8:$F$12,4,FALSE),8))/2-MAX(0,IF(AS460="",0,YEAR(TODAY())-AS460)-IFERROR(VLOOKUP(V460,Assumptions!$A$8:$F$12,5,FALSE),1.5))),IFERROR(VLOOKUP(V460,Assumptions!$A$8:$F$12,5,FALSE),2.5)+IF(X460&lt;&gt;"",X460,IFERROR(VLOOKUP(V460,Assumptions!$A$8:$F$12,3,FALSE),3))+IF(Y460&lt;&gt;"",Y460,IFERROR(VLOOKUP(V460,Assumptions!$A$8:$F$12,4,FALSE),8))/2)</f>
        <v/>
      </c>
      <c r="AB460" s="24">
        <f>U460*Z460/(1+Assumptions!$B$3)^AA460</f>
        <v/>
      </c>
      <c r="AC460" s="27">
        <f>IF(U460=0,"",ROUND(AB460/U460*100,1))</f>
        <v/>
      </c>
      <c r="AD460" s="29">
        <f>AB460*Assumptions!$B$4</f>
        <v/>
      </c>
      <c r="AE460" s="27">
        <f>IF(U460=0,"",ROUND(AD460/U460*100,1))</f>
        <v/>
      </c>
      <c r="AF460" s="29">
        <f>AB460-AD460</f>
        <v/>
      </c>
      <c r="AG460" s="27">
        <f>IF(U460=0,"",ROUND((AB460-AD460)/U460*100,1))</f>
        <v/>
      </c>
      <c r="AH460" s="30" t="inlineStr">
        <is>
          <t>OK — totals reconciled</t>
        </is>
      </c>
      <c r="AI460" s="31" t="inlineStr">
        <is>
          <t>https://recuperacaojudicial.squarespace.com/s/RJ-Credimoveis-QGC-01082025.pdf</t>
        </is>
      </c>
      <c r="AJ460" s="30" t="inlineStr">
        <is>
          <t>p15 r39</t>
        </is>
      </c>
      <c r="AK460" s="30" t="inlineStr">
        <is>
          <t>p15: R$ 406.451,00</t>
        </is>
      </c>
      <c r="AL460" s="30" t="inlineStr">
        <is>
          <t>QGC (art. 18)</t>
        </is>
      </c>
      <c r="AM460" s="30" t="inlineStr">
        <is>
          <t>2026-01-28</t>
        </is>
      </c>
      <c r="AN460" s="30" t="inlineStr">
        <is>
          <t>NONE FOUND</t>
        </is>
      </c>
      <c r="AO460" s="32" t="inlineStr">
        <is>
          <t>0007565-40.2020.8.17.2370</t>
        </is>
      </c>
      <c r="AP460" s="32" t="inlineStr">
        <is>
          <t>TJPE</t>
        </is>
      </c>
      <c r="AQ460" s="32" t="inlineStr">
        <is>
          <t>Recuperação judicial</t>
        </is>
      </c>
      <c r="AR460" s="32" t="inlineStr">
        <is>
          <t>DataJud: no closure/falência movement</t>
        </is>
      </c>
      <c r="AS460" s="32" t="n">
        <v>2020</v>
      </c>
      <c r="AT460" s="32" t="inlineStr">
        <is>
          <t>6y since filing; plan not in our documents</t>
        </is>
      </c>
      <c r="AU460" s="32" t="inlineStr">
        <is>
          <t>09.930.165/0001-37</t>
        </is>
      </c>
      <c r="AV460" s="32" t="inlineStr">
        <is>
          <t>printed on the list (read twice)</t>
        </is>
      </c>
      <c r="AW460" s="32" t="inlineStr"/>
      <c r="AX460" s="32" t="inlineStr">
        <is>
          <t>LINHARES</t>
        </is>
      </c>
      <c r="AY460" s="32" t="inlineStr">
        <is>
          <t>ES</t>
        </is>
      </c>
      <c r="AZ460" s="32" t="inlineStr">
        <is>
          <t>Fabricação de móveis com predominância de madeira</t>
        </is>
      </c>
      <c r="BA460" s="32" t="inlineStr">
        <is>
          <t>não ME/EPP</t>
        </is>
      </c>
      <c r="BB460" s="33" t="n">
        <v>3357900</v>
      </c>
      <c r="BC460" s="32" t="inlineStr">
        <is>
          <t>MID-MARKET</t>
        </is>
      </c>
      <c r="BD460" s="32" t="inlineStr">
        <is>
          <t>28485746</t>
        </is>
      </c>
      <c r="BE460" s="32" t="n">
        <v>1</v>
      </c>
      <c r="BF460" s="32" t="inlineStr"/>
    </row>
    <row r="461">
      <c r="A461" s="17" t="inlineStr">
        <is>
          <t>EPE - PRODUTOS AGROPECUARIOS LTDA</t>
        </is>
      </c>
      <c r="B461" s="18" t="n">
        <v>399413.94</v>
      </c>
      <c r="C461" s="19" t="inlineStr">
        <is>
          <t>AGROPECUÁRIA SERROTE REDONDO</t>
        </is>
      </c>
      <c r="D461" s="20" t="inlineStr">
        <is>
          <t>NEW</t>
        </is>
      </c>
      <c r="E461" s="21" t="inlineStr"/>
      <c r="F461" s="20" t="inlineStr"/>
      <c r="G461" s="21" t="inlineStr"/>
      <c r="H461" s="20" t="inlineStr"/>
      <c r="I461" s="22" t="inlineStr">
        <is>
          <t>EDIVAL VERAS DE BARROS CAMPELO FILHO</t>
        </is>
      </c>
      <c r="J461" s="23" t="inlineStr">
        <is>
          <t>Sócio-Administrador (RFB partner)</t>
        </is>
      </c>
      <c r="K461" s="22" t="inlineStr">
        <is>
          <t>(81) 3465-3775</t>
        </is>
      </c>
      <c r="L461" s="22" t="inlineStr">
        <is>
          <t>(81) 8865-3037</t>
        </is>
      </c>
      <c r="M461" s="22" t="inlineStr"/>
      <c r="N461" s="22" t="inlineStr"/>
      <c r="O461" s="22" t="inlineStr"/>
      <c r="P461" s="22" t="inlineStr">
        <is>
          <t>EMMANUEL LIMA DA ROCHA</t>
        </is>
      </c>
      <c r="Q461" s="22" t="inlineStr">
        <is>
          <t>Sócio-Administrador (RFB partner)</t>
        </is>
      </c>
      <c r="R461" s="22" t="inlineStr"/>
      <c r="S461" s="22" t="inlineStr"/>
      <c r="T461" s="22" t="inlineStr">
        <is>
          <t>DM = registered partner (RFB QSA); no Apollo match</t>
        </is>
      </c>
      <c r="U461" s="24" t="n">
        <v>399413.94</v>
      </c>
      <c r="V461" s="39" t="inlineStr">
        <is>
          <t>C</t>
        </is>
      </c>
      <c r="W461" s="26" t="inlineStr"/>
      <c r="X461" s="27" t="inlineStr"/>
      <c r="Y461" s="27" t="inlineStr"/>
      <c r="Z461" s="26">
        <f>IF(W461&lt;&gt;"",W461,IFERROR(VLOOKUP(V461,Assumptions!$A$8:$F$12,2,FALSE),0))</f>
        <v/>
      </c>
      <c r="AA461" s="28">
        <f>IF(V461="A",MAX(1,IF(X461&lt;&gt;"",X461,IFERROR(VLOOKUP(V461,Assumptions!$A$8:$F$12,3,FALSE),3))+IF(Y461&lt;&gt;"",Y461,IFERROR(VLOOKUP(V461,Assumptions!$A$8:$F$12,4,FALSE),8))/2-MAX(0,IF(AS461="",0,YEAR(TODAY())-AS461)-IFERROR(VLOOKUP(V461,Assumptions!$A$8:$F$12,5,FALSE),1.5))),IFERROR(VLOOKUP(V461,Assumptions!$A$8:$F$12,5,FALSE),2.5)+IF(X461&lt;&gt;"",X461,IFERROR(VLOOKUP(V461,Assumptions!$A$8:$F$12,3,FALSE),3))+IF(Y461&lt;&gt;"",Y461,IFERROR(VLOOKUP(V461,Assumptions!$A$8:$F$12,4,FALSE),8))/2)</f>
        <v/>
      </c>
      <c r="AB461" s="24">
        <f>U461*Z461/(1+Assumptions!$B$3)^AA461</f>
        <v/>
      </c>
      <c r="AC461" s="27">
        <f>IF(U461=0,"",ROUND(AB461/U461*100,1))</f>
        <v/>
      </c>
      <c r="AD461" s="29">
        <f>AB461*Assumptions!$B$4</f>
        <v/>
      </c>
      <c r="AE461" s="27">
        <f>IF(U461=0,"",ROUND(AD461/U461*100,1))</f>
        <v/>
      </c>
      <c r="AF461" s="29">
        <f>AB461-AD461</f>
        <v/>
      </c>
      <c r="AG461" s="27">
        <f>IF(U461=0,"",ROUND((AB461-AD461)/U461*100,1))</f>
        <v/>
      </c>
      <c r="AH461" s="30" t="inlineStr">
        <is>
          <t>OK — totals reconciled</t>
        </is>
      </c>
      <c r="AI461" s="31" t="inlineStr">
        <is>
          <t>https://lrflideres.com.br/wp-content/plugins/download-attachments/includes/download.php?id=5001</t>
        </is>
      </c>
      <c r="AJ461" s="30" t="inlineStr">
        <is>
          <t>p2 r4</t>
        </is>
      </c>
      <c r="AK461" s="30" t="inlineStr">
        <is>
          <t>p2: R$ 399.413,94</t>
        </is>
      </c>
      <c r="AL461" s="30" t="inlineStr">
        <is>
          <t>Unclassified list</t>
        </is>
      </c>
      <c r="AM461" s="30" t="inlineStr"/>
      <c r="AN461" s="30" t="inlineStr">
        <is>
          <t>NONE FOUND</t>
        </is>
      </c>
      <c r="AO461" s="32" t="inlineStr">
        <is>
          <t>0000206-69.2013.8.17.1340</t>
        </is>
      </c>
      <c r="AP461" s="32" t="inlineStr">
        <is>
          <t>TJPE</t>
        </is>
      </c>
      <c r="AQ461" s="32" t="inlineStr"/>
      <c r="AR461" s="32" t="inlineStr">
        <is>
          <t>not in DataJud</t>
        </is>
      </c>
      <c r="AS461" s="32" t="n">
        <v>2013</v>
      </c>
      <c r="AT461" s="32" t="inlineStr">
        <is>
          <t>13y since filing; plan not in our documents; case no. from the portal record, not printed on the list</t>
        </is>
      </c>
      <c r="AU461" s="32" t="inlineStr"/>
      <c r="AV461" s="32" t="inlineStr">
        <is>
          <t>portal page title / URL — not printed on the list</t>
        </is>
      </c>
      <c r="AW461" s="32" t="inlineStr"/>
      <c r="AX461" s="32" t="inlineStr">
        <is>
          <t>GARANHUNS</t>
        </is>
      </c>
      <c r="AY461" s="32" t="inlineStr">
        <is>
          <t>PE</t>
        </is>
      </c>
      <c r="AZ461" s="32" t="inlineStr">
        <is>
          <t>Comércio atacadista de mercadorias em geral, com predominância de insumos agropecuários</t>
        </is>
      </c>
      <c r="BA461" s="32" t="inlineStr">
        <is>
          <t>não ME/EPP</t>
        </is>
      </c>
      <c r="BB461" s="33" t="inlineStr"/>
      <c r="BC461" s="32" t="inlineStr">
        <is>
          <t>UNKNOWN</t>
        </is>
      </c>
      <c r="BD461" s="32" t="inlineStr">
        <is>
          <t>05860157</t>
        </is>
      </c>
      <c r="BE461" s="32" t="n">
        <v>1</v>
      </c>
      <c r="BF461" s="32" t="inlineStr">
        <is>
          <t>ALT_VALUE:399.413,94</t>
        </is>
      </c>
    </row>
    <row r="462">
      <c r="A462" s="17" t="inlineStr">
        <is>
          <t>COMPANHIA ENERGETICA DE PERNAMBUCO</t>
        </is>
      </c>
      <c r="B462" s="18" t="n">
        <v>391331.27</v>
      </c>
      <c r="C462" s="19" t="inlineStr">
        <is>
          <t>CENTRO DE TRATAMENTO RENAL ZONA SUL LTDA</t>
        </is>
      </c>
      <c r="D462" s="20" t="inlineStr">
        <is>
          <t>NEW</t>
        </is>
      </c>
      <c r="E462" s="21" t="inlineStr"/>
      <c r="F462" s="20" t="inlineStr"/>
      <c r="G462" s="21" t="inlineStr"/>
      <c r="H462" s="20" t="inlineStr"/>
      <c r="I462" s="22" t="inlineStr">
        <is>
          <t>SAULO CABRAL E SILVA</t>
        </is>
      </c>
      <c r="J462" s="23" t="inlineStr">
        <is>
          <t>Presidente (RFB partner)</t>
        </is>
      </c>
      <c r="K462" s="22" t="inlineStr">
        <is>
          <t>(81) 3217-5226</t>
        </is>
      </c>
      <c r="L462" s="22" t="inlineStr"/>
      <c r="M462" s="22" t="inlineStr"/>
      <c r="N462" s="22" t="inlineStr"/>
      <c r="O462" s="22" t="inlineStr"/>
      <c r="P462" s="22" t="inlineStr">
        <is>
          <t>FABIANO DA ROSA CARVALHO</t>
        </is>
      </c>
      <c r="Q462" s="22" t="inlineStr">
        <is>
          <t>Diretor (RFB partner)</t>
        </is>
      </c>
      <c r="R462" s="22" t="inlineStr"/>
      <c r="S462" s="22" t="inlineStr"/>
      <c r="T462" s="22" t="inlineStr">
        <is>
          <t>DM = registered partner (RFB QSA); no Apollo match</t>
        </is>
      </c>
      <c r="U462" s="24" t="n">
        <v>391331.27</v>
      </c>
      <c r="V462" s="39" t="inlineStr">
        <is>
          <t>C</t>
        </is>
      </c>
      <c r="W462" s="26" t="inlineStr"/>
      <c r="X462" s="27" t="inlineStr"/>
      <c r="Y462" s="27" t="inlineStr"/>
      <c r="Z462" s="26">
        <f>IF(W462&lt;&gt;"",W462,IFERROR(VLOOKUP(V462,Assumptions!$A$8:$F$12,2,FALSE),0))</f>
        <v/>
      </c>
      <c r="AA462" s="28">
        <f>IF(V462="A",MAX(1,IF(X462&lt;&gt;"",X462,IFERROR(VLOOKUP(V462,Assumptions!$A$8:$F$12,3,FALSE),3))+IF(Y462&lt;&gt;"",Y462,IFERROR(VLOOKUP(V462,Assumptions!$A$8:$F$12,4,FALSE),8))/2-MAX(0,IF(AS462="",0,YEAR(TODAY())-AS462)-IFERROR(VLOOKUP(V462,Assumptions!$A$8:$F$12,5,FALSE),1.5))),IFERROR(VLOOKUP(V462,Assumptions!$A$8:$F$12,5,FALSE),2.5)+IF(X462&lt;&gt;"",X462,IFERROR(VLOOKUP(V462,Assumptions!$A$8:$F$12,3,FALSE),3))+IF(Y462&lt;&gt;"",Y462,IFERROR(VLOOKUP(V462,Assumptions!$A$8:$F$12,4,FALSE),8))/2)</f>
        <v/>
      </c>
      <c r="AB462" s="24">
        <f>U462*Z462/(1+Assumptions!$B$3)^AA462</f>
        <v/>
      </c>
      <c r="AC462" s="27">
        <f>IF(U462=0,"",ROUND(AB462/U462*100,1))</f>
        <v/>
      </c>
      <c r="AD462" s="29">
        <f>AB462*Assumptions!$B$4</f>
        <v/>
      </c>
      <c r="AE462" s="27">
        <f>IF(U462=0,"",ROUND(AD462/U462*100,1))</f>
        <v/>
      </c>
      <c r="AF462" s="29">
        <f>AB462-AD462</f>
        <v/>
      </c>
      <c r="AG462" s="27">
        <f>IF(U462=0,"",ROUND((AB462-AD462)/U462*100,1))</f>
        <v/>
      </c>
      <c r="AH462" s="30" t="inlineStr">
        <is>
          <t>OK — totals reconciled</t>
        </is>
      </c>
      <c r="AI462" s="31" t="inlineStr">
        <is>
          <t>https://recuperacaojudicial.squarespace.com/s/4-RJCTREditalda2ListadeCredoresnovembro2019.pdf</t>
        </is>
      </c>
      <c r="AJ462" s="30" t="inlineStr">
        <is>
          <t>p3 r10</t>
        </is>
      </c>
      <c r="AK462" s="30" t="inlineStr">
        <is>
          <t>p3: R$ 391.331,27</t>
        </is>
      </c>
      <c r="AL462" s="30" t="inlineStr">
        <is>
          <t>AJ list (art. 7 §2)</t>
        </is>
      </c>
      <c r="AM462" s="30" t="inlineStr">
        <is>
          <t>2019-11-25</t>
        </is>
      </c>
      <c r="AN462" s="30" t="inlineStr">
        <is>
          <t>NONE FOUND</t>
        </is>
      </c>
      <c r="AO462" s="32" t="inlineStr">
        <is>
          <t>0015488-29.2018.8.17.2810</t>
        </is>
      </c>
      <c r="AP462" s="32" t="inlineStr">
        <is>
          <t>TJPE</t>
        </is>
      </c>
      <c r="AQ462" s="32" t="inlineStr">
        <is>
          <t>Recuperação judicial</t>
        </is>
      </c>
      <c r="AR462" s="32" t="inlineStr">
        <is>
          <t>not in DataJud</t>
        </is>
      </c>
      <c r="AS462" s="32" t="n">
        <v>2018</v>
      </c>
      <c r="AT462" s="32" t="inlineStr">
        <is>
          <t>8y since filing; plan not in our documents</t>
        </is>
      </c>
      <c r="AU462" s="32" t="inlineStr">
        <is>
          <t>03.648.189/0001-11</t>
        </is>
      </c>
      <c r="AV462" s="32" t="inlineStr">
        <is>
          <t>printed on the list (read twice)</t>
        </is>
      </c>
      <c r="AW462" s="32" t="inlineStr"/>
      <c r="AX462" s="32" t="inlineStr">
        <is>
          <t>RECIFE</t>
        </is>
      </c>
      <c r="AY462" s="32" t="inlineStr">
        <is>
          <t>PE</t>
        </is>
      </c>
      <c r="AZ462" s="32" t="inlineStr">
        <is>
          <t>Distribuição de energia elétrica</t>
        </is>
      </c>
      <c r="BA462" s="32" t="inlineStr">
        <is>
          <t>não ME/EPP</t>
        </is>
      </c>
      <c r="BB462" s="33" t="n">
        <v>1663177700</v>
      </c>
      <c r="BC462" s="32" t="inlineStr">
        <is>
          <t>LARGE CORP</t>
        </is>
      </c>
      <c r="BD462" s="32" t="inlineStr">
        <is>
          <t>10835932</t>
        </is>
      </c>
      <c r="BE462" s="32" t="n">
        <v>1</v>
      </c>
      <c r="BF462" s="32" t="inlineStr"/>
    </row>
    <row r="463">
      <c r="A463" s="17" t="inlineStr">
        <is>
          <t>L D NUNES</t>
        </is>
      </c>
      <c r="B463" s="18" t="n">
        <v>390081</v>
      </c>
      <c r="C463" s="19" t="inlineStr">
        <is>
          <t>AGROPECUÁRIA SERROTE REDONDO</t>
        </is>
      </c>
      <c r="D463" s="20" t="inlineStr">
        <is>
          <t>NEW</t>
        </is>
      </c>
      <c r="E463" s="21" t="inlineStr"/>
      <c r="F463" s="20" t="inlineStr"/>
      <c r="G463" s="21" t="inlineStr"/>
      <c r="H463" s="20" t="inlineStr"/>
      <c r="I463" s="22" t="inlineStr">
        <is>
          <t>Matheus Nunes</t>
        </is>
      </c>
      <c r="J463" s="22" t="inlineStr">
        <is>
          <t>Administrative Manager</t>
        </is>
      </c>
      <c r="K463" s="22" t="inlineStr"/>
      <c r="L463" s="22" t="inlineStr"/>
      <c r="M463" s="22" t="inlineStr"/>
      <c r="N463" s="22" t="inlineStr">
        <is>
          <t>matheus@indama.ar</t>
        </is>
      </c>
      <c r="O463" s="22" t="inlineStr">
        <is>
          <t>extrapolated</t>
        </is>
      </c>
      <c r="P463" s="22" t="inlineStr">
        <is>
          <t>Janaina Sousa</t>
        </is>
      </c>
      <c r="Q463" s="22" t="inlineStr">
        <is>
          <t>Administrative Supervisor</t>
        </is>
      </c>
      <c r="R463" s="22" t="inlineStr"/>
      <c r="S463" s="22" t="inlineStr">
        <is>
          <t>janaina@indama.com.br</t>
        </is>
      </c>
      <c r="T463" s="22" t="inlineStr">
        <is>
          <t>BACKUP: backup, has_email</t>
        </is>
      </c>
      <c r="U463" s="24" t="n">
        <v>390081</v>
      </c>
      <c r="V463" s="39" t="inlineStr">
        <is>
          <t>C</t>
        </is>
      </c>
      <c r="W463" s="26" t="inlineStr"/>
      <c r="X463" s="27" t="inlineStr"/>
      <c r="Y463" s="27" t="inlineStr"/>
      <c r="Z463" s="26">
        <f>IF(W463&lt;&gt;"",W463,IFERROR(VLOOKUP(V463,Assumptions!$A$8:$F$12,2,FALSE),0))</f>
        <v/>
      </c>
      <c r="AA463" s="28">
        <f>IF(V463="A",MAX(1,IF(X463&lt;&gt;"",X463,IFERROR(VLOOKUP(V463,Assumptions!$A$8:$F$12,3,FALSE),3))+IF(Y463&lt;&gt;"",Y463,IFERROR(VLOOKUP(V463,Assumptions!$A$8:$F$12,4,FALSE),8))/2-MAX(0,IF(AS463="",0,YEAR(TODAY())-AS463)-IFERROR(VLOOKUP(V463,Assumptions!$A$8:$F$12,5,FALSE),1.5))),IFERROR(VLOOKUP(V463,Assumptions!$A$8:$F$12,5,FALSE),2.5)+IF(X463&lt;&gt;"",X463,IFERROR(VLOOKUP(V463,Assumptions!$A$8:$F$12,3,FALSE),3))+IF(Y463&lt;&gt;"",Y463,IFERROR(VLOOKUP(V463,Assumptions!$A$8:$F$12,4,FALSE),8))/2)</f>
        <v/>
      </c>
      <c r="AB463" s="24">
        <f>U463*Z463/(1+Assumptions!$B$3)^AA463</f>
        <v/>
      </c>
      <c r="AC463" s="27">
        <f>IF(U463=0,"",ROUND(AB463/U463*100,1))</f>
        <v/>
      </c>
      <c r="AD463" s="29">
        <f>AB463*Assumptions!$B$4</f>
        <v/>
      </c>
      <c r="AE463" s="27">
        <f>IF(U463=0,"",ROUND(AD463/U463*100,1))</f>
        <v/>
      </c>
      <c r="AF463" s="29">
        <f>AB463-AD463</f>
        <v/>
      </c>
      <c r="AG463" s="27">
        <f>IF(U463=0,"",ROUND((AB463-AD463)/U463*100,1))</f>
        <v/>
      </c>
      <c r="AH463" s="30" t="inlineStr">
        <is>
          <t>OK — totals reconciled</t>
        </is>
      </c>
      <c r="AI463" s="31" t="inlineStr">
        <is>
          <t>https://lrflideres.com.br/wp-content/plugins/download-attachments/includes/download.php?id=5001</t>
        </is>
      </c>
      <c r="AJ463" s="30" t="inlineStr">
        <is>
          <t>p2 r36</t>
        </is>
      </c>
      <c r="AK463" s="30" t="inlineStr">
        <is>
          <t>p2: R$ 390.081,00</t>
        </is>
      </c>
      <c r="AL463" s="30" t="inlineStr">
        <is>
          <t>Unclassified list</t>
        </is>
      </c>
      <c r="AM463" s="30" t="inlineStr"/>
      <c r="AN463" s="30" t="inlineStr">
        <is>
          <t>NONE FOUND</t>
        </is>
      </c>
      <c r="AO463" s="32" t="inlineStr">
        <is>
          <t>0000206-69.2013.8.17.1340</t>
        </is>
      </c>
      <c r="AP463" s="32" t="inlineStr">
        <is>
          <t>TJPE</t>
        </is>
      </c>
      <c r="AQ463" s="32" t="inlineStr"/>
      <c r="AR463" s="32" t="inlineStr">
        <is>
          <t>not in DataJud</t>
        </is>
      </c>
      <c r="AS463" s="32" t="n">
        <v>2013</v>
      </c>
      <c r="AT463" s="32" t="inlineStr">
        <is>
          <t>13y since filing; plan not in our documents; case no. from the portal record, not printed on the list</t>
        </is>
      </c>
      <c r="AU463" s="32" t="inlineStr"/>
      <c r="AV463" s="32" t="inlineStr">
        <is>
          <t>portal page title / URL — not printed on the list</t>
        </is>
      </c>
      <c r="AW463" s="32" t="inlineStr"/>
      <c r="AX463" s="32" t="inlineStr">
        <is>
          <t>MACAIBA</t>
        </is>
      </c>
      <c r="AY463" s="32" t="inlineStr">
        <is>
          <t>RN</t>
        </is>
      </c>
      <c r="AZ463" s="32" t="inlineStr">
        <is>
          <t>Preparação de subprodutos do abate</t>
        </is>
      </c>
      <c r="BA463" s="32" t="inlineStr">
        <is>
          <t>EMPRESA DE PEQUENO PORTE</t>
        </is>
      </c>
      <c r="BB463" s="33" t="inlineStr"/>
      <c r="BC463" s="32" t="inlineStr">
        <is>
          <t>UNKNOWN</t>
        </is>
      </c>
      <c r="BD463" s="32" t="inlineStr">
        <is>
          <t>02291660</t>
        </is>
      </c>
      <c r="BE463" s="32" t="n">
        <v>1</v>
      </c>
      <c r="BF463" s="32" t="inlineStr">
        <is>
          <t>ALT_VALUE:390.081,00</t>
        </is>
      </c>
    </row>
    <row r="464">
      <c r="A464" s="17" t="inlineStr">
        <is>
          <t>SIRI COMERCIO E SERVICOS LTDA.</t>
        </is>
      </c>
      <c r="B464" s="18" t="n">
        <v>383787.51</v>
      </c>
      <c r="C464" s="19" t="inlineStr">
        <is>
          <t>CREDIMÓVEIS NOVOLAR LTDA.</t>
        </is>
      </c>
      <c r="D464" s="20" t="inlineStr">
        <is>
          <t>NEW</t>
        </is>
      </c>
      <c r="E464" s="21" t="inlineStr"/>
      <c r="F464" s="20" t="inlineStr"/>
      <c r="G464" s="21" t="inlineStr"/>
      <c r="H464" s="20" t="inlineStr"/>
      <c r="I464" s="22" t="inlineStr">
        <is>
          <t>RICARDO DOS SANTOS BORBA CAVALCANTE</t>
        </is>
      </c>
      <c r="J464" s="23" t="inlineStr">
        <is>
          <t>Sócio-Administrador (RFB partner)</t>
        </is>
      </c>
      <c r="K464" s="22" t="inlineStr">
        <is>
          <t>(11) 3053-1611</t>
        </is>
      </c>
      <c r="L464" s="22" t="inlineStr"/>
      <c r="M464" s="22" t="inlineStr"/>
      <c r="N464" s="22" t="inlineStr"/>
      <c r="O464" s="22" t="inlineStr"/>
      <c r="P464" s="22" t="inlineStr"/>
      <c r="Q464" s="22" t="inlineStr"/>
      <c r="R464" s="22" t="inlineStr"/>
      <c r="S464" s="22" t="inlineStr"/>
      <c r="T464" s="22" t="inlineStr">
        <is>
          <t>DM = registered partner (RFB QSA); no Apollo match</t>
        </is>
      </c>
      <c r="U464" s="24" t="n">
        <v>383787.51</v>
      </c>
      <c r="V464" s="39" t="inlineStr">
        <is>
          <t>C</t>
        </is>
      </c>
      <c r="W464" s="26" t="inlineStr"/>
      <c r="X464" s="27" t="inlineStr"/>
      <c r="Y464" s="27" t="inlineStr"/>
      <c r="Z464" s="26">
        <f>IF(W464&lt;&gt;"",W464,IFERROR(VLOOKUP(V464,Assumptions!$A$8:$F$12,2,FALSE),0))</f>
        <v/>
      </c>
      <c r="AA464" s="28">
        <f>IF(V464="A",MAX(1,IF(X464&lt;&gt;"",X464,IFERROR(VLOOKUP(V464,Assumptions!$A$8:$F$12,3,FALSE),3))+IF(Y464&lt;&gt;"",Y464,IFERROR(VLOOKUP(V464,Assumptions!$A$8:$F$12,4,FALSE),8))/2-MAX(0,IF(AS464="",0,YEAR(TODAY())-AS464)-IFERROR(VLOOKUP(V464,Assumptions!$A$8:$F$12,5,FALSE),1.5))),IFERROR(VLOOKUP(V464,Assumptions!$A$8:$F$12,5,FALSE),2.5)+IF(X464&lt;&gt;"",X464,IFERROR(VLOOKUP(V464,Assumptions!$A$8:$F$12,3,FALSE),3))+IF(Y464&lt;&gt;"",Y464,IFERROR(VLOOKUP(V464,Assumptions!$A$8:$F$12,4,FALSE),8))/2)</f>
        <v/>
      </c>
      <c r="AB464" s="24">
        <f>U464*Z464/(1+Assumptions!$B$3)^AA464</f>
        <v/>
      </c>
      <c r="AC464" s="27">
        <f>IF(U464=0,"",ROUND(AB464/U464*100,1))</f>
        <v/>
      </c>
      <c r="AD464" s="29">
        <f>AB464*Assumptions!$B$4</f>
        <v/>
      </c>
      <c r="AE464" s="27">
        <f>IF(U464=0,"",ROUND(AD464/U464*100,1))</f>
        <v/>
      </c>
      <c r="AF464" s="29">
        <f>AB464-AD464</f>
        <v/>
      </c>
      <c r="AG464" s="27">
        <f>IF(U464=0,"",ROUND((AB464-AD464)/U464*100,1))</f>
        <v/>
      </c>
      <c r="AH464" s="30" t="inlineStr">
        <is>
          <t>OK — totals reconciled</t>
        </is>
      </c>
      <c r="AI464" s="31" t="inlineStr">
        <is>
          <t>https://recuperacaojudicial.squarespace.com/s/RJ-Credimoveis-QGC-01082025.pdf</t>
        </is>
      </c>
      <c r="AJ464" s="30" t="inlineStr">
        <is>
          <t>p16 r60</t>
        </is>
      </c>
      <c r="AK464" s="30" t="inlineStr">
        <is>
          <t>p16: R$ 383.787,51</t>
        </is>
      </c>
      <c r="AL464" s="30" t="inlineStr">
        <is>
          <t>QGC (art. 18)</t>
        </is>
      </c>
      <c r="AM464" s="30" t="inlineStr">
        <is>
          <t>2026-01-28</t>
        </is>
      </c>
      <c r="AN464" s="30" t="inlineStr">
        <is>
          <t>NONE FOUND</t>
        </is>
      </c>
      <c r="AO464" s="32" t="inlineStr">
        <is>
          <t>0007565-40.2020.8.17.2370</t>
        </is>
      </c>
      <c r="AP464" s="32" t="inlineStr">
        <is>
          <t>TJPE</t>
        </is>
      </c>
      <c r="AQ464" s="32" t="inlineStr">
        <is>
          <t>Recuperação judicial</t>
        </is>
      </c>
      <c r="AR464" s="32" t="inlineStr">
        <is>
          <t>DataJud: no closure/falência movement</t>
        </is>
      </c>
      <c r="AS464" s="32" t="n">
        <v>2020</v>
      </c>
      <c r="AT464" s="32" t="inlineStr">
        <is>
          <t>6y since filing; plan not in our documents</t>
        </is>
      </c>
      <c r="AU464" s="32" t="inlineStr">
        <is>
          <t>09.930.165/0001-37</t>
        </is>
      </c>
      <c r="AV464" s="32" t="inlineStr">
        <is>
          <t>printed on the list (read twice)</t>
        </is>
      </c>
      <c r="AW464" s="32" t="inlineStr"/>
      <c r="AX464" s="32" t="inlineStr">
        <is>
          <t>SAO PAULO</t>
        </is>
      </c>
      <c r="AY464" s="32" t="inlineStr">
        <is>
          <t>SP</t>
        </is>
      </c>
      <c r="AZ464" s="32" t="inlineStr">
        <is>
          <t>Comércio atacadista de componentes eletrônicos e equipamentos de telefonia e comunicação</t>
        </is>
      </c>
      <c r="BA464" s="32" t="inlineStr">
        <is>
          <t>não ME/EPP</t>
        </is>
      </c>
      <c r="BB464" s="33" t="n">
        <v>340000000</v>
      </c>
      <c r="BC464" s="32" t="inlineStr">
        <is>
          <t>MID-MARKET</t>
        </is>
      </c>
      <c r="BD464" s="32" t="inlineStr">
        <is>
          <t>04904042</t>
        </is>
      </c>
      <c r="BE464" s="32" t="n">
        <v>1</v>
      </c>
      <c r="BF464" s="32" t="inlineStr"/>
    </row>
    <row r="465">
      <c r="A465" s="17" t="inlineStr">
        <is>
          <t>FS I INDUSTRIA DE ETANOL S.A</t>
        </is>
      </c>
      <c r="B465" s="18" t="n">
        <v>425717.6</v>
      </c>
      <c r="C465" s="19" t="inlineStr">
        <is>
          <t>GRUPO 3E</t>
        </is>
      </c>
      <c r="D465" s="20" t="inlineStr">
        <is>
          <t>NEW</t>
        </is>
      </c>
      <c r="E465" s="21" t="inlineStr"/>
      <c r="F465" s="20" t="inlineStr"/>
      <c r="G465" s="21" t="inlineStr"/>
      <c r="H465" s="20" t="inlineStr"/>
      <c r="I465" s="22" t="inlineStr">
        <is>
          <t>DANIEL COSTA LOPES</t>
        </is>
      </c>
      <c r="J465" s="23" t="inlineStr">
        <is>
          <t>Diretor (RFB partner)</t>
        </is>
      </c>
      <c r="K465" s="22" t="inlineStr">
        <is>
          <t>(65) 3548-1500</t>
        </is>
      </c>
      <c r="L465" s="22" t="inlineStr"/>
      <c r="M465" s="22" t="inlineStr"/>
      <c r="N465" s="22" t="inlineStr"/>
      <c r="O465" s="22" t="inlineStr"/>
      <c r="P465" s="22" t="inlineStr">
        <is>
          <t>DANIEL NOZAKI GUSHI</t>
        </is>
      </c>
      <c r="Q465" s="22" t="inlineStr">
        <is>
          <t>Diretor (RFB partner)</t>
        </is>
      </c>
      <c r="R465" s="22" t="inlineStr"/>
      <c r="S465" s="22" t="inlineStr"/>
      <c r="T465" s="22" t="inlineStr">
        <is>
          <t>DM = registered partner (RFB QSA); no Apollo match</t>
        </is>
      </c>
      <c r="U465" s="24" t="n">
        <v>425717.6</v>
      </c>
      <c r="V465" s="25" t="inlineStr">
        <is>
          <t>B</t>
        </is>
      </c>
      <c r="W465" s="26" t="n">
        <v>0.12</v>
      </c>
      <c r="X465" s="27" t="n">
        <v>2</v>
      </c>
      <c r="Y465" s="27" t="n">
        <v>13</v>
      </c>
      <c r="Z465" s="26">
        <f>IF(W465&lt;&gt;"",W465,IFERROR(VLOOKUP(V465,Assumptions!$A$8:$F$12,2,FALSE),0))</f>
        <v/>
      </c>
      <c r="AA465" s="28">
        <f>IF(V465="A",MAX(1,IF(X465&lt;&gt;"",X465,IFERROR(VLOOKUP(V465,Assumptions!$A$8:$F$12,3,FALSE),3))+IF(Y465&lt;&gt;"",Y465,IFERROR(VLOOKUP(V465,Assumptions!$A$8:$F$12,4,FALSE),8))/2-MAX(0,IF(AS465="",0,YEAR(TODAY())-AS465)-IFERROR(VLOOKUP(V465,Assumptions!$A$8:$F$12,5,FALSE),1.5))),IFERROR(VLOOKUP(V465,Assumptions!$A$8:$F$12,5,FALSE),2.5)+IF(X465&lt;&gt;"",X465,IFERROR(VLOOKUP(V465,Assumptions!$A$8:$F$12,3,FALSE),3))+IF(Y465&lt;&gt;"",Y465,IFERROR(VLOOKUP(V465,Assumptions!$A$8:$F$12,4,FALSE),8))/2)</f>
        <v/>
      </c>
      <c r="AB465" s="24">
        <f>U465*Z465/(1+Assumptions!$B$3)^AA465</f>
        <v/>
      </c>
      <c r="AC465" s="27">
        <f>IF(U465=0,"",ROUND(AB465/U465*100,1))</f>
        <v/>
      </c>
      <c r="AD465" s="29">
        <f>AB465*Assumptions!$B$4</f>
        <v/>
      </c>
      <c r="AE465" s="27">
        <f>IF(U465=0,"",ROUND(AD465/U465*100,1))</f>
        <v/>
      </c>
      <c r="AF465" s="29">
        <f>AB465-AD465</f>
        <v/>
      </c>
      <c r="AG465" s="27">
        <f>IF(U465=0,"",ROUND((AB465-AD465)/U465*100,1))</f>
        <v/>
      </c>
      <c r="AH465" s="34" t="inlineStr">
        <is>
          <t>NO TOTALS — list prints none; check page</t>
        </is>
      </c>
      <c r="AI465" s="31" t="inlineStr">
        <is>
          <t>https://stenius.com.br/wp-content/uploads/2026/06/EDITAL-GRUPO-3E.pdf</t>
        </is>
      </c>
      <c r="AJ465" s="30" t="inlineStr">
        <is>
          <t>p13 r64</t>
        </is>
      </c>
      <c r="AK465" s="30" t="inlineStr">
        <is>
          <t>p13: R$ 425.717,60</t>
        </is>
      </c>
      <c r="AL465" s="30" t="inlineStr">
        <is>
          <t>Debtor list (art. 51)</t>
        </is>
      </c>
      <c r="AM465" s="30" t="inlineStr">
        <is>
          <t>2026-06-22</t>
        </is>
      </c>
      <c r="AN465" s="30" t="inlineStr">
        <is>
          <t>PLAN FILED (art. 53), not granted</t>
        </is>
      </c>
      <c r="AO465" s="32" t="inlineStr">
        <is>
          <t>5341375-33.2026.8.09.0049</t>
        </is>
      </c>
      <c r="AP465" s="32" t="inlineStr">
        <is>
          <t>TJGO</t>
        </is>
      </c>
      <c r="AQ465" s="32" t="inlineStr">
        <is>
          <t>Recuperação judicial</t>
        </is>
      </c>
      <c r="AR465" s="32" t="inlineStr">
        <is>
          <t>DataJud: no closure/falência movement</t>
        </is>
      </c>
      <c r="AS465" s="32" t="n">
        <v>2026</v>
      </c>
      <c r="AT465" s="32" t="inlineStr">
        <is>
          <t>plan filed (art. 53), not yet granted</t>
        </is>
      </c>
      <c r="AU465" s="32" t="inlineStr"/>
      <c r="AV465" s="32" t="inlineStr">
        <is>
          <t>printed on the list (read twice)</t>
        </is>
      </c>
      <c r="AW465" s="32" t="inlineStr">
        <is>
          <t>Plano de Recuperação Judicial Grupo 3E v2.0 (Métis), mov. 321, pp.24-25</t>
        </is>
      </c>
      <c r="AX465" s="32" t="inlineStr">
        <is>
          <t>SAO PAULO</t>
        </is>
      </c>
      <c r="AY465" s="32" t="inlineStr">
        <is>
          <t>SP</t>
        </is>
      </c>
      <c r="AZ465" s="32" t="inlineStr">
        <is>
          <t>Comércio atacadista de matérias-primas agrícolas não especificadas anteriormente</t>
        </is>
      </c>
      <c r="BA465" s="32" t="inlineStr">
        <is>
          <t>não ME/EPP</t>
        </is>
      </c>
      <c r="BB465" s="33" t="n">
        <v>1968365700</v>
      </c>
      <c r="BC465" s="32" t="inlineStr">
        <is>
          <t>LARGE CORP</t>
        </is>
      </c>
      <c r="BD465" s="32" t="inlineStr">
        <is>
          <t>46710597</t>
        </is>
      </c>
      <c r="BE465" s="32" t="n">
        <v>1</v>
      </c>
      <c r="BF465" s="32" t="inlineStr">
        <is>
          <t>list prints no totals</t>
        </is>
      </c>
    </row>
    <row r="466">
      <c r="A466" s="17" t="inlineStr">
        <is>
          <t>BELGO BEKAERT ARAMES LTDA</t>
        </is>
      </c>
      <c r="B466" s="18" t="n">
        <v>377941.88</v>
      </c>
      <c r="C466" s="19" t="inlineStr">
        <is>
          <t>BLUFIX IND. E COM. LTDA</t>
        </is>
      </c>
      <c r="D466" s="20" t="inlineStr">
        <is>
          <t>NEW</t>
        </is>
      </c>
      <c r="E466" s="21" t="inlineStr"/>
      <c r="F466" s="20" t="inlineStr"/>
      <c r="G466" s="21" t="inlineStr"/>
      <c r="H466" s="20" t="inlineStr"/>
      <c r="I466" s="22" t="inlineStr">
        <is>
          <t>RODRIGO AUGUSTO ARCHER</t>
        </is>
      </c>
      <c r="J466" s="23" t="inlineStr">
        <is>
          <t>Administrador (RFB partner)</t>
        </is>
      </c>
      <c r="K466" s="22" t="inlineStr">
        <is>
          <t>(31) 3329-2400</t>
        </is>
      </c>
      <c r="L466" s="22" t="inlineStr">
        <is>
          <t>(31) 3329-2200</t>
        </is>
      </c>
      <c r="M466" s="22" t="inlineStr"/>
      <c r="N466" s="22" t="inlineStr"/>
      <c r="O466" s="22" t="inlineStr"/>
      <c r="P466" s="22" t="inlineStr">
        <is>
          <t>STEPHAN LOUIS LYDIE GHYSELS</t>
        </is>
      </c>
      <c r="Q466" s="22" t="inlineStr">
        <is>
          <t>Administrador (RFB partner)</t>
        </is>
      </c>
      <c r="R466" s="22" t="inlineStr"/>
      <c r="S466" s="22" t="inlineStr"/>
      <c r="T466" s="22" t="inlineStr">
        <is>
          <t>DM = registered partner (RFB QSA); no Apollo match</t>
        </is>
      </c>
      <c r="U466" s="24" t="n">
        <v>377941.88</v>
      </c>
      <c r="V466" s="39" t="inlineStr">
        <is>
          <t>C</t>
        </is>
      </c>
      <c r="W466" s="26" t="inlineStr"/>
      <c r="X466" s="27" t="inlineStr"/>
      <c r="Y466" s="27" t="inlineStr"/>
      <c r="Z466" s="26">
        <f>IF(W466&lt;&gt;"",W466,IFERROR(VLOOKUP(V466,Assumptions!$A$8:$F$12,2,FALSE),0))</f>
        <v/>
      </c>
      <c r="AA466" s="28">
        <f>IF(V466="A",MAX(1,IF(X466&lt;&gt;"",X466,IFERROR(VLOOKUP(V466,Assumptions!$A$8:$F$12,3,FALSE),3))+IF(Y466&lt;&gt;"",Y466,IFERROR(VLOOKUP(V466,Assumptions!$A$8:$F$12,4,FALSE),8))/2-MAX(0,IF(AS466="",0,YEAR(TODAY())-AS466)-IFERROR(VLOOKUP(V466,Assumptions!$A$8:$F$12,5,FALSE),1.5))),IFERROR(VLOOKUP(V466,Assumptions!$A$8:$F$12,5,FALSE),2.5)+IF(X466&lt;&gt;"",X466,IFERROR(VLOOKUP(V466,Assumptions!$A$8:$F$12,3,FALSE),3))+IF(Y466&lt;&gt;"",Y466,IFERROR(VLOOKUP(V466,Assumptions!$A$8:$F$12,4,FALSE),8))/2)</f>
        <v/>
      </c>
      <c r="AB466" s="24">
        <f>U466*Z466/(1+Assumptions!$B$3)^AA466</f>
        <v/>
      </c>
      <c r="AC466" s="27">
        <f>IF(U466=0,"",ROUND(AB466/U466*100,1))</f>
        <v/>
      </c>
      <c r="AD466" s="29">
        <f>AB466*Assumptions!$B$4</f>
        <v/>
      </c>
      <c r="AE466" s="27">
        <f>IF(U466=0,"",ROUND(AD466/U466*100,1))</f>
        <v/>
      </c>
      <c r="AF466" s="29">
        <f>AB466-AD466</f>
        <v/>
      </c>
      <c r="AG466" s="27">
        <f>IF(U466=0,"",ROUND((AB466-AD466)/U466*100,1))</f>
        <v/>
      </c>
      <c r="AH466" s="34" t="inlineStr">
        <is>
          <t>NO TOTALS — list prints none; check page</t>
        </is>
      </c>
      <c r="AI466" s="31" t="inlineStr">
        <is>
          <t>https://administradorajudicialgs.com.br/wp-content/uploads/2023/08/relacao-de-credores-empresa.pdf</t>
        </is>
      </c>
      <c r="AJ466" s="30" t="inlineStr">
        <is>
          <t>p10 r76; p10 r77; p10 r78; p10 r79; p10 r80; p10 r81; p10 r82; p10 r83; p10 r84; p10 r85; p10 r86; p10 r87; p10 r88; p10 r89; p10 r90; p10 r91; p10 r92; p10 r93; p10 r94; p10 r95; p10 r96; p10 r97; p10 r98; p10 r99; p10 r100; p10 r101; p10 r102; p11 r1; p11 r2; p11 r3; p11 r4; p11 r5; p11 r6; p11 r7; p11 r8; p11 r9; p11 r10; p11 r11; p11 r12; p11 r13; p11 r14; p11 r15; p11 r16; p11 r17; p11 r18; p11 r19; p11 r20; p11 r21; p11 r22; p11 r23; p11 r24; p11 r25; p11 r26; p11 r27; p11 r28; p11 r29; p11 r30; p11 r31; p11 r32; p11 r33; p11 r34; p11 r35; p11 r36; p11 r37; p11 r38; p11 r39; p11 r40; p11 r41; p11 r42; p11 r43; p11 r44; p11 r45; p11 r46; p11 r47; p11 r48; p11 r49; p11 r50; p11 r51; p11 r52; p11 r53; p11 r54; p11 r55; p11 r56; p11 r57; p11 r58; p11 r59; p11 r60; p11 r61; p11 r62; p11 r63; p11 r64; p11 r65; p11 r66; p11 r67; p11 r68; p11 r69; p11 r70; p11 r71; p11 r72; p11 r73; p11 r74; p11 r75; p11 r76; p11 r77; p11 r78; p11 r79</t>
        </is>
      </c>
      <c r="AK466" s="30" t="inlineStr">
        <is>
          <t>[rows shown ≠ face] p10: R$ 4.482,30; p10: R$ 7.151,67; p10: R$ 7.595,13; p10: R$ 5.282,91; p10: R$ 3.785,59; p10: R$ 9.478,62; p10: R$ 4.883,90; p10: R$ 4.637,06; p10: R$ 7.265,04; p10: R$ 3.525,37; p10: R$ 9.012,60; p10: R$ 3.742,05; p10: R$ 3.720,79; p10: R$ 2.421,68; p10: R$ 3.574,13; p10: R$ 4.090,85; p10: R$ 4.694,32; p10: R$ 3.579,10; p10: R$ 8.492,77; p10: R$ 4.948,60; p10: R$ 4.419,83; p10: R$ 6.755,01; p10: R$ 3.762,75; p10: R$ 4.638,91; p11: R$ 4.629,89; p11: R$ 4.805,76; p11: R$ 4.637,06; p11: R$ 3.869,41; p11: R$ 3.816,95; p11: R$ 7.055,97; p11: R$ 7.460,60; p11: R$ 9.253,26; p11: R$ 3.430,87; p11: R$ 3.716,87; p11: R$ 4.787,18; p11: R$ 3.574,13; p11: R$ 4.090,85; p11: R$ 4.694,32; p11: R$ 3.579,10; p11: R$ 9.478,91; p11: R$ 4.884,05; p11: R$ 4.637,19; p11: R$ 7.265,27; p11: R$ 3.525,47; p11: R$ 9.012,87; p11: R$ 5.712,81; p11: R$ 3.742,17; p11: R$ 3.720,89; p11: R$ 2.421,76; p11: R$ 4.835,35; p11: R$ 4.560,45; p11: R$ 8.493,03; p11: R$ 4.948,76; p11: R$ 4.419,97; p11: R$ 6.755,22; p11: R$ 9.253,26; p11: R$ 3.430,87; p11: R$ 3.716,87; p11: R$ 4.787,18; p11: R$ 3.762,86; p11: R$ 4.639,04; p11: R$ 4.629,89; p11: R$ 4.805,90; p11: R$ 4.637,19; p11: R$ 3.869,52; p11: R$ 3.817,07; p11: R$ 7.056,17; p11: R$ 7.460,60; p11: R$ 3.574,24; p11: R$ 4.090,96; p11: R$ 4.694,47; p11: R$ 3.579,22; p11: R$ 5.712,81; p11: R$ 9.240,74; p11: R$ 4.835,35; p11: R$ 4.560,45; p11: R$ 9.253,53; p11: R$ 3.430,98; p11: R$ 3.716,98; p11: R$ 4.787,32; p11: R$ 4.630,04; p11: R$ 7.460,83; p11: R$ 5.712,98; p11: R$ 9.240,74; p11: R$ 4.835,50; p11: R$ 4.560,60; p11: R$ 9.241,02</t>
        </is>
      </c>
      <c r="AL466" s="30" t="inlineStr">
        <is>
          <t>Unclassified list</t>
        </is>
      </c>
      <c r="AM466" s="30" t="inlineStr">
        <is>
          <t>2017-10-25</t>
        </is>
      </c>
      <c r="AN466" s="30" t="inlineStr">
        <is>
          <t>NONE FOUND</t>
        </is>
      </c>
      <c r="AO466" s="32" t="inlineStr">
        <is>
          <t>0315021-46.2018.8.24.0008</t>
        </is>
      </c>
      <c r="AP466" s="32" t="inlineStr">
        <is>
          <t>TJSC</t>
        </is>
      </c>
      <c r="AQ466" s="32" t="inlineStr">
        <is>
          <t>Recuperação judicial</t>
        </is>
      </c>
      <c r="AR466" s="32" t="inlineStr">
        <is>
          <t>not in DataJud</t>
        </is>
      </c>
      <c r="AS466" s="32" t="n">
        <v>2018</v>
      </c>
      <c r="AT466" s="32" t="inlineStr">
        <is>
          <t>8y since filing; plan not in our documents; case no. from the portal record, not printed on the list</t>
        </is>
      </c>
      <c r="AU466" s="32" t="inlineStr">
        <is>
          <t>82.638.388/0001-15</t>
        </is>
      </c>
      <c r="AV466" s="32" t="inlineStr">
        <is>
          <t>printed on the list (read twice)</t>
        </is>
      </c>
      <c r="AW466" s="32" t="inlineStr"/>
      <c r="AX466" s="32" t="inlineStr">
        <is>
          <t>CONTAGEM</t>
        </is>
      </c>
      <c r="AY466" s="32" t="inlineStr">
        <is>
          <t>MG</t>
        </is>
      </c>
      <c r="AZ466" s="32" t="inlineStr">
        <is>
          <t>Produção de arames de aço</t>
        </is>
      </c>
      <c r="BA466" s="32" t="inlineStr">
        <is>
          <t>não ME/EPP</t>
        </is>
      </c>
      <c r="BB466" s="33" t="n">
        <v>744345500</v>
      </c>
      <c r="BC466" s="32" t="inlineStr">
        <is>
          <t>MID-MARKET</t>
        </is>
      </c>
      <c r="BD466" s="32" t="inlineStr">
        <is>
          <t>61074506</t>
        </is>
      </c>
      <c r="BE466" s="32" t="n">
        <v>71</v>
      </c>
      <c r="BF466" s="32" t="inlineStr">
        <is>
          <t>list prints no totals</t>
        </is>
      </c>
    </row>
    <row r="467">
      <c r="A467" s="17" t="inlineStr">
        <is>
          <t>CESDE INDUSTRIA E COMERCIO DE ELETRODOMESTICOS LTDA</t>
        </is>
      </c>
      <c r="B467" s="18" t="n">
        <v>376130.35</v>
      </c>
      <c r="C467" s="19" t="inlineStr">
        <is>
          <t>CREDIMÓVEIS NOVOLAR LTDA.</t>
        </is>
      </c>
      <c r="D467" s="20" t="inlineStr">
        <is>
          <t>NEW</t>
        </is>
      </c>
      <c r="E467" s="21" t="inlineStr"/>
      <c r="F467" s="20" t="inlineStr"/>
      <c r="G467" s="21" t="inlineStr"/>
      <c r="H467" s="20" t="inlineStr"/>
      <c r="I467" s="22" t="inlineStr">
        <is>
          <t>ALBERTO BETRIAN BLASCO</t>
        </is>
      </c>
      <c r="J467" s="23" t="inlineStr">
        <is>
          <t>Sócio-Administrador (RFB partner)</t>
        </is>
      </c>
      <c r="K467" s="22" t="inlineStr">
        <is>
          <t>(85) 4011-3800</t>
        </is>
      </c>
      <c r="L467" s="22" t="inlineStr">
        <is>
          <t>(85) 4011-3824</t>
        </is>
      </c>
      <c r="M467" s="22" t="inlineStr"/>
      <c r="N467" s="22" t="inlineStr"/>
      <c r="O467" s="22" t="inlineStr"/>
      <c r="P467" s="22" t="inlineStr"/>
      <c r="Q467" s="22" t="inlineStr"/>
      <c r="R467" s="22" t="inlineStr"/>
      <c r="S467" s="22" t="inlineStr"/>
      <c r="T467" s="22" t="inlineStr">
        <is>
          <t>DM = registered partner (RFB QSA); no Apollo match</t>
        </is>
      </c>
      <c r="U467" s="24" t="n">
        <v>376130.35</v>
      </c>
      <c r="V467" s="39" t="inlineStr">
        <is>
          <t>C</t>
        </is>
      </c>
      <c r="W467" s="26" t="inlineStr"/>
      <c r="X467" s="27" t="inlineStr"/>
      <c r="Y467" s="27" t="inlineStr"/>
      <c r="Z467" s="26">
        <f>IF(W467&lt;&gt;"",W467,IFERROR(VLOOKUP(V467,Assumptions!$A$8:$F$12,2,FALSE),0))</f>
        <v/>
      </c>
      <c r="AA467" s="28">
        <f>IF(V467="A",MAX(1,IF(X467&lt;&gt;"",X467,IFERROR(VLOOKUP(V467,Assumptions!$A$8:$F$12,3,FALSE),3))+IF(Y467&lt;&gt;"",Y467,IFERROR(VLOOKUP(V467,Assumptions!$A$8:$F$12,4,FALSE),8))/2-MAX(0,IF(AS467="",0,YEAR(TODAY())-AS467)-IFERROR(VLOOKUP(V467,Assumptions!$A$8:$F$12,5,FALSE),1.5))),IFERROR(VLOOKUP(V467,Assumptions!$A$8:$F$12,5,FALSE),2.5)+IF(X467&lt;&gt;"",X467,IFERROR(VLOOKUP(V467,Assumptions!$A$8:$F$12,3,FALSE),3))+IF(Y467&lt;&gt;"",Y467,IFERROR(VLOOKUP(V467,Assumptions!$A$8:$F$12,4,FALSE),8))/2)</f>
        <v/>
      </c>
      <c r="AB467" s="24">
        <f>U467*Z467/(1+Assumptions!$B$3)^AA467</f>
        <v/>
      </c>
      <c r="AC467" s="27">
        <f>IF(U467=0,"",ROUND(AB467/U467*100,1))</f>
        <v/>
      </c>
      <c r="AD467" s="29">
        <f>AB467*Assumptions!$B$4</f>
        <v/>
      </c>
      <c r="AE467" s="27">
        <f>IF(U467=0,"",ROUND(AD467/U467*100,1))</f>
        <v/>
      </c>
      <c r="AF467" s="29">
        <f>AB467-AD467</f>
        <v/>
      </c>
      <c r="AG467" s="27">
        <f>IF(U467=0,"",ROUND((AB467-AD467)/U467*100,1))</f>
        <v/>
      </c>
      <c r="AH467" s="30" t="inlineStr">
        <is>
          <t>OK — totals reconciled</t>
        </is>
      </c>
      <c r="AI467" s="31" t="inlineStr">
        <is>
          <t>https://recuperacaojudicial.squarespace.com/s/RJ-Credimoveis-QGC-01082025.pdf</t>
        </is>
      </c>
      <c r="AJ467" s="30" t="inlineStr">
        <is>
          <t>p15 r29</t>
        </is>
      </c>
      <c r="AK467" s="30" t="inlineStr">
        <is>
          <t>p15: R$ 376.130,35</t>
        </is>
      </c>
      <c r="AL467" s="30" t="inlineStr">
        <is>
          <t>QGC (art. 18)</t>
        </is>
      </c>
      <c r="AM467" s="30" t="inlineStr">
        <is>
          <t>2026-01-28</t>
        </is>
      </c>
      <c r="AN467" s="30" t="inlineStr">
        <is>
          <t>NONE FOUND</t>
        </is>
      </c>
      <c r="AO467" s="32" t="inlineStr">
        <is>
          <t>0007565-40.2020.8.17.2370</t>
        </is>
      </c>
      <c r="AP467" s="32" t="inlineStr">
        <is>
          <t>TJPE</t>
        </is>
      </c>
      <c r="AQ467" s="32" t="inlineStr">
        <is>
          <t>Recuperação judicial</t>
        </is>
      </c>
      <c r="AR467" s="32" t="inlineStr">
        <is>
          <t>DataJud: no closure/falência movement</t>
        </is>
      </c>
      <c r="AS467" s="32" t="n">
        <v>2020</v>
      </c>
      <c r="AT467" s="32" t="inlineStr">
        <is>
          <t>6y since filing; plan not in our documents</t>
        </is>
      </c>
      <c r="AU467" s="32" t="inlineStr">
        <is>
          <t>09.930.165/0001-37</t>
        </is>
      </c>
      <c r="AV467" s="32" t="inlineStr">
        <is>
          <t>printed on the list (read twice)</t>
        </is>
      </c>
      <c r="AW467" s="32" t="inlineStr"/>
      <c r="AX467" s="32" t="inlineStr">
        <is>
          <t>MARANGUAPE</t>
        </is>
      </c>
      <c r="AY467" s="32" t="inlineStr">
        <is>
          <t>CE</t>
        </is>
      </c>
      <c r="AZ467" s="32" t="inlineStr">
        <is>
          <t>Fabricação de outros aparelhos eletrodomésticos não especificados anteriormente, peças e acessórios</t>
        </is>
      </c>
      <c r="BA467" s="32" t="inlineStr">
        <is>
          <t>não ME/EPP</t>
        </is>
      </c>
      <c r="BB467" s="33" t="n">
        <v>81368980</v>
      </c>
      <c r="BC467" s="32" t="inlineStr">
        <is>
          <t>MID-MARKET</t>
        </is>
      </c>
      <c r="BD467" s="32" t="inlineStr">
        <is>
          <t>00153282</t>
        </is>
      </c>
      <c r="BE467" s="32" t="n">
        <v>1</v>
      </c>
      <c r="BF467" s="32" t="inlineStr"/>
    </row>
    <row r="468">
      <c r="A468" s="17" t="inlineStr">
        <is>
          <t>ITW PPF BRASIL ADESIVOS LTDA.</t>
        </is>
      </c>
      <c r="B468" s="18" t="n">
        <v>662505.99</v>
      </c>
      <c r="C468" s="19" t="inlineStr">
        <is>
          <t>Mannes</t>
        </is>
      </c>
      <c r="D468" s="20" t="inlineStr">
        <is>
          <t>NEW</t>
        </is>
      </c>
      <c r="E468" s="21" t="inlineStr"/>
      <c r="F468" s="20" t="inlineStr"/>
      <c r="G468" s="21" t="inlineStr"/>
      <c r="H468" s="20" t="inlineStr"/>
      <c r="I468" s="22" t="inlineStr">
        <is>
          <t>Sonia Rogatto</t>
        </is>
      </c>
      <c r="J468" s="22" t="inlineStr">
        <is>
          <t>VP &amp; General Manager, ITW Polymers South America</t>
        </is>
      </c>
      <c r="K468" s="22" t="inlineStr">
        <is>
          <t>(19) 2138-7643</t>
        </is>
      </c>
      <c r="L468" s="22" t="inlineStr">
        <is>
          <t>(19) 2138-7642</t>
        </is>
      </c>
      <c r="M468" s="22" t="inlineStr"/>
      <c r="N468" s="22" t="inlineStr">
        <is>
          <t>srogatto@itw.com.br</t>
        </is>
      </c>
      <c r="O468" s="22" t="inlineStr">
        <is>
          <t>verified</t>
        </is>
      </c>
      <c r="P468" s="22" t="inlineStr">
        <is>
          <t>DANIEL DE ANDRADE PRADO</t>
        </is>
      </c>
      <c r="Q468" s="22" t="inlineStr">
        <is>
          <t>Administrador (RFB partner)</t>
        </is>
      </c>
      <c r="R468" s="22" t="inlineStr"/>
      <c r="S468" s="22" t="inlineStr"/>
      <c r="T468" s="22" t="inlineStr">
        <is>
          <t>DM: has_email</t>
        </is>
      </c>
      <c r="U468" s="24" t="n">
        <v>662505.99</v>
      </c>
      <c r="V468" s="40" t="inlineStr">
        <is>
          <t>D</t>
        </is>
      </c>
      <c r="W468" s="26" t="inlineStr"/>
      <c r="X468" s="27" t="inlineStr"/>
      <c r="Y468" s="27" t="inlineStr"/>
      <c r="Z468" s="26">
        <f>IF(W468&lt;&gt;"",W468,IFERROR(VLOOKUP(V468,Assumptions!$A$8:$F$12,2,FALSE),0))</f>
        <v/>
      </c>
      <c r="AA468" s="28">
        <f>IF(V468="A",MAX(1,IF(X468&lt;&gt;"",X468,IFERROR(VLOOKUP(V468,Assumptions!$A$8:$F$12,3,FALSE),3))+IF(Y468&lt;&gt;"",Y468,IFERROR(VLOOKUP(V468,Assumptions!$A$8:$F$12,4,FALSE),8))/2-MAX(0,IF(AS468="",0,YEAR(TODAY())-AS468)-IFERROR(VLOOKUP(V468,Assumptions!$A$8:$F$12,5,FALSE),1.5))),IFERROR(VLOOKUP(V468,Assumptions!$A$8:$F$12,5,FALSE),2.5)+IF(X468&lt;&gt;"",X468,IFERROR(VLOOKUP(V468,Assumptions!$A$8:$F$12,3,FALSE),3))+IF(Y468&lt;&gt;"",Y468,IFERROR(VLOOKUP(V468,Assumptions!$A$8:$F$12,4,FALSE),8))/2)</f>
        <v/>
      </c>
      <c r="AB468" s="24">
        <f>U468*Z468/(1+Assumptions!$B$3)^AA468</f>
        <v/>
      </c>
      <c r="AC468" s="27">
        <f>IF(U468=0,"",ROUND(AB468/U468*100,1))</f>
        <v/>
      </c>
      <c r="AD468" s="29">
        <f>AB468*Assumptions!$B$4</f>
        <v/>
      </c>
      <c r="AE468" s="27">
        <f>IF(U468=0,"",ROUND(AD468/U468*100,1))</f>
        <v/>
      </c>
      <c r="AF468" s="29">
        <f>AB468-AD468</f>
        <v/>
      </c>
      <c r="AG468" s="27">
        <f>IF(U468=0,"",ROUND((AB468-AD468)/U468*100,1))</f>
        <v/>
      </c>
      <c r="AH468" s="36" t="inlineStr">
        <is>
          <t>CHECK — source is not a statutory creditor list</t>
        </is>
      </c>
      <c r="AI468" s="31" t="inlineStr">
        <is>
          <t>https://administradorajudicialgs.com.br/wp-content/uploads/2024/12/relacao-de-credores-da-falida.pdf</t>
        </is>
      </c>
      <c r="AJ468" s="30" t="inlineStr">
        <is>
          <t>p15 r41</t>
        </is>
      </c>
      <c r="AK468" s="30" t="inlineStr">
        <is>
          <t>p15: R$ 662.505,99</t>
        </is>
      </c>
      <c r="AL468" s="30" t="inlineStr">
        <is>
          <t>Other filing — NOT an art. 7/51 list</t>
        </is>
      </c>
      <c r="AM468" s="30" t="inlineStr">
        <is>
          <t>2025-03-25</t>
        </is>
      </c>
      <c r="AN468" s="30" t="inlineStr">
        <is>
          <t>NONE FOUND</t>
        </is>
      </c>
      <c r="AO468" s="32" t="inlineStr">
        <is>
          <t>0005010-50.2013.8.24.0026</t>
        </is>
      </c>
      <c r="AP468" s="32" t="inlineStr">
        <is>
          <t>TJSC</t>
        </is>
      </c>
      <c r="AQ468" s="32" t="inlineStr">
        <is>
          <t>Falência</t>
        </is>
      </c>
      <c r="AR468" s="32" t="inlineStr">
        <is>
          <t>not in DataJud</t>
        </is>
      </c>
      <c r="AS468" s="32" t="n">
        <v>2013</v>
      </c>
      <c r="AT468" s="32" t="inlineStr">
        <is>
          <t>falência proceeding (list/name says falida)</t>
        </is>
      </c>
      <c r="AU468" s="32" t="inlineStr"/>
      <c r="AV468" s="32" t="inlineStr">
        <is>
          <t>printed on the list (read twice)</t>
        </is>
      </c>
      <c r="AW468" s="32" t="inlineStr"/>
      <c r="AX468" s="32" t="inlineStr">
        <is>
          <t>VALINHOS</t>
        </is>
      </c>
      <c r="AY468" s="32" t="inlineStr">
        <is>
          <t>SP</t>
        </is>
      </c>
      <c r="AZ468" s="32" t="inlineStr">
        <is>
          <t>Fabricação de adesivos e selantes</t>
        </is>
      </c>
      <c r="BA468" s="32" t="inlineStr">
        <is>
          <t>não ME/EPP</t>
        </is>
      </c>
      <c r="BB468" s="33" t="n">
        <v>49809130</v>
      </c>
      <c r="BC468" s="32" t="inlineStr">
        <is>
          <t>MID-MARKET</t>
        </is>
      </c>
      <c r="BD468" s="32" t="inlineStr">
        <is>
          <t>05858780</t>
        </is>
      </c>
      <c r="BE468" s="32" t="n">
        <v>1</v>
      </c>
      <c r="BF468" s="32" t="inlineStr">
        <is>
          <t>list prints no totals case no. corrected by reader</t>
        </is>
      </c>
    </row>
    <row r="469">
      <c r="A469" s="17" t="inlineStr">
        <is>
          <t>UNIDADE REVENDEDORA DE BEBIDAS LTDA</t>
        </is>
      </c>
      <c r="B469" s="18" t="n">
        <v>402999.19</v>
      </c>
      <c r="C469" s="19" t="inlineStr">
        <is>
          <t>GRUPO 3E</t>
        </is>
      </c>
      <c r="D469" s="20" t="inlineStr">
        <is>
          <t>NEW</t>
        </is>
      </c>
      <c r="E469" s="21" t="inlineStr"/>
      <c r="F469" s="20" t="inlineStr"/>
      <c r="G469" s="21" t="inlineStr"/>
      <c r="H469" s="20" t="inlineStr"/>
      <c r="I469" s="22" t="inlineStr">
        <is>
          <t>Lidia Costa</t>
        </is>
      </c>
      <c r="J469" s="22" t="inlineStr">
        <is>
          <t>Financial Administrative Manager</t>
        </is>
      </c>
      <c r="K469" s="22" t="inlineStr">
        <is>
          <t>(62) 8455-8905</t>
        </is>
      </c>
      <c r="L469" s="22" t="inlineStr"/>
      <c r="M469" s="22" t="inlineStr"/>
      <c r="N469" s="22" t="inlineStr"/>
      <c r="O469" s="22" t="inlineStr"/>
      <c r="P469" s="22" t="inlineStr">
        <is>
          <t>GRAZIELA PEREZ DINAMARCO SOLERA</t>
        </is>
      </c>
      <c r="Q469" s="22" t="inlineStr">
        <is>
          <t>Sócio-Administrador (RFB partner)</t>
        </is>
      </c>
      <c r="R469" s="22" t="inlineStr"/>
      <c r="S469" s="22" t="inlineStr"/>
      <c r="T469" s="22" t="inlineStr">
        <is>
          <t>no work email in Apollo for DM</t>
        </is>
      </c>
      <c r="U469" s="24" t="n">
        <v>402999.19</v>
      </c>
      <c r="V469" s="25" t="inlineStr">
        <is>
          <t>B</t>
        </is>
      </c>
      <c r="W469" s="26" t="n">
        <v>0.12</v>
      </c>
      <c r="X469" s="27" t="n">
        <v>2</v>
      </c>
      <c r="Y469" s="27" t="n">
        <v>13</v>
      </c>
      <c r="Z469" s="26">
        <f>IF(W469&lt;&gt;"",W469,IFERROR(VLOOKUP(V469,Assumptions!$A$8:$F$12,2,FALSE),0))</f>
        <v/>
      </c>
      <c r="AA469" s="28">
        <f>IF(V469="A",MAX(1,IF(X469&lt;&gt;"",X469,IFERROR(VLOOKUP(V469,Assumptions!$A$8:$F$12,3,FALSE),3))+IF(Y469&lt;&gt;"",Y469,IFERROR(VLOOKUP(V469,Assumptions!$A$8:$F$12,4,FALSE),8))/2-MAX(0,IF(AS469="",0,YEAR(TODAY())-AS469)-IFERROR(VLOOKUP(V469,Assumptions!$A$8:$F$12,5,FALSE),1.5))),IFERROR(VLOOKUP(V469,Assumptions!$A$8:$F$12,5,FALSE),2.5)+IF(X469&lt;&gt;"",X469,IFERROR(VLOOKUP(V469,Assumptions!$A$8:$F$12,3,FALSE),3))+IF(Y469&lt;&gt;"",Y469,IFERROR(VLOOKUP(V469,Assumptions!$A$8:$F$12,4,FALSE),8))/2)</f>
        <v/>
      </c>
      <c r="AB469" s="24">
        <f>U469*Z469/(1+Assumptions!$B$3)^AA469</f>
        <v/>
      </c>
      <c r="AC469" s="27">
        <f>IF(U469=0,"",ROUND(AB469/U469*100,1))</f>
        <v/>
      </c>
      <c r="AD469" s="29">
        <f>AB469*Assumptions!$B$4</f>
        <v/>
      </c>
      <c r="AE469" s="27">
        <f>IF(U469=0,"",ROUND(AD469/U469*100,1))</f>
        <v/>
      </c>
      <c r="AF469" s="29">
        <f>AB469-AD469</f>
        <v/>
      </c>
      <c r="AG469" s="27">
        <f>IF(U469=0,"",ROUND((AB469-AD469)/U469*100,1))</f>
        <v/>
      </c>
      <c r="AH469" s="34" t="inlineStr">
        <is>
          <t>NO TOTALS — list prints none; check page</t>
        </is>
      </c>
      <c r="AI469" s="31" t="inlineStr">
        <is>
          <t>https://stenius.com.br/wp-content/uploads/2026/06/EDITAL-GRUPO-3E.pdf</t>
        </is>
      </c>
      <c r="AJ469" s="30" t="inlineStr">
        <is>
          <t>p11 r56</t>
        </is>
      </c>
      <c r="AK469" s="30" t="inlineStr">
        <is>
          <t>p11: R$ 402.999,19</t>
        </is>
      </c>
      <c r="AL469" s="30" t="inlineStr">
        <is>
          <t>Debtor list (art. 51)</t>
        </is>
      </c>
      <c r="AM469" s="30" t="inlineStr">
        <is>
          <t>2026-06-22</t>
        </is>
      </c>
      <c r="AN469" s="30" t="inlineStr">
        <is>
          <t>PLAN FILED (art. 53), not granted</t>
        </is>
      </c>
      <c r="AO469" s="32" t="inlineStr">
        <is>
          <t>5341375-33.2026.8.09.0049</t>
        </is>
      </c>
      <c r="AP469" s="32" t="inlineStr">
        <is>
          <t>TJGO</t>
        </is>
      </c>
      <c r="AQ469" s="32" t="inlineStr">
        <is>
          <t>Recuperação judicial</t>
        </is>
      </c>
      <c r="AR469" s="32" t="inlineStr">
        <is>
          <t>DataJud: no closure/falência movement</t>
        </is>
      </c>
      <c r="AS469" s="32" t="n">
        <v>2026</v>
      </c>
      <c r="AT469" s="32" t="inlineStr">
        <is>
          <t>plan filed (art. 53), not yet granted</t>
        </is>
      </c>
      <c r="AU469" s="32" t="inlineStr"/>
      <c r="AV469" s="32" t="inlineStr">
        <is>
          <t>printed on the list (read twice)</t>
        </is>
      </c>
      <c r="AW469" s="32" t="inlineStr">
        <is>
          <t>Plano de Recuperação Judicial Grupo 3E v2.0 (Métis), mov. 321, pp.24-25</t>
        </is>
      </c>
      <c r="AX469" s="32" t="inlineStr">
        <is>
          <t>PORANGATU</t>
        </is>
      </c>
      <c r="AY469" s="32" t="inlineStr">
        <is>
          <t>GO</t>
        </is>
      </c>
      <c r="AZ469" s="32" t="inlineStr">
        <is>
          <t>Comércio atacadista de cerveja, chope e refrigerante</t>
        </is>
      </c>
      <c r="BA469" s="32" t="inlineStr">
        <is>
          <t>não ME/EPP</t>
        </is>
      </c>
      <c r="BB469" s="33" t="n">
        <v>9886428</v>
      </c>
      <c r="BC469" s="32" t="inlineStr">
        <is>
          <t>MID-MARKET</t>
        </is>
      </c>
      <c r="BD469" s="32" t="inlineStr">
        <is>
          <t>12095666</t>
        </is>
      </c>
      <c r="BE469" s="32" t="n">
        <v>1</v>
      </c>
      <c r="BF469" s="32" t="inlineStr">
        <is>
          <t>list prints no totals</t>
        </is>
      </c>
    </row>
    <row r="470">
      <c r="A470" s="17" t="inlineStr">
        <is>
          <t>INDUSTRIA DE CARROCERIAS METALICAS IBIPORA LTDA</t>
        </is>
      </c>
      <c r="B470" s="18" t="n">
        <v>398969.08</v>
      </c>
      <c r="C470" s="19" t="inlineStr">
        <is>
          <t>GRUPO 3E</t>
        </is>
      </c>
      <c r="D470" s="20" t="inlineStr">
        <is>
          <t>NEW</t>
        </is>
      </c>
      <c r="E470" s="21" t="inlineStr"/>
      <c r="F470" s="20" t="inlineStr"/>
      <c r="G470" s="21" t="inlineStr"/>
      <c r="H470" s="20" t="inlineStr"/>
      <c r="I470" s="22" t="inlineStr">
        <is>
          <t>DAVID WILLIAM MARTINS DA COSTA</t>
        </is>
      </c>
      <c r="J470" s="23" t="inlineStr">
        <is>
          <t>Sócio-Administrador (RFB partner)</t>
        </is>
      </c>
      <c r="K470" s="22" t="inlineStr">
        <is>
          <t>(43) 3178-5000</t>
        </is>
      </c>
      <c r="L470" s="22" t="inlineStr"/>
      <c r="M470" s="22" t="inlineStr"/>
      <c r="N470" s="22" t="inlineStr"/>
      <c r="O470" s="22" t="inlineStr"/>
      <c r="P470" s="22" t="inlineStr">
        <is>
          <t>DEVANIR MARTINS DA COSTA</t>
        </is>
      </c>
      <c r="Q470" s="22" t="inlineStr">
        <is>
          <t>Sócio-Administrador (RFB partner)</t>
        </is>
      </c>
      <c r="R470" s="22" t="inlineStr"/>
      <c r="S470" s="22" t="inlineStr"/>
      <c r="T470" s="22" t="inlineStr">
        <is>
          <t>DM = registered partner (RFB QSA); no Apollo match</t>
        </is>
      </c>
      <c r="U470" s="24" t="n">
        <v>398969.08</v>
      </c>
      <c r="V470" s="25" t="inlineStr">
        <is>
          <t>B</t>
        </is>
      </c>
      <c r="W470" s="26" t="n">
        <v>0.12</v>
      </c>
      <c r="X470" s="27" t="n">
        <v>2</v>
      </c>
      <c r="Y470" s="27" t="n">
        <v>13</v>
      </c>
      <c r="Z470" s="26">
        <f>IF(W470&lt;&gt;"",W470,IFERROR(VLOOKUP(V470,Assumptions!$A$8:$F$12,2,FALSE),0))</f>
        <v/>
      </c>
      <c r="AA470" s="28">
        <f>IF(V470="A",MAX(1,IF(X470&lt;&gt;"",X470,IFERROR(VLOOKUP(V470,Assumptions!$A$8:$F$12,3,FALSE),3))+IF(Y470&lt;&gt;"",Y470,IFERROR(VLOOKUP(V470,Assumptions!$A$8:$F$12,4,FALSE),8))/2-MAX(0,IF(AS470="",0,YEAR(TODAY())-AS470)-IFERROR(VLOOKUP(V470,Assumptions!$A$8:$F$12,5,FALSE),1.5))),IFERROR(VLOOKUP(V470,Assumptions!$A$8:$F$12,5,FALSE),2.5)+IF(X470&lt;&gt;"",X470,IFERROR(VLOOKUP(V470,Assumptions!$A$8:$F$12,3,FALSE),3))+IF(Y470&lt;&gt;"",Y470,IFERROR(VLOOKUP(V470,Assumptions!$A$8:$F$12,4,FALSE),8))/2)</f>
        <v/>
      </c>
      <c r="AB470" s="24">
        <f>U470*Z470/(1+Assumptions!$B$3)^AA470</f>
        <v/>
      </c>
      <c r="AC470" s="27">
        <f>IF(U470=0,"",ROUND(AB470/U470*100,1))</f>
        <v/>
      </c>
      <c r="AD470" s="29">
        <f>AB470*Assumptions!$B$4</f>
        <v/>
      </c>
      <c r="AE470" s="27">
        <f>IF(U470=0,"",ROUND(AD470/U470*100,1))</f>
        <v/>
      </c>
      <c r="AF470" s="29">
        <f>AB470-AD470</f>
        <v/>
      </c>
      <c r="AG470" s="27">
        <f>IF(U470=0,"",ROUND((AB470-AD470)/U470*100,1))</f>
        <v/>
      </c>
      <c r="AH470" s="34" t="inlineStr">
        <is>
          <t>NO TOTALS — list prints none; check page</t>
        </is>
      </c>
      <c r="AI470" s="31" t="inlineStr">
        <is>
          <t>https://stenius.com.br/wp-content/uploads/2026/06/EDITAL-GRUPO-3E.pdf</t>
        </is>
      </c>
      <c r="AJ470" s="30" t="inlineStr">
        <is>
          <t>p14 r52</t>
        </is>
      </c>
      <c r="AK470" s="30" t="inlineStr">
        <is>
          <t>p14: R$ 398.969,08</t>
        </is>
      </c>
      <c r="AL470" s="30" t="inlineStr">
        <is>
          <t>Debtor list (art. 51)</t>
        </is>
      </c>
      <c r="AM470" s="30" t="inlineStr">
        <is>
          <t>2026-06-22</t>
        </is>
      </c>
      <c r="AN470" s="30" t="inlineStr">
        <is>
          <t>PLAN FILED (art. 53), not granted</t>
        </is>
      </c>
      <c r="AO470" s="32" t="inlineStr">
        <is>
          <t>5341375-33.2026.8.09.0049</t>
        </is>
      </c>
      <c r="AP470" s="32" t="inlineStr">
        <is>
          <t>TJGO</t>
        </is>
      </c>
      <c r="AQ470" s="32" t="inlineStr">
        <is>
          <t>Recuperação judicial</t>
        </is>
      </c>
      <c r="AR470" s="32" t="inlineStr">
        <is>
          <t>DataJud: no closure/falência movement</t>
        </is>
      </c>
      <c r="AS470" s="32" t="n">
        <v>2026</v>
      </c>
      <c r="AT470" s="32" t="inlineStr">
        <is>
          <t>plan filed (art. 53), not yet granted</t>
        </is>
      </c>
      <c r="AU470" s="32" t="inlineStr"/>
      <c r="AV470" s="32" t="inlineStr">
        <is>
          <t>printed on the list (read twice)</t>
        </is>
      </c>
      <c r="AW470" s="32" t="inlineStr">
        <is>
          <t>Plano de Recuperação Judicial Grupo 3E v2.0 (Métis), mov. 321, pp.24-25</t>
        </is>
      </c>
      <c r="AX470" s="32" t="inlineStr">
        <is>
          <t>IBIPORA</t>
        </is>
      </c>
      <c r="AY470" s="32" t="inlineStr">
        <is>
          <t>PR</t>
        </is>
      </c>
      <c r="AZ470" s="32" t="inlineStr">
        <is>
          <t>Fabricação de cabines, carrocerias e reboques para caminhões</t>
        </is>
      </c>
      <c r="BA470" s="32" t="inlineStr">
        <is>
          <t>não ME/EPP</t>
        </is>
      </c>
      <c r="BB470" s="33" t="n">
        <v>13650000</v>
      </c>
      <c r="BC470" s="32" t="inlineStr">
        <is>
          <t>MID-MARKET</t>
        </is>
      </c>
      <c r="BD470" s="32" t="inlineStr">
        <is>
          <t>85462471</t>
        </is>
      </c>
      <c r="BE470" s="32" t="n">
        <v>1</v>
      </c>
      <c r="BF470" s="32" t="inlineStr">
        <is>
          <t>list prints no totals</t>
        </is>
      </c>
    </row>
    <row r="471">
      <c r="A471" s="17" t="inlineStr">
        <is>
          <t>HEMOPROT INDUSTRIA E COMERCIO DE PRODUTOS FRIGORIFICOS LTDA</t>
        </is>
      </c>
      <c r="B471" s="18" t="n">
        <v>398000</v>
      </c>
      <c r="C471" s="19" t="inlineStr">
        <is>
          <t>GRUPO 3E</t>
        </is>
      </c>
      <c r="D471" s="20" t="inlineStr">
        <is>
          <t>NEW</t>
        </is>
      </c>
      <c r="E471" s="21" t="inlineStr"/>
      <c r="F471" s="20" t="inlineStr"/>
      <c r="G471" s="21" t="inlineStr"/>
      <c r="H471" s="20" t="inlineStr"/>
      <c r="I471" s="22" t="inlineStr">
        <is>
          <t>GUIDO ALOIS LUDVIG</t>
        </is>
      </c>
      <c r="J471" s="23" t="inlineStr">
        <is>
          <t>Administrador (RFB partner)</t>
        </is>
      </c>
      <c r="K471" s="22" t="inlineStr">
        <is>
          <t>(67) 9212-6719</t>
        </is>
      </c>
      <c r="L471" s="22" t="inlineStr"/>
      <c r="M471" s="22" t="inlineStr"/>
      <c r="N471" s="22" t="inlineStr"/>
      <c r="O471" s="22" t="inlineStr"/>
      <c r="P471" s="22" t="inlineStr">
        <is>
          <t>Gustavo Dunzer</t>
        </is>
      </c>
      <c r="Q471" s="22" t="inlineStr">
        <is>
          <t>Contador (CRC SC-041346/O-2)</t>
        </is>
      </c>
      <c r="R471" s="22" t="inlineStr"/>
      <c r="S471" s="22" t="inlineStr">
        <is>
          <t>gustavo.dunzer@hemoprot.com.br</t>
        </is>
      </c>
      <c r="T471" s="22" t="inlineStr">
        <is>
          <t>DM = registered partner (RFB QSA); Apollo pick demoted to backup (non-finance role); BACKUP: has_email</t>
        </is>
      </c>
      <c r="U471" s="24" t="n">
        <v>398000</v>
      </c>
      <c r="V471" s="25" t="inlineStr">
        <is>
          <t>B</t>
        </is>
      </c>
      <c r="W471" s="26" t="n">
        <v>0.12</v>
      </c>
      <c r="X471" s="27" t="n">
        <v>2</v>
      </c>
      <c r="Y471" s="27" t="n">
        <v>13</v>
      </c>
      <c r="Z471" s="26">
        <f>IF(W471&lt;&gt;"",W471,IFERROR(VLOOKUP(V471,Assumptions!$A$8:$F$12,2,FALSE),0))</f>
        <v/>
      </c>
      <c r="AA471" s="28">
        <f>IF(V471="A",MAX(1,IF(X471&lt;&gt;"",X471,IFERROR(VLOOKUP(V471,Assumptions!$A$8:$F$12,3,FALSE),3))+IF(Y471&lt;&gt;"",Y471,IFERROR(VLOOKUP(V471,Assumptions!$A$8:$F$12,4,FALSE),8))/2-MAX(0,IF(AS471="",0,YEAR(TODAY())-AS471)-IFERROR(VLOOKUP(V471,Assumptions!$A$8:$F$12,5,FALSE),1.5))),IFERROR(VLOOKUP(V471,Assumptions!$A$8:$F$12,5,FALSE),2.5)+IF(X471&lt;&gt;"",X471,IFERROR(VLOOKUP(V471,Assumptions!$A$8:$F$12,3,FALSE),3))+IF(Y471&lt;&gt;"",Y471,IFERROR(VLOOKUP(V471,Assumptions!$A$8:$F$12,4,FALSE),8))/2)</f>
        <v/>
      </c>
      <c r="AB471" s="24">
        <f>U471*Z471/(1+Assumptions!$B$3)^AA471</f>
        <v/>
      </c>
      <c r="AC471" s="27">
        <f>IF(U471=0,"",ROUND(AB471/U471*100,1))</f>
        <v/>
      </c>
      <c r="AD471" s="29">
        <f>AB471*Assumptions!$B$4</f>
        <v/>
      </c>
      <c r="AE471" s="27">
        <f>IF(U471=0,"",ROUND(AD471/U471*100,1))</f>
        <v/>
      </c>
      <c r="AF471" s="29">
        <f>AB471-AD471</f>
        <v/>
      </c>
      <c r="AG471" s="27">
        <f>IF(U471=0,"",ROUND((AB471-AD471)/U471*100,1))</f>
        <v/>
      </c>
      <c r="AH471" s="34" t="inlineStr">
        <is>
          <t>NO TOTALS — list prints none; check page</t>
        </is>
      </c>
      <c r="AI471" s="31" t="inlineStr">
        <is>
          <t>https://stenius.com.br/wp-content/uploads/2026/06/EDITAL-GRUPO-3E.pdf</t>
        </is>
      </c>
      <c r="AJ471" s="30" t="inlineStr">
        <is>
          <t>p14 r36</t>
        </is>
      </c>
      <c r="AK471" s="30" t="inlineStr">
        <is>
          <t>p14: R$ 398.000,00</t>
        </is>
      </c>
      <c r="AL471" s="30" t="inlineStr">
        <is>
          <t>Debtor list (art. 51)</t>
        </is>
      </c>
      <c r="AM471" s="30" t="inlineStr">
        <is>
          <t>2026-06-22</t>
        </is>
      </c>
      <c r="AN471" s="30" t="inlineStr">
        <is>
          <t>PLAN FILED (art. 53), not granted</t>
        </is>
      </c>
      <c r="AO471" s="32" t="inlineStr">
        <is>
          <t>5341375-33.2026.8.09.0049</t>
        </is>
      </c>
      <c r="AP471" s="32" t="inlineStr">
        <is>
          <t>TJGO</t>
        </is>
      </c>
      <c r="AQ471" s="32" t="inlineStr">
        <is>
          <t>Recuperação judicial</t>
        </is>
      </c>
      <c r="AR471" s="32" t="inlineStr">
        <is>
          <t>DataJud: no closure/falência movement</t>
        </is>
      </c>
      <c r="AS471" s="32" t="n">
        <v>2026</v>
      </c>
      <c r="AT471" s="32" t="inlineStr">
        <is>
          <t>plan filed (art. 53), not yet granted</t>
        </is>
      </c>
      <c r="AU471" s="32" t="inlineStr"/>
      <c r="AV471" s="32" t="inlineStr">
        <is>
          <t>printed on the list (read twice)</t>
        </is>
      </c>
      <c r="AW471" s="32" t="inlineStr">
        <is>
          <t>Plano de Recuperação Judicial Grupo 3E v2.0 (Métis), mov. 321, pp.24-25</t>
        </is>
      </c>
      <c r="AX471" s="32" t="inlineStr">
        <is>
          <t>MUNDO NOVO</t>
        </is>
      </c>
      <c r="AY471" s="32" t="inlineStr">
        <is>
          <t>MS</t>
        </is>
      </c>
      <c r="AZ471" s="32" t="inlineStr">
        <is>
          <t>Preparação de subprodutos do abate</t>
        </is>
      </c>
      <c r="BA471" s="32" t="inlineStr">
        <is>
          <t>não ME/EPP</t>
        </is>
      </c>
      <c r="BB471" s="33" t="n">
        <v>70633910</v>
      </c>
      <c r="BC471" s="32" t="inlineStr">
        <is>
          <t>MID-MARKET</t>
        </is>
      </c>
      <c r="BD471" s="32" t="inlineStr">
        <is>
          <t>02525961</t>
        </is>
      </c>
      <c r="BE471" s="32" t="n">
        <v>1</v>
      </c>
      <c r="BF471" s="32" t="inlineStr">
        <is>
          <t>list prints no totals</t>
        </is>
      </c>
    </row>
    <row r="472">
      <c r="A472" s="17" t="inlineStr">
        <is>
          <t>COMPANHIA ENERGETICA DE PERNAMBUCO</t>
        </is>
      </c>
      <c r="B472" s="18" t="n">
        <v>642987.9399999999</v>
      </c>
      <c r="C472" s="19" t="inlineStr">
        <is>
          <t>COPA FRUIT IMPORTAÇÃO E EXPORTAÇÃO S.A</t>
        </is>
      </c>
      <c r="D472" s="20" t="inlineStr">
        <is>
          <t>NEW</t>
        </is>
      </c>
      <c r="E472" s="21" t="inlineStr"/>
      <c r="F472" s="20" t="inlineStr"/>
      <c r="G472" s="21" t="inlineStr"/>
      <c r="H472" s="20" t="inlineStr"/>
      <c r="I472" s="22" t="inlineStr">
        <is>
          <t>SAULO CABRAL E SILVA</t>
        </is>
      </c>
      <c r="J472" s="23" t="inlineStr">
        <is>
          <t>Presidente (RFB partner)</t>
        </is>
      </c>
      <c r="K472" s="22" t="inlineStr">
        <is>
          <t>(81) 3217-5226</t>
        </is>
      </c>
      <c r="L472" s="22" t="inlineStr"/>
      <c r="M472" s="22" t="inlineStr"/>
      <c r="N472" s="22" t="inlineStr"/>
      <c r="O472" s="22" t="inlineStr"/>
      <c r="P472" s="22" t="inlineStr">
        <is>
          <t>FABIANO DA ROSA CARVALHO</t>
        </is>
      </c>
      <c r="Q472" s="22" t="inlineStr">
        <is>
          <t>Diretor (RFB partner)</t>
        </is>
      </c>
      <c r="R472" s="22" t="inlineStr"/>
      <c r="S472" s="22" t="inlineStr"/>
      <c r="T472" s="22" t="inlineStr">
        <is>
          <t>DM = registered partner (RFB QSA); no Apollo match</t>
        </is>
      </c>
      <c r="U472" s="24" t="n">
        <v>642987.9399999999</v>
      </c>
      <c r="V472" s="40" t="inlineStr">
        <is>
          <t>D</t>
        </is>
      </c>
      <c r="W472" s="26" t="inlineStr"/>
      <c r="X472" s="27" t="inlineStr"/>
      <c r="Y472" s="27" t="inlineStr"/>
      <c r="Z472" s="26">
        <f>IF(W472&lt;&gt;"",W472,IFERROR(VLOOKUP(V472,Assumptions!$A$8:$F$12,2,FALSE),0))</f>
        <v/>
      </c>
      <c r="AA472" s="28">
        <f>IF(V472="A",MAX(1,IF(X472&lt;&gt;"",X472,IFERROR(VLOOKUP(V472,Assumptions!$A$8:$F$12,3,FALSE),3))+IF(Y472&lt;&gt;"",Y472,IFERROR(VLOOKUP(V472,Assumptions!$A$8:$F$12,4,FALSE),8))/2-MAX(0,IF(AS472="",0,YEAR(TODAY())-AS472)-IFERROR(VLOOKUP(V472,Assumptions!$A$8:$F$12,5,FALSE),1.5))),IFERROR(VLOOKUP(V472,Assumptions!$A$8:$F$12,5,FALSE),2.5)+IF(X472&lt;&gt;"",X472,IFERROR(VLOOKUP(V472,Assumptions!$A$8:$F$12,3,FALSE),3))+IF(Y472&lt;&gt;"",Y472,IFERROR(VLOOKUP(V472,Assumptions!$A$8:$F$12,4,FALSE),8))/2)</f>
        <v/>
      </c>
      <c r="AB472" s="24">
        <f>U472*Z472/(1+Assumptions!$B$3)^AA472</f>
        <v/>
      </c>
      <c r="AC472" s="27">
        <f>IF(U472=0,"",ROUND(AB472/U472*100,1))</f>
        <v/>
      </c>
      <c r="AD472" s="29">
        <f>AB472*Assumptions!$B$4</f>
        <v/>
      </c>
      <c r="AE472" s="27">
        <f>IF(U472=0,"",ROUND(AD472/U472*100,1))</f>
        <v/>
      </c>
      <c r="AF472" s="29">
        <f>AB472-AD472</f>
        <v/>
      </c>
      <c r="AG472" s="27">
        <f>IF(U472=0,"",ROUND((AB472-AD472)/U472*100,1))</f>
        <v/>
      </c>
      <c r="AH472" s="34" t="inlineStr">
        <is>
          <t>NO TOTALS — list prints none; check page</t>
        </is>
      </c>
      <c r="AI472" s="31" t="inlineStr">
        <is>
          <t>https://diligence.adm.br/wp-content/plugins/download-attachments/includes/download.php?id=4579</t>
        </is>
      </c>
      <c r="AJ472" s="30" t="inlineStr">
        <is>
          <t>p8 r9</t>
        </is>
      </c>
      <c r="AK472" s="30" t="inlineStr">
        <is>
          <t>p8: R$ 642.987,94</t>
        </is>
      </c>
      <c r="AL472" s="30" t="inlineStr">
        <is>
          <t>AJ list (art. 7 §2)</t>
        </is>
      </c>
      <c r="AM472" s="30" t="inlineStr">
        <is>
          <t>2024-06-11</t>
        </is>
      </c>
      <c r="AN472" s="30" t="inlineStr">
        <is>
          <t>NONE FOUND</t>
        </is>
      </c>
      <c r="AO472" s="32" t="inlineStr">
        <is>
          <t>0032731-52.2010.8.17.0001</t>
        </is>
      </c>
      <c r="AP472" s="32" t="inlineStr">
        <is>
          <t>TJPE</t>
        </is>
      </c>
      <c r="AQ472" s="32" t="inlineStr">
        <is>
          <t>Falência</t>
        </is>
      </c>
      <c r="AR472" s="32" t="inlineStr">
        <is>
          <t>not in DataJud</t>
        </is>
      </c>
      <c r="AS472" s="32" t="n">
        <v>2010</v>
      </c>
      <c r="AT472" s="32" t="inlineStr">
        <is>
          <t>falência proceeding (list/name says falida)</t>
        </is>
      </c>
      <c r="AU472" s="32" t="inlineStr">
        <is>
          <t>01.356.809/0001-13</t>
        </is>
      </c>
      <c r="AV472" s="32" t="inlineStr">
        <is>
          <t>printed on the list (read twice)</t>
        </is>
      </c>
      <c r="AW472" s="32" t="inlineStr"/>
      <c r="AX472" s="32" t="inlineStr">
        <is>
          <t>RECIFE</t>
        </is>
      </c>
      <c r="AY472" s="32" t="inlineStr">
        <is>
          <t>PE</t>
        </is>
      </c>
      <c r="AZ472" s="32" t="inlineStr">
        <is>
          <t>Distribuição de energia elétrica</t>
        </is>
      </c>
      <c r="BA472" s="32" t="inlineStr">
        <is>
          <t>não ME/EPP</t>
        </is>
      </c>
      <c r="BB472" s="33" t="n">
        <v>1663177700</v>
      </c>
      <c r="BC472" s="32" t="inlineStr">
        <is>
          <t>LARGE CORP</t>
        </is>
      </c>
      <c r="BD472" s="32" t="inlineStr">
        <is>
          <t>10835932</t>
        </is>
      </c>
      <c r="BE472" s="32" t="n">
        <v>1</v>
      </c>
      <c r="BF472" s="32" t="inlineStr">
        <is>
          <t>list prints no totals</t>
        </is>
      </c>
    </row>
    <row r="473">
      <c r="A473" s="17" t="inlineStr">
        <is>
          <t>SOCIEDADE EMBUENSE ADMINISTRACAO E PARTICIPACAO LTDA</t>
        </is>
      </c>
      <c r="B473" s="18" t="n">
        <v>350000</v>
      </c>
      <c r="C473" s="19" t="inlineStr">
        <is>
          <t>TRANSLOCOMOTIVA TRANSPORTES RODOVIÁRIOS E DISTRIBUIÇÃO DE CARGAS LTDA.</t>
        </is>
      </c>
      <c r="D473" s="20" t="inlineStr">
        <is>
          <t>NEW</t>
        </is>
      </c>
      <c r="E473" s="21" t="inlineStr"/>
      <c r="F473" s="20" t="inlineStr"/>
      <c r="G473" s="21" t="inlineStr"/>
      <c r="H473" s="20" t="inlineStr"/>
      <c r="I473" s="22" t="inlineStr">
        <is>
          <t>VITOR BAZI</t>
        </is>
      </c>
      <c r="J473" s="23" t="inlineStr">
        <is>
          <t>Sócio-Administrador (RFB partner)</t>
        </is>
      </c>
      <c r="K473" s="22" t="inlineStr">
        <is>
          <t>(11) 4667-1843</t>
        </is>
      </c>
      <c r="L473" s="22" t="inlineStr"/>
      <c r="M473" s="22" t="inlineStr"/>
      <c r="N473" s="22" t="inlineStr"/>
      <c r="O473" s="22" t="inlineStr"/>
      <c r="P473" s="22" t="inlineStr">
        <is>
          <t>MARIA TAVARES BAZI</t>
        </is>
      </c>
      <c r="Q473" s="22" t="inlineStr">
        <is>
          <t>Administrador (RFB partner)</t>
        </is>
      </c>
      <c r="R473" s="22" t="inlineStr"/>
      <c r="S473" s="22" t="inlineStr"/>
      <c r="T473" s="22" t="inlineStr">
        <is>
          <t>DM = registered partner (RFB QSA); no Apollo match</t>
        </is>
      </c>
      <c r="U473" s="24" t="n">
        <v>350000</v>
      </c>
      <c r="V473" s="39" t="inlineStr">
        <is>
          <t>C</t>
        </is>
      </c>
      <c r="W473" s="26" t="inlineStr"/>
      <c r="X473" s="27" t="inlineStr"/>
      <c r="Y473" s="27" t="inlineStr"/>
      <c r="Z473" s="26">
        <f>IF(W473&lt;&gt;"",W473,IFERROR(VLOOKUP(V473,Assumptions!$A$8:$F$12,2,FALSE),0))</f>
        <v/>
      </c>
      <c r="AA473" s="28">
        <f>IF(V473="A",MAX(1,IF(X473&lt;&gt;"",X473,IFERROR(VLOOKUP(V473,Assumptions!$A$8:$F$12,3,FALSE),3))+IF(Y473&lt;&gt;"",Y473,IFERROR(VLOOKUP(V473,Assumptions!$A$8:$F$12,4,FALSE),8))/2-MAX(0,IF(AS473="",0,YEAR(TODAY())-AS473)-IFERROR(VLOOKUP(V473,Assumptions!$A$8:$F$12,5,FALSE),1.5))),IFERROR(VLOOKUP(V473,Assumptions!$A$8:$F$12,5,FALSE),2.5)+IF(X473&lt;&gt;"",X473,IFERROR(VLOOKUP(V473,Assumptions!$A$8:$F$12,3,FALSE),3))+IF(Y473&lt;&gt;"",Y473,IFERROR(VLOOKUP(V473,Assumptions!$A$8:$F$12,4,FALSE),8))/2)</f>
        <v/>
      </c>
      <c r="AB473" s="24">
        <f>U473*Z473/(1+Assumptions!$B$3)^AA473</f>
        <v/>
      </c>
      <c r="AC473" s="27">
        <f>IF(U473=0,"",ROUND(AB473/U473*100,1))</f>
        <v/>
      </c>
      <c r="AD473" s="29">
        <f>AB473*Assumptions!$B$4</f>
        <v/>
      </c>
      <c r="AE473" s="27">
        <f>IF(U473=0,"",ROUND(AD473/U473*100,1))</f>
        <v/>
      </c>
      <c r="AF473" s="29">
        <f>AB473-AD473</f>
        <v/>
      </c>
      <c r="AG473" s="27">
        <f>IF(U473=0,"",ROUND((AB473-AD473)/U473*100,1))</f>
        <v/>
      </c>
      <c r="AH473" s="34" t="inlineStr">
        <is>
          <t>NO TOTALS — list prints none; check page</t>
        </is>
      </c>
      <c r="AI473" s="31" t="inlineStr">
        <is>
          <t>https://ativosajce.com.br/admin/download.php?file=files/processo_documento/processo_documento18430011062025_1_.pdf&amp;nome=Relação de Credores - Art. 52º § 1º, da Lei nº 11.101/2005 - 13/08/2020</t>
        </is>
      </c>
      <c r="AJ473" s="30" t="inlineStr">
        <is>
          <t>p3 r17</t>
        </is>
      </c>
      <c r="AK473" s="30" t="inlineStr">
        <is>
          <t>p3: R$ 350.000,00</t>
        </is>
      </c>
      <c r="AL473" s="30" t="inlineStr">
        <is>
          <t>AJ list (art. 7 §2)</t>
        </is>
      </c>
      <c r="AM473" s="30" t="inlineStr">
        <is>
          <t>2020-07-19</t>
        </is>
      </c>
      <c r="AN473" s="30" t="inlineStr">
        <is>
          <t>NONE FOUND</t>
        </is>
      </c>
      <c r="AO473" s="32" t="inlineStr">
        <is>
          <t>1000117-72.2020.8.26.0260</t>
        </is>
      </c>
      <c r="AP473" s="32" t="inlineStr">
        <is>
          <t>TJSP</t>
        </is>
      </c>
      <c r="AQ473" s="32" t="inlineStr">
        <is>
          <t>Recuperação judicial</t>
        </is>
      </c>
      <c r="AR473" s="32" t="inlineStr">
        <is>
          <t>DataJud: no closure/falência movement</t>
        </is>
      </c>
      <c r="AS473" s="32" t="n">
        <v>2020</v>
      </c>
      <c r="AT473" s="32" t="inlineStr">
        <is>
          <t>6y since filing; plan not in our documents; case no. from the portal record, not printed on the list</t>
        </is>
      </c>
      <c r="AU473" s="32" t="inlineStr"/>
      <c r="AV473" s="32" t="inlineStr">
        <is>
          <t>printed on the list (read twice)</t>
        </is>
      </c>
      <c r="AW473" s="32" t="inlineStr"/>
      <c r="AX473" s="32" t="inlineStr">
        <is>
          <t>EMBU DAS ARTES</t>
        </is>
      </c>
      <c r="AY473" s="32" t="inlineStr">
        <is>
          <t>SP</t>
        </is>
      </c>
      <c r="AZ473" s="32" t="inlineStr">
        <is>
          <t>Holdings de instituições não-financeiras</t>
        </is>
      </c>
      <c r="BA473" s="32" t="inlineStr">
        <is>
          <t>não ME/EPP</t>
        </is>
      </c>
      <c r="BB473" s="33" t="n">
        <v>2893000</v>
      </c>
      <c r="BC473" s="32" t="inlineStr">
        <is>
          <t>MID-MARKET</t>
        </is>
      </c>
      <c r="BD473" s="32" t="inlineStr">
        <is>
          <t>49655558</t>
        </is>
      </c>
      <c r="BE473" s="32" t="n">
        <v>1</v>
      </c>
      <c r="BF473" s="32" t="inlineStr">
        <is>
          <t>list prints no totals</t>
        </is>
      </c>
    </row>
    <row r="474">
      <c r="A474" s="17" t="inlineStr">
        <is>
          <t>MOVAL MOVEIS ARAPONGAS LTDA</t>
        </is>
      </c>
      <c r="B474" s="18" t="n">
        <v>331696.27</v>
      </c>
      <c r="C474" s="19" t="inlineStr">
        <is>
          <t>CREDIMÓVEIS NOVOLAR LTDA.</t>
        </is>
      </c>
      <c r="D474" s="20" t="inlineStr">
        <is>
          <t>NEW</t>
        </is>
      </c>
      <c r="E474" s="21" t="inlineStr"/>
      <c r="F474" s="20" t="inlineStr"/>
      <c r="G474" s="21" t="inlineStr"/>
      <c r="H474" s="20" t="inlineStr"/>
      <c r="I474" s="22" t="inlineStr">
        <is>
          <t>EVANDRO MARCOS MARTINS E OLIVEIRA</t>
        </is>
      </c>
      <c r="J474" s="23" t="inlineStr">
        <is>
          <t>Sócio-Administrador (RFB partner)</t>
        </is>
      </c>
      <c r="K474" s="22" t="inlineStr"/>
      <c r="L474" s="22" t="inlineStr"/>
      <c r="M474" s="22" t="inlineStr"/>
      <c r="N474" s="22" t="inlineStr"/>
      <c r="O474" s="22" t="inlineStr"/>
      <c r="P474" s="22" t="inlineStr">
        <is>
          <t>FELIPE BATISTA E OLIVEIRA</t>
        </is>
      </c>
      <c r="Q474" s="22" t="inlineStr">
        <is>
          <t>Sócio-Administrador (RFB partner)</t>
        </is>
      </c>
      <c r="R474" s="22" t="inlineStr"/>
      <c r="S474" s="22" t="inlineStr"/>
      <c r="T474" s="22" t="inlineStr">
        <is>
          <t>DM = registered partner (RFB QSA); no Apollo match; NO ROUTE IN: no phone or email on file</t>
        </is>
      </c>
      <c r="U474" s="24" t="n">
        <v>331696.27</v>
      </c>
      <c r="V474" s="39" t="inlineStr">
        <is>
          <t>C</t>
        </is>
      </c>
      <c r="W474" s="26" t="inlineStr"/>
      <c r="X474" s="27" t="inlineStr"/>
      <c r="Y474" s="27" t="inlineStr"/>
      <c r="Z474" s="26">
        <f>IF(W474&lt;&gt;"",W474,IFERROR(VLOOKUP(V474,Assumptions!$A$8:$F$12,2,FALSE),0))</f>
        <v/>
      </c>
      <c r="AA474" s="28">
        <f>IF(V474="A",MAX(1,IF(X474&lt;&gt;"",X474,IFERROR(VLOOKUP(V474,Assumptions!$A$8:$F$12,3,FALSE),3))+IF(Y474&lt;&gt;"",Y474,IFERROR(VLOOKUP(V474,Assumptions!$A$8:$F$12,4,FALSE),8))/2-MAX(0,IF(AS474="",0,YEAR(TODAY())-AS474)-IFERROR(VLOOKUP(V474,Assumptions!$A$8:$F$12,5,FALSE),1.5))),IFERROR(VLOOKUP(V474,Assumptions!$A$8:$F$12,5,FALSE),2.5)+IF(X474&lt;&gt;"",X474,IFERROR(VLOOKUP(V474,Assumptions!$A$8:$F$12,3,FALSE),3))+IF(Y474&lt;&gt;"",Y474,IFERROR(VLOOKUP(V474,Assumptions!$A$8:$F$12,4,FALSE),8))/2)</f>
        <v/>
      </c>
      <c r="AB474" s="24">
        <f>U474*Z474/(1+Assumptions!$B$3)^AA474</f>
        <v/>
      </c>
      <c r="AC474" s="27">
        <f>IF(U474=0,"",ROUND(AB474/U474*100,1))</f>
        <v/>
      </c>
      <c r="AD474" s="29">
        <f>AB474*Assumptions!$B$4</f>
        <v/>
      </c>
      <c r="AE474" s="27">
        <f>IF(U474=0,"",ROUND(AD474/U474*100,1))</f>
        <v/>
      </c>
      <c r="AF474" s="29">
        <f>AB474-AD474</f>
        <v/>
      </c>
      <c r="AG474" s="27">
        <f>IF(U474=0,"",ROUND((AB474-AD474)/U474*100,1))</f>
        <v/>
      </c>
      <c r="AH474" s="30" t="inlineStr">
        <is>
          <t>OK — totals reconciled</t>
        </is>
      </c>
      <c r="AI474" s="31" t="inlineStr">
        <is>
          <t>https://recuperacaojudicial.squarespace.com/s/RJ-Credimoveis-QGC-01082025.pdf</t>
        </is>
      </c>
      <c r="AJ474" s="30" t="inlineStr">
        <is>
          <t>p16 r22</t>
        </is>
      </c>
      <c r="AK474" s="30" t="inlineStr">
        <is>
          <t>p16: R$ 331.696,27</t>
        </is>
      </c>
      <c r="AL474" s="30" t="inlineStr">
        <is>
          <t>QGC (art. 18)</t>
        </is>
      </c>
      <c r="AM474" s="30" t="inlineStr">
        <is>
          <t>2026-01-28</t>
        </is>
      </c>
      <c r="AN474" s="30" t="inlineStr">
        <is>
          <t>NONE FOUND</t>
        </is>
      </c>
      <c r="AO474" s="32" t="inlineStr">
        <is>
          <t>0007565-40.2020.8.17.2370</t>
        </is>
      </c>
      <c r="AP474" s="32" t="inlineStr">
        <is>
          <t>TJPE</t>
        </is>
      </c>
      <c r="AQ474" s="32" t="inlineStr">
        <is>
          <t>Recuperação judicial</t>
        </is>
      </c>
      <c r="AR474" s="32" t="inlineStr">
        <is>
          <t>DataJud: no closure/falência movement</t>
        </is>
      </c>
      <c r="AS474" s="32" t="n">
        <v>2020</v>
      </c>
      <c r="AT474" s="32" t="inlineStr">
        <is>
          <t>6y since filing; plan not in our documents</t>
        </is>
      </c>
      <c r="AU474" s="32" t="inlineStr">
        <is>
          <t>09.930.165/0001-37</t>
        </is>
      </c>
      <c r="AV474" s="32" t="inlineStr">
        <is>
          <t>printed on the list (read twice)</t>
        </is>
      </c>
      <c r="AW474" s="32" t="inlineStr"/>
      <c r="AX474" s="32" t="inlineStr">
        <is>
          <t>ARAPONGAS</t>
        </is>
      </c>
      <c r="AY474" s="32" t="inlineStr">
        <is>
          <t>PR</t>
        </is>
      </c>
      <c r="AZ474" s="32" t="inlineStr">
        <is>
          <t>Fabricação de móveis com predominância de madeira</t>
        </is>
      </c>
      <c r="BA474" s="32" t="inlineStr">
        <is>
          <t>não ME/EPP</t>
        </is>
      </c>
      <c r="BB474" s="33" t="n">
        <v>150000000</v>
      </c>
      <c r="BC474" s="32" t="inlineStr">
        <is>
          <t>MID-MARKET</t>
        </is>
      </c>
      <c r="BD474" s="32" t="inlineStr">
        <is>
          <t>75400903</t>
        </is>
      </c>
      <c r="BE474" s="32" t="n">
        <v>1</v>
      </c>
      <c r="BF474" s="32" t="inlineStr">
        <is>
          <t>no route in</t>
        </is>
      </c>
    </row>
    <row r="475">
      <c r="A475" s="17" t="inlineStr">
        <is>
          <t>INCOFIOS INDUSTRIA E COMERCIO DE FIOS LTDA</t>
        </is>
      </c>
      <c r="B475" s="18" t="n">
        <v>330759.56</v>
      </c>
      <c r="C475" s="19" t="inlineStr">
        <is>
          <t>CONFECÇÕES ANDRIMALHAS LTDA</t>
        </is>
      </c>
      <c r="D475" s="20" t="inlineStr">
        <is>
          <t>NEW</t>
        </is>
      </c>
      <c r="E475" s="21" t="inlineStr"/>
      <c r="F475" s="20" t="inlineStr"/>
      <c r="G475" s="21" t="inlineStr"/>
      <c r="H475" s="20" t="inlineStr"/>
      <c r="I475" s="22" t="inlineStr">
        <is>
          <t>VITOR LUIZ RAMBO JUNIOR</t>
        </is>
      </c>
      <c r="J475" s="23" t="inlineStr">
        <is>
          <t>Administrador (RFB partner)</t>
        </is>
      </c>
      <c r="K475" s="22" t="inlineStr">
        <is>
          <t>(47) 3377-8000</t>
        </is>
      </c>
      <c r="L475" s="22" t="inlineStr"/>
      <c r="M475" s="22" t="inlineStr"/>
      <c r="N475" s="22" t="inlineStr"/>
      <c r="O475" s="22" t="inlineStr"/>
      <c r="P475" s="22" t="inlineStr"/>
      <c r="Q475" s="22" t="inlineStr"/>
      <c r="R475" s="22" t="inlineStr"/>
      <c r="S475" s="22" t="inlineStr"/>
      <c r="T475" s="22" t="inlineStr">
        <is>
          <t>DM = registered partner (RFB QSA); no Apollo match</t>
        </is>
      </c>
      <c r="U475" s="24" t="n">
        <v>330759.56</v>
      </c>
      <c r="V475" s="39" t="inlineStr">
        <is>
          <t>C</t>
        </is>
      </c>
      <c r="W475" s="26" t="inlineStr"/>
      <c r="X475" s="27" t="inlineStr"/>
      <c r="Y475" s="27" t="inlineStr"/>
      <c r="Z475" s="26">
        <f>IF(W475&lt;&gt;"",W475,IFERROR(VLOOKUP(V475,Assumptions!$A$8:$F$12,2,FALSE),0))</f>
        <v/>
      </c>
      <c r="AA475" s="28">
        <f>IF(V475="A",MAX(1,IF(X475&lt;&gt;"",X475,IFERROR(VLOOKUP(V475,Assumptions!$A$8:$F$12,3,FALSE),3))+IF(Y475&lt;&gt;"",Y475,IFERROR(VLOOKUP(V475,Assumptions!$A$8:$F$12,4,FALSE),8))/2-MAX(0,IF(AS475="",0,YEAR(TODAY())-AS475)-IFERROR(VLOOKUP(V475,Assumptions!$A$8:$F$12,5,FALSE),1.5))),IFERROR(VLOOKUP(V475,Assumptions!$A$8:$F$12,5,FALSE),2.5)+IF(X475&lt;&gt;"",X475,IFERROR(VLOOKUP(V475,Assumptions!$A$8:$F$12,3,FALSE),3))+IF(Y475&lt;&gt;"",Y475,IFERROR(VLOOKUP(V475,Assumptions!$A$8:$F$12,4,FALSE),8))/2)</f>
        <v/>
      </c>
      <c r="AB475" s="24">
        <f>U475*Z475/(1+Assumptions!$B$3)^AA475</f>
        <v/>
      </c>
      <c r="AC475" s="27">
        <f>IF(U475=0,"",ROUND(AB475/U475*100,1))</f>
        <v/>
      </c>
      <c r="AD475" s="29">
        <f>AB475*Assumptions!$B$4</f>
        <v/>
      </c>
      <c r="AE475" s="27">
        <f>IF(U475=0,"",ROUND(AD475/U475*100,1))</f>
        <v/>
      </c>
      <c r="AF475" s="29">
        <f>AB475-AD475</f>
        <v/>
      </c>
      <c r="AG475" s="27">
        <f>IF(U475=0,"",ROUND((AB475-AD475)/U475*100,1))</f>
        <v/>
      </c>
      <c r="AH475" s="35" t="inlineStr">
        <is>
          <t>PARTIAL — class III reconciled, other classes not</t>
        </is>
      </c>
      <c r="AI475" s="31" t="inlineStr">
        <is>
          <t>https://administradorajudicialgs.com.br/wp-content/uploads/2023/08/doc-06-relacao-credores-do-administrador-judicial-10-02-2015.pdf</t>
        </is>
      </c>
      <c r="AJ475" s="30" t="inlineStr">
        <is>
          <t>p2 r17</t>
        </is>
      </c>
      <c r="AK475" s="30" t="inlineStr">
        <is>
          <t>p2: R$ 330.759,56</t>
        </is>
      </c>
      <c r="AL475" s="30" t="inlineStr">
        <is>
          <t>AJ list (art. 7 §2)</t>
        </is>
      </c>
      <c r="AM475" s="30" t="inlineStr"/>
      <c r="AN475" s="30" t="inlineStr">
        <is>
          <t>NONE FOUND</t>
        </is>
      </c>
      <c r="AO475" s="32" t="inlineStr">
        <is>
          <t>0302174-63.2015.8.24.0025</t>
        </is>
      </c>
      <c r="AP475" s="32" t="inlineStr">
        <is>
          <t>TJSC</t>
        </is>
      </c>
      <c r="AQ475" s="32" t="inlineStr">
        <is>
          <t>Recuperação judicial</t>
        </is>
      </c>
      <c r="AR475" s="32" t="inlineStr">
        <is>
          <t>not in DataJud</t>
        </is>
      </c>
      <c r="AS475" s="32" t="n">
        <v>2015</v>
      </c>
      <c r="AT475" s="32" t="inlineStr">
        <is>
          <t>11y since filing; plan not in our documents; case no. from the portal record, not printed on the list</t>
        </is>
      </c>
      <c r="AU475" s="32" t="inlineStr"/>
      <c r="AV475" s="32" t="inlineStr">
        <is>
          <t>printed on the list (read twice)</t>
        </is>
      </c>
      <c r="AW475" s="32" t="inlineStr"/>
      <c r="AX475" s="32" t="inlineStr">
        <is>
          <t>INDAIAL</t>
        </is>
      </c>
      <c r="AY475" s="32" t="inlineStr">
        <is>
          <t>SC</t>
        </is>
      </c>
      <c r="AZ475" s="32" t="inlineStr">
        <is>
          <t>Preparação e fiação de fibras de algodão</t>
        </is>
      </c>
      <c r="BA475" s="32" t="inlineStr">
        <is>
          <t>não ME/EPP</t>
        </is>
      </c>
      <c r="BB475" s="33" t="n">
        <v>124107064</v>
      </c>
      <c r="BC475" s="32" t="inlineStr">
        <is>
          <t>MID-MARKET</t>
        </is>
      </c>
      <c r="BD475" s="32" t="inlineStr">
        <is>
          <t>04432327</t>
        </is>
      </c>
      <c r="BE475" s="32" t="n">
        <v>1</v>
      </c>
      <c r="BF475" s="32" t="inlineStr">
        <is>
          <t>class III reconciled (doc partial)</t>
        </is>
      </c>
    </row>
    <row r="476">
      <c r="A476" s="17" t="inlineStr">
        <is>
          <t>WHITE MARTINS GASES INDUSTRIAIS LTDA</t>
        </is>
      </c>
      <c r="B476" s="18" t="n">
        <v>328667.29</v>
      </c>
      <c r="C476" s="19" t="inlineStr">
        <is>
          <t>HOSPITAL SANTA MÔNICA LTDA</t>
        </is>
      </c>
      <c r="D476" s="20" t="inlineStr">
        <is>
          <t>NEW</t>
        </is>
      </c>
      <c r="E476" s="21" t="inlineStr"/>
      <c r="F476" s="20" t="inlineStr"/>
      <c r="G476" s="21" t="inlineStr"/>
      <c r="H476" s="20" t="inlineStr"/>
      <c r="I476" s="22" t="inlineStr">
        <is>
          <t>Claudio Ferreira</t>
        </is>
      </c>
      <c r="J476" s="22" t="inlineStr">
        <is>
          <t>Supervisor Contas a Receber</t>
        </is>
      </c>
      <c r="K476" s="22" t="inlineStr">
        <is>
          <t>(21) 3279-9000</t>
        </is>
      </c>
      <c r="L476" s="22" t="inlineStr"/>
      <c r="M476" s="22" t="inlineStr"/>
      <c r="N476" s="22" t="inlineStr"/>
      <c r="O476" s="22" t="inlineStr"/>
      <c r="P476" s="22" t="inlineStr">
        <is>
          <t>CARLOS FERREIRA DE MARCO</t>
        </is>
      </c>
      <c r="Q476" s="22" t="inlineStr">
        <is>
          <t>Administrador (RFB partner)</t>
        </is>
      </c>
      <c r="R476" s="22" t="inlineStr"/>
      <c r="S476" s="22" t="inlineStr"/>
      <c r="T476" s="22" t="inlineStr">
        <is>
          <t>DM: DM; LARGE CORP; no work email in Apollo for DM</t>
        </is>
      </c>
      <c r="U476" s="24" t="n">
        <v>328667.29</v>
      </c>
      <c r="V476" s="39" t="inlineStr">
        <is>
          <t>C</t>
        </is>
      </c>
      <c r="W476" s="26" t="inlineStr"/>
      <c r="X476" s="27" t="inlineStr"/>
      <c r="Y476" s="27" t="inlineStr"/>
      <c r="Z476" s="26">
        <f>IF(W476&lt;&gt;"",W476,IFERROR(VLOOKUP(V476,Assumptions!$A$8:$F$12,2,FALSE),0))</f>
        <v/>
      </c>
      <c r="AA476" s="28">
        <f>IF(V476="A",MAX(1,IF(X476&lt;&gt;"",X476,IFERROR(VLOOKUP(V476,Assumptions!$A$8:$F$12,3,FALSE),3))+IF(Y476&lt;&gt;"",Y476,IFERROR(VLOOKUP(V476,Assumptions!$A$8:$F$12,4,FALSE),8))/2-MAX(0,IF(AS476="",0,YEAR(TODAY())-AS476)-IFERROR(VLOOKUP(V476,Assumptions!$A$8:$F$12,5,FALSE),1.5))),IFERROR(VLOOKUP(V476,Assumptions!$A$8:$F$12,5,FALSE),2.5)+IF(X476&lt;&gt;"",X476,IFERROR(VLOOKUP(V476,Assumptions!$A$8:$F$12,3,FALSE),3))+IF(Y476&lt;&gt;"",Y476,IFERROR(VLOOKUP(V476,Assumptions!$A$8:$F$12,4,FALSE),8))/2)</f>
        <v/>
      </c>
      <c r="AB476" s="24">
        <f>U476*Z476/(1+Assumptions!$B$3)^AA476</f>
        <v/>
      </c>
      <c r="AC476" s="27">
        <f>IF(U476=0,"",ROUND(AB476/U476*100,1))</f>
        <v/>
      </c>
      <c r="AD476" s="29">
        <f>AB476*Assumptions!$B$4</f>
        <v/>
      </c>
      <c r="AE476" s="27">
        <f>IF(U476=0,"",ROUND(AD476/U476*100,1))</f>
        <v/>
      </c>
      <c r="AF476" s="29">
        <f>AB476-AD476</f>
        <v/>
      </c>
      <c r="AG476" s="27">
        <f>IF(U476=0,"",ROUND((AB476-AD476)/U476*100,1))</f>
        <v/>
      </c>
      <c r="AH476" s="34" t="inlineStr">
        <is>
          <t>NO TOTALS — list prints none; check page</t>
        </is>
      </c>
      <c r="AI476" s="31" t="inlineStr">
        <is>
          <t>https://ricardobiancardi.com.br/wp-content/uploads/2024/12/Edital-1-relacao-de-credores-pub.-02.12.24-.pdf</t>
        </is>
      </c>
      <c r="AJ476" s="30" t="inlineStr">
        <is>
          <t>p5 r24</t>
        </is>
      </c>
      <c r="AK476" s="30" t="inlineStr">
        <is>
          <t>p5: R$ 328.667,29</t>
        </is>
      </c>
      <c r="AL476" s="30" t="inlineStr">
        <is>
          <t>Debtor list (art. 51)</t>
        </is>
      </c>
      <c r="AM476" s="30" t="inlineStr">
        <is>
          <t>2024-12-02</t>
        </is>
      </c>
      <c r="AN476" s="30" t="inlineStr">
        <is>
          <t>NONE FOUND</t>
        </is>
      </c>
      <c r="AO476" s="32" t="inlineStr">
        <is>
          <t>0041309-42.2014.8.08.0024</t>
        </is>
      </c>
      <c r="AP476" s="32" t="inlineStr">
        <is>
          <t>TJES</t>
        </is>
      </c>
      <c r="AQ476" s="32" t="inlineStr">
        <is>
          <t>Recuperação judicial</t>
        </is>
      </c>
      <c r="AR476" s="32" t="inlineStr">
        <is>
          <t>not in DataJud</t>
        </is>
      </c>
      <c r="AS476" s="32" t="n">
        <v>2014</v>
      </c>
      <c r="AT476" s="32" t="inlineStr">
        <is>
          <t>12y since filing; plan not in our documents; atypical debtor (associação/clube/hospital/produtor rural): admissibility or claim subjection may be contested</t>
        </is>
      </c>
      <c r="AU476" s="32" t="inlineStr"/>
      <c r="AV476" s="32" t="inlineStr">
        <is>
          <t>printed on the list (read twice)</t>
        </is>
      </c>
      <c r="AW476" s="32" t="inlineStr"/>
      <c r="AX476" s="32" t="inlineStr">
        <is>
          <t>RIO DE JANEIRO</t>
        </is>
      </c>
      <c r="AY476" s="32" t="inlineStr">
        <is>
          <t>RJ</t>
        </is>
      </c>
      <c r="AZ476" s="32" t="inlineStr">
        <is>
          <t>Atividades de consultoria em gestão empresarial, exceto consultoria técnica específica</t>
        </is>
      </c>
      <c r="BA476" s="32" t="inlineStr">
        <is>
          <t>não ME/EPP</t>
        </is>
      </c>
      <c r="BB476" s="33" t="n">
        <v>8532698000</v>
      </c>
      <c r="BC476" s="32" t="inlineStr">
        <is>
          <t>LARGE CORP</t>
        </is>
      </c>
      <c r="BD476" s="32" t="inlineStr">
        <is>
          <t>35820448</t>
        </is>
      </c>
      <c r="BE476" s="32" t="n">
        <v>1</v>
      </c>
      <c r="BF476" s="32" t="inlineStr">
        <is>
          <t>list prints no totals</t>
        </is>
      </c>
    </row>
    <row r="477">
      <c r="A477" s="17" t="inlineStr">
        <is>
          <t>GSI CREOS BRASIL LTDA</t>
        </is>
      </c>
      <c r="B477" s="18" t="n">
        <v>325850.6</v>
      </c>
      <c r="C477" s="19" t="inlineStr">
        <is>
          <t>CENTRO DE TRATAMENTO RENAL ZONA SUL LTDA</t>
        </is>
      </c>
      <c r="D477" s="20" t="inlineStr">
        <is>
          <t>NEW</t>
        </is>
      </c>
      <c r="E477" s="21" t="inlineStr"/>
      <c r="F477" s="20" t="inlineStr"/>
      <c r="G477" s="21" t="inlineStr"/>
      <c r="H477" s="20" t="inlineStr"/>
      <c r="I477" s="22" t="inlineStr">
        <is>
          <t>Jamily Gueiros</t>
        </is>
      </c>
      <c r="J477" s="22" t="inlineStr">
        <is>
          <t>Financial Analyst</t>
        </is>
      </c>
      <c r="K477" s="22" t="inlineStr">
        <is>
          <t>(11) 3266-4133</t>
        </is>
      </c>
      <c r="L477" s="22" t="inlineStr"/>
      <c r="M477" s="22" t="inlineStr"/>
      <c r="N477" s="22" t="inlineStr"/>
      <c r="O477" s="22" t="inlineStr"/>
      <c r="P477" s="22" t="inlineStr">
        <is>
          <t>Daniela Yamauti</t>
        </is>
      </c>
      <c r="Q477" s="22" t="inlineStr">
        <is>
          <t>Operations Director</t>
        </is>
      </c>
      <c r="R477" s="22" t="inlineStr"/>
      <c r="S477" s="22" t="inlineStr">
        <is>
          <t>daniela@gsi.com.br</t>
        </is>
      </c>
      <c r="T477" s="22" t="inlineStr">
        <is>
          <t>DM: DM; no work email in Apollo for DM; BACKUP: backup</t>
        </is>
      </c>
      <c r="U477" s="24" t="n">
        <v>325850.6</v>
      </c>
      <c r="V477" s="39" t="inlineStr">
        <is>
          <t>C</t>
        </is>
      </c>
      <c r="W477" s="26" t="inlineStr"/>
      <c r="X477" s="27" t="inlineStr"/>
      <c r="Y477" s="27" t="inlineStr"/>
      <c r="Z477" s="26">
        <f>IF(W477&lt;&gt;"",W477,IFERROR(VLOOKUP(V477,Assumptions!$A$8:$F$12,2,FALSE),0))</f>
        <v/>
      </c>
      <c r="AA477" s="28">
        <f>IF(V477="A",MAX(1,IF(X477&lt;&gt;"",X477,IFERROR(VLOOKUP(V477,Assumptions!$A$8:$F$12,3,FALSE),3))+IF(Y477&lt;&gt;"",Y477,IFERROR(VLOOKUP(V477,Assumptions!$A$8:$F$12,4,FALSE),8))/2-MAX(0,IF(AS477="",0,YEAR(TODAY())-AS477)-IFERROR(VLOOKUP(V477,Assumptions!$A$8:$F$12,5,FALSE),1.5))),IFERROR(VLOOKUP(V477,Assumptions!$A$8:$F$12,5,FALSE),2.5)+IF(X477&lt;&gt;"",X477,IFERROR(VLOOKUP(V477,Assumptions!$A$8:$F$12,3,FALSE),3))+IF(Y477&lt;&gt;"",Y477,IFERROR(VLOOKUP(V477,Assumptions!$A$8:$F$12,4,FALSE),8))/2)</f>
        <v/>
      </c>
      <c r="AB477" s="24">
        <f>U477*Z477/(1+Assumptions!$B$3)^AA477</f>
        <v/>
      </c>
      <c r="AC477" s="27">
        <f>IF(U477=0,"",ROUND(AB477/U477*100,1))</f>
        <v/>
      </c>
      <c r="AD477" s="29">
        <f>AB477*Assumptions!$B$4</f>
        <v/>
      </c>
      <c r="AE477" s="27">
        <f>IF(U477=0,"",ROUND(AD477/U477*100,1))</f>
        <v/>
      </c>
      <c r="AF477" s="29">
        <f>AB477-AD477</f>
        <v/>
      </c>
      <c r="AG477" s="27">
        <f>IF(U477=0,"",ROUND((AB477-AD477)/U477*100,1))</f>
        <v/>
      </c>
      <c r="AH477" s="30" t="inlineStr">
        <is>
          <t>OK — totals reconciled</t>
        </is>
      </c>
      <c r="AI477" s="31" t="inlineStr">
        <is>
          <t>https://recuperacaojudicial.squarespace.com/s/4-RJCTREditalda2ListadeCredoresnovembro2019.pdf</t>
        </is>
      </c>
      <c r="AJ477" s="30" t="inlineStr">
        <is>
          <t>p3 r24</t>
        </is>
      </c>
      <c r="AK477" s="30" t="inlineStr">
        <is>
          <t>p3: R$ 325.850,60</t>
        </is>
      </c>
      <c r="AL477" s="30" t="inlineStr">
        <is>
          <t>AJ list (art. 7 §2)</t>
        </is>
      </c>
      <c r="AM477" s="30" t="inlineStr">
        <is>
          <t>2019-11-25</t>
        </is>
      </c>
      <c r="AN477" s="30" t="inlineStr">
        <is>
          <t>NONE FOUND</t>
        </is>
      </c>
      <c r="AO477" s="32" t="inlineStr">
        <is>
          <t>0015488-29.2018.8.17.2810</t>
        </is>
      </c>
      <c r="AP477" s="32" t="inlineStr">
        <is>
          <t>TJPE</t>
        </is>
      </c>
      <c r="AQ477" s="32" t="inlineStr">
        <is>
          <t>Recuperação judicial</t>
        </is>
      </c>
      <c r="AR477" s="32" t="inlineStr">
        <is>
          <t>not in DataJud</t>
        </is>
      </c>
      <c r="AS477" s="32" t="n">
        <v>2018</v>
      </c>
      <c r="AT477" s="32" t="inlineStr">
        <is>
          <t>8y since filing; plan not in our documents</t>
        </is>
      </c>
      <c r="AU477" s="32" t="inlineStr">
        <is>
          <t>03.648.189/0001-11</t>
        </is>
      </c>
      <c r="AV477" s="32" t="inlineStr">
        <is>
          <t>printed on the list (read twice)</t>
        </is>
      </c>
      <c r="AW477" s="32" t="inlineStr"/>
      <c r="AX477" s="32" t="inlineStr">
        <is>
          <t>SAO PAULO</t>
        </is>
      </c>
      <c r="AY477" s="32" t="inlineStr">
        <is>
          <t>SP</t>
        </is>
      </c>
      <c r="AZ477" s="32" t="inlineStr">
        <is>
          <t>Comércio atacadista de máquinas, aparelhos e equipamentos para uso agropecuário; partes e peças</t>
        </is>
      </c>
      <c r="BA477" s="32" t="inlineStr">
        <is>
          <t>não ME/EPP</t>
        </is>
      </c>
      <c r="BB477" s="33" t="n">
        <v>6404732</v>
      </c>
      <c r="BC477" s="32" t="inlineStr">
        <is>
          <t>MID-MARKET</t>
        </is>
      </c>
      <c r="BD477" s="32" t="inlineStr">
        <is>
          <t>43718469</t>
        </is>
      </c>
      <c r="BE477" s="32" t="n">
        <v>1</v>
      </c>
      <c r="BF477" s="32" t="inlineStr"/>
    </row>
    <row r="478">
      <c r="A478" s="17" t="inlineStr">
        <is>
          <t>VENTISOL NORDESTE INDUSTRIA E COMERCIO DE VENTILADORES LTDA</t>
        </is>
      </c>
      <c r="B478" s="18" t="n">
        <v>321724.2</v>
      </c>
      <c r="C478" s="19" t="inlineStr">
        <is>
          <t>CREDIMÓVEIS NOVOLAR LTDA.</t>
        </is>
      </c>
      <c r="D478" s="20" t="inlineStr">
        <is>
          <t>NEW</t>
        </is>
      </c>
      <c r="E478" s="21" t="inlineStr"/>
      <c r="F478" s="20" t="inlineStr"/>
      <c r="G478" s="21" t="inlineStr"/>
      <c r="H478" s="20" t="inlineStr"/>
      <c r="I478" s="22" t="inlineStr">
        <is>
          <t>Naime Meyer</t>
        </is>
      </c>
      <c r="J478" s="22" t="inlineStr">
        <is>
          <t>Administrative Manager</t>
        </is>
      </c>
      <c r="K478" s="22" t="inlineStr">
        <is>
          <t>(81) 3523-1169</t>
        </is>
      </c>
      <c r="L478" s="22" t="inlineStr">
        <is>
          <t>(81) 3222-4350</t>
        </is>
      </c>
      <c r="M478" s="22" t="inlineStr"/>
      <c r="N478" s="22" t="inlineStr"/>
      <c r="O478" s="22" t="inlineStr"/>
      <c r="P478" s="22" t="inlineStr">
        <is>
          <t>ALEXIS SUREN TCHOLAKIAN MORALES</t>
        </is>
      </c>
      <c r="Q478" s="22" t="inlineStr">
        <is>
          <t>Administrador (RFB partner)</t>
        </is>
      </c>
      <c r="R478" s="22" t="inlineStr"/>
      <c r="S478" s="22" t="inlineStr"/>
      <c r="T478" s="22" t="inlineStr">
        <is>
          <t>DM: DM; no work email in Apollo for DM</t>
        </is>
      </c>
      <c r="U478" s="24" t="n">
        <v>321724.2</v>
      </c>
      <c r="V478" s="39" t="inlineStr">
        <is>
          <t>C</t>
        </is>
      </c>
      <c r="W478" s="26" t="inlineStr"/>
      <c r="X478" s="27" t="inlineStr"/>
      <c r="Y478" s="27" t="inlineStr"/>
      <c r="Z478" s="26">
        <f>IF(W478&lt;&gt;"",W478,IFERROR(VLOOKUP(V478,Assumptions!$A$8:$F$12,2,FALSE),0))</f>
        <v/>
      </c>
      <c r="AA478" s="28">
        <f>IF(V478="A",MAX(1,IF(X478&lt;&gt;"",X478,IFERROR(VLOOKUP(V478,Assumptions!$A$8:$F$12,3,FALSE),3))+IF(Y478&lt;&gt;"",Y478,IFERROR(VLOOKUP(V478,Assumptions!$A$8:$F$12,4,FALSE),8))/2-MAX(0,IF(AS478="",0,YEAR(TODAY())-AS478)-IFERROR(VLOOKUP(V478,Assumptions!$A$8:$F$12,5,FALSE),1.5))),IFERROR(VLOOKUP(V478,Assumptions!$A$8:$F$12,5,FALSE),2.5)+IF(X478&lt;&gt;"",X478,IFERROR(VLOOKUP(V478,Assumptions!$A$8:$F$12,3,FALSE),3))+IF(Y478&lt;&gt;"",Y478,IFERROR(VLOOKUP(V478,Assumptions!$A$8:$F$12,4,FALSE),8))/2)</f>
        <v/>
      </c>
      <c r="AB478" s="24">
        <f>U478*Z478/(1+Assumptions!$B$3)^AA478</f>
        <v/>
      </c>
      <c r="AC478" s="27">
        <f>IF(U478=0,"",ROUND(AB478/U478*100,1))</f>
        <v/>
      </c>
      <c r="AD478" s="29">
        <f>AB478*Assumptions!$B$4</f>
        <v/>
      </c>
      <c r="AE478" s="27">
        <f>IF(U478=0,"",ROUND(AD478/U478*100,1))</f>
        <v/>
      </c>
      <c r="AF478" s="29">
        <f>AB478-AD478</f>
        <v/>
      </c>
      <c r="AG478" s="27">
        <f>IF(U478=0,"",ROUND((AB478-AD478)/U478*100,1))</f>
        <v/>
      </c>
      <c r="AH478" s="30" t="inlineStr">
        <is>
          <t>OK — totals reconciled</t>
        </is>
      </c>
      <c r="AI478" s="31" t="inlineStr">
        <is>
          <t>https://recuperacaojudicial.squarespace.com/s/RJ-Credimoveis-QGC-01082025.pdf</t>
        </is>
      </c>
      <c r="AJ478" s="30" t="inlineStr">
        <is>
          <t>p17 r9</t>
        </is>
      </c>
      <c r="AK478" s="30" t="inlineStr">
        <is>
          <t>p17: R$ 321.724,20</t>
        </is>
      </c>
      <c r="AL478" s="30" t="inlineStr">
        <is>
          <t>QGC (art. 18)</t>
        </is>
      </c>
      <c r="AM478" s="30" t="inlineStr">
        <is>
          <t>2026-01-28</t>
        </is>
      </c>
      <c r="AN478" s="30" t="inlineStr">
        <is>
          <t>NONE FOUND</t>
        </is>
      </c>
      <c r="AO478" s="32" t="inlineStr">
        <is>
          <t>0007565-40.2020.8.17.2370</t>
        </is>
      </c>
      <c r="AP478" s="32" t="inlineStr">
        <is>
          <t>TJPE</t>
        </is>
      </c>
      <c r="AQ478" s="32" t="inlineStr">
        <is>
          <t>Recuperação judicial</t>
        </is>
      </c>
      <c r="AR478" s="32" t="inlineStr">
        <is>
          <t>DataJud: no closure/falência movement</t>
        </is>
      </c>
      <c r="AS478" s="32" t="n">
        <v>2020</v>
      </c>
      <c r="AT478" s="32" t="inlineStr">
        <is>
          <t>6y since filing; plan not in our documents</t>
        </is>
      </c>
      <c r="AU478" s="32" t="inlineStr">
        <is>
          <t>09.930.165/0001-37</t>
        </is>
      </c>
      <c r="AV478" s="32" t="inlineStr">
        <is>
          <t>printed on the list (read twice)</t>
        </is>
      </c>
      <c r="AW478" s="32" t="inlineStr"/>
      <c r="AX478" s="32" t="inlineStr">
        <is>
          <t>VITORIA DE SANTO ANTAO</t>
        </is>
      </c>
      <c r="AY478" s="32" t="inlineStr">
        <is>
          <t>PE</t>
        </is>
      </c>
      <c r="AZ478" s="32" t="inlineStr">
        <is>
          <t>Fabricação de outros aparelhos eletrodomésticos não especificados anteriormente, peças e acessórios</t>
        </is>
      </c>
      <c r="BA478" s="32" t="inlineStr">
        <is>
          <t>não ME/EPP</t>
        </is>
      </c>
      <c r="BB478" s="33" t="n">
        <v>19230000</v>
      </c>
      <c r="BC478" s="32" t="inlineStr">
        <is>
          <t>MID-MARKET</t>
        </is>
      </c>
      <c r="BD478" s="32" t="inlineStr">
        <is>
          <t>08934225</t>
        </is>
      </c>
      <c r="BE478" s="32" t="n">
        <v>1</v>
      </c>
      <c r="BF478" s="32" t="inlineStr"/>
    </row>
    <row r="479">
      <c r="A479" s="17" t="inlineStr">
        <is>
          <t>MTC INCORPORACOES IMOBILIARIAS LTDA</t>
        </is>
      </c>
      <c r="B479" s="18" t="n">
        <v>309000</v>
      </c>
      <c r="C479" s="19" t="inlineStr">
        <is>
          <t>VECTOR INDÚSTRIA DE PRODUTOS METALÚRGICOS LTDA.</t>
        </is>
      </c>
      <c r="D479" s="20" t="inlineStr">
        <is>
          <t>NEW</t>
        </is>
      </c>
      <c r="E479" s="21" t="inlineStr"/>
      <c r="F479" s="20" t="inlineStr"/>
      <c r="G479" s="21" t="inlineStr"/>
      <c r="H479" s="20" t="inlineStr"/>
      <c r="I479" s="22" t="inlineStr">
        <is>
          <t>IVAN LUIZ CHEMELLO</t>
        </is>
      </c>
      <c r="J479" s="23" t="inlineStr">
        <is>
          <t>Sócio-Administrador (RFB partner)</t>
        </is>
      </c>
      <c r="K479" s="22" t="inlineStr">
        <is>
          <t>(54) 3028-1551</t>
        </is>
      </c>
      <c r="L479" s="22" t="inlineStr"/>
      <c r="M479" s="22" t="inlineStr"/>
      <c r="N479" s="22" t="inlineStr"/>
      <c r="O479" s="22" t="inlineStr"/>
      <c r="P479" s="22" t="inlineStr">
        <is>
          <t>LIANA MARIA GOMES CHEMELLO</t>
        </is>
      </c>
      <c r="Q479" s="22" t="inlineStr">
        <is>
          <t>Administrador (RFB partner)</t>
        </is>
      </c>
      <c r="R479" s="22" t="inlineStr"/>
      <c r="S479" s="22" t="inlineStr"/>
      <c r="T479" s="22" t="inlineStr">
        <is>
          <t>DM = registered partner (RFB QSA); no Apollo match</t>
        </is>
      </c>
      <c r="U479" s="24" t="n">
        <v>309000</v>
      </c>
      <c r="V479" s="39" t="inlineStr">
        <is>
          <t>C</t>
        </is>
      </c>
      <c r="W479" s="26" t="inlineStr"/>
      <c r="X479" s="27" t="inlineStr"/>
      <c r="Y479" s="27" t="inlineStr"/>
      <c r="Z479" s="26">
        <f>IF(W479&lt;&gt;"",W479,IFERROR(VLOOKUP(V479,Assumptions!$A$8:$F$12,2,FALSE),0))</f>
        <v/>
      </c>
      <c r="AA479" s="28">
        <f>IF(V479="A",MAX(1,IF(X479&lt;&gt;"",X479,IFERROR(VLOOKUP(V479,Assumptions!$A$8:$F$12,3,FALSE),3))+IF(Y479&lt;&gt;"",Y479,IFERROR(VLOOKUP(V479,Assumptions!$A$8:$F$12,4,FALSE),8))/2-MAX(0,IF(AS479="",0,YEAR(TODAY())-AS479)-IFERROR(VLOOKUP(V479,Assumptions!$A$8:$F$12,5,FALSE),1.5))),IFERROR(VLOOKUP(V479,Assumptions!$A$8:$F$12,5,FALSE),2.5)+IF(X479&lt;&gt;"",X479,IFERROR(VLOOKUP(V479,Assumptions!$A$8:$F$12,3,FALSE),3))+IF(Y479&lt;&gt;"",Y479,IFERROR(VLOOKUP(V479,Assumptions!$A$8:$F$12,4,FALSE),8))/2)</f>
        <v/>
      </c>
      <c r="AB479" s="24">
        <f>U479*Z479/(1+Assumptions!$B$3)^AA479</f>
        <v/>
      </c>
      <c r="AC479" s="27">
        <f>IF(U479=0,"",ROUND(AB479/U479*100,1))</f>
        <v/>
      </c>
      <c r="AD479" s="29">
        <f>AB479*Assumptions!$B$4</f>
        <v/>
      </c>
      <c r="AE479" s="27">
        <f>IF(U479=0,"",ROUND(AD479/U479*100,1))</f>
        <v/>
      </c>
      <c r="AF479" s="29">
        <f>AB479-AD479</f>
        <v/>
      </c>
      <c r="AG479" s="27">
        <f>IF(U479=0,"",ROUND((AB479-AD479)/U479*100,1))</f>
        <v/>
      </c>
      <c r="AH479" s="34" t="inlineStr">
        <is>
          <t>NO TOTALS — list prints none; check page</t>
        </is>
      </c>
      <c r="AI479" s="31" t="inlineStr">
        <is>
          <t>https://scalzilliaj.com.br/sgc/download.php?file=files/processo_documento/processo_documento15513401112022_1_.pdf&amp;nome=15 - Edital do art. 7º, §2º (segunda lista de credores) e do art. 53 da Lei 11.101/2005 (recebimento do plano)</t>
        </is>
      </c>
      <c r="AJ479" s="30" t="inlineStr">
        <is>
          <t>p8 r26</t>
        </is>
      </c>
      <c r="AK479" s="30" t="inlineStr">
        <is>
          <t>p8: R$ 309.000,00</t>
        </is>
      </c>
      <c r="AL479" s="30" t="inlineStr">
        <is>
          <t>AJ list (art. 7 §2)</t>
        </is>
      </c>
      <c r="AM479" s="30" t="inlineStr">
        <is>
          <t>2022-11-01</t>
        </is>
      </c>
      <c r="AN479" s="30" t="inlineStr">
        <is>
          <t>NONE FOUND</t>
        </is>
      </c>
      <c r="AO479" s="32" t="inlineStr">
        <is>
          <t>5014104-85.2021.8.21.0010</t>
        </is>
      </c>
      <c r="AP479" s="32" t="inlineStr">
        <is>
          <t>TJRS</t>
        </is>
      </c>
      <c r="AQ479" s="32" t="inlineStr">
        <is>
          <t>Recuperação judicial</t>
        </is>
      </c>
      <c r="AR479" s="32" t="inlineStr">
        <is>
          <t>DataJud: no closure/falência movement</t>
        </is>
      </c>
      <c r="AS479" s="32" t="n">
        <v>2021</v>
      </c>
      <c r="AT479" s="32" t="inlineStr">
        <is>
          <t>5y since filing; plan not in our documents</t>
        </is>
      </c>
      <c r="AU479" s="32" t="inlineStr">
        <is>
          <t>03.018.339/0001-03</t>
        </is>
      </c>
      <c r="AV479" s="32" t="inlineStr">
        <is>
          <t>printed on the list (read twice)</t>
        </is>
      </c>
      <c r="AW479" s="32" t="inlineStr"/>
      <c r="AX479" s="32" t="inlineStr">
        <is>
          <t>CAXIAS DO SUL</t>
        </is>
      </c>
      <c r="AY479" s="32" t="inlineStr">
        <is>
          <t>RS</t>
        </is>
      </c>
      <c r="AZ479" s="32" t="inlineStr">
        <is>
          <t>Incorporação de empreendimentos imobiliários</t>
        </is>
      </c>
      <c r="BA479" s="32" t="inlineStr">
        <is>
          <t>não ME/EPP</t>
        </is>
      </c>
      <c r="BB479" s="33" t="n">
        <v>2449651</v>
      </c>
      <c r="BC479" s="32" t="inlineStr">
        <is>
          <t>MID-MARKET</t>
        </is>
      </c>
      <c r="BD479" s="32" t="inlineStr">
        <is>
          <t>12749549</t>
        </is>
      </c>
      <c r="BE479" s="32" t="n">
        <v>1</v>
      </c>
      <c r="BF479" s="32" t="inlineStr">
        <is>
          <t>list prints no totals</t>
        </is>
      </c>
    </row>
    <row r="480">
      <c r="A480" s="17" t="inlineStr">
        <is>
          <t>MADSON ELETROMETALURGICA LTDA</t>
        </is>
      </c>
      <c r="B480" s="18" t="n">
        <v>308189.05</v>
      </c>
      <c r="C480" s="19" t="inlineStr">
        <is>
          <t>CREDIMÓVEIS NOVOLAR LTDA.</t>
        </is>
      </c>
      <c r="D480" s="20" t="inlineStr">
        <is>
          <t>NEW</t>
        </is>
      </c>
      <c r="E480" s="21" t="inlineStr"/>
      <c r="F480" s="20" t="inlineStr"/>
      <c r="G480" s="21" t="inlineStr"/>
      <c r="H480" s="20" t="inlineStr"/>
      <c r="I480" s="22" t="inlineStr">
        <is>
          <t>FERNANDO CELSO GRASSI FERREIRA XAVIER</t>
        </is>
      </c>
      <c r="J480" s="23" t="inlineStr">
        <is>
          <t>Sócio-Administrador (RFB partner)</t>
        </is>
      </c>
      <c r="K480" s="22" t="inlineStr">
        <is>
          <t>(31) 2125-5236</t>
        </is>
      </c>
      <c r="L480" s="22" t="inlineStr">
        <is>
          <t>(31) 2125-5237</t>
        </is>
      </c>
      <c r="M480" s="22" t="inlineStr"/>
      <c r="N480" s="22" t="inlineStr"/>
      <c r="O480" s="22" t="inlineStr"/>
      <c r="P480" s="22" t="inlineStr">
        <is>
          <t>JOSE LUCIO COSTA</t>
        </is>
      </c>
      <c r="Q480" s="22" t="inlineStr">
        <is>
          <t>Sócio-Administrador (RFB partner)</t>
        </is>
      </c>
      <c r="R480" s="22" t="inlineStr"/>
      <c r="S480" s="22" t="inlineStr"/>
      <c r="T480" s="22" t="inlineStr">
        <is>
          <t>DM = registered partner (RFB QSA); no Apollo match</t>
        </is>
      </c>
      <c r="U480" s="24" t="n">
        <v>308189.05</v>
      </c>
      <c r="V480" s="39" t="inlineStr">
        <is>
          <t>C</t>
        </is>
      </c>
      <c r="W480" s="26" t="inlineStr"/>
      <c r="X480" s="27" t="inlineStr"/>
      <c r="Y480" s="27" t="inlineStr"/>
      <c r="Z480" s="26">
        <f>IF(W480&lt;&gt;"",W480,IFERROR(VLOOKUP(V480,Assumptions!$A$8:$F$12,2,FALSE),0))</f>
        <v/>
      </c>
      <c r="AA480" s="28">
        <f>IF(V480="A",MAX(1,IF(X480&lt;&gt;"",X480,IFERROR(VLOOKUP(V480,Assumptions!$A$8:$F$12,3,FALSE),3))+IF(Y480&lt;&gt;"",Y480,IFERROR(VLOOKUP(V480,Assumptions!$A$8:$F$12,4,FALSE),8))/2-MAX(0,IF(AS480="",0,YEAR(TODAY())-AS480)-IFERROR(VLOOKUP(V480,Assumptions!$A$8:$F$12,5,FALSE),1.5))),IFERROR(VLOOKUP(V480,Assumptions!$A$8:$F$12,5,FALSE),2.5)+IF(X480&lt;&gt;"",X480,IFERROR(VLOOKUP(V480,Assumptions!$A$8:$F$12,3,FALSE),3))+IF(Y480&lt;&gt;"",Y480,IFERROR(VLOOKUP(V480,Assumptions!$A$8:$F$12,4,FALSE),8))/2)</f>
        <v/>
      </c>
      <c r="AB480" s="24">
        <f>U480*Z480/(1+Assumptions!$B$3)^AA480</f>
        <v/>
      </c>
      <c r="AC480" s="27">
        <f>IF(U480=0,"",ROUND(AB480/U480*100,1))</f>
        <v/>
      </c>
      <c r="AD480" s="29">
        <f>AB480*Assumptions!$B$4</f>
        <v/>
      </c>
      <c r="AE480" s="27">
        <f>IF(U480=0,"",ROUND(AD480/U480*100,1))</f>
        <v/>
      </c>
      <c r="AF480" s="29">
        <f>AB480-AD480</f>
        <v/>
      </c>
      <c r="AG480" s="27">
        <f>IF(U480=0,"",ROUND((AB480-AD480)/U480*100,1))</f>
        <v/>
      </c>
      <c r="AH480" s="30" t="inlineStr">
        <is>
          <t>OK — totals reconciled</t>
        </is>
      </c>
      <c r="AI480" s="31" t="inlineStr">
        <is>
          <t>https://recuperacaojudicial.squarespace.com/s/RJ-Credimoveis-QGC-01082025.pdf</t>
        </is>
      </c>
      <c r="AJ480" s="30" t="inlineStr">
        <is>
          <t>p16 r13</t>
        </is>
      </c>
      <c r="AK480" s="30" t="inlineStr">
        <is>
          <t>p16: R$ 308.189,05</t>
        </is>
      </c>
      <c r="AL480" s="30" t="inlineStr">
        <is>
          <t>QGC (art. 18)</t>
        </is>
      </c>
      <c r="AM480" s="30" t="inlineStr">
        <is>
          <t>2026-01-28</t>
        </is>
      </c>
      <c r="AN480" s="30" t="inlineStr">
        <is>
          <t>NONE FOUND</t>
        </is>
      </c>
      <c r="AO480" s="32" t="inlineStr">
        <is>
          <t>0007565-40.2020.8.17.2370</t>
        </is>
      </c>
      <c r="AP480" s="32" t="inlineStr">
        <is>
          <t>TJPE</t>
        </is>
      </c>
      <c r="AQ480" s="32" t="inlineStr">
        <is>
          <t>Recuperação judicial</t>
        </is>
      </c>
      <c r="AR480" s="32" t="inlineStr">
        <is>
          <t>DataJud: no closure/falência movement</t>
        </is>
      </c>
      <c r="AS480" s="32" t="n">
        <v>2020</v>
      </c>
      <c r="AT480" s="32" t="inlineStr">
        <is>
          <t>6y since filing; plan not in our documents</t>
        </is>
      </c>
      <c r="AU480" s="32" t="inlineStr">
        <is>
          <t>09.930.165/0001-37</t>
        </is>
      </c>
      <c r="AV480" s="32" t="inlineStr">
        <is>
          <t>printed on the list (read twice)</t>
        </is>
      </c>
      <c r="AW480" s="32" t="inlineStr"/>
      <c r="AX480" s="32" t="inlineStr">
        <is>
          <t>BELO HORIZONTE</t>
        </is>
      </c>
      <c r="AY480" s="32" t="inlineStr">
        <is>
          <t>MG</t>
        </is>
      </c>
      <c r="AZ480" s="32" t="inlineStr">
        <is>
          <t>Fabricação de fogões, refrigeradores e máquinas de lavar e secar para uso doméstico, peças e acessórios</t>
        </is>
      </c>
      <c r="BA480" s="32" t="inlineStr">
        <is>
          <t>não ME/EPP</t>
        </is>
      </c>
      <c r="BB480" s="33" t="n">
        <v>11007046</v>
      </c>
      <c r="BC480" s="32" t="inlineStr">
        <is>
          <t>MID-MARKET</t>
        </is>
      </c>
      <c r="BD480" s="32" t="inlineStr">
        <is>
          <t>20520367</t>
        </is>
      </c>
      <c r="BE480" s="32" t="n">
        <v>1</v>
      </c>
      <c r="BF480" s="32" t="inlineStr"/>
    </row>
    <row r="481">
      <c r="A481" s="17" t="inlineStr">
        <is>
          <t>GR SERVICOS E ALIMENTACAO LTDA.</t>
        </is>
      </c>
      <c r="B481" s="18" t="n">
        <v>306115.81</v>
      </c>
      <c r="C481" s="19" t="inlineStr">
        <is>
          <t>HOSPITAL SANTA MÔNICA LTDA</t>
        </is>
      </c>
      <c r="D481" s="20" t="inlineStr">
        <is>
          <t>NEW</t>
        </is>
      </c>
      <c r="E481" s="21" t="inlineStr"/>
      <c r="F481" s="20" t="inlineStr"/>
      <c r="G481" s="21" t="inlineStr"/>
      <c r="H481" s="20" t="inlineStr"/>
      <c r="I481" s="22" t="inlineStr">
        <is>
          <t>ANDERSON NUNES DA SILVA</t>
        </is>
      </c>
      <c r="J481" s="23" t="inlineStr">
        <is>
          <t>Administrador (RFB partner)</t>
        </is>
      </c>
      <c r="K481" s="22" t="inlineStr">
        <is>
          <t>(11) 2135-3000</t>
        </is>
      </c>
      <c r="L481" s="22" t="inlineStr"/>
      <c r="M481" s="22" t="inlineStr"/>
      <c r="N481" s="22" t="inlineStr"/>
      <c r="O481" s="22" t="inlineStr"/>
      <c r="P481" s="22" t="inlineStr">
        <is>
          <t>GUILHERME NASCIMENTO ROBORTELLA</t>
        </is>
      </c>
      <c r="Q481" s="22" t="inlineStr">
        <is>
          <t>Administrador (RFB partner)</t>
        </is>
      </c>
      <c r="R481" s="22" t="inlineStr"/>
      <c r="S481" s="22" t="inlineStr"/>
      <c r="T481" s="22" t="inlineStr">
        <is>
          <t>DM = registered partner (RFB QSA); no Apollo match</t>
        </is>
      </c>
      <c r="U481" s="24" t="n">
        <v>306115.81</v>
      </c>
      <c r="V481" s="39" t="inlineStr">
        <is>
          <t>C</t>
        </is>
      </c>
      <c r="W481" s="26" t="inlineStr"/>
      <c r="X481" s="27" t="inlineStr"/>
      <c r="Y481" s="27" t="inlineStr"/>
      <c r="Z481" s="26">
        <f>IF(W481&lt;&gt;"",W481,IFERROR(VLOOKUP(V481,Assumptions!$A$8:$F$12,2,FALSE),0))</f>
        <v/>
      </c>
      <c r="AA481" s="28">
        <f>IF(V481="A",MAX(1,IF(X481&lt;&gt;"",X481,IFERROR(VLOOKUP(V481,Assumptions!$A$8:$F$12,3,FALSE),3))+IF(Y481&lt;&gt;"",Y481,IFERROR(VLOOKUP(V481,Assumptions!$A$8:$F$12,4,FALSE),8))/2-MAX(0,IF(AS481="",0,YEAR(TODAY())-AS481)-IFERROR(VLOOKUP(V481,Assumptions!$A$8:$F$12,5,FALSE),1.5))),IFERROR(VLOOKUP(V481,Assumptions!$A$8:$F$12,5,FALSE),2.5)+IF(X481&lt;&gt;"",X481,IFERROR(VLOOKUP(V481,Assumptions!$A$8:$F$12,3,FALSE),3))+IF(Y481&lt;&gt;"",Y481,IFERROR(VLOOKUP(V481,Assumptions!$A$8:$F$12,4,FALSE),8))/2)</f>
        <v/>
      </c>
      <c r="AB481" s="24">
        <f>U481*Z481/(1+Assumptions!$B$3)^AA481</f>
        <v/>
      </c>
      <c r="AC481" s="27">
        <f>IF(U481=0,"",ROUND(AB481/U481*100,1))</f>
        <v/>
      </c>
      <c r="AD481" s="29">
        <f>AB481*Assumptions!$B$4</f>
        <v/>
      </c>
      <c r="AE481" s="27">
        <f>IF(U481=0,"",ROUND(AD481/U481*100,1))</f>
        <v/>
      </c>
      <c r="AF481" s="29">
        <f>AB481-AD481</f>
        <v/>
      </c>
      <c r="AG481" s="27">
        <f>IF(U481=0,"",ROUND((AB481-AD481)/U481*100,1))</f>
        <v/>
      </c>
      <c r="AH481" s="34" t="inlineStr">
        <is>
          <t>NO TOTALS — list prints none; check page</t>
        </is>
      </c>
      <c r="AI481" s="31" t="inlineStr">
        <is>
          <t>https://ricardobiancardi.com.br/wp-content/uploads/2024/12/Edital-1-relacao-de-credores-pub.-02.12.24-.pdf</t>
        </is>
      </c>
      <c r="AJ481" s="30" t="inlineStr">
        <is>
          <t>p4 r16</t>
        </is>
      </c>
      <c r="AK481" s="30" t="inlineStr">
        <is>
          <t>p4: R$ 306.115,81</t>
        </is>
      </c>
      <c r="AL481" s="30" t="inlineStr">
        <is>
          <t>Debtor list (art. 51)</t>
        </is>
      </c>
      <c r="AM481" s="30" t="inlineStr">
        <is>
          <t>2024-12-02</t>
        </is>
      </c>
      <c r="AN481" s="30" t="inlineStr">
        <is>
          <t>NONE FOUND</t>
        </is>
      </c>
      <c r="AO481" s="32" t="inlineStr">
        <is>
          <t>0041309-42.2014.8.08.0024</t>
        </is>
      </c>
      <c r="AP481" s="32" t="inlineStr">
        <is>
          <t>TJES</t>
        </is>
      </c>
      <c r="AQ481" s="32" t="inlineStr">
        <is>
          <t>Recuperação judicial</t>
        </is>
      </c>
      <c r="AR481" s="32" t="inlineStr">
        <is>
          <t>not in DataJud</t>
        </is>
      </c>
      <c r="AS481" s="32" t="n">
        <v>2014</v>
      </c>
      <c r="AT481" s="32" t="inlineStr">
        <is>
          <t>12y since filing; plan not in our documents; atypical debtor (associação/clube/hospital/produtor rural): admissibility or claim subjection may be contested</t>
        </is>
      </c>
      <c r="AU481" s="32" t="inlineStr"/>
      <c r="AV481" s="32" t="inlineStr">
        <is>
          <t>printed on the list (read twice)</t>
        </is>
      </c>
      <c r="AW481" s="32" t="inlineStr"/>
      <c r="AX481" s="32" t="inlineStr">
        <is>
          <t>SAO PAULO</t>
        </is>
      </c>
      <c r="AY481" s="32" t="inlineStr">
        <is>
          <t>SP</t>
        </is>
      </c>
      <c r="AZ481" s="32" t="inlineStr">
        <is>
          <t>Fornecimento de alimentos preparados preponderantemente para empresas</t>
        </is>
      </c>
      <c r="BA481" s="32" t="inlineStr">
        <is>
          <t>não ME/EPP</t>
        </is>
      </c>
      <c r="BB481" s="33" t="n">
        <v>1512718800</v>
      </c>
      <c r="BC481" s="32" t="inlineStr">
        <is>
          <t>LARGE CORP</t>
        </is>
      </c>
      <c r="BD481" s="32" t="inlineStr">
        <is>
          <t>02905110</t>
        </is>
      </c>
      <c r="BE481" s="32" t="n">
        <v>1</v>
      </c>
      <c r="BF481" s="32" t="inlineStr">
        <is>
          <t>list prints no totals</t>
        </is>
      </c>
    </row>
    <row r="482">
      <c r="A482" s="17" t="inlineStr">
        <is>
          <t>TREVO ALIMENTOS LTDA</t>
        </is>
      </c>
      <c r="B482" s="18" t="n">
        <v>341398.88</v>
      </c>
      <c r="C482" s="19" t="inlineStr">
        <is>
          <t>GRUPO 3E</t>
        </is>
      </c>
      <c r="D482" s="20" t="inlineStr">
        <is>
          <t>NEW</t>
        </is>
      </c>
      <c r="E482" s="21" t="inlineStr"/>
      <c r="F482" s="20" t="inlineStr"/>
      <c r="G482" s="21" t="inlineStr"/>
      <c r="H482" s="20" t="inlineStr"/>
      <c r="I482" s="22" t="inlineStr">
        <is>
          <t>PAULO BENTO DE ARAUJO</t>
        </is>
      </c>
      <c r="J482" s="23" t="inlineStr">
        <is>
          <t>Sócio-Administrador (RFB partner)</t>
        </is>
      </c>
      <c r="K482" s="22" t="inlineStr">
        <is>
          <t>(62) 3295-5359</t>
        </is>
      </c>
      <c r="L482" s="22" t="inlineStr"/>
      <c r="M482" s="22" t="inlineStr"/>
      <c r="N482" s="22" t="inlineStr"/>
      <c r="O482" s="22" t="inlineStr"/>
      <c r="P482" s="22" t="inlineStr"/>
      <c r="Q482" s="22" t="inlineStr"/>
      <c r="R482" s="22" t="inlineStr"/>
      <c r="S482" s="22" t="inlineStr"/>
      <c r="T482" s="22" t="inlineStr">
        <is>
          <t>DM = registered partner (RFB QSA); no Apollo match</t>
        </is>
      </c>
      <c r="U482" s="24" t="n">
        <v>341398.88</v>
      </c>
      <c r="V482" s="25" t="inlineStr">
        <is>
          <t>B</t>
        </is>
      </c>
      <c r="W482" s="26" t="n">
        <v>0.12</v>
      </c>
      <c r="X482" s="27" t="n">
        <v>2</v>
      </c>
      <c r="Y482" s="27" t="n">
        <v>13</v>
      </c>
      <c r="Z482" s="26">
        <f>IF(W482&lt;&gt;"",W482,IFERROR(VLOOKUP(V482,Assumptions!$A$8:$F$12,2,FALSE),0))</f>
        <v/>
      </c>
      <c r="AA482" s="28">
        <f>IF(V482="A",MAX(1,IF(X482&lt;&gt;"",X482,IFERROR(VLOOKUP(V482,Assumptions!$A$8:$F$12,3,FALSE),3))+IF(Y482&lt;&gt;"",Y482,IFERROR(VLOOKUP(V482,Assumptions!$A$8:$F$12,4,FALSE),8))/2-MAX(0,IF(AS482="",0,YEAR(TODAY())-AS482)-IFERROR(VLOOKUP(V482,Assumptions!$A$8:$F$12,5,FALSE),1.5))),IFERROR(VLOOKUP(V482,Assumptions!$A$8:$F$12,5,FALSE),2.5)+IF(X482&lt;&gt;"",X482,IFERROR(VLOOKUP(V482,Assumptions!$A$8:$F$12,3,FALSE),3))+IF(Y482&lt;&gt;"",Y482,IFERROR(VLOOKUP(V482,Assumptions!$A$8:$F$12,4,FALSE),8))/2)</f>
        <v/>
      </c>
      <c r="AB482" s="24">
        <f>U482*Z482/(1+Assumptions!$B$3)^AA482</f>
        <v/>
      </c>
      <c r="AC482" s="27">
        <f>IF(U482=0,"",ROUND(AB482/U482*100,1))</f>
        <v/>
      </c>
      <c r="AD482" s="29">
        <f>AB482*Assumptions!$B$4</f>
        <v/>
      </c>
      <c r="AE482" s="27">
        <f>IF(U482=0,"",ROUND(AD482/U482*100,1))</f>
        <v/>
      </c>
      <c r="AF482" s="29">
        <f>AB482-AD482</f>
        <v/>
      </c>
      <c r="AG482" s="27">
        <f>IF(U482=0,"",ROUND((AB482-AD482)/U482*100,1))</f>
        <v/>
      </c>
      <c r="AH482" s="34" t="inlineStr">
        <is>
          <t>NO TOTALS — list prints none; check page</t>
        </is>
      </c>
      <c r="AI482" s="31" t="inlineStr">
        <is>
          <t>https://stenius.com.br/wp-content/uploads/2026/06/EDITAL-GRUPO-3E.pdf</t>
        </is>
      </c>
      <c r="AJ482" s="30" t="inlineStr">
        <is>
          <t>p18 r48</t>
        </is>
      </c>
      <c r="AK482" s="30" t="inlineStr">
        <is>
          <t>p18: R$ 341.398,88</t>
        </is>
      </c>
      <c r="AL482" s="30" t="inlineStr">
        <is>
          <t>Debtor list (art. 51)</t>
        </is>
      </c>
      <c r="AM482" s="30" t="inlineStr">
        <is>
          <t>2026-06-22</t>
        </is>
      </c>
      <c r="AN482" s="30" t="inlineStr">
        <is>
          <t>PLAN FILED (art. 53), not granted</t>
        </is>
      </c>
      <c r="AO482" s="32" t="inlineStr">
        <is>
          <t>5341375-33.2026.8.09.0049</t>
        </is>
      </c>
      <c r="AP482" s="32" t="inlineStr">
        <is>
          <t>TJGO</t>
        </is>
      </c>
      <c r="AQ482" s="32" t="inlineStr">
        <is>
          <t>Recuperação judicial</t>
        </is>
      </c>
      <c r="AR482" s="32" t="inlineStr">
        <is>
          <t>DataJud: no closure/falência movement</t>
        </is>
      </c>
      <c r="AS482" s="32" t="n">
        <v>2026</v>
      </c>
      <c r="AT482" s="32" t="inlineStr">
        <is>
          <t>plan filed (art. 53), not yet granted</t>
        </is>
      </c>
      <c r="AU482" s="32" t="inlineStr"/>
      <c r="AV482" s="32" t="inlineStr">
        <is>
          <t>printed on the list (read twice)</t>
        </is>
      </c>
      <c r="AW482" s="32" t="inlineStr">
        <is>
          <t>Plano de Recuperação Judicial Grupo 3E v2.0 (Métis), mov. 321, pp.24-25</t>
        </is>
      </c>
      <c r="AX482" s="32" t="inlineStr">
        <is>
          <t>ITAUCU</t>
        </is>
      </c>
      <c r="AY482" s="32" t="inlineStr">
        <is>
          <t>GO</t>
        </is>
      </c>
      <c r="AZ482" s="32" t="inlineStr">
        <is>
          <t>Frigorífico - abate de bovinos</t>
        </is>
      </c>
      <c r="BA482" s="32" t="inlineStr">
        <is>
          <t>EMPRESA DE PEQUENO PORTE</t>
        </is>
      </c>
      <c r="BB482" s="33" t="n">
        <v>2000000</v>
      </c>
      <c r="BC482" s="32" t="inlineStr">
        <is>
          <t>SMALL</t>
        </is>
      </c>
      <c r="BD482" s="32" t="inlineStr">
        <is>
          <t>32902452</t>
        </is>
      </c>
      <c r="BE482" s="32" t="n">
        <v>1</v>
      </c>
      <c r="BF482" s="32" t="inlineStr">
        <is>
          <t>list prints no totals</t>
        </is>
      </c>
    </row>
    <row r="483">
      <c r="A483" s="17" t="inlineStr">
        <is>
          <t>ACOTUBO SOLUCOES EM ACOS LTDA</t>
        </is>
      </c>
      <c r="B483" s="18" t="n">
        <v>303544.67</v>
      </c>
      <c r="C483" s="19" t="inlineStr">
        <is>
          <t>VECTOR INDÚSTRIA DE PRODUTOS METALÚRGICOS LTDA.</t>
        </is>
      </c>
      <c r="D483" s="20" t="inlineStr">
        <is>
          <t>NEW</t>
        </is>
      </c>
      <c r="E483" s="21" t="inlineStr"/>
      <c r="F483" s="20" t="inlineStr"/>
      <c r="G483" s="21" t="inlineStr"/>
      <c r="H483" s="20" t="inlineStr"/>
      <c r="I483" s="22" t="inlineStr">
        <is>
          <t>Wilson Bassi</t>
        </is>
      </c>
      <c r="J483" s="22" t="inlineStr">
        <is>
          <t>Financial Director</t>
        </is>
      </c>
      <c r="K483" s="22" t="inlineStr">
        <is>
          <t>(11) 2413-2000</t>
        </is>
      </c>
      <c r="L483" s="22" t="inlineStr"/>
      <c r="M483" s="22" t="inlineStr"/>
      <c r="N483" s="22" t="inlineStr">
        <is>
          <t>wilsonbassi@acotubo.com.br</t>
        </is>
      </c>
      <c r="O483" s="22" t="inlineStr">
        <is>
          <t>verified</t>
        </is>
      </c>
      <c r="P483" s="22" t="inlineStr">
        <is>
          <t>Leonardo Reys</t>
        </is>
      </c>
      <c r="Q483" s="22" t="inlineStr">
        <is>
          <t>Financial Manager</t>
        </is>
      </c>
      <c r="R483" s="22" t="inlineStr"/>
      <c r="S483" s="22" t="inlineStr">
        <is>
          <t>leonardo.reys@acotubo.com.br</t>
        </is>
      </c>
      <c r="T483" s="22" t="inlineStr">
        <is>
          <t>DM: DM; BACKUP: backup</t>
        </is>
      </c>
      <c r="U483" s="24" t="n">
        <v>303544.67</v>
      </c>
      <c r="V483" s="39" t="inlineStr">
        <is>
          <t>C</t>
        </is>
      </c>
      <c r="W483" s="26" t="inlineStr"/>
      <c r="X483" s="27" t="inlineStr"/>
      <c r="Y483" s="27" t="inlineStr"/>
      <c r="Z483" s="26">
        <f>IF(W483&lt;&gt;"",W483,IFERROR(VLOOKUP(V483,Assumptions!$A$8:$F$12,2,FALSE),0))</f>
        <v/>
      </c>
      <c r="AA483" s="28">
        <f>IF(V483="A",MAX(1,IF(X483&lt;&gt;"",X483,IFERROR(VLOOKUP(V483,Assumptions!$A$8:$F$12,3,FALSE),3))+IF(Y483&lt;&gt;"",Y483,IFERROR(VLOOKUP(V483,Assumptions!$A$8:$F$12,4,FALSE),8))/2-MAX(0,IF(AS483="",0,YEAR(TODAY())-AS483)-IFERROR(VLOOKUP(V483,Assumptions!$A$8:$F$12,5,FALSE),1.5))),IFERROR(VLOOKUP(V483,Assumptions!$A$8:$F$12,5,FALSE),2.5)+IF(X483&lt;&gt;"",X483,IFERROR(VLOOKUP(V483,Assumptions!$A$8:$F$12,3,FALSE),3))+IF(Y483&lt;&gt;"",Y483,IFERROR(VLOOKUP(V483,Assumptions!$A$8:$F$12,4,FALSE),8))/2)</f>
        <v/>
      </c>
      <c r="AB483" s="24">
        <f>U483*Z483/(1+Assumptions!$B$3)^AA483</f>
        <v/>
      </c>
      <c r="AC483" s="27">
        <f>IF(U483=0,"",ROUND(AB483/U483*100,1))</f>
        <v/>
      </c>
      <c r="AD483" s="29">
        <f>AB483*Assumptions!$B$4</f>
        <v/>
      </c>
      <c r="AE483" s="27">
        <f>IF(U483=0,"",ROUND(AD483/U483*100,1))</f>
        <v/>
      </c>
      <c r="AF483" s="29">
        <f>AB483-AD483</f>
        <v/>
      </c>
      <c r="AG483" s="27">
        <f>IF(U483=0,"",ROUND((AB483-AD483)/U483*100,1))</f>
        <v/>
      </c>
      <c r="AH483" s="34" t="inlineStr">
        <is>
          <t>NO TOTALS — list prints none; check page</t>
        </is>
      </c>
      <c r="AI483" s="31" t="inlineStr">
        <is>
          <t>https://scalzilliaj.com.br/sgc/download.php?file=files/processo_documento/processo_documento15513401112022_1_.pdf&amp;nome=15 - Edital do art. 7º, §2º (segunda lista de credores) e do art. 53 da Lei 11.101/2005 (recebimento do plano)</t>
        </is>
      </c>
      <c r="AJ483" s="30" t="inlineStr">
        <is>
          <t>p5 r18</t>
        </is>
      </c>
      <c r="AK483" s="30" t="inlineStr">
        <is>
          <t>p5: R$ 303.544,67</t>
        </is>
      </c>
      <c r="AL483" s="30" t="inlineStr">
        <is>
          <t>AJ list (art. 7 §2)</t>
        </is>
      </c>
      <c r="AM483" s="30" t="inlineStr">
        <is>
          <t>2022-11-01</t>
        </is>
      </c>
      <c r="AN483" s="30" t="inlineStr">
        <is>
          <t>NONE FOUND</t>
        </is>
      </c>
      <c r="AO483" s="32" t="inlineStr">
        <is>
          <t>5014104-85.2021.8.21.0010</t>
        </is>
      </c>
      <c r="AP483" s="32" t="inlineStr">
        <is>
          <t>TJRS</t>
        </is>
      </c>
      <c r="AQ483" s="32" t="inlineStr">
        <is>
          <t>Recuperação judicial</t>
        </is>
      </c>
      <c r="AR483" s="32" t="inlineStr">
        <is>
          <t>DataJud: no closure/falência movement</t>
        </is>
      </c>
      <c r="AS483" s="32" t="n">
        <v>2021</v>
      </c>
      <c r="AT483" s="32" t="inlineStr">
        <is>
          <t>5y since filing; plan not in our documents</t>
        </is>
      </c>
      <c r="AU483" s="32" t="inlineStr">
        <is>
          <t>03.018.339/0001-03</t>
        </is>
      </c>
      <c r="AV483" s="32" t="inlineStr">
        <is>
          <t>printed on the list (read twice)</t>
        </is>
      </c>
      <c r="AW483" s="32" t="inlineStr"/>
      <c r="AX483" s="32" t="inlineStr">
        <is>
          <t>GUARULHOS</t>
        </is>
      </c>
      <c r="AY483" s="32" t="inlineStr">
        <is>
          <t>SP</t>
        </is>
      </c>
      <c r="AZ483" s="32" t="inlineStr">
        <is>
          <t>Comércio atacadista de produtos siderúrgicos e metalúrgicos, exceto para construção</t>
        </is>
      </c>
      <c r="BA483" s="32" t="inlineStr">
        <is>
          <t>não ME/EPP</t>
        </is>
      </c>
      <c r="BB483" s="33" t="n">
        <v>583500000</v>
      </c>
      <c r="BC483" s="32" t="inlineStr">
        <is>
          <t>MID-MARKET</t>
        </is>
      </c>
      <c r="BD483" s="32" t="inlineStr">
        <is>
          <t>33150053</t>
        </is>
      </c>
      <c r="BE483" s="32" t="n">
        <v>1</v>
      </c>
      <c r="BF483" s="32" t="inlineStr">
        <is>
          <t>list prints no totals</t>
        </is>
      </c>
    </row>
    <row r="484">
      <c r="A484" s="17" t="inlineStr">
        <is>
          <t>SUL BRASIL IND E COM DE ACESSORIOS PLASTICOS E METALICOS S/A</t>
        </is>
      </c>
      <c r="B484" s="18" t="n">
        <v>555381.14</v>
      </c>
      <c r="C484" s="19" t="inlineStr">
        <is>
          <t>Mannes</t>
        </is>
      </c>
      <c r="D484" s="20" t="inlineStr">
        <is>
          <t>NEW</t>
        </is>
      </c>
      <c r="E484" s="21" t="inlineStr"/>
      <c r="F484" s="20" t="inlineStr"/>
      <c r="G484" s="21" t="inlineStr"/>
      <c r="H484" s="20" t="inlineStr"/>
      <c r="I484" s="22" t="inlineStr">
        <is>
          <t>Josemar Santos</t>
        </is>
      </c>
      <c r="J484" s="22" t="inlineStr">
        <is>
          <t>Purchasing Manager</t>
        </is>
      </c>
      <c r="K484" s="22" t="inlineStr">
        <is>
          <t>(49) 3561-1500</t>
        </is>
      </c>
      <c r="L484" s="22" t="inlineStr">
        <is>
          <t>(49) 3561-1514</t>
        </is>
      </c>
      <c r="M484" s="22" t="inlineStr"/>
      <c r="N484" s="22" t="inlineStr">
        <is>
          <t>compras02@sulbrasil.com.br</t>
        </is>
      </c>
      <c r="O484" s="22" t="inlineStr">
        <is>
          <t>verified</t>
        </is>
      </c>
      <c r="P484" s="22" t="inlineStr">
        <is>
          <t>JOVELCI DOMINGOS GOMES</t>
        </is>
      </c>
      <c r="Q484" s="22" t="inlineStr">
        <is>
          <t>Presidente (RFB partner)</t>
        </is>
      </c>
      <c r="R484" s="22" t="inlineStr"/>
      <c r="S484" s="22" t="inlineStr"/>
      <c r="T484" s="22" t="inlineStr">
        <is>
          <t>DM: weak, has_email, phone Yes</t>
        </is>
      </c>
      <c r="U484" s="24" t="n">
        <v>555381.14</v>
      </c>
      <c r="V484" s="40" t="inlineStr">
        <is>
          <t>D</t>
        </is>
      </c>
      <c r="W484" s="26" t="inlineStr"/>
      <c r="X484" s="27" t="inlineStr"/>
      <c r="Y484" s="27" t="inlineStr"/>
      <c r="Z484" s="26">
        <f>IF(W484&lt;&gt;"",W484,IFERROR(VLOOKUP(V484,Assumptions!$A$8:$F$12,2,FALSE),0))</f>
        <v/>
      </c>
      <c r="AA484" s="28">
        <f>IF(V484="A",MAX(1,IF(X484&lt;&gt;"",X484,IFERROR(VLOOKUP(V484,Assumptions!$A$8:$F$12,3,FALSE),3))+IF(Y484&lt;&gt;"",Y484,IFERROR(VLOOKUP(V484,Assumptions!$A$8:$F$12,4,FALSE),8))/2-MAX(0,IF(AS484="",0,YEAR(TODAY())-AS484)-IFERROR(VLOOKUP(V484,Assumptions!$A$8:$F$12,5,FALSE),1.5))),IFERROR(VLOOKUP(V484,Assumptions!$A$8:$F$12,5,FALSE),2.5)+IF(X484&lt;&gt;"",X484,IFERROR(VLOOKUP(V484,Assumptions!$A$8:$F$12,3,FALSE),3))+IF(Y484&lt;&gt;"",Y484,IFERROR(VLOOKUP(V484,Assumptions!$A$8:$F$12,4,FALSE),8))/2)</f>
        <v/>
      </c>
      <c r="AB484" s="24">
        <f>U484*Z484/(1+Assumptions!$B$3)^AA484</f>
        <v/>
      </c>
      <c r="AC484" s="27">
        <f>IF(U484=0,"",ROUND(AB484/U484*100,1))</f>
        <v/>
      </c>
      <c r="AD484" s="29">
        <f>AB484*Assumptions!$B$4</f>
        <v/>
      </c>
      <c r="AE484" s="27">
        <f>IF(U484=0,"",ROUND(AD484/U484*100,1))</f>
        <v/>
      </c>
      <c r="AF484" s="29">
        <f>AB484-AD484</f>
        <v/>
      </c>
      <c r="AG484" s="27">
        <f>IF(U484=0,"",ROUND((AB484-AD484)/U484*100,1))</f>
        <v/>
      </c>
      <c r="AH484" s="36" t="inlineStr">
        <is>
          <t>CHECK — source is not a statutory creditor list</t>
        </is>
      </c>
      <c r="AI484" s="31" t="inlineStr">
        <is>
          <t>https://administradorajudicialgs.com.br/wp-content/uploads/2024/12/relacao-de-credores-da-falida.pdf</t>
        </is>
      </c>
      <c r="AJ484" s="30" t="inlineStr">
        <is>
          <t>p18 r46</t>
        </is>
      </c>
      <c r="AK484" s="30" t="inlineStr">
        <is>
          <t>p18: R$ 555.381,14</t>
        </is>
      </c>
      <c r="AL484" s="30" t="inlineStr">
        <is>
          <t>Other filing — NOT an art. 7/51 list</t>
        </is>
      </c>
      <c r="AM484" s="30" t="inlineStr">
        <is>
          <t>2025-03-25</t>
        </is>
      </c>
      <c r="AN484" s="30" t="inlineStr">
        <is>
          <t>NONE FOUND</t>
        </is>
      </c>
      <c r="AO484" s="32" t="inlineStr">
        <is>
          <t>0005010-50.2013.8.24.0026</t>
        </is>
      </c>
      <c r="AP484" s="32" t="inlineStr">
        <is>
          <t>TJSC</t>
        </is>
      </c>
      <c r="AQ484" s="32" t="inlineStr">
        <is>
          <t>Falência</t>
        </is>
      </c>
      <c r="AR484" s="32" t="inlineStr">
        <is>
          <t>not in DataJud</t>
        </is>
      </c>
      <c r="AS484" s="32" t="n">
        <v>2013</v>
      </c>
      <c r="AT484" s="32" t="inlineStr">
        <is>
          <t>falência proceeding (list/name says falida)</t>
        </is>
      </c>
      <c r="AU484" s="32" t="inlineStr"/>
      <c r="AV484" s="32" t="inlineStr">
        <is>
          <t>printed on the list (read twice)</t>
        </is>
      </c>
      <c r="AW484" s="32" t="inlineStr"/>
      <c r="AX484" s="32" t="inlineStr">
        <is>
          <t>CACADOR</t>
        </is>
      </c>
      <c r="AY484" s="32" t="inlineStr">
        <is>
          <t>SC</t>
        </is>
      </c>
      <c r="AZ484" s="32" t="inlineStr">
        <is>
          <t>Fabricação de tecidos especiais, inclusive artefatos</t>
        </is>
      </c>
      <c r="BA484" s="32" t="inlineStr">
        <is>
          <t>não ME/EPP</t>
        </is>
      </c>
      <c r="BB484" s="33" t="n">
        <v>135681040</v>
      </c>
      <c r="BC484" s="32" t="inlineStr">
        <is>
          <t>MID-MARKET</t>
        </is>
      </c>
      <c r="BD484" s="32" t="inlineStr">
        <is>
          <t>83011460</t>
        </is>
      </c>
      <c r="BE484" s="32" t="n">
        <v>1</v>
      </c>
      <c r="BF484" s="32" t="inlineStr">
        <is>
          <t>list prints no totals case no. corrected by reader</t>
        </is>
      </c>
    </row>
    <row r="485">
      <c r="A485" s="17" t="inlineStr">
        <is>
          <t>I. F. DOS SANTOS &amp; CIA LTDA</t>
        </is>
      </c>
      <c r="B485" s="18" t="n">
        <v>301720.99</v>
      </c>
      <c r="C485" s="19" t="inlineStr">
        <is>
          <t>CREDIMÓVEIS NOVOLAR LTDA.</t>
        </is>
      </c>
      <c r="D485" s="20" t="inlineStr">
        <is>
          <t>NEW</t>
        </is>
      </c>
      <c r="E485" s="21" t="inlineStr"/>
      <c r="F485" s="20" t="inlineStr"/>
      <c r="G485" s="21" t="inlineStr"/>
      <c r="H485" s="20" t="inlineStr"/>
      <c r="I485" s="22" t="inlineStr">
        <is>
          <t>IVAN FERREIRA DOS SANTOS</t>
        </is>
      </c>
      <c r="J485" s="23" t="inlineStr">
        <is>
          <t>Sócio-Administrador (RFB partner)</t>
        </is>
      </c>
      <c r="K485" s="22" t="inlineStr">
        <is>
          <t>(81) 9649-1169</t>
        </is>
      </c>
      <c r="L485" s="22" t="inlineStr"/>
      <c r="M485" s="22" t="inlineStr"/>
      <c r="N485" s="22" t="inlineStr"/>
      <c r="O485" s="22" t="inlineStr"/>
      <c r="P485" s="22" t="inlineStr">
        <is>
          <t>JOSELMA JOSE DE LIMA SANTOS</t>
        </is>
      </c>
      <c r="Q485" s="22" t="inlineStr">
        <is>
          <t>Sócio-Administrador (RFB partner)</t>
        </is>
      </c>
      <c r="R485" s="22" t="inlineStr"/>
      <c r="S485" s="22" t="inlineStr"/>
      <c r="T485" s="22" t="inlineStr">
        <is>
          <t>DM = registered partner (RFB QSA); Apollo pick demoted to backup (non-finance role)</t>
        </is>
      </c>
      <c r="U485" s="24" t="n">
        <v>301720.99</v>
      </c>
      <c r="V485" s="39" t="inlineStr">
        <is>
          <t>C</t>
        </is>
      </c>
      <c r="W485" s="26" t="inlineStr"/>
      <c r="X485" s="27" t="inlineStr"/>
      <c r="Y485" s="27" t="inlineStr"/>
      <c r="Z485" s="26">
        <f>IF(W485&lt;&gt;"",W485,IFERROR(VLOOKUP(V485,Assumptions!$A$8:$F$12,2,FALSE),0))</f>
        <v/>
      </c>
      <c r="AA485" s="28">
        <f>IF(V485="A",MAX(1,IF(X485&lt;&gt;"",X485,IFERROR(VLOOKUP(V485,Assumptions!$A$8:$F$12,3,FALSE),3))+IF(Y485&lt;&gt;"",Y485,IFERROR(VLOOKUP(V485,Assumptions!$A$8:$F$12,4,FALSE),8))/2-MAX(0,IF(AS485="",0,YEAR(TODAY())-AS485)-IFERROR(VLOOKUP(V485,Assumptions!$A$8:$F$12,5,FALSE),1.5))),IFERROR(VLOOKUP(V485,Assumptions!$A$8:$F$12,5,FALSE),2.5)+IF(X485&lt;&gt;"",X485,IFERROR(VLOOKUP(V485,Assumptions!$A$8:$F$12,3,FALSE),3))+IF(Y485&lt;&gt;"",Y485,IFERROR(VLOOKUP(V485,Assumptions!$A$8:$F$12,4,FALSE),8))/2)</f>
        <v/>
      </c>
      <c r="AB485" s="24">
        <f>U485*Z485/(1+Assumptions!$B$3)^AA485</f>
        <v/>
      </c>
      <c r="AC485" s="27">
        <f>IF(U485=0,"",ROUND(AB485/U485*100,1))</f>
        <v/>
      </c>
      <c r="AD485" s="29">
        <f>AB485*Assumptions!$B$4</f>
        <v/>
      </c>
      <c r="AE485" s="27">
        <f>IF(U485=0,"",ROUND(AD485/U485*100,1))</f>
        <v/>
      </c>
      <c r="AF485" s="29">
        <f>AB485-AD485</f>
        <v/>
      </c>
      <c r="AG485" s="27">
        <f>IF(U485=0,"",ROUND((AB485-AD485)/U485*100,1))</f>
        <v/>
      </c>
      <c r="AH485" s="30" t="inlineStr">
        <is>
          <t>OK — totals reconciled</t>
        </is>
      </c>
      <c r="AI485" s="31" t="inlineStr">
        <is>
          <t>https://recuperacaojudicial.squarespace.com/s/RJ-Credimoveis-QGC-01082025.pdf</t>
        </is>
      </c>
      <c r="AJ485" s="30" t="inlineStr">
        <is>
          <t>p15 r51</t>
        </is>
      </c>
      <c r="AK485" s="30" t="inlineStr">
        <is>
          <t>p15: R$ 301.720,99</t>
        </is>
      </c>
      <c r="AL485" s="30" t="inlineStr">
        <is>
          <t>QGC (art. 18)</t>
        </is>
      </c>
      <c r="AM485" s="30" t="inlineStr">
        <is>
          <t>2026-01-28</t>
        </is>
      </c>
      <c r="AN485" s="30" t="inlineStr">
        <is>
          <t>NONE FOUND</t>
        </is>
      </c>
      <c r="AO485" s="32" t="inlineStr">
        <is>
          <t>0007565-40.2020.8.17.2370</t>
        </is>
      </c>
      <c r="AP485" s="32" t="inlineStr">
        <is>
          <t>TJPE</t>
        </is>
      </c>
      <c r="AQ485" s="32" t="inlineStr">
        <is>
          <t>Recuperação judicial</t>
        </is>
      </c>
      <c r="AR485" s="32" t="inlineStr">
        <is>
          <t>DataJud: no closure/falência movement</t>
        </is>
      </c>
      <c r="AS485" s="32" t="n">
        <v>2020</v>
      </c>
      <c r="AT485" s="32" t="inlineStr">
        <is>
          <t>6y since filing; plan not in our documents</t>
        </is>
      </c>
      <c r="AU485" s="32" t="inlineStr">
        <is>
          <t>09.930.165/0001-37</t>
        </is>
      </c>
      <c r="AV485" s="32" t="inlineStr">
        <is>
          <t>printed on the list (read twice)</t>
        </is>
      </c>
      <c r="AW485" s="32" t="inlineStr"/>
      <c r="AX485" s="32" t="inlineStr">
        <is>
          <t>JOAO ALFREDO</t>
        </is>
      </c>
      <c r="AY485" s="32" t="inlineStr">
        <is>
          <t>PE</t>
        </is>
      </c>
      <c r="AZ485" s="32" t="inlineStr">
        <is>
          <t>Fabricação de móveis com predominância de madeira</t>
        </is>
      </c>
      <c r="BA485" s="32" t="inlineStr">
        <is>
          <t>não ME/EPP</t>
        </is>
      </c>
      <c r="BB485" s="33" t="n">
        <v>500000</v>
      </c>
      <c r="BC485" s="32" t="inlineStr">
        <is>
          <t>MID-MARKET</t>
        </is>
      </c>
      <c r="BD485" s="32" t="inlineStr">
        <is>
          <t>10758022</t>
        </is>
      </c>
      <c r="BE485" s="32" t="n">
        <v>1</v>
      </c>
      <c r="BF485" s="32" t="inlineStr"/>
    </row>
    <row r="486">
      <c r="A486" s="17" t="inlineStr">
        <is>
          <t>J. CONFORT FABRICACAO DE MOVEIS E ESTOFADOS LTDA</t>
        </is>
      </c>
      <c r="B486" s="18" t="n">
        <v>300559.34</v>
      </c>
      <c r="C486" s="19" t="inlineStr">
        <is>
          <t>CREDIMÓVEIS NOVOLAR LTDA.</t>
        </is>
      </c>
      <c r="D486" s="20" t="inlineStr">
        <is>
          <t>NEW</t>
        </is>
      </c>
      <c r="E486" s="21" t="inlineStr"/>
      <c r="F486" s="20" t="inlineStr"/>
      <c r="G486" s="21" t="inlineStr"/>
      <c r="H486" s="20" t="inlineStr"/>
      <c r="I486" s="22" t="inlineStr">
        <is>
          <t>JOSE SILVINO DA SILVA FILHO</t>
        </is>
      </c>
      <c r="J486" s="23" t="inlineStr">
        <is>
          <t>Sócio-Administrador (RFB partner)</t>
        </is>
      </c>
      <c r="K486" s="22" t="inlineStr">
        <is>
          <t>(81) 3628-1296</t>
        </is>
      </c>
      <c r="L486" s="22" t="inlineStr"/>
      <c r="M486" s="22" t="inlineStr"/>
      <c r="N486" s="22" t="inlineStr"/>
      <c r="O486" s="22" t="inlineStr"/>
      <c r="P486" s="22" t="inlineStr"/>
      <c r="Q486" s="22" t="inlineStr"/>
      <c r="R486" s="22" t="inlineStr"/>
      <c r="S486" s="22" t="inlineStr"/>
      <c r="T486" s="22" t="inlineStr">
        <is>
          <t>DM = registered partner (RFB QSA); no Apollo match</t>
        </is>
      </c>
      <c r="U486" s="24" t="n">
        <v>300559.34</v>
      </c>
      <c r="V486" s="39" t="inlineStr">
        <is>
          <t>C</t>
        </is>
      </c>
      <c r="W486" s="26" t="inlineStr"/>
      <c r="X486" s="27" t="inlineStr"/>
      <c r="Y486" s="27" t="inlineStr"/>
      <c r="Z486" s="26">
        <f>IF(W486&lt;&gt;"",W486,IFERROR(VLOOKUP(V486,Assumptions!$A$8:$F$12,2,FALSE),0))</f>
        <v/>
      </c>
      <c r="AA486" s="28">
        <f>IF(V486="A",MAX(1,IF(X486&lt;&gt;"",X486,IFERROR(VLOOKUP(V486,Assumptions!$A$8:$F$12,3,FALSE),3))+IF(Y486&lt;&gt;"",Y486,IFERROR(VLOOKUP(V486,Assumptions!$A$8:$F$12,4,FALSE),8))/2-MAX(0,IF(AS486="",0,YEAR(TODAY())-AS486)-IFERROR(VLOOKUP(V486,Assumptions!$A$8:$F$12,5,FALSE),1.5))),IFERROR(VLOOKUP(V486,Assumptions!$A$8:$F$12,5,FALSE),2.5)+IF(X486&lt;&gt;"",X486,IFERROR(VLOOKUP(V486,Assumptions!$A$8:$F$12,3,FALSE),3))+IF(Y486&lt;&gt;"",Y486,IFERROR(VLOOKUP(V486,Assumptions!$A$8:$F$12,4,FALSE),8))/2)</f>
        <v/>
      </c>
      <c r="AB486" s="24">
        <f>U486*Z486/(1+Assumptions!$B$3)^AA486</f>
        <v/>
      </c>
      <c r="AC486" s="27">
        <f>IF(U486=0,"",ROUND(AB486/U486*100,1))</f>
        <v/>
      </c>
      <c r="AD486" s="29">
        <f>AB486*Assumptions!$B$4</f>
        <v/>
      </c>
      <c r="AE486" s="27">
        <f>IF(U486=0,"",ROUND(AD486/U486*100,1))</f>
        <v/>
      </c>
      <c r="AF486" s="29">
        <f>AB486-AD486</f>
        <v/>
      </c>
      <c r="AG486" s="27">
        <f>IF(U486=0,"",ROUND((AB486-AD486)/U486*100,1))</f>
        <v/>
      </c>
      <c r="AH486" s="30" t="inlineStr">
        <is>
          <t>OK — totals reconciled</t>
        </is>
      </c>
      <c r="AI486" s="31" t="inlineStr">
        <is>
          <t>https://recuperacaojudicial.squarespace.com/s/RJ-Credimoveis-QGC-01082025.pdf</t>
        </is>
      </c>
      <c r="AJ486" s="30" t="inlineStr">
        <is>
          <t>p16 r1</t>
        </is>
      </c>
      <c r="AK486" s="30" t="inlineStr">
        <is>
          <t>p16: R$ 300.559,34</t>
        </is>
      </c>
      <c r="AL486" s="30" t="inlineStr">
        <is>
          <t>QGC (art. 18)</t>
        </is>
      </c>
      <c r="AM486" s="30" t="inlineStr">
        <is>
          <t>2026-01-28</t>
        </is>
      </c>
      <c r="AN486" s="30" t="inlineStr">
        <is>
          <t>NONE FOUND</t>
        </is>
      </c>
      <c r="AO486" s="32" t="inlineStr">
        <is>
          <t>0007565-40.2020.8.17.2370</t>
        </is>
      </c>
      <c r="AP486" s="32" t="inlineStr">
        <is>
          <t>TJPE</t>
        </is>
      </c>
      <c r="AQ486" s="32" t="inlineStr">
        <is>
          <t>Recuperação judicial</t>
        </is>
      </c>
      <c r="AR486" s="32" t="inlineStr">
        <is>
          <t>DataJud: no closure/falência movement</t>
        </is>
      </c>
      <c r="AS486" s="32" t="n">
        <v>2020</v>
      </c>
      <c r="AT486" s="32" t="inlineStr">
        <is>
          <t>6y since filing; plan not in our documents</t>
        </is>
      </c>
      <c r="AU486" s="32" t="inlineStr">
        <is>
          <t>09.930.165/0001-37</t>
        </is>
      </c>
      <c r="AV486" s="32" t="inlineStr">
        <is>
          <t>printed on the list (read twice)</t>
        </is>
      </c>
      <c r="AW486" s="32" t="inlineStr"/>
      <c r="AX486" s="32" t="inlineStr">
        <is>
          <t>JOAO ALFREDO</t>
        </is>
      </c>
      <c r="AY486" s="32" t="inlineStr">
        <is>
          <t>PE</t>
        </is>
      </c>
      <c r="AZ486" s="32" t="inlineStr">
        <is>
          <t>Fabricação de móveis com predominância de madeira</t>
        </is>
      </c>
      <c r="BA486" s="32" t="inlineStr">
        <is>
          <t>não ME/EPP</t>
        </is>
      </c>
      <c r="BB486" s="33" t="n">
        <v>200000</v>
      </c>
      <c r="BC486" s="32" t="inlineStr">
        <is>
          <t>MID-MARKET</t>
        </is>
      </c>
      <c r="BD486" s="32" t="inlineStr">
        <is>
          <t>11324540</t>
        </is>
      </c>
      <c r="BE486" s="32" t="n">
        <v>1</v>
      </c>
      <c r="BF486" s="32" t="inlineStr"/>
    </row>
    <row r="487">
      <c r="A487" s="17" t="inlineStr">
        <is>
          <t>BUNGE ALIMENTOS S/A</t>
        </is>
      </c>
      <c r="B487" s="18" t="n">
        <v>295774.65</v>
      </c>
      <c r="C487" s="19" t="inlineStr">
        <is>
          <t>Grupo Mastter</t>
        </is>
      </c>
      <c r="D487" s="20" t="inlineStr">
        <is>
          <t>NEW</t>
        </is>
      </c>
      <c r="E487" s="21" t="inlineStr"/>
      <c r="F487" s="20" t="inlineStr"/>
      <c r="G487" s="21" t="inlineStr"/>
      <c r="H487" s="20" t="inlineStr"/>
      <c r="I487" s="22" t="inlineStr">
        <is>
          <t>Leonardo Nogueira</t>
        </is>
      </c>
      <c r="J487" s="22" t="inlineStr">
        <is>
          <t>Senior Credit Manager - Projects</t>
        </is>
      </c>
      <c r="K487" s="22" t="inlineStr">
        <is>
          <t>(47) 3703-2500</t>
        </is>
      </c>
      <c r="L487" s="22" t="inlineStr">
        <is>
          <t>(47) 3703-2200</t>
        </is>
      </c>
      <c r="M487" s="22" t="inlineStr"/>
      <c r="N487" s="22" t="inlineStr">
        <is>
          <t>leonardo.nogueira@bunge.com</t>
        </is>
      </c>
      <c r="O487" s="22" t="inlineStr">
        <is>
          <t>verified</t>
        </is>
      </c>
      <c r="P487" s="22" t="inlineStr">
        <is>
          <t>Beatriz Yamamoto</t>
        </is>
      </c>
      <c r="Q487" s="22" t="inlineStr">
        <is>
          <t>Coordenadora de Crédito na Bunge</t>
        </is>
      </c>
      <c r="R487" s="22" t="inlineStr"/>
      <c r="S487" s="22" t="inlineStr">
        <is>
          <t>beatriz.yamamoto@bunge.com</t>
        </is>
      </c>
      <c r="T487" s="22" t="inlineStr">
        <is>
          <t>DM: DM; LARGE CORP; BACKUP: backup</t>
        </is>
      </c>
      <c r="U487" s="24" t="n">
        <v>295774.65</v>
      </c>
      <c r="V487" s="39" t="inlineStr">
        <is>
          <t>C</t>
        </is>
      </c>
      <c r="W487" s="26" t="inlineStr"/>
      <c r="X487" s="27" t="inlineStr"/>
      <c r="Y487" s="27" t="inlineStr"/>
      <c r="Z487" s="26">
        <f>IF(W487&lt;&gt;"",W487,IFERROR(VLOOKUP(V487,Assumptions!$A$8:$F$12,2,FALSE),0))</f>
        <v/>
      </c>
      <c r="AA487" s="28">
        <f>IF(V487="A",MAX(1,IF(X487&lt;&gt;"",X487,IFERROR(VLOOKUP(V487,Assumptions!$A$8:$F$12,3,FALSE),3))+IF(Y487&lt;&gt;"",Y487,IFERROR(VLOOKUP(V487,Assumptions!$A$8:$F$12,4,FALSE),8))/2-MAX(0,IF(AS487="",0,YEAR(TODAY())-AS487)-IFERROR(VLOOKUP(V487,Assumptions!$A$8:$F$12,5,FALSE),1.5))),IFERROR(VLOOKUP(V487,Assumptions!$A$8:$F$12,5,FALSE),2.5)+IF(X487&lt;&gt;"",X487,IFERROR(VLOOKUP(V487,Assumptions!$A$8:$F$12,3,FALSE),3))+IF(Y487&lt;&gt;"",Y487,IFERROR(VLOOKUP(V487,Assumptions!$A$8:$F$12,4,FALSE),8))/2)</f>
        <v/>
      </c>
      <c r="AB487" s="24">
        <f>U487*Z487/(1+Assumptions!$B$3)^AA487</f>
        <v/>
      </c>
      <c r="AC487" s="27">
        <f>IF(U487=0,"",ROUND(AB487/U487*100,1))</f>
        <v/>
      </c>
      <c r="AD487" s="29">
        <f>AB487*Assumptions!$B$4</f>
        <v/>
      </c>
      <c r="AE487" s="27">
        <f>IF(U487=0,"",ROUND(AD487/U487*100,1))</f>
        <v/>
      </c>
      <c r="AF487" s="29">
        <f>AB487-AD487</f>
        <v/>
      </c>
      <c r="AG487" s="27">
        <f>IF(U487=0,"",ROUND((AB487-AD487)/U487*100,1))</f>
        <v/>
      </c>
      <c r="AH487" s="34" t="inlineStr">
        <is>
          <t>NO TOTALS — list prints none; check page</t>
        </is>
      </c>
      <c r="AI487" s="31" t="inlineStr">
        <is>
          <t>https://realbrasil.com.br/wp-content/uploads/2017/05/Relação-de-Credores_-Mastter-1.pdf</t>
        </is>
      </c>
      <c r="AJ487" s="30" t="inlineStr">
        <is>
          <t>p13 r14</t>
        </is>
      </c>
      <c r="AK487" s="30" t="inlineStr">
        <is>
          <t>p13: R$ 295.774,65</t>
        </is>
      </c>
      <c r="AL487" s="30" t="inlineStr">
        <is>
          <t>Debtor list (art. 51)</t>
        </is>
      </c>
      <c r="AM487" s="30" t="inlineStr">
        <is>
          <t>2016-02-10</t>
        </is>
      </c>
      <c r="AN487" s="30" t="inlineStr">
        <is>
          <t>NONE FOUND</t>
        </is>
      </c>
      <c r="AO487" s="32" t="inlineStr">
        <is>
          <t>0801893-91.2016.8.12.0011</t>
        </is>
      </c>
      <c r="AP487" s="32" t="inlineStr">
        <is>
          <t>TJMS</t>
        </is>
      </c>
      <c r="AQ487" s="32" t="inlineStr">
        <is>
          <t>Recuperação judicial</t>
        </is>
      </c>
      <c r="AR487" s="32" t="inlineStr">
        <is>
          <t>not in DataJud</t>
        </is>
      </c>
      <c r="AS487" s="32" t="n">
        <v>2016</v>
      </c>
      <c r="AT487" s="32" t="inlineStr">
        <is>
          <t>10y since filing; plan not in our documents; case no. from the portal record, not printed on the list</t>
        </is>
      </c>
      <c r="AU487" s="32" t="inlineStr"/>
      <c r="AV487" s="32" t="inlineStr">
        <is>
          <t>printed on the list (read twice)</t>
        </is>
      </c>
      <c r="AW487" s="32" t="inlineStr"/>
      <c r="AX487" s="32" t="inlineStr">
        <is>
          <t>GASPAR</t>
        </is>
      </c>
      <c r="AY487" s="32" t="inlineStr">
        <is>
          <t>SC</t>
        </is>
      </c>
      <c r="AZ487" s="32" t="inlineStr">
        <is>
          <t>Fabricação de óleos vegetais em bruto, exceto óleo de milho</t>
        </is>
      </c>
      <c r="BA487" s="32" t="inlineStr">
        <is>
          <t>não ME/EPP</t>
        </is>
      </c>
      <c r="BB487" s="33" t="n">
        <v>9489807000</v>
      </c>
      <c r="BC487" s="32" t="inlineStr">
        <is>
          <t>LARGE CORP</t>
        </is>
      </c>
      <c r="BD487" s="32" t="inlineStr">
        <is>
          <t>84046101</t>
        </is>
      </c>
      <c r="BE487" s="32" t="n">
        <v>1</v>
      </c>
      <c r="BF487" s="32" t="inlineStr">
        <is>
          <t>ALT_VALUE:*** ALT_VALUE:R$700.000,00 list prints no totals</t>
        </is>
      </c>
    </row>
    <row r="488">
      <c r="A488" s="17" t="inlineStr">
        <is>
          <t>MARTINS COMERCIO E SERVICOS DE DISTRIBUICAO S/A</t>
        </is>
      </c>
      <c r="B488" s="18" t="n">
        <v>329842.98</v>
      </c>
      <c r="C488" s="19" t="inlineStr">
        <is>
          <t>GRUPO 3E</t>
        </is>
      </c>
      <c r="D488" s="20" t="inlineStr">
        <is>
          <t>NEW</t>
        </is>
      </c>
      <c r="E488" s="21" t="inlineStr"/>
      <c r="F488" s="20" t="inlineStr"/>
      <c r="G488" s="21" t="inlineStr"/>
      <c r="H488" s="20" t="inlineStr"/>
      <c r="I488" s="22" t="inlineStr">
        <is>
          <t>LEANDRO HENRIQUE DE PADUA</t>
        </is>
      </c>
      <c r="J488" s="23" t="inlineStr">
        <is>
          <t>Diretor (RFB partner)</t>
        </is>
      </c>
      <c r="K488" s="22" t="inlineStr">
        <is>
          <t>(34) 3218-1500</t>
        </is>
      </c>
      <c r="L488" s="22" t="inlineStr"/>
      <c r="M488" s="22" t="inlineStr"/>
      <c r="N488" s="22" t="inlineStr"/>
      <c r="O488" s="22" t="inlineStr"/>
      <c r="P488" s="22" t="inlineStr">
        <is>
          <t>MARCO ANTONIO VILELA TANNUS FILHO</t>
        </is>
      </c>
      <c r="Q488" s="22" t="inlineStr">
        <is>
          <t>Diretor (RFB partner)</t>
        </is>
      </c>
      <c r="R488" s="22" t="inlineStr"/>
      <c r="S488" s="22" t="inlineStr"/>
      <c r="T488" s="22" t="inlineStr">
        <is>
          <t>DM = registered partner (RFB QSA); no Apollo match</t>
        </is>
      </c>
      <c r="U488" s="24" t="n">
        <v>329842.98</v>
      </c>
      <c r="V488" s="25" t="inlineStr">
        <is>
          <t>B</t>
        </is>
      </c>
      <c r="W488" s="26" t="n">
        <v>0.12</v>
      </c>
      <c r="X488" s="27" t="n">
        <v>2</v>
      </c>
      <c r="Y488" s="27" t="n">
        <v>13</v>
      </c>
      <c r="Z488" s="26">
        <f>IF(W488&lt;&gt;"",W488,IFERROR(VLOOKUP(V488,Assumptions!$A$8:$F$12,2,FALSE),0))</f>
        <v/>
      </c>
      <c r="AA488" s="28">
        <f>IF(V488="A",MAX(1,IF(X488&lt;&gt;"",X488,IFERROR(VLOOKUP(V488,Assumptions!$A$8:$F$12,3,FALSE),3))+IF(Y488&lt;&gt;"",Y488,IFERROR(VLOOKUP(V488,Assumptions!$A$8:$F$12,4,FALSE),8))/2-MAX(0,IF(AS488="",0,YEAR(TODAY())-AS488)-IFERROR(VLOOKUP(V488,Assumptions!$A$8:$F$12,5,FALSE),1.5))),IFERROR(VLOOKUP(V488,Assumptions!$A$8:$F$12,5,FALSE),2.5)+IF(X488&lt;&gt;"",X488,IFERROR(VLOOKUP(V488,Assumptions!$A$8:$F$12,3,FALSE),3))+IF(Y488&lt;&gt;"",Y488,IFERROR(VLOOKUP(V488,Assumptions!$A$8:$F$12,4,FALSE),8))/2)</f>
        <v/>
      </c>
      <c r="AB488" s="24">
        <f>U488*Z488/(1+Assumptions!$B$3)^AA488</f>
        <v/>
      </c>
      <c r="AC488" s="27">
        <f>IF(U488=0,"",ROUND(AB488/U488*100,1))</f>
        <v/>
      </c>
      <c r="AD488" s="29">
        <f>AB488*Assumptions!$B$4</f>
        <v/>
      </c>
      <c r="AE488" s="27">
        <f>IF(U488=0,"",ROUND(AD488/U488*100,1))</f>
        <v/>
      </c>
      <c r="AF488" s="29">
        <f>AB488-AD488</f>
        <v/>
      </c>
      <c r="AG488" s="27">
        <f>IF(U488=0,"",ROUND((AB488-AD488)/U488*100,1))</f>
        <v/>
      </c>
      <c r="AH488" s="34" t="inlineStr">
        <is>
          <t>NO TOTALS — list prints none; check page</t>
        </is>
      </c>
      <c r="AI488" s="31" t="inlineStr">
        <is>
          <t>https://stenius.com.br/wp-content/uploads/2026/06/EDITAL-GRUPO-3E.pdf</t>
        </is>
      </c>
      <c r="AJ488" s="30" t="inlineStr">
        <is>
          <t>p15 r55; p15 r56</t>
        </is>
      </c>
      <c r="AK488" s="30" t="inlineStr">
        <is>
          <t>p15: R$ 198.490,01; p15: R$ 131.352,97</t>
        </is>
      </c>
      <c r="AL488" s="30" t="inlineStr">
        <is>
          <t>Debtor list (art. 51)</t>
        </is>
      </c>
      <c r="AM488" s="30" t="inlineStr">
        <is>
          <t>2026-06-22</t>
        </is>
      </c>
      <c r="AN488" s="30" t="inlineStr">
        <is>
          <t>PLAN FILED (art. 53), not granted</t>
        </is>
      </c>
      <c r="AO488" s="32" t="inlineStr">
        <is>
          <t>5341375-33.2026.8.09.0049</t>
        </is>
      </c>
      <c r="AP488" s="32" t="inlineStr">
        <is>
          <t>TJGO</t>
        </is>
      </c>
      <c r="AQ488" s="32" t="inlineStr">
        <is>
          <t>Recuperação judicial</t>
        </is>
      </c>
      <c r="AR488" s="32" t="inlineStr">
        <is>
          <t>DataJud: no closure/falência movement</t>
        </is>
      </c>
      <c r="AS488" s="32" t="n">
        <v>2026</v>
      </c>
      <c r="AT488" s="32" t="inlineStr">
        <is>
          <t>plan filed (art. 53), not yet granted</t>
        </is>
      </c>
      <c r="AU488" s="32" t="inlineStr"/>
      <c r="AV488" s="32" t="inlineStr">
        <is>
          <t>printed on the list (read twice)</t>
        </is>
      </c>
      <c r="AW488" s="32" t="inlineStr">
        <is>
          <t>Plano de Recuperação Judicial Grupo 3E v2.0 (Métis), mov. 321, pp.24-25</t>
        </is>
      </c>
      <c r="AX488" s="32" t="inlineStr">
        <is>
          <t>UBERLANDIA</t>
        </is>
      </c>
      <c r="AY488" s="32" t="inlineStr">
        <is>
          <t>MG</t>
        </is>
      </c>
      <c r="AZ488" s="32" t="inlineStr">
        <is>
          <t>Comércio atacadista de mercadorias em geral, sem predominância de alimentos ou de insumos agropecuários</t>
        </is>
      </c>
      <c r="BA488" s="32" t="inlineStr">
        <is>
          <t>não ME/EPP</t>
        </is>
      </c>
      <c r="BB488" s="33" t="n">
        <v>842939300</v>
      </c>
      <c r="BC488" s="32" t="inlineStr">
        <is>
          <t>LARGE CORP</t>
        </is>
      </c>
      <c r="BD488" s="32" t="inlineStr">
        <is>
          <t>43214055</t>
        </is>
      </c>
      <c r="BE488" s="32" t="n">
        <v>2</v>
      </c>
      <c r="BF488" s="32" t="inlineStr">
        <is>
          <t>list prints no totals</t>
        </is>
      </c>
    </row>
    <row r="489">
      <c r="A489" s="17" t="inlineStr">
        <is>
          <t>INDUSTRIA E COMERCIO DE CARNES E DERIVADOS BOI BRASIL LTDA - EM RECUPERACAO JUDICIAL</t>
        </is>
      </c>
      <c r="B489" s="18" t="n">
        <v>327994.4</v>
      </c>
      <c r="C489" s="19" t="inlineStr">
        <is>
          <t>GRUPO 3E</t>
        </is>
      </c>
      <c r="D489" s="20" t="inlineStr">
        <is>
          <t>NEW</t>
        </is>
      </c>
      <c r="E489" s="21" t="inlineStr"/>
      <c r="F489" s="20" t="inlineStr"/>
      <c r="G489" s="21" t="inlineStr"/>
      <c r="H489" s="20" t="inlineStr"/>
      <c r="I489" s="22" t="inlineStr">
        <is>
          <t>GERALDO HELENO DE FARIA</t>
        </is>
      </c>
      <c r="J489" s="23" t="inlineStr">
        <is>
          <t>Sócio-Administrador (RFB partner)</t>
        </is>
      </c>
      <c r="K489" s="22" t="inlineStr">
        <is>
          <t>(27) 3300-9000</t>
        </is>
      </c>
      <c r="L489" s="22" t="inlineStr"/>
      <c r="M489" s="22" t="inlineStr"/>
      <c r="N489" s="22" t="inlineStr"/>
      <c r="O489" s="22" t="inlineStr"/>
      <c r="P489" s="22" t="inlineStr"/>
      <c r="Q489" s="22" t="inlineStr"/>
      <c r="R489" s="22" t="inlineStr"/>
      <c r="S489" s="22" t="inlineStr"/>
      <c r="T489" s="22" t="inlineStr">
        <is>
          <t>DM = registered partner (RFB QSA); no Apollo match</t>
        </is>
      </c>
      <c r="U489" s="24" t="n">
        <v>327994.4</v>
      </c>
      <c r="V489" s="25" t="inlineStr">
        <is>
          <t>B</t>
        </is>
      </c>
      <c r="W489" s="26" t="n">
        <v>0.12</v>
      </c>
      <c r="X489" s="27" t="n">
        <v>2</v>
      </c>
      <c r="Y489" s="27" t="n">
        <v>13</v>
      </c>
      <c r="Z489" s="26">
        <f>IF(W489&lt;&gt;"",W489,IFERROR(VLOOKUP(V489,Assumptions!$A$8:$F$12,2,FALSE),0))</f>
        <v/>
      </c>
      <c r="AA489" s="28">
        <f>IF(V489="A",MAX(1,IF(X489&lt;&gt;"",X489,IFERROR(VLOOKUP(V489,Assumptions!$A$8:$F$12,3,FALSE),3))+IF(Y489&lt;&gt;"",Y489,IFERROR(VLOOKUP(V489,Assumptions!$A$8:$F$12,4,FALSE),8))/2-MAX(0,IF(AS489="",0,YEAR(TODAY())-AS489)-IFERROR(VLOOKUP(V489,Assumptions!$A$8:$F$12,5,FALSE),1.5))),IFERROR(VLOOKUP(V489,Assumptions!$A$8:$F$12,5,FALSE),2.5)+IF(X489&lt;&gt;"",X489,IFERROR(VLOOKUP(V489,Assumptions!$A$8:$F$12,3,FALSE),3))+IF(Y489&lt;&gt;"",Y489,IFERROR(VLOOKUP(V489,Assumptions!$A$8:$F$12,4,FALSE),8))/2)</f>
        <v/>
      </c>
      <c r="AB489" s="24">
        <f>U489*Z489/(1+Assumptions!$B$3)^AA489</f>
        <v/>
      </c>
      <c r="AC489" s="27">
        <f>IF(U489=0,"",ROUND(AB489/U489*100,1))</f>
        <v/>
      </c>
      <c r="AD489" s="29">
        <f>AB489*Assumptions!$B$4</f>
        <v/>
      </c>
      <c r="AE489" s="27">
        <f>IF(U489=0,"",ROUND(AD489/U489*100,1))</f>
        <v/>
      </c>
      <c r="AF489" s="29">
        <f>AB489-AD489</f>
        <v/>
      </c>
      <c r="AG489" s="27">
        <f>IF(U489=0,"",ROUND((AB489-AD489)/U489*100,1))</f>
        <v/>
      </c>
      <c r="AH489" s="34" t="inlineStr">
        <is>
          <t>NO TOTALS — list prints none; check page</t>
        </is>
      </c>
      <c r="AI489" s="31" t="inlineStr">
        <is>
          <t>https://stenius.com.br/wp-content/uploads/2026/06/EDITAL-GRUPO-3E.pdf</t>
        </is>
      </c>
      <c r="AJ489" s="30" t="inlineStr">
        <is>
          <t>p13 r55</t>
        </is>
      </c>
      <c r="AK489" s="30" t="inlineStr">
        <is>
          <t>p13: R$ 327.994,40</t>
        </is>
      </c>
      <c r="AL489" s="30" t="inlineStr">
        <is>
          <t>Debtor list (art. 51)</t>
        </is>
      </c>
      <c r="AM489" s="30" t="inlineStr">
        <is>
          <t>2026-06-22</t>
        </is>
      </c>
      <c r="AN489" s="30" t="inlineStr">
        <is>
          <t>PLAN FILED (art. 53), not granted</t>
        </is>
      </c>
      <c r="AO489" s="32" t="inlineStr">
        <is>
          <t>5341375-33.2026.8.09.0049</t>
        </is>
      </c>
      <c r="AP489" s="32" t="inlineStr">
        <is>
          <t>TJGO</t>
        </is>
      </c>
      <c r="AQ489" s="32" t="inlineStr">
        <is>
          <t>Recuperação judicial</t>
        </is>
      </c>
      <c r="AR489" s="32" t="inlineStr">
        <is>
          <t>DataJud: no closure/falência movement</t>
        </is>
      </c>
      <c r="AS489" s="32" t="n">
        <v>2026</v>
      </c>
      <c r="AT489" s="32" t="inlineStr">
        <is>
          <t>plan filed (art. 53), not yet granted</t>
        </is>
      </c>
      <c r="AU489" s="32" t="inlineStr"/>
      <c r="AV489" s="32" t="inlineStr">
        <is>
          <t>printed on the list (read twice)</t>
        </is>
      </c>
      <c r="AW489" s="32" t="inlineStr">
        <is>
          <t>Plano de Recuperação Judicial Grupo 3E v2.0 (Métis), mov. 321, pp.24-25</t>
        </is>
      </c>
      <c r="AX489" s="32" t="inlineStr">
        <is>
          <t>APARECIDA DE GOIANIA</t>
        </is>
      </c>
      <c r="AY489" s="32" t="inlineStr">
        <is>
          <t>GO</t>
        </is>
      </c>
      <c r="AZ489" s="32" t="inlineStr">
        <is>
          <t>Frigorífico - abate de bovinos</t>
        </is>
      </c>
      <c r="BA489" s="32" t="inlineStr">
        <is>
          <t>não ME/EPP</t>
        </is>
      </c>
      <c r="BB489" s="33" t="n">
        <v>173000</v>
      </c>
      <c r="BC489" s="32" t="inlineStr">
        <is>
          <t>MID-MARKET</t>
        </is>
      </c>
      <c r="BD489" s="32" t="inlineStr">
        <is>
          <t>04603630</t>
        </is>
      </c>
      <c r="BE489" s="32" t="n">
        <v>1</v>
      </c>
      <c r="BF489" s="32" t="inlineStr">
        <is>
          <t>list prints no totals</t>
        </is>
      </c>
    </row>
    <row r="490">
      <c r="A490" s="17" t="inlineStr">
        <is>
          <t>RANCHEIRO S.A.</t>
        </is>
      </c>
      <c r="B490" s="18" t="n">
        <v>326527.45</v>
      </c>
      <c r="C490" s="19" t="inlineStr">
        <is>
          <t>GRUPO 3E</t>
        </is>
      </c>
      <c r="D490" s="20" t="inlineStr">
        <is>
          <t>NEW</t>
        </is>
      </c>
      <c r="E490" s="21" t="inlineStr"/>
      <c r="F490" s="20" t="inlineStr"/>
      <c r="G490" s="21" t="inlineStr"/>
      <c r="H490" s="20" t="inlineStr"/>
      <c r="I490" s="22" t="inlineStr">
        <is>
          <t>Leonardo Souza</t>
        </is>
      </c>
      <c r="J490" s="22" t="inlineStr">
        <is>
          <t>Credit and Collection Analyst</t>
        </is>
      </c>
      <c r="K490" s="22" t="inlineStr">
        <is>
          <t>(62) 4015-8955</t>
        </is>
      </c>
      <c r="L490" s="22" t="inlineStr"/>
      <c r="M490" s="22" t="inlineStr"/>
      <c r="N490" s="22" t="inlineStr">
        <is>
          <t>leonardo.souza@rancheiro.com.br</t>
        </is>
      </c>
      <c r="O490" s="22" t="inlineStr">
        <is>
          <t>verified</t>
        </is>
      </c>
      <c r="P490" s="22" t="inlineStr">
        <is>
          <t>Keite Marrone</t>
        </is>
      </c>
      <c r="Q490" s="22" t="inlineStr">
        <is>
          <t>Senior Tax Analyst</t>
        </is>
      </c>
      <c r="R490" s="22" t="inlineStr"/>
      <c r="S490" s="22" t="inlineStr">
        <is>
          <t>keite.marrone@rancheiro.com.br</t>
        </is>
      </c>
      <c r="T490" s="22" t="inlineStr">
        <is>
          <t>DM: DM; BACKUP: backup</t>
        </is>
      </c>
      <c r="U490" s="24" t="n">
        <v>326527.45</v>
      </c>
      <c r="V490" s="25" t="inlineStr">
        <is>
          <t>B</t>
        </is>
      </c>
      <c r="W490" s="26" t="n">
        <v>0.12</v>
      </c>
      <c r="X490" s="27" t="n">
        <v>2</v>
      </c>
      <c r="Y490" s="27" t="n">
        <v>13</v>
      </c>
      <c r="Z490" s="26">
        <f>IF(W490&lt;&gt;"",W490,IFERROR(VLOOKUP(V490,Assumptions!$A$8:$F$12,2,FALSE),0))</f>
        <v/>
      </c>
      <c r="AA490" s="28">
        <f>IF(V490="A",MAX(1,IF(X490&lt;&gt;"",X490,IFERROR(VLOOKUP(V490,Assumptions!$A$8:$F$12,3,FALSE),3))+IF(Y490&lt;&gt;"",Y490,IFERROR(VLOOKUP(V490,Assumptions!$A$8:$F$12,4,FALSE),8))/2-MAX(0,IF(AS490="",0,YEAR(TODAY())-AS490)-IFERROR(VLOOKUP(V490,Assumptions!$A$8:$F$12,5,FALSE),1.5))),IFERROR(VLOOKUP(V490,Assumptions!$A$8:$F$12,5,FALSE),2.5)+IF(X490&lt;&gt;"",X490,IFERROR(VLOOKUP(V490,Assumptions!$A$8:$F$12,3,FALSE),3))+IF(Y490&lt;&gt;"",Y490,IFERROR(VLOOKUP(V490,Assumptions!$A$8:$F$12,4,FALSE),8))/2)</f>
        <v/>
      </c>
      <c r="AB490" s="24">
        <f>U490*Z490/(1+Assumptions!$B$3)^AA490</f>
        <v/>
      </c>
      <c r="AC490" s="27">
        <f>IF(U490=0,"",ROUND(AB490/U490*100,1))</f>
        <v/>
      </c>
      <c r="AD490" s="29">
        <f>AB490*Assumptions!$B$4</f>
        <v/>
      </c>
      <c r="AE490" s="27">
        <f>IF(U490=0,"",ROUND(AD490/U490*100,1))</f>
        <v/>
      </c>
      <c r="AF490" s="29">
        <f>AB490-AD490</f>
        <v/>
      </c>
      <c r="AG490" s="27">
        <f>IF(U490=0,"",ROUND((AB490-AD490)/U490*100,1))</f>
        <v/>
      </c>
      <c r="AH490" s="34" t="inlineStr">
        <is>
          <t>NO TOTALS — list prints none; check page</t>
        </is>
      </c>
      <c r="AI490" s="31" t="inlineStr">
        <is>
          <t>https://stenius.com.br/wp-content/uploads/2026/06/EDITAL-GRUPO-3E.pdf</t>
        </is>
      </c>
      <c r="AJ490" s="30" t="inlineStr">
        <is>
          <t>p11 r23</t>
        </is>
      </c>
      <c r="AK490" s="30" t="inlineStr">
        <is>
          <t>p11: R$ 326.527,45</t>
        </is>
      </c>
      <c r="AL490" s="30" t="inlineStr">
        <is>
          <t>Debtor list (art. 51)</t>
        </is>
      </c>
      <c r="AM490" s="30" t="inlineStr">
        <is>
          <t>2026-06-22</t>
        </is>
      </c>
      <c r="AN490" s="30" t="inlineStr">
        <is>
          <t>PLAN FILED (art. 53), not granted</t>
        </is>
      </c>
      <c r="AO490" s="32" t="inlineStr">
        <is>
          <t>5341375-33.2026.8.09.0049</t>
        </is>
      </c>
      <c r="AP490" s="32" t="inlineStr">
        <is>
          <t>TJGO</t>
        </is>
      </c>
      <c r="AQ490" s="32" t="inlineStr">
        <is>
          <t>Recuperação judicial</t>
        </is>
      </c>
      <c r="AR490" s="32" t="inlineStr">
        <is>
          <t>DataJud: no closure/falência movement</t>
        </is>
      </c>
      <c r="AS490" s="32" t="n">
        <v>2026</v>
      </c>
      <c r="AT490" s="32" t="inlineStr">
        <is>
          <t>plan filed (art. 53), not yet granted</t>
        </is>
      </c>
      <c r="AU490" s="32" t="inlineStr"/>
      <c r="AV490" s="32" t="inlineStr">
        <is>
          <t>printed on the list (read twice)</t>
        </is>
      </c>
      <c r="AW490" s="32" t="inlineStr">
        <is>
          <t>Plano de Recuperação Judicial Grupo 3E v2.0 (Métis), mov. 321, pp.24-25</t>
        </is>
      </c>
      <c r="AX490" s="32" t="inlineStr">
        <is>
          <t>ANAPOLIS</t>
        </is>
      </c>
      <c r="AY490" s="32" t="inlineStr">
        <is>
          <t>GO</t>
        </is>
      </c>
      <c r="AZ490" s="32" t="inlineStr">
        <is>
          <t>Fabricação de biscoitos e bolachas</t>
        </is>
      </c>
      <c r="BA490" s="32" t="inlineStr">
        <is>
          <t>não ME/EPP</t>
        </is>
      </c>
      <c r="BB490" s="33" t="n">
        <v>111100000</v>
      </c>
      <c r="BC490" s="32" t="inlineStr">
        <is>
          <t>MID-MARKET</t>
        </is>
      </c>
      <c r="BD490" s="32" t="inlineStr">
        <is>
          <t>02924249</t>
        </is>
      </c>
      <c r="BE490" s="32" t="n">
        <v>1</v>
      </c>
      <c r="BF490" s="32" t="inlineStr">
        <is>
          <t>list prints no totals</t>
        </is>
      </c>
    </row>
    <row r="491">
      <c r="A491" s="17" t="inlineStr">
        <is>
          <t>MV INFORMATICA NORDESTE LTDA</t>
        </is>
      </c>
      <c r="B491" s="18" t="n">
        <v>290787.94</v>
      </c>
      <c r="C491" s="19" t="inlineStr">
        <is>
          <t>HOSPITAL SANTA MÔNICA LTDA</t>
        </is>
      </c>
      <c r="D491" s="20" t="inlineStr">
        <is>
          <t>NEW</t>
        </is>
      </c>
      <c r="E491" s="21" t="inlineStr"/>
      <c r="F491" s="20" t="inlineStr"/>
      <c r="G491" s="21" t="inlineStr"/>
      <c r="H491" s="20" t="inlineStr"/>
      <c r="I491" s="22" t="inlineStr">
        <is>
          <t>Renata Berenguer</t>
        </is>
      </c>
      <c r="J491" s="22" t="inlineStr">
        <is>
          <t>Gerente de Departamento Jurídico</t>
        </is>
      </c>
      <c r="K491" s="22" t="inlineStr">
        <is>
          <t>(81) 3972-7028</t>
        </is>
      </c>
      <c r="L491" s="22" t="inlineStr"/>
      <c r="M491" s="22" t="inlineStr"/>
      <c r="N491" s="22" t="inlineStr"/>
      <c r="O491" s="22" t="inlineStr"/>
      <c r="P491" s="22" t="inlineStr">
        <is>
          <t>LUIZ ANDRE DE CARVALHO</t>
        </is>
      </c>
      <c r="Q491" s="22" t="inlineStr">
        <is>
          <t>Administrador (RFB partner)</t>
        </is>
      </c>
      <c r="R491" s="22" t="inlineStr"/>
      <c r="S491" s="22" t="inlineStr"/>
      <c r="T491" s="22" t="inlineStr">
        <is>
          <t>DM: DM (legal handles RJ claims); no work email in Apollo for DM</t>
        </is>
      </c>
      <c r="U491" s="24" t="n">
        <v>290787.94</v>
      </c>
      <c r="V491" s="39" t="inlineStr">
        <is>
          <t>C</t>
        </is>
      </c>
      <c r="W491" s="26" t="inlineStr"/>
      <c r="X491" s="27" t="inlineStr"/>
      <c r="Y491" s="27" t="inlineStr"/>
      <c r="Z491" s="26">
        <f>IF(W491&lt;&gt;"",W491,IFERROR(VLOOKUP(V491,Assumptions!$A$8:$F$12,2,FALSE),0))</f>
        <v/>
      </c>
      <c r="AA491" s="28">
        <f>IF(V491="A",MAX(1,IF(X491&lt;&gt;"",X491,IFERROR(VLOOKUP(V491,Assumptions!$A$8:$F$12,3,FALSE),3))+IF(Y491&lt;&gt;"",Y491,IFERROR(VLOOKUP(V491,Assumptions!$A$8:$F$12,4,FALSE),8))/2-MAX(0,IF(AS491="",0,YEAR(TODAY())-AS491)-IFERROR(VLOOKUP(V491,Assumptions!$A$8:$F$12,5,FALSE),1.5))),IFERROR(VLOOKUP(V491,Assumptions!$A$8:$F$12,5,FALSE),2.5)+IF(X491&lt;&gt;"",X491,IFERROR(VLOOKUP(V491,Assumptions!$A$8:$F$12,3,FALSE),3))+IF(Y491&lt;&gt;"",Y491,IFERROR(VLOOKUP(V491,Assumptions!$A$8:$F$12,4,FALSE),8))/2)</f>
        <v/>
      </c>
      <c r="AB491" s="24">
        <f>U491*Z491/(1+Assumptions!$B$3)^AA491</f>
        <v/>
      </c>
      <c r="AC491" s="27">
        <f>IF(U491=0,"",ROUND(AB491/U491*100,1))</f>
        <v/>
      </c>
      <c r="AD491" s="29">
        <f>AB491*Assumptions!$B$4</f>
        <v/>
      </c>
      <c r="AE491" s="27">
        <f>IF(U491=0,"",ROUND(AD491/U491*100,1))</f>
        <v/>
      </c>
      <c r="AF491" s="29">
        <f>AB491-AD491</f>
        <v/>
      </c>
      <c r="AG491" s="27">
        <f>IF(U491=0,"",ROUND((AB491-AD491)/U491*100,1))</f>
        <v/>
      </c>
      <c r="AH491" s="34" t="inlineStr">
        <is>
          <t>NO TOTALS — list prints none; check page</t>
        </is>
      </c>
      <c r="AI491" s="31" t="inlineStr">
        <is>
          <t>https://ricardobiancardi.com.br/wp-content/uploads/2024/12/Edital-1-relacao-de-credores-pub.-02.12.24-.pdf</t>
        </is>
      </c>
      <c r="AJ491" s="30" t="inlineStr">
        <is>
          <t>p5 r3</t>
        </is>
      </c>
      <c r="AK491" s="30" t="inlineStr">
        <is>
          <t>p5: R$ 290.787,94</t>
        </is>
      </c>
      <c r="AL491" s="30" t="inlineStr">
        <is>
          <t>Debtor list (art. 51)</t>
        </is>
      </c>
      <c r="AM491" s="30" t="inlineStr">
        <is>
          <t>2024-12-02</t>
        </is>
      </c>
      <c r="AN491" s="30" t="inlineStr">
        <is>
          <t>NONE FOUND</t>
        </is>
      </c>
      <c r="AO491" s="32" t="inlineStr">
        <is>
          <t>0041309-42.2014.8.08.0024</t>
        </is>
      </c>
      <c r="AP491" s="32" t="inlineStr">
        <is>
          <t>TJES</t>
        </is>
      </c>
      <c r="AQ491" s="32" t="inlineStr">
        <is>
          <t>Recuperação judicial</t>
        </is>
      </c>
      <c r="AR491" s="32" t="inlineStr">
        <is>
          <t>not in DataJud</t>
        </is>
      </c>
      <c r="AS491" s="32" t="n">
        <v>2014</v>
      </c>
      <c r="AT491" s="32" t="inlineStr">
        <is>
          <t>12y since filing; plan not in our documents; atypical debtor (associação/clube/hospital/produtor rural): admissibility or claim subjection may be contested</t>
        </is>
      </c>
      <c r="AU491" s="32" t="inlineStr"/>
      <c r="AV491" s="32" t="inlineStr">
        <is>
          <t>printed on the list (read twice)</t>
        </is>
      </c>
      <c r="AW491" s="32" t="inlineStr"/>
      <c r="AX491" s="32" t="inlineStr">
        <is>
          <t>PORTO ALEGRE</t>
        </is>
      </c>
      <c r="AY491" s="32" t="inlineStr">
        <is>
          <t>RS</t>
        </is>
      </c>
      <c r="AZ491" s="32" t="inlineStr">
        <is>
          <t>Desenvolvimento e licenciamento de programas de computador customizáveis</t>
        </is>
      </c>
      <c r="BA491" s="32" t="inlineStr">
        <is>
          <t>não ME/EPP</t>
        </is>
      </c>
      <c r="BB491" s="33" t="n">
        <v>19694880</v>
      </c>
      <c r="BC491" s="32" t="inlineStr">
        <is>
          <t>MID-MARKET</t>
        </is>
      </c>
      <c r="BD491" s="32" t="inlineStr">
        <is>
          <t>92306257</t>
        </is>
      </c>
      <c r="BE491" s="32" t="n">
        <v>1</v>
      </c>
      <c r="BF491" s="32" t="inlineStr">
        <is>
          <t>list prints no totals</t>
        </is>
      </c>
    </row>
    <row r="492">
      <c r="A492" s="17" t="inlineStr">
        <is>
          <t>MAGNO MOVEIS LTDA</t>
        </is>
      </c>
      <c r="B492" s="18" t="n">
        <v>287455.47</v>
      </c>
      <c r="C492" s="19" t="inlineStr">
        <is>
          <t>CREDIMÓVEIS NOVOLAR LTDA.</t>
        </is>
      </c>
      <c r="D492" s="20" t="inlineStr">
        <is>
          <t>NEW</t>
        </is>
      </c>
      <c r="E492" s="21" t="inlineStr"/>
      <c r="F492" s="20" t="inlineStr"/>
      <c r="G492" s="21" t="inlineStr"/>
      <c r="H492" s="20" t="inlineStr"/>
      <c r="I492" s="22" t="inlineStr">
        <is>
          <t>ALEXANDRE MAGNO BARROS DE BRITO</t>
        </is>
      </c>
      <c r="J492" s="23" t="inlineStr">
        <is>
          <t>Sócio-Administrador (RFB partner)</t>
        </is>
      </c>
      <c r="K492" s="22" t="inlineStr">
        <is>
          <t>(87) 9908-0035</t>
        </is>
      </c>
      <c r="L492" s="22" t="inlineStr">
        <is>
          <t>(87) 9908-0046</t>
        </is>
      </c>
      <c r="M492" s="22" t="inlineStr"/>
      <c r="N492" s="22" t="inlineStr"/>
      <c r="O492" s="22" t="inlineStr"/>
      <c r="P492" s="22" t="inlineStr"/>
      <c r="Q492" s="22" t="inlineStr"/>
      <c r="R492" s="22" t="inlineStr"/>
      <c r="S492" s="22" t="inlineStr"/>
      <c r="T492" s="22" t="inlineStr">
        <is>
          <t>DM = registered partner (RFB QSA); no Apollo match</t>
        </is>
      </c>
      <c r="U492" s="24" t="n">
        <v>287455.47</v>
      </c>
      <c r="V492" s="39" t="inlineStr">
        <is>
          <t>C</t>
        </is>
      </c>
      <c r="W492" s="26" t="inlineStr"/>
      <c r="X492" s="27" t="inlineStr"/>
      <c r="Y492" s="27" t="inlineStr"/>
      <c r="Z492" s="26">
        <f>IF(W492&lt;&gt;"",W492,IFERROR(VLOOKUP(V492,Assumptions!$A$8:$F$12,2,FALSE),0))</f>
        <v/>
      </c>
      <c r="AA492" s="28">
        <f>IF(V492="A",MAX(1,IF(X492&lt;&gt;"",X492,IFERROR(VLOOKUP(V492,Assumptions!$A$8:$F$12,3,FALSE),3))+IF(Y492&lt;&gt;"",Y492,IFERROR(VLOOKUP(V492,Assumptions!$A$8:$F$12,4,FALSE),8))/2-MAX(0,IF(AS492="",0,YEAR(TODAY())-AS492)-IFERROR(VLOOKUP(V492,Assumptions!$A$8:$F$12,5,FALSE),1.5))),IFERROR(VLOOKUP(V492,Assumptions!$A$8:$F$12,5,FALSE),2.5)+IF(X492&lt;&gt;"",X492,IFERROR(VLOOKUP(V492,Assumptions!$A$8:$F$12,3,FALSE),3))+IF(Y492&lt;&gt;"",Y492,IFERROR(VLOOKUP(V492,Assumptions!$A$8:$F$12,4,FALSE),8))/2)</f>
        <v/>
      </c>
      <c r="AB492" s="24">
        <f>U492*Z492/(1+Assumptions!$B$3)^AA492</f>
        <v/>
      </c>
      <c r="AC492" s="27">
        <f>IF(U492=0,"",ROUND(AB492/U492*100,1))</f>
        <v/>
      </c>
      <c r="AD492" s="29">
        <f>AB492*Assumptions!$B$4</f>
        <v/>
      </c>
      <c r="AE492" s="27">
        <f>IF(U492=0,"",ROUND(AD492/U492*100,1))</f>
        <v/>
      </c>
      <c r="AF492" s="29">
        <f>AB492-AD492</f>
        <v/>
      </c>
      <c r="AG492" s="27">
        <f>IF(U492=0,"",ROUND((AB492-AD492)/U492*100,1))</f>
        <v/>
      </c>
      <c r="AH492" s="30" t="inlineStr">
        <is>
          <t>OK — totals reconciled</t>
        </is>
      </c>
      <c r="AI492" s="31" t="inlineStr">
        <is>
          <t>https://recuperacaojudicial.squarespace.com/s/RJ-Credimoveis-QGC-01082025.pdf</t>
        </is>
      </c>
      <c r="AJ492" s="30" t="inlineStr">
        <is>
          <t>p16 r14</t>
        </is>
      </c>
      <c r="AK492" s="30" t="inlineStr">
        <is>
          <t>p16: R$ 287.455,47</t>
        </is>
      </c>
      <c r="AL492" s="30" t="inlineStr">
        <is>
          <t>QGC (art. 18)</t>
        </is>
      </c>
      <c r="AM492" s="30" t="inlineStr">
        <is>
          <t>2026-01-28</t>
        </is>
      </c>
      <c r="AN492" s="30" t="inlineStr">
        <is>
          <t>NONE FOUND</t>
        </is>
      </c>
      <c r="AO492" s="32" t="inlineStr">
        <is>
          <t>0007565-40.2020.8.17.2370</t>
        </is>
      </c>
      <c r="AP492" s="32" t="inlineStr">
        <is>
          <t>TJPE</t>
        </is>
      </c>
      <c r="AQ492" s="32" t="inlineStr">
        <is>
          <t>Recuperação judicial</t>
        </is>
      </c>
      <c r="AR492" s="32" t="inlineStr">
        <is>
          <t>DataJud: no closure/falência movement</t>
        </is>
      </c>
      <c r="AS492" s="32" t="n">
        <v>2020</v>
      </c>
      <c r="AT492" s="32" t="inlineStr">
        <is>
          <t>6y since filing; plan not in our documents</t>
        </is>
      </c>
      <c r="AU492" s="32" t="inlineStr">
        <is>
          <t>09.930.165/0001-37</t>
        </is>
      </c>
      <c r="AV492" s="32" t="inlineStr">
        <is>
          <t>printed on the list (read twice)</t>
        </is>
      </c>
      <c r="AW492" s="32" t="inlineStr"/>
      <c r="AX492" s="32" t="inlineStr">
        <is>
          <t>AFOGADOS DA INGAZEIRA</t>
        </is>
      </c>
      <c r="AY492" s="32" t="inlineStr">
        <is>
          <t>PE</t>
        </is>
      </c>
      <c r="AZ492" s="32" t="inlineStr">
        <is>
          <t>Fabricação de móveis com predominância de madeira</t>
        </is>
      </c>
      <c r="BA492" s="32" t="inlineStr">
        <is>
          <t>não ME/EPP</t>
        </is>
      </c>
      <c r="BB492" s="33" t="n">
        <v>13450000</v>
      </c>
      <c r="BC492" s="32" t="inlineStr">
        <is>
          <t>MID-MARKET</t>
        </is>
      </c>
      <c r="BD492" s="32" t="inlineStr">
        <is>
          <t>40887879</t>
        </is>
      </c>
      <c r="BE492" s="32" t="n">
        <v>1</v>
      </c>
      <c r="BF492" s="32" t="inlineStr"/>
    </row>
    <row r="493">
      <c r="A493" s="17" t="inlineStr">
        <is>
          <t>PLASKEM EMBALAGENS LTDA</t>
        </is>
      </c>
      <c r="B493" s="18" t="n">
        <v>286961.94</v>
      </c>
      <c r="C493" s="19" t="inlineStr">
        <is>
          <t>AGROPECUÁRIA SERROTE REDONDO</t>
        </is>
      </c>
      <c r="D493" s="20" t="inlineStr">
        <is>
          <t>NEW</t>
        </is>
      </c>
      <c r="E493" s="21" t="inlineStr"/>
      <c r="F493" s="20" t="inlineStr"/>
      <c r="G493" s="21" t="inlineStr"/>
      <c r="H493" s="20" t="inlineStr"/>
      <c r="I493" s="22" t="inlineStr">
        <is>
          <t>Orlando Monteiro</t>
        </is>
      </c>
      <c r="J493" s="22" t="inlineStr">
        <is>
          <t>Credit and Collection Analyst</t>
        </is>
      </c>
      <c r="K493" s="22" t="inlineStr">
        <is>
          <t>(71) 3186-0354</t>
        </is>
      </c>
      <c r="L493" s="22" t="inlineStr"/>
      <c r="M493" s="22" t="inlineStr"/>
      <c r="N493" s="22" t="inlineStr">
        <is>
          <t>orlando@plaskem.com.br</t>
        </is>
      </c>
      <c r="O493" s="22" t="inlineStr">
        <is>
          <t>verified</t>
        </is>
      </c>
      <c r="P493" s="22" t="inlineStr">
        <is>
          <t>Robson Jesus</t>
        </is>
      </c>
      <c r="Q493" s="22" t="inlineStr">
        <is>
          <t>Manager</t>
        </is>
      </c>
      <c r="R493" s="22" t="inlineStr"/>
      <c r="S493" s="22" t="inlineStr">
        <is>
          <t>robson@plaskem.com.br</t>
        </is>
      </c>
      <c r="T493" s="22" t="inlineStr">
        <is>
          <t>DM: DM; BACKUP: backup; backup email is pattern-guessed</t>
        </is>
      </c>
      <c r="U493" s="24" t="n">
        <v>286961.94</v>
      </c>
      <c r="V493" s="39" t="inlineStr">
        <is>
          <t>C</t>
        </is>
      </c>
      <c r="W493" s="26" t="inlineStr"/>
      <c r="X493" s="27" t="inlineStr"/>
      <c r="Y493" s="27" t="inlineStr"/>
      <c r="Z493" s="26">
        <f>IF(W493&lt;&gt;"",W493,IFERROR(VLOOKUP(V493,Assumptions!$A$8:$F$12,2,FALSE),0))</f>
        <v/>
      </c>
      <c r="AA493" s="28">
        <f>IF(V493="A",MAX(1,IF(X493&lt;&gt;"",X493,IFERROR(VLOOKUP(V493,Assumptions!$A$8:$F$12,3,FALSE),3))+IF(Y493&lt;&gt;"",Y493,IFERROR(VLOOKUP(V493,Assumptions!$A$8:$F$12,4,FALSE),8))/2-MAX(0,IF(AS493="",0,YEAR(TODAY())-AS493)-IFERROR(VLOOKUP(V493,Assumptions!$A$8:$F$12,5,FALSE),1.5))),IFERROR(VLOOKUP(V493,Assumptions!$A$8:$F$12,5,FALSE),2.5)+IF(X493&lt;&gt;"",X493,IFERROR(VLOOKUP(V493,Assumptions!$A$8:$F$12,3,FALSE),3))+IF(Y493&lt;&gt;"",Y493,IFERROR(VLOOKUP(V493,Assumptions!$A$8:$F$12,4,FALSE),8))/2)</f>
        <v/>
      </c>
      <c r="AB493" s="24">
        <f>U493*Z493/(1+Assumptions!$B$3)^AA493</f>
        <v/>
      </c>
      <c r="AC493" s="27">
        <f>IF(U493=0,"",ROUND(AB493/U493*100,1))</f>
        <v/>
      </c>
      <c r="AD493" s="29">
        <f>AB493*Assumptions!$B$4</f>
        <v/>
      </c>
      <c r="AE493" s="27">
        <f>IF(U493=0,"",ROUND(AD493/U493*100,1))</f>
        <v/>
      </c>
      <c r="AF493" s="29">
        <f>AB493-AD493</f>
        <v/>
      </c>
      <c r="AG493" s="27">
        <f>IF(U493=0,"",ROUND((AB493-AD493)/U493*100,1))</f>
        <v/>
      </c>
      <c r="AH493" s="30" t="inlineStr">
        <is>
          <t>OK — totals reconciled</t>
        </is>
      </c>
      <c r="AI493" s="31" t="inlineStr">
        <is>
          <t>https://lrflideres.com.br/wp-content/plugins/download-attachments/includes/download.php?id=5001</t>
        </is>
      </c>
      <c r="AJ493" s="30" t="inlineStr">
        <is>
          <t>p3 r15</t>
        </is>
      </c>
      <c r="AK493" s="30" t="inlineStr">
        <is>
          <t>p3: R$ 286.961,94</t>
        </is>
      </c>
      <c r="AL493" s="30" t="inlineStr">
        <is>
          <t>Unclassified list</t>
        </is>
      </c>
      <c r="AM493" s="30" t="inlineStr"/>
      <c r="AN493" s="30" t="inlineStr">
        <is>
          <t>NONE FOUND</t>
        </is>
      </c>
      <c r="AO493" s="32" t="inlineStr">
        <is>
          <t>0000206-69.2013.8.17.1340</t>
        </is>
      </c>
      <c r="AP493" s="32" t="inlineStr">
        <is>
          <t>TJPE</t>
        </is>
      </c>
      <c r="AQ493" s="32" t="inlineStr"/>
      <c r="AR493" s="32" t="inlineStr">
        <is>
          <t>not in DataJud</t>
        </is>
      </c>
      <c r="AS493" s="32" t="n">
        <v>2013</v>
      </c>
      <c r="AT493" s="32" t="inlineStr">
        <is>
          <t>13y since filing; plan not in our documents; case no. from the portal record, not printed on the list</t>
        </is>
      </c>
      <c r="AU493" s="32" t="inlineStr"/>
      <c r="AV493" s="32" t="inlineStr">
        <is>
          <t>portal page title / URL — not printed on the list</t>
        </is>
      </c>
      <c r="AW493" s="32" t="inlineStr"/>
      <c r="AX493" s="32" t="inlineStr">
        <is>
          <t>LAURO DE FREITAS</t>
        </is>
      </c>
      <c r="AY493" s="32" t="inlineStr">
        <is>
          <t>BA</t>
        </is>
      </c>
      <c r="AZ493" s="32" t="inlineStr">
        <is>
          <t>Fabricação de embalagens de material plástico</t>
        </is>
      </c>
      <c r="BA493" s="32" t="inlineStr">
        <is>
          <t>não ME/EPP</t>
        </is>
      </c>
      <c r="BB493" s="33" t="n">
        <v>35445800</v>
      </c>
      <c r="BC493" s="32" t="inlineStr">
        <is>
          <t>MID-MARKET</t>
        </is>
      </c>
      <c r="BD493" s="32" t="inlineStr">
        <is>
          <t>05052443</t>
        </is>
      </c>
      <c r="BE493" s="32" t="n">
        <v>1</v>
      </c>
      <c r="BF493" s="32" t="inlineStr">
        <is>
          <t>ALT_VALUE:286.961,94</t>
        </is>
      </c>
    </row>
    <row r="494">
      <c r="A494" s="17" t="inlineStr">
        <is>
          <t>GRAXARIA BB LTDA</t>
        </is>
      </c>
      <c r="B494" s="18" t="n">
        <v>319660.2</v>
      </c>
      <c r="C494" s="19" t="inlineStr">
        <is>
          <t>GRUPO 3E</t>
        </is>
      </c>
      <c r="D494" s="20" t="inlineStr">
        <is>
          <t>NEW</t>
        </is>
      </c>
      <c r="E494" s="21" t="inlineStr"/>
      <c r="F494" s="20" t="inlineStr"/>
      <c r="G494" s="21" t="inlineStr"/>
      <c r="H494" s="20" t="inlineStr"/>
      <c r="I494" s="22" t="inlineStr">
        <is>
          <t>ELSON JOSE LOPES</t>
        </is>
      </c>
      <c r="J494" s="23" t="inlineStr">
        <is>
          <t>Administrador (RFB partner)</t>
        </is>
      </c>
      <c r="K494" s="22" t="inlineStr">
        <is>
          <t>(62) 8115-0283</t>
        </is>
      </c>
      <c r="L494" s="22" t="inlineStr"/>
      <c r="M494" s="22" t="inlineStr"/>
      <c r="N494" s="22" t="inlineStr"/>
      <c r="O494" s="22" t="inlineStr"/>
      <c r="P494" s="22" t="inlineStr"/>
      <c r="Q494" s="22" t="inlineStr"/>
      <c r="R494" s="22" t="inlineStr"/>
      <c r="S494" s="22" t="inlineStr"/>
      <c r="T494" s="22" t="inlineStr">
        <is>
          <t>DM = registered partner (RFB QSA); no Apollo match</t>
        </is>
      </c>
      <c r="U494" s="24" t="n">
        <v>319660.2</v>
      </c>
      <c r="V494" s="25" t="inlineStr">
        <is>
          <t>B</t>
        </is>
      </c>
      <c r="W494" s="26" t="n">
        <v>0.12</v>
      </c>
      <c r="X494" s="27" t="n">
        <v>2</v>
      </c>
      <c r="Y494" s="27" t="n">
        <v>13</v>
      </c>
      <c r="Z494" s="26">
        <f>IF(W494&lt;&gt;"",W494,IFERROR(VLOOKUP(V494,Assumptions!$A$8:$F$12,2,FALSE),0))</f>
        <v/>
      </c>
      <c r="AA494" s="28">
        <f>IF(V494="A",MAX(1,IF(X494&lt;&gt;"",X494,IFERROR(VLOOKUP(V494,Assumptions!$A$8:$F$12,3,FALSE),3))+IF(Y494&lt;&gt;"",Y494,IFERROR(VLOOKUP(V494,Assumptions!$A$8:$F$12,4,FALSE),8))/2-MAX(0,IF(AS494="",0,YEAR(TODAY())-AS494)-IFERROR(VLOOKUP(V494,Assumptions!$A$8:$F$12,5,FALSE),1.5))),IFERROR(VLOOKUP(V494,Assumptions!$A$8:$F$12,5,FALSE),2.5)+IF(X494&lt;&gt;"",X494,IFERROR(VLOOKUP(V494,Assumptions!$A$8:$F$12,3,FALSE),3))+IF(Y494&lt;&gt;"",Y494,IFERROR(VLOOKUP(V494,Assumptions!$A$8:$F$12,4,FALSE),8))/2)</f>
        <v/>
      </c>
      <c r="AB494" s="24">
        <f>U494*Z494/(1+Assumptions!$B$3)^AA494</f>
        <v/>
      </c>
      <c r="AC494" s="27">
        <f>IF(U494=0,"",ROUND(AB494/U494*100,1))</f>
        <v/>
      </c>
      <c r="AD494" s="29">
        <f>AB494*Assumptions!$B$4</f>
        <v/>
      </c>
      <c r="AE494" s="27">
        <f>IF(U494=0,"",ROUND(AD494/U494*100,1))</f>
        <v/>
      </c>
      <c r="AF494" s="29">
        <f>AB494-AD494</f>
        <v/>
      </c>
      <c r="AG494" s="27">
        <f>IF(U494=0,"",ROUND((AB494-AD494)/U494*100,1))</f>
        <v/>
      </c>
      <c r="AH494" s="34" t="inlineStr">
        <is>
          <t>NO TOTALS — list prints none; check page</t>
        </is>
      </c>
      <c r="AI494" s="31" t="inlineStr">
        <is>
          <t>https://stenius.com.br/wp-content/uploads/2026/06/EDITAL-GRUPO-3E.pdf</t>
        </is>
      </c>
      <c r="AJ494" s="30" t="inlineStr">
        <is>
          <t>p14 r19</t>
        </is>
      </c>
      <c r="AK494" s="30" t="inlineStr">
        <is>
          <t>p14: R$ 319.660,20</t>
        </is>
      </c>
      <c r="AL494" s="30" t="inlineStr">
        <is>
          <t>Debtor list (art. 51)</t>
        </is>
      </c>
      <c r="AM494" s="30" t="inlineStr">
        <is>
          <t>2026-06-22</t>
        </is>
      </c>
      <c r="AN494" s="30" t="inlineStr">
        <is>
          <t>PLAN FILED (art. 53), not granted</t>
        </is>
      </c>
      <c r="AO494" s="32" t="inlineStr">
        <is>
          <t>5341375-33.2026.8.09.0049</t>
        </is>
      </c>
      <c r="AP494" s="32" t="inlineStr">
        <is>
          <t>TJGO</t>
        </is>
      </c>
      <c r="AQ494" s="32" t="inlineStr">
        <is>
          <t>Recuperação judicial</t>
        </is>
      </c>
      <c r="AR494" s="32" t="inlineStr">
        <is>
          <t>DataJud: no closure/falência movement</t>
        </is>
      </c>
      <c r="AS494" s="32" t="n">
        <v>2026</v>
      </c>
      <c r="AT494" s="32" t="inlineStr">
        <is>
          <t>plan filed (art. 53), not yet granted</t>
        </is>
      </c>
      <c r="AU494" s="32" t="inlineStr"/>
      <c r="AV494" s="32" t="inlineStr">
        <is>
          <t>printed on the list (read twice)</t>
        </is>
      </c>
      <c r="AW494" s="32" t="inlineStr">
        <is>
          <t>Plano de Recuperação Judicial Grupo 3E v2.0 (Métis), mov. 321, pp.24-25</t>
        </is>
      </c>
      <c r="AX494" s="32" t="inlineStr">
        <is>
          <t>NIQUELANDIA</t>
        </is>
      </c>
      <c r="AY494" s="32" t="inlineStr">
        <is>
          <t>GO</t>
        </is>
      </c>
      <c r="AZ494" s="32" t="inlineStr">
        <is>
          <t>Preparação de subprodutos do abate</t>
        </is>
      </c>
      <c r="BA494" s="32" t="inlineStr">
        <is>
          <t>não ME/EPP</t>
        </is>
      </c>
      <c r="BB494" s="33" t="n">
        <v>50000</v>
      </c>
      <c r="BC494" s="32" t="inlineStr">
        <is>
          <t>MID-MARKET</t>
        </is>
      </c>
      <c r="BD494" s="32" t="inlineStr">
        <is>
          <t>61773646</t>
        </is>
      </c>
      <c r="BE494" s="32" t="n">
        <v>1</v>
      </c>
      <c r="BF494" s="32" t="inlineStr">
        <is>
          <t>list prints no totals</t>
        </is>
      </c>
    </row>
    <row r="495">
      <c r="A495" s="17" t="inlineStr">
        <is>
          <t>DELICIOUS FISH AGROINDUSTRIA E COMERCIO DE PESCADOS LTDA</t>
        </is>
      </c>
      <c r="B495" s="18" t="n">
        <v>318000</v>
      </c>
      <c r="C495" s="19" t="inlineStr">
        <is>
          <t>GRUPO 3E</t>
        </is>
      </c>
      <c r="D495" s="20" t="inlineStr">
        <is>
          <t>NEW</t>
        </is>
      </c>
      <c r="E495" s="21" t="inlineStr"/>
      <c r="F495" s="20" t="inlineStr"/>
      <c r="G495" s="21" t="inlineStr"/>
      <c r="H495" s="20" t="inlineStr"/>
      <c r="I495" s="22" t="inlineStr">
        <is>
          <t>Eliane Volek</t>
        </is>
      </c>
      <c r="J495" s="22" t="inlineStr">
        <is>
          <t>Comptroller (Controladoria)</t>
        </is>
      </c>
      <c r="K495" s="22" t="inlineStr">
        <is>
          <t>(66) 3584-1000</t>
        </is>
      </c>
      <c r="L495" s="22" t="inlineStr"/>
      <c r="M495" s="22" t="inlineStr"/>
      <c r="N495" s="22" t="inlineStr"/>
      <c r="O495" s="22" t="inlineStr"/>
      <c r="P495" s="22" t="inlineStr">
        <is>
          <t>JOAO PEDRO DA SILVA</t>
        </is>
      </c>
      <c r="Q495" s="22" t="inlineStr">
        <is>
          <t>Sócio-Administrador (RFB partner)</t>
        </is>
      </c>
      <c r="R495" s="22" t="inlineStr"/>
      <c r="S495" s="22" t="inlineStr"/>
      <c r="T495" s="22" t="inlineStr">
        <is>
          <t>DM: DM; no work email in Apollo for DM</t>
        </is>
      </c>
      <c r="U495" s="24" t="n">
        <v>318000</v>
      </c>
      <c r="V495" s="25" t="inlineStr">
        <is>
          <t>B</t>
        </is>
      </c>
      <c r="W495" s="26" t="n">
        <v>0.12</v>
      </c>
      <c r="X495" s="27" t="n">
        <v>2</v>
      </c>
      <c r="Y495" s="27" t="n">
        <v>13</v>
      </c>
      <c r="Z495" s="26">
        <f>IF(W495&lt;&gt;"",W495,IFERROR(VLOOKUP(V495,Assumptions!$A$8:$F$12,2,FALSE),0))</f>
        <v/>
      </c>
      <c r="AA495" s="28">
        <f>IF(V495="A",MAX(1,IF(X495&lt;&gt;"",X495,IFERROR(VLOOKUP(V495,Assumptions!$A$8:$F$12,3,FALSE),3))+IF(Y495&lt;&gt;"",Y495,IFERROR(VLOOKUP(V495,Assumptions!$A$8:$F$12,4,FALSE),8))/2-MAX(0,IF(AS495="",0,YEAR(TODAY())-AS495)-IFERROR(VLOOKUP(V495,Assumptions!$A$8:$F$12,5,FALSE),1.5))),IFERROR(VLOOKUP(V495,Assumptions!$A$8:$F$12,5,FALSE),2.5)+IF(X495&lt;&gt;"",X495,IFERROR(VLOOKUP(V495,Assumptions!$A$8:$F$12,3,FALSE),3))+IF(Y495&lt;&gt;"",Y495,IFERROR(VLOOKUP(V495,Assumptions!$A$8:$F$12,4,FALSE),8))/2)</f>
        <v/>
      </c>
      <c r="AB495" s="24">
        <f>U495*Z495/(1+Assumptions!$B$3)^AA495</f>
        <v/>
      </c>
      <c r="AC495" s="27">
        <f>IF(U495=0,"",ROUND(AB495/U495*100,1))</f>
        <v/>
      </c>
      <c r="AD495" s="29">
        <f>AB495*Assumptions!$B$4</f>
        <v/>
      </c>
      <c r="AE495" s="27">
        <f>IF(U495=0,"",ROUND(AD495/U495*100,1))</f>
        <v/>
      </c>
      <c r="AF495" s="29">
        <f>AB495-AD495</f>
        <v/>
      </c>
      <c r="AG495" s="27">
        <f>IF(U495=0,"",ROUND((AB495-AD495)/U495*100,1))</f>
        <v/>
      </c>
      <c r="AH495" s="34" t="inlineStr">
        <is>
          <t>NO TOTALS — list prints none; check page</t>
        </is>
      </c>
      <c r="AI495" s="31" t="inlineStr">
        <is>
          <t>https://stenius.com.br/wp-content/uploads/2026/06/EDITAL-GRUPO-3E.pdf</t>
        </is>
      </c>
      <c r="AJ495" s="30" t="inlineStr">
        <is>
          <t>p12 r30</t>
        </is>
      </c>
      <c r="AK495" s="30" t="inlineStr">
        <is>
          <t>p12: R$ 318.000,00</t>
        </is>
      </c>
      <c r="AL495" s="30" t="inlineStr">
        <is>
          <t>Debtor list (art. 51)</t>
        </is>
      </c>
      <c r="AM495" s="30" t="inlineStr">
        <is>
          <t>2026-06-22</t>
        </is>
      </c>
      <c r="AN495" s="30" t="inlineStr">
        <is>
          <t>PLAN FILED (art. 53), not granted</t>
        </is>
      </c>
      <c r="AO495" s="32" t="inlineStr">
        <is>
          <t>5341375-33.2026.8.09.0049</t>
        </is>
      </c>
      <c r="AP495" s="32" t="inlineStr">
        <is>
          <t>TJGO</t>
        </is>
      </c>
      <c r="AQ495" s="32" t="inlineStr">
        <is>
          <t>Recuperação judicial</t>
        </is>
      </c>
      <c r="AR495" s="32" t="inlineStr">
        <is>
          <t>DataJud: no closure/falência movement</t>
        </is>
      </c>
      <c r="AS495" s="32" t="n">
        <v>2026</v>
      </c>
      <c r="AT495" s="32" t="inlineStr">
        <is>
          <t>plan filed (art. 53), not yet granted</t>
        </is>
      </c>
      <c r="AU495" s="32" t="inlineStr"/>
      <c r="AV495" s="32" t="inlineStr">
        <is>
          <t>printed on the list (read twice)</t>
        </is>
      </c>
      <c r="AW495" s="32" t="inlineStr">
        <is>
          <t>Plano de Recuperação Judicial Grupo 3E v2.0 (Métis), mov. 321, pp.24-25</t>
        </is>
      </c>
      <c r="AX495" s="32" t="inlineStr">
        <is>
          <t>SORRISO</t>
        </is>
      </c>
      <c r="AY495" s="32" t="inlineStr">
        <is>
          <t>MT</t>
        </is>
      </c>
      <c r="AZ495" s="32" t="inlineStr">
        <is>
          <t>Fabricação de conservas de peixes, crustáceos e moluscos</t>
        </is>
      </c>
      <c r="BA495" s="32" t="inlineStr">
        <is>
          <t>não ME/EPP</t>
        </is>
      </c>
      <c r="BB495" s="33" t="n">
        <v>12679850</v>
      </c>
      <c r="BC495" s="32" t="inlineStr">
        <is>
          <t>MID-MARKET</t>
        </is>
      </c>
      <c r="BD495" s="32" t="inlineStr">
        <is>
          <t>70494828</t>
        </is>
      </c>
      <c r="BE495" s="32" t="n">
        <v>1</v>
      </c>
      <c r="BF495" s="32" t="inlineStr">
        <is>
          <t>list prints no totals</t>
        </is>
      </c>
    </row>
    <row r="496">
      <c r="A496" s="17" t="inlineStr">
        <is>
          <t>KIT S PARANA-INDUSTRIA E COMERCIO DE MOVEIS LTDA</t>
        </is>
      </c>
      <c r="B496" s="18" t="n">
        <v>277283.04</v>
      </c>
      <c r="C496" s="19" t="inlineStr">
        <is>
          <t>CREDIMÓVEIS NOVOLAR LTDA.</t>
        </is>
      </c>
      <c r="D496" s="20" t="inlineStr">
        <is>
          <t>NEW</t>
        </is>
      </c>
      <c r="E496" s="21" t="inlineStr"/>
      <c r="F496" s="20" t="inlineStr"/>
      <c r="G496" s="21" t="inlineStr"/>
      <c r="H496" s="20" t="inlineStr"/>
      <c r="I496" s="22" t="inlineStr">
        <is>
          <t>EVALDO LUIS ARRUDA</t>
        </is>
      </c>
      <c r="J496" s="23" t="inlineStr">
        <is>
          <t>Sócio-Administrador (RFB partner)</t>
        </is>
      </c>
      <c r="K496" s="22" t="inlineStr">
        <is>
          <t>(04) 3252-1633</t>
        </is>
      </c>
      <c r="L496" s="22" t="inlineStr"/>
      <c r="M496" s="22" t="inlineStr"/>
      <c r="N496" s="22" t="inlineStr"/>
      <c r="O496" s="22" t="inlineStr"/>
      <c r="P496" s="22" t="inlineStr"/>
      <c r="Q496" s="22" t="inlineStr"/>
      <c r="R496" s="22" t="inlineStr"/>
      <c r="S496" s="22" t="inlineStr"/>
      <c r="T496" s="22" t="inlineStr">
        <is>
          <t>DM = registered partner (RFB QSA); no Apollo match</t>
        </is>
      </c>
      <c r="U496" s="24" t="n">
        <v>277283.04</v>
      </c>
      <c r="V496" s="39" t="inlineStr">
        <is>
          <t>C</t>
        </is>
      </c>
      <c r="W496" s="26" t="inlineStr"/>
      <c r="X496" s="27" t="inlineStr"/>
      <c r="Y496" s="27" t="inlineStr"/>
      <c r="Z496" s="26">
        <f>IF(W496&lt;&gt;"",W496,IFERROR(VLOOKUP(V496,Assumptions!$A$8:$F$12,2,FALSE),0))</f>
        <v/>
      </c>
      <c r="AA496" s="28">
        <f>IF(V496="A",MAX(1,IF(X496&lt;&gt;"",X496,IFERROR(VLOOKUP(V496,Assumptions!$A$8:$F$12,3,FALSE),3))+IF(Y496&lt;&gt;"",Y496,IFERROR(VLOOKUP(V496,Assumptions!$A$8:$F$12,4,FALSE),8))/2-MAX(0,IF(AS496="",0,YEAR(TODAY())-AS496)-IFERROR(VLOOKUP(V496,Assumptions!$A$8:$F$12,5,FALSE),1.5))),IFERROR(VLOOKUP(V496,Assumptions!$A$8:$F$12,5,FALSE),2.5)+IF(X496&lt;&gt;"",X496,IFERROR(VLOOKUP(V496,Assumptions!$A$8:$F$12,3,FALSE),3))+IF(Y496&lt;&gt;"",Y496,IFERROR(VLOOKUP(V496,Assumptions!$A$8:$F$12,4,FALSE),8))/2)</f>
        <v/>
      </c>
      <c r="AB496" s="24">
        <f>U496*Z496/(1+Assumptions!$B$3)^AA496</f>
        <v/>
      </c>
      <c r="AC496" s="27">
        <f>IF(U496=0,"",ROUND(AB496/U496*100,1))</f>
        <v/>
      </c>
      <c r="AD496" s="29">
        <f>AB496*Assumptions!$B$4</f>
        <v/>
      </c>
      <c r="AE496" s="27">
        <f>IF(U496=0,"",ROUND(AD496/U496*100,1))</f>
        <v/>
      </c>
      <c r="AF496" s="29">
        <f>AB496-AD496</f>
        <v/>
      </c>
      <c r="AG496" s="27">
        <f>IF(U496=0,"",ROUND((AB496-AD496)/U496*100,1))</f>
        <v/>
      </c>
      <c r="AH496" s="30" t="inlineStr">
        <is>
          <t>OK — totals reconciled</t>
        </is>
      </c>
      <c r="AI496" s="31" t="inlineStr">
        <is>
          <t>https://recuperacaojudicial.squarespace.com/s/RJ-Credimoveis-QGC-01082025.pdf</t>
        </is>
      </c>
      <c r="AJ496" s="30" t="inlineStr">
        <is>
          <t>p16 r5</t>
        </is>
      </c>
      <c r="AK496" s="30" t="inlineStr">
        <is>
          <t>p16: R$ 277.283,04</t>
        </is>
      </c>
      <c r="AL496" s="30" t="inlineStr">
        <is>
          <t>QGC (art. 18)</t>
        </is>
      </c>
      <c r="AM496" s="30" t="inlineStr">
        <is>
          <t>2026-01-28</t>
        </is>
      </c>
      <c r="AN496" s="30" t="inlineStr">
        <is>
          <t>NONE FOUND</t>
        </is>
      </c>
      <c r="AO496" s="32" t="inlineStr">
        <is>
          <t>0007565-40.2020.8.17.2370</t>
        </is>
      </c>
      <c r="AP496" s="32" t="inlineStr">
        <is>
          <t>TJPE</t>
        </is>
      </c>
      <c r="AQ496" s="32" t="inlineStr">
        <is>
          <t>Recuperação judicial</t>
        </is>
      </c>
      <c r="AR496" s="32" t="inlineStr">
        <is>
          <t>DataJud: no closure/falência movement</t>
        </is>
      </c>
      <c r="AS496" s="32" t="n">
        <v>2020</v>
      </c>
      <c r="AT496" s="32" t="inlineStr">
        <is>
          <t>6y since filing; plan not in our documents</t>
        </is>
      </c>
      <c r="AU496" s="32" t="inlineStr">
        <is>
          <t>09.930.165/0001-37</t>
        </is>
      </c>
      <c r="AV496" s="32" t="inlineStr">
        <is>
          <t>printed on the list (read twice)</t>
        </is>
      </c>
      <c r="AW496" s="32" t="inlineStr"/>
      <c r="AX496" s="32" t="inlineStr">
        <is>
          <t>ARAPONGAS</t>
        </is>
      </c>
      <c r="AY496" s="32" t="inlineStr">
        <is>
          <t>PR</t>
        </is>
      </c>
      <c r="AZ496" s="32" t="inlineStr">
        <is>
          <t>Fabricação de móveis com predominância de madeira</t>
        </is>
      </c>
      <c r="BA496" s="32" t="inlineStr">
        <is>
          <t>não ME/EPP</t>
        </is>
      </c>
      <c r="BB496" s="33" t="n">
        <v>1000000</v>
      </c>
      <c r="BC496" s="32" t="inlineStr">
        <is>
          <t>MID-MARKET</t>
        </is>
      </c>
      <c r="BD496" s="32" t="inlineStr">
        <is>
          <t>79460192</t>
        </is>
      </c>
      <c r="BE496" s="32" t="n">
        <v>1</v>
      </c>
      <c r="BF496" s="32" t="inlineStr"/>
    </row>
    <row r="497">
      <c r="A497" s="17" t="inlineStr">
        <is>
          <t>CRBS S/A</t>
        </is>
      </c>
      <c r="B497" s="18" t="n">
        <v>308761.42</v>
      </c>
      <c r="C497" s="19" t="inlineStr">
        <is>
          <t>GRUPO 3E</t>
        </is>
      </c>
      <c r="D497" s="20" t="inlineStr">
        <is>
          <t>NEW</t>
        </is>
      </c>
      <c r="E497" s="21" t="inlineStr"/>
      <c r="F497" s="20" t="inlineStr"/>
      <c r="G497" s="21" t="inlineStr"/>
      <c r="H497" s="20" t="inlineStr"/>
      <c r="I497" s="22" t="inlineStr">
        <is>
          <t>AUGUSTO GABRIEL ANDRADE GARCIA CATTANEO</t>
        </is>
      </c>
      <c r="J497" s="23" t="inlineStr">
        <is>
          <t>Diretor (RFB partner)</t>
        </is>
      </c>
      <c r="K497" s="22" t="inlineStr">
        <is>
          <t>(19) 3313-5680</t>
        </is>
      </c>
      <c r="L497" s="22" t="inlineStr">
        <is>
          <t>(19) 3313-6000</t>
        </is>
      </c>
      <c r="M497" s="22" t="inlineStr"/>
      <c r="N497" s="22" t="inlineStr"/>
      <c r="O497" s="22" t="inlineStr"/>
      <c r="P497" s="22" t="inlineStr">
        <is>
          <t>DANIELA GAVRANIC CACHICH</t>
        </is>
      </c>
      <c r="Q497" s="22" t="inlineStr">
        <is>
          <t>Diretor (RFB partner)</t>
        </is>
      </c>
      <c r="R497" s="22" t="inlineStr"/>
      <c r="S497" s="22" t="inlineStr"/>
      <c r="T497" s="22" t="inlineStr">
        <is>
          <t>DM = registered partner (RFB QSA); no Apollo match</t>
        </is>
      </c>
      <c r="U497" s="24" t="n">
        <v>308761.42</v>
      </c>
      <c r="V497" s="25" t="inlineStr">
        <is>
          <t>B</t>
        </is>
      </c>
      <c r="W497" s="26" t="n">
        <v>0.12</v>
      </c>
      <c r="X497" s="27" t="n">
        <v>2</v>
      </c>
      <c r="Y497" s="27" t="n">
        <v>13</v>
      </c>
      <c r="Z497" s="26">
        <f>IF(W497&lt;&gt;"",W497,IFERROR(VLOOKUP(V497,Assumptions!$A$8:$F$12,2,FALSE),0))</f>
        <v/>
      </c>
      <c r="AA497" s="28">
        <f>IF(V497="A",MAX(1,IF(X497&lt;&gt;"",X497,IFERROR(VLOOKUP(V497,Assumptions!$A$8:$F$12,3,FALSE),3))+IF(Y497&lt;&gt;"",Y497,IFERROR(VLOOKUP(V497,Assumptions!$A$8:$F$12,4,FALSE),8))/2-MAX(0,IF(AS497="",0,YEAR(TODAY())-AS497)-IFERROR(VLOOKUP(V497,Assumptions!$A$8:$F$12,5,FALSE),1.5))),IFERROR(VLOOKUP(V497,Assumptions!$A$8:$F$12,5,FALSE),2.5)+IF(X497&lt;&gt;"",X497,IFERROR(VLOOKUP(V497,Assumptions!$A$8:$F$12,3,FALSE),3))+IF(Y497&lt;&gt;"",Y497,IFERROR(VLOOKUP(V497,Assumptions!$A$8:$F$12,4,FALSE),8))/2)</f>
        <v/>
      </c>
      <c r="AB497" s="24">
        <f>U497*Z497/(1+Assumptions!$B$3)^AA497</f>
        <v/>
      </c>
      <c r="AC497" s="27">
        <f>IF(U497=0,"",ROUND(AB497/U497*100,1))</f>
        <v/>
      </c>
      <c r="AD497" s="29">
        <f>AB497*Assumptions!$B$4</f>
        <v/>
      </c>
      <c r="AE497" s="27">
        <f>IF(U497=0,"",ROUND(AD497/U497*100,1))</f>
        <v/>
      </c>
      <c r="AF497" s="29">
        <f>AB497-AD497</f>
        <v/>
      </c>
      <c r="AG497" s="27">
        <f>IF(U497=0,"",ROUND((AB497-AD497)/U497*100,1))</f>
        <v/>
      </c>
      <c r="AH497" s="34" t="inlineStr">
        <is>
          <t>NO TOTALS — list prints none; check page</t>
        </is>
      </c>
      <c r="AI497" s="31" t="inlineStr">
        <is>
          <t>https://stenius.com.br/wp-content/uploads/2026/06/EDITAL-GRUPO-3E.pdf</t>
        </is>
      </c>
      <c r="AJ497" s="30" t="inlineStr">
        <is>
          <t>p9 r31</t>
        </is>
      </c>
      <c r="AK497" s="30" t="inlineStr">
        <is>
          <t>p9: R$ 308.761,42</t>
        </is>
      </c>
      <c r="AL497" s="30" t="inlineStr">
        <is>
          <t>Debtor list (art. 51)</t>
        </is>
      </c>
      <c r="AM497" s="30" t="inlineStr">
        <is>
          <t>2026-06-22</t>
        </is>
      </c>
      <c r="AN497" s="30" t="inlineStr">
        <is>
          <t>PLAN FILED (art. 53), not granted</t>
        </is>
      </c>
      <c r="AO497" s="32" t="inlineStr">
        <is>
          <t>5341375-33.2026.8.09.0049</t>
        </is>
      </c>
      <c r="AP497" s="32" t="inlineStr">
        <is>
          <t>TJGO</t>
        </is>
      </c>
      <c r="AQ497" s="32" t="inlineStr">
        <is>
          <t>Recuperação judicial</t>
        </is>
      </c>
      <c r="AR497" s="32" t="inlineStr">
        <is>
          <t>DataJud: no closure/falência movement</t>
        </is>
      </c>
      <c r="AS497" s="32" t="n">
        <v>2026</v>
      </c>
      <c r="AT497" s="32" t="inlineStr">
        <is>
          <t>plan filed (art. 53), not yet granted</t>
        </is>
      </c>
      <c r="AU497" s="32" t="inlineStr"/>
      <c r="AV497" s="32" t="inlineStr">
        <is>
          <t>printed on the list (read twice)</t>
        </is>
      </c>
      <c r="AW497" s="32" t="inlineStr">
        <is>
          <t>Plano de Recuperação Judicial Grupo 3E v2.0 (Métis), mov. 321, pp.24-25</t>
        </is>
      </c>
      <c r="AX497" s="32" t="inlineStr">
        <is>
          <t>JAGUARIUNA</t>
        </is>
      </c>
      <c r="AY497" s="32" t="inlineStr">
        <is>
          <t>SP</t>
        </is>
      </c>
      <c r="AZ497" s="32" t="inlineStr">
        <is>
          <t>Comércio atacadista de cerveja, chope e refrigerante</t>
        </is>
      </c>
      <c r="BA497" s="32" t="inlineStr">
        <is>
          <t>não ME/EPP</t>
        </is>
      </c>
      <c r="BB497" s="33" t="n">
        <v>2044888400</v>
      </c>
      <c r="BC497" s="32" t="inlineStr">
        <is>
          <t>LARGE CORP</t>
        </is>
      </c>
      <c r="BD497" s="32" t="inlineStr">
        <is>
          <t>56228356</t>
        </is>
      </c>
      <c r="BE497" s="32" t="n">
        <v>1</v>
      </c>
      <c r="BF497" s="32" t="inlineStr">
        <is>
          <t>list prints no totals</t>
        </is>
      </c>
    </row>
    <row r="498">
      <c r="A498" s="17" t="inlineStr">
        <is>
          <t>GOLDEN DISTRIBUIDORA LTDA.</t>
        </is>
      </c>
      <c r="B498" s="18" t="n">
        <v>271484.12</v>
      </c>
      <c r="C498" s="19" t="inlineStr">
        <is>
          <t>CREDIMÓVEIS NOVOLAR LTDA.</t>
        </is>
      </c>
      <c r="D498" s="20" t="inlineStr">
        <is>
          <t>NEW</t>
        </is>
      </c>
      <c r="E498" s="21" t="inlineStr"/>
      <c r="F498" s="20" t="inlineStr"/>
      <c r="G498" s="21" t="inlineStr"/>
      <c r="H498" s="20" t="inlineStr"/>
      <c r="I498" s="22" t="inlineStr">
        <is>
          <t>Antonio Jorge</t>
        </is>
      </c>
      <c r="J498" s="22" t="inlineStr">
        <is>
          <t>CFO</t>
        </is>
      </c>
      <c r="K498" s="22" t="inlineStr">
        <is>
          <t>(11) 3646-6600</t>
        </is>
      </c>
      <c r="L498" s="22" t="inlineStr"/>
      <c r="M498" s="22" t="inlineStr"/>
      <c r="N498" s="22" t="inlineStr"/>
      <c r="O498" s="22" t="inlineStr"/>
      <c r="P498" s="22" t="inlineStr">
        <is>
          <t>Victor Melo</t>
        </is>
      </c>
      <c r="Q498" s="22" t="inlineStr">
        <is>
          <t>Coordenador de Crédito, Cobrança e Soluções Financeiras</t>
        </is>
      </c>
      <c r="R498" s="22" t="inlineStr"/>
      <c r="S498" s="22" t="inlineStr">
        <is>
          <t>victor.melo@goldendistribuidora.com.br</t>
        </is>
      </c>
      <c r="T498" s="22" t="inlineStr">
        <is>
          <t>DM: DM email unavailable; no work email in Apollo for DM; BACKUP: backup verified email</t>
        </is>
      </c>
      <c r="U498" s="24" t="n">
        <v>271484.12</v>
      </c>
      <c r="V498" s="39" t="inlineStr">
        <is>
          <t>C</t>
        </is>
      </c>
      <c r="W498" s="26" t="inlineStr"/>
      <c r="X498" s="27" t="inlineStr"/>
      <c r="Y498" s="27" t="inlineStr"/>
      <c r="Z498" s="26">
        <f>IF(W498&lt;&gt;"",W498,IFERROR(VLOOKUP(V498,Assumptions!$A$8:$F$12,2,FALSE),0))</f>
        <v/>
      </c>
      <c r="AA498" s="28">
        <f>IF(V498="A",MAX(1,IF(X498&lt;&gt;"",X498,IFERROR(VLOOKUP(V498,Assumptions!$A$8:$F$12,3,FALSE),3))+IF(Y498&lt;&gt;"",Y498,IFERROR(VLOOKUP(V498,Assumptions!$A$8:$F$12,4,FALSE),8))/2-MAX(0,IF(AS498="",0,YEAR(TODAY())-AS498)-IFERROR(VLOOKUP(V498,Assumptions!$A$8:$F$12,5,FALSE),1.5))),IFERROR(VLOOKUP(V498,Assumptions!$A$8:$F$12,5,FALSE),2.5)+IF(X498&lt;&gt;"",X498,IFERROR(VLOOKUP(V498,Assumptions!$A$8:$F$12,3,FALSE),3))+IF(Y498&lt;&gt;"",Y498,IFERROR(VLOOKUP(V498,Assumptions!$A$8:$F$12,4,FALSE),8))/2)</f>
        <v/>
      </c>
      <c r="AB498" s="24">
        <f>U498*Z498/(1+Assumptions!$B$3)^AA498</f>
        <v/>
      </c>
      <c r="AC498" s="27">
        <f>IF(U498=0,"",ROUND(AB498/U498*100,1))</f>
        <v/>
      </c>
      <c r="AD498" s="29">
        <f>AB498*Assumptions!$B$4</f>
        <v/>
      </c>
      <c r="AE498" s="27">
        <f>IF(U498=0,"",ROUND(AD498/U498*100,1))</f>
        <v/>
      </c>
      <c r="AF498" s="29">
        <f>AB498-AD498</f>
        <v/>
      </c>
      <c r="AG498" s="27">
        <f>IF(U498=0,"",ROUND((AB498-AD498)/U498*100,1))</f>
        <v/>
      </c>
      <c r="AH498" s="30" t="inlineStr">
        <is>
          <t>OK — totals reconciled</t>
        </is>
      </c>
      <c r="AI498" s="31" t="inlineStr">
        <is>
          <t>https://recuperacaojudicial.squarespace.com/s/RJ-Credimoveis-QGC-01082025.pdf</t>
        </is>
      </c>
      <c r="AJ498" s="30" t="inlineStr">
        <is>
          <t>p15 r48</t>
        </is>
      </c>
      <c r="AK498" s="30" t="inlineStr">
        <is>
          <t>p15: R$ 271.484,12</t>
        </is>
      </c>
      <c r="AL498" s="30" t="inlineStr">
        <is>
          <t>QGC (art. 18)</t>
        </is>
      </c>
      <c r="AM498" s="30" t="inlineStr">
        <is>
          <t>2026-01-28</t>
        </is>
      </c>
      <c r="AN498" s="30" t="inlineStr">
        <is>
          <t>NONE FOUND</t>
        </is>
      </c>
      <c r="AO498" s="32" t="inlineStr">
        <is>
          <t>0007565-40.2020.8.17.2370</t>
        </is>
      </c>
      <c r="AP498" s="32" t="inlineStr">
        <is>
          <t>TJPE</t>
        </is>
      </c>
      <c r="AQ498" s="32" t="inlineStr">
        <is>
          <t>Recuperação judicial</t>
        </is>
      </c>
      <c r="AR498" s="32" t="inlineStr">
        <is>
          <t>DataJud: no closure/falência movement</t>
        </is>
      </c>
      <c r="AS498" s="32" t="n">
        <v>2020</v>
      </c>
      <c r="AT498" s="32" t="inlineStr">
        <is>
          <t>6y since filing; plan not in our documents</t>
        </is>
      </c>
      <c r="AU498" s="32" t="inlineStr">
        <is>
          <t>09.930.165/0001-37</t>
        </is>
      </c>
      <c r="AV498" s="32" t="inlineStr">
        <is>
          <t>printed on the list (read twice)</t>
        </is>
      </c>
      <c r="AW498" s="32" t="inlineStr"/>
      <c r="AX498" s="32" t="inlineStr">
        <is>
          <t>SERRA</t>
        </is>
      </c>
      <c r="AY498" s="32" t="inlineStr">
        <is>
          <t>ES</t>
        </is>
      </c>
      <c r="AZ498" s="32" t="inlineStr">
        <is>
          <t>Comércio atacadista de papel e papelão em bruto</t>
        </is>
      </c>
      <c r="BA498" s="32" t="inlineStr">
        <is>
          <t>não ME/EPP</t>
        </is>
      </c>
      <c r="BB498" s="33" t="n">
        <v>50000000</v>
      </c>
      <c r="BC498" s="32" t="inlineStr">
        <is>
          <t>MID-MARKET</t>
        </is>
      </c>
      <c r="BD498" s="32" t="inlineStr">
        <is>
          <t>04196935</t>
        </is>
      </c>
      <c r="BE498" s="32" t="n">
        <v>1</v>
      </c>
      <c r="BF498" s="32" t="inlineStr"/>
    </row>
    <row r="499">
      <c r="A499" s="17" t="inlineStr">
        <is>
          <t>A.S.E. DISTRIBUICAO LTDA.</t>
        </is>
      </c>
      <c r="B499" s="18" t="n">
        <v>301633.9</v>
      </c>
      <c r="C499" s="19" t="inlineStr">
        <is>
          <t>GRUPO 3E</t>
        </is>
      </c>
      <c r="D499" s="20" t="inlineStr">
        <is>
          <t>NEW</t>
        </is>
      </c>
      <c r="E499" s="21" t="inlineStr"/>
      <c r="F499" s="20" t="inlineStr"/>
      <c r="G499" s="21" t="inlineStr"/>
      <c r="H499" s="20" t="inlineStr"/>
      <c r="I499" s="22" t="inlineStr">
        <is>
          <t>NEGE ABRAHAO</t>
        </is>
      </c>
      <c r="J499" s="23" t="inlineStr">
        <is>
          <t>Administrador (RFB partner)</t>
        </is>
      </c>
      <c r="K499" s="22" t="inlineStr">
        <is>
          <t>(62) 3311-4130</t>
        </is>
      </c>
      <c r="L499" s="22" t="inlineStr"/>
      <c r="M499" s="22" t="inlineStr"/>
      <c r="N499" s="22" t="inlineStr"/>
      <c r="O499" s="22" t="inlineStr"/>
      <c r="P499" s="22" t="inlineStr"/>
      <c r="Q499" s="22" t="inlineStr"/>
      <c r="R499" s="22" t="inlineStr"/>
      <c r="S499" s="22" t="inlineStr"/>
      <c r="T499" s="22" t="inlineStr">
        <is>
          <t>DM = registered partner (RFB QSA); no Apollo match</t>
        </is>
      </c>
      <c r="U499" s="24" t="n">
        <v>301633.9</v>
      </c>
      <c r="V499" s="25" t="inlineStr">
        <is>
          <t>B</t>
        </is>
      </c>
      <c r="W499" s="26" t="n">
        <v>0.12</v>
      </c>
      <c r="X499" s="27" t="n">
        <v>2</v>
      </c>
      <c r="Y499" s="27" t="n">
        <v>13</v>
      </c>
      <c r="Z499" s="26">
        <f>IF(W499&lt;&gt;"",W499,IFERROR(VLOOKUP(V499,Assumptions!$A$8:$F$12,2,FALSE),0))</f>
        <v/>
      </c>
      <c r="AA499" s="28">
        <f>IF(V499="A",MAX(1,IF(X499&lt;&gt;"",X499,IFERROR(VLOOKUP(V499,Assumptions!$A$8:$F$12,3,FALSE),3))+IF(Y499&lt;&gt;"",Y499,IFERROR(VLOOKUP(V499,Assumptions!$A$8:$F$12,4,FALSE),8))/2-MAX(0,IF(AS499="",0,YEAR(TODAY())-AS499)-IFERROR(VLOOKUP(V499,Assumptions!$A$8:$F$12,5,FALSE),1.5))),IFERROR(VLOOKUP(V499,Assumptions!$A$8:$F$12,5,FALSE),2.5)+IF(X499&lt;&gt;"",X499,IFERROR(VLOOKUP(V499,Assumptions!$A$8:$F$12,3,FALSE),3))+IF(Y499&lt;&gt;"",Y499,IFERROR(VLOOKUP(V499,Assumptions!$A$8:$F$12,4,FALSE),8))/2)</f>
        <v/>
      </c>
      <c r="AB499" s="24">
        <f>U499*Z499/(1+Assumptions!$B$3)^AA499</f>
        <v/>
      </c>
      <c r="AC499" s="27">
        <f>IF(U499=0,"",ROUND(AB499/U499*100,1))</f>
        <v/>
      </c>
      <c r="AD499" s="29">
        <f>AB499*Assumptions!$B$4</f>
        <v/>
      </c>
      <c r="AE499" s="27">
        <f>IF(U499=0,"",ROUND(AD499/U499*100,1))</f>
        <v/>
      </c>
      <c r="AF499" s="29">
        <f>AB499-AD499</f>
        <v/>
      </c>
      <c r="AG499" s="27">
        <f>IF(U499=0,"",ROUND((AB499-AD499)/U499*100,1))</f>
        <v/>
      </c>
      <c r="AH499" s="34" t="inlineStr">
        <is>
          <t>NO TOTALS — list prints none; check page</t>
        </is>
      </c>
      <c r="AI499" s="31" t="inlineStr">
        <is>
          <t>https://stenius.com.br/wp-content/uploads/2026/06/EDITAL-GRUPO-3E.pdf</t>
        </is>
      </c>
      <c r="AJ499" s="30" t="inlineStr">
        <is>
          <t>p10 r15</t>
        </is>
      </c>
      <c r="AK499" s="30" t="inlineStr">
        <is>
          <t>p10: R$ 301.633,90</t>
        </is>
      </c>
      <c r="AL499" s="30" t="inlineStr">
        <is>
          <t>Debtor list (art. 51)</t>
        </is>
      </c>
      <c r="AM499" s="30" t="inlineStr">
        <is>
          <t>2026-06-22</t>
        </is>
      </c>
      <c r="AN499" s="30" t="inlineStr">
        <is>
          <t>PLAN FILED (art. 53), not granted</t>
        </is>
      </c>
      <c r="AO499" s="32" t="inlineStr">
        <is>
          <t>5341375-33.2026.8.09.0049</t>
        </is>
      </c>
      <c r="AP499" s="32" t="inlineStr">
        <is>
          <t>TJGO</t>
        </is>
      </c>
      <c r="AQ499" s="32" t="inlineStr">
        <is>
          <t>Recuperação judicial</t>
        </is>
      </c>
      <c r="AR499" s="32" t="inlineStr">
        <is>
          <t>DataJud: no closure/falência movement</t>
        </is>
      </c>
      <c r="AS499" s="32" t="n">
        <v>2026</v>
      </c>
      <c r="AT499" s="32" t="inlineStr">
        <is>
          <t>plan filed (art. 53), not yet granted</t>
        </is>
      </c>
      <c r="AU499" s="32" t="inlineStr"/>
      <c r="AV499" s="32" t="inlineStr">
        <is>
          <t>printed on the list (read twice)</t>
        </is>
      </c>
      <c r="AW499" s="32" t="inlineStr">
        <is>
          <t>Plano de Recuperação Judicial Grupo 3E v2.0 (Métis), mov. 321, pp.24-25</t>
        </is>
      </c>
      <c r="AX499" s="32" t="inlineStr">
        <is>
          <t>ANAPOLIS</t>
        </is>
      </c>
      <c r="AY499" s="32" t="inlineStr">
        <is>
          <t>GO</t>
        </is>
      </c>
      <c r="AZ499" s="32" t="inlineStr">
        <is>
          <t>Preparação de documentos e serviços especializados de apoio administrativo não especificados anteriormente</t>
        </is>
      </c>
      <c r="BA499" s="32" t="inlineStr">
        <is>
          <t>MICRO EMPRESA</t>
        </is>
      </c>
      <c r="BB499" s="33" t="n">
        <v>1980000</v>
      </c>
      <c r="BC499" s="32" t="inlineStr">
        <is>
          <t>SMALL</t>
        </is>
      </c>
      <c r="BD499" s="32" t="inlineStr">
        <is>
          <t>01644931</t>
        </is>
      </c>
      <c r="BE499" s="32" t="n">
        <v>1</v>
      </c>
      <c r="BF499" s="32" t="inlineStr">
        <is>
          <t>list prints no totals</t>
        </is>
      </c>
    </row>
    <row r="500">
      <c r="A500" s="17" t="inlineStr">
        <is>
          <t>QUAKER TEXTIL DO BRASIL LTDA.</t>
        </is>
      </c>
      <c r="B500" s="18" t="n">
        <v>479105.31</v>
      </c>
      <c r="C500" s="19" t="inlineStr">
        <is>
          <t>Mannes</t>
        </is>
      </c>
      <c r="D500" s="20" t="inlineStr">
        <is>
          <t>NEW</t>
        </is>
      </c>
      <c r="E500" s="21" t="inlineStr"/>
      <c r="F500" s="20" t="inlineStr"/>
      <c r="G500" s="21" t="inlineStr"/>
      <c r="H500" s="20" t="inlineStr"/>
      <c r="I500" s="22" t="inlineStr">
        <is>
          <t>RODRIGO PRIETO PEREZ</t>
        </is>
      </c>
      <c r="J500" s="23" t="inlineStr">
        <is>
          <t>Sócio-Administrador (RFB partner)</t>
        </is>
      </c>
      <c r="K500" s="22" t="inlineStr">
        <is>
          <t>(11) 3284-3355</t>
        </is>
      </c>
      <c r="L500" s="22" t="inlineStr">
        <is>
          <t>(11) 3284-3355</t>
        </is>
      </c>
      <c r="M500" s="22" t="inlineStr"/>
      <c r="N500" s="22" t="inlineStr"/>
      <c r="O500" s="22" t="inlineStr"/>
      <c r="P500" s="22" t="inlineStr"/>
      <c r="Q500" s="22" t="inlineStr"/>
      <c r="R500" s="22" t="inlineStr"/>
      <c r="S500" s="22" t="inlineStr"/>
      <c r="T500" s="22" t="inlineStr">
        <is>
          <t>DM = registered partner (RFB QSA); no Apollo match</t>
        </is>
      </c>
      <c r="U500" s="24" t="n">
        <v>479105.31</v>
      </c>
      <c r="V500" s="40" t="inlineStr">
        <is>
          <t>D</t>
        </is>
      </c>
      <c r="W500" s="26" t="inlineStr"/>
      <c r="X500" s="27" t="inlineStr"/>
      <c r="Y500" s="27" t="inlineStr"/>
      <c r="Z500" s="26">
        <f>IF(W500&lt;&gt;"",W500,IFERROR(VLOOKUP(V500,Assumptions!$A$8:$F$12,2,FALSE),0))</f>
        <v/>
      </c>
      <c r="AA500" s="28">
        <f>IF(V500="A",MAX(1,IF(X500&lt;&gt;"",X500,IFERROR(VLOOKUP(V500,Assumptions!$A$8:$F$12,3,FALSE),3))+IF(Y500&lt;&gt;"",Y500,IFERROR(VLOOKUP(V500,Assumptions!$A$8:$F$12,4,FALSE),8))/2-MAX(0,IF(AS500="",0,YEAR(TODAY())-AS500)-IFERROR(VLOOKUP(V500,Assumptions!$A$8:$F$12,5,FALSE),1.5))),IFERROR(VLOOKUP(V500,Assumptions!$A$8:$F$12,5,FALSE),2.5)+IF(X500&lt;&gt;"",X500,IFERROR(VLOOKUP(V500,Assumptions!$A$8:$F$12,3,FALSE),3))+IF(Y500&lt;&gt;"",Y500,IFERROR(VLOOKUP(V500,Assumptions!$A$8:$F$12,4,FALSE),8))/2)</f>
        <v/>
      </c>
      <c r="AB500" s="24">
        <f>U500*Z500/(1+Assumptions!$B$3)^AA500</f>
        <v/>
      </c>
      <c r="AC500" s="27">
        <f>IF(U500=0,"",ROUND(AB500/U500*100,1))</f>
        <v/>
      </c>
      <c r="AD500" s="29">
        <f>AB500*Assumptions!$B$4</f>
        <v/>
      </c>
      <c r="AE500" s="27">
        <f>IF(U500=0,"",ROUND(AD500/U500*100,1))</f>
        <v/>
      </c>
      <c r="AF500" s="29">
        <f>AB500-AD500</f>
        <v/>
      </c>
      <c r="AG500" s="27">
        <f>IF(U500=0,"",ROUND((AB500-AD500)/U500*100,1))</f>
        <v/>
      </c>
      <c r="AH500" s="36" t="inlineStr">
        <is>
          <t>CHECK — source is not a statutory creditor list</t>
        </is>
      </c>
      <c r="AI500" s="31" t="inlineStr">
        <is>
          <t>https://administradorajudicialgs.com.br/wp-content/uploads/2024/12/relacao-de-credores-da-falida.pdf</t>
        </is>
      </c>
      <c r="AJ500" s="30" t="inlineStr">
        <is>
          <t>p17 r46</t>
        </is>
      </c>
      <c r="AK500" s="30" t="inlineStr">
        <is>
          <t>p17: R$ 479.105,31</t>
        </is>
      </c>
      <c r="AL500" s="30" t="inlineStr">
        <is>
          <t>Other filing — NOT an art. 7/51 list</t>
        </is>
      </c>
      <c r="AM500" s="30" t="inlineStr">
        <is>
          <t>2025-03-25</t>
        </is>
      </c>
      <c r="AN500" s="30" t="inlineStr">
        <is>
          <t>NONE FOUND</t>
        </is>
      </c>
      <c r="AO500" s="32" t="inlineStr">
        <is>
          <t>0005010-50.2013.8.24.0026</t>
        </is>
      </c>
      <c r="AP500" s="32" t="inlineStr">
        <is>
          <t>TJSC</t>
        </is>
      </c>
      <c r="AQ500" s="32" t="inlineStr">
        <is>
          <t>Falência</t>
        </is>
      </c>
      <c r="AR500" s="32" t="inlineStr">
        <is>
          <t>not in DataJud</t>
        </is>
      </c>
      <c r="AS500" s="32" t="n">
        <v>2013</v>
      </c>
      <c r="AT500" s="32" t="inlineStr">
        <is>
          <t>falência proceeding (list/name says falida)</t>
        </is>
      </c>
      <c r="AU500" s="32" t="inlineStr"/>
      <c r="AV500" s="32" t="inlineStr">
        <is>
          <t>printed on the list (read twice)</t>
        </is>
      </c>
      <c r="AW500" s="32" t="inlineStr"/>
      <c r="AX500" s="32" t="inlineStr">
        <is>
          <t>SAO PAULO</t>
        </is>
      </c>
      <c r="AY500" s="32" t="inlineStr">
        <is>
          <t>SP</t>
        </is>
      </c>
      <c r="AZ500" s="32" t="inlineStr">
        <is>
          <t>Comércio atacadista especializado em outros produtos intermediários não especificados anteriormente</t>
        </is>
      </c>
      <c r="BA500" s="32" t="inlineStr">
        <is>
          <t>não ME/EPP</t>
        </is>
      </c>
      <c r="BB500" s="33" t="n">
        <v>1165000</v>
      </c>
      <c r="BC500" s="32" t="inlineStr">
        <is>
          <t>MID-MARKET</t>
        </is>
      </c>
      <c r="BD500" s="32" t="inlineStr">
        <is>
          <t>03784035</t>
        </is>
      </c>
      <c r="BE500" s="32" t="n">
        <v>1</v>
      </c>
      <c r="BF500" s="32" t="inlineStr">
        <is>
          <t>list prints no totals case no. corrected by reader</t>
        </is>
      </c>
    </row>
    <row r="501">
      <c r="A501" s="17" t="inlineStr">
        <is>
          <t>KASPER INDUSTRIA DE MOVEIS LTDA</t>
        </is>
      </c>
      <c r="B501" s="18" t="n">
        <v>253853.5</v>
      </c>
      <c r="C501" s="19" t="inlineStr">
        <is>
          <t>CREDIMÓVEIS NOVOLAR LTDA.</t>
        </is>
      </c>
      <c r="D501" s="20" t="inlineStr">
        <is>
          <t>NEW</t>
        </is>
      </c>
      <c r="E501" s="21" t="inlineStr"/>
      <c r="F501" s="20" t="inlineStr"/>
      <c r="G501" s="21" t="inlineStr"/>
      <c r="H501" s="20" t="inlineStr"/>
      <c r="I501" s="22" t="inlineStr">
        <is>
          <t>INGRID PAULINA KASPER DEDECO</t>
        </is>
      </c>
      <c r="J501" s="23" t="inlineStr">
        <is>
          <t>Sócio-Administrador (RFB partner)</t>
        </is>
      </c>
      <c r="K501" s="22" t="inlineStr">
        <is>
          <t>49643-0133</t>
        </is>
      </c>
      <c r="L501" s="22" t="inlineStr"/>
      <c r="M501" s="22" t="inlineStr"/>
      <c r="N501" s="22" t="inlineStr"/>
      <c r="O501" s="22" t="inlineStr"/>
      <c r="P501" s="22" t="inlineStr">
        <is>
          <t>JORGE LUIZ SALLES DEDECO</t>
        </is>
      </c>
      <c r="Q501" s="22" t="inlineStr">
        <is>
          <t>Sócio-Administrador (RFB partner)</t>
        </is>
      </c>
      <c r="R501" s="22" t="inlineStr"/>
      <c r="S501" s="22" t="inlineStr"/>
      <c r="T501" s="22" t="inlineStr">
        <is>
          <t>DM = registered partner (RFB QSA); no Apollo match</t>
        </is>
      </c>
      <c r="U501" s="24" t="n">
        <v>253853.5</v>
      </c>
      <c r="V501" s="39" t="inlineStr">
        <is>
          <t>C</t>
        </is>
      </c>
      <c r="W501" s="26" t="inlineStr"/>
      <c r="X501" s="27" t="inlineStr"/>
      <c r="Y501" s="27" t="inlineStr"/>
      <c r="Z501" s="26">
        <f>IF(W501&lt;&gt;"",W501,IFERROR(VLOOKUP(V501,Assumptions!$A$8:$F$12,2,FALSE),0))</f>
        <v/>
      </c>
      <c r="AA501" s="28">
        <f>IF(V501="A",MAX(1,IF(X501&lt;&gt;"",X501,IFERROR(VLOOKUP(V501,Assumptions!$A$8:$F$12,3,FALSE),3))+IF(Y501&lt;&gt;"",Y501,IFERROR(VLOOKUP(V501,Assumptions!$A$8:$F$12,4,FALSE),8))/2-MAX(0,IF(AS501="",0,YEAR(TODAY())-AS501)-IFERROR(VLOOKUP(V501,Assumptions!$A$8:$F$12,5,FALSE),1.5))),IFERROR(VLOOKUP(V501,Assumptions!$A$8:$F$12,5,FALSE),2.5)+IF(X501&lt;&gt;"",X501,IFERROR(VLOOKUP(V501,Assumptions!$A$8:$F$12,3,FALSE),3))+IF(Y501&lt;&gt;"",Y501,IFERROR(VLOOKUP(V501,Assumptions!$A$8:$F$12,4,FALSE),8))/2)</f>
        <v/>
      </c>
      <c r="AB501" s="24">
        <f>U501*Z501/(1+Assumptions!$B$3)^AA501</f>
        <v/>
      </c>
      <c r="AC501" s="27">
        <f>IF(U501=0,"",ROUND(AB501/U501*100,1))</f>
        <v/>
      </c>
      <c r="AD501" s="29">
        <f>AB501*Assumptions!$B$4</f>
        <v/>
      </c>
      <c r="AE501" s="27">
        <f>IF(U501=0,"",ROUND(AD501/U501*100,1))</f>
        <v/>
      </c>
      <c r="AF501" s="29">
        <f>AB501-AD501</f>
        <v/>
      </c>
      <c r="AG501" s="27">
        <f>IF(U501=0,"",ROUND((AB501-AD501)/U501*100,1))</f>
        <v/>
      </c>
      <c r="AH501" s="30" t="inlineStr">
        <is>
          <t>OK — totals reconciled</t>
        </is>
      </c>
      <c r="AI501" s="31" t="inlineStr">
        <is>
          <t>https://recuperacaojudicial.squarespace.com/s/RJ-Credimoveis-QGC-01082025.pdf</t>
        </is>
      </c>
      <c r="AJ501" s="30" t="inlineStr">
        <is>
          <t>p16 r3</t>
        </is>
      </c>
      <c r="AK501" s="30" t="inlineStr">
        <is>
          <t>p16: R$ 253.853,50</t>
        </is>
      </c>
      <c r="AL501" s="30" t="inlineStr">
        <is>
          <t>QGC (art. 18)</t>
        </is>
      </c>
      <c r="AM501" s="30" t="inlineStr">
        <is>
          <t>2026-01-28</t>
        </is>
      </c>
      <c r="AN501" s="30" t="inlineStr">
        <is>
          <t>NONE FOUND</t>
        </is>
      </c>
      <c r="AO501" s="32" t="inlineStr">
        <is>
          <t>0007565-40.2020.8.17.2370</t>
        </is>
      </c>
      <c r="AP501" s="32" t="inlineStr">
        <is>
          <t>TJPE</t>
        </is>
      </c>
      <c r="AQ501" s="32" t="inlineStr">
        <is>
          <t>Recuperação judicial</t>
        </is>
      </c>
      <c r="AR501" s="32" t="inlineStr">
        <is>
          <t>DataJud: no closure/falência movement</t>
        </is>
      </c>
      <c r="AS501" s="32" t="n">
        <v>2020</v>
      </c>
      <c r="AT501" s="32" t="inlineStr">
        <is>
          <t>6y since filing; plan not in our documents</t>
        </is>
      </c>
      <c r="AU501" s="32" t="inlineStr">
        <is>
          <t>09.930.165/0001-37</t>
        </is>
      </c>
      <c r="AV501" s="32" t="inlineStr">
        <is>
          <t>printed on the list (read twice)</t>
        </is>
      </c>
      <c r="AW501" s="32" t="inlineStr"/>
      <c r="AX501" s="32" t="inlineStr">
        <is>
          <t>SAO JOSE DO CEDRO</t>
        </is>
      </c>
      <c r="AY501" s="32" t="inlineStr">
        <is>
          <t>SC</t>
        </is>
      </c>
      <c r="AZ501" s="32" t="inlineStr">
        <is>
          <t>Fabricação de móveis com predominância de madeira</t>
        </is>
      </c>
      <c r="BA501" s="32" t="inlineStr">
        <is>
          <t>não ME/EPP</t>
        </is>
      </c>
      <c r="BB501" s="33" t="n">
        <v>300000</v>
      </c>
      <c r="BC501" s="32" t="inlineStr">
        <is>
          <t>MID-MARKET</t>
        </is>
      </c>
      <c r="BD501" s="32" t="inlineStr">
        <is>
          <t>86205416</t>
        </is>
      </c>
      <c r="BE501" s="32" t="n">
        <v>1</v>
      </c>
      <c r="BF501" s="32" t="inlineStr"/>
    </row>
    <row r="502">
      <c r="A502" s="17" t="inlineStr">
        <is>
          <t>SANTOS ANDIRA INDUSTRIA DE MOVEIS LTDA</t>
        </is>
      </c>
      <c r="B502" s="18" t="n">
        <v>252798.81</v>
      </c>
      <c r="C502" s="19" t="inlineStr">
        <is>
          <t>CREDIMÓVEIS NOVOLAR LTDA.</t>
        </is>
      </c>
      <c r="D502" s="20" t="inlineStr">
        <is>
          <t>NEW</t>
        </is>
      </c>
      <c r="E502" s="21" t="inlineStr"/>
      <c r="F502" s="20" t="inlineStr"/>
      <c r="G502" s="21" t="inlineStr"/>
      <c r="H502" s="20" t="inlineStr"/>
      <c r="I502" s="22" t="inlineStr">
        <is>
          <t>Andresa De</t>
        </is>
      </c>
      <c r="J502" s="22" t="inlineStr">
        <is>
          <t>Supervisora de Crédito e Cobrança</t>
        </is>
      </c>
      <c r="K502" s="22" t="inlineStr">
        <is>
          <t>(43) 3538-8304</t>
        </is>
      </c>
      <c r="L502" s="22" t="inlineStr">
        <is>
          <t>(43) 3638-8300</t>
        </is>
      </c>
      <c r="M502" s="22" t="inlineStr"/>
      <c r="N502" s="22" t="inlineStr"/>
      <c r="O502" s="22" t="inlineStr"/>
      <c r="P502" s="22" t="inlineStr">
        <is>
          <t>Egson Nascimento</t>
        </is>
      </c>
      <c r="Q502" s="22" t="inlineStr">
        <is>
          <t>Purchasing Manager</t>
        </is>
      </c>
      <c r="R502" s="22" t="inlineStr"/>
      <c r="S502" s="22" t="inlineStr">
        <is>
          <t>egson.nascimento@santosandira.com.br</t>
        </is>
      </c>
      <c r="T502" s="22" t="inlineStr">
        <is>
          <t>DM: DM email unavailable; no work email in Apollo for DM; BACKUP: backup verified email (non-finance)</t>
        </is>
      </c>
      <c r="U502" s="24" t="n">
        <v>252798.81</v>
      </c>
      <c r="V502" s="39" t="inlineStr">
        <is>
          <t>C</t>
        </is>
      </c>
      <c r="W502" s="26" t="inlineStr"/>
      <c r="X502" s="27" t="inlineStr"/>
      <c r="Y502" s="27" t="inlineStr"/>
      <c r="Z502" s="26">
        <f>IF(W502&lt;&gt;"",W502,IFERROR(VLOOKUP(V502,Assumptions!$A$8:$F$12,2,FALSE),0))</f>
        <v/>
      </c>
      <c r="AA502" s="28">
        <f>IF(V502="A",MAX(1,IF(X502&lt;&gt;"",X502,IFERROR(VLOOKUP(V502,Assumptions!$A$8:$F$12,3,FALSE),3))+IF(Y502&lt;&gt;"",Y502,IFERROR(VLOOKUP(V502,Assumptions!$A$8:$F$12,4,FALSE),8))/2-MAX(0,IF(AS502="",0,YEAR(TODAY())-AS502)-IFERROR(VLOOKUP(V502,Assumptions!$A$8:$F$12,5,FALSE),1.5))),IFERROR(VLOOKUP(V502,Assumptions!$A$8:$F$12,5,FALSE),2.5)+IF(X502&lt;&gt;"",X502,IFERROR(VLOOKUP(V502,Assumptions!$A$8:$F$12,3,FALSE),3))+IF(Y502&lt;&gt;"",Y502,IFERROR(VLOOKUP(V502,Assumptions!$A$8:$F$12,4,FALSE),8))/2)</f>
        <v/>
      </c>
      <c r="AB502" s="24">
        <f>U502*Z502/(1+Assumptions!$B$3)^AA502</f>
        <v/>
      </c>
      <c r="AC502" s="27">
        <f>IF(U502=0,"",ROUND(AB502/U502*100,1))</f>
        <v/>
      </c>
      <c r="AD502" s="29">
        <f>AB502*Assumptions!$B$4</f>
        <v/>
      </c>
      <c r="AE502" s="27">
        <f>IF(U502=0,"",ROUND(AD502/U502*100,1))</f>
        <v/>
      </c>
      <c r="AF502" s="29">
        <f>AB502-AD502</f>
        <v/>
      </c>
      <c r="AG502" s="27">
        <f>IF(U502=0,"",ROUND((AB502-AD502)/U502*100,1))</f>
        <v/>
      </c>
      <c r="AH502" s="30" t="inlineStr">
        <is>
          <t>OK — totals reconciled</t>
        </is>
      </c>
      <c r="AI502" s="31" t="inlineStr">
        <is>
          <t>https://recuperacaojudicial.squarespace.com/s/RJ-Credimoveis-QGC-01082025.pdf</t>
        </is>
      </c>
      <c r="AJ502" s="30" t="inlineStr">
        <is>
          <t>p16 r55</t>
        </is>
      </c>
      <c r="AK502" s="30" t="inlineStr">
        <is>
          <t>p16: R$ 252.798,81</t>
        </is>
      </c>
      <c r="AL502" s="30" t="inlineStr">
        <is>
          <t>QGC (art. 18)</t>
        </is>
      </c>
      <c r="AM502" s="30" t="inlineStr">
        <is>
          <t>2026-01-28</t>
        </is>
      </c>
      <c r="AN502" s="30" t="inlineStr">
        <is>
          <t>NONE FOUND</t>
        </is>
      </c>
      <c r="AO502" s="32" t="inlineStr">
        <is>
          <t>0007565-40.2020.8.17.2370</t>
        </is>
      </c>
      <c r="AP502" s="32" t="inlineStr">
        <is>
          <t>TJPE</t>
        </is>
      </c>
      <c r="AQ502" s="32" t="inlineStr">
        <is>
          <t>Recuperação judicial</t>
        </is>
      </c>
      <c r="AR502" s="32" t="inlineStr">
        <is>
          <t>DataJud: no closure/falência movement</t>
        </is>
      </c>
      <c r="AS502" s="32" t="n">
        <v>2020</v>
      </c>
      <c r="AT502" s="32" t="inlineStr">
        <is>
          <t>6y since filing; plan not in our documents</t>
        </is>
      </c>
      <c r="AU502" s="32" t="inlineStr">
        <is>
          <t>09.930.165/0001-37</t>
        </is>
      </c>
      <c r="AV502" s="32" t="inlineStr">
        <is>
          <t>printed on the list (read twice)</t>
        </is>
      </c>
      <c r="AW502" s="32" t="inlineStr"/>
      <c r="AX502" s="32" t="inlineStr">
        <is>
          <t>ANDIRA</t>
        </is>
      </c>
      <c r="AY502" s="32" t="inlineStr">
        <is>
          <t>PR</t>
        </is>
      </c>
      <c r="AZ502" s="32" t="inlineStr">
        <is>
          <t>Fabricação de móveis com predominância de madeira</t>
        </is>
      </c>
      <c r="BA502" s="32" t="inlineStr">
        <is>
          <t>não ME/EPP</t>
        </is>
      </c>
      <c r="BB502" s="33" t="n">
        <v>25000000</v>
      </c>
      <c r="BC502" s="32" t="inlineStr">
        <is>
          <t>MID-MARKET</t>
        </is>
      </c>
      <c r="BD502" s="32" t="inlineStr">
        <is>
          <t>75205831</t>
        </is>
      </c>
      <c r="BE502" s="32" t="n">
        <v>1</v>
      </c>
      <c r="BF502" s="32" t="inlineStr"/>
    </row>
    <row r="503">
      <c r="A503" s="17" t="inlineStr">
        <is>
          <t>LOTEX TEXTIL LTDA</t>
        </is>
      </c>
      <c r="B503" s="18" t="n">
        <v>459317.41</v>
      </c>
      <c r="C503" s="19" t="inlineStr">
        <is>
          <t>Mannes</t>
        </is>
      </c>
      <c r="D503" s="20" t="inlineStr">
        <is>
          <t>NEW</t>
        </is>
      </c>
      <c r="E503" s="21" t="inlineStr"/>
      <c r="F503" s="20" t="inlineStr"/>
      <c r="G503" s="21" t="inlineStr"/>
      <c r="H503" s="20" t="inlineStr"/>
      <c r="I503" s="22" t="inlineStr">
        <is>
          <t>ELEMAR LOTH</t>
        </is>
      </c>
      <c r="J503" s="23" t="inlineStr">
        <is>
          <t>Sócio-Administrador (RFB partner)</t>
        </is>
      </c>
      <c r="K503" s="22" t="inlineStr">
        <is>
          <t>(47) 3055-0027</t>
        </is>
      </c>
      <c r="L503" s="22" t="inlineStr">
        <is>
          <t>(47) 3055-0817</t>
        </is>
      </c>
      <c r="M503" s="22" t="inlineStr"/>
      <c r="N503" s="22" t="inlineStr"/>
      <c r="O503" s="22" t="inlineStr"/>
      <c r="P503" s="22" t="inlineStr"/>
      <c r="Q503" s="22" t="inlineStr"/>
      <c r="R503" s="22" t="inlineStr"/>
      <c r="S503" s="22" t="inlineStr"/>
      <c r="T503" s="22" t="inlineStr">
        <is>
          <t>DM = registered partner (RFB QSA); no Apollo match</t>
        </is>
      </c>
      <c r="U503" s="24" t="n">
        <v>459317.41</v>
      </c>
      <c r="V503" s="40" t="inlineStr">
        <is>
          <t>D</t>
        </is>
      </c>
      <c r="W503" s="26" t="inlineStr"/>
      <c r="X503" s="27" t="inlineStr"/>
      <c r="Y503" s="27" t="inlineStr"/>
      <c r="Z503" s="26">
        <f>IF(W503&lt;&gt;"",W503,IFERROR(VLOOKUP(V503,Assumptions!$A$8:$F$12,2,FALSE),0))</f>
        <v/>
      </c>
      <c r="AA503" s="28">
        <f>IF(V503="A",MAX(1,IF(X503&lt;&gt;"",X503,IFERROR(VLOOKUP(V503,Assumptions!$A$8:$F$12,3,FALSE),3))+IF(Y503&lt;&gt;"",Y503,IFERROR(VLOOKUP(V503,Assumptions!$A$8:$F$12,4,FALSE),8))/2-MAX(0,IF(AS503="",0,YEAR(TODAY())-AS503)-IFERROR(VLOOKUP(V503,Assumptions!$A$8:$F$12,5,FALSE),1.5))),IFERROR(VLOOKUP(V503,Assumptions!$A$8:$F$12,5,FALSE),2.5)+IF(X503&lt;&gt;"",X503,IFERROR(VLOOKUP(V503,Assumptions!$A$8:$F$12,3,FALSE),3))+IF(Y503&lt;&gt;"",Y503,IFERROR(VLOOKUP(V503,Assumptions!$A$8:$F$12,4,FALSE),8))/2)</f>
        <v/>
      </c>
      <c r="AB503" s="24">
        <f>U503*Z503/(1+Assumptions!$B$3)^AA503</f>
        <v/>
      </c>
      <c r="AC503" s="27">
        <f>IF(U503=0,"",ROUND(AB503/U503*100,1))</f>
        <v/>
      </c>
      <c r="AD503" s="29">
        <f>AB503*Assumptions!$B$4</f>
        <v/>
      </c>
      <c r="AE503" s="27">
        <f>IF(U503=0,"",ROUND(AD503/U503*100,1))</f>
        <v/>
      </c>
      <c r="AF503" s="29">
        <f>AB503-AD503</f>
        <v/>
      </c>
      <c r="AG503" s="27">
        <f>IF(U503=0,"",ROUND((AB503-AD503)/U503*100,1))</f>
        <v/>
      </c>
      <c r="AH503" s="36" t="inlineStr">
        <is>
          <t>CHECK — source is not a statutory creditor list</t>
        </is>
      </c>
      <c r="AI503" s="31" t="inlineStr">
        <is>
          <t>https://administradorajudicialgs.com.br/wp-content/uploads/2024/12/relacao-de-credores-da-falida.pdf</t>
        </is>
      </c>
      <c r="AJ503" s="30" t="inlineStr">
        <is>
          <t>p16 r17</t>
        </is>
      </c>
      <c r="AK503" s="30" t="inlineStr">
        <is>
          <t>p16: R$ 459.317,41</t>
        </is>
      </c>
      <c r="AL503" s="30" t="inlineStr">
        <is>
          <t>Other filing — NOT an art. 7/51 list</t>
        </is>
      </c>
      <c r="AM503" s="30" t="inlineStr">
        <is>
          <t>2025-03-25</t>
        </is>
      </c>
      <c r="AN503" s="30" t="inlineStr">
        <is>
          <t>NONE FOUND</t>
        </is>
      </c>
      <c r="AO503" s="32" t="inlineStr">
        <is>
          <t>0005010-50.2013.8.24.0026</t>
        </is>
      </c>
      <c r="AP503" s="32" t="inlineStr">
        <is>
          <t>TJSC</t>
        </is>
      </c>
      <c r="AQ503" s="32" t="inlineStr">
        <is>
          <t>Falência</t>
        </is>
      </c>
      <c r="AR503" s="32" t="inlineStr">
        <is>
          <t>not in DataJud</t>
        </is>
      </c>
      <c r="AS503" s="32" t="n">
        <v>2013</v>
      </c>
      <c r="AT503" s="32" t="inlineStr">
        <is>
          <t>falência proceeding (list/name says falida)</t>
        </is>
      </c>
      <c r="AU503" s="32" t="inlineStr"/>
      <c r="AV503" s="32" t="inlineStr">
        <is>
          <t>printed on the list (read twice)</t>
        </is>
      </c>
      <c r="AW503" s="32" t="inlineStr"/>
      <c r="AX503" s="32" t="inlineStr">
        <is>
          <t>JARAGUA DO SUL</t>
        </is>
      </c>
      <c r="AY503" s="32" t="inlineStr">
        <is>
          <t>SC</t>
        </is>
      </c>
      <c r="AZ503" s="32" t="inlineStr">
        <is>
          <t>Fabricação de outros produtos têxteis não especificados anteriormente</t>
        </is>
      </c>
      <c r="BA503" s="32" t="inlineStr">
        <is>
          <t>MICRO EMPRESA</t>
        </is>
      </c>
      <c r="BB503" s="33" t="n">
        <v>5000</v>
      </c>
      <c r="BC503" s="32" t="inlineStr">
        <is>
          <t>SMALL</t>
        </is>
      </c>
      <c r="BD503" s="32" t="inlineStr">
        <is>
          <t>09454490</t>
        </is>
      </c>
      <c r="BE503" s="32" t="n">
        <v>1</v>
      </c>
      <c r="BF503" s="32" t="inlineStr">
        <is>
          <t>list prints no totals case no. corrected by reader</t>
        </is>
      </c>
    </row>
    <row r="504">
      <c r="A504" s="17" t="inlineStr">
        <is>
          <t>CICLO CAIRU LTDA</t>
        </is>
      </c>
      <c r="B504" s="18" t="n">
        <v>249307.74</v>
      </c>
      <c r="C504" s="19" t="inlineStr">
        <is>
          <t>CREDIMÓVEIS NOVOLAR LTDA.</t>
        </is>
      </c>
      <c r="D504" s="20" t="inlineStr">
        <is>
          <t>NEW</t>
        </is>
      </c>
      <c r="E504" s="21" t="inlineStr"/>
      <c r="F504" s="20" t="inlineStr"/>
      <c r="G504" s="21" t="inlineStr"/>
      <c r="H504" s="20" t="inlineStr"/>
      <c r="I504" s="22" t="inlineStr">
        <is>
          <t>Dariane Garcia</t>
        </is>
      </c>
      <c r="J504" s="22" t="inlineStr">
        <is>
          <t>Financial</t>
        </is>
      </c>
      <c r="K504" s="22" t="inlineStr">
        <is>
          <t>(69) 3451-0500</t>
        </is>
      </c>
      <c r="L504" s="22" t="inlineStr"/>
      <c r="M504" s="22" t="inlineStr"/>
      <c r="N504" s="22" t="inlineStr"/>
      <c r="O504" s="22" t="inlineStr"/>
      <c r="P504" s="22" t="inlineStr">
        <is>
          <t>EUFLAVIO ODILON RIBEIRO</t>
        </is>
      </c>
      <c r="Q504" s="22" t="inlineStr">
        <is>
          <t>Sócio-Administrador (RFB partner)</t>
        </is>
      </c>
      <c r="R504" s="22" t="inlineStr"/>
      <c r="S504" s="22" t="inlineStr"/>
      <c r="T504" s="22" t="inlineStr">
        <is>
          <t>DM: DM (only finance titles found; email unavailable); no work email in Apollo for DM</t>
        </is>
      </c>
      <c r="U504" s="24" t="n">
        <v>249307.74</v>
      </c>
      <c r="V504" s="39" t="inlineStr">
        <is>
          <t>C</t>
        </is>
      </c>
      <c r="W504" s="26" t="inlineStr"/>
      <c r="X504" s="27" t="inlineStr"/>
      <c r="Y504" s="27" t="inlineStr"/>
      <c r="Z504" s="26">
        <f>IF(W504&lt;&gt;"",W504,IFERROR(VLOOKUP(V504,Assumptions!$A$8:$F$12,2,FALSE),0))</f>
        <v/>
      </c>
      <c r="AA504" s="28">
        <f>IF(V504="A",MAX(1,IF(X504&lt;&gt;"",X504,IFERROR(VLOOKUP(V504,Assumptions!$A$8:$F$12,3,FALSE),3))+IF(Y504&lt;&gt;"",Y504,IFERROR(VLOOKUP(V504,Assumptions!$A$8:$F$12,4,FALSE),8))/2-MAX(0,IF(AS504="",0,YEAR(TODAY())-AS504)-IFERROR(VLOOKUP(V504,Assumptions!$A$8:$F$12,5,FALSE),1.5))),IFERROR(VLOOKUP(V504,Assumptions!$A$8:$F$12,5,FALSE),2.5)+IF(X504&lt;&gt;"",X504,IFERROR(VLOOKUP(V504,Assumptions!$A$8:$F$12,3,FALSE),3))+IF(Y504&lt;&gt;"",Y504,IFERROR(VLOOKUP(V504,Assumptions!$A$8:$F$12,4,FALSE),8))/2)</f>
        <v/>
      </c>
      <c r="AB504" s="24">
        <f>U504*Z504/(1+Assumptions!$B$3)^AA504</f>
        <v/>
      </c>
      <c r="AC504" s="27">
        <f>IF(U504=0,"",ROUND(AB504/U504*100,1))</f>
        <v/>
      </c>
      <c r="AD504" s="29">
        <f>AB504*Assumptions!$B$4</f>
        <v/>
      </c>
      <c r="AE504" s="27">
        <f>IF(U504=0,"",ROUND(AD504/U504*100,1))</f>
        <v/>
      </c>
      <c r="AF504" s="29">
        <f>AB504-AD504</f>
        <v/>
      </c>
      <c r="AG504" s="27">
        <f>IF(U504=0,"",ROUND((AB504-AD504)/U504*100,1))</f>
        <v/>
      </c>
      <c r="AH504" s="30" t="inlineStr">
        <is>
          <t>OK — totals reconciled</t>
        </is>
      </c>
      <c r="AI504" s="31" t="inlineStr">
        <is>
          <t>https://recuperacaojudicial.squarespace.com/s/RJ-Credimoveis-QGC-01082025.pdf</t>
        </is>
      </c>
      <c r="AJ504" s="30" t="inlineStr">
        <is>
          <t>p15 r30</t>
        </is>
      </c>
      <c r="AK504" s="30" t="inlineStr">
        <is>
          <t>p15: R$ 249.307,74</t>
        </is>
      </c>
      <c r="AL504" s="30" t="inlineStr">
        <is>
          <t>QGC (art. 18)</t>
        </is>
      </c>
      <c r="AM504" s="30" t="inlineStr">
        <is>
          <t>2026-01-28</t>
        </is>
      </c>
      <c r="AN504" s="30" t="inlineStr">
        <is>
          <t>NONE FOUND</t>
        </is>
      </c>
      <c r="AO504" s="32" t="inlineStr">
        <is>
          <t>0007565-40.2020.8.17.2370</t>
        </is>
      </c>
      <c r="AP504" s="32" t="inlineStr">
        <is>
          <t>TJPE</t>
        </is>
      </c>
      <c r="AQ504" s="32" t="inlineStr">
        <is>
          <t>Recuperação judicial</t>
        </is>
      </c>
      <c r="AR504" s="32" t="inlineStr">
        <is>
          <t>DataJud: no closure/falência movement</t>
        </is>
      </c>
      <c r="AS504" s="32" t="n">
        <v>2020</v>
      </c>
      <c r="AT504" s="32" t="inlineStr">
        <is>
          <t>6y since filing; plan not in our documents</t>
        </is>
      </c>
      <c r="AU504" s="32" t="inlineStr">
        <is>
          <t>09.930.165/0001-37</t>
        </is>
      </c>
      <c r="AV504" s="32" t="inlineStr">
        <is>
          <t>printed on the list (read twice)</t>
        </is>
      </c>
      <c r="AW504" s="32" t="inlineStr"/>
      <c r="AX504" s="32" t="inlineStr">
        <is>
          <t>PIMENTA BUENO</t>
        </is>
      </c>
      <c r="AY504" s="32" t="inlineStr">
        <is>
          <t>RO</t>
        </is>
      </c>
      <c r="AZ504" s="32" t="inlineStr">
        <is>
          <t>Comércio por atacado de peças e acessórios para motocicletas e motonetas</t>
        </is>
      </c>
      <c r="BA504" s="32" t="inlineStr">
        <is>
          <t>não ME/EPP</t>
        </is>
      </c>
      <c r="BB504" s="33" t="n">
        <v>13000000</v>
      </c>
      <c r="BC504" s="32" t="inlineStr">
        <is>
          <t>MID-MARKET</t>
        </is>
      </c>
      <c r="BD504" s="32" t="inlineStr">
        <is>
          <t>02513526</t>
        </is>
      </c>
      <c r="BE504" s="32" t="n">
        <v>1</v>
      </c>
      <c r="BF504" s="32" t="inlineStr"/>
    </row>
    <row r="505">
      <c r="A505" s="17" t="inlineStr">
        <is>
          <t>ITABOX INDUSTRIA E COMERCIO DE MOVEIS DE MADEIRA LTDA</t>
        </is>
      </c>
      <c r="B505" s="18" t="n">
        <v>456074.41</v>
      </c>
      <c r="C505" s="19" t="inlineStr">
        <is>
          <t>Mannes</t>
        </is>
      </c>
      <c r="D505" s="20" t="inlineStr">
        <is>
          <t>NEW</t>
        </is>
      </c>
      <c r="E505" s="21" t="inlineStr"/>
      <c r="F505" s="20" t="inlineStr"/>
      <c r="G505" s="21" t="inlineStr"/>
      <c r="H505" s="20" t="inlineStr"/>
      <c r="I505" s="22" t="inlineStr">
        <is>
          <t>RODOLFO ROHR</t>
        </is>
      </c>
      <c r="J505" s="23" t="inlineStr">
        <is>
          <t>Sócio-Administrador (RFB partner)</t>
        </is>
      </c>
      <c r="K505" s="22" t="inlineStr">
        <is>
          <t>(14) 3711-2222</t>
        </is>
      </c>
      <c r="L505" s="22" t="inlineStr"/>
      <c r="M505" s="22" t="inlineStr"/>
      <c r="N505" s="22" t="inlineStr"/>
      <c r="O505" s="22" t="inlineStr"/>
      <c r="P505" s="22" t="inlineStr">
        <is>
          <t>HEDERSON CAMARGO MANTOVANI</t>
        </is>
      </c>
      <c r="Q505" s="22" t="inlineStr">
        <is>
          <t>Administrador (RFB partner)</t>
        </is>
      </c>
      <c r="R505" s="22" t="inlineStr"/>
      <c r="S505" s="22" t="inlineStr"/>
      <c r="T505" s="22" t="inlineStr">
        <is>
          <t>DM = registered partner (RFB QSA); no Apollo match</t>
        </is>
      </c>
      <c r="U505" s="24" t="n">
        <v>456074.41</v>
      </c>
      <c r="V505" s="40" t="inlineStr">
        <is>
          <t>D</t>
        </is>
      </c>
      <c r="W505" s="26" t="inlineStr"/>
      <c r="X505" s="27" t="inlineStr"/>
      <c r="Y505" s="27" t="inlineStr"/>
      <c r="Z505" s="26">
        <f>IF(W505&lt;&gt;"",W505,IFERROR(VLOOKUP(V505,Assumptions!$A$8:$F$12,2,FALSE),0))</f>
        <v/>
      </c>
      <c r="AA505" s="28">
        <f>IF(V505="A",MAX(1,IF(X505&lt;&gt;"",X505,IFERROR(VLOOKUP(V505,Assumptions!$A$8:$F$12,3,FALSE),3))+IF(Y505&lt;&gt;"",Y505,IFERROR(VLOOKUP(V505,Assumptions!$A$8:$F$12,4,FALSE),8))/2-MAX(0,IF(AS505="",0,YEAR(TODAY())-AS505)-IFERROR(VLOOKUP(V505,Assumptions!$A$8:$F$12,5,FALSE),1.5))),IFERROR(VLOOKUP(V505,Assumptions!$A$8:$F$12,5,FALSE),2.5)+IF(X505&lt;&gt;"",X505,IFERROR(VLOOKUP(V505,Assumptions!$A$8:$F$12,3,FALSE),3))+IF(Y505&lt;&gt;"",Y505,IFERROR(VLOOKUP(V505,Assumptions!$A$8:$F$12,4,FALSE),8))/2)</f>
        <v/>
      </c>
      <c r="AB505" s="24">
        <f>U505*Z505/(1+Assumptions!$B$3)^AA505</f>
        <v/>
      </c>
      <c r="AC505" s="27">
        <f>IF(U505=0,"",ROUND(AB505/U505*100,1))</f>
        <v/>
      </c>
      <c r="AD505" s="29">
        <f>AB505*Assumptions!$B$4</f>
        <v/>
      </c>
      <c r="AE505" s="27">
        <f>IF(U505=0,"",ROUND(AD505/U505*100,1))</f>
        <v/>
      </c>
      <c r="AF505" s="29">
        <f>AB505-AD505</f>
        <v/>
      </c>
      <c r="AG505" s="27">
        <f>IF(U505=0,"",ROUND((AB505-AD505)/U505*100,1))</f>
        <v/>
      </c>
      <c r="AH505" s="36" t="inlineStr">
        <is>
          <t>CHECK — source is not a statutory creditor list</t>
        </is>
      </c>
      <c r="AI505" s="31" t="inlineStr">
        <is>
          <t>https://administradorajudicialgs.com.br/wp-content/uploads/2024/12/relacao-de-credores-da-falida.pdf</t>
        </is>
      </c>
      <c r="AJ505" s="30" t="inlineStr">
        <is>
          <t>p15 r38</t>
        </is>
      </c>
      <c r="AK505" s="30" t="inlineStr">
        <is>
          <t>p15: R$ 456.074,41</t>
        </is>
      </c>
      <c r="AL505" s="30" t="inlineStr">
        <is>
          <t>Other filing — NOT an art. 7/51 list</t>
        </is>
      </c>
      <c r="AM505" s="30" t="inlineStr">
        <is>
          <t>2025-03-25</t>
        </is>
      </c>
      <c r="AN505" s="30" t="inlineStr">
        <is>
          <t>NONE FOUND</t>
        </is>
      </c>
      <c r="AO505" s="32" t="inlineStr">
        <is>
          <t>0005010-50.2013.8.24.0026</t>
        </is>
      </c>
      <c r="AP505" s="32" t="inlineStr">
        <is>
          <t>TJSC</t>
        </is>
      </c>
      <c r="AQ505" s="32" t="inlineStr">
        <is>
          <t>Falência</t>
        </is>
      </c>
      <c r="AR505" s="32" t="inlineStr">
        <is>
          <t>not in DataJud</t>
        </is>
      </c>
      <c r="AS505" s="32" t="n">
        <v>2013</v>
      </c>
      <c r="AT505" s="32" t="inlineStr">
        <is>
          <t>falência proceeding (list/name says falida)</t>
        </is>
      </c>
      <c r="AU505" s="32" t="inlineStr"/>
      <c r="AV505" s="32" t="inlineStr">
        <is>
          <t>printed on the list (read twice)</t>
        </is>
      </c>
      <c r="AW505" s="32" t="inlineStr"/>
      <c r="AX505" s="32" t="inlineStr">
        <is>
          <t>ITAPETININGA</t>
        </is>
      </c>
      <c r="AY505" s="32" t="inlineStr">
        <is>
          <t>SP</t>
        </is>
      </c>
      <c r="AZ505" s="32" t="inlineStr">
        <is>
          <t>Fabricação de móveis com predominância de madeira</t>
        </is>
      </c>
      <c r="BA505" s="32" t="inlineStr">
        <is>
          <t>não ME/EPP</t>
        </is>
      </c>
      <c r="BB505" s="33" t="n">
        <v>1000000</v>
      </c>
      <c r="BC505" s="32" t="inlineStr">
        <is>
          <t>MID-MARKET</t>
        </is>
      </c>
      <c r="BD505" s="32" t="inlineStr">
        <is>
          <t>11679253</t>
        </is>
      </c>
      <c r="BE505" s="32" t="n">
        <v>1</v>
      </c>
      <c r="BF505" s="32" t="inlineStr">
        <is>
          <t>list prints no totals case no. corrected by reader</t>
        </is>
      </c>
    </row>
    <row r="506">
      <c r="A506" s="17" t="inlineStr">
        <is>
          <t>BASF SA</t>
        </is>
      </c>
      <c r="B506" s="18" t="n">
        <v>455966.74</v>
      </c>
      <c r="C506" s="19" t="inlineStr">
        <is>
          <t>Mannes</t>
        </is>
      </c>
      <c r="D506" s="20" t="inlineStr">
        <is>
          <t>NEW</t>
        </is>
      </c>
      <c r="E506" s="21" t="inlineStr"/>
      <c r="F506" s="20" t="inlineStr"/>
      <c r="G506" s="21" t="inlineStr"/>
      <c r="H506" s="20" t="inlineStr"/>
      <c r="I506" s="22" t="inlineStr">
        <is>
          <t>PRISCILA CAMARA LEAL CARVALHO DE SOUZA</t>
        </is>
      </c>
      <c r="J506" s="23" t="inlineStr">
        <is>
          <t>Presidente (RFB partner)</t>
        </is>
      </c>
      <c r="K506" s="22" t="inlineStr">
        <is>
          <t>(11) 2039-2273</t>
        </is>
      </c>
      <c r="L506" s="22" t="inlineStr"/>
      <c r="M506" s="22" t="inlineStr"/>
      <c r="N506" s="22" t="inlineStr"/>
      <c r="O506" s="22" t="inlineStr"/>
      <c r="P506" s="22" t="inlineStr">
        <is>
          <t>FERNANDO SVIZZERO DA SILVA LOBO</t>
        </is>
      </c>
      <c r="Q506" s="22" t="inlineStr">
        <is>
          <t>Diretor (RFB partner)</t>
        </is>
      </c>
      <c r="R506" s="22" t="inlineStr"/>
      <c r="S506" s="22" t="inlineStr"/>
      <c r="T506" s="22" t="inlineStr">
        <is>
          <t>DM = registered partner (RFB QSA); no Apollo match</t>
        </is>
      </c>
      <c r="U506" s="24" t="n">
        <v>455966.74</v>
      </c>
      <c r="V506" s="40" t="inlineStr">
        <is>
          <t>D</t>
        </is>
      </c>
      <c r="W506" s="26" t="inlineStr"/>
      <c r="X506" s="27" t="inlineStr"/>
      <c r="Y506" s="27" t="inlineStr"/>
      <c r="Z506" s="26">
        <f>IF(W506&lt;&gt;"",W506,IFERROR(VLOOKUP(V506,Assumptions!$A$8:$F$12,2,FALSE),0))</f>
        <v/>
      </c>
      <c r="AA506" s="28">
        <f>IF(V506="A",MAX(1,IF(X506&lt;&gt;"",X506,IFERROR(VLOOKUP(V506,Assumptions!$A$8:$F$12,3,FALSE),3))+IF(Y506&lt;&gt;"",Y506,IFERROR(VLOOKUP(V506,Assumptions!$A$8:$F$12,4,FALSE),8))/2-MAX(0,IF(AS506="",0,YEAR(TODAY())-AS506)-IFERROR(VLOOKUP(V506,Assumptions!$A$8:$F$12,5,FALSE),1.5))),IFERROR(VLOOKUP(V506,Assumptions!$A$8:$F$12,5,FALSE),2.5)+IF(X506&lt;&gt;"",X506,IFERROR(VLOOKUP(V506,Assumptions!$A$8:$F$12,3,FALSE),3))+IF(Y506&lt;&gt;"",Y506,IFERROR(VLOOKUP(V506,Assumptions!$A$8:$F$12,4,FALSE),8))/2)</f>
        <v/>
      </c>
      <c r="AB506" s="24">
        <f>U506*Z506/(1+Assumptions!$B$3)^AA506</f>
        <v/>
      </c>
      <c r="AC506" s="27">
        <f>IF(U506=0,"",ROUND(AB506/U506*100,1))</f>
        <v/>
      </c>
      <c r="AD506" s="29">
        <f>AB506*Assumptions!$B$4</f>
        <v/>
      </c>
      <c r="AE506" s="27">
        <f>IF(U506=0,"",ROUND(AD506/U506*100,1))</f>
        <v/>
      </c>
      <c r="AF506" s="29">
        <f>AB506-AD506</f>
        <v/>
      </c>
      <c r="AG506" s="27">
        <f>IF(U506=0,"",ROUND((AB506-AD506)/U506*100,1))</f>
        <v/>
      </c>
      <c r="AH506" s="36" t="inlineStr">
        <is>
          <t>CHECK — source is not a statutory creditor list</t>
        </is>
      </c>
      <c r="AI506" s="31" t="inlineStr">
        <is>
          <t>https://administradorajudicialgs.com.br/wp-content/uploads/2024/12/relacao-de-credores-da-falida.pdf</t>
        </is>
      </c>
      <c r="AJ506" s="30" t="inlineStr">
        <is>
          <t>p13 r14</t>
        </is>
      </c>
      <c r="AK506" s="30" t="inlineStr">
        <is>
          <t>p13: R$ 455.966,74</t>
        </is>
      </c>
      <c r="AL506" s="30" t="inlineStr">
        <is>
          <t>Other filing — NOT an art. 7/51 list</t>
        </is>
      </c>
      <c r="AM506" s="30" t="inlineStr">
        <is>
          <t>2025-03-25</t>
        </is>
      </c>
      <c r="AN506" s="30" t="inlineStr">
        <is>
          <t>NONE FOUND</t>
        </is>
      </c>
      <c r="AO506" s="32" t="inlineStr">
        <is>
          <t>0005010-50.2013.8.24.0026</t>
        </is>
      </c>
      <c r="AP506" s="32" t="inlineStr">
        <is>
          <t>TJSC</t>
        </is>
      </c>
      <c r="AQ506" s="32" t="inlineStr">
        <is>
          <t>Falência</t>
        </is>
      </c>
      <c r="AR506" s="32" t="inlineStr">
        <is>
          <t>not in DataJud</t>
        </is>
      </c>
      <c r="AS506" s="32" t="n">
        <v>2013</v>
      </c>
      <c r="AT506" s="32" t="inlineStr">
        <is>
          <t>falência proceeding (list/name says falida)</t>
        </is>
      </c>
      <c r="AU506" s="32" t="inlineStr"/>
      <c r="AV506" s="32" t="inlineStr">
        <is>
          <t>printed on the list (read twice)</t>
        </is>
      </c>
      <c r="AW506" s="32" t="inlineStr"/>
      <c r="AX506" s="32" t="inlineStr">
        <is>
          <t>SAO PAULO</t>
        </is>
      </c>
      <c r="AY506" s="32" t="inlineStr">
        <is>
          <t>SP</t>
        </is>
      </c>
      <c r="AZ506" s="32" t="inlineStr">
        <is>
          <t>Serviços combinados de escritório e apoio administrativo</t>
        </is>
      </c>
      <c r="BA506" s="32" t="inlineStr">
        <is>
          <t>não ME/EPP</t>
        </is>
      </c>
      <c r="BB506" s="33" t="n">
        <v>3889965000</v>
      </c>
      <c r="BC506" s="32" t="inlineStr">
        <is>
          <t>LARGE CORP</t>
        </is>
      </c>
      <c r="BD506" s="32" t="inlineStr">
        <is>
          <t>48539407</t>
        </is>
      </c>
      <c r="BE506" s="32" t="n">
        <v>1</v>
      </c>
      <c r="BF506" s="32" t="inlineStr">
        <is>
          <t>list prints no totals case no. corrected by reader</t>
        </is>
      </c>
    </row>
    <row r="507">
      <c r="A507" s="17" t="inlineStr">
        <is>
          <t>TEXTILNOVA FIACAO LTDA EM RECUPERACAO JUDICIAL</t>
        </is>
      </c>
      <c r="B507" s="18" t="n">
        <v>248330.45</v>
      </c>
      <c r="C507" s="19" t="inlineStr">
        <is>
          <t>CONFECÇÕES ANDRIMALHAS LTDA</t>
        </is>
      </c>
      <c r="D507" s="20" t="inlineStr">
        <is>
          <t>NEW</t>
        </is>
      </c>
      <c r="E507" s="21" t="inlineStr"/>
      <c r="F507" s="20" t="inlineStr"/>
      <c r="G507" s="21" t="inlineStr"/>
      <c r="H507" s="20" t="inlineStr"/>
      <c r="I507" s="22" t="inlineStr">
        <is>
          <t>Fernanda Dutra</t>
        </is>
      </c>
      <c r="J507" s="22" t="inlineStr">
        <is>
          <t>Financial Analyst</t>
        </is>
      </c>
      <c r="K507" s="22" t="inlineStr">
        <is>
          <t>(35) 3551-5921</t>
        </is>
      </c>
      <c r="L507" s="22" t="inlineStr">
        <is>
          <t>(12) 9739-5397</t>
        </is>
      </c>
      <c r="M507" s="22" t="inlineStr"/>
      <c r="N507" s="22" t="inlineStr"/>
      <c r="O507" s="22" t="inlineStr"/>
      <c r="P507" s="22" t="inlineStr">
        <is>
          <t>Gianni Xisto</t>
        </is>
      </c>
      <c r="Q507" s="22" t="inlineStr">
        <is>
          <t>Coordinator</t>
        </is>
      </c>
      <c r="R507" s="22" t="inlineStr"/>
      <c r="S507" s="22" t="inlineStr">
        <is>
          <t>gianni@textilnova.com.br</t>
        </is>
      </c>
      <c r="T507" s="22" t="inlineStr">
        <is>
          <t>DM: DM (email unavailable); no work email in Apollo for DM; BACKUP: backup2 (verified email)</t>
        </is>
      </c>
      <c r="U507" s="24" t="n">
        <v>248330.45</v>
      </c>
      <c r="V507" s="39" t="inlineStr">
        <is>
          <t>C</t>
        </is>
      </c>
      <c r="W507" s="26" t="inlineStr"/>
      <c r="X507" s="27" t="inlineStr"/>
      <c r="Y507" s="27" t="inlineStr"/>
      <c r="Z507" s="26">
        <f>IF(W507&lt;&gt;"",W507,IFERROR(VLOOKUP(V507,Assumptions!$A$8:$F$12,2,FALSE),0))</f>
        <v/>
      </c>
      <c r="AA507" s="28">
        <f>IF(V507="A",MAX(1,IF(X507&lt;&gt;"",X507,IFERROR(VLOOKUP(V507,Assumptions!$A$8:$F$12,3,FALSE),3))+IF(Y507&lt;&gt;"",Y507,IFERROR(VLOOKUP(V507,Assumptions!$A$8:$F$12,4,FALSE),8))/2-MAX(0,IF(AS507="",0,YEAR(TODAY())-AS507)-IFERROR(VLOOKUP(V507,Assumptions!$A$8:$F$12,5,FALSE),1.5))),IFERROR(VLOOKUP(V507,Assumptions!$A$8:$F$12,5,FALSE),2.5)+IF(X507&lt;&gt;"",X507,IFERROR(VLOOKUP(V507,Assumptions!$A$8:$F$12,3,FALSE),3))+IF(Y507&lt;&gt;"",Y507,IFERROR(VLOOKUP(V507,Assumptions!$A$8:$F$12,4,FALSE),8))/2)</f>
        <v/>
      </c>
      <c r="AB507" s="24">
        <f>U507*Z507/(1+Assumptions!$B$3)^AA507</f>
        <v/>
      </c>
      <c r="AC507" s="27">
        <f>IF(U507=0,"",ROUND(AB507/U507*100,1))</f>
        <v/>
      </c>
      <c r="AD507" s="29">
        <f>AB507*Assumptions!$B$4</f>
        <v/>
      </c>
      <c r="AE507" s="27">
        <f>IF(U507=0,"",ROUND(AD507/U507*100,1))</f>
        <v/>
      </c>
      <c r="AF507" s="29">
        <f>AB507-AD507</f>
        <v/>
      </c>
      <c r="AG507" s="27">
        <f>IF(U507=0,"",ROUND((AB507-AD507)/U507*100,1))</f>
        <v/>
      </c>
      <c r="AH507" s="35" t="inlineStr">
        <is>
          <t>PARTIAL — class III reconciled, other classes not</t>
        </is>
      </c>
      <c r="AI507" s="31" t="inlineStr">
        <is>
          <t>https://administradorajudicialgs.com.br/wp-content/uploads/2023/08/doc-06-relacao-credores-do-administrador-judicial-10-02-2015.pdf</t>
        </is>
      </c>
      <c r="AJ507" s="30" t="inlineStr">
        <is>
          <t>p2 r44</t>
        </is>
      </c>
      <c r="AK507" s="30" t="inlineStr">
        <is>
          <t>p2: R$ 248.330,45</t>
        </is>
      </c>
      <c r="AL507" s="30" t="inlineStr">
        <is>
          <t>AJ list (art. 7 §2)</t>
        </is>
      </c>
      <c r="AM507" s="30" t="inlineStr"/>
      <c r="AN507" s="30" t="inlineStr">
        <is>
          <t>NONE FOUND</t>
        </is>
      </c>
      <c r="AO507" s="32" t="inlineStr">
        <is>
          <t>0302174-63.2015.8.24.0025</t>
        </is>
      </c>
      <c r="AP507" s="32" t="inlineStr">
        <is>
          <t>TJSC</t>
        </is>
      </c>
      <c r="AQ507" s="32" t="inlineStr">
        <is>
          <t>Recuperação judicial</t>
        </is>
      </c>
      <c r="AR507" s="32" t="inlineStr">
        <is>
          <t>not in DataJud</t>
        </is>
      </c>
      <c r="AS507" s="32" t="n">
        <v>2015</v>
      </c>
      <c r="AT507" s="32" t="inlineStr">
        <is>
          <t>11y since filing; plan not in our documents; case no. from the portal record, not printed on the list</t>
        </is>
      </c>
      <c r="AU507" s="32" t="inlineStr"/>
      <c r="AV507" s="32" t="inlineStr">
        <is>
          <t>printed on the list (read twice)</t>
        </is>
      </c>
      <c r="AW507" s="32" t="inlineStr"/>
      <c r="AX507" s="32" t="inlineStr">
        <is>
          <t>GUAXUPE</t>
        </is>
      </c>
      <c r="AY507" s="32" t="inlineStr">
        <is>
          <t>MG</t>
        </is>
      </c>
      <c r="AZ507" s="32" t="inlineStr">
        <is>
          <t>Preparação e fiação de fibras de algodão</t>
        </is>
      </c>
      <c r="BA507" s="32" t="inlineStr">
        <is>
          <t>não ME/EPP</t>
        </is>
      </c>
      <c r="BB507" s="33" t="n">
        <v>21377436</v>
      </c>
      <c r="BC507" s="32" t="inlineStr">
        <is>
          <t>MID-MARKET</t>
        </is>
      </c>
      <c r="BD507" s="32" t="inlineStr">
        <is>
          <t>60182904</t>
        </is>
      </c>
      <c r="BE507" s="32" t="n">
        <v>1</v>
      </c>
      <c r="BF507" s="32" t="inlineStr">
        <is>
          <t>class III reconciled (doc partial)</t>
        </is>
      </c>
    </row>
    <row r="508">
      <c r="A508" s="17" t="inlineStr">
        <is>
          <t>BELCAR CAMINHOES E MAQUINAS LTDA</t>
        </is>
      </c>
      <c r="B508" s="18" t="n">
        <v>277586.31</v>
      </c>
      <c r="C508" s="19" t="inlineStr">
        <is>
          <t>GRUPO 3E</t>
        </is>
      </c>
      <c r="D508" s="20" t="inlineStr">
        <is>
          <t>NEW</t>
        </is>
      </c>
      <c r="E508" s="21" t="inlineStr"/>
      <c r="F508" s="20" t="inlineStr"/>
      <c r="G508" s="21" t="inlineStr"/>
      <c r="H508" s="20" t="inlineStr"/>
      <c r="I508" s="22" t="inlineStr">
        <is>
          <t>FRANCO JOSE GEDDA</t>
        </is>
      </c>
      <c r="J508" s="23" t="inlineStr">
        <is>
          <t>Sócio-Administrador (RFB partner)</t>
        </is>
      </c>
      <c r="K508" s="22" t="inlineStr">
        <is>
          <t>(62) 3239-9600</t>
        </is>
      </c>
      <c r="L508" s="22" t="inlineStr"/>
      <c r="M508" s="22" t="inlineStr"/>
      <c r="N508" s="22" t="inlineStr"/>
      <c r="O508" s="22" t="inlineStr"/>
      <c r="P508" s="22" t="inlineStr">
        <is>
          <t>JOSE GEDDA NETO</t>
        </is>
      </c>
      <c r="Q508" s="22" t="inlineStr">
        <is>
          <t>Sócio-Administrador (RFB partner)</t>
        </is>
      </c>
      <c r="R508" s="22" t="inlineStr"/>
      <c r="S508" s="22" t="inlineStr"/>
      <c r="T508" s="22" t="inlineStr">
        <is>
          <t>DM = registered partner (RFB QSA); Apollo pick demoted to backup (non-finance role)</t>
        </is>
      </c>
      <c r="U508" s="24" t="n">
        <v>277586.31</v>
      </c>
      <c r="V508" s="25" t="inlineStr">
        <is>
          <t>B</t>
        </is>
      </c>
      <c r="W508" s="26" t="n">
        <v>0.12</v>
      </c>
      <c r="X508" s="27" t="n">
        <v>2</v>
      </c>
      <c r="Y508" s="27" t="n">
        <v>13</v>
      </c>
      <c r="Z508" s="26">
        <f>IF(W508&lt;&gt;"",W508,IFERROR(VLOOKUP(V508,Assumptions!$A$8:$F$12,2,FALSE),0))</f>
        <v/>
      </c>
      <c r="AA508" s="28">
        <f>IF(V508="A",MAX(1,IF(X508&lt;&gt;"",X508,IFERROR(VLOOKUP(V508,Assumptions!$A$8:$F$12,3,FALSE),3))+IF(Y508&lt;&gt;"",Y508,IFERROR(VLOOKUP(V508,Assumptions!$A$8:$F$12,4,FALSE),8))/2-MAX(0,IF(AS508="",0,YEAR(TODAY())-AS508)-IFERROR(VLOOKUP(V508,Assumptions!$A$8:$F$12,5,FALSE),1.5))),IFERROR(VLOOKUP(V508,Assumptions!$A$8:$F$12,5,FALSE),2.5)+IF(X508&lt;&gt;"",X508,IFERROR(VLOOKUP(V508,Assumptions!$A$8:$F$12,3,FALSE),3))+IF(Y508&lt;&gt;"",Y508,IFERROR(VLOOKUP(V508,Assumptions!$A$8:$F$12,4,FALSE),8))/2)</f>
        <v/>
      </c>
      <c r="AB508" s="24">
        <f>U508*Z508/(1+Assumptions!$B$3)^AA508</f>
        <v/>
      </c>
      <c r="AC508" s="27">
        <f>IF(U508=0,"",ROUND(AB508/U508*100,1))</f>
        <v/>
      </c>
      <c r="AD508" s="29">
        <f>AB508*Assumptions!$B$4</f>
        <v/>
      </c>
      <c r="AE508" s="27">
        <f>IF(U508=0,"",ROUND(AD508/U508*100,1))</f>
        <v/>
      </c>
      <c r="AF508" s="29">
        <f>AB508-AD508</f>
        <v/>
      </c>
      <c r="AG508" s="27">
        <f>IF(U508=0,"",ROUND((AB508-AD508)/U508*100,1))</f>
        <v/>
      </c>
      <c r="AH508" s="34" t="inlineStr">
        <is>
          <t>NO TOTALS — list prints none; check page</t>
        </is>
      </c>
      <c r="AI508" s="31" t="inlineStr">
        <is>
          <t>https://stenius.com.br/wp-content/uploads/2026/06/EDITAL-GRUPO-3E.pdf</t>
        </is>
      </c>
      <c r="AJ508" s="30" t="inlineStr">
        <is>
          <t>p10 r49</t>
        </is>
      </c>
      <c r="AK508" s="30" t="inlineStr">
        <is>
          <t>p10: R$ 277.586,31</t>
        </is>
      </c>
      <c r="AL508" s="30" t="inlineStr">
        <is>
          <t>Debtor list (art. 51)</t>
        </is>
      </c>
      <c r="AM508" s="30" t="inlineStr">
        <is>
          <t>2026-06-22</t>
        </is>
      </c>
      <c r="AN508" s="30" t="inlineStr">
        <is>
          <t>PLAN FILED (art. 53), not granted</t>
        </is>
      </c>
      <c r="AO508" s="32" t="inlineStr">
        <is>
          <t>5341375-33.2026.8.09.0049</t>
        </is>
      </c>
      <c r="AP508" s="32" t="inlineStr">
        <is>
          <t>TJGO</t>
        </is>
      </c>
      <c r="AQ508" s="32" t="inlineStr">
        <is>
          <t>Recuperação judicial</t>
        </is>
      </c>
      <c r="AR508" s="32" t="inlineStr">
        <is>
          <t>DataJud: no closure/falência movement</t>
        </is>
      </c>
      <c r="AS508" s="32" t="n">
        <v>2026</v>
      </c>
      <c r="AT508" s="32" t="inlineStr">
        <is>
          <t>plan filed (art. 53), not yet granted</t>
        </is>
      </c>
      <c r="AU508" s="32" t="inlineStr"/>
      <c r="AV508" s="32" t="inlineStr">
        <is>
          <t>printed on the list (read twice)</t>
        </is>
      </c>
      <c r="AW508" s="32" t="inlineStr">
        <is>
          <t>Plano de Recuperação Judicial Grupo 3E v2.0 (Métis), mov. 321, pp.24-25</t>
        </is>
      </c>
      <c r="AX508" s="32" t="inlineStr">
        <is>
          <t>GOIANIA</t>
        </is>
      </c>
      <c r="AY508" s="32" t="inlineStr">
        <is>
          <t>GO</t>
        </is>
      </c>
      <c r="AZ508" s="32" t="inlineStr">
        <is>
          <t>Comércio por atacado de caminhões novos e usados</t>
        </is>
      </c>
      <c r="BA508" s="32" t="inlineStr">
        <is>
          <t>não ME/EPP</t>
        </is>
      </c>
      <c r="BB508" s="33" t="n">
        <v>31000000</v>
      </c>
      <c r="BC508" s="32" t="inlineStr">
        <is>
          <t>MID-MARKET</t>
        </is>
      </c>
      <c r="BD508" s="32" t="inlineStr">
        <is>
          <t>02212918</t>
        </is>
      </c>
      <c r="BE508" s="32" t="n">
        <v>1</v>
      </c>
      <c r="BF508" s="32" t="inlineStr">
        <is>
          <t>list prints no totals</t>
        </is>
      </c>
    </row>
    <row r="509">
      <c r="A509" s="17" t="inlineStr">
        <is>
          <t>YELUM SEGUROS S.A</t>
        </is>
      </c>
      <c r="B509" s="18" t="n">
        <v>246954.81</v>
      </c>
      <c r="C509" s="19" t="inlineStr">
        <is>
          <t>TRANSLOCOMOTIVA TRANSPORTES RODOVIÁRIOS E DISTRIBUIÇÃO DE CARGAS LTDA.</t>
        </is>
      </c>
      <c r="D509" s="20" t="inlineStr">
        <is>
          <t>NEW</t>
        </is>
      </c>
      <c r="E509" s="21" t="inlineStr"/>
      <c r="F509" s="20" t="inlineStr"/>
      <c r="G509" s="21" t="inlineStr"/>
      <c r="H509" s="20" t="inlineStr"/>
      <c r="I509" s="22" t="inlineStr">
        <is>
          <t>Hamilton Ronqui</t>
        </is>
      </c>
      <c r="J509" s="22" t="inlineStr">
        <is>
          <t>Gerente Jurídico Corporativo</t>
        </is>
      </c>
      <c r="K509" s="22" t="inlineStr">
        <is>
          <t>(11) 2663-4200</t>
        </is>
      </c>
      <c r="L509" s="22" t="inlineStr"/>
      <c r="M509" s="22" t="inlineStr"/>
      <c r="N509" s="22" t="inlineStr"/>
      <c r="O509" s="22" t="inlineStr"/>
      <c r="P509" s="22" t="inlineStr">
        <is>
          <t>EDUARDO STEFANELLO DAL RI</t>
        </is>
      </c>
      <c r="Q509" s="22" t="inlineStr">
        <is>
          <t>Presidente (RFB partner)</t>
        </is>
      </c>
      <c r="R509" s="22" t="inlineStr"/>
      <c r="S509" s="22" t="inlineStr"/>
      <c r="T509" s="22" t="inlineStr">
        <is>
          <t>DM: DM email unavailable; no work email in Apollo for DM</t>
        </is>
      </c>
      <c r="U509" s="24" t="n">
        <v>246954.81</v>
      </c>
      <c r="V509" s="39" t="inlineStr">
        <is>
          <t>C</t>
        </is>
      </c>
      <c r="W509" s="26" t="inlineStr"/>
      <c r="X509" s="27" t="inlineStr"/>
      <c r="Y509" s="27" t="inlineStr"/>
      <c r="Z509" s="26">
        <f>IF(W509&lt;&gt;"",W509,IFERROR(VLOOKUP(V509,Assumptions!$A$8:$F$12,2,FALSE),0))</f>
        <v/>
      </c>
      <c r="AA509" s="28">
        <f>IF(V509="A",MAX(1,IF(X509&lt;&gt;"",X509,IFERROR(VLOOKUP(V509,Assumptions!$A$8:$F$12,3,FALSE),3))+IF(Y509&lt;&gt;"",Y509,IFERROR(VLOOKUP(V509,Assumptions!$A$8:$F$12,4,FALSE),8))/2-MAX(0,IF(AS509="",0,YEAR(TODAY())-AS509)-IFERROR(VLOOKUP(V509,Assumptions!$A$8:$F$12,5,FALSE),1.5))),IFERROR(VLOOKUP(V509,Assumptions!$A$8:$F$12,5,FALSE),2.5)+IF(X509&lt;&gt;"",X509,IFERROR(VLOOKUP(V509,Assumptions!$A$8:$F$12,3,FALSE),3))+IF(Y509&lt;&gt;"",Y509,IFERROR(VLOOKUP(V509,Assumptions!$A$8:$F$12,4,FALSE),8))/2)</f>
        <v/>
      </c>
      <c r="AB509" s="24">
        <f>U509*Z509/(1+Assumptions!$B$3)^AA509</f>
        <v/>
      </c>
      <c r="AC509" s="27">
        <f>IF(U509=0,"",ROUND(AB509/U509*100,1))</f>
        <v/>
      </c>
      <c r="AD509" s="29">
        <f>AB509*Assumptions!$B$4</f>
        <v/>
      </c>
      <c r="AE509" s="27">
        <f>IF(U509=0,"",ROUND(AD509/U509*100,1))</f>
        <v/>
      </c>
      <c r="AF509" s="29">
        <f>AB509-AD509</f>
        <v/>
      </c>
      <c r="AG509" s="27">
        <f>IF(U509=0,"",ROUND((AB509-AD509)/U509*100,1))</f>
        <v/>
      </c>
      <c r="AH509" s="34" t="inlineStr">
        <is>
          <t>NO TOTALS — list prints none; check page</t>
        </is>
      </c>
      <c r="AI509" s="31" t="inlineStr">
        <is>
          <t>https://ativosajce.com.br/admin/download.php?file=files/processo_documento/processo_documento18430011062025_1_.pdf&amp;nome=Relação de Credores - Art. 52º § 1º, da Lei nº 11.101/2005 - 13/08/2020</t>
        </is>
      </c>
      <c r="AJ509" s="30" t="inlineStr">
        <is>
          <t>p3 r13</t>
        </is>
      </c>
      <c r="AK509" s="30" t="inlineStr">
        <is>
          <t>p3: R$ 246.954,81</t>
        </is>
      </c>
      <c r="AL509" s="30" t="inlineStr">
        <is>
          <t>AJ list (art. 7 §2)</t>
        </is>
      </c>
      <c r="AM509" s="30" t="inlineStr">
        <is>
          <t>2020-07-19</t>
        </is>
      </c>
      <c r="AN509" s="30" t="inlineStr">
        <is>
          <t>NONE FOUND</t>
        </is>
      </c>
      <c r="AO509" s="32" t="inlineStr">
        <is>
          <t>1000117-72.2020.8.26.0260</t>
        </is>
      </c>
      <c r="AP509" s="32" t="inlineStr">
        <is>
          <t>TJSP</t>
        </is>
      </c>
      <c r="AQ509" s="32" t="inlineStr">
        <is>
          <t>Recuperação judicial</t>
        </is>
      </c>
      <c r="AR509" s="32" t="inlineStr">
        <is>
          <t>DataJud: no closure/falência movement</t>
        </is>
      </c>
      <c r="AS509" s="32" t="n">
        <v>2020</v>
      </c>
      <c r="AT509" s="32" t="inlineStr">
        <is>
          <t>6y since filing; plan not in our documents; case no. from the portal record, not printed on the list</t>
        </is>
      </c>
      <c r="AU509" s="32" t="inlineStr"/>
      <c r="AV509" s="32" t="inlineStr">
        <is>
          <t>printed on the list (read twice)</t>
        </is>
      </c>
      <c r="AW509" s="32" t="inlineStr"/>
      <c r="AX509" s="32" t="inlineStr">
        <is>
          <t>SAO PAULO</t>
        </is>
      </c>
      <c r="AY509" s="32" t="inlineStr">
        <is>
          <t>SP</t>
        </is>
      </c>
      <c r="AZ509" s="32" t="inlineStr">
        <is>
          <t>Sociedade seguradora de seguros não vida</t>
        </is>
      </c>
      <c r="BA509" s="32" t="inlineStr">
        <is>
          <t>não ME/EPP</t>
        </is>
      </c>
      <c r="BB509" s="33" t="n">
        <v>819703740</v>
      </c>
      <c r="BC509" s="32" t="inlineStr">
        <is>
          <t>LARGE CORP</t>
        </is>
      </c>
      <c r="BD509" s="32" t="inlineStr">
        <is>
          <t>61550141</t>
        </is>
      </c>
      <c r="BE509" s="32" t="n">
        <v>1</v>
      </c>
      <c r="BF509" s="32" t="inlineStr">
        <is>
          <t>list prints no totals</t>
        </is>
      </c>
    </row>
    <row r="510">
      <c r="A510" s="17" t="inlineStr">
        <is>
          <t>GPS EMPREENDIMENTOS LTDA - EM RECUPERACAO JUDICIAL</t>
        </is>
      </c>
      <c r="B510" s="18" t="n">
        <v>245892.54</v>
      </c>
      <c r="C510" s="19" t="inlineStr">
        <is>
          <t>GRUPO ARNON DE MELLO</t>
        </is>
      </c>
      <c r="D510" s="20" t="inlineStr">
        <is>
          <t>NEW</t>
        </is>
      </c>
      <c r="E510" s="21" t="inlineStr"/>
      <c r="F510" s="20" t="inlineStr"/>
      <c r="G510" s="21" t="inlineStr"/>
      <c r="H510" s="20" t="inlineStr"/>
      <c r="I510" s="22" t="inlineStr">
        <is>
          <t>Flavinha Gps1</t>
        </is>
      </c>
      <c r="J510" s="22" t="inlineStr">
        <is>
          <t>Assistente Adm/Financeiro</t>
        </is>
      </c>
      <c r="K510" s="22" t="inlineStr">
        <is>
          <t>(82) 3377-1300</t>
        </is>
      </c>
      <c r="L510" s="22" t="inlineStr"/>
      <c r="M510" s="22" t="inlineStr"/>
      <c r="N510" s="22" t="inlineStr"/>
      <c r="O510" s="22" t="inlineStr"/>
      <c r="P510" s="22" t="inlineStr">
        <is>
          <t>CIRO STENIO PORTO</t>
        </is>
      </c>
      <c r="Q510" s="22" t="inlineStr">
        <is>
          <t>Sócio-Administrador (RFB partner)</t>
        </is>
      </c>
      <c r="R510" s="22" t="inlineStr"/>
      <c r="S510" s="22" t="inlineStr"/>
      <c r="T510" s="22" t="inlineStr">
        <is>
          <t>DM: DM by default (only admin/finance person; email unavailable); no work email in Apollo for DM</t>
        </is>
      </c>
      <c r="U510" s="24" t="n">
        <v>245892.54</v>
      </c>
      <c r="V510" s="39" t="inlineStr">
        <is>
          <t>C</t>
        </is>
      </c>
      <c r="W510" s="26" t="inlineStr"/>
      <c r="X510" s="27" t="inlineStr"/>
      <c r="Y510" s="27" t="inlineStr"/>
      <c r="Z510" s="26">
        <f>IF(W510&lt;&gt;"",W510,IFERROR(VLOOKUP(V510,Assumptions!$A$8:$F$12,2,FALSE),0))</f>
        <v/>
      </c>
      <c r="AA510" s="28">
        <f>IF(V510="A",MAX(1,IF(X510&lt;&gt;"",X510,IFERROR(VLOOKUP(V510,Assumptions!$A$8:$F$12,3,FALSE),3))+IF(Y510&lt;&gt;"",Y510,IFERROR(VLOOKUP(V510,Assumptions!$A$8:$F$12,4,FALSE),8))/2-MAX(0,IF(AS510="",0,YEAR(TODAY())-AS510)-IFERROR(VLOOKUP(V510,Assumptions!$A$8:$F$12,5,FALSE),1.5))),IFERROR(VLOOKUP(V510,Assumptions!$A$8:$F$12,5,FALSE),2.5)+IF(X510&lt;&gt;"",X510,IFERROR(VLOOKUP(V510,Assumptions!$A$8:$F$12,3,FALSE),3))+IF(Y510&lt;&gt;"",Y510,IFERROR(VLOOKUP(V510,Assumptions!$A$8:$F$12,4,FALSE),8))/2)</f>
        <v/>
      </c>
      <c r="AB510" s="24">
        <f>U510*Z510/(1+Assumptions!$B$3)^AA510</f>
        <v/>
      </c>
      <c r="AC510" s="27">
        <f>IF(U510=0,"",ROUND(AB510/U510*100,1))</f>
        <v/>
      </c>
      <c r="AD510" s="29">
        <f>AB510*Assumptions!$B$4</f>
        <v/>
      </c>
      <c r="AE510" s="27">
        <f>IF(U510=0,"",ROUND(AD510/U510*100,1))</f>
        <v/>
      </c>
      <c r="AF510" s="29">
        <f>AB510-AD510</f>
        <v/>
      </c>
      <c r="AG510" s="27">
        <f>IF(U510=0,"",ROUND((AB510-AD510)/U510*100,1))</f>
        <v/>
      </c>
      <c r="AH510" s="34" t="inlineStr">
        <is>
          <t>NO TOTALS — list prints none; check page</t>
        </is>
      </c>
      <c r="AI510" s="31" t="inlineStr">
        <is>
          <t>https://recuperacaojudicial.squarespace.com/s/RJ-Grupo-Arnon-de-Melo-Lista-de-Credores-Consolidada-abril-2022.pdf</t>
        </is>
      </c>
      <c r="AJ510" s="30" t="inlineStr">
        <is>
          <t>p8 r17</t>
        </is>
      </c>
      <c r="AK510" s="30" t="inlineStr">
        <is>
          <t>p8: R$ 245.892,54</t>
        </is>
      </c>
      <c r="AL510" s="30" t="inlineStr">
        <is>
          <t>AJ list (art. 7 §2)</t>
        </is>
      </c>
      <c r="AM510" s="30" t="inlineStr"/>
      <c r="AN510" s="30" t="inlineStr">
        <is>
          <t>NONE FOUND</t>
        </is>
      </c>
      <c r="AO510" s="32" t="inlineStr">
        <is>
          <t>0700256-03.2019.8.02.0066</t>
        </is>
      </c>
      <c r="AP510" s="32" t="inlineStr">
        <is>
          <t>TJAL</t>
        </is>
      </c>
      <c r="AQ510" s="32" t="inlineStr">
        <is>
          <t>Recuperação judicial</t>
        </is>
      </c>
      <c r="AR510" s="32" t="inlineStr">
        <is>
          <t>not in DataJud</t>
        </is>
      </c>
      <c r="AS510" s="32" t="n">
        <v>2019</v>
      </c>
      <c r="AT510" s="32" t="inlineStr">
        <is>
          <t>7y since filing; plan not in our documents</t>
        </is>
      </c>
      <c r="AU510" s="32" t="inlineStr">
        <is>
          <t>12.503.801/0001-59</t>
        </is>
      </c>
      <c r="AV510" s="32" t="inlineStr">
        <is>
          <t>printed on the list (read twice)</t>
        </is>
      </c>
      <c r="AW510" s="32" t="inlineStr"/>
      <c r="AX510" s="32" t="inlineStr">
        <is>
          <t>MACEIO</t>
        </is>
      </c>
      <c r="AY510" s="32" t="inlineStr">
        <is>
          <t>AL</t>
        </is>
      </c>
      <c r="AZ510" s="32" t="inlineStr">
        <is>
          <t>Construção de edifícios</t>
        </is>
      </c>
      <c r="BA510" s="32" t="inlineStr">
        <is>
          <t>EMPRESA DE PEQUENO PORTE</t>
        </is>
      </c>
      <c r="BB510" s="33" t="n">
        <v>7050000</v>
      </c>
      <c r="BC510" s="32" t="inlineStr">
        <is>
          <t>SMALL</t>
        </is>
      </c>
      <c r="BD510" s="32" t="inlineStr">
        <is>
          <t>02339308</t>
        </is>
      </c>
      <c r="BE510" s="32" t="n">
        <v>1</v>
      </c>
      <c r="BF510" s="32" t="inlineStr">
        <is>
          <t>list prints no totals</t>
        </is>
      </c>
    </row>
    <row r="511">
      <c r="A511" s="17" t="inlineStr">
        <is>
          <t>CONSTRUTORA HUMBERTO LOBO LTDA EM RECUPERACAO JUDICIAL</t>
        </is>
      </c>
      <c r="B511" s="18" t="n">
        <v>244838.03</v>
      </c>
      <c r="C511" s="19" t="inlineStr">
        <is>
          <t>GRUPO ARNON DE MELLO</t>
        </is>
      </c>
      <c r="D511" s="20" t="inlineStr">
        <is>
          <t>NEW</t>
        </is>
      </c>
      <c r="E511" s="21" t="inlineStr"/>
      <c r="F511" s="20" t="inlineStr"/>
      <c r="G511" s="21" t="inlineStr"/>
      <c r="H511" s="20" t="inlineStr"/>
      <c r="I511" s="22" t="inlineStr">
        <is>
          <t>Ilka Lobo</t>
        </is>
      </c>
      <c r="J511" s="22" t="inlineStr">
        <is>
          <t>Financial Manager</t>
        </is>
      </c>
      <c r="K511" s="22" t="inlineStr">
        <is>
          <t>(82) 3241-3599</t>
        </is>
      </c>
      <c r="L511" s="22" t="inlineStr"/>
      <c r="M511" s="22" t="inlineStr"/>
      <c r="N511" s="22" t="inlineStr">
        <is>
          <t>ilka@humbertolobo.com.br</t>
        </is>
      </c>
      <c r="O511" s="22" t="inlineStr">
        <is>
          <t>verified</t>
        </is>
      </c>
      <c r="P511" s="22" t="inlineStr">
        <is>
          <t>JOSE HUMBERTO ROCHA LOBO</t>
        </is>
      </c>
      <c r="Q511" s="22" t="inlineStr">
        <is>
          <t>Sócio-Administrador (RFB partner)</t>
        </is>
      </c>
      <c r="R511" s="22" t="inlineStr"/>
      <c r="S511" s="22" t="inlineStr"/>
      <c r="T511" s="22" t="inlineStr">
        <is>
          <t>DM: DM verified email</t>
        </is>
      </c>
      <c r="U511" s="24" t="n">
        <v>244838.03</v>
      </c>
      <c r="V511" s="39" t="inlineStr">
        <is>
          <t>C</t>
        </is>
      </c>
      <c r="W511" s="26" t="inlineStr"/>
      <c r="X511" s="27" t="inlineStr"/>
      <c r="Y511" s="27" t="inlineStr"/>
      <c r="Z511" s="26">
        <f>IF(W511&lt;&gt;"",W511,IFERROR(VLOOKUP(V511,Assumptions!$A$8:$F$12,2,FALSE),0))</f>
        <v/>
      </c>
      <c r="AA511" s="28">
        <f>IF(V511="A",MAX(1,IF(X511&lt;&gt;"",X511,IFERROR(VLOOKUP(V511,Assumptions!$A$8:$F$12,3,FALSE),3))+IF(Y511&lt;&gt;"",Y511,IFERROR(VLOOKUP(V511,Assumptions!$A$8:$F$12,4,FALSE),8))/2-MAX(0,IF(AS511="",0,YEAR(TODAY())-AS511)-IFERROR(VLOOKUP(V511,Assumptions!$A$8:$F$12,5,FALSE),1.5))),IFERROR(VLOOKUP(V511,Assumptions!$A$8:$F$12,5,FALSE),2.5)+IF(X511&lt;&gt;"",X511,IFERROR(VLOOKUP(V511,Assumptions!$A$8:$F$12,3,FALSE),3))+IF(Y511&lt;&gt;"",Y511,IFERROR(VLOOKUP(V511,Assumptions!$A$8:$F$12,4,FALSE),8))/2)</f>
        <v/>
      </c>
      <c r="AB511" s="24">
        <f>U511*Z511/(1+Assumptions!$B$3)^AA511</f>
        <v/>
      </c>
      <c r="AC511" s="27">
        <f>IF(U511=0,"",ROUND(AB511/U511*100,1))</f>
        <v/>
      </c>
      <c r="AD511" s="29">
        <f>AB511*Assumptions!$B$4</f>
        <v/>
      </c>
      <c r="AE511" s="27">
        <f>IF(U511=0,"",ROUND(AD511/U511*100,1))</f>
        <v/>
      </c>
      <c r="AF511" s="29">
        <f>AB511-AD511</f>
        <v/>
      </c>
      <c r="AG511" s="27">
        <f>IF(U511=0,"",ROUND((AB511-AD511)/U511*100,1))</f>
        <v/>
      </c>
      <c r="AH511" s="34" t="inlineStr">
        <is>
          <t>NO TOTALS — list prints none; check page</t>
        </is>
      </c>
      <c r="AI511" s="31" t="inlineStr">
        <is>
          <t>https://recuperacaojudicial.squarespace.com/s/RJ-Grupo-Arnon-de-Melo-Lista-de-Credores-Consolidada-abril-2022.pdf</t>
        </is>
      </c>
      <c r="AJ511" s="30" t="inlineStr">
        <is>
          <t>p7 r52</t>
        </is>
      </c>
      <c r="AK511" s="30" t="inlineStr">
        <is>
          <t>p7: R$ 244.838,03</t>
        </is>
      </c>
      <c r="AL511" s="30" t="inlineStr">
        <is>
          <t>AJ list (art. 7 §2)</t>
        </is>
      </c>
      <c r="AM511" s="30" t="inlineStr"/>
      <c r="AN511" s="30" t="inlineStr">
        <is>
          <t>NONE FOUND</t>
        </is>
      </c>
      <c r="AO511" s="32" t="inlineStr">
        <is>
          <t>0700256-03.2019.8.02.0066</t>
        </is>
      </c>
      <c r="AP511" s="32" t="inlineStr">
        <is>
          <t>TJAL</t>
        </is>
      </c>
      <c r="AQ511" s="32" t="inlineStr">
        <is>
          <t>Recuperação judicial</t>
        </is>
      </c>
      <c r="AR511" s="32" t="inlineStr">
        <is>
          <t>not in DataJud</t>
        </is>
      </c>
      <c r="AS511" s="32" t="n">
        <v>2019</v>
      </c>
      <c r="AT511" s="32" t="inlineStr">
        <is>
          <t>7y since filing; plan not in our documents</t>
        </is>
      </c>
      <c r="AU511" s="32" t="inlineStr">
        <is>
          <t>12.503.801/0001-59</t>
        </is>
      </c>
      <c r="AV511" s="32" t="inlineStr">
        <is>
          <t>printed on the list (read twice)</t>
        </is>
      </c>
      <c r="AW511" s="32" t="inlineStr"/>
      <c r="AX511" s="32" t="inlineStr">
        <is>
          <t>MACEIO</t>
        </is>
      </c>
      <c r="AY511" s="32" t="inlineStr">
        <is>
          <t>AL</t>
        </is>
      </c>
      <c r="AZ511" s="32" t="inlineStr">
        <is>
          <t>Construção de edifícios</t>
        </is>
      </c>
      <c r="BA511" s="32" t="inlineStr">
        <is>
          <t>não ME/EPP</t>
        </is>
      </c>
      <c r="BB511" s="33" t="n">
        <v>20000000</v>
      </c>
      <c r="BC511" s="32" t="inlineStr">
        <is>
          <t>MID-MARKET</t>
        </is>
      </c>
      <c r="BD511" s="32" t="inlineStr">
        <is>
          <t>12286944</t>
        </is>
      </c>
      <c r="BE511" s="32" t="n">
        <v>1</v>
      </c>
      <c r="BF511" s="32" t="inlineStr">
        <is>
          <t>list prints no totals</t>
        </is>
      </c>
    </row>
    <row r="512">
      <c r="A512" s="17" t="inlineStr">
        <is>
          <t>TRISOFT MANTAS DE POLIESTER LTDA.</t>
        </is>
      </c>
      <c r="B512" s="18" t="n">
        <v>445884.94</v>
      </c>
      <c r="C512" s="19" t="inlineStr">
        <is>
          <t>Mannes</t>
        </is>
      </c>
      <c r="D512" s="20" t="inlineStr">
        <is>
          <t>NEW</t>
        </is>
      </c>
      <c r="E512" s="21" t="inlineStr"/>
      <c r="F512" s="20" t="inlineStr"/>
      <c r="G512" s="21" t="inlineStr"/>
      <c r="H512" s="20" t="inlineStr"/>
      <c r="I512" s="22" t="inlineStr">
        <is>
          <t>JACQUES SAFRA</t>
        </is>
      </c>
      <c r="J512" s="23" t="inlineStr">
        <is>
          <t>Sócio-Administrador (RFB partner)</t>
        </is>
      </c>
      <c r="K512" s="22" t="inlineStr">
        <is>
          <t>(11) 4143-7900</t>
        </is>
      </c>
      <c r="L512" s="22" t="inlineStr"/>
      <c r="M512" s="22" t="inlineStr"/>
      <c r="N512" s="22" t="inlineStr"/>
      <c r="O512" s="22" t="inlineStr"/>
      <c r="P512" s="22" t="inlineStr">
        <is>
          <t>MAURICIO CHARLES COHAB</t>
        </is>
      </c>
      <c r="Q512" s="22" t="inlineStr">
        <is>
          <t>Sócio-Administrador (RFB partner)</t>
        </is>
      </c>
      <c r="R512" s="22" t="inlineStr"/>
      <c r="S512" s="22" t="inlineStr"/>
      <c r="T512" s="22" t="inlineStr">
        <is>
          <t>DM = registered partner (RFB QSA); no Apollo match</t>
        </is>
      </c>
      <c r="U512" s="24" t="n">
        <v>445884.94</v>
      </c>
      <c r="V512" s="40" t="inlineStr">
        <is>
          <t>D</t>
        </is>
      </c>
      <c r="W512" s="26" t="inlineStr"/>
      <c r="X512" s="27" t="inlineStr"/>
      <c r="Y512" s="27" t="inlineStr"/>
      <c r="Z512" s="26">
        <f>IF(W512&lt;&gt;"",W512,IFERROR(VLOOKUP(V512,Assumptions!$A$8:$F$12,2,FALSE),0))</f>
        <v/>
      </c>
      <c r="AA512" s="28">
        <f>IF(V512="A",MAX(1,IF(X512&lt;&gt;"",X512,IFERROR(VLOOKUP(V512,Assumptions!$A$8:$F$12,3,FALSE),3))+IF(Y512&lt;&gt;"",Y512,IFERROR(VLOOKUP(V512,Assumptions!$A$8:$F$12,4,FALSE),8))/2-MAX(0,IF(AS512="",0,YEAR(TODAY())-AS512)-IFERROR(VLOOKUP(V512,Assumptions!$A$8:$F$12,5,FALSE),1.5))),IFERROR(VLOOKUP(V512,Assumptions!$A$8:$F$12,5,FALSE),2.5)+IF(X512&lt;&gt;"",X512,IFERROR(VLOOKUP(V512,Assumptions!$A$8:$F$12,3,FALSE),3))+IF(Y512&lt;&gt;"",Y512,IFERROR(VLOOKUP(V512,Assumptions!$A$8:$F$12,4,FALSE),8))/2)</f>
        <v/>
      </c>
      <c r="AB512" s="24">
        <f>U512*Z512/(1+Assumptions!$B$3)^AA512</f>
        <v/>
      </c>
      <c r="AC512" s="27">
        <f>IF(U512=0,"",ROUND(AB512/U512*100,1))</f>
        <v/>
      </c>
      <c r="AD512" s="29">
        <f>AB512*Assumptions!$B$4</f>
        <v/>
      </c>
      <c r="AE512" s="27">
        <f>IF(U512=0,"",ROUND(AD512/U512*100,1))</f>
        <v/>
      </c>
      <c r="AF512" s="29">
        <f>AB512-AD512</f>
        <v/>
      </c>
      <c r="AG512" s="27">
        <f>IF(U512=0,"",ROUND((AB512-AD512)/U512*100,1))</f>
        <v/>
      </c>
      <c r="AH512" s="36" t="inlineStr">
        <is>
          <t>CHECK — source is not a statutory creditor list</t>
        </is>
      </c>
      <c r="AI512" s="31" t="inlineStr">
        <is>
          <t>https://administradorajudicialgs.com.br/wp-content/uploads/2024/12/relacao-de-credores-da-falida.pdf</t>
        </is>
      </c>
      <c r="AJ512" s="30" t="inlineStr">
        <is>
          <t>p19 r30; p19 r31</t>
        </is>
      </c>
      <c r="AK512" s="30" t="inlineStr">
        <is>
          <t>p19: R$ 15.995,79; p19: R$ 429.889,15</t>
        </is>
      </c>
      <c r="AL512" s="30" t="inlineStr">
        <is>
          <t>Other filing — NOT an art. 7/51 list</t>
        </is>
      </c>
      <c r="AM512" s="30" t="inlineStr">
        <is>
          <t>2025-03-25</t>
        </is>
      </c>
      <c r="AN512" s="30" t="inlineStr">
        <is>
          <t>NONE FOUND</t>
        </is>
      </c>
      <c r="AO512" s="32" t="inlineStr">
        <is>
          <t>0005010-50.2013.8.24.0026</t>
        </is>
      </c>
      <c r="AP512" s="32" t="inlineStr">
        <is>
          <t>TJSC</t>
        </is>
      </c>
      <c r="AQ512" s="32" t="inlineStr">
        <is>
          <t>Falência</t>
        </is>
      </c>
      <c r="AR512" s="32" t="inlineStr">
        <is>
          <t>not in DataJud</t>
        </is>
      </c>
      <c r="AS512" s="32" t="n">
        <v>2013</v>
      </c>
      <c r="AT512" s="32" t="inlineStr">
        <is>
          <t>falência proceeding (list/name says falida)</t>
        </is>
      </c>
      <c r="AU512" s="32" t="inlineStr"/>
      <c r="AV512" s="32" t="inlineStr">
        <is>
          <t>printed on the list (read twice)</t>
        </is>
      </c>
      <c r="AW512" s="32" t="inlineStr"/>
      <c r="AX512" s="32" t="inlineStr">
        <is>
          <t>ITAPEVI</t>
        </is>
      </c>
      <c r="AY512" s="32" t="inlineStr">
        <is>
          <t>SP</t>
        </is>
      </c>
      <c r="AZ512" s="32" t="inlineStr">
        <is>
          <t>Fabricação de artefatos têxteis para uso doméstico</t>
        </is>
      </c>
      <c r="BA512" s="32" t="inlineStr">
        <is>
          <t>não ME/EPP</t>
        </is>
      </c>
      <c r="BB512" s="33" t="n">
        <v>3741989</v>
      </c>
      <c r="BC512" s="32" t="inlineStr">
        <is>
          <t>MID-MARKET</t>
        </is>
      </c>
      <c r="BD512" s="32" t="inlineStr">
        <is>
          <t>11198594</t>
        </is>
      </c>
      <c r="BE512" s="32" t="n">
        <v>2</v>
      </c>
      <c r="BF512" s="32" t="inlineStr">
        <is>
          <t>list prints no totals case no. corrected by reader</t>
        </is>
      </c>
    </row>
    <row r="513">
      <c r="A513" s="17" t="inlineStr">
        <is>
          <t>H J MALHAS LTDA</t>
        </is>
      </c>
      <c r="B513" s="18" t="n">
        <v>240337.28</v>
      </c>
      <c r="C513" s="19" t="inlineStr">
        <is>
          <t>CONFECÇÕES ANDRIMALHAS LTDA</t>
        </is>
      </c>
      <c r="D513" s="20" t="inlineStr">
        <is>
          <t>NEW</t>
        </is>
      </c>
      <c r="E513" s="21" t="inlineStr"/>
      <c r="F513" s="20" t="inlineStr"/>
      <c r="G513" s="21" t="inlineStr"/>
      <c r="H513" s="20" t="inlineStr"/>
      <c r="I513" s="22" t="inlineStr">
        <is>
          <t>HENNING JONK FILHO</t>
        </is>
      </c>
      <c r="J513" s="23" t="inlineStr">
        <is>
          <t>Sócio-Administrador (RFB partner)</t>
        </is>
      </c>
      <c r="K513" s="22" t="inlineStr">
        <is>
          <t>(47) 3251-0000</t>
        </is>
      </c>
      <c r="L513" s="22" t="inlineStr"/>
      <c r="M513" s="22" t="inlineStr"/>
      <c r="N513" s="22" t="inlineStr"/>
      <c r="O513" s="22" t="inlineStr"/>
      <c r="P513" s="22" t="inlineStr">
        <is>
          <t>LEONARDO HEINIG JONK</t>
        </is>
      </c>
      <c r="Q513" s="22" t="inlineStr">
        <is>
          <t>Sócio-Administrador (RFB partner)</t>
        </is>
      </c>
      <c r="R513" s="22" t="inlineStr"/>
      <c r="S513" s="22" t="inlineStr"/>
      <c r="T513" s="22" t="inlineStr">
        <is>
          <t>DM = registered partner (RFB QSA); no Apollo match</t>
        </is>
      </c>
      <c r="U513" s="24" t="n">
        <v>240337.28</v>
      </c>
      <c r="V513" s="39" t="inlineStr">
        <is>
          <t>C</t>
        </is>
      </c>
      <c r="W513" s="26" t="inlineStr"/>
      <c r="X513" s="27" t="inlineStr"/>
      <c r="Y513" s="27" t="inlineStr"/>
      <c r="Z513" s="26">
        <f>IF(W513&lt;&gt;"",W513,IFERROR(VLOOKUP(V513,Assumptions!$A$8:$F$12,2,FALSE),0))</f>
        <v/>
      </c>
      <c r="AA513" s="28">
        <f>IF(V513="A",MAX(1,IF(X513&lt;&gt;"",X513,IFERROR(VLOOKUP(V513,Assumptions!$A$8:$F$12,3,FALSE),3))+IF(Y513&lt;&gt;"",Y513,IFERROR(VLOOKUP(V513,Assumptions!$A$8:$F$12,4,FALSE),8))/2-MAX(0,IF(AS513="",0,YEAR(TODAY())-AS513)-IFERROR(VLOOKUP(V513,Assumptions!$A$8:$F$12,5,FALSE),1.5))),IFERROR(VLOOKUP(V513,Assumptions!$A$8:$F$12,5,FALSE),2.5)+IF(X513&lt;&gt;"",X513,IFERROR(VLOOKUP(V513,Assumptions!$A$8:$F$12,3,FALSE),3))+IF(Y513&lt;&gt;"",Y513,IFERROR(VLOOKUP(V513,Assumptions!$A$8:$F$12,4,FALSE),8))/2)</f>
        <v/>
      </c>
      <c r="AB513" s="24">
        <f>U513*Z513/(1+Assumptions!$B$3)^AA513</f>
        <v/>
      </c>
      <c r="AC513" s="27">
        <f>IF(U513=0,"",ROUND(AB513/U513*100,1))</f>
        <v/>
      </c>
      <c r="AD513" s="29">
        <f>AB513*Assumptions!$B$4</f>
        <v/>
      </c>
      <c r="AE513" s="27">
        <f>IF(U513=0,"",ROUND(AD513/U513*100,1))</f>
        <v/>
      </c>
      <c r="AF513" s="29">
        <f>AB513-AD513</f>
        <v/>
      </c>
      <c r="AG513" s="27">
        <f>IF(U513=0,"",ROUND((AB513-AD513)/U513*100,1))</f>
        <v/>
      </c>
      <c r="AH513" s="35" t="inlineStr">
        <is>
          <t>PARTIAL — class III reconciled, other classes not</t>
        </is>
      </c>
      <c r="AI513" s="31" t="inlineStr">
        <is>
          <t>https://administradorajudicialgs.com.br/wp-content/uploads/2023/08/doc-06-relacao-credores-do-administrador-judicial-10-02-2015.pdf</t>
        </is>
      </c>
      <c r="AJ513" s="30" t="inlineStr">
        <is>
          <t>p2 r13</t>
        </is>
      </c>
      <c r="AK513" s="30" t="inlineStr">
        <is>
          <t>p2: R$ 240.337,28</t>
        </is>
      </c>
      <c r="AL513" s="30" t="inlineStr">
        <is>
          <t>AJ list (art. 7 §2)</t>
        </is>
      </c>
      <c r="AM513" s="30" t="inlineStr"/>
      <c r="AN513" s="30" t="inlineStr">
        <is>
          <t>NONE FOUND</t>
        </is>
      </c>
      <c r="AO513" s="32" t="inlineStr">
        <is>
          <t>0302174-63.2015.8.24.0025</t>
        </is>
      </c>
      <c r="AP513" s="32" t="inlineStr">
        <is>
          <t>TJSC</t>
        </is>
      </c>
      <c r="AQ513" s="32" t="inlineStr">
        <is>
          <t>Recuperação judicial</t>
        </is>
      </c>
      <c r="AR513" s="32" t="inlineStr">
        <is>
          <t>not in DataJud</t>
        </is>
      </c>
      <c r="AS513" s="32" t="n">
        <v>2015</v>
      </c>
      <c r="AT513" s="32" t="inlineStr">
        <is>
          <t>11y since filing; plan not in our documents; case no. from the portal record, not printed on the list</t>
        </is>
      </c>
      <c r="AU513" s="32" t="inlineStr"/>
      <c r="AV513" s="32" t="inlineStr">
        <is>
          <t>printed on the list (read twice)</t>
        </is>
      </c>
      <c r="AW513" s="32" t="inlineStr"/>
      <c r="AX513" s="32" t="inlineStr">
        <is>
          <t>BRUSQUE</t>
        </is>
      </c>
      <c r="AY513" s="32" t="inlineStr">
        <is>
          <t>SC</t>
        </is>
      </c>
      <c r="AZ513" s="32" t="inlineStr">
        <is>
          <t>Alvejamento, tingimento e torção em fios, tecidos, artefatos têxteis e peças do vestuário</t>
        </is>
      </c>
      <c r="BA513" s="32" t="inlineStr">
        <is>
          <t>não ME/EPP</t>
        </is>
      </c>
      <c r="BB513" s="33" t="n">
        <v>90000000</v>
      </c>
      <c r="BC513" s="32" t="inlineStr">
        <is>
          <t>MID-MARKET</t>
        </is>
      </c>
      <c r="BD513" s="32" t="inlineStr">
        <is>
          <t>85335487</t>
        </is>
      </c>
      <c r="BE513" s="32" t="n">
        <v>1</v>
      </c>
      <c r="BF513" s="32" t="inlineStr">
        <is>
          <t>class III reconciled (doc partial)</t>
        </is>
      </c>
    </row>
    <row r="514">
      <c r="A514" s="17" t="inlineStr">
        <is>
          <t>ALTENBURG TEXTIL S.A.</t>
        </is>
      </c>
      <c r="B514" s="18" t="n">
        <v>439839.22</v>
      </c>
      <c r="C514" s="19" t="inlineStr">
        <is>
          <t>Mannes</t>
        </is>
      </c>
      <c r="D514" s="20" t="inlineStr">
        <is>
          <t>NEW</t>
        </is>
      </c>
      <c r="E514" s="21" t="inlineStr"/>
      <c r="F514" s="20" t="inlineStr"/>
      <c r="G514" s="21" t="inlineStr"/>
      <c r="H514" s="20" t="inlineStr"/>
      <c r="I514" s="22" t="inlineStr">
        <is>
          <t>Adriano Dore</t>
        </is>
      </c>
      <c r="J514" s="22" t="inlineStr">
        <is>
          <t>Administrative and Financial Director</t>
        </is>
      </c>
      <c r="K514" s="22" t="inlineStr">
        <is>
          <t>(47) 3331-1500</t>
        </is>
      </c>
      <c r="L514" s="22" t="inlineStr"/>
      <c r="M514" s="22" t="inlineStr"/>
      <c r="N514" s="22" t="inlineStr">
        <is>
          <t>adriano.dore@altenburg.com.br</t>
        </is>
      </c>
      <c r="O514" s="22" t="inlineStr">
        <is>
          <t>verified</t>
        </is>
      </c>
      <c r="P514" s="22" t="inlineStr">
        <is>
          <t>Elieser Fontanela</t>
        </is>
      </c>
      <c r="Q514" s="22" t="inlineStr">
        <is>
          <t>Controller Sr</t>
        </is>
      </c>
      <c r="R514" s="22" t="inlineStr"/>
      <c r="S514" s="22" t="inlineStr">
        <is>
          <t>elieser.fontanela@altenburg.com.br</t>
        </is>
      </c>
      <c r="T514" s="22" t="inlineStr">
        <is>
          <t>DM: has_email, phone Yes; BACKUP: backup, has_email, phone Yes</t>
        </is>
      </c>
      <c r="U514" s="24" t="n">
        <v>439839.22</v>
      </c>
      <c r="V514" s="40" t="inlineStr">
        <is>
          <t>D</t>
        </is>
      </c>
      <c r="W514" s="26" t="inlineStr"/>
      <c r="X514" s="27" t="inlineStr"/>
      <c r="Y514" s="27" t="inlineStr"/>
      <c r="Z514" s="26">
        <f>IF(W514&lt;&gt;"",W514,IFERROR(VLOOKUP(V514,Assumptions!$A$8:$F$12,2,FALSE),0))</f>
        <v/>
      </c>
      <c r="AA514" s="28">
        <f>IF(V514="A",MAX(1,IF(X514&lt;&gt;"",X514,IFERROR(VLOOKUP(V514,Assumptions!$A$8:$F$12,3,FALSE),3))+IF(Y514&lt;&gt;"",Y514,IFERROR(VLOOKUP(V514,Assumptions!$A$8:$F$12,4,FALSE),8))/2-MAX(0,IF(AS514="",0,YEAR(TODAY())-AS514)-IFERROR(VLOOKUP(V514,Assumptions!$A$8:$F$12,5,FALSE),1.5))),IFERROR(VLOOKUP(V514,Assumptions!$A$8:$F$12,5,FALSE),2.5)+IF(X514&lt;&gt;"",X514,IFERROR(VLOOKUP(V514,Assumptions!$A$8:$F$12,3,FALSE),3))+IF(Y514&lt;&gt;"",Y514,IFERROR(VLOOKUP(V514,Assumptions!$A$8:$F$12,4,FALSE),8))/2)</f>
        <v/>
      </c>
      <c r="AB514" s="24">
        <f>U514*Z514/(1+Assumptions!$B$3)^AA514</f>
        <v/>
      </c>
      <c r="AC514" s="27">
        <f>IF(U514=0,"",ROUND(AB514/U514*100,1))</f>
        <v/>
      </c>
      <c r="AD514" s="29">
        <f>AB514*Assumptions!$B$4</f>
        <v/>
      </c>
      <c r="AE514" s="27">
        <f>IF(U514=0,"",ROUND(AD514/U514*100,1))</f>
        <v/>
      </c>
      <c r="AF514" s="29">
        <f>AB514-AD514</f>
        <v/>
      </c>
      <c r="AG514" s="27">
        <f>IF(U514=0,"",ROUND((AB514-AD514)/U514*100,1))</f>
        <v/>
      </c>
      <c r="AH514" s="36" t="inlineStr">
        <is>
          <t>CHECK — source is not a statutory creditor list</t>
        </is>
      </c>
      <c r="AI514" s="31" t="inlineStr">
        <is>
          <t>https://administradorajudicialgs.com.br/wp-content/uploads/2024/12/relacao-de-credores-da-falida.pdf</t>
        </is>
      </c>
      <c r="AJ514" s="30" t="inlineStr">
        <is>
          <t>p12 r43</t>
        </is>
      </c>
      <c r="AK514" s="30" t="inlineStr">
        <is>
          <t>p12: R$ 439.839,22</t>
        </is>
      </c>
      <c r="AL514" s="30" t="inlineStr">
        <is>
          <t>Other filing — NOT an art. 7/51 list</t>
        </is>
      </c>
      <c r="AM514" s="30" t="inlineStr">
        <is>
          <t>2025-03-25</t>
        </is>
      </c>
      <c r="AN514" s="30" t="inlineStr">
        <is>
          <t>NONE FOUND</t>
        </is>
      </c>
      <c r="AO514" s="32" t="inlineStr">
        <is>
          <t>0005010-50.2013.8.24.0026</t>
        </is>
      </c>
      <c r="AP514" s="32" t="inlineStr">
        <is>
          <t>TJSC</t>
        </is>
      </c>
      <c r="AQ514" s="32" t="inlineStr">
        <is>
          <t>Falência</t>
        </is>
      </c>
      <c r="AR514" s="32" t="inlineStr">
        <is>
          <t>not in DataJud</t>
        </is>
      </c>
      <c r="AS514" s="32" t="n">
        <v>2013</v>
      </c>
      <c r="AT514" s="32" t="inlineStr">
        <is>
          <t>falência proceeding (list/name says falida)</t>
        </is>
      </c>
      <c r="AU514" s="32" t="inlineStr"/>
      <c r="AV514" s="32" t="inlineStr">
        <is>
          <t>printed on the list (read twice)</t>
        </is>
      </c>
      <c r="AW514" s="32" t="inlineStr"/>
      <c r="AX514" s="32" t="inlineStr">
        <is>
          <t>BLUMENAU</t>
        </is>
      </c>
      <c r="AY514" s="32" t="inlineStr">
        <is>
          <t>SC</t>
        </is>
      </c>
      <c r="AZ514" s="32" t="inlineStr">
        <is>
          <t>Fabricação de artefatos têxteis para uso doméstico</t>
        </is>
      </c>
      <c r="BA514" s="32" t="inlineStr">
        <is>
          <t>não ME/EPP</t>
        </is>
      </c>
      <c r="BB514" s="33" t="n">
        <v>48119320</v>
      </c>
      <c r="BC514" s="32" t="inlineStr">
        <is>
          <t>MID-MARKET</t>
        </is>
      </c>
      <c r="BD514" s="32" t="inlineStr">
        <is>
          <t>75293662</t>
        </is>
      </c>
      <c r="BE514" s="32" t="n">
        <v>1</v>
      </c>
      <c r="BF514" s="32" t="inlineStr">
        <is>
          <t>list prints no totals case no. corrected by reader</t>
        </is>
      </c>
    </row>
    <row r="515">
      <c r="A515" s="17" t="inlineStr">
        <is>
          <t>CRISTAL ALIMENTOS LTDA</t>
        </is>
      </c>
      <c r="B515" s="18" t="n">
        <v>268352.18</v>
      </c>
      <c r="C515" s="19" t="inlineStr">
        <is>
          <t>GRUPO 3E</t>
        </is>
      </c>
      <c r="D515" s="20" t="inlineStr">
        <is>
          <t>NEW</t>
        </is>
      </c>
      <c r="E515" s="21" t="inlineStr"/>
      <c r="F515" s="20" t="inlineStr"/>
      <c r="G515" s="21" t="inlineStr"/>
      <c r="H515" s="20" t="inlineStr"/>
      <c r="I515" s="22" t="inlineStr">
        <is>
          <t>Renato Almeida</t>
        </is>
      </c>
      <c r="J515" s="22" t="inlineStr">
        <is>
          <t>Controller</t>
        </is>
      </c>
      <c r="K515" s="22" t="inlineStr">
        <is>
          <t>(62) 3226-9064</t>
        </is>
      </c>
      <c r="L515" s="22" t="inlineStr">
        <is>
          <t>(62) 3226-9000</t>
        </is>
      </c>
      <c r="M515" s="22" t="inlineStr"/>
      <c r="N515" s="22" t="inlineStr"/>
      <c r="O515" s="22" t="inlineStr"/>
      <c r="P515" s="22" t="inlineStr">
        <is>
          <t>Adriano Bastos</t>
        </is>
      </c>
      <c r="Q515" s="22" t="inlineStr">
        <is>
          <t>Accounting Supervisor</t>
        </is>
      </c>
      <c r="R515" s="22" t="inlineStr"/>
      <c r="S515" s="22" t="inlineStr">
        <is>
          <t>adriano@cristalalimentos.com.br</t>
        </is>
      </c>
      <c r="T515" s="22" t="inlineStr">
        <is>
          <t>DM: DM (email unavailable); no work email in Apollo for DM; BACKUP: backup2</t>
        </is>
      </c>
      <c r="U515" s="24" t="n">
        <v>268352.18</v>
      </c>
      <c r="V515" s="25" t="inlineStr">
        <is>
          <t>B</t>
        </is>
      </c>
      <c r="W515" s="26" t="n">
        <v>0.12</v>
      </c>
      <c r="X515" s="27" t="n">
        <v>2</v>
      </c>
      <c r="Y515" s="27" t="n">
        <v>13</v>
      </c>
      <c r="Z515" s="26">
        <f>IF(W515&lt;&gt;"",W515,IFERROR(VLOOKUP(V515,Assumptions!$A$8:$F$12,2,FALSE),0))</f>
        <v/>
      </c>
      <c r="AA515" s="28">
        <f>IF(V515="A",MAX(1,IF(X515&lt;&gt;"",X515,IFERROR(VLOOKUP(V515,Assumptions!$A$8:$F$12,3,FALSE),3))+IF(Y515&lt;&gt;"",Y515,IFERROR(VLOOKUP(V515,Assumptions!$A$8:$F$12,4,FALSE),8))/2-MAX(0,IF(AS515="",0,YEAR(TODAY())-AS515)-IFERROR(VLOOKUP(V515,Assumptions!$A$8:$F$12,5,FALSE),1.5))),IFERROR(VLOOKUP(V515,Assumptions!$A$8:$F$12,5,FALSE),2.5)+IF(X515&lt;&gt;"",X515,IFERROR(VLOOKUP(V515,Assumptions!$A$8:$F$12,3,FALSE),3))+IF(Y515&lt;&gt;"",Y515,IFERROR(VLOOKUP(V515,Assumptions!$A$8:$F$12,4,FALSE),8))/2)</f>
        <v/>
      </c>
      <c r="AB515" s="24">
        <f>U515*Z515/(1+Assumptions!$B$3)^AA515</f>
        <v/>
      </c>
      <c r="AC515" s="27">
        <f>IF(U515=0,"",ROUND(AB515/U515*100,1))</f>
        <v/>
      </c>
      <c r="AD515" s="29">
        <f>AB515*Assumptions!$B$4</f>
        <v/>
      </c>
      <c r="AE515" s="27">
        <f>IF(U515=0,"",ROUND(AD515/U515*100,1))</f>
        <v/>
      </c>
      <c r="AF515" s="29">
        <f>AB515-AD515</f>
        <v/>
      </c>
      <c r="AG515" s="27">
        <f>IF(U515=0,"",ROUND((AB515-AD515)/U515*100,1))</f>
        <v/>
      </c>
      <c r="AH515" s="34" t="inlineStr">
        <is>
          <t>NO TOTALS — list prints none; check page</t>
        </is>
      </c>
      <c r="AI515" s="31" t="inlineStr">
        <is>
          <t>https://stenius.com.br/wp-content/uploads/2026/06/EDITAL-GRUPO-3E.pdf</t>
        </is>
      </c>
      <c r="AJ515" s="30" t="inlineStr">
        <is>
          <t>p12 r19</t>
        </is>
      </c>
      <c r="AK515" s="30" t="inlineStr">
        <is>
          <t>p12: R$ 268.352,18</t>
        </is>
      </c>
      <c r="AL515" s="30" t="inlineStr">
        <is>
          <t>Debtor list (art. 51)</t>
        </is>
      </c>
      <c r="AM515" s="30" t="inlineStr">
        <is>
          <t>2026-06-22</t>
        </is>
      </c>
      <c r="AN515" s="30" t="inlineStr">
        <is>
          <t>PLAN FILED (art. 53), not granted</t>
        </is>
      </c>
      <c r="AO515" s="32" t="inlineStr">
        <is>
          <t>5341375-33.2026.8.09.0049</t>
        </is>
      </c>
      <c r="AP515" s="32" t="inlineStr">
        <is>
          <t>TJGO</t>
        </is>
      </c>
      <c r="AQ515" s="32" t="inlineStr">
        <is>
          <t>Recuperação judicial</t>
        </is>
      </c>
      <c r="AR515" s="32" t="inlineStr">
        <is>
          <t>DataJud: no closure/falência movement</t>
        </is>
      </c>
      <c r="AS515" s="32" t="n">
        <v>2026</v>
      </c>
      <c r="AT515" s="32" t="inlineStr">
        <is>
          <t>plan filed (art. 53), not yet granted</t>
        </is>
      </c>
      <c r="AU515" s="32" t="inlineStr"/>
      <c r="AV515" s="32" t="inlineStr">
        <is>
          <t>printed on the list (read twice)</t>
        </is>
      </c>
      <c r="AW515" s="32" t="inlineStr">
        <is>
          <t>Plano de Recuperação Judicial Grupo 3E v2.0 (Métis), mov. 321, pp.24-25</t>
        </is>
      </c>
      <c r="AX515" s="32" t="inlineStr">
        <is>
          <t>APARECIDA DE GOIANIA</t>
        </is>
      </c>
      <c r="AY515" s="32" t="inlineStr">
        <is>
          <t>GO</t>
        </is>
      </c>
      <c r="AZ515" s="32" t="inlineStr">
        <is>
          <t>Beneficiamento de arroz</t>
        </is>
      </c>
      <c r="BA515" s="32" t="inlineStr">
        <is>
          <t>não ME/EPP</t>
        </is>
      </c>
      <c r="BB515" s="33" t="n">
        <v>800000</v>
      </c>
      <c r="BC515" s="32" t="inlineStr">
        <is>
          <t>MID-MARKET</t>
        </is>
      </c>
      <c r="BD515" s="32" t="inlineStr">
        <is>
          <t>02709992</t>
        </is>
      </c>
      <c r="BE515" s="32" t="n">
        <v>1</v>
      </c>
      <c r="BF515" s="32" t="inlineStr">
        <is>
          <t>list prints no totals</t>
        </is>
      </c>
    </row>
    <row r="516">
      <c r="A516" s="17" t="inlineStr">
        <is>
          <t>FCC CIENCIA DOS MATERIAIS LTDA.</t>
        </is>
      </c>
      <c r="B516" s="18" t="n">
        <v>439222.79</v>
      </c>
      <c r="C516" s="19" t="inlineStr">
        <is>
          <t>Mannes</t>
        </is>
      </c>
      <c r="D516" s="20" t="inlineStr">
        <is>
          <t>NEW</t>
        </is>
      </c>
      <c r="E516" s="21" t="inlineStr"/>
      <c r="F516" s="20" t="inlineStr"/>
      <c r="G516" s="21" t="inlineStr"/>
      <c r="H516" s="20" t="inlineStr"/>
      <c r="I516" s="22" t="inlineStr">
        <is>
          <t>MARCELO ANDRE REICHERT</t>
        </is>
      </c>
      <c r="J516" s="23" t="inlineStr">
        <is>
          <t>Sócio-Administrador (RFB partner)</t>
        </is>
      </c>
      <c r="K516" s="22" t="inlineStr">
        <is>
          <t>(51) 2129-2200</t>
        </is>
      </c>
      <c r="L516" s="22" t="inlineStr"/>
      <c r="M516" s="22" t="inlineStr"/>
      <c r="N516" s="22" t="inlineStr"/>
      <c r="O516" s="22" t="inlineStr"/>
      <c r="P516" s="22" t="inlineStr">
        <is>
          <t>CRISTIANO RODRIGO ECKERT</t>
        </is>
      </c>
      <c r="Q516" s="22" t="inlineStr">
        <is>
          <t>Administrador (RFB partner)</t>
        </is>
      </c>
      <c r="R516" s="22" t="inlineStr"/>
      <c r="S516" s="22" t="inlineStr"/>
      <c r="T516" s="22" t="inlineStr">
        <is>
          <t>DM = registered partner (RFB QSA); no Apollo match</t>
        </is>
      </c>
      <c r="U516" s="24" t="n">
        <v>439222.79</v>
      </c>
      <c r="V516" s="40" t="inlineStr">
        <is>
          <t>D</t>
        </is>
      </c>
      <c r="W516" s="26" t="inlineStr"/>
      <c r="X516" s="27" t="inlineStr"/>
      <c r="Y516" s="27" t="inlineStr"/>
      <c r="Z516" s="26">
        <f>IF(W516&lt;&gt;"",W516,IFERROR(VLOOKUP(V516,Assumptions!$A$8:$F$12,2,FALSE),0))</f>
        <v/>
      </c>
      <c r="AA516" s="28">
        <f>IF(V516="A",MAX(1,IF(X516&lt;&gt;"",X516,IFERROR(VLOOKUP(V516,Assumptions!$A$8:$F$12,3,FALSE),3))+IF(Y516&lt;&gt;"",Y516,IFERROR(VLOOKUP(V516,Assumptions!$A$8:$F$12,4,FALSE),8))/2-MAX(0,IF(AS516="",0,YEAR(TODAY())-AS516)-IFERROR(VLOOKUP(V516,Assumptions!$A$8:$F$12,5,FALSE),1.5))),IFERROR(VLOOKUP(V516,Assumptions!$A$8:$F$12,5,FALSE),2.5)+IF(X516&lt;&gt;"",X516,IFERROR(VLOOKUP(V516,Assumptions!$A$8:$F$12,3,FALSE),3))+IF(Y516&lt;&gt;"",Y516,IFERROR(VLOOKUP(V516,Assumptions!$A$8:$F$12,4,FALSE),8))/2)</f>
        <v/>
      </c>
      <c r="AB516" s="24">
        <f>U516*Z516/(1+Assumptions!$B$3)^AA516</f>
        <v/>
      </c>
      <c r="AC516" s="27">
        <f>IF(U516=0,"",ROUND(AB516/U516*100,1))</f>
        <v/>
      </c>
      <c r="AD516" s="29">
        <f>AB516*Assumptions!$B$4</f>
        <v/>
      </c>
      <c r="AE516" s="27">
        <f>IF(U516=0,"",ROUND(AD516/U516*100,1))</f>
        <v/>
      </c>
      <c r="AF516" s="29">
        <f>AB516-AD516</f>
        <v/>
      </c>
      <c r="AG516" s="27">
        <f>IF(U516=0,"",ROUND((AB516-AD516)/U516*100,1))</f>
        <v/>
      </c>
      <c r="AH516" s="36" t="inlineStr">
        <is>
          <t>CHECK — source is not a statutory creditor list</t>
        </is>
      </c>
      <c r="AI516" s="31" t="inlineStr">
        <is>
          <t>https://administradorajudicialgs.com.br/wp-content/uploads/2024/12/relacao-de-credores-da-falida.pdf</t>
        </is>
      </c>
      <c r="AJ516" s="30" t="inlineStr">
        <is>
          <t>p14 r38</t>
        </is>
      </c>
      <c r="AK516" s="30" t="inlineStr">
        <is>
          <t>p14: R$ 439.222,79</t>
        </is>
      </c>
      <c r="AL516" s="30" t="inlineStr">
        <is>
          <t>Other filing — NOT an art. 7/51 list</t>
        </is>
      </c>
      <c r="AM516" s="30" t="inlineStr">
        <is>
          <t>2025-03-25</t>
        </is>
      </c>
      <c r="AN516" s="30" t="inlineStr">
        <is>
          <t>NONE FOUND</t>
        </is>
      </c>
      <c r="AO516" s="32" t="inlineStr">
        <is>
          <t>0005010-50.2013.8.24.0026</t>
        </is>
      </c>
      <c r="AP516" s="32" t="inlineStr">
        <is>
          <t>TJSC</t>
        </is>
      </c>
      <c r="AQ516" s="32" t="inlineStr">
        <is>
          <t>Falência</t>
        </is>
      </c>
      <c r="AR516" s="32" t="inlineStr">
        <is>
          <t>not in DataJud</t>
        </is>
      </c>
      <c r="AS516" s="32" t="n">
        <v>2013</v>
      </c>
      <c r="AT516" s="32" t="inlineStr">
        <is>
          <t>falência proceeding (list/name says falida)</t>
        </is>
      </c>
      <c r="AU516" s="32" t="inlineStr"/>
      <c r="AV516" s="32" t="inlineStr">
        <is>
          <t>printed on the list (read twice)</t>
        </is>
      </c>
      <c r="AW516" s="32" t="inlineStr"/>
      <c r="AX516" s="32" t="inlineStr">
        <is>
          <t>CAMPO BOM</t>
        </is>
      </c>
      <c r="AY516" s="32" t="inlineStr">
        <is>
          <t>RS</t>
        </is>
      </c>
      <c r="AZ516" s="32" t="inlineStr">
        <is>
          <t>Fabricação de resinas termoplásticas</t>
        </is>
      </c>
      <c r="BA516" s="32" t="inlineStr">
        <is>
          <t>não ME/EPP</t>
        </is>
      </c>
      <c r="BB516" s="33" t="n">
        <v>50000000</v>
      </c>
      <c r="BC516" s="32" t="inlineStr">
        <is>
          <t>MID-MARKET</t>
        </is>
      </c>
      <c r="BD516" s="32" t="inlineStr">
        <is>
          <t>88065321</t>
        </is>
      </c>
      <c r="BE516" s="32" t="n">
        <v>1</v>
      </c>
      <c r="BF516" s="32" t="inlineStr">
        <is>
          <t>list prints no totals case no. corrected by reader</t>
        </is>
      </c>
    </row>
    <row r="517">
      <c r="A517" s="17" t="inlineStr">
        <is>
          <t>EMPREENDIMENTO IMOBILIARIO IB GATTO SPE LTDA - EM RECUPERACAO JUDICIAL</t>
        </is>
      </c>
      <c r="B517" s="18" t="n">
        <v>239311.13</v>
      </c>
      <c r="C517" s="19" t="inlineStr">
        <is>
          <t>GRUPO ARNON DE MELLO</t>
        </is>
      </c>
      <c r="D517" s="20" t="inlineStr">
        <is>
          <t>NEW</t>
        </is>
      </c>
      <c r="E517" s="21" t="inlineStr"/>
      <c r="F517" s="20" t="inlineStr"/>
      <c r="G517" s="21" t="inlineStr"/>
      <c r="H517" s="20" t="inlineStr"/>
      <c r="I517" s="22" t="inlineStr">
        <is>
          <t>GELSON LUIZ CERUTTI</t>
        </is>
      </c>
      <c r="J517" s="23" t="inlineStr">
        <is>
          <t>Sócio-Administrador (RFB partner)</t>
        </is>
      </c>
      <c r="K517" s="22" t="inlineStr">
        <is>
          <t>(82) 1111-1111</t>
        </is>
      </c>
      <c r="L517" s="22" t="inlineStr">
        <is>
          <t>(82) 1111-1111</t>
        </is>
      </c>
      <c r="M517" s="22" t="inlineStr"/>
      <c r="N517" s="22" t="inlineStr"/>
      <c r="O517" s="22" t="inlineStr"/>
      <c r="P517" s="22" t="inlineStr"/>
      <c r="Q517" s="22" t="inlineStr"/>
      <c r="R517" s="22" t="inlineStr"/>
      <c r="S517" s="22" t="inlineStr"/>
      <c r="T517" s="22" t="inlineStr">
        <is>
          <t>DM = registered partner (RFB QSA); no Apollo match</t>
        </is>
      </c>
      <c r="U517" s="24" t="n">
        <v>239311.13</v>
      </c>
      <c r="V517" s="39" t="inlineStr">
        <is>
          <t>C</t>
        </is>
      </c>
      <c r="W517" s="26" t="inlineStr"/>
      <c r="X517" s="27" t="inlineStr"/>
      <c r="Y517" s="27" t="inlineStr"/>
      <c r="Z517" s="26">
        <f>IF(W517&lt;&gt;"",W517,IFERROR(VLOOKUP(V517,Assumptions!$A$8:$F$12,2,FALSE),0))</f>
        <v/>
      </c>
      <c r="AA517" s="28">
        <f>IF(V517="A",MAX(1,IF(X517&lt;&gt;"",X517,IFERROR(VLOOKUP(V517,Assumptions!$A$8:$F$12,3,FALSE),3))+IF(Y517&lt;&gt;"",Y517,IFERROR(VLOOKUP(V517,Assumptions!$A$8:$F$12,4,FALSE),8))/2-MAX(0,IF(AS517="",0,YEAR(TODAY())-AS517)-IFERROR(VLOOKUP(V517,Assumptions!$A$8:$F$12,5,FALSE),1.5))),IFERROR(VLOOKUP(V517,Assumptions!$A$8:$F$12,5,FALSE),2.5)+IF(X517&lt;&gt;"",X517,IFERROR(VLOOKUP(V517,Assumptions!$A$8:$F$12,3,FALSE),3))+IF(Y517&lt;&gt;"",Y517,IFERROR(VLOOKUP(V517,Assumptions!$A$8:$F$12,4,FALSE),8))/2)</f>
        <v/>
      </c>
      <c r="AB517" s="24">
        <f>U517*Z517/(1+Assumptions!$B$3)^AA517</f>
        <v/>
      </c>
      <c r="AC517" s="27">
        <f>IF(U517=0,"",ROUND(AB517/U517*100,1))</f>
        <v/>
      </c>
      <c r="AD517" s="29">
        <f>AB517*Assumptions!$B$4</f>
        <v/>
      </c>
      <c r="AE517" s="27">
        <f>IF(U517=0,"",ROUND(AD517/U517*100,1))</f>
        <v/>
      </c>
      <c r="AF517" s="29">
        <f>AB517-AD517</f>
        <v/>
      </c>
      <c r="AG517" s="27">
        <f>IF(U517=0,"",ROUND((AB517-AD517)/U517*100,1))</f>
        <v/>
      </c>
      <c r="AH517" s="34" t="inlineStr">
        <is>
          <t>NO TOTALS — list prints none; check page</t>
        </is>
      </c>
      <c r="AI517" s="31" t="inlineStr">
        <is>
          <t>https://recuperacaojudicial.squarespace.com/s/RJ-Grupo-Arnon-de-Melo-Lista-de-Credores-Consolidada-abril-2022.pdf</t>
        </is>
      </c>
      <c r="AJ517" s="30" t="inlineStr">
        <is>
          <t>p7 r68</t>
        </is>
      </c>
      <c r="AK517" s="30" t="inlineStr">
        <is>
          <t>p7: R$ 239.311,13</t>
        </is>
      </c>
      <c r="AL517" s="30" t="inlineStr">
        <is>
          <t>AJ list (art. 7 §2)</t>
        </is>
      </c>
      <c r="AM517" s="30" t="inlineStr"/>
      <c r="AN517" s="30" t="inlineStr">
        <is>
          <t>NONE FOUND</t>
        </is>
      </c>
      <c r="AO517" s="32" t="inlineStr">
        <is>
          <t>0700256-03.2019.8.02.0066</t>
        </is>
      </c>
      <c r="AP517" s="32" t="inlineStr">
        <is>
          <t>TJAL</t>
        </is>
      </c>
      <c r="AQ517" s="32" t="inlineStr">
        <is>
          <t>Recuperação judicial</t>
        </is>
      </c>
      <c r="AR517" s="32" t="inlineStr">
        <is>
          <t>not in DataJud</t>
        </is>
      </c>
      <c r="AS517" s="32" t="n">
        <v>2019</v>
      </c>
      <c r="AT517" s="32" t="inlineStr">
        <is>
          <t>7y since filing; plan not in our documents</t>
        </is>
      </c>
      <c r="AU517" s="32" t="inlineStr">
        <is>
          <t>12.503.801/0001-59</t>
        </is>
      </c>
      <c r="AV517" s="32" t="inlineStr">
        <is>
          <t>printed on the list (read twice)</t>
        </is>
      </c>
      <c r="AW517" s="32" t="inlineStr"/>
      <c r="AX517" s="32" t="inlineStr">
        <is>
          <t>MACEIO</t>
        </is>
      </c>
      <c r="AY517" s="32" t="inlineStr">
        <is>
          <t>AL</t>
        </is>
      </c>
      <c r="AZ517" s="32" t="inlineStr">
        <is>
          <t>Construção de edifícios</t>
        </is>
      </c>
      <c r="BA517" s="32" t="inlineStr">
        <is>
          <t>não ME/EPP</t>
        </is>
      </c>
      <c r="BB517" s="33" t="n">
        <v>100000</v>
      </c>
      <c r="BC517" s="32" t="inlineStr">
        <is>
          <t>MID-MARKET</t>
        </is>
      </c>
      <c r="BD517" s="32" t="inlineStr">
        <is>
          <t>15640226</t>
        </is>
      </c>
      <c r="BE517" s="32" t="n">
        <v>1</v>
      </c>
      <c r="BF517" s="32" t="inlineStr">
        <is>
          <t>list prints no totals</t>
        </is>
      </c>
    </row>
    <row r="518">
      <c r="A518" s="17" t="inlineStr">
        <is>
          <t>GUARARAPES PAINEIS S/A</t>
        </is>
      </c>
      <c r="B518" s="18" t="n">
        <v>238085.39</v>
      </c>
      <c r="C518" s="19" t="inlineStr">
        <is>
          <t>DICARLO Móveis e Acessórios para Casa e Lojas Ltda</t>
        </is>
      </c>
      <c r="D518" s="20" t="inlineStr">
        <is>
          <t>NEW</t>
        </is>
      </c>
      <c r="E518" s="21" t="inlineStr"/>
      <c r="F518" s="20" t="inlineStr"/>
      <c r="G518" s="21" t="inlineStr"/>
      <c r="H518" s="20" t="inlineStr"/>
      <c r="I518" s="22" t="inlineStr">
        <is>
          <t>RICARDO PEDROSO</t>
        </is>
      </c>
      <c r="J518" s="23" t="inlineStr">
        <is>
          <t>Presidente (RFB partner)</t>
        </is>
      </c>
      <c r="K518" s="22" t="inlineStr">
        <is>
          <t>(41) 3099-1414</t>
        </is>
      </c>
      <c r="L518" s="22" t="inlineStr">
        <is>
          <t>(49) 3244-6813</t>
        </is>
      </c>
      <c r="M518" s="22" t="inlineStr"/>
      <c r="N518" s="22" t="inlineStr"/>
      <c r="O518" s="22" t="inlineStr"/>
      <c r="P518" s="22" t="inlineStr">
        <is>
          <t>DIORGENES BERTOLIN</t>
        </is>
      </c>
      <c r="Q518" s="22" t="inlineStr">
        <is>
          <t>Diretor (RFB partner)</t>
        </is>
      </c>
      <c r="R518" s="22" t="inlineStr"/>
      <c r="S518" s="22" t="inlineStr"/>
      <c r="T518" s="22" t="inlineStr">
        <is>
          <t>DM = registered partner (RFB QSA); no Apollo match</t>
        </is>
      </c>
      <c r="U518" s="24" t="n">
        <v>238085.39</v>
      </c>
      <c r="V518" s="39" t="inlineStr">
        <is>
          <t>C</t>
        </is>
      </c>
      <c r="W518" s="26" t="inlineStr"/>
      <c r="X518" s="27" t="inlineStr"/>
      <c r="Y518" s="27" t="inlineStr"/>
      <c r="Z518" s="26">
        <f>IF(W518&lt;&gt;"",W518,IFERROR(VLOOKUP(V518,Assumptions!$A$8:$F$12,2,FALSE),0))</f>
        <v/>
      </c>
      <c r="AA518" s="28">
        <f>IF(V518="A",MAX(1,IF(X518&lt;&gt;"",X518,IFERROR(VLOOKUP(V518,Assumptions!$A$8:$F$12,3,FALSE),3))+IF(Y518&lt;&gt;"",Y518,IFERROR(VLOOKUP(V518,Assumptions!$A$8:$F$12,4,FALSE),8))/2-MAX(0,IF(AS518="",0,YEAR(TODAY())-AS518)-IFERROR(VLOOKUP(V518,Assumptions!$A$8:$F$12,5,FALSE),1.5))),IFERROR(VLOOKUP(V518,Assumptions!$A$8:$F$12,5,FALSE),2.5)+IF(X518&lt;&gt;"",X518,IFERROR(VLOOKUP(V518,Assumptions!$A$8:$F$12,3,FALSE),3))+IF(Y518&lt;&gt;"",Y518,IFERROR(VLOOKUP(V518,Assumptions!$A$8:$F$12,4,FALSE),8))/2)</f>
        <v/>
      </c>
      <c r="AB518" s="24">
        <f>U518*Z518/(1+Assumptions!$B$3)^AA518</f>
        <v/>
      </c>
      <c r="AC518" s="27">
        <f>IF(U518=0,"",ROUND(AB518/U518*100,1))</f>
        <v/>
      </c>
      <c r="AD518" s="29">
        <f>AB518*Assumptions!$B$4</f>
        <v/>
      </c>
      <c r="AE518" s="27">
        <f>IF(U518=0,"",ROUND(AD518/U518*100,1))</f>
        <v/>
      </c>
      <c r="AF518" s="29">
        <f>AB518-AD518</f>
        <v/>
      </c>
      <c r="AG518" s="27">
        <f>IF(U518=0,"",ROUND((AB518-AD518)/U518*100,1))</f>
        <v/>
      </c>
      <c r="AH518" s="34" t="inlineStr">
        <is>
          <t>NO TOTALS — list prints none; check page</t>
        </is>
      </c>
      <c r="AI518" s="31" t="inlineStr">
        <is>
          <t>https://administradorajudicialgs.com.br/wp-content/uploads/2023/08/edital-quadro-geral-de-credores.pdf</t>
        </is>
      </c>
      <c r="AJ518" s="30" t="inlineStr">
        <is>
          <t>p2 r68</t>
        </is>
      </c>
      <c r="AK518" s="30" t="inlineStr">
        <is>
          <t>p2: R$ 238.085,39</t>
        </is>
      </c>
      <c r="AL518" s="30" t="inlineStr">
        <is>
          <t>QGC (art. 18)</t>
        </is>
      </c>
      <c r="AM518" s="30" t="inlineStr">
        <is>
          <t>2024-07-05</t>
        </is>
      </c>
      <c r="AN518" s="30" t="inlineStr">
        <is>
          <t>NONE FOUND</t>
        </is>
      </c>
      <c r="AO518" s="32" t="inlineStr">
        <is>
          <t>0301015-33.2016.8.24.0031</t>
        </is>
      </c>
      <c r="AP518" s="32" t="inlineStr">
        <is>
          <t>TJSC</t>
        </is>
      </c>
      <c r="AQ518" s="32" t="inlineStr">
        <is>
          <t>Recuperação judicial</t>
        </is>
      </c>
      <c r="AR518" s="32" t="inlineStr">
        <is>
          <t>not in DataJud</t>
        </is>
      </c>
      <c r="AS518" s="32" t="n">
        <v>2016</v>
      </c>
      <c r="AT518" s="32" t="inlineStr">
        <is>
          <t>10y since filing; plan not in our documents</t>
        </is>
      </c>
      <c r="AU518" s="32" t="inlineStr">
        <is>
          <t>01.314.776/0001-49</t>
        </is>
      </c>
      <c r="AV518" s="32" t="inlineStr">
        <is>
          <t>printed on the list (read twice)</t>
        </is>
      </c>
      <c r="AW518" s="32" t="inlineStr"/>
      <c r="AX518" s="32" t="inlineStr">
        <is>
          <t>CACADOR</t>
        </is>
      </c>
      <c r="AY518" s="32" t="inlineStr">
        <is>
          <t>SC</t>
        </is>
      </c>
      <c r="AZ518" s="32" t="inlineStr">
        <is>
          <t>Fabricação de madeira laminada e de chapas de madeira compensada, prensada e aglomerada</t>
        </is>
      </c>
      <c r="BA518" s="32" t="inlineStr">
        <is>
          <t>não ME/EPP</t>
        </is>
      </c>
      <c r="BB518" s="33" t="n">
        <v>241239490</v>
      </c>
      <c r="BC518" s="32" t="inlineStr">
        <is>
          <t>MID-MARKET</t>
        </is>
      </c>
      <c r="BD518" s="32" t="inlineStr">
        <is>
          <t>08810422</t>
        </is>
      </c>
      <c r="BE518" s="32" t="n">
        <v>1</v>
      </c>
      <c r="BF518" s="32" t="inlineStr">
        <is>
          <t>list prints no totals</t>
        </is>
      </c>
    </row>
    <row r="519">
      <c r="A519" s="17" t="inlineStr">
        <is>
          <t>CALOI NORTE SA</t>
        </is>
      </c>
      <c r="B519" s="18" t="n">
        <v>237701.23</v>
      </c>
      <c r="C519" s="19" t="inlineStr">
        <is>
          <t>CREDIMÓVEIS NOVOLAR LTDA.</t>
        </is>
      </c>
      <c r="D519" s="20" t="inlineStr">
        <is>
          <t>NEW</t>
        </is>
      </c>
      <c r="E519" s="21" t="inlineStr"/>
      <c r="F519" s="20" t="inlineStr"/>
      <c r="G519" s="21" t="inlineStr"/>
      <c r="H519" s="20" t="inlineStr"/>
      <c r="I519" s="22" t="inlineStr">
        <is>
          <t>Felipe Proenca</t>
        </is>
      </c>
      <c r="J519" s="22" t="inlineStr">
        <is>
          <t>CFO</t>
        </is>
      </c>
      <c r="K519" s="22" t="inlineStr">
        <is>
          <t>(92) 3617-0100</t>
        </is>
      </c>
      <c r="L519" s="22" t="inlineStr">
        <is>
          <t>(92) 9103-4470</t>
        </is>
      </c>
      <c r="M519" s="22" t="inlineStr"/>
      <c r="N519" s="22" t="inlineStr">
        <is>
          <t>fproenca@caloi.com</t>
        </is>
      </c>
      <c r="O519" s="22" t="inlineStr">
        <is>
          <t>verified</t>
        </is>
      </c>
      <c r="P519" s="22" t="inlineStr">
        <is>
          <t>Andre Silva</t>
        </is>
      </c>
      <c r="Q519" s="22" t="inlineStr">
        <is>
          <t>Financial Administrative Manager</t>
        </is>
      </c>
      <c r="R519" s="22" t="inlineStr"/>
      <c r="S519" s="22" t="inlineStr">
        <is>
          <t>anogueira@caloi.com</t>
        </is>
      </c>
      <c r="T519" s="22" t="inlineStr">
        <is>
          <t>DM: DM verified email; LARGE CORP; Apollo org Caloi (caloi.com); BACKUP: backup verified email</t>
        </is>
      </c>
      <c r="U519" s="24" t="n">
        <v>237701.23</v>
      </c>
      <c r="V519" s="39" t="inlineStr">
        <is>
          <t>C</t>
        </is>
      </c>
      <c r="W519" s="26" t="inlineStr"/>
      <c r="X519" s="27" t="inlineStr"/>
      <c r="Y519" s="27" t="inlineStr"/>
      <c r="Z519" s="26">
        <f>IF(W519&lt;&gt;"",W519,IFERROR(VLOOKUP(V519,Assumptions!$A$8:$F$12,2,FALSE),0))</f>
        <v/>
      </c>
      <c r="AA519" s="28">
        <f>IF(V519="A",MAX(1,IF(X519&lt;&gt;"",X519,IFERROR(VLOOKUP(V519,Assumptions!$A$8:$F$12,3,FALSE),3))+IF(Y519&lt;&gt;"",Y519,IFERROR(VLOOKUP(V519,Assumptions!$A$8:$F$12,4,FALSE),8))/2-MAX(0,IF(AS519="",0,YEAR(TODAY())-AS519)-IFERROR(VLOOKUP(V519,Assumptions!$A$8:$F$12,5,FALSE),1.5))),IFERROR(VLOOKUP(V519,Assumptions!$A$8:$F$12,5,FALSE),2.5)+IF(X519&lt;&gt;"",X519,IFERROR(VLOOKUP(V519,Assumptions!$A$8:$F$12,3,FALSE),3))+IF(Y519&lt;&gt;"",Y519,IFERROR(VLOOKUP(V519,Assumptions!$A$8:$F$12,4,FALSE),8))/2)</f>
        <v/>
      </c>
      <c r="AB519" s="24">
        <f>U519*Z519/(1+Assumptions!$B$3)^AA519</f>
        <v/>
      </c>
      <c r="AC519" s="27">
        <f>IF(U519=0,"",ROUND(AB519/U519*100,1))</f>
        <v/>
      </c>
      <c r="AD519" s="29">
        <f>AB519*Assumptions!$B$4</f>
        <v/>
      </c>
      <c r="AE519" s="27">
        <f>IF(U519=0,"",ROUND(AD519/U519*100,1))</f>
        <v/>
      </c>
      <c r="AF519" s="29">
        <f>AB519-AD519</f>
        <v/>
      </c>
      <c r="AG519" s="27">
        <f>IF(U519=0,"",ROUND((AB519-AD519)/U519*100,1))</f>
        <v/>
      </c>
      <c r="AH519" s="30" t="inlineStr">
        <is>
          <t>OK — totals reconciled</t>
        </is>
      </c>
      <c r="AI519" s="31" t="inlineStr">
        <is>
          <t>https://recuperacaojudicial.squarespace.com/s/RJ-Credimoveis-QGC-01082025.pdf</t>
        </is>
      </c>
      <c r="AJ519" s="30" t="inlineStr">
        <is>
          <t>p15 r28</t>
        </is>
      </c>
      <c r="AK519" s="30" t="inlineStr">
        <is>
          <t>p15: R$ 237.701,23</t>
        </is>
      </c>
      <c r="AL519" s="30" t="inlineStr">
        <is>
          <t>QGC (art. 18)</t>
        </is>
      </c>
      <c r="AM519" s="30" t="inlineStr">
        <is>
          <t>2026-01-28</t>
        </is>
      </c>
      <c r="AN519" s="30" t="inlineStr">
        <is>
          <t>NONE FOUND</t>
        </is>
      </c>
      <c r="AO519" s="32" t="inlineStr">
        <is>
          <t>0007565-40.2020.8.17.2370</t>
        </is>
      </c>
      <c r="AP519" s="32" t="inlineStr">
        <is>
          <t>TJPE</t>
        </is>
      </c>
      <c r="AQ519" s="32" t="inlineStr">
        <is>
          <t>Recuperação judicial</t>
        </is>
      </c>
      <c r="AR519" s="32" t="inlineStr">
        <is>
          <t>DataJud: no closure/falência movement</t>
        </is>
      </c>
      <c r="AS519" s="32" t="n">
        <v>2020</v>
      </c>
      <c r="AT519" s="32" t="inlineStr">
        <is>
          <t>6y since filing; plan not in our documents</t>
        </is>
      </c>
      <c r="AU519" s="32" t="inlineStr">
        <is>
          <t>09.930.165/0001-37</t>
        </is>
      </c>
      <c r="AV519" s="32" t="inlineStr">
        <is>
          <t>printed on the list (read twice)</t>
        </is>
      </c>
      <c r="AW519" s="32" t="inlineStr"/>
      <c r="AX519" s="32" t="inlineStr">
        <is>
          <t>MANAUS</t>
        </is>
      </c>
      <c r="AY519" s="32" t="inlineStr">
        <is>
          <t>AM</t>
        </is>
      </c>
      <c r="AZ519" s="32" t="inlineStr">
        <is>
          <t>Fabricação de bicicletas e triciclos não-motorizados, peças e acessórios</t>
        </is>
      </c>
      <c r="BA519" s="32" t="inlineStr">
        <is>
          <t>não ME/EPP</t>
        </is>
      </c>
      <c r="BB519" s="33" t="n">
        <v>679429060</v>
      </c>
      <c r="BC519" s="32" t="inlineStr">
        <is>
          <t>LARGE CORP</t>
        </is>
      </c>
      <c r="BD519" s="32" t="inlineStr">
        <is>
          <t>04301024</t>
        </is>
      </c>
      <c r="BE519" s="32" t="n">
        <v>1</v>
      </c>
      <c r="BF519" s="32" t="inlineStr"/>
    </row>
    <row r="520">
      <c r="A520" s="17" t="inlineStr">
        <is>
          <t>INDUSTRIA DE MOVEIS NESHER LTDA</t>
        </is>
      </c>
      <c r="B520" s="18" t="n">
        <v>236423</v>
      </c>
      <c r="C520" s="19" t="inlineStr">
        <is>
          <t>CREDIMÓVEIS NOVOLAR LTDA.</t>
        </is>
      </c>
      <c r="D520" s="20" t="inlineStr">
        <is>
          <t>NEW</t>
        </is>
      </c>
      <c r="E520" s="21" t="inlineStr"/>
      <c r="F520" s="20" t="inlineStr"/>
      <c r="G520" s="21" t="inlineStr"/>
      <c r="H520" s="20" t="inlineStr"/>
      <c r="I520" s="22" t="inlineStr">
        <is>
          <t>Paulo Sabino</t>
        </is>
      </c>
      <c r="J520" s="22" t="inlineStr">
        <is>
          <t>Administrative Manager</t>
        </is>
      </c>
      <c r="K520" s="22" t="inlineStr">
        <is>
          <t>(27) 3047-0040</t>
        </is>
      </c>
      <c r="L520" s="22" t="inlineStr"/>
      <c r="M520" s="22" t="inlineStr"/>
      <c r="N520" s="22" t="inlineStr">
        <is>
          <t>paulo.sabino@moveisnesher.com.br</t>
        </is>
      </c>
      <c r="O520" s="22" t="inlineStr">
        <is>
          <t>verified</t>
        </is>
      </c>
      <c r="P520" s="22" t="inlineStr">
        <is>
          <t>Jocinei Ribeiro</t>
        </is>
      </c>
      <c r="Q520" s="22" t="inlineStr">
        <is>
          <t>National Sales Manager</t>
        </is>
      </c>
      <c r="R520" s="22" t="inlineStr"/>
      <c r="S520" s="22" t="inlineStr">
        <is>
          <t>jocinei.ribeiro@moveisnesher.com.br</t>
        </is>
      </c>
      <c r="T520" s="22" t="inlineStr">
        <is>
          <t>DM: DM (verified); BACKUP: backup (non-finance, most senior available; verified)</t>
        </is>
      </c>
      <c r="U520" s="24" t="n">
        <v>236423</v>
      </c>
      <c r="V520" s="39" t="inlineStr">
        <is>
          <t>C</t>
        </is>
      </c>
      <c r="W520" s="26" t="inlineStr"/>
      <c r="X520" s="27" t="inlineStr"/>
      <c r="Y520" s="27" t="inlineStr"/>
      <c r="Z520" s="26">
        <f>IF(W520&lt;&gt;"",W520,IFERROR(VLOOKUP(V520,Assumptions!$A$8:$F$12,2,FALSE),0))</f>
        <v/>
      </c>
      <c r="AA520" s="28">
        <f>IF(V520="A",MAX(1,IF(X520&lt;&gt;"",X520,IFERROR(VLOOKUP(V520,Assumptions!$A$8:$F$12,3,FALSE),3))+IF(Y520&lt;&gt;"",Y520,IFERROR(VLOOKUP(V520,Assumptions!$A$8:$F$12,4,FALSE),8))/2-MAX(0,IF(AS520="",0,YEAR(TODAY())-AS520)-IFERROR(VLOOKUP(V520,Assumptions!$A$8:$F$12,5,FALSE),1.5))),IFERROR(VLOOKUP(V520,Assumptions!$A$8:$F$12,5,FALSE),2.5)+IF(X520&lt;&gt;"",X520,IFERROR(VLOOKUP(V520,Assumptions!$A$8:$F$12,3,FALSE),3))+IF(Y520&lt;&gt;"",Y520,IFERROR(VLOOKUP(V520,Assumptions!$A$8:$F$12,4,FALSE),8))/2)</f>
        <v/>
      </c>
      <c r="AB520" s="24">
        <f>U520*Z520/(1+Assumptions!$B$3)^AA520</f>
        <v/>
      </c>
      <c r="AC520" s="27">
        <f>IF(U520=0,"",ROUND(AB520/U520*100,1))</f>
        <v/>
      </c>
      <c r="AD520" s="29">
        <f>AB520*Assumptions!$B$4</f>
        <v/>
      </c>
      <c r="AE520" s="27">
        <f>IF(U520=0,"",ROUND(AD520/U520*100,1))</f>
        <v/>
      </c>
      <c r="AF520" s="29">
        <f>AB520-AD520</f>
        <v/>
      </c>
      <c r="AG520" s="27">
        <f>IF(U520=0,"",ROUND((AB520-AD520)/U520*100,1))</f>
        <v/>
      </c>
      <c r="AH520" s="30" t="inlineStr">
        <is>
          <t>OK — totals reconciled</t>
        </is>
      </c>
      <c r="AI520" s="31" t="inlineStr">
        <is>
          <t>https://recuperacaojudicial.squarespace.com/s/RJ-Credimoveis-QGC-01082025.pdf</t>
        </is>
      </c>
      <c r="AJ520" s="30" t="inlineStr">
        <is>
          <t>p15 r54</t>
        </is>
      </c>
      <c r="AK520" s="30" t="inlineStr">
        <is>
          <t>p15: R$ 236.423,00</t>
        </is>
      </c>
      <c r="AL520" s="30" t="inlineStr">
        <is>
          <t>QGC (art. 18)</t>
        </is>
      </c>
      <c r="AM520" s="30" t="inlineStr">
        <is>
          <t>2026-01-28</t>
        </is>
      </c>
      <c r="AN520" s="30" t="inlineStr">
        <is>
          <t>NONE FOUND</t>
        </is>
      </c>
      <c r="AO520" s="32" t="inlineStr">
        <is>
          <t>0007565-40.2020.8.17.2370</t>
        </is>
      </c>
      <c r="AP520" s="32" t="inlineStr">
        <is>
          <t>TJPE</t>
        </is>
      </c>
      <c r="AQ520" s="32" t="inlineStr">
        <is>
          <t>Recuperação judicial</t>
        </is>
      </c>
      <c r="AR520" s="32" t="inlineStr">
        <is>
          <t>DataJud: no closure/falência movement</t>
        </is>
      </c>
      <c r="AS520" s="32" t="n">
        <v>2020</v>
      </c>
      <c r="AT520" s="32" t="inlineStr">
        <is>
          <t>6y since filing; plan not in our documents</t>
        </is>
      </c>
      <c r="AU520" s="32" t="inlineStr">
        <is>
          <t>09.930.165/0001-37</t>
        </is>
      </c>
      <c r="AV520" s="32" t="inlineStr">
        <is>
          <t>printed on the list (read twice)</t>
        </is>
      </c>
      <c r="AW520" s="32" t="inlineStr"/>
      <c r="AX520" s="32" t="inlineStr">
        <is>
          <t>LINHARES</t>
        </is>
      </c>
      <c r="AY520" s="32" t="inlineStr">
        <is>
          <t>ES</t>
        </is>
      </c>
      <c r="AZ520" s="32" t="inlineStr">
        <is>
          <t>Fabricação de móveis com predominância de madeira</t>
        </is>
      </c>
      <c r="BA520" s="32" t="inlineStr">
        <is>
          <t>não ME/EPP</t>
        </is>
      </c>
      <c r="BB520" s="33" t="n">
        <v>4734112</v>
      </c>
      <c r="BC520" s="32" t="inlineStr">
        <is>
          <t>MID-MARKET</t>
        </is>
      </c>
      <c r="BD520" s="32" t="inlineStr">
        <is>
          <t>18304707</t>
        </is>
      </c>
      <c r="BE520" s="32" t="n">
        <v>1</v>
      </c>
      <c r="BF520" s="32" t="inlineStr"/>
    </row>
    <row r="521">
      <c r="A521" s="17" t="inlineStr">
        <is>
          <t>HNK BR INDUSTRIA DE BEBIDAS LTDA.</t>
        </is>
      </c>
      <c r="B521" s="18" t="n">
        <v>263157.28</v>
      </c>
      <c r="C521" s="19" t="inlineStr">
        <is>
          <t>GRUPO 3E</t>
        </is>
      </c>
      <c r="D521" s="20" t="inlineStr">
        <is>
          <t>NEW</t>
        </is>
      </c>
      <c r="E521" s="21" t="inlineStr"/>
      <c r="F521" s="20" t="inlineStr"/>
      <c r="G521" s="21" t="inlineStr"/>
      <c r="H521" s="20" t="inlineStr"/>
      <c r="I521" s="22" t="inlineStr">
        <is>
          <t>Amanda Vieira</t>
        </is>
      </c>
      <c r="J521" s="22" t="inlineStr">
        <is>
          <t>Coordenador de Contas a Receber</t>
        </is>
      </c>
      <c r="K521" s="22" t="inlineStr">
        <is>
          <t>(11) 2118-9500</t>
        </is>
      </c>
      <c r="L521" s="22" t="inlineStr"/>
      <c r="M521" s="22" t="inlineStr"/>
      <c r="N521" s="22" t="inlineStr">
        <is>
          <t>amanda.vieira@heineken.com</t>
        </is>
      </c>
      <c r="O521" s="22" t="inlineStr">
        <is>
          <t>extrapolated</t>
        </is>
      </c>
      <c r="P521" s="22" t="inlineStr">
        <is>
          <t>Marcio Fernandes</t>
        </is>
      </c>
      <c r="Q521" s="22" t="inlineStr">
        <is>
          <t>Finance Director</t>
        </is>
      </c>
      <c r="R521" s="22" t="inlineStr"/>
      <c r="S521" s="22" t="inlineStr">
        <is>
          <t>marcio.fernandes@heineken.com</t>
        </is>
      </c>
      <c r="T521" s="22" t="inlineStr">
        <is>
          <t>DM: DM (email extrapolated); LARGE CORP. 'Hnk Br Bebidas' returned 0; HNK BR = Heineken Brasil. VERIFY org: The HEINEKEN Company (Brazil-based people); BACKUP: backup; VERIFY org: Apollo has this person at 'The HEINEKEN Company'</t>
        </is>
      </c>
      <c r="U521" s="24" t="n">
        <v>263157.28</v>
      </c>
      <c r="V521" s="25" t="inlineStr">
        <is>
          <t>B</t>
        </is>
      </c>
      <c r="W521" s="26" t="n">
        <v>0.12</v>
      </c>
      <c r="X521" s="27" t="n">
        <v>2</v>
      </c>
      <c r="Y521" s="27" t="n">
        <v>13</v>
      </c>
      <c r="Z521" s="26">
        <f>IF(W521&lt;&gt;"",W521,IFERROR(VLOOKUP(V521,Assumptions!$A$8:$F$12,2,FALSE),0))</f>
        <v/>
      </c>
      <c r="AA521" s="28">
        <f>IF(V521="A",MAX(1,IF(X521&lt;&gt;"",X521,IFERROR(VLOOKUP(V521,Assumptions!$A$8:$F$12,3,FALSE),3))+IF(Y521&lt;&gt;"",Y521,IFERROR(VLOOKUP(V521,Assumptions!$A$8:$F$12,4,FALSE),8))/2-MAX(0,IF(AS521="",0,YEAR(TODAY())-AS521)-IFERROR(VLOOKUP(V521,Assumptions!$A$8:$F$12,5,FALSE),1.5))),IFERROR(VLOOKUP(V521,Assumptions!$A$8:$F$12,5,FALSE),2.5)+IF(X521&lt;&gt;"",X521,IFERROR(VLOOKUP(V521,Assumptions!$A$8:$F$12,3,FALSE),3))+IF(Y521&lt;&gt;"",Y521,IFERROR(VLOOKUP(V521,Assumptions!$A$8:$F$12,4,FALSE),8))/2)</f>
        <v/>
      </c>
      <c r="AB521" s="24">
        <f>U521*Z521/(1+Assumptions!$B$3)^AA521</f>
        <v/>
      </c>
      <c r="AC521" s="27">
        <f>IF(U521=0,"",ROUND(AB521/U521*100,1))</f>
        <v/>
      </c>
      <c r="AD521" s="29">
        <f>AB521*Assumptions!$B$4</f>
        <v/>
      </c>
      <c r="AE521" s="27">
        <f>IF(U521=0,"",ROUND(AD521/U521*100,1))</f>
        <v/>
      </c>
      <c r="AF521" s="29">
        <f>AB521-AD521</f>
        <v/>
      </c>
      <c r="AG521" s="27">
        <f>IF(U521=0,"",ROUND((AB521-AD521)/U521*100,1))</f>
        <v/>
      </c>
      <c r="AH521" s="34" t="inlineStr">
        <is>
          <t>NO TOTALS — list prints none; check page</t>
        </is>
      </c>
      <c r="AI521" s="31" t="inlineStr">
        <is>
          <t>https://stenius.com.br/wp-content/uploads/2026/06/EDITAL-GRUPO-3E.pdf</t>
        </is>
      </c>
      <c r="AJ521" s="30" t="inlineStr">
        <is>
          <t>p14 r35</t>
        </is>
      </c>
      <c r="AK521" s="30" t="inlineStr">
        <is>
          <t>p14: R$ 263.157,28</t>
        </is>
      </c>
      <c r="AL521" s="30" t="inlineStr">
        <is>
          <t>Debtor list (art. 51)</t>
        </is>
      </c>
      <c r="AM521" s="30" t="inlineStr">
        <is>
          <t>2026-06-22</t>
        </is>
      </c>
      <c r="AN521" s="30" t="inlineStr">
        <is>
          <t>PLAN FILED (art. 53), not granted</t>
        </is>
      </c>
      <c r="AO521" s="32" t="inlineStr">
        <is>
          <t>5341375-33.2026.8.09.0049</t>
        </is>
      </c>
      <c r="AP521" s="32" t="inlineStr">
        <is>
          <t>TJGO</t>
        </is>
      </c>
      <c r="AQ521" s="32" t="inlineStr">
        <is>
          <t>Recuperação judicial</t>
        </is>
      </c>
      <c r="AR521" s="32" t="inlineStr">
        <is>
          <t>DataJud: no closure/falência movement</t>
        </is>
      </c>
      <c r="AS521" s="32" t="n">
        <v>2026</v>
      </c>
      <c r="AT521" s="32" t="inlineStr">
        <is>
          <t>plan filed (art. 53), not yet granted</t>
        </is>
      </c>
      <c r="AU521" s="32" t="inlineStr"/>
      <c r="AV521" s="32" t="inlineStr">
        <is>
          <t>printed on the list (read twice)</t>
        </is>
      </c>
      <c r="AW521" s="32" t="inlineStr">
        <is>
          <t>Plano de Recuperação Judicial Grupo 3E v2.0 (Métis), mov. 321, pp.24-25</t>
        </is>
      </c>
      <c r="AX521" s="32" t="inlineStr">
        <is>
          <t>ITU</t>
        </is>
      </c>
      <c r="AY521" s="32" t="inlineStr">
        <is>
          <t>SP</t>
        </is>
      </c>
      <c r="AZ521" s="32" t="inlineStr">
        <is>
          <t>Fabricação de cervejas e chopes</t>
        </is>
      </c>
      <c r="BA521" s="32" t="inlineStr">
        <is>
          <t>não ME/EPP</t>
        </is>
      </c>
      <c r="BB521" s="33" t="n">
        <v>6017633000</v>
      </c>
      <c r="BC521" s="32" t="inlineStr">
        <is>
          <t>LARGE CORP</t>
        </is>
      </c>
      <c r="BD521" s="32" t="inlineStr">
        <is>
          <t>50221019</t>
        </is>
      </c>
      <c r="BE521" s="32" t="n">
        <v>1</v>
      </c>
      <c r="BF521" s="32" t="inlineStr">
        <is>
          <t>list prints no totals</t>
        </is>
      </c>
    </row>
    <row r="522">
      <c r="A522" s="17" t="inlineStr">
        <is>
          <t>GOIASMINAS INDUSTRIA DE LATICINIOS LTDA</t>
        </is>
      </c>
      <c r="B522" s="18" t="n">
        <v>261853.71</v>
      </c>
      <c r="C522" s="19" t="inlineStr">
        <is>
          <t>GRUPO 3E</t>
        </is>
      </c>
      <c r="D522" s="20" t="inlineStr">
        <is>
          <t>NEW</t>
        </is>
      </c>
      <c r="E522" s="21" t="inlineStr"/>
      <c r="F522" s="20" t="inlineStr"/>
      <c r="G522" s="21" t="inlineStr"/>
      <c r="H522" s="20" t="inlineStr"/>
      <c r="I522" s="22" t="inlineStr">
        <is>
          <t>Agnaldo Alves</t>
        </is>
      </c>
      <c r="J522" s="22" t="inlineStr">
        <is>
          <t>Gestor De Credito</t>
        </is>
      </c>
      <c r="K522" s="22" t="inlineStr">
        <is>
          <t>(64) 3447-7500</t>
        </is>
      </c>
      <c r="L522" s="22" t="inlineStr"/>
      <c r="M522" s="22" t="inlineStr"/>
      <c r="N522" s="22" t="inlineStr">
        <is>
          <t>agnaldo.alves@italac.com.br</t>
        </is>
      </c>
      <c r="O522" s="22" t="inlineStr">
        <is>
          <t>verified</t>
        </is>
      </c>
      <c r="P522" s="22" t="inlineStr">
        <is>
          <t>ALEXANDRE BOTELHO TEIXEIRA</t>
        </is>
      </c>
      <c r="Q522" s="22" t="inlineStr">
        <is>
          <t>Sócio-Administrador (RFB partner)</t>
        </is>
      </c>
      <c r="R522" s="22" t="inlineStr"/>
      <c r="S522" s="22" t="inlineStr"/>
      <c r="T522" s="22" t="inlineStr">
        <is>
          <t>DM: DM verified email; LARGE CORP; Apollo org Italac / Goiasminas Industria de Laticínios</t>
        </is>
      </c>
      <c r="U522" s="24" t="n">
        <v>261853.71</v>
      </c>
      <c r="V522" s="25" t="inlineStr">
        <is>
          <t>B</t>
        </is>
      </c>
      <c r="W522" s="26" t="n">
        <v>0.12</v>
      </c>
      <c r="X522" s="27" t="n">
        <v>2</v>
      </c>
      <c r="Y522" s="27" t="n">
        <v>13</v>
      </c>
      <c r="Z522" s="26">
        <f>IF(W522&lt;&gt;"",W522,IFERROR(VLOOKUP(V522,Assumptions!$A$8:$F$12,2,FALSE),0))</f>
        <v/>
      </c>
      <c r="AA522" s="28">
        <f>IF(V522="A",MAX(1,IF(X522&lt;&gt;"",X522,IFERROR(VLOOKUP(V522,Assumptions!$A$8:$F$12,3,FALSE),3))+IF(Y522&lt;&gt;"",Y522,IFERROR(VLOOKUP(V522,Assumptions!$A$8:$F$12,4,FALSE),8))/2-MAX(0,IF(AS522="",0,YEAR(TODAY())-AS522)-IFERROR(VLOOKUP(V522,Assumptions!$A$8:$F$12,5,FALSE),1.5))),IFERROR(VLOOKUP(V522,Assumptions!$A$8:$F$12,5,FALSE),2.5)+IF(X522&lt;&gt;"",X522,IFERROR(VLOOKUP(V522,Assumptions!$A$8:$F$12,3,FALSE),3))+IF(Y522&lt;&gt;"",Y522,IFERROR(VLOOKUP(V522,Assumptions!$A$8:$F$12,4,FALSE),8))/2)</f>
        <v/>
      </c>
      <c r="AB522" s="24">
        <f>U522*Z522/(1+Assumptions!$B$3)^AA522</f>
        <v/>
      </c>
      <c r="AC522" s="27">
        <f>IF(U522=0,"",ROUND(AB522/U522*100,1))</f>
        <v/>
      </c>
      <c r="AD522" s="29">
        <f>AB522*Assumptions!$B$4</f>
        <v/>
      </c>
      <c r="AE522" s="27">
        <f>IF(U522=0,"",ROUND(AD522/U522*100,1))</f>
        <v/>
      </c>
      <c r="AF522" s="29">
        <f>AB522-AD522</f>
        <v/>
      </c>
      <c r="AG522" s="27">
        <f>IF(U522=0,"",ROUND((AB522-AD522)/U522*100,1))</f>
        <v/>
      </c>
      <c r="AH522" s="34" t="inlineStr">
        <is>
          <t>NO TOTALS — list prints none; check page</t>
        </is>
      </c>
      <c r="AI522" s="31" t="inlineStr">
        <is>
          <t>https://stenius.com.br/wp-content/uploads/2026/06/EDITAL-GRUPO-3E.pdf</t>
        </is>
      </c>
      <c r="AJ522" s="30" t="inlineStr">
        <is>
          <t>p14 r60; p14 r61</t>
        </is>
      </c>
      <c r="AK522" s="30" t="inlineStr">
        <is>
          <t>p14: R$ 13.821,53; p14: R$ 248.032,18</t>
        </is>
      </c>
      <c r="AL522" s="30" t="inlineStr">
        <is>
          <t>Debtor list (art. 51)</t>
        </is>
      </c>
      <c r="AM522" s="30" t="inlineStr">
        <is>
          <t>2026-06-22</t>
        </is>
      </c>
      <c r="AN522" s="30" t="inlineStr">
        <is>
          <t>PLAN FILED (art. 53), not granted</t>
        </is>
      </c>
      <c r="AO522" s="32" t="inlineStr">
        <is>
          <t>5341375-33.2026.8.09.0049</t>
        </is>
      </c>
      <c r="AP522" s="32" t="inlineStr">
        <is>
          <t>TJGO</t>
        </is>
      </c>
      <c r="AQ522" s="32" t="inlineStr">
        <is>
          <t>Recuperação judicial</t>
        </is>
      </c>
      <c r="AR522" s="32" t="inlineStr">
        <is>
          <t>DataJud: no closure/falência movement</t>
        </is>
      </c>
      <c r="AS522" s="32" t="n">
        <v>2026</v>
      </c>
      <c r="AT522" s="32" t="inlineStr">
        <is>
          <t>plan filed (art. 53), not yet granted</t>
        </is>
      </c>
      <c r="AU522" s="32" t="inlineStr"/>
      <c r="AV522" s="32" t="inlineStr">
        <is>
          <t>printed on the list (read twice)</t>
        </is>
      </c>
      <c r="AW522" s="32" t="inlineStr">
        <is>
          <t>Plano de Recuperação Judicial Grupo 3E v2.0 (Métis), mov. 321, pp.24-25</t>
        </is>
      </c>
      <c r="AX522" s="32" t="inlineStr">
        <is>
          <t>CORUMBAIBA</t>
        </is>
      </c>
      <c r="AY522" s="32" t="inlineStr">
        <is>
          <t>GO</t>
        </is>
      </c>
      <c r="AZ522" s="32" t="inlineStr">
        <is>
          <t>Fabricação de laticínios</t>
        </is>
      </c>
      <c r="BA522" s="32" t="inlineStr">
        <is>
          <t>não ME/EPP</t>
        </is>
      </c>
      <c r="BB522" s="33" t="n">
        <v>500000000</v>
      </c>
      <c r="BC522" s="32" t="inlineStr">
        <is>
          <t>MID-MARKET</t>
        </is>
      </c>
      <c r="BD522" s="32" t="inlineStr">
        <is>
          <t>01257995</t>
        </is>
      </c>
      <c r="BE522" s="32" t="n">
        <v>2</v>
      </c>
      <c r="BF522" s="32" t="inlineStr">
        <is>
          <t>list prints no totals</t>
        </is>
      </c>
    </row>
    <row r="523">
      <c r="A523" s="17" t="inlineStr">
        <is>
          <t>PRIMA FOODS S.A.</t>
        </is>
      </c>
      <c r="B523" s="18" t="n">
        <v>260820.7</v>
      </c>
      <c r="C523" s="19" t="inlineStr">
        <is>
          <t>GRUPO 3E</t>
        </is>
      </c>
      <c r="D523" s="20" t="inlineStr">
        <is>
          <t>NEW</t>
        </is>
      </c>
      <c r="E523" s="21" t="inlineStr"/>
      <c r="F523" s="20" t="inlineStr"/>
      <c r="G523" s="21" t="inlineStr"/>
      <c r="H523" s="20" t="inlineStr"/>
      <c r="I523" s="22" t="inlineStr">
        <is>
          <t>Valdemar Polizeli</t>
        </is>
      </c>
      <c r="J523" s="22" t="inlineStr">
        <is>
          <t>Gerente de Contas a Pagar e Contas a Receber</t>
        </is>
      </c>
      <c r="K523" s="22" t="inlineStr">
        <is>
          <t>(34) 2108-2200</t>
        </is>
      </c>
      <c r="L523" s="22" t="inlineStr"/>
      <c r="M523" s="22" t="inlineStr"/>
      <c r="N523" s="22" t="inlineStr">
        <is>
          <t>valdemar.polizeli@primafoods.com.br</t>
        </is>
      </c>
      <c r="O523" s="22" t="inlineStr">
        <is>
          <t>verified</t>
        </is>
      </c>
      <c r="P523" s="22" t="inlineStr">
        <is>
          <t>Neusa Antonio</t>
        </is>
      </c>
      <c r="Q523" s="22" t="inlineStr">
        <is>
          <t>Supervisor de Contas a Receber</t>
        </is>
      </c>
      <c r="R523" s="22" t="inlineStr"/>
      <c r="S523" s="22" t="inlineStr">
        <is>
          <t>neusa.antonio@primafoods.com.br</t>
        </is>
      </c>
      <c r="T523" s="22" t="inlineStr">
        <is>
          <t>DM: DM verified email; BACKUP: backup verified email</t>
        </is>
      </c>
      <c r="U523" s="24" t="n">
        <v>260820.7</v>
      </c>
      <c r="V523" s="25" t="inlineStr">
        <is>
          <t>B</t>
        </is>
      </c>
      <c r="W523" s="26" t="n">
        <v>0.12</v>
      </c>
      <c r="X523" s="27" t="n">
        <v>2</v>
      </c>
      <c r="Y523" s="27" t="n">
        <v>13</v>
      </c>
      <c r="Z523" s="26">
        <f>IF(W523&lt;&gt;"",W523,IFERROR(VLOOKUP(V523,Assumptions!$A$8:$F$12,2,FALSE),0))</f>
        <v/>
      </c>
      <c r="AA523" s="28">
        <f>IF(V523="A",MAX(1,IF(X523&lt;&gt;"",X523,IFERROR(VLOOKUP(V523,Assumptions!$A$8:$F$12,3,FALSE),3))+IF(Y523&lt;&gt;"",Y523,IFERROR(VLOOKUP(V523,Assumptions!$A$8:$F$12,4,FALSE),8))/2-MAX(0,IF(AS523="",0,YEAR(TODAY())-AS523)-IFERROR(VLOOKUP(V523,Assumptions!$A$8:$F$12,5,FALSE),1.5))),IFERROR(VLOOKUP(V523,Assumptions!$A$8:$F$12,5,FALSE),2.5)+IF(X523&lt;&gt;"",X523,IFERROR(VLOOKUP(V523,Assumptions!$A$8:$F$12,3,FALSE),3))+IF(Y523&lt;&gt;"",Y523,IFERROR(VLOOKUP(V523,Assumptions!$A$8:$F$12,4,FALSE),8))/2)</f>
        <v/>
      </c>
      <c r="AB523" s="24">
        <f>U523*Z523/(1+Assumptions!$B$3)^AA523</f>
        <v/>
      </c>
      <c r="AC523" s="27">
        <f>IF(U523=0,"",ROUND(AB523/U523*100,1))</f>
        <v/>
      </c>
      <c r="AD523" s="29">
        <f>AB523*Assumptions!$B$4</f>
        <v/>
      </c>
      <c r="AE523" s="27">
        <f>IF(U523=0,"",ROUND(AD523/U523*100,1))</f>
        <v/>
      </c>
      <c r="AF523" s="29">
        <f>AB523-AD523</f>
        <v/>
      </c>
      <c r="AG523" s="27">
        <f>IF(U523=0,"",ROUND((AB523-AD523)/U523*100,1))</f>
        <v/>
      </c>
      <c r="AH523" s="34" t="inlineStr">
        <is>
          <t>NO TOTALS — list prints none; check page</t>
        </is>
      </c>
      <c r="AI523" s="31" t="inlineStr">
        <is>
          <t>https://stenius.com.br/wp-content/uploads/2026/06/EDITAL-GRUPO-3E.pdf</t>
        </is>
      </c>
      <c r="AJ523" s="30" t="inlineStr">
        <is>
          <t>p15 r58</t>
        </is>
      </c>
      <c r="AK523" s="30" t="inlineStr">
        <is>
          <t>p15: R$ 260.820,70</t>
        </is>
      </c>
      <c r="AL523" s="30" t="inlineStr">
        <is>
          <t>Debtor list (art. 51)</t>
        </is>
      </c>
      <c r="AM523" s="30" t="inlineStr">
        <is>
          <t>2026-06-22</t>
        </is>
      </c>
      <c r="AN523" s="30" t="inlineStr">
        <is>
          <t>PLAN FILED (art. 53), not granted</t>
        </is>
      </c>
      <c r="AO523" s="32" t="inlineStr">
        <is>
          <t>5341375-33.2026.8.09.0049</t>
        </is>
      </c>
      <c r="AP523" s="32" t="inlineStr">
        <is>
          <t>TJGO</t>
        </is>
      </c>
      <c r="AQ523" s="32" t="inlineStr">
        <is>
          <t>Recuperação judicial</t>
        </is>
      </c>
      <c r="AR523" s="32" t="inlineStr">
        <is>
          <t>DataJud: no closure/falência movement</t>
        </is>
      </c>
      <c r="AS523" s="32" t="n">
        <v>2026</v>
      </c>
      <c r="AT523" s="32" t="inlineStr">
        <is>
          <t>plan filed (art. 53), not yet granted</t>
        </is>
      </c>
      <c r="AU523" s="32" t="inlineStr"/>
      <c r="AV523" s="32" t="inlineStr">
        <is>
          <t>printed on the list (read twice)</t>
        </is>
      </c>
      <c r="AW523" s="32" t="inlineStr">
        <is>
          <t>Plano de Recuperação Judicial Grupo 3E v2.0 (Métis), mov. 321, pp.24-25</t>
        </is>
      </c>
      <c r="AX523" s="32" t="inlineStr">
        <is>
          <t>ARAGUARI</t>
        </is>
      </c>
      <c r="AY523" s="32" t="inlineStr">
        <is>
          <t>MG</t>
        </is>
      </c>
      <c r="AZ523" s="32" t="inlineStr">
        <is>
          <t>Frigorífico - abate de bovinos</t>
        </is>
      </c>
      <c r="BA523" s="32" t="inlineStr">
        <is>
          <t>não ME/EPP</t>
        </is>
      </c>
      <c r="BB523" s="33" t="n">
        <v>67140000</v>
      </c>
      <c r="BC523" s="32" t="inlineStr">
        <is>
          <t>MID-MARKET</t>
        </is>
      </c>
      <c r="BD523" s="32" t="inlineStr">
        <is>
          <t>16820052</t>
        </is>
      </c>
      <c r="BE523" s="32" t="n">
        <v>1</v>
      </c>
      <c r="BF523" s="32" t="inlineStr">
        <is>
          <t>list prints no totals</t>
        </is>
      </c>
    </row>
    <row r="524">
      <c r="A524" s="17" t="inlineStr">
        <is>
          <t>GOIAS DISTRIBUIDORA DE ALIMENTOS LTDA</t>
        </is>
      </c>
      <c r="B524" s="18" t="n">
        <v>260082.71</v>
      </c>
      <c r="C524" s="19" t="inlineStr">
        <is>
          <t>GRUPO 3E</t>
        </is>
      </c>
      <c r="D524" s="20" t="inlineStr">
        <is>
          <t>NEW</t>
        </is>
      </c>
      <c r="E524" s="21" t="inlineStr"/>
      <c r="F524" s="20" t="inlineStr"/>
      <c r="G524" s="21" t="inlineStr"/>
      <c r="H524" s="20" t="inlineStr"/>
      <c r="I524" s="22" t="inlineStr">
        <is>
          <t>Luiz Mendonca</t>
        </is>
      </c>
      <c r="J524" s="22" t="inlineStr">
        <is>
          <t>Controller Coordinator</t>
        </is>
      </c>
      <c r="K524" s="22" t="inlineStr">
        <is>
          <t>(69) 3293-0496</t>
        </is>
      </c>
      <c r="L524" s="22" t="inlineStr"/>
      <c r="M524" s="22" t="inlineStr"/>
      <c r="N524" s="22" t="inlineStr">
        <is>
          <t>luiz.mendonca@disdal.com.br</t>
        </is>
      </c>
      <c r="O524" s="22" t="inlineStr">
        <is>
          <t>verified</t>
        </is>
      </c>
      <c r="P524" s="22" t="inlineStr">
        <is>
          <t>Hudson Guimaraes</t>
        </is>
      </c>
      <c r="Q524" s="22" t="inlineStr">
        <is>
          <t>Assistente Financeiro Pleno | Analista de Crédito</t>
        </is>
      </c>
      <c r="R524" s="22" t="inlineStr"/>
      <c r="S524" s="22" t="inlineStr">
        <is>
          <t>hudson.guimaraes@disdal.com.br</t>
        </is>
      </c>
      <c r="T524" s="22" t="inlineStr">
        <is>
          <t>DM: DM (verified email); BACKUP: backup (email extrapolated); backup email is pattern-guessed</t>
        </is>
      </c>
      <c r="U524" s="24" t="n">
        <v>260082.71</v>
      </c>
      <c r="V524" s="25" t="inlineStr">
        <is>
          <t>B</t>
        </is>
      </c>
      <c r="W524" s="26" t="n">
        <v>0.12</v>
      </c>
      <c r="X524" s="27" t="n">
        <v>2</v>
      </c>
      <c r="Y524" s="27" t="n">
        <v>13</v>
      </c>
      <c r="Z524" s="26">
        <f>IF(W524&lt;&gt;"",W524,IFERROR(VLOOKUP(V524,Assumptions!$A$8:$F$12,2,FALSE),0))</f>
        <v/>
      </c>
      <c r="AA524" s="28">
        <f>IF(V524="A",MAX(1,IF(X524&lt;&gt;"",X524,IFERROR(VLOOKUP(V524,Assumptions!$A$8:$F$12,3,FALSE),3))+IF(Y524&lt;&gt;"",Y524,IFERROR(VLOOKUP(V524,Assumptions!$A$8:$F$12,4,FALSE),8))/2-MAX(0,IF(AS524="",0,YEAR(TODAY())-AS524)-IFERROR(VLOOKUP(V524,Assumptions!$A$8:$F$12,5,FALSE),1.5))),IFERROR(VLOOKUP(V524,Assumptions!$A$8:$F$12,5,FALSE),2.5)+IF(X524&lt;&gt;"",X524,IFERROR(VLOOKUP(V524,Assumptions!$A$8:$F$12,3,FALSE),3))+IF(Y524&lt;&gt;"",Y524,IFERROR(VLOOKUP(V524,Assumptions!$A$8:$F$12,4,FALSE),8))/2)</f>
        <v/>
      </c>
      <c r="AB524" s="24">
        <f>U524*Z524/(1+Assumptions!$B$3)^AA524</f>
        <v/>
      </c>
      <c r="AC524" s="27">
        <f>IF(U524=0,"",ROUND(AB524/U524*100,1))</f>
        <v/>
      </c>
      <c r="AD524" s="29">
        <f>AB524*Assumptions!$B$4</f>
        <v/>
      </c>
      <c r="AE524" s="27">
        <f>IF(U524=0,"",ROUND(AD524/U524*100,1))</f>
        <v/>
      </c>
      <c r="AF524" s="29">
        <f>AB524-AD524</f>
        <v/>
      </c>
      <c r="AG524" s="27">
        <f>IF(U524=0,"",ROUND((AB524-AD524)/U524*100,1))</f>
        <v/>
      </c>
      <c r="AH524" s="34" t="inlineStr">
        <is>
          <t>NO TOTALS — list prints none; check page</t>
        </is>
      </c>
      <c r="AI524" s="31" t="inlineStr">
        <is>
          <t>https://stenius.com.br/wp-content/uploads/2026/06/EDITAL-GRUPO-3E.pdf</t>
        </is>
      </c>
      <c r="AJ524" s="30" t="inlineStr">
        <is>
          <t>p12 r41</t>
        </is>
      </c>
      <c r="AK524" s="30" t="inlineStr">
        <is>
          <t>p12: R$ 260.082,71</t>
        </is>
      </c>
      <c r="AL524" s="30" t="inlineStr">
        <is>
          <t>Debtor list (art. 51)</t>
        </is>
      </c>
      <c r="AM524" s="30" t="inlineStr">
        <is>
          <t>2026-06-22</t>
        </is>
      </c>
      <c r="AN524" s="30" t="inlineStr">
        <is>
          <t>PLAN FILED (art. 53), not granted</t>
        </is>
      </c>
      <c r="AO524" s="32" t="inlineStr">
        <is>
          <t>5341375-33.2026.8.09.0049</t>
        </is>
      </c>
      <c r="AP524" s="32" t="inlineStr">
        <is>
          <t>TJGO</t>
        </is>
      </c>
      <c r="AQ524" s="32" t="inlineStr">
        <is>
          <t>Recuperação judicial</t>
        </is>
      </c>
      <c r="AR524" s="32" t="inlineStr">
        <is>
          <t>DataJud: no closure/falência movement</t>
        </is>
      </c>
      <c r="AS524" s="32" t="n">
        <v>2026</v>
      </c>
      <c r="AT524" s="32" t="inlineStr">
        <is>
          <t>plan filed (art. 53), not yet granted</t>
        </is>
      </c>
      <c r="AU524" s="32" t="inlineStr"/>
      <c r="AV524" s="32" t="inlineStr">
        <is>
          <t>printed on the list (read twice)</t>
        </is>
      </c>
      <c r="AW524" s="32" t="inlineStr">
        <is>
          <t>Plano de Recuperação Judicial Grupo 3E v2.0 (Métis), mov. 321, pp.24-25</t>
        </is>
      </c>
      <c r="AX524" s="32" t="inlineStr">
        <is>
          <t>APARECIDA DE GOIANIA</t>
        </is>
      </c>
      <c r="AY524" s="32" t="inlineStr">
        <is>
          <t>GO</t>
        </is>
      </c>
      <c r="AZ524" s="32" t="inlineStr">
        <is>
          <t>Comércio atacadista de mercadorias em geral, com predominância de produtos alimentícios</t>
        </is>
      </c>
      <c r="BA524" s="32" t="inlineStr">
        <is>
          <t>não ME/EPP</t>
        </is>
      </c>
      <c r="BB524" s="33" t="n">
        <v>20649100</v>
      </c>
      <c r="BC524" s="32" t="inlineStr">
        <is>
          <t>MID-MARKET</t>
        </is>
      </c>
      <c r="BD524" s="32" t="inlineStr">
        <is>
          <t>20750654</t>
        </is>
      </c>
      <c r="BE524" s="32" t="n">
        <v>1</v>
      </c>
      <c r="BF524" s="32" t="inlineStr">
        <is>
          <t>list prints no totals</t>
        </is>
      </c>
    </row>
    <row r="525">
      <c r="A525" s="17" t="inlineStr">
        <is>
          <t>MADETEC MOVEIS LTDA</t>
        </is>
      </c>
      <c r="B525" s="18" t="n">
        <v>228237</v>
      </c>
      <c r="C525" s="19" t="inlineStr">
        <is>
          <t>CREDIMÓVEIS NOVOLAR LTDA.</t>
        </is>
      </c>
      <c r="D525" s="20" t="inlineStr">
        <is>
          <t>NEW</t>
        </is>
      </c>
      <c r="E525" s="21" t="inlineStr"/>
      <c r="F525" s="20" t="inlineStr"/>
      <c r="G525" s="21" t="inlineStr"/>
      <c r="H525" s="20" t="inlineStr"/>
      <c r="I525" s="22" t="inlineStr">
        <is>
          <t>GIANCARLO BEGA PIZZA</t>
        </is>
      </c>
      <c r="J525" s="23" t="inlineStr">
        <is>
          <t>Sócio-Administrador (RFB partner)</t>
        </is>
      </c>
      <c r="K525" s="22" t="inlineStr">
        <is>
          <t>(43) 3303-1800</t>
        </is>
      </c>
      <c r="L525" s="22" t="inlineStr"/>
      <c r="M525" s="22" t="inlineStr"/>
      <c r="N525" s="22" t="inlineStr"/>
      <c r="O525" s="22" t="inlineStr"/>
      <c r="P525" s="22" t="inlineStr">
        <is>
          <t>Eduardo Balduino</t>
        </is>
      </c>
      <c r="Q525" s="22" t="inlineStr">
        <is>
          <t>Encarregado de Escritório</t>
        </is>
      </c>
      <c r="R525" s="22" t="inlineStr"/>
      <c r="S525" s="22" t="inlineStr"/>
      <c r="T525" s="22" t="inlineStr">
        <is>
          <t>DM = registered partner (RFB QSA); Apollo pick demoted to backup (non-finance role); BACKUP: DM email unavailable</t>
        </is>
      </c>
      <c r="U525" s="24" t="n">
        <v>228237</v>
      </c>
      <c r="V525" s="39" t="inlineStr">
        <is>
          <t>C</t>
        </is>
      </c>
      <c r="W525" s="26" t="inlineStr"/>
      <c r="X525" s="27" t="inlineStr"/>
      <c r="Y525" s="27" t="inlineStr"/>
      <c r="Z525" s="26">
        <f>IF(W525&lt;&gt;"",W525,IFERROR(VLOOKUP(V525,Assumptions!$A$8:$F$12,2,FALSE),0))</f>
        <v/>
      </c>
      <c r="AA525" s="28">
        <f>IF(V525="A",MAX(1,IF(X525&lt;&gt;"",X525,IFERROR(VLOOKUP(V525,Assumptions!$A$8:$F$12,3,FALSE),3))+IF(Y525&lt;&gt;"",Y525,IFERROR(VLOOKUP(V525,Assumptions!$A$8:$F$12,4,FALSE),8))/2-MAX(0,IF(AS525="",0,YEAR(TODAY())-AS525)-IFERROR(VLOOKUP(V525,Assumptions!$A$8:$F$12,5,FALSE),1.5))),IFERROR(VLOOKUP(V525,Assumptions!$A$8:$F$12,5,FALSE),2.5)+IF(X525&lt;&gt;"",X525,IFERROR(VLOOKUP(V525,Assumptions!$A$8:$F$12,3,FALSE),3))+IF(Y525&lt;&gt;"",Y525,IFERROR(VLOOKUP(V525,Assumptions!$A$8:$F$12,4,FALSE),8))/2)</f>
        <v/>
      </c>
      <c r="AB525" s="24">
        <f>U525*Z525/(1+Assumptions!$B$3)^AA525</f>
        <v/>
      </c>
      <c r="AC525" s="27">
        <f>IF(U525=0,"",ROUND(AB525/U525*100,1))</f>
        <v/>
      </c>
      <c r="AD525" s="29">
        <f>AB525*Assumptions!$B$4</f>
        <v/>
      </c>
      <c r="AE525" s="27">
        <f>IF(U525=0,"",ROUND(AD525/U525*100,1))</f>
        <v/>
      </c>
      <c r="AF525" s="29">
        <f>AB525-AD525</f>
        <v/>
      </c>
      <c r="AG525" s="27">
        <f>IF(U525=0,"",ROUND((AB525-AD525)/U525*100,1))</f>
        <v/>
      </c>
      <c r="AH525" s="30" t="inlineStr">
        <is>
          <t>OK — totals reconciled</t>
        </is>
      </c>
      <c r="AI525" s="31" t="inlineStr">
        <is>
          <t>https://recuperacaojudicial.squarespace.com/s/RJ-Credimoveis-QGC-01082025.pdf</t>
        </is>
      </c>
      <c r="AJ525" s="30" t="inlineStr">
        <is>
          <t>p16 r12</t>
        </is>
      </c>
      <c r="AK525" s="30" t="inlineStr">
        <is>
          <t>p16: R$ 228.237,00</t>
        </is>
      </c>
      <c r="AL525" s="30" t="inlineStr">
        <is>
          <t>QGC (art. 18)</t>
        </is>
      </c>
      <c r="AM525" s="30" t="inlineStr">
        <is>
          <t>2026-01-28</t>
        </is>
      </c>
      <c r="AN525" s="30" t="inlineStr">
        <is>
          <t>NONE FOUND</t>
        </is>
      </c>
      <c r="AO525" s="32" t="inlineStr">
        <is>
          <t>0007565-40.2020.8.17.2370</t>
        </is>
      </c>
      <c r="AP525" s="32" t="inlineStr">
        <is>
          <t>TJPE</t>
        </is>
      </c>
      <c r="AQ525" s="32" t="inlineStr">
        <is>
          <t>Recuperação judicial</t>
        </is>
      </c>
      <c r="AR525" s="32" t="inlineStr">
        <is>
          <t>DataJud: no closure/falência movement</t>
        </is>
      </c>
      <c r="AS525" s="32" t="n">
        <v>2020</v>
      </c>
      <c r="AT525" s="32" t="inlineStr">
        <is>
          <t>6y since filing; plan not in our documents</t>
        </is>
      </c>
      <c r="AU525" s="32" t="inlineStr">
        <is>
          <t>09.930.165/0001-37</t>
        </is>
      </c>
      <c r="AV525" s="32" t="inlineStr">
        <is>
          <t>printed on the list (read twice)</t>
        </is>
      </c>
      <c r="AW525" s="32" t="inlineStr"/>
      <c r="AX525" s="32" t="inlineStr">
        <is>
          <t>ARAPONGAS</t>
        </is>
      </c>
      <c r="AY525" s="32" t="inlineStr">
        <is>
          <t>PR</t>
        </is>
      </c>
      <c r="AZ525" s="32" t="inlineStr">
        <is>
          <t>Fabricação de móveis com predominância de madeira</t>
        </is>
      </c>
      <c r="BA525" s="32" t="inlineStr">
        <is>
          <t>não ME/EPP</t>
        </is>
      </c>
      <c r="BB525" s="33" t="n">
        <v>10000000</v>
      </c>
      <c r="BC525" s="32" t="inlineStr">
        <is>
          <t>MID-MARKET</t>
        </is>
      </c>
      <c r="BD525" s="32" t="inlineStr">
        <is>
          <t>02624729</t>
        </is>
      </c>
      <c r="BE525" s="32" t="n">
        <v>1</v>
      </c>
      <c r="BF525" s="32" t="inlineStr"/>
    </row>
    <row r="526">
      <c r="A526" s="17" t="inlineStr">
        <is>
          <t>IMACA LTDA</t>
        </is>
      </c>
      <c r="B526" s="18" t="n">
        <v>417212.12</v>
      </c>
      <c r="C526" s="19" t="inlineStr">
        <is>
          <t>Mannes</t>
        </is>
      </c>
      <c r="D526" s="20" t="inlineStr">
        <is>
          <t>NEW</t>
        </is>
      </c>
      <c r="E526" s="21" t="inlineStr"/>
      <c r="F526" s="20" t="inlineStr"/>
      <c r="G526" s="21" t="inlineStr"/>
      <c r="H526" s="20" t="inlineStr"/>
      <c r="I526" s="22" t="inlineStr">
        <is>
          <t>VITORIA GOOSEN SINGER</t>
        </is>
      </c>
      <c r="J526" s="23" t="inlineStr">
        <is>
          <t>Administrador (RFB partner)</t>
        </is>
      </c>
      <c r="K526" s="22" t="inlineStr"/>
      <c r="L526" s="22" t="inlineStr"/>
      <c r="M526" s="22" t="inlineStr"/>
      <c r="N526" s="22" t="inlineStr"/>
      <c r="O526" s="22" t="inlineStr"/>
      <c r="P526" s="22" t="inlineStr"/>
      <c r="Q526" s="22" t="inlineStr"/>
      <c r="R526" s="22" t="inlineStr"/>
      <c r="S526" s="22" t="inlineStr"/>
      <c r="T526" s="22" t="inlineStr">
        <is>
          <t>DM = registered partner (RFB QSA); no Apollo match; NO ROUTE IN: no phone or email on file</t>
        </is>
      </c>
      <c r="U526" s="24" t="n">
        <v>417212.12</v>
      </c>
      <c r="V526" s="40" t="inlineStr">
        <is>
          <t>D</t>
        </is>
      </c>
      <c r="W526" s="26" t="inlineStr"/>
      <c r="X526" s="27" t="inlineStr"/>
      <c r="Y526" s="27" t="inlineStr"/>
      <c r="Z526" s="26">
        <f>IF(W526&lt;&gt;"",W526,IFERROR(VLOOKUP(V526,Assumptions!$A$8:$F$12,2,FALSE),0))</f>
        <v/>
      </c>
      <c r="AA526" s="28">
        <f>IF(V526="A",MAX(1,IF(X526&lt;&gt;"",X526,IFERROR(VLOOKUP(V526,Assumptions!$A$8:$F$12,3,FALSE),3))+IF(Y526&lt;&gt;"",Y526,IFERROR(VLOOKUP(V526,Assumptions!$A$8:$F$12,4,FALSE),8))/2-MAX(0,IF(AS526="",0,YEAR(TODAY())-AS526)-IFERROR(VLOOKUP(V526,Assumptions!$A$8:$F$12,5,FALSE),1.5))),IFERROR(VLOOKUP(V526,Assumptions!$A$8:$F$12,5,FALSE),2.5)+IF(X526&lt;&gt;"",X526,IFERROR(VLOOKUP(V526,Assumptions!$A$8:$F$12,3,FALSE),3))+IF(Y526&lt;&gt;"",Y526,IFERROR(VLOOKUP(V526,Assumptions!$A$8:$F$12,4,FALSE),8))/2)</f>
        <v/>
      </c>
      <c r="AB526" s="24">
        <f>U526*Z526/(1+Assumptions!$B$3)^AA526</f>
        <v/>
      </c>
      <c r="AC526" s="27">
        <f>IF(U526=0,"",ROUND(AB526/U526*100,1))</f>
        <v/>
      </c>
      <c r="AD526" s="29">
        <f>AB526*Assumptions!$B$4</f>
        <v/>
      </c>
      <c r="AE526" s="27">
        <f>IF(U526=0,"",ROUND(AD526/U526*100,1))</f>
        <v/>
      </c>
      <c r="AF526" s="29">
        <f>AB526-AD526</f>
        <v/>
      </c>
      <c r="AG526" s="27">
        <f>IF(U526=0,"",ROUND((AB526-AD526)/U526*100,1))</f>
        <v/>
      </c>
      <c r="AH526" s="36" t="inlineStr">
        <is>
          <t>CHECK — source is not a statutory creditor list</t>
        </is>
      </c>
      <c r="AI526" s="31" t="inlineStr">
        <is>
          <t>https://administradorajudicialgs.com.br/wp-content/uploads/2024/12/relacao-de-credores-da-falida.pdf</t>
        </is>
      </c>
      <c r="AJ526" s="30" t="inlineStr">
        <is>
          <t>p15 r22</t>
        </is>
      </c>
      <c r="AK526" s="30" t="inlineStr">
        <is>
          <t>p15: R$ 417.212,12</t>
        </is>
      </c>
      <c r="AL526" s="30" t="inlineStr">
        <is>
          <t>Other filing — NOT an art. 7/51 list</t>
        </is>
      </c>
      <c r="AM526" s="30" t="inlineStr">
        <is>
          <t>2025-03-25</t>
        </is>
      </c>
      <c r="AN526" s="30" t="inlineStr">
        <is>
          <t>NONE FOUND</t>
        </is>
      </c>
      <c r="AO526" s="32" t="inlineStr">
        <is>
          <t>0005010-50.2013.8.24.0026</t>
        </is>
      </c>
      <c r="AP526" s="32" t="inlineStr">
        <is>
          <t>TJSC</t>
        </is>
      </c>
      <c r="AQ526" s="32" t="inlineStr">
        <is>
          <t>Falência</t>
        </is>
      </c>
      <c r="AR526" s="32" t="inlineStr">
        <is>
          <t>not in DataJud</t>
        </is>
      </c>
      <c r="AS526" s="32" t="n">
        <v>2013</v>
      </c>
      <c r="AT526" s="32" t="inlineStr">
        <is>
          <t>falência proceeding (list/name says falida)</t>
        </is>
      </c>
      <c r="AU526" s="32" t="inlineStr"/>
      <c r="AV526" s="32" t="inlineStr">
        <is>
          <t>printed on the list (read twice)</t>
        </is>
      </c>
      <c r="AW526" s="32" t="inlineStr"/>
      <c r="AX526" s="32" t="inlineStr">
        <is>
          <t>CURITIBA</t>
        </is>
      </c>
      <c r="AY526" s="32" t="inlineStr">
        <is>
          <t>PR</t>
        </is>
      </c>
      <c r="AZ526" s="32" t="inlineStr">
        <is>
          <t>Fabricação de artefatos diversos de madeira, exceto móveis</t>
        </is>
      </c>
      <c r="BA526" s="32" t="inlineStr">
        <is>
          <t>não ME/EPP</t>
        </is>
      </c>
      <c r="BB526" s="33" t="n">
        <v>6000000</v>
      </c>
      <c r="BC526" s="32" t="inlineStr">
        <is>
          <t>MID-MARKET</t>
        </is>
      </c>
      <c r="BD526" s="32" t="inlineStr">
        <is>
          <t>76495209</t>
        </is>
      </c>
      <c r="BE526" s="32" t="n">
        <v>1</v>
      </c>
      <c r="BF526" s="32" t="inlineStr">
        <is>
          <t>list prints no totals case no. corrected by reader no route in</t>
        </is>
      </c>
    </row>
    <row r="527">
      <c r="A527" s="17" t="inlineStr">
        <is>
          <t>LINEA BRASIL IND E COM DE MOVEIS LTDA</t>
        </is>
      </c>
      <c r="B527" s="18" t="n">
        <v>224015.98</v>
      </c>
      <c r="C527" s="19" t="inlineStr">
        <is>
          <t>CREDIMÓVEIS NOVOLAR LTDA.</t>
        </is>
      </c>
      <c r="D527" s="20" t="inlineStr">
        <is>
          <t>NEW</t>
        </is>
      </c>
      <c r="E527" s="21" t="inlineStr"/>
      <c r="F527" s="20" t="inlineStr"/>
      <c r="G527" s="21" t="inlineStr"/>
      <c r="H527" s="20" t="inlineStr"/>
      <c r="I527" s="22" t="inlineStr">
        <is>
          <t>Claudio Fernandes</t>
        </is>
      </c>
      <c r="J527" s="22" t="inlineStr">
        <is>
          <t>Financial Coordinator</t>
        </is>
      </c>
      <c r="K527" s="22" t="inlineStr">
        <is>
          <t>(43) 3056-3780</t>
        </is>
      </c>
      <c r="L527" s="22" t="inlineStr"/>
      <c r="M527" s="22" t="inlineStr"/>
      <c r="N527" s="22" t="inlineStr">
        <is>
          <t>claudio.junior@lineabrasil.com.br</t>
        </is>
      </c>
      <c r="O527" s="22" t="inlineStr">
        <is>
          <t>verified</t>
        </is>
      </c>
      <c r="P527" s="22" t="inlineStr">
        <is>
          <t>Cristiano Costa</t>
        </is>
      </c>
      <c r="Q527" s="22" t="inlineStr">
        <is>
          <t>Gerente de Planejamento &amp; Controle</t>
        </is>
      </c>
      <c r="R527" s="22" t="inlineStr"/>
      <c r="S527" s="22" t="inlineStr">
        <is>
          <t>cristiano.costa@lineabrasil.com.br</t>
        </is>
      </c>
      <c r="T527" s="22" t="inlineStr">
        <is>
          <t>DM: DM verified email; BACKUP: backup verified email</t>
        </is>
      </c>
      <c r="U527" s="24" t="n">
        <v>224015.98</v>
      </c>
      <c r="V527" s="39" t="inlineStr">
        <is>
          <t>C</t>
        </is>
      </c>
      <c r="W527" s="26" t="inlineStr"/>
      <c r="X527" s="27" t="inlineStr"/>
      <c r="Y527" s="27" t="inlineStr"/>
      <c r="Z527" s="26">
        <f>IF(W527&lt;&gt;"",W527,IFERROR(VLOOKUP(V527,Assumptions!$A$8:$F$12,2,FALSE),0))</f>
        <v/>
      </c>
      <c r="AA527" s="28">
        <f>IF(V527="A",MAX(1,IF(X527&lt;&gt;"",X527,IFERROR(VLOOKUP(V527,Assumptions!$A$8:$F$12,3,FALSE),3))+IF(Y527&lt;&gt;"",Y527,IFERROR(VLOOKUP(V527,Assumptions!$A$8:$F$12,4,FALSE),8))/2-MAX(0,IF(AS527="",0,YEAR(TODAY())-AS527)-IFERROR(VLOOKUP(V527,Assumptions!$A$8:$F$12,5,FALSE),1.5))),IFERROR(VLOOKUP(V527,Assumptions!$A$8:$F$12,5,FALSE),2.5)+IF(X527&lt;&gt;"",X527,IFERROR(VLOOKUP(V527,Assumptions!$A$8:$F$12,3,FALSE),3))+IF(Y527&lt;&gt;"",Y527,IFERROR(VLOOKUP(V527,Assumptions!$A$8:$F$12,4,FALSE),8))/2)</f>
        <v/>
      </c>
      <c r="AB527" s="24">
        <f>U527*Z527/(1+Assumptions!$B$3)^AA527</f>
        <v/>
      </c>
      <c r="AC527" s="27">
        <f>IF(U527=0,"",ROUND(AB527/U527*100,1))</f>
        <v/>
      </c>
      <c r="AD527" s="29">
        <f>AB527*Assumptions!$B$4</f>
        <v/>
      </c>
      <c r="AE527" s="27">
        <f>IF(U527=0,"",ROUND(AD527/U527*100,1))</f>
        <v/>
      </c>
      <c r="AF527" s="29">
        <f>AB527-AD527</f>
        <v/>
      </c>
      <c r="AG527" s="27">
        <f>IF(U527=0,"",ROUND((AB527-AD527)/U527*100,1))</f>
        <v/>
      </c>
      <c r="AH527" s="30" t="inlineStr">
        <is>
          <t>OK — totals reconciled</t>
        </is>
      </c>
      <c r="AI527" s="31" t="inlineStr">
        <is>
          <t>https://recuperacaojudicial.squarespace.com/s/RJ-Credimoveis-QGC-01082025.pdf</t>
        </is>
      </c>
      <c r="AJ527" s="30" t="inlineStr">
        <is>
          <t>p16 r8</t>
        </is>
      </c>
      <c r="AK527" s="30" t="inlineStr">
        <is>
          <t>p16: R$ 224.015,98</t>
        </is>
      </c>
      <c r="AL527" s="30" t="inlineStr">
        <is>
          <t>QGC (art. 18)</t>
        </is>
      </c>
      <c r="AM527" s="30" t="inlineStr">
        <is>
          <t>2026-01-28</t>
        </is>
      </c>
      <c r="AN527" s="30" t="inlineStr">
        <is>
          <t>NONE FOUND</t>
        </is>
      </c>
      <c r="AO527" s="32" t="inlineStr">
        <is>
          <t>0007565-40.2020.8.17.2370</t>
        </is>
      </c>
      <c r="AP527" s="32" t="inlineStr">
        <is>
          <t>TJPE</t>
        </is>
      </c>
      <c r="AQ527" s="32" t="inlineStr">
        <is>
          <t>Recuperação judicial</t>
        </is>
      </c>
      <c r="AR527" s="32" t="inlineStr">
        <is>
          <t>DataJud: no closure/falência movement</t>
        </is>
      </c>
      <c r="AS527" s="32" t="n">
        <v>2020</v>
      </c>
      <c r="AT527" s="32" t="inlineStr">
        <is>
          <t>6y since filing; plan not in our documents</t>
        </is>
      </c>
      <c r="AU527" s="32" t="inlineStr">
        <is>
          <t>09.930.165/0001-37</t>
        </is>
      </c>
      <c r="AV527" s="32" t="inlineStr">
        <is>
          <t>printed on the list (read twice)</t>
        </is>
      </c>
      <c r="AW527" s="32" t="inlineStr"/>
      <c r="AX527" s="32" t="inlineStr">
        <is>
          <t>ARAPONGAS</t>
        </is>
      </c>
      <c r="AY527" s="32" t="inlineStr">
        <is>
          <t>PR</t>
        </is>
      </c>
      <c r="AZ527" s="32" t="inlineStr">
        <is>
          <t>Fabricação de móveis com predominância de madeira</t>
        </is>
      </c>
      <c r="BA527" s="32" t="inlineStr">
        <is>
          <t>não ME/EPP</t>
        </is>
      </c>
      <c r="BB527" s="33" t="n">
        <v>13930000</v>
      </c>
      <c r="BC527" s="32" t="inlineStr">
        <is>
          <t>MID-MARKET</t>
        </is>
      </c>
      <c r="BD527" s="32" t="inlineStr">
        <is>
          <t>95387569</t>
        </is>
      </c>
      <c r="BE527" s="32" t="n">
        <v>1</v>
      </c>
      <c r="BF527" s="32" t="inlineStr"/>
    </row>
    <row r="528">
      <c r="A528" s="17" t="inlineStr">
        <is>
          <t>USINA DE VENDAS SOLUCOES COMERCIAIS EM DISTRIBUICAO LTDA EM RECUPERACAO JUDICIAL</t>
        </is>
      </c>
      <c r="B528" s="18" t="n">
        <v>223400</v>
      </c>
      <c r="C528" s="19" t="inlineStr">
        <is>
          <t>CREDIMÓVEIS NOVOLAR LTDA.</t>
        </is>
      </c>
      <c r="D528" s="20" t="inlineStr">
        <is>
          <t>NEW</t>
        </is>
      </c>
      <c r="E528" s="21" t="inlineStr"/>
      <c r="F528" s="20" t="inlineStr"/>
      <c r="G528" s="21" t="inlineStr"/>
      <c r="H528" s="20" t="inlineStr"/>
      <c r="I528" s="22" t="inlineStr">
        <is>
          <t>Nelson Dias</t>
        </is>
      </c>
      <c r="J528" s="22" t="inlineStr">
        <is>
          <t>Financial Analyst</t>
        </is>
      </c>
      <c r="K528" s="22" t="inlineStr">
        <is>
          <t>(11) 4179-0001</t>
        </is>
      </c>
      <c r="L528" s="22" t="inlineStr"/>
      <c r="M528" s="22" t="inlineStr"/>
      <c r="N528" s="22" t="inlineStr">
        <is>
          <t>nelson.dias@usinadevendas.com.br</t>
        </is>
      </c>
      <c r="O528" s="22" t="inlineStr">
        <is>
          <t>verified</t>
        </is>
      </c>
      <c r="P528" s="22" t="inlineStr">
        <is>
          <t>Clodoaldo Ferreira</t>
        </is>
      </c>
      <c r="Q528" s="22" t="inlineStr">
        <is>
          <t>Sales</t>
        </is>
      </c>
      <c r="R528" s="22" t="inlineStr"/>
      <c r="S528" s="22" t="inlineStr">
        <is>
          <t>clodoaldo.ferreira@usinadevendas.com.br</t>
        </is>
      </c>
      <c r="T528" s="22" t="inlineStr">
        <is>
          <t>DM: DM verified email; BACKUP: backup extrapolated email (no other staff); backup email is pattern-guessed</t>
        </is>
      </c>
      <c r="U528" s="24" t="n">
        <v>223400</v>
      </c>
      <c r="V528" s="39" t="inlineStr">
        <is>
          <t>C</t>
        </is>
      </c>
      <c r="W528" s="26" t="inlineStr"/>
      <c r="X528" s="27" t="inlineStr"/>
      <c r="Y528" s="27" t="inlineStr"/>
      <c r="Z528" s="26">
        <f>IF(W528&lt;&gt;"",W528,IFERROR(VLOOKUP(V528,Assumptions!$A$8:$F$12,2,FALSE),0))</f>
        <v/>
      </c>
      <c r="AA528" s="28">
        <f>IF(V528="A",MAX(1,IF(X528&lt;&gt;"",X528,IFERROR(VLOOKUP(V528,Assumptions!$A$8:$F$12,3,FALSE),3))+IF(Y528&lt;&gt;"",Y528,IFERROR(VLOOKUP(V528,Assumptions!$A$8:$F$12,4,FALSE),8))/2-MAX(0,IF(AS528="",0,YEAR(TODAY())-AS528)-IFERROR(VLOOKUP(V528,Assumptions!$A$8:$F$12,5,FALSE),1.5))),IFERROR(VLOOKUP(V528,Assumptions!$A$8:$F$12,5,FALSE),2.5)+IF(X528&lt;&gt;"",X528,IFERROR(VLOOKUP(V528,Assumptions!$A$8:$F$12,3,FALSE),3))+IF(Y528&lt;&gt;"",Y528,IFERROR(VLOOKUP(V528,Assumptions!$A$8:$F$12,4,FALSE),8))/2)</f>
        <v/>
      </c>
      <c r="AB528" s="24">
        <f>U528*Z528/(1+Assumptions!$B$3)^AA528</f>
        <v/>
      </c>
      <c r="AC528" s="27">
        <f>IF(U528=0,"",ROUND(AB528/U528*100,1))</f>
        <v/>
      </c>
      <c r="AD528" s="29">
        <f>AB528*Assumptions!$B$4</f>
        <v/>
      </c>
      <c r="AE528" s="27">
        <f>IF(U528=0,"",ROUND(AD528/U528*100,1))</f>
        <v/>
      </c>
      <c r="AF528" s="29">
        <f>AB528-AD528</f>
        <v/>
      </c>
      <c r="AG528" s="27">
        <f>IF(U528=0,"",ROUND((AB528-AD528)/U528*100,1))</f>
        <v/>
      </c>
      <c r="AH528" s="30" t="inlineStr">
        <is>
          <t>OK — totals reconciled</t>
        </is>
      </c>
      <c r="AI528" s="31" t="inlineStr">
        <is>
          <t>https://recuperacaojudicial.squarespace.com/s/RJ-Credimoveis-QGC-01082025.pdf</t>
        </is>
      </c>
      <c r="AJ528" s="30" t="inlineStr">
        <is>
          <t>p17 r8</t>
        </is>
      </c>
      <c r="AK528" s="30" t="inlineStr">
        <is>
          <t>p17: R$ 223.400,00</t>
        </is>
      </c>
      <c r="AL528" s="30" t="inlineStr">
        <is>
          <t>QGC (art. 18)</t>
        </is>
      </c>
      <c r="AM528" s="30" t="inlineStr">
        <is>
          <t>2026-01-28</t>
        </is>
      </c>
      <c r="AN528" s="30" t="inlineStr">
        <is>
          <t>NONE FOUND</t>
        </is>
      </c>
      <c r="AO528" s="32" t="inlineStr">
        <is>
          <t>0007565-40.2020.8.17.2370</t>
        </is>
      </c>
      <c r="AP528" s="32" t="inlineStr">
        <is>
          <t>TJPE</t>
        </is>
      </c>
      <c r="AQ528" s="32" t="inlineStr">
        <is>
          <t>Recuperação judicial</t>
        </is>
      </c>
      <c r="AR528" s="32" t="inlineStr">
        <is>
          <t>DataJud: no closure/falência movement</t>
        </is>
      </c>
      <c r="AS528" s="32" t="n">
        <v>2020</v>
      </c>
      <c r="AT528" s="32" t="inlineStr">
        <is>
          <t>6y since filing; plan not in our documents</t>
        </is>
      </c>
      <c r="AU528" s="32" t="inlineStr">
        <is>
          <t>09.930.165/0001-37</t>
        </is>
      </c>
      <c r="AV528" s="32" t="inlineStr">
        <is>
          <t>printed on the list (read twice)</t>
        </is>
      </c>
      <c r="AW528" s="32" t="inlineStr"/>
      <c r="AX528" s="32" t="inlineStr">
        <is>
          <t>SAO PAULO</t>
        </is>
      </c>
      <c r="AY528" s="32" t="inlineStr">
        <is>
          <t>SP</t>
        </is>
      </c>
      <c r="AZ528" s="32" t="inlineStr">
        <is>
          <t>Comércio atacadista de componentes eletrônicos e equipamentos de telefonia e comunicação</t>
        </is>
      </c>
      <c r="BA528" s="32" t="inlineStr">
        <is>
          <t>não ME/EPP</t>
        </is>
      </c>
      <c r="BB528" s="33" t="n">
        <v>5531744</v>
      </c>
      <c r="BC528" s="32" t="inlineStr">
        <is>
          <t>MID-MARKET</t>
        </is>
      </c>
      <c r="BD528" s="32" t="inlineStr">
        <is>
          <t>09373468</t>
        </is>
      </c>
      <c r="BE528" s="32" t="n">
        <v>1</v>
      </c>
      <c r="BF528" s="32" t="inlineStr"/>
    </row>
    <row r="529">
      <c r="A529" s="17" t="inlineStr">
        <is>
          <t>ARCELORMITTAL BRASIL S.A.</t>
        </is>
      </c>
      <c r="B529" s="18" t="n">
        <v>222839.19</v>
      </c>
      <c r="C529" s="19" t="inlineStr">
        <is>
          <t>Roque Materiais para Construção</t>
        </is>
      </c>
      <c r="D529" s="20" t="inlineStr">
        <is>
          <t>NEW</t>
        </is>
      </c>
      <c r="E529" s="21" t="inlineStr"/>
      <c r="F529" s="20" t="inlineStr"/>
      <c r="G529" s="21" t="inlineStr"/>
      <c r="H529" s="20" t="inlineStr"/>
      <c r="I529" s="22" t="inlineStr">
        <is>
          <t>Fabiano Quintao</t>
        </is>
      </c>
      <c r="J529" s="22" t="inlineStr">
        <is>
          <t>Operations Manager</t>
        </is>
      </c>
      <c r="K529" s="22" t="inlineStr">
        <is>
          <t>(31) 3219-1485</t>
        </is>
      </c>
      <c r="L529" s="22" t="inlineStr"/>
      <c r="M529" s="22" t="inlineStr"/>
      <c r="N529" s="22" t="inlineStr">
        <is>
          <t>fabiano.quintao@arcelormittal.com</t>
        </is>
      </c>
      <c r="O529" s="22" t="inlineStr">
        <is>
          <t>verified</t>
        </is>
      </c>
      <c r="P529" s="22" t="inlineStr">
        <is>
          <t>Julio Barbosa</t>
        </is>
      </c>
      <c r="Q529" s="22" t="inlineStr">
        <is>
          <t>Controller</t>
        </is>
      </c>
      <c r="R529" s="22" t="inlineStr"/>
      <c r="S529" s="22" t="inlineStr">
        <is>
          <t>julio.barbosa@arcelormittal.com</t>
        </is>
      </c>
      <c r="T529" s="22" t="inlineStr">
        <is>
          <t>DM: DM (verified; title changed on reveal — ex-Controller); LARGE CORP. No AR/credit manager surfaced (only intern). Diretor Financeiro Unidade Tuper (66d5f2b15edb700001fd9d8f) available if a director is preferred.; BACKUP: backup (verified; headline says utilities distribution controller, not finance)</t>
        </is>
      </c>
      <c r="U529" s="24" t="n">
        <v>222839.19</v>
      </c>
      <c r="V529" s="39" t="inlineStr">
        <is>
          <t>C</t>
        </is>
      </c>
      <c r="W529" s="26" t="inlineStr"/>
      <c r="X529" s="27" t="inlineStr"/>
      <c r="Y529" s="27" t="inlineStr"/>
      <c r="Z529" s="26">
        <f>IF(W529&lt;&gt;"",W529,IFERROR(VLOOKUP(V529,Assumptions!$A$8:$F$12,2,FALSE),0))</f>
        <v/>
      </c>
      <c r="AA529" s="28">
        <f>IF(V529="A",MAX(1,IF(X529&lt;&gt;"",X529,IFERROR(VLOOKUP(V529,Assumptions!$A$8:$F$12,3,FALSE),3))+IF(Y529&lt;&gt;"",Y529,IFERROR(VLOOKUP(V529,Assumptions!$A$8:$F$12,4,FALSE),8))/2-MAX(0,IF(AS529="",0,YEAR(TODAY())-AS529)-IFERROR(VLOOKUP(V529,Assumptions!$A$8:$F$12,5,FALSE),1.5))),IFERROR(VLOOKUP(V529,Assumptions!$A$8:$F$12,5,FALSE),2.5)+IF(X529&lt;&gt;"",X529,IFERROR(VLOOKUP(V529,Assumptions!$A$8:$F$12,3,FALSE),3))+IF(Y529&lt;&gt;"",Y529,IFERROR(VLOOKUP(V529,Assumptions!$A$8:$F$12,4,FALSE),8))/2)</f>
        <v/>
      </c>
      <c r="AB529" s="24">
        <f>U529*Z529/(1+Assumptions!$B$3)^AA529</f>
        <v/>
      </c>
      <c r="AC529" s="27">
        <f>IF(U529=0,"",ROUND(AB529/U529*100,1))</f>
        <v/>
      </c>
      <c r="AD529" s="29">
        <f>AB529*Assumptions!$B$4</f>
        <v/>
      </c>
      <c r="AE529" s="27">
        <f>IF(U529=0,"",ROUND(AD529/U529*100,1))</f>
        <v/>
      </c>
      <c r="AF529" s="29">
        <f>AB529-AD529</f>
        <v/>
      </c>
      <c r="AG529" s="27">
        <f>IF(U529=0,"",ROUND((AB529-AD529)/U529*100,1))</f>
        <v/>
      </c>
      <c r="AH529" s="30" t="inlineStr">
        <is>
          <t>OK — totals reconciled</t>
        </is>
      </c>
      <c r="AI529" s="31" t="inlineStr">
        <is>
          <t>https://realbrasil.com.br/wp-content/uploads/2018/06/2_LISTA-DE-CREDORES-DA-RECUPERANDA_ROQUE.pdf</t>
        </is>
      </c>
      <c r="AJ529" s="30" t="inlineStr">
        <is>
          <t>p2 r9</t>
        </is>
      </c>
      <c r="AK529" s="30" t="inlineStr">
        <is>
          <t>p2: R$ 222.839,19</t>
        </is>
      </c>
      <c r="AL529" s="30" t="inlineStr">
        <is>
          <t>Unclassified list</t>
        </is>
      </c>
      <c r="AM529" s="30" t="inlineStr"/>
      <c r="AN529" s="30" t="inlineStr">
        <is>
          <t>NONE FOUND</t>
        </is>
      </c>
      <c r="AO529" s="32" t="inlineStr">
        <is>
          <t>0802426-35.2019.8.10.0000</t>
        </is>
      </c>
      <c r="AP529" s="32" t="inlineStr">
        <is>
          <t>TJMA</t>
        </is>
      </c>
      <c r="AQ529" s="32" t="inlineStr"/>
      <c r="AR529" s="32" t="inlineStr">
        <is>
          <t>not in DataJud</t>
        </is>
      </c>
      <c r="AS529" s="32" t="n">
        <v>2019</v>
      </c>
      <c r="AT529" s="32" t="inlineStr">
        <is>
          <t>7y since filing; plan not in our documents; case no. from the portal record, not printed on the list</t>
        </is>
      </c>
      <c r="AU529" s="32" t="inlineStr"/>
      <c r="AV529" s="32" t="inlineStr">
        <is>
          <t>portal page title / URL — not printed on the list</t>
        </is>
      </c>
      <c r="AW529" s="32" t="inlineStr"/>
      <c r="AX529" s="32" t="inlineStr">
        <is>
          <t>BELO HORIZONTE</t>
        </is>
      </c>
      <c r="AY529" s="32" t="inlineStr">
        <is>
          <t>MG</t>
        </is>
      </c>
      <c r="AZ529" s="32" t="inlineStr">
        <is>
          <t>Produção de laminados longos de aço, exceto tubos</t>
        </is>
      </c>
      <c r="BA529" s="32" t="inlineStr">
        <is>
          <t>não ME/EPP</t>
        </is>
      </c>
      <c r="BB529" s="33" t="n">
        <v>34465880000</v>
      </c>
      <c r="BC529" s="32" t="inlineStr">
        <is>
          <t>LARGE CORP</t>
        </is>
      </c>
      <c r="BD529" s="32" t="inlineStr">
        <is>
          <t>17469701</t>
        </is>
      </c>
      <c r="BE529" s="32" t="n">
        <v>1</v>
      </c>
      <c r="BF529" s="32" t="inlineStr"/>
    </row>
    <row r="530">
      <c r="A530" s="17" t="inlineStr">
        <is>
          <t>RECORD PARTICIPACOES LTDA</t>
        </is>
      </c>
      <c r="B530" s="18" t="n">
        <v>222369.09</v>
      </c>
      <c r="C530" s="19" t="inlineStr">
        <is>
          <t>GRUPO ARNON DE MELLO</t>
        </is>
      </c>
      <c r="D530" s="20" t="inlineStr">
        <is>
          <t>NEW</t>
        </is>
      </c>
      <c r="E530" s="21" t="inlineStr"/>
      <c r="F530" s="20" t="inlineStr"/>
      <c r="G530" s="21" t="inlineStr"/>
      <c r="H530" s="20" t="inlineStr"/>
      <c r="I530" s="22" t="inlineStr">
        <is>
          <t>CAETANO XIMENES DE ARAGAO FILHO</t>
        </is>
      </c>
      <c r="J530" s="23" t="inlineStr">
        <is>
          <t>Administrador (RFB partner)</t>
        </is>
      </c>
      <c r="K530" s="22" t="inlineStr">
        <is>
          <t>(82) 3177-6500</t>
        </is>
      </c>
      <c r="L530" s="22" t="inlineStr"/>
      <c r="M530" s="22" t="inlineStr"/>
      <c r="N530" s="22" t="inlineStr"/>
      <c r="O530" s="22" t="inlineStr"/>
      <c r="P530" s="22" t="inlineStr">
        <is>
          <t>HELIO RIBEIRO DE ABREU</t>
        </is>
      </c>
      <c r="Q530" s="22" t="inlineStr">
        <is>
          <t>Administrador (RFB partner)</t>
        </is>
      </c>
      <c r="R530" s="22" t="inlineStr"/>
      <c r="S530" s="22" t="inlineStr"/>
      <c r="T530" s="22" t="inlineStr">
        <is>
          <t>DM = registered partner (RFB QSA); no Apollo match</t>
        </is>
      </c>
      <c r="U530" s="24" t="n">
        <v>222369.09</v>
      </c>
      <c r="V530" s="39" t="inlineStr">
        <is>
          <t>C</t>
        </is>
      </c>
      <c r="W530" s="26" t="inlineStr"/>
      <c r="X530" s="27" t="inlineStr"/>
      <c r="Y530" s="27" t="inlineStr"/>
      <c r="Z530" s="26">
        <f>IF(W530&lt;&gt;"",W530,IFERROR(VLOOKUP(V530,Assumptions!$A$8:$F$12,2,FALSE),0))</f>
        <v/>
      </c>
      <c r="AA530" s="28">
        <f>IF(V530="A",MAX(1,IF(X530&lt;&gt;"",X530,IFERROR(VLOOKUP(V530,Assumptions!$A$8:$F$12,3,FALSE),3))+IF(Y530&lt;&gt;"",Y530,IFERROR(VLOOKUP(V530,Assumptions!$A$8:$F$12,4,FALSE),8))/2-MAX(0,IF(AS530="",0,YEAR(TODAY())-AS530)-IFERROR(VLOOKUP(V530,Assumptions!$A$8:$F$12,5,FALSE),1.5))),IFERROR(VLOOKUP(V530,Assumptions!$A$8:$F$12,5,FALSE),2.5)+IF(X530&lt;&gt;"",X530,IFERROR(VLOOKUP(V530,Assumptions!$A$8:$F$12,3,FALSE),3))+IF(Y530&lt;&gt;"",Y530,IFERROR(VLOOKUP(V530,Assumptions!$A$8:$F$12,4,FALSE),8))/2)</f>
        <v/>
      </c>
      <c r="AB530" s="24">
        <f>U530*Z530/(1+Assumptions!$B$3)^AA530</f>
        <v/>
      </c>
      <c r="AC530" s="27">
        <f>IF(U530=0,"",ROUND(AB530/U530*100,1))</f>
        <v/>
      </c>
      <c r="AD530" s="29">
        <f>AB530*Assumptions!$B$4</f>
        <v/>
      </c>
      <c r="AE530" s="27">
        <f>IF(U530=0,"",ROUND(AD530/U530*100,1))</f>
        <v/>
      </c>
      <c r="AF530" s="29">
        <f>AB530-AD530</f>
        <v/>
      </c>
      <c r="AG530" s="27">
        <f>IF(U530=0,"",ROUND((AB530-AD530)/U530*100,1))</f>
        <v/>
      </c>
      <c r="AH530" s="34" t="inlineStr">
        <is>
          <t>NO TOTALS — list prints none; check page</t>
        </is>
      </c>
      <c r="AI530" s="31" t="inlineStr">
        <is>
          <t>https://recuperacaojudicial.squarespace.com/s/RJ-Grupo-Arnon-de-Melo-Lista-de-Credores-Consolidada-abril-2022.pdf</t>
        </is>
      </c>
      <c r="AJ530" s="30" t="inlineStr">
        <is>
          <t>p9 r10</t>
        </is>
      </c>
      <c r="AK530" s="30" t="inlineStr">
        <is>
          <t>p9: R$ 222.369,09</t>
        </is>
      </c>
      <c r="AL530" s="30" t="inlineStr">
        <is>
          <t>AJ list (art. 7 §2)</t>
        </is>
      </c>
      <c r="AM530" s="30" t="inlineStr"/>
      <c r="AN530" s="30" t="inlineStr">
        <is>
          <t>NONE FOUND</t>
        </is>
      </c>
      <c r="AO530" s="32" t="inlineStr">
        <is>
          <t>0700256-03.2019.8.02.0066</t>
        </is>
      </c>
      <c r="AP530" s="32" t="inlineStr">
        <is>
          <t>TJAL</t>
        </is>
      </c>
      <c r="AQ530" s="32" t="inlineStr">
        <is>
          <t>Recuperação judicial</t>
        </is>
      </c>
      <c r="AR530" s="32" t="inlineStr">
        <is>
          <t>not in DataJud</t>
        </is>
      </c>
      <c r="AS530" s="32" t="n">
        <v>2019</v>
      </c>
      <c r="AT530" s="32" t="inlineStr">
        <is>
          <t>7y since filing; plan not in our documents</t>
        </is>
      </c>
      <c r="AU530" s="32" t="inlineStr">
        <is>
          <t>12.503.801/0001-59</t>
        </is>
      </c>
      <c r="AV530" s="32" t="inlineStr">
        <is>
          <t>printed on the list (read twice)</t>
        </is>
      </c>
      <c r="AW530" s="32" t="inlineStr"/>
      <c r="AX530" s="32" t="inlineStr">
        <is>
          <t>MACEIO</t>
        </is>
      </c>
      <c r="AY530" s="32" t="inlineStr">
        <is>
          <t>AL</t>
        </is>
      </c>
      <c r="AZ530" s="32" t="inlineStr">
        <is>
          <t>Incorporação de empreendimentos imobiliários</t>
        </is>
      </c>
      <c r="BA530" s="32" t="inlineStr">
        <is>
          <t>não ME/EPP</t>
        </is>
      </c>
      <c r="BB530" s="33" t="n">
        <v>3597336</v>
      </c>
      <c r="BC530" s="32" t="inlineStr">
        <is>
          <t>MID-MARKET</t>
        </is>
      </c>
      <c r="BD530" s="32" t="inlineStr">
        <is>
          <t>09260643</t>
        </is>
      </c>
      <c r="BE530" s="32" t="n">
        <v>1</v>
      </c>
      <c r="BF530" s="32" t="inlineStr">
        <is>
          <t>list prints no totals</t>
        </is>
      </c>
    </row>
    <row r="531">
      <c r="A531" s="17" t="inlineStr">
        <is>
          <t>DE HEUS INDUSTRIA E COMERCIO DE NUTRICAO ANIMAL LTDA</t>
        </is>
      </c>
      <c r="B531" s="18" t="n">
        <v>246779.9</v>
      </c>
      <c r="C531" s="19" t="inlineStr">
        <is>
          <t>GRUPO 3E</t>
        </is>
      </c>
      <c r="D531" s="20" t="inlineStr">
        <is>
          <t>NEW</t>
        </is>
      </c>
      <c r="E531" s="21" t="inlineStr"/>
      <c r="F531" s="20" t="inlineStr"/>
      <c r="G531" s="21" t="inlineStr"/>
      <c r="H531" s="20" t="inlineStr"/>
      <c r="I531" s="22" t="inlineStr">
        <is>
          <t>Thiago Ferreira</t>
        </is>
      </c>
      <c r="J531" s="22" t="inlineStr">
        <is>
          <t>Finance &amp; IT Director</t>
        </is>
      </c>
      <c r="K531" s="22" t="inlineStr">
        <is>
          <t>(19) 3046-7109</t>
        </is>
      </c>
      <c r="L531" s="22" t="inlineStr">
        <is>
          <t>(19) 3046-7108</t>
        </is>
      </c>
      <c r="M531" s="22" t="inlineStr"/>
      <c r="N531" s="22" t="inlineStr">
        <is>
          <t>tferreira@deheus.com</t>
        </is>
      </c>
      <c r="O531" s="22" t="inlineStr">
        <is>
          <t>verified</t>
        </is>
      </c>
      <c r="P531" s="22" t="inlineStr">
        <is>
          <t>Sandra Rusene</t>
        </is>
      </c>
      <c r="Q531" s="22" t="inlineStr">
        <is>
          <t>Analista de Crédito e Cobrança III</t>
        </is>
      </c>
      <c r="R531" s="22" t="inlineStr"/>
      <c r="S531" s="22" t="inlineStr">
        <is>
          <t>sandrarusene@deheus.com.br</t>
        </is>
      </c>
      <c r="T531" s="22" t="inlineStr">
        <is>
          <t>DM: DM verified email (Apollo org Royal De Heus, person in Brazil); Apollo org De Heus Brasil Nutrição Animal (deheus.com.br); DM listed under Royal De Heus - VERIFY org; BACKUP: backup verified email</t>
        </is>
      </c>
      <c r="U531" s="24" t="n">
        <v>246779.9</v>
      </c>
      <c r="V531" s="25" t="inlineStr">
        <is>
          <t>B</t>
        </is>
      </c>
      <c r="W531" s="26" t="n">
        <v>0.12</v>
      </c>
      <c r="X531" s="27" t="n">
        <v>2</v>
      </c>
      <c r="Y531" s="27" t="n">
        <v>13</v>
      </c>
      <c r="Z531" s="26">
        <f>IF(W531&lt;&gt;"",W531,IFERROR(VLOOKUP(V531,Assumptions!$A$8:$F$12,2,FALSE),0))</f>
        <v/>
      </c>
      <c r="AA531" s="28">
        <f>IF(V531="A",MAX(1,IF(X531&lt;&gt;"",X531,IFERROR(VLOOKUP(V531,Assumptions!$A$8:$F$12,3,FALSE),3))+IF(Y531&lt;&gt;"",Y531,IFERROR(VLOOKUP(V531,Assumptions!$A$8:$F$12,4,FALSE),8))/2-MAX(0,IF(AS531="",0,YEAR(TODAY())-AS531)-IFERROR(VLOOKUP(V531,Assumptions!$A$8:$F$12,5,FALSE),1.5))),IFERROR(VLOOKUP(V531,Assumptions!$A$8:$F$12,5,FALSE),2.5)+IF(X531&lt;&gt;"",X531,IFERROR(VLOOKUP(V531,Assumptions!$A$8:$F$12,3,FALSE),3))+IF(Y531&lt;&gt;"",Y531,IFERROR(VLOOKUP(V531,Assumptions!$A$8:$F$12,4,FALSE),8))/2)</f>
        <v/>
      </c>
      <c r="AB531" s="24">
        <f>U531*Z531/(1+Assumptions!$B$3)^AA531</f>
        <v/>
      </c>
      <c r="AC531" s="27">
        <f>IF(U531=0,"",ROUND(AB531/U531*100,1))</f>
        <v/>
      </c>
      <c r="AD531" s="29">
        <f>AB531*Assumptions!$B$4</f>
        <v/>
      </c>
      <c r="AE531" s="27">
        <f>IF(U531=0,"",ROUND(AD531/U531*100,1))</f>
        <v/>
      </c>
      <c r="AF531" s="29">
        <f>AB531-AD531</f>
        <v/>
      </c>
      <c r="AG531" s="27">
        <f>IF(U531=0,"",ROUND((AB531-AD531)/U531*100,1))</f>
        <v/>
      </c>
      <c r="AH531" s="34" t="inlineStr">
        <is>
          <t>NO TOTALS — list prints none; check page</t>
        </is>
      </c>
      <c r="AI531" s="31" t="inlineStr">
        <is>
          <t>https://stenius.com.br/wp-content/uploads/2026/06/EDITAL-GRUPO-3E.pdf</t>
        </is>
      </c>
      <c r="AJ531" s="30" t="inlineStr">
        <is>
          <t>p12 r28</t>
        </is>
      </c>
      <c r="AK531" s="30" t="inlineStr">
        <is>
          <t>p12: R$ 246.779,90</t>
        </is>
      </c>
      <c r="AL531" s="30" t="inlineStr">
        <is>
          <t>Debtor list (art. 51)</t>
        </is>
      </c>
      <c r="AM531" s="30" t="inlineStr">
        <is>
          <t>2026-06-22</t>
        </is>
      </c>
      <c r="AN531" s="30" t="inlineStr">
        <is>
          <t>PLAN FILED (art. 53), not granted</t>
        </is>
      </c>
      <c r="AO531" s="32" t="inlineStr">
        <is>
          <t>5341375-33.2026.8.09.0049</t>
        </is>
      </c>
      <c r="AP531" s="32" t="inlineStr">
        <is>
          <t>TJGO</t>
        </is>
      </c>
      <c r="AQ531" s="32" t="inlineStr">
        <is>
          <t>Recuperação judicial</t>
        </is>
      </c>
      <c r="AR531" s="32" t="inlineStr">
        <is>
          <t>DataJud: no closure/falência movement</t>
        </is>
      </c>
      <c r="AS531" s="32" t="n">
        <v>2026</v>
      </c>
      <c r="AT531" s="32" t="inlineStr">
        <is>
          <t>plan filed (art. 53), not yet granted</t>
        </is>
      </c>
      <c r="AU531" s="32" t="inlineStr"/>
      <c r="AV531" s="32" t="inlineStr">
        <is>
          <t>printed on the list (read twice)</t>
        </is>
      </c>
      <c r="AW531" s="32" t="inlineStr">
        <is>
          <t>Plano de Recuperação Judicial Grupo 3E v2.0 (Métis), mov. 321, pp.24-25</t>
        </is>
      </c>
      <c r="AX531" s="32" t="inlineStr">
        <is>
          <t>RIO CLARO</t>
        </is>
      </c>
      <c r="AY531" s="32" t="inlineStr">
        <is>
          <t>SP</t>
        </is>
      </c>
      <c r="AZ531" s="32" t="inlineStr">
        <is>
          <t>Fabricação de alimentos para animais</t>
        </is>
      </c>
      <c r="BA531" s="32" t="inlineStr">
        <is>
          <t>não ME/EPP</t>
        </is>
      </c>
      <c r="BB531" s="33" t="n">
        <v>201045090</v>
      </c>
      <c r="BC531" s="32" t="inlineStr">
        <is>
          <t>MID-MARKET</t>
        </is>
      </c>
      <c r="BD531" s="32" t="inlineStr">
        <is>
          <t>02513991</t>
        </is>
      </c>
      <c r="BE531" s="32" t="n">
        <v>1</v>
      </c>
      <c r="BF531" s="32" t="inlineStr">
        <is>
          <t>list prints no totals</t>
        </is>
      </c>
    </row>
    <row r="532">
      <c r="A532" s="17" t="inlineStr">
        <is>
          <t>MASUT COMBUSTIVEIS LTDA</t>
        </is>
      </c>
      <c r="B532" s="18" t="n">
        <v>245850</v>
      </c>
      <c r="C532" s="19" t="inlineStr">
        <is>
          <t>GRUPO 3E</t>
        </is>
      </c>
      <c r="D532" s="20" t="inlineStr">
        <is>
          <t>NEW</t>
        </is>
      </c>
      <c r="E532" s="21" t="inlineStr"/>
      <c r="F532" s="20" t="inlineStr"/>
      <c r="G532" s="21" t="inlineStr"/>
      <c r="H532" s="20" t="inlineStr"/>
      <c r="I532" s="22" t="inlineStr">
        <is>
          <t>Giuliana Tronconi</t>
        </is>
      </c>
      <c r="J532" s="22" t="inlineStr">
        <is>
          <t>Assessora Financeira</t>
        </is>
      </c>
      <c r="K532" s="22" t="inlineStr">
        <is>
          <t>(62) 3321-9100</t>
        </is>
      </c>
      <c r="L532" s="22" t="inlineStr"/>
      <c r="M532" s="22" t="inlineStr"/>
      <c r="N532" s="22" t="inlineStr"/>
      <c r="O532" s="22" t="inlineStr"/>
      <c r="P532" s="22" t="inlineStr">
        <is>
          <t>Ruiter Araujo</t>
        </is>
      </c>
      <c r="Q532" s="22" t="inlineStr">
        <is>
          <t>Commercial Manager</t>
        </is>
      </c>
      <c r="R532" s="22" t="inlineStr"/>
      <c r="S532" s="22" t="inlineStr">
        <is>
          <t>ruiter@masut.com.br</t>
        </is>
      </c>
      <c r="T532" s="22" t="inlineStr">
        <is>
          <t>DM: DM (email unavailable); no work email in Apollo for DM; BACKUP: backup (email extrapolated); backup email is pattern-guessed</t>
        </is>
      </c>
      <c r="U532" s="24" t="n">
        <v>245850</v>
      </c>
      <c r="V532" s="25" t="inlineStr">
        <is>
          <t>B</t>
        </is>
      </c>
      <c r="W532" s="26" t="n">
        <v>0.12</v>
      </c>
      <c r="X532" s="27" t="n">
        <v>2</v>
      </c>
      <c r="Y532" s="27" t="n">
        <v>13</v>
      </c>
      <c r="Z532" s="26">
        <f>IF(W532&lt;&gt;"",W532,IFERROR(VLOOKUP(V532,Assumptions!$A$8:$F$12,2,FALSE),0))</f>
        <v/>
      </c>
      <c r="AA532" s="28">
        <f>IF(V532="A",MAX(1,IF(X532&lt;&gt;"",X532,IFERROR(VLOOKUP(V532,Assumptions!$A$8:$F$12,3,FALSE),3))+IF(Y532&lt;&gt;"",Y532,IFERROR(VLOOKUP(V532,Assumptions!$A$8:$F$12,4,FALSE),8))/2-MAX(0,IF(AS532="",0,YEAR(TODAY())-AS532)-IFERROR(VLOOKUP(V532,Assumptions!$A$8:$F$12,5,FALSE),1.5))),IFERROR(VLOOKUP(V532,Assumptions!$A$8:$F$12,5,FALSE),2.5)+IF(X532&lt;&gt;"",X532,IFERROR(VLOOKUP(V532,Assumptions!$A$8:$F$12,3,FALSE),3))+IF(Y532&lt;&gt;"",Y532,IFERROR(VLOOKUP(V532,Assumptions!$A$8:$F$12,4,FALSE),8))/2)</f>
        <v/>
      </c>
      <c r="AB532" s="24">
        <f>U532*Z532/(1+Assumptions!$B$3)^AA532</f>
        <v/>
      </c>
      <c r="AC532" s="27">
        <f>IF(U532=0,"",ROUND(AB532/U532*100,1))</f>
        <v/>
      </c>
      <c r="AD532" s="29">
        <f>AB532*Assumptions!$B$4</f>
        <v/>
      </c>
      <c r="AE532" s="27">
        <f>IF(U532=0,"",ROUND(AD532/U532*100,1))</f>
        <v/>
      </c>
      <c r="AF532" s="29">
        <f>AB532-AD532</f>
        <v/>
      </c>
      <c r="AG532" s="27">
        <f>IF(U532=0,"",ROUND((AB532-AD532)/U532*100,1))</f>
        <v/>
      </c>
      <c r="AH532" s="34" t="inlineStr">
        <is>
          <t>NO TOTALS — list prints none; check page</t>
        </is>
      </c>
      <c r="AI532" s="31" t="inlineStr">
        <is>
          <t>https://stenius.com.br/wp-content/uploads/2026/06/EDITAL-GRUPO-3E.pdf</t>
        </is>
      </c>
      <c r="AJ532" s="30" t="inlineStr">
        <is>
          <t>p15 r57</t>
        </is>
      </c>
      <c r="AK532" s="30" t="inlineStr">
        <is>
          <t>p15: R$ 245.850,00</t>
        </is>
      </c>
      <c r="AL532" s="30" t="inlineStr">
        <is>
          <t>Debtor list (art. 51)</t>
        </is>
      </c>
      <c r="AM532" s="30" t="inlineStr">
        <is>
          <t>2026-06-22</t>
        </is>
      </c>
      <c r="AN532" s="30" t="inlineStr">
        <is>
          <t>PLAN FILED (art. 53), not granted</t>
        </is>
      </c>
      <c r="AO532" s="32" t="inlineStr">
        <is>
          <t>5341375-33.2026.8.09.0049</t>
        </is>
      </c>
      <c r="AP532" s="32" t="inlineStr">
        <is>
          <t>TJGO</t>
        </is>
      </c>
      <c r="AQ532" s="32" t="inlineStr">
        <is>
          <t>Recuperação judicial</t>
        </is>
      </c>
      <c r="AR532" s="32" t="inlineStr">
        <is>
          <t>DataJud: no closure/falência movement</t>
        </is>
      </c>
      <c r="AS532" s="32" t="n">
        <v>2026</v>
      </c>
      <c r="AT532" s="32" t="inlineStr">
        <is>
          <t>plan filed (art. 53), not yet granted</t>
        </is>
      </c>
      <c r="AU532" s="32" t="inlineStr"/>
      <c r="AV532" s="32" t="inlineStr">
        <is>
          <t>printed on the list (read twice)</t>
        </is>
      </c>
      <c r="AW532" s="32" t="inlineStr">
        <is>
          <t>Plano de Recuperação Judicial Grupo 3E v2.0 (Métis), mov. 321, pp.24-25</t>
        </is>
      </c>
      <c r="AX532" s="32" t="inlineStr">
        <is>
          <t>SENADOR CANEDO</t>
        </is>
      </c>
      <c r="AY532" s="32" t="inlineStr">
        <is>
          <t>GO</t>
        </is>
      </c>
      <c r="AZ532" s="32" t="inlineStr">
        <is>
          <t>Comércio atacadista de combustíveis realizado por transportador retalhista (T.R.R.)</t>
        </is>
      </c>
      <c r="BA532" s="32" t="inlineStr">
        <is>
          <t>não ME/EPP</t>
        </is>
      </c>
      <c r="BB532" s="33" t="n">
        <v>7200000</v>
      </c>
      <c r="BC532" s="32" t="inlineStr">
        <is>
          <t>MID-MARKET</t>
        </is>
      </c>
      <c r="BD532" s="32" t="inlineStr">
        <is>
          <t>37350519</t>
        </is>
      </c>
      <c r="BE532" s="32" t="n">
        <v>1</v>
      </c>
      <c r="BF532" s="32" t="inlineStr">
        <is>
          <t>list prints no totals</t>
        </is>
      </c>
    </row>
    <row r="533">
      <c r="A533" s="17" t="inlineStr">
        <is>
          <t>MOVEIS RODIAL LTDA</t>
        </is>
      </c>
      <c r="B533" s="18" t="n">
        <v>219780</v>
      </c>
      <c r="C533" s="19" t="inlineStr">
        <is>
          <t>CREDIMÓVEIS NOVOLAR LTDA.</t>
        </is>
      </c>
      <c r="D533" s="20" t="inlineStr">
        <is>
          <t>NEW</t>
        </is>
      </c>
      <c r="E533" s="21" t="inlineStr"/>
      <c r="F533" s="20" t="inlineStr"/>
      <c r="G533" s="21" t="inlineStr"/>
      <c r="H533" s="20" t="inlineStr"/>
      <c r="I533" s="22" t="inlineStr">
        <is>
          <t>Maria Matias</t>
        </is>
      </c>
      <c r="J533" s="22" t="inlineStr">
        <is>
          <t>Analista de Crédito e Contas a Receber</t>
        </is>
      </c>
      <c r="K533" s="22" t="inlineStr"/>
      <c r="L533" s="22" t="inlineStr"/>
      <c r="M533" s="22" t="inlineStr"/>
      <c r="N533" s="22" t="inlineStr">
        <is>
          <t>maria@rodial.com.br</t>
        </is>
      </c>
      <c r="O533" s="22" t="inlineStr">
        <is>
          <t>extrapolated</t>
        </is>
      </c>
      <c r="P533" s="22" t="inlineStr">
        <is>
          <t>Lp Pivotto</t>
        </is>
      </c>
      <c r="Q533" s="22" t="inlineStr">
        <is>
          <t>Manager</t>
        </is>
      </c>
      <c r="R533" s="22" t="inlineStr"/>
      <c r="S533" s="22" t="inlineStr">
        <is>
          <t>pivotto@rodial.com.br</t>
        </is>
      </c>
      <c r="T533" s="22" t="inlineStr">
        <is>
          <t>DM: DM extrapolated email; BACKUP: backup verified email</t>
        </is>
      </c>
      <c r="U533" s="24" t="n">
        <v>219780</v>
      </c>
      <c r="V533" s="39" t="inlineStr">
        <is>
          <t>C</t>
        </is>
      </c>
      <c r="W533" s="26" t="inlineStr"/>
      <c r="X533" s="27" t="inlineStr"/>
      <c r="Y533" s="27" t="inlineStr"/>
      <c r="Z533" s="26">
        <f>IF(W533&lt;&gt;"",W533,IFERROR(VLOOKUP(V533,Assumptions!$A$8:$F$12,2,FALSE),0))</f>
        <v/>
      </c>
      <c r="AA533" s="28">
        <f>IF(V533="A",MAX(1,IF(X533&lt;&gt;"",X533,IFERROR(VLOOKUP(V533,Assumptions!$A$8:$F$12,3,FALSE),3))+IF(Y533&lt;&gt;"",Y533,IFERROR(VLOOKUP(V533,Assumptions!$A$8:$F$12,4,FALSE),8))/2-MAX(0,IF(AS533="",0,YEAR(TODAY())-AS533)-IFERROR(VLOOKUP(V533,Assumptions!$A$8:$F$12,5,FALSE),1.5))),IFERROR(VLOOKUP(V533,Assumptions!$A$8:$F$12,5,FALSE),2.5)+IF(X533&lt;&gt;"",X533,IFERROR(VLOOKUP(V533,Assumptions!$A$8:$F$12,3,FALSE),3))+IF(Y533&lt;&gt;"",Y533,IFERROR(VLOOKUP(V533,Assumptions!$A$8:$F$12,4,FALSE),8))/2)</f>
        <v/>
      </c>
      <c r="AB533" s="24">
        <f>U533*Z533/(1+Assumptions!$B$3)^AA533</f>
        <v/>
      </c>
      <c r="AC533" s="27">
        <f>IF(U533=0,"",ROUND(AB533/U533*100,1))</f>
        <v/>
      </c>
      <c r="AD533" s="29">
        <f>AB533*Assumptions!$B$4</f>
        <v/>
      </c>
      <c r="AE533" s="27">
        <f>IF(U533=0,"",ROUND(AD533/U533*100,1))</f>
        <v/>
      </c>
      <c r="AF533" s="29">
        <f>AB533-AD533</f>
        <v/>
      </c>
      <c r="AG533" s="27">
        <f>IF(U533=0,"",ROUND((AB533-AD533)/U533*100,1))</f>
        <v/>
      </c>
      <c r="AH533" s="30" t="inlineStr">
        <is>
          <t>OK — totals reconciled</t>
        </is>
      </c>
      <c r="AI533" s="31" t="inlineStr">
        <is>
          <t>https://recuperacaojudicial.squarespace.com/s/RJ-Credimoveis-QGC-01082025.pdf</t>
        </is>
      </c>
      <c r="AJ533" s="30" t="inlineStr">
        <is>
          <t>p16 r24</t>
        </is>
      </c>
      <c r="AK533" s="30" t="inlineStr">
        <is>
          <t>p16: R$ 219.780,00</t>
        </is>
      </c>
      <c r="AL533" s="30" t="inlineStr">
        <is>
          <t>QGC (art. 18)</t>
        </is>
      </c>
      <c r="AM533" s="30" t="inlineStr">
        <is>
          <t>2026-01-28</t>
        </is>
      </c>
      <c r="AN533" s="30" t="inlineStr">
        <is>
          <t>NONE FOUND</t>
        </is>
      </c>
      <c r="AO533" s="32" t="inlineStr">
        <is>
          <t>0007565-40.2020.8.17.2370</t>
        </is>
      </c>
      <c r="AP533" s="32" t="inlineStr">
        <is>
          <t>TJPE</t>
        </is>
      </c>
      <c r="AQ533" s="32" t="inlineStr">
        <is>
          <t>Recuperação judicial</t>
        </is>
      </c>
      <c r="AR533" s="32" t="inlineStr">
        <is>
          <t>DataJud: no closure/falência movement</t>
        </is>
      </c>
      <c r="AS533" s="32" t="n">
        <v>2020</v>
      </c>
      <c r="AT533" s="32" t="inlineStr">
        <is>
          <t>6y since filing; plan not in our documents</t>
        </is>
      </c>
      <c r="AU533" s="32" t="inlineStr">
        <is>
          <t>09.930.165/0001-37</t>
        </is>
      </c>
      <c r="AV533" s="32" t="inlineStr">
        <is>
          <t>printed on the list (read twice)</t>
        </is>
      </c>
      <c r="AW533" s="32" t="inlineStr"/>
      <c r="AX533" s="32" t="inlineStr">
        <is>
          <t>LAGOA VERMELHA</t>
        </is>
      </c>
      <c r="AY533" s="32" t="inlineStr">
        <is>
          <t>RS</t>
        </is>
      </c>
      <c r="AZ533" s="32" t="inlineStr">
        <is>
          <t>Fabricação de móveis com predominância de madeira</t>
        </is>
      </c>
      <c r="BA533" s="32" t="inlineStr">
        <is>
          <t>não ME/EPP</t>
        </is>
      </c>
      <c r="BB533" s="33" t="inlineStr"/>
      <c r="BC533" s="32" t="inlineStr">
        <is>
          <t>UNKNOWN</t>
        </is>
      </c>
      <c r="BD533" s="32" t="inlineStr">
        <is>
          <t>91062497</t>
        </is>
      </c>
      <c r="BE533" s="32" t="n">
        <v>1</v>
      </c>
      <c r="BF533" s="32" t="inlineStr"/>
    </row>
    <row r="534">
      <c r="A534" s="17" t="inlineStr">
        <is>
          <t>DXS GESTAO E CONSULTORIA EMPRESARIAL LTDA</t>
        </is>
      </c>
      <c r="B534" s="18" t="n">
        <v>219405.51</v>
      </c>
      <c r="C534" s="19" t="inlineStr">
        <is>
          <t>VECTOR INDÚSTRIA DE PRODUTOS METALÚRGICOS LTDA.</t>
        </is>
      </c>
      <c r="D534" s="20" t="inlineStr">
        <is>
          <t>NEW</t>
        </is>
      </c>
      <c r="E534" s="21" t="inlineStr"/>
      <c r="F534" s="20" t="inlineStr"/>
      <c r="G534" s="21" t="inlineStr"/>
      <c r="H534" s="20" t="inlineStr"/>
      <c r="I534" s="22" t="inlineStr">
        <is>
          <t>ROSANA FERNANDES PACHECO</t>
        </is>
      </c>
      <c r="J534" s="23" t="inlineStr">
        <is>
          <t>Administrador (RFB partner)</t>
        </is>
      </c>
      <c r="K534" s="22" t="inlineStr">
        <is>
          <t>(11) 4114-8566</t>
        </is>
      </c>
      <c r="L534" s="22" t="inlineStr"/>
      <c r="M534" s="22" t="inlineStr"/>
      <c r="N534" s="22" t="inlineStr"/>
      <c r="O534" s="22" t="inlineStr"/>
      <c r="P534" s="22" t="inlineStr"/>
      <c r="Q534" s="22" t="inlineStr"/>
      <c r="R534" s="22" t="inlineStr"/>
      <c r="S534" s="22" t="inlineStr"/>
      <c r="T534" s="22" t="inlineStr">
        <is>
          <t>DM = registered partner (RFB QSA); no Apollo match</t>
        </is>
      </c>
      <c r="U534" s="24" t="n">
        <v>219405.51</v>
      </c>
      <c r="V534" s="39" t="inlineStr">
        <is>
          <t>C</t>
        </is>
      </c>
      <c r="W534" s="26" t="inlineStr"/>
      <c r="X534" s="27" t="inlineStr"/>
      <c r="Y534" s="27" t="inlineStr"/>
      <c r="Z534" s="26">
        <f>IF(W534&lt;&gt;"",W534,IFERROR(VLOOKUP(V534,Assumptions!$A$8:$F$12,2,FALSE),0))</f>
        <v/>
      </c>
      <c r="AA534" s="28">
        <f>IF(V534="A",MAX(1,IF(X534&lt;&gt;"",X534,IFERROR(VLOOKUP(V534,Assumptions!$A$8:$F$12,3,FALSE),3))+IF(Y534&lt;&gt;"",Y534,IFERROR(VLOOKUP(V534,Assumptions!$A$8:$F$12,4,FALSE),8))/2-MAX(0,IF(AS534="",0,YEAR(TODAY())-AS534)-IFERROR(VLOOKUP(V534,Assumptions!$A$8:$F$12,5,FALSE),1.5))),IFERROR(VLOOKUP(V534,Assumptions!$A$8:$F$12,5,FALSE),2.5)+IF(X534&lt;&gt;"",X534,IFERROR(VLOOKUP(V534,Assumptions!$A$8:$F$12,3,FALSE),3))+IF(Y534&lt;&gt;"",Y534,IFERROR(VLOOKUP(V534,Assumptions!$A$8:$F$12,4,FALSE),8))/2)</f>
        <v/>
      </c>
      <c r="AB534" s="24">
        <f>U534*Z534/(1+Assumptions!$B$3)^AA534</f>
        <v/>
      </c>
      <c r="AC534" s="27">
        <f>IF(U534=0,"",ROUND(AB534/U534*100,1))</f>
        <v/>
      </c>
      <c r="AD534" s="29">
        <f>AB534*Assumptions!$B$4</f>
        <v/>
      </c>
      <c r="AE534" s="27">
        <f>IF(U534=0,"",ROUND(AD534/U534*100,1))</f>
        <v/>
      </c>
      <c r="AF534" s="29">
        <f>AB534-AD534</f>
        <v/>
      </c>
      <c r="AG534" s="27">
        <f>IF(U534=0,"",ROUND((AB534-AD534)/U534*100,1))</f>
        <v/>
      </c>
      <c r="AH534" s="34" t="inlineStr">
        <is>
          <t>NO TOTALS — list prints none; check page</t>
        </is>
      </c>
      <c r="AI534" s="31" t="inlineStr">
        <is>
          <t>https://scalzilliaj.com.br/sgc/download.php?file=files/processo_documento/processo_documento15513401112022_1_.pdf&amp;nome=15 - Edital do art. 7º, §2º (segunda lista de credores) e do art. 53 da Lei 11.101/2005 (recebimento do plano)</t>
        </is>
      </c>
      <c r="AJ534" s="30" t="inlineStr">
        <is>
          <t>p6 r36</t>
        </is>
      </c>
      <c r="AK534" s="30" t="inlineStr">
        <is>
          <t>p6: R$ 219.405,51</t>
        </is>
      </c>
      <c r="AL534" s="30" t="inlineStr">
        <is>
          <t>AJ list (art. 7 §2)</t>
        </is>
      </c>
      <c r="AM534" s="30" t="inlineStr">
        <is>
          <t>2022-11-01</t>
        </is>
      </c>
      <c r="AN534" s="30" t="inlineStr">
        <is>
          <t>NONE FOUND</t>
        </is>
      </c>
      <c r="AO534" s="32" t="inlineStr">
        <is>
          <t>5014104-85.2021.8.21.0010</t>
        </is>
      </c>
      <c r="AP534" s="32" t="inlineStr">
        <is>
          <t>TJRS</t>
        </is>
      </c>
      <c r="AQ534" s="32" t="inlineStr">
        <is>
          <t>Recuperação judicial</t>
        </is>
      </c>
      <c r="AR534" s="32" t="inlineStr">
        <is>
          <t>DataJud: no closure/falência movement</t>
        </is>
      </c>
      <c r="AS534" s="32" t="n">
        <v>2021</v>
      </c>
      <c r="AT534" s="32" t="inlineStr">
        <is>
          <t>5y since filing; plan not in our documents</t>
        </is>
      </c>
      <c r="AU534" s="32" t="inlineStr">
        <is>
          <t>03.018.339/0001-03</t>
        </is>
      </c>
      <c r="AV534" s="32" t="inlineStr">
        <is>
          <t>printed on the list (read twice)</t>
        </is>
      </c>
      <c r="AW534" s="32" t="inlineStr"/>
      <c r="AX534" s="32" t="inlineStr">
        <is>
          <t>SAO PAULO</t>
        </is>
      </c>
      <c r="AY534" s="32" t="inlineStr">
        <is>
          <t>SP</t>
        </is>
      </c>
      <c r="AZ534" s="32" t="inlineStr">
        <is>
          <t>Consultoria em tecnologia da informação</t>
        </is>
      </c>
      <c r="BA534" s="32" t="inlineStr">
        <is>
          <t>não ME/EPP</t>
        </is>
      </c>
      <c r="BB534" s="33" t="n">
        <v>95400</v>
      </c>
      <c r="BC534" s="32" t="inlineStr">
        <is>
          <t>MID-MARKET</t>
        </is>
      </c>
      <c r="BD534" s="32" t="inlineStr">
        <is>
          <t>30177427</t>
        </is>
      </c>
      <c r="BE534" s="32" t="n">
        <v>1</v>
      </c>
      <c r="BF534" s="32" t="inlineStr">
        <is>
          <t>list prints no totals</t>
        </is>
      </c>
    </row>
    <row r="535">
      <c r="A535" s="17" t="inlineStr">
        <is>
          <t>TETO PLANEJAMENTO E INCORPORACOES LTDA</t>
        </is>
      </c>
      <c r="B535" s="18" t="n">
        <v>217484.26</v>
      </c>
      <c r="C535" s="19" t="inlineStr">
        <is>
          <t>GRUPO ARNON DE MELLO</t>
        </is>
      </c>
      <c r="D535" s="20" t="inlineStr">
        <is>
          <t>NEW</t>
        </is>
      </c>
      <c r="E535" s="21" t="inlineStr"/>
      <c r="F535" s="20" t="inlineStr"/>
      <c r="G535" s="21" t="inlineStr"/>
      <c r="H535" s="20" t="inlineStr"/>
      <c r="I535" s="22" t="inlineStr">
        <is>
          <t>ANGELA MARIA DE ALBUQUERQUE SANTANA</t>
        </is>
      </c>
      <c r="J535" s="23" t="inlineStr">
        <is>
          <t>Sócio-Administrador (RFB partner)</t>
        </is>
      </c>
      <c r="K535" s="22" t="inlineStr">
        <is>
          <t>(82) 3313-7983</t>
        </is>
      </c>
      <c r="L535" s="22" t="inlineStr"/>
      <c r="M535" s="22" t="inlineStr"/>
      <c r="N535" s="22" t="inlineStr"/>
      <c r="O535" s="22" t="inlineStr"/>
      <c r="P535" s="22" t="inlineStr">
        <is>
          <t>Suellen Lima</t>
        </is>
      </c>
      <c r="Q535" s="22" t="inlineStr">
        <is>
          <t>Office Assistant</t>
        </is>
      </c>
      <c r="R535" s="22" t="inlineStr"/>
      <c r="S535" s="22" t="inlineStr">
        <is>
          <t>suellen@tetoplanejamento.com.br</t>
        </is>
      </c>
      <c r="T535" s="22" t="inlineStr">
        <is>
          <t>DM = registered partner (RFB QSA); Apollo pick demoted to backup (non-finance role); BACKUP: DM extrapolated email (only 2 people; weak); backup email is pattern-guessed</t>
        </is>
      </c>
      <c r="U535" s="24" t="n">
        <v>217484.26</v>
      </c>
      <c r="V535" s="39" t="inlineStr">
        <is>
          <t>C</t>
        </is>
      </c>
      <c r="W535" s="26" t="inlineStr"/>
      <c r="X535" s="27" t="inlineStr"/>
      <c r="Y535" s="27" t="inlineStr"/>
      <c r="Z535" s="26">
        <f>IF(W535&lt;&gt;"",W535,IFERROR(VLOOKUP(V535,Assumptions!$A$8:$F$12,2,FALSE),0))</f>
        <v/>
      </c>
      <c r="AA535" s="28">
        <f>IF(V535="A",MAX(1,IF(X535&lt;&gt;"",X535,IFERROR(VLOOKUP(V535,Assumptions!$A$8:$F$12,3,FALSE),3))+IF(Y535&lt;&gt;"",Y535,IFERROR(VLOOKUP(V535,Assumptions!$A$8:$F$12,4,FALSE),8))/2-MAX(0,IF(AS535="",0,YEAR(TODAY())-AS535)-IFERROR(VLOOKUP(V535,Assumptions!$A$8:$F$12,5,FALSE),1.5))),IFERROR(VLOOKUP(V535,Assumptions!$A$8:$F$12,5,FALSE),2.5)+IF(X535&lt;&gt;"",X535,IFERROR(VLOOKUP(V535,Assumptions!$A$8:$F$12,3,FALSE),3))+IF(Y535&lt;&gt;"",Y535,IFERROR(VLOOKUP(V535,Assumptions!$A$8:$F$12,4,FALSE),8))/2)</f>
        <v/>
      </c>
      <c r="AB535" s="24">
        <f>U535*Z535/(1+Assumptions!$B$3)^AA535</f>
        <v/>
      </c>
      <c r="AC535" s="27">
        <f>IF(U535=0,"",ROUND(AB535/U535*100,1))</f>
        <v/>
      </c>
      <c r="AD535" s="29">
        <f>AB535*Assumptions!$B$4</f>
        <v/>
      </c>
      <c r="AE535" s="27">
        <f>IF(U535=0,"",ROUND(AD535/U535*100,1))</f>
        <v/>
      </c>
      <c r="AF535" s="29">
        <f>AB535-AD535</f>
        <v/>
      </c>
      <c r="AG535" s="27">
        <f>IF(U535=0,"",ROUND((AB535-AD535)/U535*100,1))</f>
        <v/>
      </c>
      <c r="AH535" s="34" t="inlineStr">
        <is>
          <t>NO TOTALS — list prints none; check page</t>
        </is>
      </c>
      <c r="AI535" s="31" t="inlineStr">
        <is>
          <t>https://recuperacaojudicial.squarespace.com/s/RJ-Grupo-Arnon-de-Melo-Lista-de-Credores-Consolidada-abril-2022.pdf</t>
        </is>
      </c>
      <c r="AJ535" s="30" t="inlineStr">
        <is>
          <t>p9 r36</t>
        </is>
      </c>
      <c r="AK535" s="30" t="inlineStr">
        <is>
          <t>p9: R$ 217.484,26</t>
        </is>
      </c>
      <c r="AL535" s="30" t="inlineStr">
        <is>
          <t>AJ list (art. 7 §2)</t>
        </is>
      </c>
      <c r="AM535" s="30" t="inlineStr"/>
      <c r="AN535" s="30" t="inlineStr">
        <is>
          <t>NONE FOUND</t>
        </is>
      </c>
      <c r="AO535" s="32" t="inlineStr">
        <is>
          <t>0700256-03.2019.8.02.0066</t>
        </is>
      </c>
      <c r="AP535" s="32" t="inlineStr">
        <is>
          <t>TJAL</t>
        </is>
      </c>
      <c r="AQ535" s="32" t="inlineStr">
        <is>
          <t>Recuperação judicial</t>
        </is>
      </c>
      <c r="AR535" s="32" t="inlineStr">
        <is>
          <t>not in DataJud</t>
        </is>
      </c>
      <c r="AS535" s="32" t="n">
        <v>2019</v>
      </c>
      <c r="AT535" s="32" t="inlineStr">
        <is>
          <t>7y since filing; plan not in our documents</t>
        </is>
      </c>
      <c r="AU535" s="32" t="inlineStr">
        <is>
          <t>12.503.801/0001-59</t>
        </is>
      </c>
      <c r="AV535" s="32" t="inlineStr">
        <is>
          <t>printed on the list (read twice)</t>
        </is>
      </c>
      <c r="AW535" s="32" t="inlineStr"/>
      <c r="AX535" s="32" t="inlineStr">
        <is>
          <t>MACEIO</t>
        </is>
      </c>
      <c r="AY535" s="32" t="inlineStr">
        <is>
          <t>AL</t>
        </is>
      </c>
      <c r="AZ535" s="32" t="inlineStr">
        <is>
          <t>Construção de edifícios</t>
        </is>
      </c>
      <c r="BA535" s="32" t="inlineStr">
        <is>
          <t>não ME/EPP</t>
        </is>
      </c>
      <c r="BB535" s="33" t="n">
        <v>1110000</v>
      </c>
      <c r="BC535" s="32" t="inlineStr">
        <is>
          <t>MID-MARKET</t>
        </is>
      </c>
      <c r="BD535" s="32" t="inlineStr">
        <is>
          <t>10811586</t>
        </is>
      </c>
      <c r="BE535" s="32" t="n">
        <v>1</v>
      </c>
      <c r="BF535" s="32" t="inlineStr">
        <is>
          <t>list prints no totals</t>
        </is>
      </c>
    </row>
    <row r="536">
      <c r="A536" s="17" t="inlineStr">
        <is>
          <t>ARAPLAC INDUSTRIA E COMERCIO DE MOVEIS LTDA</t>
        </is>
      </c>
      <c r="B536" s="18" t="n">
        <v>216381.53</v>
      </c>
      <c r="C536" s="19" t="inlineStr">
        <is>
          <t>CREDIMÓVEIS NOVOLAR LTDA.</t>
        </is>
      </c>
      <c r="D536" s="20" t="inlineStr">
        <is>
          <t>NEW</t>
        </is>
      </c>
      <c r="E536" s="21" t="inlineStr"/>
      <c r="F536" s="20" t="inlineStr"/>
      <c r="G536" s="21" t="inlineStr"/>
      <c r="H536" s="20" t="inlineStr"/>
      <c r="I536" s="22" t="inlineStr">
        <is>
          <t>MARCUS VINICIUS BOTTIGELLI LAZARO</t>
        </is>
      </c>
      <c r="J536" s="23" t="inlineStr">
        <is>
          <t>Administrador (RFB partner)</t>
        </is>
      </c>
      <c r="K536" s="22" t="inlineStr">
        <is>
          <t>(43) 3172-2355</t>
        </is>
      </c>
      <c r="L536" s="22" t="inlineStr"/>
      <c r="M536" s="22" t="inlineStr"/>
      <c r="N536" s="22" t="inlineStr"/>
      <c r="O536" s="22" t="inlineStr"/>
      <c r="P536" s="22" t="inlineStr">
        <is>
          <t>Solange Nunes</t>
        </is>
      </c>
      <c r="Q536" s="22" t="inlineStr">
        <is>
          <t>Auxiliar de Moveis</t>
        </is>
      </c>
      <c r="R536" s="22" t="inlineStr"/>
      <c r="S536" s="22" t="inlineStr">
        <is>
          <t>solange@araplac.com.br</t>
        </is>
      </c>
      <c r="T536" s="22" t="inlineStr">
        <is>
          <t>DM = registered partner (RFB QSA); Apollo pick demoted to backup (non-finance role); BACKUP: DM (sole person) extrapolated email - shop-floor, low value; backup email is pattern-guessed</t>
        </is>
      </c>
      <c r="U536" s="24" t="n">
        <v>216381.53</v>
      </c>
      <c r="V536" s="39" t="inlineStr">
        <is>
          <t>C</t>
        </is>
      </c>
      <c r="W536" s="26" t="inlineStr"/>
      <c r="X536" s="27" t="inlineStr"/>
      <c r="Y536" s="27" t="inlineStr"/>
      <c r="Z536" s="26">
        <f>IF(W536&lt;&gt;"",W536,IFERROR(VLOOKUP(V536,Assumptions!$A$8:$F$12,2,FALSE),0))</f>
        <v/>
      </c>
      <c r="AA536" s="28">
        <f>IF(V536="A",MAX(1,IF(X536&lt;&gt;"",X536,IFERROR(VLOOKUP(V536,Assumptions!$A$8:$F$12,3,FALSE),3))+IF(Y536&lt;&gt;"",Y536,IFERROR(VLOOKUP(V536,Assumptions!$A$8:$F$12,4,FALSE),8))/2-MAX(0,IF(AS536="",0,YEAR(TODAY())-AS536)-IFERROR(VLOOKUP(V536,Assumptions!$A$8:$F$12,5,FALSE),1.5))),IFERROR(VLOOKUP(V536,Assumptions!$A$8:$F$12,5,FALSE),2.5)+IF(X536&lt;&gt;"",X536,IFERROR(VLOOKUP(V536,Assumptions!$A$8:$F$12,3,FALSE),3))+IF(Y536&lt;&gt;"",Y536,IFERROR(VLOOKUP(V536,Assumptions!$A$8:$F$12,4,FALSE),8))/2)</f>
        <v/>
      </c>
      <c r="AB536" s="24">
        <f>U536*Z536/(1+Assumptions!$B$3)^AA536</f>
        <v/>
      </c>
      <c r="AC536" s="27">
        <f>IF(U536=0,"",ROUND(AB536/U536*100,1))</f>
        <v/>
      </c>
      <c r="AD536" s="29">
        <f>AB536*Assumptions!$B$4</f>
        <v/>
      </c>
      <c r="AE536" s="27">
        <f>IF(U536=0,"",ROUND(AD536/U536*100,1))</f>
        <v/>
      </c>
      <c r="AF536" s="29">
        <f>AB536-AD536</f>
        <v/>
      </c>
      <c r="AG536" s="27">
        <f>IF(U536=0,"",ROUND((AB536-AD536)/U536*100,1))</f>
        <v/>
      </c>
      <c r="AH536" s="30" t="inlineStr">
        <is>
          <t>OK — totals reconciled</t>
        </is>
      </c>
      <c r="AI536" s="31" t="inlineStr">
        <is>
          <t>https://recuperacaojudicial.squarespace.com/s/RJ-Credimoveis-QGC-01082025.pdf</t>
        </is>
      </c>
      <c r="AJ536" s="30" t="inlineStr">
        <is>
          <t>p15 r8</t>
        </is>
      </c>
      <c r="AK536" s="30" t="inlineStr">
        <is>
          <t>p15: R$ 216.381,53</t>
        </is>
      </c>
      <c r="AL536" s="30" t="inlineStr">
        <is>
          <t>QGC (art. 18)</t>
        </is>
      </c>
      <c r="AM536" s="30" t="inlineStr">
        <is>
          <t>2026-01-28</t>
        </is>
      </c>
      <c r="AN536" s="30" t="inlineStr">
        <is>
          <t>NONE FOUND</t>
        </is>
      </c>
      <c r="AO536" s="32" t="inlineStr">
        <is>
          <t>0007565-40.2020.8.17.2370</t>
        </is>
      </c>
      <c r="AP536" s="32" t="inlineStr">
        <is>
          <t>TJPE</t>
        </is>
      </c>
      <c r="AQ536" s="32" t="inlineStr">
        <is>
          <t>Recuperação judicial</t>
        </is>
      </c>
      <c r="AR536" s="32" t="inlineStr">
        <is>
          <t>DataJud: no closure/falência movement</t>
        </is>
      </c>
      <c r="AS536" s="32" t="n">
        <v>2020</v>
      </c>
      <c r="AT536" s="32" t="inlineStr">
        <is>
          <t>6y since filing; plan not in our documents</t>
        </is>
      </c>
      <c r="AU536" s="32" t="inlineStr">
        <is>
          <t>09.930.165/0001-37</t>
        </is>
      </c>
      <c r="AV536" s="32" t="inlineStr">
        <is>
          <t>printed on the list (read twice)</t>
        </is>
      </c>
      <c r="AW536" s="32" t="inlineStr"/>
      <c r="AX536" s="32" t="inlineStr">
        <is>
          <t>ARAPONGAS</t>
        </is>
      </c>
      <c r="AY536" s="32" t="inlineStr">
        <is>
          <t>PR</t>
        </is>
      </c>
      <c r="AZ536" s="32" t="inlineStr">
        <is>
          <t>Fabricação de móveis com predominância de madeira</t>
        </is>
      </c>
      <c r="BA536" s="32" t="inlineStr">
        <is>
          <t>não ME/EPP</t>
        </is>
      </c>
      <c r="BB536" s="33" t="n">
        <v>3000000</v>
      </c>
      <c r="BC536" s="32" t="inlineStr">
        <is>
          <t>MID-MARKET</t>
        </is>
      </c>
      <c r="BD536" s="32" t="inlineStr">
        <is>
          <t>77215606</t>
        </is>
      </c>
      <c r="BE536" s="32" t="n">
        <v>1</v>
      </c>
      <c r="BF536" s="32" t="inlineStr"/>
    </row>
    <row r="537">
      <c r="A537" s="17" t="inlineStr">
        <is>
          <t>CARGILL NOVOS HORIZONTES LTDA</t>
        </is>
      </c>
      <c r="B537" s="18" t="n">
        <v>239695</v>
      </c>
      <c r="C537" s="19" t="inlineStr">
        <is>
          <t>GRUPO 3E</t>
        </is>
      </c>
      <c r="D537" s="20" t="inlineStr">
        <is>
          <t>NEW</t>
        </is>
      </c>
      <c r="E537" s="21" t="inlineStr"/>
      <c r="F537" s="20" t="inlineStr"/>
      <c r="G537" s="21" t="inlineStr"/>
      <c r="H537" s="20" t="inlineStr"/>
      <c r="I537" s="22" t="inlineStr">
        <is>
          <t>Carlos Souza</t>
        </is>
      </c>
      <c r="J537" s="22" t="inlineStr">
        <is>
          <t>Analista de Cobrança Senior</t>
        </is>
      </c>
      <c r="K537" s="22" t="inlineStr">
        <is>
          <t>(11) 5099-3311</t>
        </is>
      </c>
      <c r="L537" s="22" t="inlineStr"/>
      <c r="M537" s="22" t="inlineStr"/>
      <c r="N537" s="22" t="inlineStr">
        <is>
          <t>c_souza@cargill.com</t>
        </is>
      </c>
      <c r="O537" s="22" t="inlineStr">
        <is>
          <t>verified</t>
        </is>
      </c>
      <c r="P537" s="22" t="inlineStr">
        <is>
          <t>Renato Magalhaes</t>
        </is>
      </c>
      <c r="Q537" s="22" t="inlineStr">
        <is>
          <t>Analista de Faturamento e Contas a Receber PL</t>
        </is>
      </c>
      <c r="R537" s="22" t="inlineStr"/>
      <c r="S537" s="22" t="inlineStr">
        <is>
          <t>renato_magalhaes@cargill.com</t>
        </is>
      </c>
      <c r="T537" s="22" t="inlineStr">
        <is>
          <t>DM: DM verified email; LARGE CORP; 'Cargill Novos Horizontes' returned 0, used parent Cargill (cargill.com) - VERIFY org / subsidiary; BACKUP: backup verified email</t>
        </is>
      </c>
      <c r="U537" s="24" t="n">
        <v>239695</v>
      </c>
      <c r="V537" s="25" t="inlineStr">
        <is>
          <t>B</t>
        </is>
      </c>
      <c r="W537" s="26" t="n">
        <v>0.12</v>
      </c>
      <c r="X537" s="27" t="n">
        <v>2</v>
      </c>
      <c r="Y537" s="27" t="n">
        <v>13</v>
      </c>
      <c r="Z537" s="26">
        <f>IF(W537&lt;&gt;"",W537,IFERROR(VLOOKUP(V537,Assumptions!$A$8:$F$12,2,FALSE),0))</f>
        <v/>
      </c>
      <c r="AA537" s="28">
        <f>IF(V537="A",MAX(1,IF(X537&lt;&gt;"",X537,IFERROR(VLOOKUP(V537,Assumptions!$A$8:$F$12,3,FALSE),3))+IF(Y537&lt;&gt;"",Y537,IFERROR(VLOOKUP(V537,Assumptions!$A$8:$F$12,4,FALSE),8))/2-MAX(0,IF(AS537="",0,YEAR(TODAY())-AS537)-IFERROR(VLOOKUP(V537,Assumptions!$A$8:$F$12,5,FALSE),1.5))),IFERROR(VLOOKUP(V537,Assumptions!$A$8:$F$12,5,FALSE),2.5)+IF(X537&lt;&gt;"",X537,IFERROR(VLOOKUP(V537,Assumptions!$A$8:$F$12,3,FALSE),3))+IF(Y537&lt;&gt;"",Y537,IFERROR(VLOOKUP(V537,Assumptions!$A$8:$F$12,4,FALSE),8))/2)</f>
        <v/>
      </c>
      <c r="AB537" s="24">
        <f>U537*Z537/(1+Assumptions!$B$3)^AA537</f>
        <v/>
      </c>
      <c r="AC537" s="27">
        <f>IF(U537=0,"",ROUND(AB537/U537*100,1))</f>
        <v/>
      </c>
      <c r="AD537" s="29">
        <f>AB537*Assumptions!$B$4</f>
        <v/>
      </c>
      <c r="AE537" s="27">
        <f>IF(U537=0,"",ROUND(AD537/U537*100,1))</f>
        <v/>
      </c>
      <c r="AF537" s="29">
        <f>AB537-AD537</f>
        <v/>
      </c>
      <c r="AG537" s="27">
        <f>IF(U537=0,"",ROUND((AB537-AD537)/U537*100,1))</f>
        <v/>
      </c>
      <c r="AH537" s="34" t="inlineStr">
        <is>
          <t>NO TOTALS — list prints none; check page</t>
        </is>
      </c>
      <c r="AI537" s="31" t="inlineStr">
        <is>
          <t>https://stenius.com.br/wp-content/uploads/2026/06/EDITAL-GRUPO-3E.pdf</t>
        </is>
      </c>
      <c r="AJ537" s="30" t="inlineStr">
        <is>
          <t>p11 r34</t>
        </is>
      </c>
      <c r="AK537" s="30" t="inlineStr">
        <is>
          <t>p11: R$ 239.695,00</t>
        </is>
      </c>
      <c r="AL537" s="30" t="inlineStr">
        <is>
          <t>Debtor list (art. 51)</t>
        </is>
      </c>
      <c r="AM537" s="30" t="inlineStr">
        <is>
          <t>2026-06-22</t>
        </is>
      </c>
      <c r="AN537" s="30" t="inlineStr">
        <is>
          <t>PLAN FILED (art. 53), not granted</t>
        </is>
      </c>
      <c r="AO537" s="32" t="inlineStr">
        <is>
          <t>5341375-33.2026.8.09.0049</t>
        </is>
      </c>
      <c r="AP537" s="32" t="inlineStr">
        <is>
          <t>TJGO</t>
        </is>
      </c>
      <c r="AQ537" s="32" t="inlineStr">
        <is>
          <t>Recuperação judicial</t>
        </is>
      </c>
      <c r="AR537" s="32" t="inlineStr">
        <is>
          <t>DataJud: no closure/falência movement</t>
        </is>
      </c>
      <c r="AS537" s="32" t="n">
        <v>2026</v>
      </c>
      <c r="AT537" s="32" t="inlineStr">
        <is>
          <t>plan filed (art. 53), not yet granted</t>
        </is>
      </c>
      <c r="AU537" s="32" t="inlineStr"/>
      <c r="AV537" s="32" t="inlineStr">
        <is>
          <t>printed on the list (read twice)</t>
        </is>
      </c>
      <c r="AW537" s="32" t="inlineStr">
        <is>
          <t>Plano de Recuperação Judicial Grupo 3E v2.0 (Métis), mov. 321, pp.24-25</t>
        </is>
      </c>
      <c r="AX537" s="32" t="inlineStr">
        <is>
          <t>SAO PAULO</t>
        </is>
      </c>
      <c r="AY537" s="32" t="inlineStr">
        <is>
          <t>SP</t>
        </is>
      </c>
      <c r="AZ537" s="32" t="inlineStr">
        <is>
          <t>Fabricação de óleos vegetais em bruto, exceto óleo de milho</t>
        </is>
      </c>
      <c r="BA537" s="32" t="inlineStr">
        <is>
          <t>não ME/EPP</t>
        </is>
      </c>
      <c r="BB537" s="33" t="n">
        <v>2016252500</v>
      </c>
      <c r="BC537" s="32" t="inlineStr">
        <is>
          <t>LARGE CORP</t>
        </is>
      </c>
      <c r="BD537" s="32" t="inlineStr">
        <is>
          <t>50290329</t>
        </is>
      </c>
      <c r="BE537" s="32" t="n">
        <v>1</v>
      </c>
      <c r="BF537" s="32" t="inlineStr">
        <is>
          <t>list prints no totals</t>
        </is>
      </c>
    </row>
    <row r="538">
      <c r="A538" s="17" t="inlineStr">
        <is>
          <t>TOTVS S.A.</t>
        </is>
      </c>
      <c r="B538" s="18" t="n">
        <v>391959.35</v>
      </c>
      <c r="C538" s="19" t="inlineStr">
        <is>
          <t>COPA FRUIT IMPORTAÇÃO E EXPORTAÇÃO S.A</t>
        </is>
      </c>
      <c r="D538" s="20" t="inlineStr">
        <is>
          <t>NEW</t>
        </is>
      </c>
      <c r="E538" s="21" t="inlineStr"/>
      <c r="F538" s="20" t="inlineStr"/>
      <c r="G538" s="21" t="inlineStr"/>
      <c r="H538" s="20" t="inlineStr"/>
      <c r="I538" s="22" t="inlineStr">
        <is>
          <t>Maiara Parisotto</t>
        </is>
      </c>
      <c r="J538" s="22" t="inlineStr">
        <is>
          <t>Gerente de Contas a Receber, Crédito e Cobrança</t>
        </is>
      </c>
      <c r="K538" s="22" t="inlineStr">
        <is>
          <t>(11) 4004-0015</t>
        </is>
      </c>
      <c r="L538" s="22" t="inlineStr"/>
      <c r="M538" s="22" t="inlineStr"/>
      <c r="N538" s="22" t="inlineStr">
        <is>
          <t>maiara.parisotto@totvs.com.br</t>
        </is>
      </c>
      <c r="O538" s="22" t="inlineStr">
        <is>
          <t>verified</t>
        </is>
      </c>
      <c r="P538" s="22" t="inlineStr">
        <is>
          <t>DENNIS HERSZKOWICZ</t>
        </is>
      </c>
      <c r="Q538" s="22" t="inlineStr">
        <is>
          <t>Presidente (RFB partner)</t>
        </is>
      </c>
      <c r="R538" s="22" t="inlineStr"/>
      <c r="S538" s="22" t="inlineStr"/>
      <c r="T538" s="22" t="inlineStr">
        <is>
          <t>DM: has_email, phone Yes; large corp</t>
        </is>
      </c>
      <c r="U538" s="24" t="n">
        <v>391959.35</v>
      </c>
      <c r="V538" s="40" t="inlineStr">
        <is>
          <t>D</t>
        </is>
      </c>
      <c r="W538" s="26" t="inlineStr"/>
      <c r="X538" s="27" t="inlineStr"/>
      <c r="Y538" s="27" t="inlineStr"/>
      <c r="Z538" s="26">
        <f>IF(W538&lt;&gt;"",W538,IFERROR(VLOOKUP(V538,Assumptions!$A$8:$F$12,2,FALSE),0))</f>
        <v/>
      </c>
      <c r="AA538" s="28">
        <f>IF(V538="A",MAX(1,IF(X538&lt;&gt;"",X538,IFERROR(VLOOKUP(V538,Assumptions!$A$8:$F$12,3,FALSE),3))+IF(Y538&lt;&gt;"",Y538,IFERROR(VLOOKUP(V538,Assumptions!$A$8:$F$12,4,FALSE),8))/2-MAX(0,IF(AS538="",0,YEAR(TODAY())-AS538)-IFERROR(VLOOKUP(V538,Assumptions!$A$8:$F$12,5,FALSE),1.5))),IFERROR(VLOOKUP(V538,Assumptions!$A$8:$F$12,5,FALSE),2.5)+IF(X538&lt;&gt;"",X538,IFERROR(VLOOKUP(V538,Assumptions!$A$8:$F$12,3,FALSE),3))+IF(Y538&lt;&gt;"",Y538,IFERROR(VLOOKUP(V538,Assumptions!$A$8:$F$12,4,FALSE),8))/2)</f>
        <v/>
      </c>
      <c r="AB538" s="24">
        <f>U538*Z538/(1+Assumptions!$B$3)^AA538</f>
        <v/>
      </c>
      <c r="AC538" s="27">
        <f>IF(U538=0,"",ROUND(AB538/U538*100,1))</f>
        <v/>
      </c>
      <c r="AD538" s="29">
        <f>AB538*Assumptions!$B$4</f>
        <v/>
      </c>
      <c r="AE538" s="27">
        <f>IF(U538=0,"",ROUND(AD538/U538*100,1))</f>
        <v/>
      </c>
      <c r="AF538" s="29">
        <f>AB538-AD538</f>
        <v/>
      </c>
      <c r="AG538" s="27">
        <f>IF(U538=0,"",ROUND((AB538-AD538)/U538*100,1))</f>
        <v/>
      </c>
      <c r="AH538" s="34" t="inlineStr">
        <is>
          <t>NO TOTALS — list prints none; check page</t>
        </is>
      </c>
      <c r="AI538" s="31" t="inlineStr">
        <is>
          <t>https://diligence.adm.br/wp-content/plugins/download-attachments/includes/download.php?id=4579</t>
        </is>
      </c>
      <c r="AJ538" s="30" t="inlineStr">
        <is>
          <t>p8 r12</t>
        </is>
      </c>
      <c r="AK538" s="30" t="inlineStr">
        <is>
          <t>p8: R$ 391.959,35</t>
        </is>
      </c>
      <c r="AL538" s="30" t="inlineStr">
        <is>
          <t>AJ list (art. 7 §2)</t>
        </is>
      </c>
      <c r="AM538" s="30" t="inlineStr">
        <is>
          <t>2024-06-11</t>
        </is>
      </c>
      <c r="AN538" s="30" t="inlineStr">
        <is>
          <t>NONE FOUND</t>
        </is>
      </c>
      <c r="AO538" s="32" t="inlineStr">
        <is>
          <t>0032731-52.2010.8.17.0001</t>
        </is>
      </c>
      <c r="AP538" s="32" t="inlineStr">
        <is>
          <t>TJPE</t>
        </is>
      </c>
      <c r="AQ538" s="32" t="inlineStr">
        <is>
          <t>Falência</t>
        </is>
      </c>
      <c r="AR538" s="32" t="inlineStr">
        <is>
          <t>not in DataJud</t>
        </is>
      </c>
      <c r="AS538" s="32" t="n">
        <v>2010</v>
      </c>
      <c r="AT538" s="32" t="inlineStr">
        <is>
          <t>falência proceeding (list/name says falida)</t>
        </is>
      </c>
      <c r="AU538" s="32" t="inlineStr">
        <is>
          <t>01.356.809/0001-13</t>
        </is>
      </c>
      <c r="AV538" s="32" t="inlineStr">
        <is>
          <t>printed on the list (read twice)</t>
        </is>
      </c>
      <c r="AW538" s="32" t="inlineStr"/>
      <c r="AX538" s="32" t="inlineStr">
        <is>
          <t>SAO PAULO</t>
        </is>
      </c>
      <c r="AY538" s="32" t="inlineStr">
        <is>
          <t>SP</t>
        </is>
      </c>
      <c r="AZ538" s="32" t="inlineStr">
        <is>
          <t>Desenvolvimento de programas de computador sob encomenda</t>
        </is>
      </c>
      <c r="BA538" s="32" t="inlineStr">
        <is>
          <t>não ME/EPP</t>
        </is>
      </c>
      <c r="BB538" s="33" t="n">
        <v>2962584600</v>
      </c>
      <c r="BC538" s="32" t="inlineStr">
        <is>
          <t>LARGE CORP</t>
        </is>
      </c>
      <c r="BD538" s="32" t="inlineStr">
        <is>
          <t>53113791</t>
        </is>
      </c>
      <c r="BE538" s="32" t="n">
        <v>1</v>
      </c>
      <c r="BF538" s="32" t="inlineStr">
        <is>
          <t>list prints no totals</t>
        </is>
      </c>
    </row>
    <row r="539">
      <c r="A539" s="17" t="inlineStr">
        <is>
          <t>REISTAR INDUSTRIA E COMERCIO DE ELETRONICOS LTDA EM RECUPERACAO JUDICIAL</t>
        </is>
      </c>
      <c r="B539" s="18" t="n">
        <v>210200.14</v>
      </c>
      <c r="C539" s="19" t="inlineStr">
        <is>
          <t>CREDIMÓVEIS NOVOLAR LTDA.</t>
        </is>
      </c>
      <c r="D539" s="20" t="inlineStr">
        <is>
          <t>NEW</t>
        </is>
      </c>
      <c r="E539" s="21" t="inlineStr"/>
      <c r="F539" s="20" t="inlineStr"/>
      <c r="G539" s="21" t="inlineStr"/>
      <c r="H539" s="20" t="inlineStr"/>
      <c r="I539" s="22" t="inlineStr">
        <is>
          <t>Rodrigo Ribeiro</t>
        </is>
      </c>
      <c r="J539" s="22" t="inlineStr">
        <is>
          <t>Chief Financial Officer</t>
        </is>
      </c>
      <c r="K539" s="22" t="inlineStr">
        <is>
          <t>(71) 9249-0015</t>
        </is>
      </c>
      <c r="L539" s="22" t="inlineStr"/>
      <c r="M539" s="22" t="inlineStr"/>
      <c r="N539" s="22" t="inlineStr">
        <is>
          <t>rodrigo@amvox.com.br</t>
        </is>
      </c>
      <c r="O539" s="22" t="inlineStr">
        <is>
          <t>verified</t>
        </is>
      </c>
      <c r="P539" s="22" t="inlineStr">
        <is>
          <t>Elienei Reis</t>
        </is>
      </c>
      <c r="Q539" s="22" t="inlineStr">
        <is>
          <t>Financial Manager</t>
        </is>
      </c>
      <c r="R539" s="22" t="inlineStr"/>
      <c r="S539" s="22" t="inlineStr">
        <is>
          <t>elienei.reis@amvox.com.br</t>
        </is>
      </c>
      <c r="T539" s="22" t="inlineStr">
        <is>
          <t>DM: DM verified email; BACKUP: backup verified email</t>
        </is>
      </c>
      <c r="U539" s="24" t="n">
        <v>210200.14</v>
      </c>
      <c r="V539" s="39" t="inlineStr">
        <is>
          <t>C</t>
        </is>
      </c>
      <c r="W539" s="26" t="inlineStr"/>
      <c r="X539" s="27" t="inlineStr"/>
      <c r="Y539" s="27" t="inlineStr"/>
      <c r="Z539" s="26">
        <f>IF(W539&lt;&gt;"",W539,IFERROR(VLOOKUP(V539,Assumptions!$A$8:$F$12,2,FALSE),0))</f>
        <v/>
      </c>
      <c r="AA539" s="28">
        <f>IF(V539="A",MAX(1,IF(X539&lt;&gt;"",X539,IFERROR(VLOOKUP(V539,Assumptions!$A$8:$F$12,3,FALSE),3))+IF(Y539&lt;&gt;"",Y539,IFERROR(VLOOKUP(V539,Assumptions!$A$8:$F$12,4,FALSE),8))/2-MAX(0,IF(AS539="",0,YEAR(TODAY())-AS539)-IFERROR(VLOOKUP(V539,Assumptions!$A$8:$F$12,5,FALSE),1.5))),IFERROR(VLOOKUP(V539,Assumptions!$A$8:$F$12,5,FALSE),2.5)+IF(X539&lt;&gt;"",X539,IFERROR(VLOOKUP(V539,Assumptions!$A$8:$F$12,3,FALSE),3))+IF(Y539&lt;&gt;"",Y539,IFERROR(VLOOKUP(V539,Assumptions!$A$8:$F$12,4,FALSE),8))/2)</f>
        <v/>
      </c>
      <c r="AB539" s="24">
        <f>U539*Z539/(1+Assumptions!$B$3)^AA539</f>
        <v/>
      </c>
      <c r="AC539" s="27">
        <f>IF(U539=0,"",ROUND(AB539/U539*100,1))</f>
        <v/>
      </c>
      <c r="AD539" s="29">
        <f>AB539*Assumptions!$B$4</f>
        <v/>
      </c>
      <c r="AE539" s="27">
        <f>IF(U539=0,"",ROUND(AD539/U539*100,1))</f>
        <v/>
      </c>
      <c r="AF539" s="29">
        <f>AB539-AD539</f>
        <v/>
      </c>
      <c r="AG539" s="27">
        <f>IF(U539=0,"",ROUND((AB539-AD539)/U539*100,1))</f>
        <v/>
      </c>
      <c r="AH539" s="30" t="inlineStr">
        <is>
          <t>OK — totals reconciled</t>
        </is>
      </c>
      <c r="AI539" s="31" t="inlineStr">
        <is>
          <t>https://recuperacaojudicial.squarespace.com/s/RJ-Credimoveis-QGC-01082025.pdf</t>
        </is>
      </c>
      <c r="AJ539" s="30" t="inlineStr">
        <is>
          <t>p16 r51</t>
        </is>
      </c>
      <c r="AK539" s="30" t="inlineStr">
        <is>
          <t>p16: R$ 210.200,14</t>
        </is>
      </c>
      <c r="AL539" s="30" t="inlineStr">
        <is>
          <t>QGC (art. 18)</t>
        </is>
      </c>
      <c r="AM539" s="30" t="inlineStr">
        <is>
          <t>2026-01-28</t>
        </is>
      </c>
      <c r="AN539" s="30" t="inlineStr">
        <is>
          <t>NONE FOUND</t>
        </is>
      </c>
      <c r="AO539" s="32" t="inlineStr">
        <is>
          <t>0007565-40.2020.8.17.2370</t>
        </is>
      </c>
      <c r="AP539" s="32" t="inlineStr">
        <is>
          <t>TJPE</t>
        </is>
      </c>
      <c r="AQ539" s="32" t="inlineStr">
        <is>
          <t>Recuperação judicial</t>
        </is>
      </c>
      <c r="AR539" s="32" t="inlineStr">
        <is>
          <t>DataJud: no closure/falência movement</t>
        </is>
      </c>
      <c r="AS539" s="32" t="n">
        <v>2020</v>
      </c>
      <c r="AT539" s="32" t="inlineStr">
        <is>
          <t>6y since filing; plan not in our documents</t>
        </is>
      </c>
      <c r="AU539" s="32" t="inlineStr">
        <is>
          <t>09.930.165/0001-37</t>
        </is>
      </c>
      <c r="AV539" s="32" t="inlineStr">
        <is>
          <t>printed on the list (read twice)</t>
        </is>
      </c>
      <c r="AW539" s="32" t="inlineStr"/>
      <c r="AX539" s="32" t="inlineStr">
        <is>
          <t>CAMACARI</t>
        </is>
      </c>
      <c r="AY539" s="32" t="inlineStr">
        <is>
          <t>BA</t>
        </is>
      </c>
      <c r="AZ539" s="32" t="inlineStr">
        <is>
          <t>Fabricação de aparelhos de recepção, reprodução, gravação e amplificação de áudio e vídeo</t>
        </is>
      </c>
      <c r="BA539" s="32" t="inlineStr">
        <is>
          <t>não ME/EPP</t>
        </is>
      </c>
      <c r="BB539" s="33" t="n">
        <v>155000000</v>
      </c>
      <c r="BC539" s="32" t="inlineStr">
        <is>
          <t>MID-MARKET</t>
        </is>
      </c>
      <c r="BD539" s="32" t="inlineStr">
        <is>
          <t>05949989</t>
        </is>
      </c>
      <c r="BE539" s="32" t="n">
        <v>1</v>
      </c>
      <c r="BF539" s="32" t="inlineStr"/>
    </row>
    <row r="540">
      <c r="A540" s="17" t="inlineStr">
        <is>
          <t>L. J. MOVEIS LTDA</t>
        </is>
      </c>
      <c r="B540" s="18" t="n">
        <v>209470.24</v>
      </c>
      <c r="C540" s="19" t="inlineStr">
        <is>
          <t>CREDIMÓVEIS NOVOLAR LTDA.</t>
        </is>
      </c>
      <c r="D540" s="20" t="inlineStr">
        <is>
          <t>NEW</t>
        </is>
      </c>
      <c r="E540" s="21" t="inlineStr"/>
      <c r="F540" s="20" t="inlineStr"/>
      <c r="G540" s="21" t="inlineStr"/>
      <c r="H540" s="20" t="inlineStr"/>
      <c r="I540" s="22" t="inlineStr">
        <is>
          <t>MARIA HELENA DO CARMO LIMA</t>
        </is>
      </c>
      <c r="J540" s="23" t="inlineStr">
        <is>
          <t>Sócio-Administrador (RFB partner)</t>
        </is>
      </c>
      <c r="K540" s="22" t="inlineStr">
        <is>
          <t>(32) 3406-0153</t>
        </is>
      </c>
      <c r="L540" s="22" t="inlineStr">
        <is>
          <t>(32) 3406-0154</t>
        </is>
      </c>
      <c r="M540" s="22" t="inlineStr"/>
      <c r="N540" s="22" t="inlineStr"/>
      <c r="O540" s="22" t="inlineStr"/>
      <c r="P540" s="22" t="inlineStr">
        <is>
          <t>Jadson Gabriel</t>
        </is>
      </c>
      <c r="Q540" s="22" t="inlineStr">
        <is>
          <t>Chefe de Depósito</t>
        </is>
      </c>
      <c r="R540" s="22" t="inlineStr"/>
      <c r="S540" s="22" t="inlineStr"/>
      <c r="T540" s="22" t="inlineStr">
        <is>
          <t>DM = registered partner (RFB QSA); Apollo pick demoted to backup (non-finance role); BACKUP: DM fallback - only person in Apollo, warehouse chief (email unavailable)</t>
        </is>
      </c>
      <c r="U540" s="24" t="n">
        <v>209470.24</v>
      </c>
      <c r="V540" s="39" t="inlineStr">
        <is>
          <t>C</t>
        </is>
      </c>
      <c r="W540" s="26" t="inlineStr"/>
      <c r="X540" s="27" t="inlineStr"/>
      <c r="Y540" s="27" t="inlineStr"/>
      <c r="Z540" s="26">
        <f>IF(W540&lt;&gt;"",W540,IFERROR(VLOOKUP(V540,Assumptions!$A$8:$F$12,2,FALSE),0))</f>
        <v/>
      </c>
      <c r="AA540" s="28">
        <f>IF(V540="A",MAX(1,IF(X540&lt;&gt;"",X540,IFERROR(VLOOKUP(V540,Assumptions!$A$8:$F$12,3,FALSE),3))+IF(Y540&lt;&gt;"",Y540,IFERROR(VLOOKUP(V540,Assumptions!$A$8:$F$12,4,FALSE),8))/2-MAX(0,IF(AS540="",0,YEAR(TODAY())-AS540)-IFERROR(VLOOKUP(V540,Assumptions!$A$8:$F$12,5,FALSE),1.5))),IFERROR(VLOOKUP(V540,Assumptions!$A$8:$F$12,5,FALSE),2.5)+IF(X540&lt;&gt;"",X540,IFERROR(VLOOKUP(V540,Assumptions!$A$8:$F$12,3,FALSE),3))+IF(Y540&lt;&gt;"",Y540,IFERROR(VLOOKUP(V540,Assumptions!$A$8:$F$12,4,FALSE),8))/2)</f>
        <v/>
      </c>
      <c r="AB540" s="24">
        <f>U540*Z540/(1+Assumptions!$B$3)^AA540</f>
        <v/>
      </c>
      <c r="AC540" s="27">
        <f>IF(U540=0,"",ROUND(AB540/U540*100,1))</f>
        <v/>
      </c>
      <c r="AD540" s="29">
        <f>AB540*Assumptions!$B$4</f>
        <v/>
      </c>
      <c r="AE540" s="27">
        <f>IF(U540=0,"",ROUND(AD540/U540*100,1))</f>
        <v/>
      </c>
      <c r="AF540" s="29">
        <f>AB540-AD540</f>
        <v/>
      </c>
      <c r="AG540" s="27">
        <f>IF(U540=0,"",ROUND((AB540-AD540)/U540*100,1))</f>
        <v/>
      </c>
      <c r="AH540" s="30" t="inlineStr">
        <is>
          <t>OK — totals reconciled</t>
        </is>
      </c>
      <c r="AI540" s="31" t="inlineStr">
        <is>
          <t>https://recuperacaojudicial.squarespace.com/s/RJ-Credimoveis-QGC-01082025.pdf</t>
        </is>
      </c>
      <c r="AJ540" s="30" t="inlineStr">
        <is>
          <t>p16 r6</t>
        </is>
      </c>
      <c r="AK540" s="30" t="inlineStr">
        <is>
          <t>p16: R$ 209.470,24</t>
        </is>
      </c>
      <c r="AL540" s="30" t="inlineStr">
        <is>
          <t>QGC (art. 18)</t>
        </is>
      </c>
      <c r="AM540" s="30" t="inlineStr">
        <is>
          <t>2026-01-28</t>
        </is>
      </c>
      <c r="AN540" s="30" t="inlineStr">
        <is>
          <t>NONE FOUND</t>
        </is>
      </c>
      <c r="AO540" s="32" t="inlineStr">
        <is>
          <t>0007565-40.2020.8.17.2370</t>
        </is>
      </c>
      <c r="AP540" s="32" t="inlineStr">
        <is>
          <t>TJPE</t>
        </is>
      </c>
      <c r="AQ540" s="32" t="inlineStr">
        <is>
          <t>Recuperação judicial</t>
        </is>
      </c>
      <c r="AR540" s="32" t="inlineStr">
        <is>
          <t>DataJud: no closure/falência movement</t>
        </is>
      </c>
      <c r="AS540" s="32" t="n">
        <v>2020</v>
      </c>
      <c r="AT540" s="32" t="inlineStr">
        <is>
          <t>6y since filing; plan not in our documents</t>
        </is>
      </c>
      <c r="AU540" s="32" t="inlineStr">
        <is>
          <t>09.930.165/0001-37</t>
        </is>
      </c>
      <c r="AV540" s="32" t="inlineStr">
        <is>
          <t>printed on the list (read twice)</t>
        </is>
      </c>
      <c r="AW540" s="32" t="inlineStr"/>
      <c r="AX540" s="32" t="inlineStr">
        <is>
          <t>SAO GERALDO</t>
        </is>
      </c>
      <c r="AY540" s="32" t="inlineStr">
        <is>
          <t>MG</t>
        </is>
      </c>
      <c r="AZ540" s="32" t="inlineStr">
        <is>
          <t>Fabricação de móveis com predominância de madeira</t>
        </is>
      </c>
      <c r="BA540" s="32" t="inlineStr">
        <is>
          <t>não ME/EPP</t>
        </is>
      </c>
      <c r="BB540" s="33" t="n">
        <v>100000</v>
      </c>
      <c r="BC540" s="32" t="inlineStr">
        <is>
          <t>MID-MARKET</t>
        </is>
      </c>
      <c r="BD540" s="32" t="inlineStr">
        <is>
          <t>01792254</t>
        </is>
      </c>
      <c r="BE540" s="32" t="n">
        <v>1</v>
      </c>
      <c r="BF540" s="32" t="inlineStr"/>
    </row>
    <row r="541">
      <c r="A541" s="17" t="inlineStr">
        <is>
          <t>CONSULTAR ASSIST TEC EM DOCUMENTACAO E INFORMACAO LTDA</t>
        </is>
      </c>
      <c r="B541" s="18" t="n">
        <v>207006.28</v>
      </c>
      <c r="C541" s="19" t="inlineStr">
        <is>
          <t>GRUPO ARNON DE MELLO</t>
        </is>
      </c>
      <c r="D541" s="20" t="inlineStr">
        <is>
          <t>NEW</t>
        </is>
      </c>
      <c r="E541" s="21" t="inlineStr"/>
      <c r="F541" s="20" t="inlineStr"/>
      <c r="G541" s="21" t="inlineStr"/>
      <c r="H541" s="20" t="inlineStr"/>
      <c r="I541" s="22" t="inlineStr">
        <is>
          <t>ANDRE LUIZ SILVA DOS SANTOS</t>
        </is>
      </c>
      <c r="J541" s="23" t="inlineStr">
        <is>
          <t>Sócio-Administrador (RFB partner)</t>
        </is>
      </c>
      <c r="K541" s="22" t="inlineStr">
        <is>
          <t>(82) 9941-0392</t>
        </is>
      </c>
      <c r="L541" s="22" t="inlineStr"/>
      <c r="M541" s="22" t="inlineStr"/>
      <c r="N541" s="22" t="inlineStr"/>
      <c r="O541" s="22" t="inlineStr"/>
      <c r="P541" s="22" t="inlineStr"/>
      <c r="Q541" s="22" t="inlineStr"/>
      <c r="R541" s="22" t="inlineStr"/>
      <c r="S541" s="22" t="inlineStr"/>
      <c r="T541" s="22" t="inlineStr">
        <is>
          <t>DM = registered partner (RFB QSA); no Apollo match</t>
        </is>
      </c>
      <c r="U541" s="24" t="n">
        <v>207006.28</v>
      </c>
      <c r="V541" s="39" t="inlineStr">
        <is>
          <t>C</t>
        </is>
      </c>
      <c r="W541" s="26" t="inlineStr"/>
      <c r="X541" s="27" t="inlineStr"/>
      <c r="Y541" s="27" t="inlineStr"/>
      <c r="Z541" s="26">
        <f>IF(W541&lt;&gt;"",W541,IFERROR(VLOOKUP(V541,Assumptions!$A$8:$F$12,2,FALSE),0))</f>
        <v/>
      </c>
      <c r="AA541" s="28">
        <f>IF(V541="A",MAX(1,IF(X541&lt;&gt;"",X541,IFERROR(VLOOKUP(V541,Assumptions!$A$8:$F$12,3,FALSE),3))+IF(Y541&lt;&gt;"",Y541,IFERROR(VLOOKUP(V541,Assumptions!$A$8:$F$12,4,FALSE),8))/2-MAX(0,IF(AS541="",0,YEAR(TODAY())-AS541)-IFERROR(VLOOKUP(V541,Assumptions!$A$8:$F$12,5,FALSE),1.5))),IFERROR(VLOOKUP(V541,Assumptions!$A$8:$F$12,5,FALSE),2.5)+IF(X541&lt;&gt;"",X541,IFERROR(VLOOKUP(V541,Assumptions!$A$8:$F$12,3,FALSE),3))+IF(Y541&lt;&gt;"",Y541,IFERROR(VLOOKUP(V541,Assumptions!$A$8:$F$12,4,FALSE),8))/2)</f>
        <v/>
      </c>
      <c r="AB541" s="24">
        <f>U541*Z541/(1+Assumptions!$B$3)^AA541</f>
        <v/>
      </c>
      <c r="AC541" s="27">
        <f>IF(U541=0,"",ROUND(AB541/U541*100,1))</f>
        <v/>
      </c>
      <c r="AD541" s="29">
        <f>AB541*Assumptions!$B$4</f>
        <v/>
      </c>
      <c r="AE541" s="27">
        <f>IF(U541=0,"",ROUND(AD541/U541*100,1))</f>
        <v/>
      </c>
      <c r="AF541" s="29">
        <f>AB541-AD541</f>
        <v/>
      </c>
      <c r="AG541" s="27">
        <f>IF(U541=0,"",ROUND((AB541-AD541)/U541*100,1))</f>
        <v/>
      </c>
      <c r="AH541" s="34" t="inlineStr">
        <is>
          <t>NO TOTALS — list prints none; check page</t>
        </is>
      </c>
      <c r="AI541" s="31" t="inlineStr">
        <is>
          <t>https://recuperacaojudicial.squarespace.com/s/RJ-Grupo-Arnon-de-Melo-Lista-de-Credores-Consolidada-abril-2022.pdf</t>
        </is>
      </c>
      <c r="AJ541" s="30" t="inlineStr">
        <is>
          <t>p7 r53</t>
        </is>
      </c>
      <c r="AK541" s="30" t="inlineStr">
        <is>
          <t>p7: R$ 207.006,28</t>
        </is>
      </c>
      <c r="AL541" s="30" t="inlineStr">
        <is>
          <t>AJ list (art. 7 §2)</t>
        </is>
      </c>
      <c r="AM541" s="30" t="inlineStr"/>
      <c r="AN541" s="30" t="inlineStr">
        <is>
          <t>NONE FOUND</t>
        </is>
      </c>
      <c r="AO541" s="32" t="inlineStr">
        <is>
          <t>0700256-03.2019.8.02.0066</t>
        </is>
      </c>
      <c r="AP541" s="32" t="inlineStr">
        <is>
          <t>TJAL</t>
        </is>
      </c>
      <c r="AQ541" s="32" t="inlineStr">
        <is>
          <t>Recuperação judicial</t>
        </is>
      </c>
      <c r="AR541" s="32" t="inlineStr">
        <is>
          <t>not in DataJud</t>
        </is>
      </c>
      <c r="AS541" s="32" t="n">
        <v>2019</v>
      </c>
      <c r="AT541" s="32" t="inlineStr">
        <is>
          <t>7y since filing; plan not in our documents</t>
        </is>
      </c>
      <c r="AU541" s="32" t="inlineStr">
        <is>
          <t>12.503.801/0001-59</t>
        </is>
      </c>
      <c r="AV541" s="32" t="inlineStr">
        <is>
          <t>printed on the list (read twice)</t>
        </is>
      </c>
      <c r="AW541" s="32" t="inlineStr"/>
      <c r="AX541" s="32" t="inlineStr">
        <is>
          <t>MACEIO</t>
        </is>
      </c>
      <c r="AY541" s="32" t="inlineStr">
        <is>
          <t>AL</t>
        </is>
      </c>
      <c r="AZ541" s="32" t="inlineStr">
        <is>
          <t>Preparação de documentos e serviços especializados de apoio administrativo não especificados anteriormente</t>
        </is>
      </c>
      <c r="BA541" s="32" t="inlineStr">
        <is>
          <t>MICRO EMPRESA</t>
        </is>
      </c>
      <c r="BB541" s="33" t="n">
        <v>150000</v>
      </c>
      <c r="BC541" s="32" t="inlineStr">
        <is>
          <t>SMALL</t>
        </is>
      </c>
      <c r="BD541" s="32" t="inlineStr">
        <is>
          <t>69975530</t>
        </is>
      </c>
      <c r="BE541" s="32" t="n">
        <v>1</v>
      </c>
      <c r="BF541" s="32" t="inlineStr">
        <is>
          <t>list prints no totals</t>
        </is>
      </c>
    </row>
    <row r="542">
      <c r="A542" s="17" t="inlineStr">
        <is>
          <t>POLIMAN INDUSTRIA E COMERCIO DE MOVEIS LTDA</t>
        </is>
      </c>
      <c r="B542" s="18" t="n">
        <v>205935.56</v>
      </c>
      <c r="C542" s="19" t="inlineStr">
        <is>
          <t>CREDIMÓVEIS NOVOLAR LTDA.</t>
        </is>
      </c>
      <c r="D542" s="20" t="inlineStr">
        <is>
          <t>NEW</t>
        </is>
      </c>
      <c r="E542" s="21" t="inlineStr"/>
      <c r="F542" s="20" t="inlineStr"/>
      <c r="G542" s="21" t="inlineStr"/>
      <c r="H542" s="20" t="inlineStr"/>
      <c r="I542" s="22" t="inlineStr">
        <is>
          <t>Helia Martin</t>
        </is>
      </c>
      <c r="J542" s="22" t="inlineStr">
        <is>
          <t>Financial</t>
        </is>
      </c>
      <c r="K542" s="22" t="inlineStr">
        <is>
          <t>(43) 3276-8600</t>
        </is>
      </c>
      <c r="L542" s="22" t="inlineStr">
        <is>
          <t>(43) 3274-6316</t>
        </is>
      </c>
      <c r="M542" s="22" t="inlineStr"/>
      <c r="N542" s="22" t="inlineStr"/>
      <c r="O542" s="22" t="inlineStr"/>
      <c r="P542" s="22" t="inlineStr">
        <is>
          <t>Juarez Frizzo</t>
        </is>
      </c>
      <c r="Q542" s="22" t="inlineStr">
        <is>
          <t>Director</t>
        </is>
      </c>
      <c r="R542" s="22" t="inlineStr"/>
      <c r="S542" s="22" t="inlineStr">
        <is>
          <t>juarez.frizzo@poliman.pl</t>
        </is>
      </c>
      <c r="T542" s="22" t="inlineStr">
        <is>
          <t>DM: DM email unavailable (Poliman Móveis, Arapongas); VERIFY org for Director pick; the two Financial staff are at Poliman Móveis (poliman.ind.br) which matches creditor; no work email in Apollo for DM; BACKUP: backup2 email juarez.frizzo@poliman.pl WRONG domain - Apollo org is Poliman (Poland IT); person is 'diretor na Poliman' Curitiba since 1988 - VERIFY</t>
        </is>
      </c>
      <c r="U542" s="24" t="n">
        <v>205935.56</v>
      </c>
      <c r="V542" s="39" t="inlineStr">
        <is>
          <t>C</t>
        </is>
      </c>
      <c r="W542" s="26" t="inlineStr"/>
      <c r="X542" s="27" t="inlineStr"/>
      <c r="Y542" s="27" t="inlineStr"/>
      <c r="Z542" s="26">
        <f>IF(W542&lt;&gt;"",W542,IFERROR(VLOOKUP(V542,Assumptions!$A$8:$F$12,2,FALSE),0))</f>
        <v/>
      </c>
      <c r="AA542" s="28">
        <f>IF(V542="A",MAX(1,IF(X542&lt;&gt;"",X542,IFERROR(VLOOKUP(V542,Assumptions!$A$8:$F$12,3,FALSE),3))+IF(Y542&lt;&gt;"",Y542,IFERROR(VLOOKUP(V542,Assumptions!$A$8:$F$12,4,FALSE),8))/2-MAX(0,IF(AS542="",0,YEAR(TODAY())-AS542)-IFERROR(VLOOKUP(V542,Assumptions!$A$8:$F$12,5,FALSE),1.5))),IFERROR(VLOOKUP(V542,Assumptions!$A$8:$F$12,5,FALSE),2.5)+IF(X542&lt;&gt;"",X542,IFERROR(VLOOKUP(V542,Assumptions!$A$8:$F$12,3,FALSE),3))+IF(Y542&lt;&gt;"",Y542,IFERROR(VLOOKUP(V542,Assumptions!$A$8:$F$12,4,FALSE),8))/2)</f>
        <v/>
      </c>
      <c r="AB542" s="24">
        <f>U542*Z542/(1+Assumptions!$B$3)^AA542</f>
        <v/>
      </c>
      <c r="AC542" s="27">
        <f>IF(U542=0,"",ROUND(AB542/U542*100,1))</f>
        <v/>
      </c>
      <c r="AD542" s="29">
        <f>AB542*Assumptions!$B$4</f>
        <v/>
      </c>
      <c r="AE542" s="27">
        <f>IF(U542=0,"",ROUND(AD542/U542*100,1))</f>
        <v/>
      </c>
      <c r="AF542" s="29">
        <f>AB542-AD542</f>
        <v/>
      </c>
      <c r="AG542" s="27">
        <f>IF(U542=0,"",ROUND((AB542-AD542)/U542*100,1))</f>
        <v/>
      </c>
      <c r="AH542" s="30" t="inlineStr">
        <is>
          <t>OK — totals reconciled</t>
        </is>
      </c>
      <c r="AI542" s="31" t="inlineStr">
        <is>
          <t>https://recuperacaojudicial.squarespace.com/s/RJ-Credimoveis-QGC-01082025.pdf</t>
        </is>
      </c>
      <c r="AJ542" s="30" t="inlineStr">
        <is>
          <t>p16 r42</t>
        </is>
      </c>
      <c r="AK542" s="30" t="inlineStr">
        <is>
          <t>p16: R$ 205.935,56</t>
        </is>
      </c>
      <c r="AL542" s="30" t="inlineStr">
        <is>
          <t>QGC (art. 18)</t>
        </is>
      </c>
      <c r="AM542" s="30" t="inlineStr">
        <is>
          <t>2026-01-28</t>
        </is>
      </c>
      <c r="AN542" s="30" t="inlineStr">
        <is>
          <t>NONE FOUND</t>
        </is>
      </c>
      <c r="AO542" s="32" t="inlineStr">
        <is>
          <t>0007565-40.2020.8.17.2370</t>
        </is>
      </c>
      <c r="AP542" s="32" t="inlineStr">
        <is>
          <t>TJPE</t>
        </is>
      </c>
      <c r="AQ542" s="32" t="inlineStr">
        <is>
          <t>Recuperação judicial</t>
        </is>
      </c>
      <c r="AR542" s="32" t="inlineStr">
        <is>
          <t>DataJud: no closure/falência movement</t>
        </is>
      </c>
      <c r="AS542" s="32" t="n">
        <v>2020</v>
      </c>
      <c r="AT542" s="32" t="inlineStr">
        <is>
          <t>6y since filing; plan not in our documents</t>
        </is>
      </c>
      <c r="AU542" s="32" t="inlineStr">
        <is>
          <t>09.930.165/0001-37</t>
        </is>
      </c>
      <c r="AV542" s="32" t="inlineStr">
        <is>
          <t>printed on the list (read twice)</t>
        </is>
      </c>
      <c r="AW542" s="32" t="inlineStr"/>
      <c r="AX542" s="32" t="inlineStr">
        <is>
          <t>ARAPONGAS</t>
        </is>
      </c>
      <c r="AY542" s="32" t="inlineStr">
        <is>
          <t>PR</t>
        </is>
      </c>
      <c r="AZ542" s="32" t="inlineStr">
        <is>
          <t>Fabricação de móveis com predominância de madeira</t>
        </is>
      </c>
      <c r="BA542" s="32" t="inlineStr">
        <is>
          <t>não ME/EPP</t>
        </is>
      </c>
      <c r="BB542" s="33" t="n">
        <v>1000000</v>
      </c>
      <c r="BC542" s="32" t="inlineStr">
        <is>
          <t>MID-MARKET</t>
        </is>
      </c>
      <c r="BD542" s="32" t="inlineStr">
        <is>
          <t>02721927</t>
        </is>
      </c>
      <c r="BE542" s="32" t="n">
        <v>1</v>
      </c>
      <c r="BF542" s="32" t="inlineStr"/>
    </row>
    <row r="543">
      <c r="A543" s="17" t="inlineStr">
        <is>
          <t>SAFEGOLD GERENCIAMENTO DE CAPITAL LTDA</t>
        </is>
      </c>
      <c r="B543" s="18" t="n">
        <v>203501.15</v>
      </c>
      <c r="C543" s="19" t="inlineStr">
        <is>
          <t>VECTOR INDÚSTRIA DE PRODUTOS METALÚRGICOS LTDA.</t>
        </is>
      </c>
      <c r="D543" s="20" t="inlineStr">
        <is>
          <t>NEW</t>
        </is>
      </c>
      <c r="E543" s="21" t="inlineStr"/>
      <c r="F543" s="20" t="inlineStr"/>
      <c r="G543" s="21" t="inlineStr"/>
      <c r="H543" s="20" t="inlineStr"/>
      <c r="I543" s="22" t="inlineStr">
        <is>
          <t>Matheus Doro</t>
        </is>
      </c>
      <c r="J543" s="22" t="inlineStr">
        <is>
          <t>Financial Manager</t>
        </is>
      </c>
      <c r="K543" s="22" t="inlineStr">
        <is>
          <t>(41) 3500-8044</t>
        </is>
      </c>
      <c r="L543" s="22" t="inlineStr"/>
      <c r="M543" s="22" t="inlineStr"/>
      <c r="N543" s="22" t="inlineStr">
        <is>
          <t>matheus.doro@safegold.com.br</t>
        </is>
      </c>
      <c r="O543" s="22" t="inlineStr">
        <is>
          <t>verified</t>
        </is>
      </c>
      <c r="P543" s="22" t="inlineStr">
        <is>
          <t>Jony Silva</t>
        </is>
      </c>
      <c r="Q543" s="22" t="inlineStr">
        <is>
          <t>COO e Sócio</t>
        </is>
      </c>
      <c r="R543" s="22" t="inlineStr"/>
      <c r="S543" s="22" t="inlineStr">
        <is>
          <t>jony@safegold.com.br</t>
        </is>
      </c>
      <c r="T543" s="22" t="inlineStr">
        <is>
          <t>DM: DM verified email; BACKUP: backup verified email</t>
        </is>
      </c>
      <c r="U543" s="24" t="n">
        <v>203501.15</v>
      </c>
      <c r="V543" s="39" t="inlineStr">
        <is>
          <t>C</t>
        </is>
      </c>
      <c r="W543" s="26" t="inlineStr"/>
      <c r="X543" s="27" t="inlineStr"/>
      <c r="Y543" s="27" t="inlineStr"/>
      <c r="Z543" s="26">
        <f>IF(W543&lt;&gt;"",W543,IFERROR(VLOOKUP(V543,Assumptions!$A$8:$F$12,2,FALSE),0))</f>
        <v/>
      </c>
      <c r="AA543" s="28">
        <f>IF(V543="A",MAX(1,IF(X543&lt;&gt;"",X543,IFERROR(VLOOKUP(V543,Assumptions!$A$8:$F$12,3,FALSE),3))+IF(Y543&lt;&gt;"",Y543,IFERROR(VLOOKUP(V543,Assumptions!$A$8:$F$12,4,FALSE),8))/2-MAX(0,IF(AS543="",0,YEAR(TODAY())-AS543)-IFERROR(VLOOKUP(V543,Assumptions!$A$8:$F$12,5,FALSE),1.5))),IFERROR(VLOOKUP(V543,Assumptions!$A$8:$F$12,5,FALSE),2.5)+IF(X543&lt;&gt;"",X543,IFERROR(VLOOKUP(V543,Assumptions!$A$8:$F$12,3,FALSE),3))+IF(Y543&lt;&gt;"",Y543,IFERROR(VLOOKUP(V543,Assumptions!$A$8:$F$12,4,FALSE),8))/2)</f>
        <v/>
      </c>
      <c r="AB543" s="24">
        <f>U543*Z543/(1+Assumptions!$B$3)^AA543</f>
        <v/>
      </c>
      <c r="AC543" s="27">
        <f>IF(U543=0,"",ROUND(AB543/U543*100,1))</f>
        <v/>
      </c>
      <c r="AD543" s="29">
        <f>AB543*Assumptions!$B$4</f>
        <v/>
      </c>
      <c r="AE543" s="27">
        <f>IF(U543=0,"",ROUND(AD543/U543*100,1))</f>
        <v/>
      </c>
      <c r="AF543" s="29">
        <f>AB543-AD543</f>
        <v/>
      </c>
      <c r="AG543" s="27">
        <f>IF(U543=0,"",ROUND((AB543-AD543)/U543*100,1))</f>
        <v/>
      </c>
      <c r="AH543" s="34" t="inlineStr">
        <is>
          <t>NO TOTALS — list prints none; check page</t>
        </is>
      </c>
      <c r="AI543" s="31" t="inlineStr">
        <is>
          <t>https://scalzilliaj.com.br/sgc/download.php?file=files/processo_documento/processo_documento15513401112022_1_.pdf&amp;nome=15 - Edital do art. 7º, §2º (segunda lista de credores) e do art. 53 da Lei 11.101/2005 (recebimento do plano)</t>
        </is>
      </c>
      <c r="AJ543" s="30" t="inlineStr">
        <is>
          <t>p9 r25</t>
        </is>
      </c>
      <c r="AK543" s="30" t="inlineStr">
        <is>
          <t>p9: R$ 203.501,15</t>
        </is>
      </c>
      <c r="AL543" s="30" t="inlineStr">
        <is>
          <t>AJ list (art. 7 §2)</t>
        </is>
      </c>
      <c r="AM543" s="30" t="inlineStr">
        <is>
          <t>2022-11-01</t>
        </is>
      </c>
      <c r="AN543" s="30" t="inlineStr">
        <is>
          <t>NONE FOUND</t>
        </is>
      </c>
      <c r="AO543" s="32" t="inlineStr">
        <is>
          <t>5014104-85.2021.8.21.0010</t>
        </is>
      </c>
      <c r="AP543" s="32" t="inlineStr">
        <is>
          <t>TJRS</t>
        </is>
      </c>
      <c r="AQ543" s="32" t="inlineStr">
        <is>
          <t>Recuperação judicial</t>
        </is>
      </c>
      <c r="AR543" s="32" t="inlineStr">
        <is>
          <t>DataJud: no closure/falência movement</t>
        </is>
      </c>
      <c r="AS543" s="32" t="n">
        <v>2021</v>
      </c>
      <c r="AT543" s="32" t="inlineStr">
        <is>
          <t>5y since filing; plan not in our documents</t>
        </is>
      </c>
      <c r="AU543" s="32" t="inlineStr">
        <is>
          <t>03.018.339/0001-03</t>
        </is>
      </c>
      <c r="AV543" s="32" t="inlineStr">
        <is>
          <t>printed on the list (read twice)</t>
        </is>
      </c>
      <c r="AW543" s="32" t="inlineStr"/>
      <c r="AX543" s="32" t="inlineStr">
        <is>
          <t>CURITIBA</t>
        </is>
      </c>
      <c r="AY543" s="32" t="inlineStr">
        <is>
          <t>PR</t>
        </is>
      </c>
      <c r="AZ543" s="32" t="inlineStr">
        <is>
          <t>Atividades de consultoria em gestão empresarial, exceto consultoria técnica específica</t>
        </is>
      </c>
      <c r="BA543" s="32" t="inlineStr">
        <is>
          <t>não ME/EPP</t>
        </is>
      </c>
      <c r="BB543" s="33" t="n">
        <v>100000</v>
      </c>
      <c r="BC543" s="32" t="inlineStr">
        <is>
          <t>MID-MARKET</t>
        </is>
      </c>
      <c r="BD543" s="32" t="inlineStr">
        <is>
          <t>13177802</t>
        </is>
      </c>
      <c r="BE543" s="32" t="n">
        <v>1</v>
      </c>
      <c r="BF543" s="32" t="inlineStr">
        <is>
          <t>list prints no totals</t>
        </is>
      </c>
    </row>
    <row r="544">
      <c r="A544" s="17" t="inlineStr">
        <is>
          <t>CONSENCO EDIFICACOES E INCORPORACOES TUCCI CAVALCANTE LTDA</t>
        </is>
      </c>
      <c r="B544" s="18" t="n">
        <v>203452.29</v>
      </c>
      <c r="C544" s="19" t="inlineStr">
        <is>
          <t>GRUPO ARNON DE MELLO</t>
        </is>
      </c>
      <c r="D544" s="20" t="inlineStr">
        <is>
          <t>NEW</t>
        </is>
      </c>
      <c r="E544" s="21" t="inlineStr"/>
      <c r="F544" s="20" t="inlineStr"/>
      <c r="G544" s="21" t="inlineStr"/>
      <c r="H544" s="20" t="inlineStr"/>
      <c r="I544" s="22" t="inlineStr">
        <is>
          <t>DIEGO TUCCI CAVALCANTE OLIVEIRA</t>
        </is>
      </c>
      <c r="J544" s="23" t="inlineStr">
        <is>
          <t>Sócio-Administrador (RFB partner)</t>
        </is>
      </c>
      <c r="K544" s="22" t="inlineStr">
        <is>
          <t>(82) 3355-8557</t>
        </is>
      </c>
      <c r="L544" s="22" t="inlineStr"/>
      <c r="M544" s="22" t="inlineStr"/>
      <c r="N544" s="22" t="inlineStr"/>
      <c r="O544" s="22" t="inlineStr"/>
      <c r="P544" s="22" t="inlineStr">
        <is>
          <t>Leiry Lima</t>
        </is>
      </c>
      <c r="Q544" s="22" t="inlineStr">
        <is>
          <t>Assistente Financeira/contabil</t>
        </is>
      </c>
      <c r="R544" s="22" t="inlineStr"/>
      <c r="S544" s="22" t="inlineStr">
        <is>
          <t>leiry@consencoedificacoes.com.br</t>
        </is>
      </c>
      <c r="T544" s="22" t="inlineStr">
        <is>
          <t>DM = registered partner (RFB QSA); Apollo pick demoted to backup (non-finance role); BACKUP: backup (extrapolated email; Consenco Edificações LTDA); backup email is pattern-guessed</t>
        </is>
      </c>
      <c r="U544" s="24" t="n">
        <v>203452.29</v>
      </c>
      <c r="V544" s="39" t="inlineStr">
        <is>
          <t>C</t>
        </is>
      </c>
      <c r="W544" s="26" t="inlineStr"/>
      <c r="X544" s="27" t="inlineStr"/>
      <c r="Y544" s="27" t="inlineStr"/>
      <c r="Z544" s="26">
        <f>IF(W544&lt;&gt;"",W544,IFERROR(VLOOKUP(V544,Assumptions!$A$8:$F$12,2,FALSE),0))</f>
        <v/>
      </c>
      <c r="AA544" s="28">
        <f>IF(V544="A",MAX(1,IF(X544&lt;&gt;"",X544,IFERROR(VLOOKUP(V544,Assumptions!$A$8:$F$12,3,FALSE),3))+IF(Y544&lt;&gt;"",Y544,IFERROR(VLOOKUP(V544,Assumptions!$A$8:$F$12,4,FALSE),8))/2-MAX(0,IF(AS544="",0,YEAR(TODAY())-AS544)-IFERROR(VLOOKUP(V544,Assumptions!$A$8:$F$12,5,FALSE),1.5))),IFERROR(VLOOKUP(V544,Assumptions!$A$8:$F$12,5,FALSE),2.5)+IF(X544&lt;&gt;"",X544,IFERROR(VLOOKUP(V544,Assumptions!$A$8:$F$12,3,FALSE),3))+IF(Y544&lt;&gt;"",Y544,IFERROR(VLOOKUP(V544,Assumptions!$A$8:$F$12,4,FALSE),8))/2)</f>
        <v/>
      </c>
      <c r="AB544" s="24">
        <f>U544*Z544/(1+Assumptions!$B$3)^AA544</f>
        <v/>
      </c>
      <c r="AC544" s="27">
        <f>IF(U544=0,"",ROUND(AB544/U544*100,1))</f>
        <v/>
      </c>
      <c r="AD544" s="29">
        <f>AB544*Assumptions!$B$4</f>
        <v/>
      </c>
      <c r="AE544" s="27">
        <f>IF(U544=0,"",ROUND(AD544/U544*100,1))</f>
        <v/>
      </c>
      <c r="AF544" s="29">
        <f>AB544-AD544</f>
        <v/>
      </c>
      <c r="AG544" s="27">
        <f>IF(U544=0,"",ROUND((AB544-AD544)/U544*100,1))</f>
        <v/>
      </c>
      <c r="AH544" s="34" t="inlineStr">
        <is>
          <t>NO TOTALS — list prints none; check page</t>
        </is>
      </c>
      <c r="AI544" s="31" t="inlineStr">
        <is>
          <t>https://recuperacaojudicial.squarespace.com/s/RJ-Grupo-Arnon-de-Melo-Lista-de-Credores-Consolidada-abril-2022.pdf</t>
        </is>
      </c>
      <c r="AJ544" s="30" t="inlineStr">
        <is>
          <t>p7 r51</t>
        </is>
      </c>
      <c r="AK544" s="30" t="inlineStr">
        <is>
          <t>p7: R$ 203.452,29</t>
        </is>
      </c>
      <c r="AL544" s="30" t="inlineStr">
        <is>
          <t>AJ list (art. 7 §2)</t>
        </is>
      </c>
      <c r="AM544" s="30" t="inlineStr"/>
      <c r="AN544" s="30" t="inlineStr">
        <is>
          <t>NONE FOUND</t>
        </is>
      </c>
      <c r="AO544" s="32" t="inlineStr">
        <is>
          <t>0700256-03.2019.8.02.0066</t>
        </is>
      </c>
      <c r="AP544" s="32" t="inlineStr">
        <is>
          <t>TJAL</t>
        </is>
      </c>
      <c r="AQ544" s="32" t="inlineStr">
        <is>
          <t>Recuperação judicial</t>
        </is>
      </c>
      <c r="AR544" s="32" t="inlineStr">
        <is>
          <t>not in DataJud</t>
        </is>
      </c>
      <c r="AS544" s="32" t="n">
        <v>2019</v>
      </c>
      <c r="AT544" s="32" t="inlineStr">
        <is>
          <t>7y since filing; plan not in our documents</t>
        </is>
      </c>
      <c r="AU544" s="32" t="inlineStr">
        <is>
          <t>12.503.801/0001-59</t>
        </is>
      </c>
      <c r="AV544" s="32" t="inlineStr">
        <is>
          <t>printed on the list (read twice)</t>
        </is>
      </c>
      <c r="AW544" s="32" t="inlineStr"/>
      <c r="AX544" s="32" t="inlineStr">
        <is>
          <t>MACEIO</t>
        </is>
      </c>
      <c r="AY544" s="32" t="inlineStr">
        <is>
          <t>AL</t>
        </is>
      </c>
      <c r="AZ544" s="32" t="inlineStr">
        <is>
          <t>Construção de edifícios</t>
        </is>
      </c>
      <c r="BA544" s="32" t="inlineStr">
        <is>
          <t>não ME/EPP</t>
        </is>
      </c>
      <c r="BB544" s="33" t="n">
        <v>5200000</v>
      </c>
      <c r="BC544" s="32" t="inlineStr">
        <is>
          <t>MID-MARKET</t>
        </is>
      </c>
      <c r="BD544" s="32" t="inlineStr">
        <is>
          <t>14898243</t>
        </is>
      </c>
      <c r="BE544" s="32" t="n">
        <v>1</v>
      </c>
      <c r="BF544" s="32" t="inlineStr">
        <is>
          <t>list prints no totals</t>
        </is>
      </c>
    </row>
    <row r="545">
      <c r="A545" s="17" t="inlineStr">
        <is>
          <t>NUTRANE NUTRICAO ANIMAL LTDA</t>
        </is>
      </c>
      <c r="B545" s="18" t="n">
        <v>201080.88</v>
      </c>
      <c r="C545" s="19" t="inlineStr">
        <is>
          <t>AGROPECUÁRIA SERROTE REDONDO</t>
        </is>
      </c>
      <c r="D545" s="20" t="inlineStr">
        <is>
          <t>NEW</t>
        </is>
      </c>
      <c r="E545" s="21" t="inlineStr"/>
      <c r="F545" s="20" t="inlineStr"/>
      <c r="G545" s="21" t="inlineStr"/>
      <c r="H545" s="20" t="inlineStr"/>
      <c r="I545" s="22" t="inlineStr">
        <is>
          <t>Rafael Gomes</t>
        </is>
      </c>
      <c r="J545" s="22" t="inlineStr">
        <is>
          <t>Gerente Adminstrativo</t>
        </is>
      </c>
      <c r="K545" s="22" t="inlineStr">
        <is>
          <t>(87) 3835-3486</t>
        </is>
      </c>
      <c r="L545" s="22" t="inlineStr"/>
      <c r="M545" s="22" t="inlineStr"/>
      <c r="N545" s="22" t="inlineStr">
        <is>
          <t>rafael.gomes@nutrane.com.br</t>
        </is>
      </c>
      <c r="O545" s="22" t="inlineStr">
        <is>
          <t>extrapolated</t>
        </is>
      </c>
      <c r="P545" s="22" t="inlineStr">
        <is>
          <t>Cataryna Ferreira</t>
        </is>
      </c>
      <c r="Q545" s="22" t="inlineStr">
        <is>
          <t>Controller Analyst</t>
        </is>
      </c>
      <c r="R545" s="22" t="inlineStr"/>
      <c r="S545" s="22" t="inlineStr">
        <is>
          <t>cataryna.ferreira@nutrane.com.br</t>
        </is>
      </c>
      <c r="T545" s="22" t="inlineStr">
        <is>
          <t>DM: DM extrapolated email; BACKUP: backup extrapolated email; backup email is pattern-guessed</t>
        </is>
      </c>
      <c r="U545" s="24" t="n">
        <v>201080.88</v>
      </c>
      <c r="V545" s="39" t="inlineStr">
        <is>
          <t>C</t>
        </is>
      </c>
      <c r="W545" s="26" t="inlineStr"/>
      <c r="X545" s="27" t="inlineStr"/>
      <c r="Y545" s="27" t="inlineStr"/>
      <c r="Z545" s="26">
        <f>IF(W545&lt;&gt;"",W545,IFERROR(VLOOKUP(V545,Assumptions!$A$8:$F$12,2,FALSE),0))</f>
        <v/>
      </c>
      <c r="AA545" s="28">
        <f>IF(V545="A",MAX(1,IF(X545&lt;&gt;"",X545,IFERROR(VLOOKUP(V545,Assumptions!$A$8:$F$12,3,FALSE),3))+IF(Y545&lt;&gt;"",Y545,IFERROR(VLOOKUP(V545,Assumptions!$A$8:$F$12,4,FALSE),8))/2-MAX(0,IF(AS545="",0,YEAR(TODAY())-AS545)-IFERROR(VLOOKUP(V545,Assumptions!$A$8:$F$12,5,FALSE),1.5))),IFERROR(VLOOKUP(V545,Assumptions!$A$8:$F$12,5,FALSE),2.5)+IF(X545&lt;&gt;"",X545,IFERROR(VLOOKUP(V545,Assumptions!$A$8:$F$12,3,FALSE),3))+IF(Y545&lt;&gt;"",Y545,IFERROR(VLOOKUP(V545,Assumptions!$A$8:$F$12,4,FALSE),8))/2)</f>
        <v/>
      </c>
      <c r="AB545" s="24">
        <f>U545*Z545/(1+Assumptions!$B$3)^AA545</f>
        <v/>
      </c>
      <c r="AC545" s="27">
        <f>IF(U545=0,"",ROUND(AB545/U545*100,1))</f>
        <v/>
      </c>
      <c r="AD545" s="29">
        <f>AB545*Assumptions!$B$4</f>
        <v/>
      </c>
      <c r="AE545" s="27">
        <f>IF(U545=0,"",ROUND(AD545/U545*100,1))</f>
        <v/>
      </c>
      <c r="AF545" s="29">
        <f>AB545-AD545</f>
        <v/>
      </c>
      <c r="AG545" s="27">
        <f>IF(U545=0,"",ROUND((AB545-AD545)/U545*100,1))</f>
        <v/>
      </c>
      <c r="AH545" s="30" t="inlineStr">
        <is>
          <t>OK — totals reconciled</t>
        </is>
      </c>
      <c r="AI545" s="31" t="inlineStr">
        <is>
          <t>https://lrflideres.com.br/wp-content/plugins/download-attachments/includes/download.php?id=5001</t>
        </is>
      </c>
      <c r="AJ545" s="30" t="inlineStr">
        <is>
          <t>p2 r1</t>
        </is>
      </c>
      <c r="AK545" s="30" t="inlineStr">
        <is>
          <t>p2: R$ 201.080,88</t>
        </is>
      </c>
      <c r="AL545" s="30" t="inlineStr">
        <is>
          <t>Unclassified list</t>
        </is>
      </c>
      <c r="AM545" s="30" t="inlineStr"/>
      <c r="AN545" s="30" t="inlineStr">
        <is>
          <t>NONE FOUND</t>
        </is>
      </c>
      <c r="AO545" s="32" t="inlineStr">
        <is>
          <t>0000206-69.2013.8.17.1340</t>
        </is>
      </c>
      <c r="AP545" s="32" t="inlineStr">
        <is>
          <t>TJPE</t>
        </is>
      </c>
      <c r="AQ545" s="32" t="inlineStr"/>
      <c r="AR545" s="32" t="inlineStr">
        <is>
          <t>not in DataJud</t>
        </is>
      </c>
      <c r="AS545" s="32" t="n">
        <v>2013</v>
      </c>
      <c r="AT545" s="32" t="inlineStr">
        <is>
          <t>13y since filing; plan not in our documents; case no. from the portal record, not printed on the list</t>
        </is>
      </c>
      <c r="AU545" s="32" t="inlineStr"/>
      <c r="AV545" s="32" t="inlineStr">
        <is>
          <t>portal page title / URL — not printed on the list</t>
        </is>
      </c>
      <c r="AW545" s="32" t="inlineStr"/>
      <c r="AX545" s="32" t="inlineStr">
        <is>
          <t>PESQUEIRA</t>
        </is>
      </c>
      <c r="AY545" s="32" t="inlineStr">
        <is>
          <t>PE</t>
        </is>
      </c>
      <c r="AZ545" s="32" t="inlineStr">
        <is>
          <t>Fabricação de alimentos para animais</t>
        </is>
      </c>
      <c r="BA545" s="32" t="inlineStr">
        <is>
          <t>não ME/EPP</t>
        </is>
      </c>
      <c r="BB545" s="33" t="n">
        <v>152224030</v>
      </c>
      <c r="BC545" s="32" t="inlineStr">
        <is>
          <t>MID-MARKET</t>
        </is>
      </c>
      <c r="BD545" s="32" t="inlineStr">
        <is>
          <t>04591114</t>
        </is>
      </c>
      <c r="BE545" s="32" t="n">
        <v>1</v>
      </c>
      <c r="BF545" s="32" t="inlineStr">
        <is>
          <t>ALT_VALUE:49.140,00</t>
        </is>
      </c>
    </row>
    <row r="546">
      <c r="A546" s="17" t="inlineStr">
        <is>
          <t>WEG LINHARES EQUIPAMENTOS ELETRICOS S/A</t>
        </is>
      </c>
      <c r="B546" s="18" t="n">
        <v>200577.9</v>
      </c>
      <c r="C546" s="19" t="inlineStr">
        <is>
          <t>VECTOR INDÚSTRIA DE PRODUTOS METALÚRGICOS LTDA.</t>
        </is>
      </c>
      <c r="D546" s="20" t="inlineStr">
        <is>
          <t>NEW</t>
        </is>
      </c>
      <c r="E546" s="21" t="inlineStr"/>
      <c r="F546" s="20" t="inlineStr"/>
      <c r="G546" s="21" t="inlineStr"/>
      <c r="H546" s="20" t="inlineStr"/>
      <c r="I546" s="22" t="inlineStr">
        <is>
          <t>Sandro Souza</t>
        </is>
      </c>
      <c r="J546" s="22" t="inlineStr">
        <is>
          <t>Financial Analyst</t>
        </is>
      </c>
      <c r="K546" s="22" t="inlineStr">
        <is>
          <t>(27) 3048-1714</t>
        </is>
      </c>
      <c r="L546" s="22" t="inlineStr"/>
      <c r="M546" s="22" t="inlineStr"/>
      <c r="N546" s="22" t="inlineStr"/>
      <c r="O546" s="22" t="inlineStr"/>
      <c r="P546" s="22" t="inlineStr">
        <is>
          <t>ANDRE LUIS RODRIGUES</t>
        </is>
      </c>
      <c r="Q546" s="22" t="inlineStr">
        <is>
          <t>Diretor (RFB partner)</t>
        </is>
      </c>
      <c r="R546" s="22" t="inlineStr"/>
      <c r="S546" s="22" t="inlineStr"/>
      <c r="T546" s="22" t="inlineStr">
        <is>
          <t>DM: DM email unavailable (only WEG finance person in ES); LARGE CORP; 'Weg Linhares' hit no finance; used WEG + titles + person location Espírito Santo; Apollo org WEG (weg.net) parent - VERIFY org; no email revealed; no work email in Apollo for DM</t>
        </is>
      </c>
      <c r="U546" s="24" t="n">
        <v>200577.9</v>
      </c>
      <c r="V546" s="39" t="inlineStr">
        <is>
          <t>C</t>
        </is>
      </c>
      <c r="W546" s="26" t="inlineStr"/>
      <c r="X546" s="27" t="inlineStr"/>
      <c r="Y546" s="27" t="inlineStr"/>
      <c r="Z546" s="26">
        <f>IF(W546&lt;&gt;"",W546,IFERROR(VLOOKUP(V546,Assumptions!$A$8:$F$12,2,FALSE),0))</f>
        <v/>
      </c>
      <c r="AA546" s="28">
        <f>IF(V546="A",MAX(1,IF(X546&lt;&gt;"",X546,IFERROR(VLOOKUP(V546,Assumptions!$A$8:$F$12,3,FALSE),3))+IF(Y546&lt;&gt;"",Y546,IFERROR(VLOOKUP(V546,Assumptions!$A$8:$F$12,4,FALSE),8))/2-MAX(0,IF(AS546="",0,YEAR(TODAY())-AS546)-IFERROR(VLOOKUP(V546,Assumptions!$A$8:$F$12,5,FALSE),1.5))),IFERROR(VLOOKUP(V546,Assumptions!$A$8:$F$12,5,FALSE),2.5)+IF(X546&lt;&gt;"",X546,IFERROR(VLOOKUP(V546,Assumptions!$A$8:$F$12,3,FALSE),3))+IF(Y546&lt;&gt;"",Y546,IFERROR(VLOOKUP(V546,Assumptions!$A$8:$F$12,4,FALSE),8))/2)</f>
        <v/>
      </c>
      <c r="AB546" s="24">
        <f>U546*Z546/(1+Assumptions!$B$3)^AA546</f>
        <v/>
      </c>
      <c r="AC546" s="27">
        <f>IF(U546=0,"",ROUND(AB546/U546*100,1))</f>
        <v/>
      </c>
      <c r="AD546" s="29">
        <f>AB546*Assumptions!$B$4</f>
        <v/>
      </c>
      <c r="AE546" s="27">
        <f>IF(U546=0,"",ROUND(AD546/U546*100,1))</f>
        <v/>
      </c>
      <c r="AF546" s="29">
        <f>AB546-AD546</f>
        <v/>
      </c>
      <c r="AG546" s="27">
        <f>IF(U546=0,"",ROUND((AB546-AD546)/U546*100,1))</f>
        <v/>
      </c>
      <c r="AH546" s="34" t="inlineStr">
        <is>
          <t>NO TOTALS — list prints none; check page</t>
        </is>
      </c>
      <c r="AI546" s="31" t="inlineStr">
        <is>
          <t>https://scalzilliaj.com.br/sgc/download.php?file=files/processo_documento/processo_documento15513401112022_1_.pdf&amp;nome=15 - Edital do art. 7º, §2º (segunda lista de credores) e do art. 53 da Lei 11.101/2005 (recebimento do plano)</t>
        </is>
      </c>
      <c r="AJ546" s="30" t="inlineStr">
        <is>
          <t>p10 r35</t>
        </is>
      </c>
      <c r="AK546" s="30" t="inlineStr">
        <is>
          <t>p10: R$ 200.577,90</t>
        </is>
      </c>
      <c r="AL546" s="30" t="inlineStr">
        <is>
          <t>AJ list (art. 7 §2)</t>
        </is>
      </c>
      <c r="AM546" s="30" t="inlineStr">
        <is>
          <t>2022-11-01</t>
        </is>
      </c>
      <c r="AN546" s="30" t="inlineStr">
        <is>
          <t>NONE FOUND</t>
        </is>
      </c>
      <c r="AO546" s="32" t="inlineStr">
        <is>
          <t>5014104-85.2021.8.21.0010</t>
        </is>
      </c>
      <c r="AP546" s="32" t="inlineStr">
        <is>
          <t>TJRS</t>
        </is>
      </c>
      <c r="AQ546" s="32" t="inlineStr">
        <is>
          <t>Recuperação judicial</t>
        </is>
      </c>
      <c r="AR546" s="32" t="inlineStr">
        <is>
          <t>DataJud: no closure/falência movement</t>
        </is>
      </c>
      <c r="AS546" s="32" t="n">
        <v>2021</v>
      </c>
      <c r="AT546" s="32" t="inlineStr">
        <is>
          <t>5y since filing; plan not in our documents</t>
        </is>
      </c>
      <c r="AU546" s="32" t="inlineStr">
        <is>
          <t>03.018.339/0001-03</t>
        </is>
      </c>
      <c r="AV546" s="32" t="inlineStr">
        <is>
          <t>printed on the list (read twice)</t>
        </is>
      </c>
      <c r="AW546" s="32" t="inlineStr"/>
      <c r="AX546" s="32" t="inlineStr">
        <is>
          <t>LINHARES</t>
        </is>
      </c>
      <c r="AY546" s="32" t="inlineStr">
        <is>
          <t>ES</t>
        </is>
      </c>
      <c r="AZ546" s="32" t="inlineStr">
        <is>
          <t>Fabricação de motores elétricos, peças e acessórios</t>
        </is>
      </c>
      <c r="BA546" s="32" t="inlineStr">
        <is>
          <t>não ME/EPP</t>
        </is>
      </c>
      <c r="BB546" s="33" t="n">
        <v>425000000</v>
      </c>
      <c r="BC546" s="32" t="inlineStr">
        <is>
          <t>LARGE CORP</t>
        </is>
      </c>
      <c r="BD546" s="32" t="inlineStr">
        <is>
          <t>10885321</t>
        </is>
      </c>
      <c r="BE546" s="32" t="n">
        <v>1</v>
      </c>
      <c r="BF546" s="32" t="inlineStr">
        <is>
          <t>list prints no totals</t>
        </is>
      </c>
    </row>
    <row r="547">
      <c r="A547" s="17" t="inlineStr">
        <is>
          <t>EBEG EMBALAGENS E DESCARTAVEIS LTDA</t>
        </is>
      </c>
      <c r="B547" s="18" t="n">
        <v>222911.78</v>
      </c>
      <c r="C547" s="19" t="inlineStr">
        <is>
          <t>GRUPO 3E</t>
        </is>
      </c>
      <c r="D547" s="20" t="inlineStr">
        <is>
          <t>NEW</t>
        </is>
      </c>
      <c r="E547" s="21" t="inlineStr"/>
      <c r="F547" s="20" t="inlineStr"/>
      <c r="G547" s="21" t="inlineStr"/>
      <c r="H547" s="20" t="inlineStr"/>
      <c r="I547" s="22" t="inlineStr">
        <is>
          <t>Rodrigo Pinto</t>
        </is>
      </c>
      <c r="J547" s="22" t="inlineStr">
        <is>
          <t>Systems Coordinator</t>
        </is>
      </c>
      <c r="K547" s="22" t="inlineStr">
        <is>
          <t>(16) 3512-3000</t>
        </is>
      </c>
      <c r="L547" s="22" t="inlineStr"/>
      <c r="M547" s="22" t="inlineStr"/>
      <c r="N547" s="22" t="inlineStr"/>
      <c r="O547" s="22" t="inlineStr"/>
      <c r="P547" s="22" t="inlineStr">
        <is>
          <t>Welker Amaral</t>
        </is>
      </c>
      <c r="Q547" s="22" t="inlineStr">
        <is>
          <t>Logistics Coordinator</t>
        </is>
      </c>
      <c r="R547" s="22" t="inlineStr"/>
      <c r="S547" s="22" t="inlineStr">
        <is>
          <t>welker.amaral@ebeg.com.br</t>
        </is>
      </c>
      <c r="T547" s="22" t="inlineStr">
        <is>
          <t>DM: DM email unavailable (most senior; no finance); no work email in Apollo for DM; BACKUP: backup extrapolated email; backup email is pattern-guessed</t>
        </is>
      </c>
      <c r="U547" s="24" t="n">
        <v>222911.78</v>
      </c>
      <c r="V547" s="25" t="inlineStr">
        <is>
          <t>B</t>
        </is>
      </c>
      <c r="W547" s="26" t="n">
        <v>0.12</v>
      </c>
      <c r="X547" s="27" t="n">
        <v>2</v>
      </c>
      <c r="Y547" s="27" t="n">
        <v>13</v>
      </c>
      <c r="Z547" s="26">
        <f>IF(W547&lt;&gt;"",W547,IFERROR(VLOOKUP(V547,Assumptions!$A$8:$F$12,2,FALSE),0))</f>
        <v/>
      </c>
      <c r="AA547" s="28">
        <f>IF(V547="A",MAX(1,IF(X547&lt;&gt;"",X547,IFERROR(VLOOKUP(V547,Assumptions!$A$8:$F$12,3,FALSE),3))+IF(Y547&lt;&gt;"",Y547,IFERROR(VLOOKUP(V547,Assumptions!$A$8:$F$12,4,FALSE),8))/2-MAX(0,IF(AS547="",0,YEAR(TODAY())-AS547)-IFERROR(VLOOKUP(V547,Assumptions!$A$8:$F$12,5,FALSE),1.5))),IFERROR(VLOOKUP(V547,Assumptions!$A$8:$F$12,5,FALSE),2.5)+IF(X547&lt;&gt;"",X547,IFERROR(VLOOKUP(V547,Assumptions!$A$8:$F$12,3,FALSE),3))+IF(Y547&lt;&gt;"",Y547,IFERROR(VLOOKUP(V547,Assumptions!$A$8:$F$12,4,FALSE),8))/2)</f>
        <v/>
      </c>
      <c r="AB547" s="24">
        <f>U547*Z547/(1+Assumptions!$B$3)^AA547</f>
        <v/>
      </c>
      <c r="AC547" s="27">
        <f>IF(U547=0,"",ROUND(AB547/U547*100,1))</f>
        <v/>
      </c>
      <c r="AD547" s="29">
        <f>AB547*Assumptions!$B$4</f>
        <v/>
      </c>
      <c r="AE547" s="27">
        <f>IF(U547=0,"",ROUND(AD547/U547*100,1))</f>
        <v/>
      </c>
      <c r="AF547" s="29">
        <f>AB547-AD547</f>
        <v/>
      </c>
      <c r="AG547" s="27">
        <f>IF(U547=0,"",ROUND((AB547-AD547)/U547*100,1))</f>
        <v/>
      </c>
      <c r="AH547" s="34" t="inlineStr">
        <is>
          <t>NO TOTALS — list prints none; check page</t>
        </is>
      </c>
      <c r="AI547" s="31" t="inlineStr">
        <is>
          <t>https://stenius.com.br/wp-content/uploads/2026/06/EDITAL-GRUPO-3E.pdf</t>
        </is>
      </c>
      <c r="AJ547" s="30" t="inlineStr">
        <is>
          <t>p12 r58</t>
        </is>
      </c>
      <c r="AK547" s="30" t="inlineStr">
        <is>
          <t>p12: R$ 222.911,78</t>
        </is>
      </c>
      <c r="AL547" s="30" t="inlineStr">
        <is>
          <t>Debtor list (art. 51)</t>
        </is>
      </c>
      <c r="AM547" s="30" t="inlineStr">
        <is>
          <t>2026-06-22</t>
        </is>
      </c>
      <c r="AN547" s="30" t="inlineStr">
        <is>
          <t>PLAN FILED (art. 53), not granted</t>
        </is>
      </c>
      <c r="AO547" s="32" t="inlineStr">
        <is>
          <t>5341375-33.2026.8.09.0049</t>
        </is>
      </c>
      <c r="AP547" s="32" t="inlineStr">
        <is>
          <t>TJGO</t>
        </is>
      </c>
      <c r="AQ547" s="32" t="inlineStr">
        <is>
          <t>Recuperação judicial</t>
        </is>
      </c>
      <c r="AR547" s="32" t="inlineStr">
        <is>
          <t>DataJud: no closure/falência movement</t>
        </is>
      </c>
      <c r="AS547" s="32" t="n">
        <v>2026</v>
      </c>
      <c r="AT547" s="32" t="inlineStr">
        <is>
          <t>plan filed (art. 53), not yet granted</t>
        </is>
      </c>
      <c r="AU547" s="32" t="inlineStr"/>
      <c r="AV547" s="32" t="inlineStr">
        <is>
          <t>printed on the list (read twice)</t>
        </is>
      </c>
      <c r="AW547" s="32" t="inlineStr">
        <is>
          <t>Plano de Recuperação Judicial Grupo 3E v2.0 (Métis), mov. 321, pp.24-25</t>
        </is>
      </c>
      <c r="AX547" s="32" t="inlineStr">
        <is>
          <t>RIBEIRAO PRETO</t>
        </is>
      </c>
      <c r="AY547" s="32" t="inlineStr">
        <is>
          <t>SP</t>
        </is>
      </c>
      <c r="AZ547" s="32" t="inlineStr">
        <is>
          <t>Fabricação de embalagens de papel</t>
        </is>
      </c>
      <c r="BA547" s="32" t="inlineStr">
        <is>
          <t>não ME/EPP</t>
        </is>
      </c>
      <c r="BB547" s="33" t="n">
        <v>40000000</v>
      </c>
      <c r="BC547" s="32" t="inlineStr">
        <is>
          <t>MID-MARKET</t>
        </is>
      </c>
      <c r="BD547" s="32" t="inlineStr">
        <is>
          <t>03498812</t>
        </is>
      </c>
      <c r="BE547" s="32" t="n">
        <v>1</v>
      </c>
      <c r="BF547" s="32" t="inlineStr">
        <is>
          <t>list prints no totals</t>
        </is>
      </c>
    </row>
    <row r="548">
      <c r="A548" s="17" t="inlineStr">
        <is>
          <t>APC DO BRASIL LTDA.</t>
        </is>
      </c>
      <c r="B548" s="18" t="n">
        <v>218400</v>
      </c>
      <c r="C548" s="19" t="inlineStr">
        <is>
          <t>GRUPO 3E</t>
        </is>
      </c>
      <c r="D548" s="20" t="inlineStr">
        <is>
          <t>NEW</t>
        </is>
      </c>
      <c r="E548" s="21" t="inlineStr"/>
      <c r="F548" s="20" t="inlineStr"/>
      <c r="G548" s="21" t="inlineStr"/>
      <c r="H548" s="20" t="inlineStr"/>
      <c r="I548" s="22" t="inlineStr">
        <is>
          <t>ALBERTO GIBERT PEREZ</t>
        </is>
      </c>
      <c r="J548" s="23" t="inlineStr">
        <is>
          <t>Administrador (RFB partner)</t>
        </is>
      </c>
      <c r="K548" s="22" t="inlineStr">
        <is>
          <t>(49) 3331-3882</t>
        </is>
      </c>
      <c r="L548" s="22" t="inlineStr"/>
      <c r="M548" s="22" t="inlineStr"/>
      <c r="N548" s="22" t="inlineStr"/>
      <c r="O548" s="22" t="inlineStr"/>
      <c r="P548" s="22" t="inlineStr">
        <is>
          <t>Danielly Barbosa</t>
        </is>
      </c>
      <c r="Q548" s="22" t="inlineStr">
        <is>
          <t>Técnico de Segurança do Trabalho APC do Brasil</t>
        </is>
      </c>
      <c r="R548" s="22" t="inlineStr"/>
      <c r="S548" s="22" t="inlineStr">
        <is>
          <t>danielly.barbosa@apcproteins.com</t>
        </is>
      </c>
      <c r="T548" s="22" t="inlineStr">
        <is>
          <t>DM = registered partner (RFB QSA); Apollo pick demoted to backup (non-finance role); BACKUP: DM (only person, safety tech) extrapolated email @apcproteins.com; VERIFY org: Apollo org 'APC' (apcproteins.com, US parent APC Inc); person's title says APC do Brasil; no finance staff; backup email is pattern-guessed</t>
        </is>
      </c>
      <c r="U548" s="24" t="n">
        <v>218400</v>
      </c>
      <c r="V548" s="25" t="inlineStr">
        <is>
          <t>B</t>
        </is>
      </c>
      <c r="W548" s="26" t="n">
        <v>0.12</v>
      </c>
      <c r="X548" s="27" t="n">
        <v>2</v>
      </c>
      <c r="Y548" s="27" t="n">
        <v>13</v>
      </c>
      <c r="Z548" s="26">
        <f>IF(W548&lt;&gt;"",W548,IFERROR(VLOOKUP(V548,Assumptions!$A$8:$F$12,2,FALSE),0))</f>
        <v/>
      </c>
      <c r="AA548" s="28">
        <f>IF(V548="A",MAX(1,IF(X548&lt;&gt;"",X548,IFERROR(VLOOKUP(V548,Assumptions!$A$8:$F$12,3,FALSE),3))+IF(Y548&lt;&gt;"",Y548,IFERROR(VLOOKUP(V548,Assumptions!$A$8:$F$12,4,FALSE),8))/2-MAX(0,IF(AS548="",0,YEAR(TODAY())-AS548)-IFERROR(VLOOKUP(V548,Assumptions!$A$8:$F$12,5,FALSE),1.5))),IFERROR(VLOOKUP(V548,Assumptions!$A$8:$F$12,5,FALSE),2.5)+IF(X548&lt;&gt;"",X548,IFERROR(VLOOKUP(V548,Assumptions!$A$8:$F$12,3,FALSE),3))+IF(Y548&lt;&gt;"",Y548,IFERROR(VLOOKUP(V548,Assumptions!$A$8:$F$12,4,FALSE),8))/2)</f>
        <v/>
      </c>
      <c r="AB548" s="24">
        <f>U548*Z548/(1+Assumptions!$B$3)^AA548</f>
        <v/>
      </c>
      <c r="AC548" s="27">
        <f>IF(U548=0,"",ROUND(AB548/U548*100,1))</f>
        <v/>
      </c>
      <c r="AD548" s="29">
        <f>AB548*Assumptions!$B$4</f>
        <v/>
      </c>
      <c r="AE548" s="27">
        <f>IF(U548=0,"",ROUND(AD548/U548*100,1))</f>
        <v/>
      </c>
      <c r="AF548" s="29">
        <f>AB548-AD548</f>
        <v/>
      </c>
      <c r="AG548" s="27">
        <f>IF(U548=0,"",ROUND((AB548-AD548)/U548*100,1))</f>
        <v/>
      </c>
      <c r="AH548" s="34" t="inlineStr">
        <is>
          <t>NO TOTALS — list prints none; check page</t>
        </is>
      </c>
      <c r="AI548" s="31" t="inlineStr">
        <is>
          <t>https://stenius.com.br/wp-content/uploads/2026/06/EDITAL-GRUPO-3E.pdf</t>
        </is>
      </c>
      <c r="AJ548" s="30" t="inlineStr">
        <is>
          <t>p10 r3</t>
        </is>
      </c>
      <c r="AK548" s="30" t="inlineStr">
        <is>
          <t>p10: R$ 218.400,00</t>
        </is>
      </c>
      <c r="AL548" s="30" t="inlineStr">
        <is>
          <t>Debtor list (art. 51)</t>
        </is>
      </c>
      <c r="AM548" s="30" t="inlineStr">
        <is>
          <t>2026-06-22</t>
        </is>
      </c>
      <c r="AN548" s="30" t="inlineStr">
        <is>
          <t>PLAN FILED (art. 53), not granted</t>
        </is>
      </c>
      <c r="AO548" s="32" t="inlineStr">
        <is>
          <t>5341375-33.2026.8.09.0049</t>
        </is>
      </c>
      <c r="AP548" s="32" t="inlineStr">
        <is>
          <t>TJGO</t>
        </is>
      </c>
      <c r="AQ548" s="32" t="inlineStr">
        <is>
          <t>Recuperação judicial</t>
        </is>
      </c>
      <c r="AR548" s="32" t="inlineStr">
        <is>
          <t>DataJud: no closure/falência movement</t>
        </is>
      </c>
      <c r="AS548" s="32" t="n">
        <v>2026</v>
      </c>
      <c r="AT548" s="32" t="inlineStr">
        <is>
          <t>plan filed (art. 53), not yet granted</t>
        </is>
      </c>
      <c r="AU548" s="32" t="inlineStr"/>
      <c r="AV548" s="32" t="inlineStr">
        <is>
          <t>printed on the list (read twice)</t>
        </is>
      </c>
      <c r="AW548" s="32" t="inlineStr">
        <is>
          <t>Plano de Recuperação Judicial Grupo 3E v2.0 (Métis), mov. 321, pp.24-25</t>
        </is>
      </c>
      <c r="AX548" s="32" t="inlineStr">
        <is>
          <t>CHAPECO</t>
        </is>
      </c>
      <c r="AY548" s="32" t="inlineStr">
        <is>
          <t>SC</t>
        </is>
      </c>
      <c r="AZ548" s="32" t="inlineStr">
        <is>
          <t>Preparação de subprodutos do abate</t>
        </is>
      </c>
      <c r="BA548" s="32" t="inlineStr">
        <is>
          <t>não ME/EPP</t>
        </is>
      </c>
      <c r="BB548" s="33" t="n">
        <v>73559544</v>
      </c>
      <c r="BC548" s="32" t="inlineStr">
        <is>
          <t>MID-MARKET</t>
        </is>
      </c>
      <c r="BD548" s="32" t="inlineStr">
        <is>
          <t>04310390</t>
        </is>
      </c>
      <c r="BE548" s="32" t="n">
        <v>1</v>
      </c>
      <c r="BF548" s="32" t="inlineStr">
        <is>
          <t>list prints no totals</t>
        </is>
      </c>
    </row>
    <row r="549">
      <c r="A549" s="17" t="inlineStr">
        <is>
          <t>T &amp; T COMERCIO E REPRESENTACAO LTDA</t>
        </is>
      </c>
      <c r="B549" s="18" t="n">
        <v>216279.12</v>
      </c>
      <c r="C549" s="19" t="inlineStr">
        <is>
          <t>GRUPO 3E</t>
        </is>
      </c>
      <c r="D549" s="20" t="inlineStr">
        <is>
          <t>NEW</t>
        </is>
      </c>
      <c r="E549" s="21" t="inlineStr"/>
      <c r="F549" s="20" t="inlineStr"/>
      <c r="G549" s="21" t="inlineStr"/>
      <c r="H549" s="20" t="inlineStr"/>
      <c r="I549" s="22" t="inlineStr">
        <is>
          <t>TALITA TOMAZINI MOREIRA</t>
        </is>
      </c>
      <c r="J549" s="23" t="inlineStr">
        <is>
          <t>Sócio-Administrador (RFB partner)</t>
        </is>
      </c>
      <c r="K549" s="22" t="inlineStr">
        <is>
          <t>(62) 3259-6518</t>
        </is>
      </c>
      <c r="L549" s="22" t="inlineStr"/>
      <c r="M549" s="22" t="inlineStr"/>
      <c r="N549" s="22" t="inlineStr"/>
      <c r="O549" s="22" t="inlineStr"/>
      <c r="P549" s="22" t="inlineStr">
        <is>
          <t>Rodrigo Silvio</t>
        </is>
      </c>
      <c r="Q549" s="22" t="inlineStr">
        <is>
          <t>Sales Supervisor</t>
        </is>
      </c>
      <c r="R549" s="22" t="inlineStr"/>
      <c r="S549" s="22" t="inlineStr">
        <is>
          <t>rodrigo@ttfriato.com.br</t>
        </is>
      </c>
      <c r="T549" s="22" t="inlineStr">
        <is>
          <t>DM = registered partner (RFB QSA); Apollo pick demoted to backup (non-finance role); BACKUP: DM (most senior; sales only) verified email @ttfriato.com.br</t>
        </is>
      </c>
      <c r="U549" s="24" t="n">
        <v>216279.12</v>
      </c>
      <c r="V549" s="25" t="inlineStr">
        <is>
          <t>B</t>
        </is>
      </c>
      <c r="W549" s="26" t="n">
        <v>0.12</v>
      </c>
      <c r="X549" s="27" t="n">
        <v>2</v>
      </c>
      <c r="Y549" s="27" t="n">
        <v>13</v>
      </c>
      <c r="Z549" s="26">
        <f>IF(W549&lt;&gt;"",W549,IFERROR(VLOOKUP(V549,Assumptions!$A$8:$F$12,2,FALSE),0))</f>
        <v/>
      </c>
      <c r="AA549" s="28">
        <f>IF(V549="A",MAX(1,IF(X549&lt;&gt;"",X549,IFERROR(VLOOKUP(V549,Assumptions!$A$8:$F$12,3,FALSE),3))+IF(Y549&lt;&gt;"",Y549,IFERROR(VLOOKUP(V549,Assumptions!$A$8:$F$12,4,FALSE),8))/2-MAX(0,IF(AS549="",0,YEAR(TODAY())-AS549)-IFERROR(VLOOKUP(V549,Assumptions!$A$8:$F$12,5,FALSE),1.5))),IFERROR(VLOOKUP(V549,Assumptions!$A$8:$F$12,5,FALSE),2.5)+IF(X549&lt;&gt;"",X549,IFERROR(VLOOKUP(V549,Assumptions!$A$8:$F$12,3,FALSE),3))+IF(Y549&lt;&gt;"",Y549,IFERROR(VLOOKUP(V549,Assumptions!$A$8:$F$12,4,FALSE),8))/2)</f>
        <v/>
      </c>
      <c r="AB549" s="24">
        <f>U549*Z549/(1+Assumptions!$B$3)^AA549</f>
        <v/>
      </c>
      <c r="AC549" s="27">
        <f>IF(U549=0,"",ROUND(AB549/U549*100,1))</f>
        <v/>
      </c>
      <c r="AD549" s="29">
        <f>AB549*Assumptions!$B$4</f>
        <v/>
      </c>
      <c r="AE549" s="27">
        <f>IF(U549=0,"",ROUND(AD549/U549*100,1))</f>
        <v/>
      </c>
      <c r="AF549" s="29">
        <f>AB549-AD549</f>
        <v/>
      </c>
      <c r="AG549" s="27">
        <f>IF(U549=0,"",ROUND((AB549-AD549)/U549*100,1))</f>
        <v/>
      </c>
      <c r="AH549" s="34" t="inlineStr">
        <is>
          <t>NO TOTALS — list prints none; check page</t>
        </is>
      </c>
      <c r="AI549" s="31" t="inlineStr">
        <is>
          <t>https://stenius.com.br/wp-content/uploads/2026/06/EDITAL-GRUPO-3E.pdf</t>
        </is>
      </c>
      <c r="AJ549" s="30" t="inlineStr">
        <is>
          <t>p13 r51</t>
        </is>
      </c>
      <c r="AK549" s="30" t="inlineStr">
        <is>
          <t>p13: R$ 216.279,12</t>
        </is>
      </c>
      <c r="AL549" s="30" t="inlineStr">
        <is>
          <t>Debtor list (art. 51)</t>
        </is>
      </c>
      <c r="AM549" s="30" t="inlineStr">
        <is>
          <t>2026-06-22</t>
        </is>
      </c>
      <c r="AN549" s="30" t="inlineStr">
        <is>
          <t>PLAN FILED (art. 53), not granted</t>
        </is>
      </c>
      <c r="AO549" s="32" t="inlineStr">
        <is>
          <t>5341375-33.2026.8.09.0049</t>
        </is>
      </c>
      <c r="AP549" s="32" t="inlineStr">
        <is>
          <t>TJGO</t>
        </is>
      </c>
      <c r="AQ549" s="32" t="inlineStr">
        <is>
          <t>Recuperação judicial</t>
        </is>
      </c>
      <c r="AR549" s="32" t="inlineStr">
        <is>
          <t>DataJud: no closure/falência movement</t>
        </is>
      </c>
      <c r="AS549" s="32" t="n">
        <v>2026</v>
      </c>
      <c r="AT549" s="32" t="inlineStr">
        <is>
          <t>plan filed (art. 53), not yet granted</t>
        </is>
      </c>
      <c r="AU549" s="32" t="inlineStr"/>
      <c r="AV549" s="32" t="inlineStr">
        <is>
          <t>printed on the list (read twice)</t>
        </is>
      </c>
      <c r="AW549" s="32" t="inlineStr">
        <is>
          <t>Plano de Recuperação Judicial Grupo 3E v2.0 (Métis), mov. 321, pp.24-25</t>
        </is>
      </c>
      <c r="AX549" s="32" t="inlineStr">
        <is>
          <t>APARECIDA DE GOIANIA</t>
        </is>
      </c>
      <c r="AY549" s="32" t="inlineStr">
        <is>
          <t>GO</t>
        </is>
      </c>
      <c r="AZ549" s="32" t="inlineStr">
        <is>
          <t>Transporte rodoviário de carga, exceto produtos perigosos e mudanças, intermunicipal, interestadual e internacional</t>
        </is>
      </c>
      <c r="BA549" s="32" t="inlineStr">
        <is>
          <t>não ME/EPP</t>
        </is>
      </c>
      <c r="BB549" s="33" t="n">
        <v>100000</v>
      </c>
      <c r="BC549" s="32" t="inlineStr">
        <is>
          <t>MID-MARKET</t>
        </is>
      </c>
      <c r="BD549" s="32" t="inlineStr">
        <is>
          <t>08718921</t>
        </is>
      </c>
      <c r="BE549" s="32" t="n">
        <v>1</v>
      </c>
      <c r="BF549" s="32" t="inlineStr">
        <is>
          <t>list prints no totals</t>
        </is>
      </c>
    </row>
    <row r="550">
      <c r="A550" s="17" t="inlineStr">
        <is>
          <t>EMBALARTE EMBALAGENS LTDA</t>
        </is>
      </c>
      <c r="B550" s="18" t="n">
        <v>209405.66</v>
      </c>
      <c r="C550" s="19" t="inlineStr">
        <is>
          <t>GRUPO 3E</t>
        </is>
      </c>
      <c r="D550" s="20" t="inlineStr">
        <is>
          <t>NEW</t>
        </is>
      </c>
      <c r="E550" s="21" t="inlineStr"/>
      <c r="F550" s="20" t="inlineStr"/>
      <c r="G550" s="21" t="inlineStr"/>
      <c r="H550" s="20" t="inlineStr"/>
      <c r="I550" s="22" t="inlineStr">
        <is>
          <t>Thomy Perroni</t>
        </is>
      </c>
      <c r="J550" s="22" t="inlineStr">
        <is>
          <t>Sócio Diretor no Grupo Embalarte</t>
        </is>
      </c>
      <c r="K550" s="22" t="inlineStr">
        <is>
          <t>(62) 3920-3700</t>
        </is>
      </c>
      <c r="L550" s="22" t="inlineStr"/>
      <c r="M550" s="22" t="inlineStr"/>
      <c r="N550" s="22" t="inlineStr">
        <is>
          <t>thomyperroni@grupoembalarte.com.br</t>
        </is>
      </c>
      <c r="O550" s="22" t="inlineStr">
        <is>
          <t>verified</t>
        </is>
      </c>
      <c r="P550" s="22" t="inlineStr">
        <is>
          <t>JOAO MARIA PIEDADE DOS SANTOS</t>
        </is>
      </c>
      <c r="Q550" s="22" t="inlineStr">
        <is>
          <t>Sócio-Administrador (RFB partner)</t>
        </is>
      </c>
      <c r="R550" s="22" t="inlineStr"/>
      <c r="S550" s="22" t="inlineStr"/>
      <c r="T550" s="22" t="inlineStr">
        <is>
          <t>DM: DM verified email - VERIFY org; VERIFY org: Apollo orgs Grupo Embalarte / Embalarte Manuseio E Embalagens Promocionais are in Santana de Parnaíba SP; creditor Embalarte Embalagens is in Goiânia GO - probably different company</t>
        </is>
      </c>
      <c r="U550" s="24" t="n">
        <v>209405.66</v>
      </c>
      <c r="V550" s="25" t="inlineStr">
        <is>
          <t>B</t>
        </is>
      </c>
      <c r="W550" s="26" t="n">
        <v>0.12</v>
      </c>
      <c r="X550" s="27" t="n">
        <v>2</v>
      </c>
      <c r="Y550" s="27" t="n">
        <v>13</v>
      </c>
      <c r="Z550" s="26">
        <f>IF(W550&lt;&gt;"",W550,IFERROR(VLOOKUP(V550,Assumptions!$A$8:$F$12,2,FALSE),0))</f>
        <v/>
      </c>
      <c r="AA550" s="28">
        <f>IF(V550="A",MAX(1,IF(X550&lt;&gt;"",X550,IFERROR(VLOOKUP(V550,Assumptions!$A$8:$F$12,3,FALSE),3))+IF(Y550&lt;&gt;"",Y550,IFERROR(VLOOKUP(V550,Assumptions!$A$8:$F$12,4,FALSE),8))/2-MAX(0,IF(AS550="",0,YEAR(TODAY())-AS550)-IFERROR(VLOOKUP(V550,Assumptions!$A$8:$F$12,5,FALSE),1.5))),IFERROR(VLOOKUP(V550,Assumptions!$A$8:$F$12,5,FALSE),2.5)+IF(X550&lt;&gt;"",X550,IFERROR(VLOOKUP(V550,Assumptions!$A$8:$F$12,3,FALSE),3))+IF(Y550&lt;&gt;"",Y550,IFERROR(VLOOKUP(V550,Assumptions!$A$8:$F$12,4,FALSE),8))/2)</f>
        <v/>
      </c>
      <c r="AB550" s="24">
        <f>U550*Z550/(1+Assumptions!$B$3)^AA550</f>
        <v/>
      </c>
      <c r="AC550" s="27">
        <f>IF(U550=0,"",ROUND(AB550/U550*100,1))</f>
        <v/>
      </c>
      <c r="AD550" s="29">
        <f>AB550*Assumptions!$B$4</f>
        <v/>
      </c>
      <c r="AE550" s="27">
        <f>IF(U550=0,"",ROUND(AD550/U550*100,1))</f>
        <v/>
      </c>
      <c r="AF550" s="29">
        <f>AB550-AD550</f>
        <v/>
      </c>
      <c r="AG550" s="27">
        <f>IF(U550=0,"",ROUND((AB550-AD550)/U550*100,1))</f>
        <v/>
      </c>
      <c r="AH550" s="34" t="inlineStr">
        <is>
          <t>NO TOTALS — list prints none; check page</t>
        </is>
      </c>
      <c r="AI550" s="31" t="inlineStr">
        <is>
          <t>https://stenius.com.br/wp-content/uploads/2026/06/EDITAL-GRUPO-3E.pdf</t>
        </is>
      </c>
      <c r="AJ550" s="30" t="inlineStr">
        <is>
          <t>p13 r2</t>
        </is>
      </c>
      <c r="AK550" s="30" t="inlineStr">
        <is>
          <t>p13: R$ 209.405,66</t>
        </is>
      </c>
      <c r="AL550" s="30" t="inlineStr">
        <is>
          <t>Debtor list (art. 51)</t>
        </is>
      </c>
      <c r="AM550" s="30" t="inlineStr">
        <is>
          <t>2026-06-22</t>
        </is>
      </c>
      <c r="AN550" s="30" t="inlineStr">
        <is>
          <t>PLAN FILED (art. 53), not granted</t>
        </is>
      </c>
      <c r="AO550" s="32" t="inlineStr">
        <is>
          <t>5341375-33.2026.8.09.0049</t>
        </is>
      </c>
      <c r="AP550" s="32" t="inlineStr">
        <is>
          <t>TJGO</t>
        </is>
      </c>
      <c r="AQ550" s="32" t="inlineStr">
        <is>
          <t>Recuperação judicial</t>
        </is>
      </c>
      <c r="AR550" s="32" t="inlineStr">
        <is>
          <t>DataJud: no closure/falência movement</t>
        </is>
      </c>
      <c r="AS550" s="32" t="n">
        <v>2026</v>
      </c>
      <c r="AT550" s="32" t="inlineStr">
        <is>
          <t>plan filed (art. 53), not yet granted</t>
        </is>
      </c>
      <c r="AU550" s="32" t="inlineStr"/>
      <c r="AV550" s="32" t="inlineStr">
        <is>
          <t>printed on the list (read twice)</t>
        </is>
      </c>
      <c r="AW550" s="32" t="inlineStr">
        <is>
          <t>Plano de Recuperação Judicial Grupo 3E v2.0 (Métis), mov. 321, pp.24-25</t>
        </is>
      </c>
      <c r="AX550" s="32" t="inlineStr">
        <is>
          <t>GOIANIA</t>
        </is>
      </c>
      <c r="AY550" s="32" t="inlineStr">
        <is>
          <t>GO</t>
        </is>
      </c>
      <c r="AZ550" s="32" t="inlineStr">
        <is>
          <t>Comércio atacadista de embalagens</t>
        </is>
      </c>
      <c r="BA550" s="32" t="inlineStr">
        <is>
          <t>MICRO EMPRESA</t>
        </is>
      </c>
      <c r="BB550" s="33" t="n">
        <v>100000</v>
      </c>
      <c r="BC550" s="32" t="inlineStr">
        <is>
          <t>SMALL</t>
        </is>
      </c>
      <c r="BD550" s="32" t="inlineStr">
        <is>
          <t>62859128</t>
        </is>
      </c>
      <c r="BE550" s="32" t="n">
        <v>1</v>
      </c>
      <c r="BF550" s="32" t="inlineStr">
        <is>
          <t>list prints no totals</t>
        </is>
      </c>
    </row>
    <row r="551">
      <c r="A551" s="17" t="inlineStr">
        <is>
          <t>DPC DISTRIBUIDOR ATACADISTA S/A</t>
        </is>
      </c>
      <c r="B551" s="18" t="n">
        <v>206466.35</v>
      </c>
      <c r="C551" s="19" t="inlineStr">
        <is>
          <t>GRUPO 3E</t>
        </is>
      </c>
      <c r="D551" s="20" t="inlineStr">
        <is>
          <t>NEW</t>
        </is>
      </c>
      <c r="E551" s="21" t="inlineStr"/>
      <c r="F551" s="20" t="inlineStr"/>
      <c r="G551" s="21" t="inlineStr"/>
      <c r="H551" s="20" t="inlineStr"/>
      <c r="I551" s="22" t="inlineStr">
        <is>
          <t>Thais Moura</t>
        </is>
      </c>
      <c r="J551" s="22" t="inlineStr">
        <is>
          <t>Gerente de Crédito e Cobrança</t>
        </is>
      </c>
      <c r="K551" s="22" t="inlineStr">
        <is>
          <t>(33) 3329-0000</t>
        </is>
      </c>
      <c r="L551" s="22" t="inlineStr"/>
      <c r="M551" s="22" t="inlineStr"/>
      <c r="N551" s="22" t="inlineStr">
        <is>
          <t>coordenacaocobranca@dpcnet.com.br</t>
        </is>
      </c>
      <c r="O551" s="22" t="inlineStr">
        <is>
          <t>verified</t>
        </is>
      </c>
      <c r="P551" s="22" t="inlineStr">
        <is>
          <t>Sebastiao Silva</t>
        </is>
      </c>
      <c r="Q551" s="22" t="inlineStr">
        <is>
          <t>Financial Manager</t>
        </is>
      </c>
      <c r="R551" s="22" t="inlineStr"/>
      <c r="S551" s="22" t="inlineStr">
        <is>
          <t>sebastiao@dpcnet.com.br</t>
        </is>
      </c>
      <c r="T551" s="22" t="inlineStr">
        <is>
          <t>DM: DM (verified; email is shared coordenacaocobranca@); BACKUP: backup (verified)</t>
        </is>
      </c>
      <c r="U551" s="24" t="n">
        <v>206466.35</v>
      </c>
      <c r="V551" s="25" t="inlineStr">
        <is>
          <t>B</t>
        </is>
      </c>
      <c r="W551" s="26" t="n">
        <v>0.12</v>
      </c>
      <c r="X551" s="27" t="n">
        <v>2</v>
      </c>
      <c r="Y551" s="27" t="n">
        <v>13</v>
      </c>
      <c r="Z551" s="26">
        <f>IF(W551&lt;&gt;"",W551,IFERROR(VLOOKUP(V551,Assumptions!$A$8:$F$12,2,FALSE),0))</f>
        <v/>
      </c>
      <c r="AA551" s="28">
        <f>IF(V551="A",MAX(1,IF(X551&lt;&gt;"",X551,IFERROR(VLOOKUP(V551,Assumptions!$A$8:$F$12,3,FALSE),3))+IF(Y551&lt;&gt;"",Y551,IFERROR(VLOOKUP(V551,Assumptions!$A$8:$F$12,4,FALSE),8))/2-MAX(0,IF(AS551="",0,YEAR(TODAY())-AS551)-IFERROR(VLOOKUP(V551,Assumptions!$A$8:$F$12,5,FALSE),1.5))),IFERROR(VLOOKUP(V551,Assumptions!$A$8:$F$12,5,FALSE),2.5)+IF(X551&lt;&gt;"",X551,IFERROR(VLOOKUP(V551,Assumptions!$A$8:$F$12,3,FALSE),3))+IF(Y551&lt;&gt;"",Y551,IFERROR(VLOOKUP(V551,Assumptions!$A$8:$F$12,4,FALSE),8))/2)</f>
        <v/>
      </c>
      <c r="AB551" s="24">
        <f>U551*Z551/(1+Assumptions!$B$3)^AA551</f>
        <v/>
      </c>
      <c r="AC551" s="27">
        <f>IF(U551=0,"",ROUND(AB551/U551*100,1))</f>
        <v/>
      </c>
      <c r="AD551" s="29">
        <f>AB551*Assumptions!$B$4</f>
        <v/>
      </c>
      <c r="AE551" s="27">
        <f>IF(U551=0,"",ROUND(AD551/U551*100,1))</f>
        <v/>
      </c>
      <c r="AF551" s="29">
        <f>AB551-AD551</f>
        <v/>
      </c>
      <c r="AG551" s="27">
        <f>IF(U551=0,"",ROUND((AB551-AD551)/U551*100,1))</f>
        <v/>
      </c>
      <c r="AH551" s="34" t="inlineStr">
        <is>
          <t>NO TOTALS — list prints none; check page</t>
        </is>
      </c>
      <c r="AI551" s="31" t="inlineStr">
        <is>
          <t>https://stenius.com.br/wp-content/uploads/2026/06/EDITAL-GRUPO-3E.pdf</t>
        </is>
      </c>
      <c r="AJ551" s="30" t="inlineStr">
        <is>
          <t>p12 r53; p12 r54</t>
        </is>
      </c>
      <c r="AK551" s="30" t="inlineStr">
        <is>
          <t>p12: R$ 171.927,72; p12: R$ 34.538,63</t>
        </is>
      </c>
      <c r="AL551" s="30" t="inlineStr">
        <is>
          <t>Debtor list (art. 51)</t>
        </is>
      </c>
      <c r="AM551" s="30" t="inlineStr">
        <is>
          <t>2026-06-22</t>
        </is>
      </c>
      <c r="AN551" s="30" t="inlineStr">
        <is>
          <t>PLAN FILED (art. 53), not granted</t>
        </is>
      </c>
      <c r="AO551" s="32" t="inlineStr">
        <is>
          <t>5341375-33.2026.8.09.0049</t>
        </is>
      </c>
      <c r="AP551" s="32" t="inlineStr">
        <is>
          <t>TJGO</t>
        </is>
      </c>
      <c r="AQ551" s="32" t="inlineStr">
        <is>
          <t>Recuperação judicial</t>
        </is>
      </c>
      <c r="AR551" s="32" t="inlineStr">
        <is>
          <t>DataJud: no closure/falência movement</t>
        </is>
      </c>
      <c r="AS551" s="32" t="n">
        <v>2026</v>
      </c>
      <c r="AT551" s="32" t="inlineStr">
        <is>
          <t>plan filed (art. 53), not yet granted</t>
        </is>
      </c>
      <c r="AU551" s="32" t="inlineStr"/>
      <c r="AV551" s="32" t="inlineStr">
        <is>
          <t>printed on the list (read twice)</t>
        </is>
      </c>
      <c r="AW551" s="32" t="inlineStr">
        <is>
          <t>Plano de Recuperação Judicial Grupo 3E v2.0 (Métis), mov. 321, pp.24-25</t>
        </is>
      </c>
      <c r="AX551" s="32" t="inlineStr">
        <is>
          <t>CARATINGA</t>
        </is>
      </c>
      <c r="AY551" s="32" t="inlineStr">
        <is>
          <t>MG</t>
        </is>
      </c>
      <c r="AZ551" s="32" t="inlineStr">
        <is>
          <t>Comércio atacadista de produtos de higiene pessoal</t>
        </is>
      </c>
      <c r="BA551" s="32" t="inlineStr">
        <is>
          <t>não ME/EPP</t>
        </is>
      </c>
      <c r="BB551" s="33" t="n">
        <v>20000000</v>
      </c>
      <c r="BC551" s="32" t="inlineStr">
        <is>
          <t>MID-MARKET</t>
        </is>
      </c>
      <c r="BD551" s="32" t="inlineStr">
        <is>
          <t>66471517</t>
        </is>
      </c>
      <c r="BE551" s="32" t="n">
        <v>2</v>
      </c>
      <c r="BF551" s="32" t="inlineStr">
        <is>
          <t>list prints no totals</t>
        </is>
      </c>
    </row>
    <row r="552">
      <c r="A552" s="17" t="inlineStr">
        <is>
          <t>SEPAC SERRADOS E PASTA DE CELULOSE LTDA</t>
        </is>
      </c>
      <c r="B552" s="18" t="n">
        <v>206015.81</v>
      </c>
      <c r="C552" s="19" t="inlineStr">
        <is>
          <t>GRUPO 3E</t>
        </is>
      </c>
      <c r="D552" s="20" t="inlineStr">
        <is>
          <t>NEW</t>
        </is>
      </c>
      <c r="E552" s="21" t="inlineStr"/>
      <c r="F552" s="20" t="inlineStr"/>
      <c r="G552" s="21" t="inlineStr"/>
      <c r="H552" s="20" t="inlineStr"/>
      <c r="I552" s="22" t="inlineStr">
        <is>
          <t>Giovani Kovalik</t>
        </is>
      </c>
      <c r="J552" s="22" t="inlineStr">
        <is>
          <t>Financial Analyst</t>
        </is>
      </c>
      <c r="K552" s="22" t="inlineStr">
        <is>
          <t>(42) 3542-8000</t>
        </is>
      </c>
      <c r="L552" s="22" t="inlineStr"/>
      <c r="M552" s="22" t="inlineStr"/>
      <c r="N552" s="22" t="inlineStr">
        <is>
          <t>giovani.kovalik@sepac.com.br</t>
        </is>
      </c>
      <c r="O552" s="22" t="inlineStr">
        <is>
          <t>verified</t>
        </is>
      </c>
      <c r="P552" s="22" t="inlineStr">
        <is>
          <t>Elisandra Magro</t>
        </is>
      </c>
      <c r="Q552" s="22" t="inlineStr">
        <is>
          <t>Financial Analyst</t>
        </is>
      </c>
      <c r="R552" s="22" t="inlineStr"/>
      <c r="S552" s="22" t="inlineStr">
        <is>
          <t>elisandra.magro@sepac.com.br</t>
        </is>
      </c>
      <c r="T552" s="22" t="inlineStr">
        <is>
          <t>DM: DM (verified email; Mallet PR); LARGE CORP. Apollo org Softys Sepac (sepac.com.br, Mallet PR) = SEPAC, now part of Softys/CMPC. Only analyst-level finance people found; no manager/CFO in Apollo.; BACKUP: backup (verified email)</t>
        </is>
      </c>
      <c r="U552" s="24" t="n">
        <v>206015.81</v>
      </c>
      <c r="V552" s="25" t="inlineStr">
        <is>
          <t>B</t>
        </is>
      </c>
      <c r="W552" s="26" t="n">
        <v>0.12</v>
      </c>
      <c r="X552" s="27" t="n">
        <v>2</v>
      </c>
      <c r="Y552" s="27" t="n">
        <v>13</v>
      </c>
      <c r="Z552" s="26">
        <f>IF(W552&lt;&gt;"",W552,IFERROR(VLOOKUP(V552,Assumptions!$A$8:$F$12,2,FALSE),0))</f>
        <v/>
      </c>
      <c r="AA552" s="28">
        <f>IF(V552="A",MAX(1,IF(X552&lt;&gt;"",X552,IFERROR(VLOOKUP(V552,Assumptions!$A$8:$F$12,3,FALSE),3))+IF(Y552&lt;&gt;"",Y552,IFERROR(VLOOKUP(V552,Assumptions!$A$8:$F$12,4,FALSE),8))/2-MAX(0,IF(AS552="",0,YEAR(TODAY())-AS552)-IFERROR(VLOOKUP(V552,Assumptions!$A$8:$F$12,5,FALSE),1.5))),IFERROR(VLOOKUP(V552,Assumptions!$A$8:$F$12,5,FALSE),2.5)+IF(X552&lt;&gt;"",X552,IFERROR(VLOOKUP(V552,Assumptions!$A$8:$F$12,3,FALSE),3))+IF(Y552&lt;&gt;"",Y552,IFERROR(VLOOKUP(V552,Assumptions!$A$8:$F$12,4,FALSE),8))/2)</f>
        <v/>
      </c>
      <c r="AB552" s="24">
        <f>U552*Z552/(1+Assumptions!$B$3)^AA552</f>
        <v/>
      </c>
      <c r="AC552" s="27">
        <f>IF(U552=0,"",ROUND(AB552/U552*100,1))</f>
        <v/>
      </c>
      <c r="AD552" s="29">
        <f>AB552*Assumptions!$B$4</f>
        <v/>
      </c>
      <c r="AE552" s="27">
        <f>IF(U552=0,"",ROUND(AD552/U552*100,1))</f>
        <v/>
      </c>
      <c r="AF552" s="29">
        <f>AB552-AD552</f>
        <v/>
      </c>
      <c r="AG552" s="27">
        <f>IF(U552=0,"",ROUND((AB552-AD552)/U552*100,1))</f>
        <v/>
      </c>
      <c r="AH552" s="34" t="inlineStr">
        <is>
          <t>NO TOTALS — list prints none; check page</t>
        </is>
      </c>
      <c r="AI552" s="31" t="inlineStr">
        <is>
          <t>https://stenius.com.br/wp-content/uploads/2026/06/EDITAL-GRUPO-3E.pdf</t>
        </is>
      </c>
      <c r="AJ552" s="30" t="inlineStr">
        <is>
          <t>p17 r68</t>
        </is>
      </c>
      <c r="AK552" s="30" t="inlineStr">
        <is>
          <t>p17: R$ 206.015,81</t>
        </is>
      </c>
      <c r="AL552" s="30" t="inlineStr">
        <is>
          <t>Debtor list (art. 51)</t>
        </is>
      </c>
      <c r="AM552" s="30" t="inlineStr">
        <is>
          <t>2026-06-22</t>
        </is>
      </c>
      <c r="AN552" s="30" t="inlineStr">
        <is>
          <t>PLAN FILED (art. 53), not granted</t>
        </is>
      </c>
      <c r="AO552" s="32" t="inlineStr">
        <is>
          <t>5341375-33.2026.8.09.0049</t>
        </is>
      </c>
      <c r="AP552" s="32" t="inlineStr">
        <is>
          <t>TJGO</t>
        </is>
      </c>
      <c r="AQ552" s="32" t="inlineStr">
        <is>
          <t>Recuperação judicial</t>
        </is>
      </c>
      <c r="AR552" s="32" t="inlineStr">
        <is>
          <t>DataJud: no closure/falência movement</t>
        </is>
      </c>
      <c r="AS552" s="32" t="n">
        <v>2026</v>
      </c>
      <c r="AT552" s="32" t="inlineStr">
        <is>
          <t>plan filed (art. 53), not yet granted</t>
        </is>
      </c>
      <c r="AU552" s="32" t="inlineStr"/>
      <c r="AV552" s="32" t="inlineStr">
        <is>
          <t>printed on the list (read twice)</t>
        </is>
      </c>
      <c r="AW552" s="32" t="inlineStr">
        <is>
          <t>Plano de Recuperação Judicial Grupo 3E v2.0 (Métis), mov. 321, pp.24-25</t>
        </is>
      </c>
      <c r="AX552" s="32" t="inlineStr">
        <is>
          <t>MALLET</t>
        </is>
      </c>
      <c r="AY552" s="32" t="inlineStr">
        <is>
          <t>PR</t>
        </is>
      </c>
      <c r="AZ552" s="32" t="inlineStr">
        <is>
          <t>Fabricação de produtos de papel para uso doméstico e higiênico-sanitário não especificados anteriormente</t>
        </is>
      </c>
      <c r="BA552" s="32" t="inlineStr">
        <is>
          <t>não ME/EPP</t>
        </is>
      </c>
      <c r="BB552" s="33" t="n">
        <v>478000000</v>
      </c>
      <c r="BC552" s="32" t="inlineStr">
        <is>
          <t>MID-MARKET</t>
        </is>
      </c>
      <c r="BD552" s="32" t="inlineStr">
        <is>
          <t>75655720</t>
        </is>
      </c>
      <c r="BE552" s="32" t="n">
        <v>1</v>
      </c>
      <c r="BF552" s="32" t="inlineStr">
        <is>
          <t>list prints no totals</t>
        </is>
      </c>
    </row>
    <row r="553">
      <c r="A553" s="17" t="inlineStr">
        <is>
          <t>JC DISTRIBUICAO LOGISTICA IMPORTACAO E EXPORTACAO DE PRODUTOS INDUSTRIALIZADOS S/A</t>
        </is>
      </c>
      <c r="B553" s="18" t="n">
        <v>200738.49</v>
      </c>
      <c r="C553" s="19" t="inlineStr">
        <is>
          <t>GRUPO 3E</t>
        </is>
      </c>
      <c r="D553" s="20" t="inlineStr">
        <is>
          <t>NEW</t>
        </is>
      </c>
      <c r="E553" s="21" t="inlineStr"/>
      <c r="F553" s="20" t="inlineStr"/>
      <c r="G553" s="21" t="inlineStr"/>
      <c r="H553" s="20" t="inlineStr"/>
      <c r="I553" s="22" t="inlineStr">
        <is>
          <t>Nataliane Garcia</t>
        </is>
      </c>
      <c r="J553" s="22" t="inlineStr">
        <is>
          <t>Financial Manager</t>
        </is>
      </c>
      <c r="K553" s="22" t="inlineStr">
        <is>
          <t>(62) 3240-9500</t>
        </is>
      </c>
      <c r="L553" s="22" t="inlineStr"/>
      <c r="M553" s="22" t="inlineStr"/>
      <c r="N553" s="22" t="inlineStr"/>
      <c r="O553" s="22" t="inlineStr"/>
      <c r="P553" s="22" t="inlineStr">
        <is>
          <t>JOSE RODRIGUES DA COSTA NETO</t>
        </is>
      </c>
      <c r="Q553" s="22" t="inlineStr">
        <is>
          <t>Presidente (RFB partner)</t>
        </is>
      </c>
      <c r="R553" s="22" t="inlineStr"/>
      <c r="S553" s="22" t="inlineStr"/>
      <c r="T553" s="22" t="inlineStr">
        <is>
          <t>DM: DM email unavailable; no work email in Apollo for DM</t>
        </is>
      </c>
      <c r="U553" s="24" t="n">
        <v>200738.49</v>
      </c>
      <c r="V553" s="25" t="inlineStr">
        <is>
          <t>B</t>
        </is>
      </c>
      <c r="W553" s="26" t="n">
        <v>0.12</v>
      </c>
      <c r="X553" s="27" t="n">
        <v>2</v>
      </c>
      <c r="Y553" s="27" t="n">
        <v>13</v>
      </c>
      <c r="Z553" s="26">
        <f>IF(W553&lt;&gt;"",W553,IFERROR(VLOOKUP(V553,Assumptions!$A$8:$F$12,2,FALSE),0))</f>
        <v/>
      </c>
      <c r="AA553" s="28">
        <f>IF(V553="A",MAX(1,IF(X553&lt;&gt;"",X553,IFERROR(VLOOKUP(V553,Assumptions!$A$8:$F$12,3,FALSE),3))+IF(Y553&lt;&gt;"",Y553,IFERROR(VLOOKUP(V553,Assumptions!$A$8:$F$12,4,FALSE),8))/2-MAX(0,IF(AS553="",0,YEAR(TODAY())-AS553)-IFERROR(VLOOKUP(V553,Assumptions!$A$8:$F$12,5,FALSE),1.5))),IFERROR(VLOOKUP(V553,Assumptions!$A$8:$F$12,5,FALSE),2.5)+IF(X553&lt;&gt;"",X553,IFERROR(VLOOKUP(V553,Assumptions!$A$8:$F$12,3,FALSE),3))+IF(Y553&lt;&gt;"",Y553,IFERROR(VLOOKUP(V553,Assumptions!$A$8:$F$12,4,FALSE),8))/2)</f>
        <v/>
      </c>
      <c r="AB553" s="24">
        <f>U553*Z553/(1+Assumptions!$B$3)^AA553</f>
        <v/>
      </c>
      <c r="AC553" s="27">
        <f>IF(U553=0,"",ROUND(AB553/U553*100,1))</f>
        <v/>
      </c>
      <c r="AD553" s="29">
        <f>AB553*Assumptions!$B$4</f>
        <v/>
      </c>
      <c r="AE553" s="27">
        <f>IF(U553=0,"",ROUND(AD553/U553*100,1))</f>
        <v/>
      </c>
      <c r="AF553" s="29">
        <f>AB553-AD553</f>
        <v/>
      </c>
      <c r="AG553" s="27">
        <f>IF(U553=0,"",ROUND((AB553-AD553)/U553*100,1))</f>
        <v/>
      </c>
      <c r="AH553" s="34" t="inlineStr">
        <is>
          <t>NO TOTALS — list prints none; check page</t>
        </is>
      </c>
      <c r="AI553" s="31" t="inlineStr">
        <is>
          <t>https://stenius.com.br/wp-content/uploads/2026/06/EDITAL-GRUPO-3E.pdf</t>
        </is>
      </c>
      <c r="AJ553" s="30" t="inlineStr">
        <is>
          <t>p14 r69; p14 r70</t>
        </is>
      </c>
      <c r="AK553" s="30" t="inlineStr">
        <is>
          <t>p14: R$ 160.290,36; p14: R$ 40.448,13</t>
        </is>
      </c>
      <c r="AL553" s="30" t="inlineStr">
        <is>
          <t>Debtor list (art. 51)</t>
        </is>
      </c>
      <c r="AM553" s="30" t="inlineStr">
        <is>
          <t>2026-06-22</t>
        </is>
      </c>
      <c r="AN553" s="30" t="inlineStr">
        <is>
          <t>PLAN FILED (art. 53), not granted</t>
        </is>
      </c>
      <c r="AO553" s="32" t="inlineStr">
        <is>
          <t>5341375-33.2026.8.09.0049</t>
        </is>
      </c>
      <c r="AP553" s="32" t="inlineStr">
        <is>
          <t>TJGO</t>
        </is>
      </c>
      <c r="AQ553" s="32" t="inlineStr">
        <is>
          <t>Recuperação judicial</t>
        </is>
      </c>
      <c r="AR553" s="32" t="inlineStr">
        <is>
          <t>DataJud: no closure/falência movement</t>
        </is>
      </c>
      <c r="AS553" s="32" t="n">
        <v>2026</v>
      </c>
      <c r="AT553" s="32" t="inlineStr">
        <is>
          <t>plan filed (art. 53), not yet granted</t>
        </is>
      </c>
      <c r="AU553" s="32" t="inlineStr"/>
      <c r="AV553" s="32" t="inlineStr">
        <is>
          <t>printed on the list (read twice)</t>
        </is>
      </c>
      <c r="AW553" s="32" t="inlineStr">
        <is>
          <t>Plano de Recuperação Judicial Grupo 3E v2.0 (Métis), mov. 321, pp.24-25</t>
        </is>
      </c>
      <c r="AX553" s="32" t="inlineStr">
        <is>
          <t>APARECIDA DE GOIANIA</t>
        </is>
      </c>
      <c r="AY553" s="32" t="inlineStr">
        <is>
          <t>GO</t>
        </is>
      </c>
      <c r="AZ553" s="32" t="inlineStr">
        <is>
          <t>Atividades de consultoria em gestão empresarial, exceto consultoria técnica específica</t>
        </is>
      </c>
      <c r="BA553" s="32" t="inlineStr">
        <is>
          <t>não ME/EPP</t>
        </is>
      </c>
      <c r="BB553" s="33" t="n">
        <v>283819500</v>
      </c>
      <c r="BC553" s="32" t="inlineStr">
        <is>
          <t>MID-MARKET</t>
        </is>
      </c>
      <c r="BD553" s="32" t="inlineStr">
        <is>
          <t>06314327</t>
        </is>
      </c>
      <c r="BE553" s="32" t="n">
        <v>2</v>
      </c>
      <c r="BF553" s="32" t="inlineStr">
        <is>
          <t>list prints no totals</t>
        </is>
      </c>
    </row>
    <row r="554">
      <c r="A554" s="17" t="inlineStr">
        <is>
          <t>TEXTIL J SERRANO LTDA</t>
        </is>
      </c>
      <c r="B554" s="18" t="n">
        <v>288472.7</v>
      </c>
      <c r="C554" s="19" t="inlineStr">
        <is>
          <t>Mannes</t>
        </is>
      </c>
      <c r="D554" s="20" t="inlineStr">
        <is>
          <t>NEW</t>
        </is>
      </c>
      <c r="E554" s="21" t="inlineStr"/>
      <c r="F554" s="20" t="inlineStr"/>
      <c r="G554" s="21" t="inlineStr"/>
      <c r="H554" s="20" t="inlineStr"/>
      <c r="I554" s="22" t="inlineStr">
        <is>
          <t>MIGUEL NAFFAH PEREZ</t>
        </is>
      </c>
      <c r="J554" s="23" t="inlineStr">
        <is>
          <t>Administrador (RFB partner)</t>
        </is>
      </c>
      <c r="K554" s="22" t="inlineStr">
        <is>
          <t>(11) 3811-4300</t>
        </is>
      </c>
      <c r="L554" s="22" t="inlineStr"/>
      <c r="M554" s="22" t="inlineStr"/>
      <c r="N554" s="22" t="inlineStr"/>
      <c r="O554" s="22" t="inlineStr"/>
      <c r="P554" s="22" t="inlineStr"/>
      <c r="Q554" s="22" t="inlineStr"/>
      <c r="R554" s="22" t="inlineStr"/>
      <c r="S554" s="22" t="inlineStr"/>
      <c r="T554" s="22" t="inlineStr">
        <is>
          <t>DM = registered partner (RFB QSA); no Apollo match</t>
        </is>
      </c>
      <c r="U554" s="24" t="n">
        <v>288472.7</v>
      </c>
      <c r="V554" s="40" t="inlineStr">
        <is>
          <t>D</t>
        </is>
      </c>
      <c r="W554" s="26" t="inlineStr"/>
      <c r="X554" s="27" t="inlineStr"/>
      <c r="Y554" s="27" t="inlineStr"/>
      <c r="Z554" s="26">
        <f>IF(W554&lt;&gt;"",W554,IFERROR(VLOOKUP(V554,Assumptions!$A$8:$F$12,2,FALSE),0))</f>
        <v/>
      </c>
      <c r="AA554" s="28">
        <f>IF(V554="A",MAX(1,IF(X554&lt;&gt;"",X554,IFERROR(VLOOKUP(V554,Assumptions!$A$8:$F$12,3,FALSE),3))+IF(Y554&lt;&gt;"",Y554,IFERROR(VLOOKUP(V554,Assumptions!$A$8:$F$12,4,FALSE),8))/2-MAX(0,IF(AS554="",0,YEAR(TODAY())-AS554)-IFERROR(VLOOKUP(V554,Assumptions!$A$8:$F$12,5,FALSE),1.5))),IFERROR(VLOOKUP(V554,Assumptions!$A$8:$F$12,5,FALSE),2.5)+IF(X554&lt;&gt;"",X554,IFERROR(VLOOKUP(V554,Assumptions!$A$8:$F$12,3,FALSE),3))+IF(Y554&lt;&gt;"",Y554,IFERROR(VLOOKUP(V554,Assumptions!$A$8:$F$12,4,FALSE),8))/2)</f>
        <v/>
      </c>
      <c r="AB554" s="24">
        <f>U554*Z554/(1+Assumptions!$B$3)^AA554</f>
        <v/>
      </c>
      <c r="AC554" s="27">
        <f>IF(U554=0,"",ROUND(AB554/U554*100,1))</f>
        <v/>
      </c>
      <c r="AD554" s="29">
        <f>AB554*Assumptions!$B$4</f>
        <v/>
      </c>
      <c r="AE554" s="27">
        <f>IF(U554=0,"",ROUND(AD554/U554*100,1))</f>
        <v/>
      </c>
      <c r="AF554" s="29">
        <f>AB554-AD554</f>
        <v/>
      </c>
      <c r="AG554" s="27">
        <f>IF(U554=0,"",ROUND((AB554-AD554)/U554*100,1))</f>
        <v/>
      </c>
      <c r="AH554" s="36" t="inlineStr">
        <is>
          <t>CHECK — source is not a statutory creditor list</t>
        </is>
      </c>
      <c r="AI554" s="31" t="inlineStr">
        <is>
          <t>https://administradorajudicialgs.com.br/wp-content/uploads/2024/12/relacao-de-credores-da-falida.pdf</t>
        </is>
      </c>
      <c r="AJ554" s="30" t="inlineStr">
        <is>
          <t>p18 r63</t>
        </is>
      </c>
      <c r="AK554" s="30" t="inlineStr">
        <is>
          <t>p18: R$ 288.472,70</t>
        </is>
      </c>
      <c r="AL554" s="30" t="inlineStr">
        <is>
          <t>Other filing — NOT an art. 7/51 list</t>
        </is>
      </c>
      <c r="AM554" s="30" t="inlineStr">
        <is>
          <t>2025-03-25</t>
        </is>
      </c>
      <c r="AN554" s="30" t="inlineStr">
        <is>
          <t>NONE FOUND</t>
        </is>
      </c>
      <c r="AO554" s="32" t="inlineStr">
        <is>
          <t>0005010-50.2013.8.24.0026</t>
        </is>
      </c>
      <c r="AP554" s="32" t="inlineStr">
        <is>
          <t>TJSC</t>
        </is>
      </c>
      <c r="AQ554" s="32" t="inlineStr">
        <is>
          <t>Falência</t>
        </is>
      </c>
      <c r="AR554" s="32" t="inlineStr">
        <is>
          <t>not in DataJud</t>
        </is>
      </c>
      <c r="AS554" s="32" t="n">
        <v>2013</v>
      </c>
      <c r="AT554" s="32" t="inlineStr">
        <is>
          <t>falência proceeding (list/name says falida)</t>
        </is>
      </c>
      <c r="AU554" s="32" t="inlineStr"/>
      <c r="AV554" s="32" t="inlineStr">
        <is>
          <t>printed on the list (read twice)</t>
        </is>
      </c>
      <c r="AW554" s="32" t="inlineStr"/>
      <c r="AX554" s="32" t="inlineStr">
        <is>
          <t>SAO PAULO</t>
        </is>
      </c>
      <c r="AY554" s="32" t="inlineStr">
        <is>
          <t>SP</t>
        </is>
      </c>
      <c r="AZ554" s="32" t="inlineStr">
        <is>
          <t>Serviços combinados de escritório e apoio administrativo</t>
        </is>
      </c>
      <c r="BA554" s="32" t="inlineStr">
        <is>
          <t>não ME/EPP</t>
        </is>
      </c>
      <c r="BB554" s="33" t="n">
        <v>242910140</v>
      </c>
      <c r="BC554" s="32" t="inlineStr">
        <is>
          <t>MID-MARKET</t>
        </is>
      </c>
      <c r="BD554" s="32" t="inlineStr">
        <is>
          <t>49870173</t>
        </is>
      </c>
      <c r="BE554" s="32" t="n">
        <v>1</v>
      </c>
      <c r="BF554" s="32" t="inlineStr">
        <is>
          <t>list prints no totals case no. corrected by reader</t>
        </is>
      </c>
    </row>
    <row r="555">
      <c r="A555" s="17" t="inlineStr">
        <is>
          <t>QUINTAL TEXTIL AMERICANA LTDA</t>
        </is>
      </c>
      <c r="B555" s="18" t="n">
        <v>285719.32</v>
      </c>
      <c r="C555" s="19" t="inlineStr">
        <is>
          <t>Mannes</t>
        </is>
      </c>
      <c r="D555" s="20" t="inlineStr">
        <is>
          <t>NEW</t>
        </is>
      </c>
      <c r="E555" s="21" t="inlineStr"/>
      <c r="F555" s="20" t="inlineStr"/>
      <c r="G555" s="21" t="inlineStr"/>
      <c r="H555" s="20" t="inlineStr"/>
      <c r="I555" s="22" t="inlineStr">
        <is>
          <t>BIANCA CAROLINA QUINTAL CHEGATTI</t>
        </is>
      </c>
      <c r="J555" s="23" t="inlineStr">
        <is>
          <t>Sócio-Administrador (RFB partner)</t>
        </is>
      </c>
      <c r="K555" s="22" t="inlineStr">
        <is>
          <t>(19) 3012-3083</t>
        </is>
      </c>
      <c r="L555" s="22" t="inlineStr"/>
      <c r="M555" s="22" t="inlineStr"/>
      <c r="N555" s="22" t="inlineStr"/>
      <c r="O555" s="22" t="inlineStr"/>
      <c r="P555" s="22" t="inlineStr">
        <is>
          <t>IVAN FERNANDO QUINTAL</t>
        </is>
      </c>
      <c r="Q555" s="22" t="inlineStr">
        <is>
          <t>Sócio-Administrador (RFB partner)</t>
        </is>
      </c>
      <c r="R555" s="22" t="inlineStr"/>
      <c r="S555" s="22" t="inlineStr"/>
      <c r="T555" s="22" t="inlineStr">
        <is>
          <t>DM = registered partner (RFB QSA); no Apollo match</t>
        </is>
      </c>
      <c r="U555" s="24" t="n">
        <v>285719.32</v>
      </c>
      <c r="V555" s="40" t="inlineStr">
        <is>
          <t>D</t>
        </is>
      </c>
      <c r="W555" s="26" t="inlineStr"/>
      <c r="X555" s="27" t="inlineStr"/>
      <c r="Y555" s="27" t="inlineStr"/>
      <c r="Z555" s="26">
        <f>IF(W555&lt;&gt;"",W555,IFERROR(VLOOKUP(V555,Assumptions!$A$8:$F$12,2,FALSE),0))</f>
        <v/>
      </c>
      <c r="AA555" s="28">
        <f>IF(V555="A",MAX(1,IF(X555&lt;&gt;"",X555,IFERROR(VLOOKUP(V555,Assumptions!$A$8:$F$12,3,FALSE),3))+IF(Y555&lt;&gt;"",Y555,IFERROR(VLOOKUP(V555,Assumptions!$A$8:$F$12,4,FALSE),8))/2-MAX(0,IF(AS555="",0,YEAR(TODAY())-AS555)-IFERROR(VLOOKUP(V555,Assumptions!$A$8:$F$12,5,FALSE),1.5))),IFERROR(VLOOKUP(V555,Assumptions!$A$8:$F$12,5,FALSE),2.5)+IF(X555&lt;&gt;"",X555,IFERROR(VLOOKUP(V555,Assumptions!$A$8:$F$12,3,FALSE),3))+IF(Y555&lt;&gt;"",Y555,IFERROR(VLOOKUP(V555,Assumptions!$A$8:$F$12,4,FALSE),8))/2)</f>
        <v/>
      </c>
      <c r="AB555" s="24">
        <f>U555*Z555/(1+Assumptions!$B$3)^AA555</f>
        <v/>
      </c>
      <c r="AC555" s="27">
        <f>IF(U555=0,"",ROUND(AB555/U555*100,1))</f>
        <v/>
      </c>
      <c r="AD555" s="29">
        <f>AB555*Assumptions!$B$4</f>
        <v/>
      </c>
      <c r="AE555" s="27">
        <f>IF(U555=0,"",ROUND(AD555/U555*100,1))</f>
        <v/>
      </c>
      <c r="AF555" s="29">
        <f>AB555-AD555</f>
        <v/>
      </c>
      <c r="AG555" s="27">
        <f>IF(U555=0,"",ROUND((AB555-AD555)/U555*100,1))</f>
        <v/>
      </c>
      <c r="AH555" s="36" t="inlineStr">
        <is>
          <t>CHECK — source is not a statutory creditor list</t>
        </is>
      </c>
      <c r="AI555" s="31" t="inlineStr">
        <is>
          <t>https://administradorajudicialgs.com.br/wp-content/uploads/2024/12/relacao-de-credores-da-falida.pdf</t>
        </is>
      </c>
      <c r="AJ555" s="30" t="inlineStr">
        <is>
          <t>p17 r53</t>
        </is>
      </c>
      <c r="AK555" s="30" t="inlineStr">
        <is>
          <t>p17: R$ 285.719,32</t>
        </is>
      </c>
      <c r="AL555" s="30" t="inlineStr">
        <is>
          <t>Other filing — NOT an art. 7/51 list</t>
        </is>
      </c>
      <c r="AM555" s="30" t="inlineStr">
        <is>
          <t>2025-03-25</t>
        </is>
      </c>
      <c r="AN555" s="30" t="inlineStr">
        <is>
          <t>NONE FOUND</t>
        </is>
      </c>
      <c r="AO555" s="32" t="inlineStr">
        <is>
          <t>0005010-50.2013.8.24.0026</t>
        </is>
      </c>
      <c r="AP555" s="32" t="inlineStr">
        <is>
          <t>TJSC</t>
        </is>
      </c>
      <c r="AQ555" s="32" t="inlineStr">
        <is>
          <t>Falência</t>
        </is>
      </c>
      <c r="AR555" s="32" t="inlineStr">
        <is>
          <t>not in DataJud</t>
        </is>
      </c>
      <c r="AS555" s="32" t="n">
        <v>2013</v>
      </c>
      <c r="AT555" s="32" t="inlineStr">
        <is>
          <t>falência proceeding (list/name says falida)</t>
        </is>
      </c>
      <c r="AU555" s="32" t="inlineStr"/>
      <c r="AV555" s="32" t="inlineStr">
        <is>
          <t>printed on the list (read twice)</t>
        </is>
      </c>
      <c r="AW555" s="32" t="inlineStr"/>
      <c r="AX555" s="32" t="inlineStr">
        <is>
          <t>AMERICANA</t>
        </is>
      </c>
      <c r="AY555" s="32" t="inlineStr">
        <is>
          <t>SP</t>
        </is>
      </c>
      <c r="AZ555" s="32" t="inlineStr">
        <is>
          <t>Fabricação de artefatos têxteis para uso doméstico</t>
        </is>
      </c>
      <c r="BA555" s="32" t="inlineStr">
        <is>
          <t>EMPRESA DE PEQUENO PORTE</t>
        </is>
      </c>
      <c r="BB555" s="33" t="n">
        <v>21000</v>
      </c>
      <c r="BC555" s="32" t="inlineStr">
        <is>
          <t>SMALL</t>
        </is>
      </c>
      <c r="BD555" s="32" t="inlineStr">
        <is>
          <t>03413865</t>
        </is>
      </c>
      <c r="BE555" s="32" t="n">
        <v>1</v>
      </c>
      <c r="BF555" s="32" t="inlineStr">
        <is>
          <t>list prints no totals case no. corrected by reader</t>
        </is>
      </c>
    </row>
    <row r="556">
      <c r="A556" s="17" t="inlineStr">
        <is>
          <t>STARSPRINGS DO BRASIL LTDA.</t>
        </is>
      </c>
      <c r="B556" s="18" t="n">
        <v>279092.97</v>
      </c>
      <c r="C556" s="19" t="inlineStr">
        <is>
          <t>Mannes</t>
        </is>
      </c>
      <c r="D556" s="20" t="inlineStr">
        <is>
          <t>NEW</t>
        </is>
      </c>
      <c r="E556" s="21" t="inlineStr"/>
      <c r="F556" s="20" t="inlineStr"/>
      <c r="G556" s="21" t="inlineStr"/>
      <c r="H556" s="20" t="inlineStr"/>
      <c r="I556" s="22" t="inlineStr">
        <is>
          <t>Vanessa Wagner</t>
        </is>
      </c>
      <c r="J556" s="22" t="inlineStr">
        <is>
          <t>Financial</t>
        </is>
      </c>
      <c r="K556" s="22" t="inlineStr">
        <is>
          <t>(41) 3204-7000</t>
        </is>
      </c>
      <c r="L556" s="22" t="inlineStr"/>
      <c r="M556" s="22" t="inlineStr"/>
      <c r="N556" s="22" t="inlineStr"/>
      <c r="O556" s="22" t="inlineStr"/>
      <c r="P556" s="22" t="inlineStr">
        <is>
          <t>Heidi Modesto</t>
        </is>
      </c>
      <c r="Q556" s="22" t="inlineStr">
        <is>
          <t>Assistente Financeiro / Financial Assistant</t>
        </is>
      </c>
      <c r="R556" s="22" t="inlineStr"/>
      <c r="S556" s="22" t="inlineStr">
        <is>
          <t>heidi@starsprings.com.br</t>
        </is>
      </c>
      <c r="T556" s="22" t="inlineStr">
        <is>
          <t>DM: DM email unavailable; no work email in Apollo for DM; BACKUP: backup extrapolated email; backup email is pattern-guessed</t>
        </is>
      </c>
      <c r="U556" s="24" t="n">
        <v>279092.97</v>
      </c>
      <c r="V556" s="40" t="inlineStr">
        <is>
          <t>D</t>
        </is>
      </c>
      <c r="W556" s="26" t="inlineStr"/>
      <c r="X556" s="27" t="inlineStr"/>
      <c r="Y556" s="27" t="inlineStr"/>
      <c r="Z556" s="26">
        <f>IF(W556&lt;&gt;"",W556,IFERROR(VLOOKUP(V556,Assumptions!$A$8:$F$12,2,FALSE),0))</f>
        <v/>
      </c>
      <c r="AA556" s="28">
        <f>IF(V556="A",MAX(1,IF(X556&lt;&gt;"",X556,IFERROR(VLOOKUP(V556,Assumptions!$A$8:$F$12,3,FALSE),3))+IF(Y556&lt;&gt;"",Y556,IFERROR(VLOOKUP(V556,Assumptions!$A$8:$F$12,4,FALSE),8))/2-MAX(0,IF(AS556="",0,YEAR(TODAY())-AS556)-IFERROR(VLOOKUP(V556,Assumptions!$A$8:$F$12,5,FALSE),1.5))),IFERROR(VLOOKUP(V556,Assumptions!$A$8:$F$12,5,FALSE),2.5)+IF(X556&lt;&gt;"",X556,IFERROR(VLOOKUP(V556,Assumptions!$A$8:$F$12,3,FALSE),3))+IF(Y556&lt;&gt;"",Y556,IFERROR(VLOOKUP(V556,Assumptions!$A$8:$F$12,4,FALSE),8))/2)</f>
        <v/>
      </c>
      <c r="AB556" s="24">
        <f>U556*Z556/(1+Assumptions!$B$3)^AA556</f>
        <v/>
      </c>
      <c r="AC556" s="27">
        <f>IF(U556=0,"",ROUND(AB556/U556*100,1))</f>
        <v/>
      </c>
      <c r="AD556" s="29">
        <f>AB556*Assumptions!$B$4</f>
        <v/>
      </c>
      <c r="AE556" s="27">
        <f>IF(U556=0,"",ROUND(AD556/U556*100,1))</f>
        <v/>
      </c>
      <c r="AF556" s="29">
        <f>AB556-AD556</f>
        <v/>
      </c>
      <c r="AG556" s="27">
        <f>IF(U556=0,"",ROUND((AB556-AD556)/U556*100,1))</f>
        <v/>
      </c>
      <c r="AH556" s="36" t="inlineStr">
        <is>
          <t>CHECK — source is not a statutory creditor list</t>
        </is>
      </c>
      <c r="AI556" s="31" t="inlineStr">
        <is>
          <t>https://administradorajudicialgs.com.br/wp-content/uploads/2024/12/relacao-de-credores-da-falida.pdf</t>
        </is>
      </c>
      <c r="AJ556" s="30" t="inlineStr">
        <is>
          <t>p18 r45</t>
        </is>
      </c>
      <c r="AK556" s="30" t="inlineStr">
        <is>
          <t>p18: R$ 279.092,97</t>
        </is>
      </c>
      <c r="AL556" s="30" t="inlineStr">
        <is>
          <t>Other filing — NOT an art. 7/51 list</t>
        </is>
      </c>
      <c r="AM556" s="30" t="inlineStr">
        <is>
          <t>2025-03-25</t>
        </is>
      </c>
      <c r="AN556" s="30" t="inlineStr">
        <is>
          <t>NONE FOUND</t>
        </is>
      </c>
      <c r="AO556" s="32" t="inlineStr">
        <is>
          <t>0005010-50.2013.8.24.0026</t>
        </is>
      </c>
      <c r="AP556" s="32" t="inlineStr">
        <is>
          <t>TJSC</t>
        </is>
      </c>
      <c r="AQ556" s="32" t="inlineStr">
        <is>
          <t>Falência</t>
        </is>
      </c>
      <c r="AR556" s="32" t="inlineStr">
        <is>
          <t>not in DataJud</t>
        </is>
      </c>
      <c r="AS556" s="32" t="n">
        <v>2013</v>
      </c>
      <c r="AT556" s="32" t="inlineStr">
        <is>
          <t>falência proceeding (list/name says falida)</t>
        </is>
      </c>
      <c r="AU556" s="32" t="inlineStr"/>
      <c r="AV556" s="32" t="inlineStr">
        <is>
          <t>printed on the list (read twice)</t>
        </is>
      </c>
      <c r="AW556" s="32" t="inlineStr"/>
      <c r="AX556" s="32" t="inlineStr">
        <is>
          <t>ARAUCARIA</t>
        </is>
      </c>
      <c r="AY556" s="32" t="inlineStr">
        <is>
          <t>PR</t>
        </is>
      </c>
      <c r="AZ556" s="32" t="inlineStr">
        <is>
          <t>Fabricação de produtos de trefilados de metal padronizados</t>
        </is>
      </c>
      <c r="BA556" s="32" t="inlineStr">
        <is>
          <t>não ME/EPP</t>
        </is>
      </c>
      <c r="BB556" s="33" t="inlineStr"/>
      <c r="BC556" s="32" t="inlineStr">
        <is>
          <t>UNKNOWN</t>
        </is>
      </c>
      <c r="BD556" s="32" t="inlineStr">
        <is>
          <t>04230984</t>
        </is>
      </c>
      <c r="BE556" s="32" t="n">
        <v>1</v>
      </c>
      <c r="BF556" s="32" t="inlineStr">
        <is>
          <t>list prints no totals case no. corrected by reader</t>
        </is>
      </c>
    </row>
    <row r="557">
      <c r="A557" s="17" t="inlineStr">
        <is>
          <t>DOHLER S.A.</t>
        </is>
      </c>
      <c r="B557" s="18" t="n">
        <v>268521.81</v>
      </c>
      <c r="C557" s="19" t="inlineStr">
        <is>
          <t>Mannes</t>
        </is>
      </c>
      <c r="D557" s="20" t="inlineStr">
        <is>
          <t>NEW</t>
        </is>
      </c>
      <c r="E557" s="21" t="inlineStr"/>
      <c r="F557" s="20" t="inlineStr"/>
      <c r="G557" s="21" t="inlineStr"/>
      <c r="H557" s="20" t="inlineStr"/>
      <c r="I557" s="22" t="inlineStr">
        <is>
          <t>Rudinei Hass</t>
        </is>
      </c>
      <c r="J557" s="22" t="inlineStr">
        <is>
          <t>Financial Manager</t>
        </is>
      </c>
      <c r="K557" s="22" t="inlineStr">
        <is>
          <t>(47) 3441-1666</t>
        </is>
      </c>
      <c r="L557" s="22" t="inlineStr">
        <is>
          <t>(47) 3441-1777</t>
        </is>
      </c>
      <c r="M557" s="22" t="inlineStr"/>
      <c r="N557" s="22" t="inlineStr"/>
      <c r="O557" s="22" t="inlineStr"/>
      <c r="P557" s="22" t="inlineStr">
        <is>
          <t>JOSE MARIO GOMES RIBEIRO</t>
        </is>
      </c>
      <c r="Q557" s="22" t="inlineStr">
        <is>
          <t>Presidente (RFB partner)</t>
        </is>
      </c>
      <c r="R557" s="22" t="inlineStr"/>
      <c r="S557" s="22" t="inlineStr"/>
      <c r="T557" s="22" t="inlineStr">
        <is>
          <t>DM: DM email unavailable; LARGE CORP; plain kw 'Dohler' hit surnames, used 'Döhler' + titles; Apollo org Döhler SA (Joinville); no emails revealed for any pick; no work email in Apollo for DM</t>
        </is>
      </c>
      <c r="U557" s="24" t="n">
        <v>268521.81</v>
      </c>
      <c r="V557" s="40" t="inlineStr">
        <is>
          <t>D</t>
        </is>
      </c>
      <c r="W557" s="26" t="inlineStr"/>
      <c r="X557" s="27" t="inlineStr"/>
      <c r="Y557" s="27" t="inlineStr"/>
      <c r="Z557" s="26">
        <f>IF(W557&lt;&gt;"",W557,IFERROR(VLOOKUP(V557,Assumptions!$A$8:$F$12,2,FALSE),0))</f>
        <v/>
      </c>
      <c r="AA557" s="28">
        <f>IF(V557="A",MAX(1,IF(X557&lt;&gt;"",X557,IFERROR(VLOOKUP(V557,Assumptions!$A$8:$F$12,3,FALSE),3))+IF(Y557&lt;&gt;"",Y557,IFERROR(VLOOKUP(V557,Assumptions!$A$8:$F$12,4,FALSE),8))/2-MAX(0,IF(AS557="",0,YEAR(TODAY())-AS557)-IFERROR(VLOOKUP(V557,Assumptions!$A$8:$F$12,5,FALSE),1.5))),IFERROR(VLOOKUP(V557,Assumptions!$A$8:$F$12,5,FALSE),2.5)+IF(X557&lt;&gt;"",X557,IFERROR(VLOOKUP(V557,Assumptions!$A$8:$F$12,3,FALSE),3))+IF(Y557&lt;&gt;"",Y557,IFERROR(VLOOKUP(V557,Assumptions!$A$8:$F$12,4,FALSE),8))/2)</f>
        <v/>
      </c>
      <c r="AB557" s="24">
        <f>U557*Z557/(1+Assumptions!$B$3)^AA557</f>
        <v/>
      </c>
      <c r="AC557" s="27">
        <f>IF(U557=0,"",ROUND(AB557/U557*100,1))</f>
        <v/>
      </c>
      <c r="AD557" s="29">
        <f>AB557*Assumptions!$B$4</f>
        <v/>
      </c>
      <c r="AE557" s="27">
        <f>IF(U557=0,"",ROUND(AD557/U557*100,1))</f>
        <v/>
      </c>
      <c r="AF557" s="29">
        <f>AB557-AD557</f>
        <v/>
      </c>
      <c r="AG557" s="27">
        <f>IF(U557=0,"",ROUND((AB557-AD557)/U557*100,1))</f>
        <v/>
      </c>
      <c r="AH557" s="36" t="inlineStr">
        <is>
          <t>CHECK — source is not a statutory creditor list</t>
        </is>
      </c>
      <c r="AI557" s="31" t="inlineStr">
        <is>
          <t>https://administradorajudicialgs.com.br/wp-content/uploads/2024/12/relacao-de-credores-da-falida.pdf</t>
        </is>
      </c>
      <c r="AJ557" s="30" t="inlineStr">
        <is>
          <t>p14 r8</t>
        </is>
      </c>
      <c r="AK557" s="30" t="inlineStr">
        <is>
          <t>p14: R$ 268.521,81</t>
        </is>
      </c>
      <c r="AL557" s="30" t="inlineStr">
        <is>
          <t>Other filing — NOT an art. 7/51 list</t>
        </is>
      </c>
      <c r="AM557" s="30" t="inlineStr">
        <is>
          <t>2025-03-25</t>
        </is>
      </c>
      <c r="AN557" s="30" t="inlineStr">
        <is>
          <t>NONE FOUND</t>
        </is>
      </c>
      <c r="AO557" s="32" t="inlineStr">
        <is>
          <t>0005010-50.2013.8.24.0026</t>
        </is>
      </c>
      <c r="AP557" s="32" t="inlineStr">
        <is>
          <t>TJSC</t>
        </is>
      </c>
      <c r="AQ557" s="32" t="inlineStr">
        <is>
          <t>Falência</t>
        </is>
      </c>
      <c r="AR557" s="32" t="inlineStr">
        <is>
          <t>not in DataJud</t>
        </is>
      </c>
      <c r="AS557" s="32" t="n">
        <v>2013</v>
      </c>
      <c r="AT557" s="32" t="inlineStr">
        <is>
          <t>falência proceeding (list/name says falida)</t>
        </is>
      </c>
      <c r="AU557" s="32" t="inlineStr"/>
      <c r="AV557" s="32" t="inlineStr">
        <is>
          <t>printed on the list (read twice)</t>
        </is>
      </c>
      <c r="AW557" s="32" t="inlineStr"/>
      <c r="AX557" s="32" t="inlineStr">
        <is>
          <t>JOINVILLE</t>
        </is>
      </c>
      <c r="AY557" s="32" t="inlineStr">
        <is>
          <t>SC</t>
        </is>
      </c>
      <c r="AZ557" s="32" t="inlineStr">
        <is>
          <t>Tecelagem de fios de algodão</t>
        </is>
      </c>
      <c r="BA557" s="32" t="inlineStr">
        <is>
          <t>não ME/EPP</t>
        </is>
      </c>
      <c r="BB557" s="33" t="n">
        <v>320000000</v>
      </c>
      <c r="BC557" s="32" t="inlineStr">
        <is>
          <t>LARGE CORP</t>
        </is>
      </c>
      <c r="BD557" s="32" t="inlineStr">
        <is>
          <t>84683408</t>
        </is>
      </c>
      <c r="BE557" s="32" t="n">
        <v>1</v>
      </c>
      <c r="BF557" s="32" t="inlineStr">
        <is>
          <t>list prints no totals case no. corrected by reader</t>
        </is>
      </c>
    </row>
    <row r="558">
      <c r="A558" s="17" t="inlineStr">
        <is>
          <t>DISTRITO DE IRRIGACAO DO PERIMETRO SENADOR NILO COELHO</t>
        </is>
      </c>
      <c r="B558" s="18" t="n">
        <v>264882.79</v>
      </c>
      <c r="C558" s="19" t="inlineStr">
        <is>
          <t>COPA FRUIT IMPORTAÇÃO E EXPORTAÇÃO S.A</t>
        </is>
      </c>
      <c r="D558" s="20" t="inlineStr">
        <is>
          <t>NEW</t>
        </is>
      </c>
      <c r="E558" s="21" t="inlineStr"/>
      <c r="F558" s="20" t="inlineStr"/>
      <c r="G558" s="21" t="inlineStr"/>
      <c r="H558" s="20" t="inlineStr"/>
      <c r="I558" s="22" t="inlineStr">
        <is>
          <t>HIROTO YUKIHARA</t>
        </is>
      </c>
      <c r="J558" s="23" t="inlineStr">
        <is>
          <t>Presidente (RFB partner)</t>
        </is>
      </c>
      <c r="K558" s="22" t="inlineStr">
        <is>
          <t>(87) 3986-3565</t>
        </is>
      </c>
      <c r="L558" s="22" t="inlineStr"/>
      <c r="M558" s="22" t="inlineStr"/>
      <c r="N558" s="22" t="inlineStr"/>
      <c r="O558" s="22" t="inlineStr"/>
      <c r="P558" s="22" t="inlineStr">
        <is>
          <t>PAULO HENRIQUE PESSOA DE SALES</t>
        </is>
      </c>
      <c r="Q558" s="22" t="inlineStr">
        <is>
          <t>Administrador (RFB partner)</t>
        </is>
      </c>
      <c r="R558" s="22" t="inlineStr"/>
      <c r="S558" s="22" t="inlineStr"/>
      <c r="T558" s="22" t="inlineStr">
        <is>
          <t>DM = registered partner (RFB QSA); Apollo pick demoted to backup (non-finance role)</t>
        </is>
      </c>
      <c r="U558" s="24" t="n">
        <v>264882.79</v>
      </c>
      <c r="V558" s="40" t="inlineStr">
        <is>
          <t>D</t>
        </is>
      </c>
      <c r="W558" s="26" t="inlineStr"/>
      <c r="X558" s="27" t="inlineStr"/>
      <c r="Y558" s="27" t="inlineStr"/>
      <c r="Z558" s="26">
        <f>IF(W558&lt;&gt;"",W558,IFERROR(VLOOKUP(V558,Assumptions!$A$8:$F$12,2,FALSE),0))</f>
        <v/>
      </c>
      <c r="AA558" s="28">
        <f>IF(V558="A",MAX(1,IF(X558&lt;&gt;"",X558,IFERROR(VLOOKUP(V558,Assumptions!$A$8:$F$12,3,FALSE),3))+IF(Y558&lt;&gt;"",Y558,IFERROR(VLOOKUP(V558,Assumptions!$A$8:$F$12,4,FALSE),8))/2-MAX(0,IF(AS558="",0,YEAR(TODAY())-AS558)-IFERROR(VLOOKUP(V558,Assumptions!$A$8:$F$12,5,FALSE),1.5))),IFERROR(VLOOKUP(V558,Assumptions!$A$8:$F$12,5,FALSE),2.5)+IF(X558&lt;&gt;"",X558,IFERROR(VLOOKUP(V558,Assumptions!$A$8:$F$12,3,FALSE),3))+IF(Y558&lt;&gt;"",Y558,IFERROR(VLOOKUP(V558,Assumptions!$A$8:$F$12,4,FALSE),8))/2)</f>
        <v/>
      </c>
      <c r="AB558" s="24">
        <f>U558*Z558/(1+Assumptions!$B$3)^AA558</f>
        <v/>
      </c>
      <c r="AC558" s="27">
        <f>IF(U558=0,"",ROUND(AB558/U558*100,1))</f>
        <v/>
      </c>
      <c r="AD558" s="29">
        <f>AB558*Assumptions!$B$4</f>
        <v/>
      </c>
      <c r="AE558" s="27">
        <f>IF(U558=0,"",ROUND(AD558/U558*100,1))</f>
        <v/>
      </c>
      <c r="AF558" s="29">
        <f>AB558-AD558</f>
        <v/>
      </c>
      <c r="AG558" s="27">
        <f>IF(U558=0,"",ROUND((AB558-AD558)/U558*100,1))</f>
        <v/>
      </c>
      <c r="AH558" s="34" t="inlineStr">
        <is>
          <t>NO TOTALS — list prints none; check page</t>
        </is>
      </c>
      <c r="AI558" s="31" t="inlineStr">
        <is>
          <t>https://diligence.adm.br/wp-content/plugins/download-attachments/includes/download.php?id=4579</t>
        </is>
      </c>
      <c r="AJ558" s="30" t="inlineStr">
        <is>
          <t>p8 r5</t>
        </is>
      </c>
      <c r="AK558" s="30" t="inlineStr">
        <is>
          <t>p8: R$ 264.882,79</t>
        </is>
      </c>
      <c r="AL558" s="30" t="inlineStr">
        <is>
          <t>AJ list (art. 7 §2)</t>
        </is>
      </c>
      <c r="AM558" s="30" t="inlineStr">
        <is>
          <t>2024-06-11</t>
        </is>
      </c>
      <c r="AN558" s="30" t="inlineStr">
        <is>
          <t>NONE FOUND</t>
        </is>
      </c>
      <c r="AO558" s="32" t="inlineStr">
        <is>
          <t>0032731-52.2010.8.17.0001</t>
        </is>
      </c>
      <c r="AP558" s="32" t="inlineStr">
        <is>
          <t>TJPE</t>
        </is>
      </c>
      <c r="AQ558" s="32" t="inlineStr">
        <is>
          <t>Falência</t>
        </is>
      </c>
      <c r="AR558" s="32" t="inlineStr">
        <is>
          <t>not in DataJud</t>
        </is>
      </c>
      <c r="AS558" s="32" t="n">
        <v>2010</v>
      </c>
      <c r="AT558" s="32" t="inlineStr">
        <is>
          <t>falência proceeding (list/name says falida)</t>
        </is>
      </c>
      <c r="AU558" s="32" t="inlineStr">
        <is>
          <t>01.356.809/0001-13</t>
        </is>
      </c>
      <c r="AV558" s="32" t="inlineStr">
        <is>
          <t>printed on the list (read twice)</t>
        </is>
      </c>
      <c r="AW558" s="32" t="inlineStr"/>
      <c r="AX558" s="32" t="inlineStr">
        <is>
          <t>PETROLINA</t>
        </is>
      </c>
      <c r="AY558" s="32" t="inlineStr">
        <is>
          <t>PE</t>
        </is>
      </c>
      <c r="AZ558" s="32" t="inlineStr">
        <is>
          <t>Atividades de associações de defesa de direitos sociais</t>
        </is>
      </c>
      <c r="BA558" s="32" t="inlineStr">
        <is>
          <t>não ME/EPP</t>
        </is>
      </c>
      <c r="BB558" s="33" t="inlineStr"/>
      <c r="BC558" s="32" t="inlineStr">
        <is>
          <t>UNKNOWN</t>
        </is>
      </c>
      <c r="BD558" s="32" t="inlineStr">
        <is>
          <t>12656690</t>
        </is>
      </c>
      <c r="BE558" s="32" t="n">
        <v>1</v>
      </c>
      <c r="BF558" s="32" t="inlineStr">
        <is>
          <t>list prints no totals</t>
        </is>
      </c>
    </row>
    <row r="559">
      <c r="A559" s="17" t="inlineStr">
        <is>
          <t>MOMENTIVE PERFORMANCE MATERIALS INDUSTRIA DE SILICONES LTDA</t>
        </is>
      </c>
      <c r="B559" s="18" t="n">
        <v>262038.21</v>
      </c>
      <c r="C559" s="19" t="inlineStr">
        <is>
          <t>Mannes</t>
        </is>
      </c>
      <c r="D559" s="20" t="inlineStr">
        <is>
          <t>NEW</t>
        </is>
      </c>
      <c r="E559" s="21" t="inlineStr"/>
      <c r="F559" s="20" t="inlineStr"/>
      <c r="G559" s="21" t="inlineStr"/>
      <c r="H559" s="20" t="inlineStr"/>
      <c r="I559" s="22" t="inlineStr">
        <is>
          <t>Tania Trigo</t>
        </is>
      </c>
      <c r="J559" s="22" t="inlineStr">
        <is>
          <t>Finance Director</t>
        </is>
      </c>
      <c r="K559" s="22" t="inlineStr">
        <is>
          <t>(11) 5128-4222</t>
        </is>
      </c>
      <c r="L559" s="22" t="inlineStr"/>
      <c r="M559" s="22" t="inlineStr"/>
      <c r="N559" s="22" t="inlineStr"/>
      <c r="O559" s="22" t="inlineStr"/>
      <c r="P559" s="22" t="inlineStr">
        <is>
          <t>Leandro Souza</t>
        </is>
      </c>
      <c r="Q559" s="22" t="inlineStr">
        <is>
          <t>Americas Controller</t>
        </is>
      </c>
      <c r="R559" s="22" t="inlineStr"/>
      <c r="S559" s="22" t="inlineStr">
        <is>
          <t>leandro.souza@momentive.com</t>
        </is>
      </c>
      <c r="T559" s="22" t="inlineStr">
        <is>
          <t>DM: DM (email unavailable; Curitiba); Slice kw returned 0; used 'Momentive' + titles. VERIFY org: Momentive (global org, Brazil-based people); no work email in Apollo for DM; BACKUP: backup (verified email; ex Finance Country Leader Brazil)</t>
        </is>
      </c>
      <c r="U559" s="24" t="n">
        <v>262038.21</v>
      </c>
      <c r="V559" s="40" t="inlineStr">
        <is>
          <t>D</t>
        </is>
      </c>
      <c r="W559" s="26" t="inlineStr"/>
      <c r="X559" s="27" t="inlineStr"/>
      <c r="Y559" s="27" t="inlineStr"/>
      <c r="Z559" s="26">
        <f>IF(W559&lt;&gt;"",W559,IFERROR(VLOOKUP(V559,Assumptions!$A$8:$F$12,2,FALSE),0))</f>
        <v/>
      </c>
      <c r="AA559" s="28">
        <f>IF(V559="A",MAX(1,IF(X559&lt;&gt;"",X559,IFERROR(VLOOKUP(V559,Assumptions!$A$8:$F$12,3,FALSE),3))+IF(Y559&lt;&gt;"",Y559,IFERROR(VLOOKUP(V559,Assumptions!$A$8:$F$12,4,FALSE),8))/2-MAX(0,IF(AS559="",0,YEAR(TODAY())-AS559)-IFERROR(VLOOKUP(V559,Assumptions!$A$8:$F$12,5,FALSE),1.5))),IFERROR(VLOOKUP(V559,Assumptions!$A$8:$F$12,5,FALSE),2.5)+IF(X559&lt;&gt;"",X559,IFERROR(VLOOKUP(V559,Assumptions!$A$8:$F$12,3,FALSE),3))+IF(Y559&lt;&gt;"",Y559,IFERROR(VLOOKUP(V559,Assumptions!$A$8:$F$12,4,FALSE),8))/2)</f>
        <v/>
      </c>
      <c r="AB559" s="24">
        <f>U559*Z559/(1+Assumptions!$B$3)^AA559</f>
        <v/>
      </c>
      <c r="AC559" s="27">
        <f>IF(U559=0,"",ROUND(AB559/U559*100,1))</f>
        <v/>
      </c>
      <c r="AD559" s="29">
        <f>AB559*Assumptions!$B$4</f>
        <v/>
      </c>
      <c r="AE559" s="27">
        <f>IF(U559=0,"",ROUND(AD559/U559*100,1))</f>
        <v/>
      </c>
      <c r="AF559" s="29">
        <f>AB559-AD559</f>
        <v/>
      </c>
      <c r="AG559" s="27">
        <f>IF(U559=0,"",ROUND((AB559-AD559)/U559*100,1))</f>
        <v/>
      </c>
      <c r="AH559" s="36" t="inlineStr">
        <is>
          <t>CHECK — source is not a statutory creditor list</t>
        </is>
      </c>
      <c r="AI559" s="31" t="inlineStr">
        <is>
          <t>https://administradorajudicialgs.com.br/wp-content/uploads/2024/12/relacao-de-credores-da-falida.pdf</t>
        </is>
      </c>
      <c r="AJ559" s="30" t="inlineStr">
        <is>
          <t>p17 r2</t>
        </is>
      </c>
      <c r="AK559" s="30" t="inlineStr">
        <is>
          <t>p17: R$ 262.038,21</t>
        </is>
      </c>
      <c r="AL559" s="30" t="inlineStr">
        <is>
          <t>Other filing — NOT an art. 7/51 list</t>
        </is>
      </c>
      <c r="AM559" s="30" t="inlineStr">
        <is>
          <t>2025-03-25</t>
        </is>
      </c>
      <c r="AN559" s="30" t="inlineStr">
        <is>
          <t>NONE FOUND</t>
        </is>
      </c>
      <c r="AO559" s="32" t="inlineStr">
        <is>
          <t>0005010-50.2013.8.24.0026</t>
        </is>
      </c>
      <c r="AP559" s="32" t="inlineStr">
        <is>
          <t>TJSC</t>
        </is>
      </c>
      <c r="AQ559" s="32" t="inlineStr">
        <is>
          <t>Falência</t>
        </is>
      </c>
      <c r="AR559" s="32" t="inlineStr">
        <is>
          <t>not in DataJud</t>
        </is>
      </c>
      <c r="AS559" s="32" t="n">
        <v>2013</v>
      </c>
      <c r="AT559" s="32" t="inlineStr">
        <is>
          <t>falência proceeding (list/name says falida)</t>
        </is>
      </c>
      <c r="AU559" s="32" t="inlineStr"/>
      <c r="AV559" s="32" t="inlineStr">
        <is>
          <t>printed on the list (read twice)</t>
        </is>
      </c>
      <c r="AW559" s="32" t="inlineStr"/>
      <c r="AX559" s="32" t="inlineStr">
        <is>
          <t>ITATIBA</t>
        </is>
      </c>
      <c r="AY559" s="32" t="inlineStr">
        <is>
          <t>SP</t>
        </is>
      </c>
      <c r="AZ559" s="32" t="inlineStr">
        <is>
          <t>Fabricação de aditivos de uso industrial</t>
        </is>
      </c>
      <c r="BA559" s="32" t="inlineStr">
        <is>
          <t>não ME/EPP</t>
        </is>
      </c>
      <c r="BB559" s="33" t="n">
        <v>38387584</v>
      </c>
      <c r="BC559" s="32" t="inlineStr">
        <is>
          <t>MID-MARKET</t>
        </is>
      </c>
      <c r="BD559" s="32" t="inlineStr">
        <is>
          <t>05701847</t>
        </is>
      </c>
      <c r="BE559" s="32" t="n">
        <v>1</v>
      </c>
      <c r="BF559" s="32" t="inlineStr">
        <is>
          <t>list prints no totals case no. corrected by reader</t>
        </is>
      </c>
    </row>
    <row r="560">
      <c r="A560" s="17" t="inlineStr">
        <is>
          <t>PACKDUQUE INDUSTRIA DE PLASTICOS LTDA</t>
        </is>
      </c>
      <c r="B560" s="18" t="n">
        <v>258953.37</v>
      </c>
      <c r="C560" s="19" t="inlineStr">
        <is>
          <t>Mannes</t>
        </is>
      </c>
      <c r="D560" s="20" t="inlineStr">
        <is>
          <t>NEW</t>
        </is>
      </c>
      <c r="E560" s="21" t="inlineStr"/>
      <c r="F560" s="20" t="inlineStr"/>
      <c r="G560" s="21" t="inlineStr"/>
      <c r="H560" s="20" t="inlineStr"/>
      <c r="I560" s="22" t="inlineStr">
        <is>
          <t>PAUL ANDRE REITER</t>
        </is>
      </c>
      <c r="J560" s="23" t="inlineStr">
        <is>
          <t>Administrador (RFB partner)</t>
        </is>
      </c>
      <c r="K560" s="22" t="inlineStr">
        <is>
          <t>(11) 3881-7400</t>
        </is>
      </c>
      <c r="L560" s="22" t="inlineStr"/>
      <c r="M560" s="22" t="inlineStr"/>
      <c r="N560" s="22" t="inlineStr"/>
      <c r="O560" s="22" t="inlineStr"/>
      <c r="P560" s="22" t="inlineStr">
        <is>
          <t>THEO REITER</t>
        </is>
      </c>
      <c r="Q560" s="22" t="inlineStr">
        <is>
          <t>Administrador (RFB partner)</t>
        </is>
      </c>
      <c r="R560" s="22" t="inlineStr"/>
      <c r="S560" s="22" t="inlineStr"/>
      <c r="T560" s="22" t="inlineStr">
        <is>
          <t>DM = registered partner (RFB QSA); no Apollo match</t>
        </is>
      </c>
      <c r="U560" s="24" t="n">
        <v>258953.37</v>
      </c>
      <c r="V560" s="40" t="inlineStr">
        <is>
          <t>D</t>
        </is>
      </c>
      <c r="W560" s="26" t="inlineStr"/>
      <c r="X560" s="27" t="inlineStr"/>
      <c r="Y560" s="27" t="inlineStr"/>
      <c r="Z560" s="26">
        <f>IF(W560&lt;&gt;"",W560,IFERROR(VLOOKUP(V560,Assumptions!$A$8:$F$12,2,FALSE),0))</f>
        <v/>
      </c>
      <c r="AA560" s="28">
        <f>IF(V560="A",MAX(1,IF(X560&lt;&gt;"",X560,IFERROR(VLOOKUP(V560,Assumptions!$A$8:$F$12,3,FALSE),3))+IF(Y560&lt;&gt;"",Y560,IFERROR(VLOOKUP(V560,Assumptions!$A$8:$F$12,4,FALSE),8))/2-MAX(0,IF(AS560="",0,YEAR(TODAY())-AS560)-IFERROR(VLOOKUP(V560,Assumptions!$A$8:$F$12,5,FALSE),1.5))),IFERROR(VLOOKUP(V560,Assumptions!$A$8:$F$12,5,FALSE),2.5)+IF(X560&lt;&gt;"",X560,IFERROR(VLOOKUP(V560,Assumptions!$A$8:$F$12,3,FALSE),3))+IF(Y560&lt;&gt;"",Y560,IFERROR(VLOOKUP(V560,Assumptions!$A$8:$F$12,4,FALSE),8))/2)</f>
        <v/>
      </c>
      <c r="AB560" s="24">
        <f>U560*Z560/(1+Assumptions!$B$3)^AA560</f>
        <v/>
      </c>
      <c r="AC560" s="27">
        <f>IF(U560=0,"",ROUND(AB560/U560*100,1))</f>
        <v/>
      </c>
      <c r="AD560" s="29">
        <f>AB560*Assumptions!$B$4</f>
        <v/>
      </c>
      <c r="AE560" s="27">
        <f>IF(U560=0,"",ROUND(AD560/U560*100,1))</f>
        <v/>
      </c>
      <c r="AF560" s="29">
        <f>AB560-AD560</f>
        <v/>
      </c>
      <c r="AG560" s="27">
        <f>IF(U560=0,"",ROUND((AB560-AD560)/U560*100,1))</f>
        <v/>
      </c>
      <c r="AH560" s="36" t="inlineStr">
        <is>
          <t>CHECK — source is not a statutory creditor list</t>
        </is>
      </c>
      <c r="AI560" s="31" t="inlineStr">
        <is>
          <t>https://administradorajudicialgs.com.br/wp-content/uploads/2024/12/relacao-de-credores-da-falida.pdf</t>
        </is>
      </c>
      <c r="AJ560" s="30" t="inlineStr">
        <is>
          <t>p17 r30</t>
        </is>
      </c>
      <c r="AK560" s="30" t="inlineStr">
        <is>
          <t>p17: R$ 258.953,37</t>
        </is>
      </c>
      <c r="AL560" s="30" t="inlineStr">
        <is>
          <t>Other filing — NOT an art. 7/51 list</t>
        </is>
      </c>
      <c r="AM560" s="30" t="inlineStr">
        <is>
          <t>2025-03-25</t>
        </is>
      </c>
      <c r="AN560" s="30" t="inlineStr">
        <is>
          <t>NONE FOUND</t>
        </is>
      </c>
      <c r="AO560" s="32" t="inlineStr">
        <is>
          <t>0005010-50.2013.8.24.0026</t>
        </is>
      </c>
      <c r="AP560" s="32" t="inlineStr">
        <is>
          <t>TJSC</t>
        </is>
      </c>
      <c r="AQ560" s="32" t="inlineStr">
        <is>
          <t>Falência</t>
        </is>
      </c>
      <c r="AR560" s="32" t="inlineStr">
        <is>
          <t>not in DataJud</t>
        </is>
      </c>
      <c r="AS560" s="32" t="n">
        <v>2013</v>
      </c>
      <c r="AT560" s="32" t="inlineStr">
        <is>
          <t>falência proceeding (list/name says falida)</t>
        </is>
      </c>
      <c r="AU560" s="32" t="inlineStr"/>
      <c r="AV560" s="32" t="inlineStr">
        <is>
          <t>printed on the list (read twice)</t>
        </is>
      </c>
      <c r="AW560" s="32" t="inlineStr"/>
      <c r="AX560" s="32" t="inlineStr">
        <is>
          <t>VALINHOS</t>
        </is>
      </c>
      <c r="AY560" s="32" t="inlineStr">
        <is>
          <t>SP</t>
        </is>
      </c>
      <c r="AZ560" s="32" t="inlineStr">
        <is>
          <t>Preparação de documentos e serviços especializados de apoio administrativo não especificados anteriormente</t>
        </is>
      </c>
      <c r="BA560" s="32" t="inlineStr">
        <is>
          <t>não ME/EPP</t>
        </is>
      </c>
      <c r="BB560" s="33" t="n">
        <v>99000</v>
      </c>
      <c r="BC560" s="32" t="inlineStr">
        <is>
          <t>MID-MARKET</t>
        </is>
      </c>
      <c r="BD560" s="32" t="inlineStr">
        <is>
          <t>04214651</t>
        </is>
      </c>
      <c r="BE560" s="32" t="n">
        <v>1</v>
      </c>
      <c r="BF560" s="32" t="inlineStr">
        <is>
          <t>list prints no totals case no. corrected by reader</t>
        </is>
      </c>
    </row>
    <row r="561">
      <c r="A561" s="17" t="inlineStr">
        <is>
          <t>SOMAR INDUSTRIAL DE EMBALAGENS LTDA -</t>
        </is>
      </c>
      <c r="B561" s="18" t="n">
        <v>246969.59</v>
      </c>
      <c r="C561" s="19" t="inlineStr">
        <is>
          <t>Mannes</t>
        </is>
      </c>
      <c r="D561" s="20" t="inlineStr">
        <is>
          <t>NEW</t>
        </is>
      </c>
      <c r="E561" s="21" t="inlineStr"/>
      <c r="F561" s="20" t="inlineStr"/>
      <c r="G561" s="21" t="inlineStr"/>
      <c r="H561" s="20" t="inlineStr"/>
      <c r="I561" s="22" t="inlineStr">
        <is>
          <t>Soliane Pegoraro</t>
        </is>
      </c>
      <c r="J561" s="22" t="inlineStr">
        <is>
          <t>Financial Assistant</t>
        </is>
      </c>
      <c r="K561" s="22" t="inlineStr"/>
      <c r="L561" s="22" t="inlineStr"/>
      <c r="M561" s="22" t="inlineStr"/>
      <c r="N561" s="22" t="inlineStr"/>
      <c r="O561" s="22" t="inlineStr"/>
      <c r="P561" s="22" t="inlineStr">
        <is>
          <t>EDI GUZELLA</t>
        </is>
      </c>
      <c r="Q561" s="22" t="inlineStr">
        <is>
          <t>Sócio-Administrador (RFB partner)</t>
        </is>
      </c>
      <c r="R561" s="22" t="inlineStr"/>
      <c r="S561" s="22" t="inlineStr"/>
      <c r="T561" s="22" t="inlineStr">
        <is>
          <t>DM: DM email unavailable; no work email in Apollo for DM; NO ROUTE IN: no phone or email on file</t>
        </is>
      </c>
      <c r="U561" s="24" t="n">
        <v>246969.59</v>
      </c>
      <c r="V561" s="40" t="inlineStr">
        <is>
          <t>D</t>
        </is>
      </c>
      <c r="W561" s="26" t="inlineStr"/>
      <c r="X561" s="27" t="inlineStr"/>
      <c r="Y561" s="27" t="inlineStr"/>
      <c r="Z561" s="26">
        <f>IF(W561&lt;&gt;"",W561,IFERROR(VLOOKUP(V561,Assumptions!$A$8:$F$12,2,FALSE),0))</f>
        <v/>
      </c>
      <c r="AA561" s="28">
        <f>IF(V561="A",MAX(1,IF(X561&lt;&gt;"",X561,IFERROR(VLOOKUP(V561,Assumptions!$A$8:$F$12,3,FALSE),3))+IF(Y561&lt;&gt;"",Y561,IFERROR(VLOOKUP(V561,Assumptions!$A$8:$F$12,4,FALSE),8))/2-MAX(0,IF(AS561="",0,YEAR(TODAY())-AS561)-IFERROR(VLOOKUP(V561,Assumptions!$A$8:$F$12,5,FALSE),1.5))),IFERROR(VLOOKUP(V561,Assumptions!$A$8:$F$12,5,FALSE),2.5)+IF(X561&lt;&gt;"",X561,IFERROR(VLOOKUP(V561,Assumptions!$A$8:$F$12,3,FALSE),3))+IF(Y561&lt;&gt;"",Y561,IFERROR(VLOOKUP(V561,Assumptions!$A$8:$F$12,4,FALSE),8))/2)</f>
        <v/>
      </c>
      <c r="AB561" s="24">
        <f>U561*Z561/(1+Assumptions!$B$3)^AA561</f>
        <v/>
      </c>
      <c r="AC561" s="27">
        <f>IF(U561=0,"",ROUND(AB561/U561*100,1))</f>
        <v/>
      </c>
      <c r="AD561" s="29">
        <f>AB561*Assumptions!$B$4</f>
        <v/>
      </c>
      <c r="AE561" s="27">
        <f>IF(U561=0,"",ROUND(AD561/U561*100,1))</f>
        <v/>
      </c>
      <c r="AF561" s="29">
        <f>AB561-AD561</f>
        <v/>
      </c>
      <c r="AG561" s="27">
        <f>IF(U561=0,"",ROUND((AB561-AD561)/U561*100,1))</f>
        <v/>
      </c>
      <c r="AH561" s="36" t="inlineStr">
        <is>
          <t>CHECK — source is not a statutory creditor list</t>
        </is>
      </c>
      <c r="AI561" s="31" t="inlineStr">
        <is>
          <t>https://administradorajudicialgs.com.br/wp-content/uploads/2024/12/relacao-de-credores-da-falida.pdf</t>
        </is>
      </c>
      <c r="AJ561" s="30" t="inlineStr">
        <is>
          <t>p18 r39</t>
        </is>
      </c>
      <c r="AK561" s="30" t="inlineStr">
        <is>
          <t>p18: R$ 246.969,59</t>
        </is>
      </c>
      <c r="AL561" s="30" t="inlineStr">
        <is>
          <t>Other filing — NOT an art. 7/51 list</t>
        </is>
      </c>
      <c r="AM561" s="30" t="inlineStr">
        <is>
          <t>2025-03-25</t>
        </is>
      </c>
      <c r="AN561" s="30" t="inlineStr">
        <is>
          <t>NONE FOUND</t>
        </is>
      </c>
      <c r="AO561" s="32" t="inlineStr">
        <is>
          <t>0005010-50.2013.8.24.0026</t>
        </is>
      </c>
      <c r="AP561" s="32" t="inlineStr">
        <is>
          <t>TJSC</t>
        </is>
      </c>
      <c r="AQ561" s="32" t="inlineStr">
        <is>
          <t>Falência</t>
        </is>
      </c>
      <c r="AR561" s="32" t="inlineStr">
        <is>
          <t>not in DataJud</t>
        </is>
      </c>
      <c r="AS561" s="32" t="n">
        <v>2013</v>
      </c>
      <c r="AT561" s="32" t="inlineStr">
        <is>
          <t>falência proceeding (list/name says falida)</t>
        </is>
      </c>
      <c r="AU561" s="32" t="inlineStr"/>
      <c r="AV561" s="32" t="inlineStr">
        <is>
          <t>printed on the list (read twice)</t>
        </is>
      </c>
      <c r="AW561" s="32" t="inlineStr"/>
      <c r="AX561" s="32" t="inlineStr">
        <is>
          <t>CACADOR</t>
        </is>
      </c>
      <c r="AY561" s="32" t="inlineStr">
        <is>
          <t>SC</t>
        </is>
      </c>
      <c r="AZ561" s="32" t="inlineStr">
        <is>
          <t>Fabricação de embalagens de material plástico</t>
        </is>
      </c>
      <c r="BA561" s="32" t="inlineStr">
        <is>
          <t>não ME/EPP</t>
        </is>
      </c>
      <c r="BB561" s="33" t="n">
        <v>664007</v>
      </c>
      <c r="BC561" s="32" t="inlineStr">
        <is>
          <t>MID-MARKET</t>
        </is>
      </c>
      <c r="BD561" s="32" t="inlineStr">
        <is>
          <t>95758330</t>
        </is>
      </c>
      <c r="BE561" s="32" t="n">
        <v>1</v>
      </c>
      <c r="BF561" s="32" t="inlineStr">
        <is>
          <t>list prints no totals case no. corrected by reader no route in</t>
        </is>
      </c>
    </row>
    <row r="562">
      <c r="A562" s="17" t="inlineStr">
        <is>
          <t>LINHASITA INDUSTRIA DE LINHAS PARA COSER LTDA</t>
        </is>
      </c>
      <c r="B562" s="18" t="n">
        <v>218971.2</v>
      </c>
      <c r="C562" s="19" t="inlineStr">
        <is>
          <t>Mannes</t>
        </is>
      </c>
      <c r="D562" s="20" t="inlineStr">
        <is>
          <t>NEW</t>
        </is>
      </c>
      <c r="E562" s="21" t="inlineStr"/>
      <c r="F562" s="20" t="inlineStr"/>
      <c r="G562" s="21" t="inlineStr"/>
      <c r="H562" s="20" t="inlineStr"/>
      <c r="I562" s="22" t="inlineStr">
        <is>
          <t>Jessica Prezotto</t>
        </is>
      </c>
      <c r="J562" s="22" t="inlineStr">
        <is>
          <t>Financial Manager</t>
        </is>
      </c>
      <c r="K562" s="22" t="inlineStr">
        <is>
          <t>(11) 4487-6600</t>
        </is>
      </c>
      <c r="L562" s="22" t="inlineStr"/>
      <c r="M562" s="22" t="inlineStr"/>
      <c r="N562" s="22" t="inlineStr">
        <is>
          <t>jessica@linhasita.com.br</t>
        </is>
      </c>
      <c r="O562" s="22" t="inlineStr">
        <is>
          <t>verified</t>
        </is>
      </c>
      <c r="P562" s="22" t="inlineStr">
        <is>
          <t>Jaqueline Marreira</t>
        </is>
      </c>
      <c r="Q562" s="22" t="inlineStr">
        <is>
          <t>Financial Assistant</t>
        </is>
      </c>
      <c r="R562" s="22" t="inlineStr"/>
      <c r="S562" s="22" t="inlineStr">
        <is>
          <t>jaqueline@linhasita.com.br</t>
        </is>
      </c>
      <c r="T562" s="22" t="inlineStr">
        <is>
          <t>DM: DM verified email (catch-all domain); BACKUP: backup extrapolated email; backup email is pattern-guessed</t>
        </is>
      </c>
      <c r="U562" s="24" t="n">
        <v>218971.2</v>
      </c>
      <c r="V562" s="40" t="inlineStr">
        <is>
          <t>D</t>
        </is>
      </c>
      <c r="W562" s="26" t="inlineStr"/>
      <c r="X562" s="27" t="inlineStr"/>
      <c r="Y562" s="27" t="inlineStr"/>
      <c r="Z562" s="26">
        <f>IF(W562&lt;&gt;"",W562,IFERROR(VLOOKUP(V562,Assumptions!$A$8:$F$12,2,FALSE),0))</f>
        <v/>
      </c>
      <c r="AA562" s="28">
        <f>IF(V562="A",MAX(1,IF(X562&lt;&gt;"",X562,IFERROR(VLOOKUP(V562,Assumptions!$A$8:$F$12,3,FALSE),3))+IF(Y562&lt;&gt;"",Y562,IFERROR(VLOOKUP(V562,Assumptions!$A$8:$F$12,4,FALSE),8))/2-MAX(0,IF(AS562="",0,YEAR(TODAY())-AS562)-IFERROR(VLOOKUP(V562,Assumptions!$A$8:$F$12,5,FALSE),1.5))),IFERROR(VLOOKUP(V562,Assumptions!$A$8:$F$12,5,FALSE),2.5)+IF(X562&lt;&gt;"",X562,IFERROR(VLOOKUP(V562,Assumptions!$A$8:$F$12,3,FALSE),3))+IF(Y562&lt;&gt;"",Y562,IFERROR(VLOOKUP(V562,Assumptions!$A$8:$F$12,4,FALSE),8))/2)</f>
        <v/>
      </c>
      <c r="AB562" s="24">
        <f>U562*Z562/(1+Assumptions!$B$3)^AA562</f>
        <v/>
      </c>
      <c r="AC562" s="27">
        <f>IF(U562=0,"",ROUND(AB562/U562*100,1))</f>
        <v/>
      </c>
      <c r="AD562" s="29">
        <f>AB562*Assumptions!$B$4</f>
        <v/>
      </c>
      <c r="AE562" s="27">
        <f>IF(U562=0,"",ROUND(AD562/U562*100,1))</f>
        <v/>
      </c>
      <c r="AF562" s="29">
        <f>AB562-AD562</f>
        <v/>
      </c>
      <c r="AG562" s="27">
        <f>IF(U562=0,"",ROUND((AB562-AD562)/U562*100,1))</f>
        <v/>
      </c>
      <c r="AH562" s="36" t="inlineStr">
        <is>
          <t>CHECK — source is not a statutory creditor list</t>
        </is>
      </c>
      <c r="AI562" s="31" t="inlineStr">
        <is>
          <t>https://administradorajudicialgs.com.br/wp-content/uploads/2024/12/relacao-de-credores-da-falida.pdf</t>
        </is>
      </c>
      <c r="AJ562" s="30" t="inlineStr">
        <is>
          <t>p16 r15</t>
        </is>
      </c>
      <c r="AK562" s="30" t="inlineStr">
        <is>
          <t>p16: R$ 218.971,20</t>
        </is>
      </c>
      <c r="AL562" s="30" t="inlineStr">
        <is>
          <t>Other filing — NOT an art. 7/51 list</t>
        </is>
      </c>
      <c r="AM562" s="30" t="inlineStr">
        <is>
          <t>2025-03-25</t>
        </is>
      </c>
      <c r="AN562" s="30" t="inlineStr">
        <is>
          <t>NONE FOUND</t>
        </is>
      </c>
      <c r="AO562" s="32" t="inlineStr">
        <is>
          <t>0005010-50.2013.8.24.0026</t>
        </is>
      </c>
      <c r="AP562" s="32" t="inlineStr">
        <is>
          <t>TJSC</t>
        </is>
      </c>
      <c r="AQ562" s="32" t="inlineStr">
        <is>
          <t>Falência</t>
        </is>
      </c>
      <c r="AR562" s="32" t="inlineStr">
        <is>
          <t>not in DataJud</t>
        </is>
      </c>
      <c r="AS562" s="32" t="n">
        <v>2013</v>
      </c>
      <c r="AT562" s="32" t="inlineStr">
        <is>
          <t>falência proceeding (list/name says falida)</t>
        </is>
      </c>
      <c r="AU562" s="32" t="inlineStr"/>
      <c r="AV562" s="32" t="inlineStr">
        <is>
          <t>printed on the list (read twice)</t>
        </is>
      </c>
      <c r="AW562" s="32" t="inlineStr"/>
      <c r="AX562" s="32" t="inlineStr">
        <is>
          <t>ITATIBA</t>
        </is>
      </c>
      <c r="AY562" s="32" t="inlineStr">
        <is>
          <t>SP</t>
        </is>
      </c>
      <c r="AZ562" s="32" t="inlineStr">
        <is>
          <t>Fabricação de linhas para costurar e bordar</t>
        </is>
      </c>
      <c r="BA562" s="32" t="inlineStr">
        <is>
          <t>não ME/EPP</t>
        </is>
      </c>
      <c r="BB562" s="33" t="n">
        <v>3718622</v>
      </c>
      <c r="BC562" s="32" t="inlineStr">
        <is>
          <t>MID-MARKET</t>
        </is>
      </c>
      <c r="BD562" s="32" t="inlineStr">
        <is>
          <t>46645768</t>
        </is>
      </c>
      <c r="BE562" s="32" t="n">
        <v>1</v>
      </c>
      <c r="BF562" s="32" t="inlineStr">
        <is>
          <t>list prints no totals case no. corrected by reader</t>
        </is>
      </c>
    </row>
    <row r="563">
      <c r="A563" s="17" t="inlineStr">
        <is>
          <t>LAMINADOS PROGRESSO LTDA</t>
        </is>
      </c>
      <c r="B563" s="18" t="n">
        <v>203412.12</v>
      </c>
      <c r="C563" s="19" t="inlineStr">
        <is>
          <t>Mannes</t>
        </is>
      </c>
      <c r="D563" s="20" t="inlineStr">
        <is>
          <t>NEW</t>
        </is>
      </c>
      <c r="E563" s="21" t="inlineStr"/>
      <c r="F563" s="20" t="inlineStr"/>
      <c r="G563" s="21" t="inlineStr"/>
      <c r="H563" s="20" t="inlineStr"/>
      <c r="I563" s="22" t="inlineStr">
        <is>
          <t>JOAO CESAR BOBATO</t>
        </is>
      </c>
      <c r="J563" s="23" t="inlineStr">
        <is>
          <t>Sócio-Administrador (RFB partner)</t>
        </is>
      </c>
      <c r="K563" s="22" t="inlineStr"/>
      <c r="L563" s="22" t="inlineStr"/>
      <c r="M563" s="22" t="inlineStr"/>
      <c r="N563" s="22" t="inlineStr"/>
      <c r="O563" s="22" t="inlineStr"/>
      <c r="P563" s="22" t="inlineStr"/>
      <c r="Q563" s="22" t="inlineStr"/>
      <c r="R563" s="22" t="inlineStr"/>
      <c r="S563" s="22" t="inlineStr"/>
      <c r="T563" s="22" t="inlineStr">
        <is>
          <t>DM = registered partner (RFB QSA); no Apollo match; NO ROUTE IN: no phone or email on file</t>
        </is>
      </c>
      <c r="U563" s="24" t="n">
        <v>203412.12</v>
      </c>
      <c r="V563" s="40" t="inlineStr">
        <is>
          <t>D</t>
        </is>
      </c>
      <c r="W563" s="26" t="inlineStr"/>
      <c r="X563" s="27" t="inlineStr"/>
      <c r="Y563" s="27" t="inlineStr"/>
      <c r="Z563" s="26">
        <f>IF(W563&lt;&gt;"",W563,IFERROR(VLOOKUP(V563,Assumptions!$A$8:$F$12,2,FALSE),0))</f>
        <v/>
      </c>
      <c r="AA563" s="28">
        <f>IF(V563="A",MAX(1,IF(X563&lt;&gt;"",X563,IFERROR(VLOOKUP(V563,Assumptions!$A$8:$F$12,3,FALSE),3))+IF(Y563&lt;&gt;"",Y563,IFERROR(VLOOKUP(V563,Assumptions!$A$8:$F$12,4,FALSE),8))/2-MAX(0,IF(AS563="",0,YEAR(TODAY())-AS563)-IFERROR(VLOOKUP(V563,Assumptions!$A$8:$F$12,5,FALSE),1.5))),IFERROR(VLOOKUP(V563,Assumptions!$A$8:$F$12,5,FALSE),2.5)+IF(X563&lt;&gt;"",X563,IFERROR(VLOOKUP(V563,Assumptions!$A$8:$F$12,3,FALSE),3))+IF(Y563&lt;&gt;"",Y563,IFERROR(VLOOKUP(V563,Assumptions!$A$8:$F$12,4,FALSE),8))/2)</f>
        <v/>
      </c>
      <c r="AB563" s="24">
        <f>U563*Z563/(1+Assumptions!$B$3)^AA563</f>
        <v/>
      </c>
      <c r="AC563" s="27">
        <f>IF(U563=0,"",ROUND(AB563/U563*100,1))</f>
        <v/>
      </c>
      <c r="AD563" s="29">
        <f>AB563*Assumptions!$B$4</f>
        <v/>
      </c>
      <c r="AE563" s="27">
        <f>IF(U563=0,"",ROUND(AD563/U563*100,1))</f>
        <v/>
      </c>
      <c r="AF563" s="29">
        <f>AB563-AD563</f>
        <v/>
      </c>
      <c r="AG563" s="27">
        <f>IF(U563=0,"",ROUND((AB563-AD563)/U563*100,1))</f>
        <v/>
      </c>
      <c r="AH563" s="36" t="inlineStr">
        <is>
          <t>CHECK — source is not a statutory creditor list</t>
        </is>
      </c>
      <c r="AI563" s="31" t="inlineStr">
        <is>
          <t>https://administradorajudicialgs.com.br/wp-content/uploads/2024/12/relacao-de-credores-da-falida.pdf</t>
        </is>
      </c>
      <c r="AJ563" s="30" t="inlineStr">
        <is>
          <t>p16 r5</t>
        </is>
      </c>
      <c r="AK563" s="30" t="inlineStr">
        <is>
          <t>p16: R$ 203.412,12</t>
        </is>
      </c>
      <c r="AL563" s="30" t="inlineStr">
        <is>
          <t>Other filing — NOT an art. 7/51 list</t>
        </is>
      </c>
      <c r="AM563" s="30" t="inlineStr">
        <is>
          <t>2025-03-25</t>
        </is>
      </c>
      <c r="AN563" s="30" t="inlineStr">
        <is>
          <t>NONE FOUND</t>
        </is>
      </c>
      <c r="AO563" s="32" t="inlineStr">
        <is>
          <t>0005010-50.2013.8.24.0026</t>
        </is>
      </c>
      <c r="AP563" s="32" t="inlineStr">
        <is>
          <t>TJSC</t>
        </is>
      </c>
      <c r="AQ563" s="32" t="inlineStr">
        <is>
          <t>Falência</t>
        </is>
      </c>
      <c r="AR563" s="32" t="inlineStr">
        <is>
          <t>not in DataJud</t>
        </is>
      </c>
      <c r="AS563" s="32" t="n">
        <v>2013</v>
      </c>
      <c r="AT563" s="32" t="inlineStr">
        <is>
          <t>falência proceeding (list/name says falida)</t>
        </is>
      </c>
      <c r="AU563" s="32" t="inlineStr"/>
      <c r="AV563" s="32" t="inlineStr">
        <is>
          <t>printed on the list (read twice)</t>
        </is>
      </c>
      <c r="AW563" s="32" t="inlineStr"/>
      <c r="AX563" s="32" t="inlineStr">
        <is>
          <t>IMBITUVA</t>
        </is>
      </c>
      <c r="AY563" s="32" t="inlineStr">
        <is>
          <t>PR</t>
        </is>
      </c>
      <c r="AZ563" s="32" t="inlineStr">
        <is>
          <t>Fabricação de madeira laminada e de chapas de madeira compensada, prensada e aglomerada</t>
        </is>
      </c>
      <c r="BA563" s="32" t="inlineStr">
        <is>
          <t>EMPRESA DE PEQUENO PORTE</t>
        </is>
      </c>
      <c r="BB563" s="33" t="n">
        <v>100000</v>
      </c>
      <c r="BC563" s="32" t="inlineStr">
        <is>
          <t>SMALL</t>
        </is>
      </c>
      <c r="BD563" s="32" t="inlineStr">
        <is>
          <t>86765971</t>
        </is>
      </c>
      <c r="BE563" s="32" t="n">
        <v>1</v>
      </c>
      <c r="BF563" s="32" t="inlineStr">
        <is>
          <t>list prints no totals case no. corrected by reader no route in</t>
        </is>
      </c>
    </row>
  </sheetData>
  <autoFilter ref="A1:BF563"/>
  <conditionalFormatting sqref="D2:D563">
    <cfRule type="cellIs" priority="1" operator="equal" dxfId="0">
      <formula>"SETTLED"</formula>
    </cfRule>
    <cfRule type="cellIs" priority="2" operator="equal" dxfId="0">
      <formula>"CESSÃO SIGNED"</formula>
    </cfRule>
    <cfRule type="cellIs" priority="3" operator="equal" dxfId="0">
      <formula>"SUBSTITUTED IN LIST"</formula>
    </cfRule>
    <cfRule type="cellIs" priority="4" operator="equal" dxfId="1">
      <formula>"TERMS AGREED"</formula>
    </cfRule>
    <cfRule type="cellIs" priority="5" operator="equal" dxfId="1">
      <formula>"INTERESTED"</formula>
    </cfRule>
    <cfRule type="cellIs" priority="6" operator="equal" dxfId="2">
      <formula>"DEAD"</formula>
    </cfRule>
    <cfRule type="cellIs" priority="7" operator="equal" dxfId="2">
      <formula>"NOT INTERESTED"</formula>
    </cfRule>
  </conditionalFormatting>
  <conditionalFormatting sqref="G2:G563">
    <cfRule type="expression" priority="8" dxfId="2">
      <formula>AND(G2&lt;&gt;"",G2&lt;TODAY(),D2&lt;&gt;"DEAD",D2&lt;&gt;"SETTLED")</formula>
    </cfRule>
    <cfRule type="expression" priority="9" dxfId="3">
      <formula>G2=TODAY()</formula>
    </cfRule>
  </conditionalFormatting>
  <dataValidations count="2">
    <dataValidation sqref="D2:D563" showDropDown="0" showInputMessage="0" showErrorMessage="1" allowBlank="1" error="Pick a status from the list" type="list" errorStyle="stop">
      <formula1>"NEW,QUEUED,EMAILED,CALLED,VOICEMAIL,CONNECTED,INTERESTED,NOT INTERESTED,CALL BACK,DEAD,TERMS AGREED,CESSÃO SIGNED,SUBSTITUTED IN LIST,SETTLED"</formula1>
    </dataValidation>
    <dataValidation sqref="V2:V563" showDropDown="0" showInputMessage="0" showErrorMessage="1" allowBlank="1" error="Band must be A, B, C, D or U" type="list" errorStyle="stop">
      <formula1>"A,B,C,D,U"</formula1>
    </dataValidation>
  </dataValidations>
  <hyperlinks>
    <hyperlink xmlns:r="http://schemas.openxmlformats.org/officeDocument/2006/relationships" ref="AI2" r:id="rId1"/>
    <hyperlink xmlns:r="http://schemas.openxmlformats.org/officeDocument/2006/relationships" ref="AI3" r:id="rId2"/>
    <hyperlink xmlns:r="http://schemas.openxmlformats.org/officeDocument/2006/relationships" ref="AI4" r:id="rId3"/>
    <hyperlink xmlns:r="http://schemas.openxmlformats.org/officeDocument/2006/relationships" ref="AI5" r:id="rId4"/>
    <hyperlink xmlns:r="http://schemas.openxmlformats.org/officeDocument/2006/relationships" ref="AI6" r:id="rId5"/>
    <hyperlink xmlns:r="http://schemas.openxmlformats.org/officeDocument/2006/relationships" ref="AI7" r:id="rId6"/>
    <hyperlink xmlns:r="http://schemas.openxmlformats.org/officeDocument/2006/relationships" ref="AI8" r:id="rId7"/>
    <hyperlink xmlns:r="http://schemas.openxmlformats.org/officeDocument/2006/relationships" ref="AI9" r:id="rId8"/>
    <hyperlink xmlns:r="http://schemas.openxmlformats.org/officeDocument/2006/relationships" ref="AI10" r:id="rId9"/>
    <hyperlink xmlns:r="http://schemas.openxmlformats.org/officeDocument/2006/relationships" ref="AI11" r:id="rId10"/>
    <hyperlink xmlns:r="http://schemas.openxmlformats.org/officeDocument/2006/relationships" ref="AI12" r:id="rId11"/>
    <hyperlink xmlns:r="http://schemas.openxmlformats.org/officeDocument/2006/relationships" ref="AI13" r:id="rId12"/>
    <hyperlink xmlns:r="http://schemas.openxmlformats.org/officeDocument/2006/relationships" ref="AI14" r:id="rId13"/>
    <hyperlink xmlns:r="http://schemas.openxmlformats.org/officeDocument/2006/relationships" ref="AI15" r:id="rId14"/>
    <hyperlink xmlns:r="http://schemas.openxmlformats.org/officeDocument/2006/relationships" ref="AI16" r:id="rId15"/>
    <hyperlink xmlns:r="http://schemas.openxmlformats.org/officeDocument/2006/relationships" ref="AI17" r:id="rId16"/>
    <hyperlink xmlns:r="http://schemas.openxmlformats.org/officeDocument/2006/relationships" ref="AI18" r:id="rId17"/>
    <hyperlink xmlns:r="http://schemas.openxmlformats.org/officeDocument/2006/relationships" ref="AI19" r:id="rId18"/>
    <hyperlink xmlns:r="http://schemas.openxmlformats.org/officeDocument/2006/relationships" ref="AI20" r:id="rId19"/>
    <hyperlink xmlns:r="http://schemas.openxmlformats.org/officeDocument/2006/relationships" ref="AI21" r:id="rId20"/>
    <hyperlink xmlns:r="http://schemas.openxmlformats.org/officeDocument/2006/relationships" ref="AI22" r:id="rId21"/>
    <hyperlink xmlns:r="http://schemas.openxmlformats.org/officeDocument/2006/relationships" ref="AI23" r:id="rId22"/>
    <hyperlink xmlns:r="http://schemas.openxmlformats.org/officeDocument/2006/relationships" ref="AI24" r:id="rId23"/>
    <hyperlink xmlns:r="http://schemas.openxmlformats.org/officeDocument/2006/relationships" ref="AI25" r:id="rId24"/>
    <hyperlink xmlns:r="http://schemas.openxmlformats.org/officeDocument/2006/relationships" ref="AI26" r:id="rId25"/>
    <hyperlink xmlns:r="http://schemas.openxmlformats.org/officeDocument/2006/relationships" ref="AI27" r:id="rId26"/>
    <hyperlink xmlns:r="http://schemas.openxmlformats.org/officeDocument/2006/relationships" ref="AI28" r:id="rId27"/>
    <hyperlink xmlns:r="http://schemas.openxmlformats.org/officeDocument/2006/relationships" ref="AI29" r:id="rId28"/>
    <hyperlink xmlns:r="http://schemas.openxmlformats.org/officeDocument/2006/relationships" ref="AI30" r:id="rId29"/>
    <hyperlink xmlns:r="http://schemas.openxmlformats.org/officeDocument/2006/relationships" ref="AI31" r:id="rId30"/>
    <hyperlink xmlns:r="http://schemas.openxmlformats.org/officeDocument/2006/relationships" ref="AI32" r:id="rId31"/>
    <hyperlink xmlns:r="http://schemas.openxmlformats.org/officeDocument/2006/relationships" ref="AI33" r:id="rId32"/>
    <hyperlink xmlns:r="http://schemas.openxmlformats.org/officeDocument/2006/relationships" ref="AI34" r:id="rId33"/>
    <hyperlink xmlns:r="http://schemas.openxmlformats.org/officeDocument/2006/relationships" ref="AI35" r:id="rId34"/>
    <hyperlink xmlns:r="http://schemas.openxmlformats.org/officeDocument/2006/relationships" ref="AI36" r:id="rId35"/>
    <hyperlink xmlns:r="http://schemas.openxmlformats.org/officeDocument/2006/relationships" ref="AI37" r:id="rId36"/>
    <hyperlink xmlns:r="http://schemas.openxmlformats.org/officeDocument/2006/relationships" ref="AI38" r:id="rId37"/>
    <hyperlink xmlns:r="http://schemas.openxmlformats.org/officeDocument/2006/relationships" ref="AI39" r:id="rId38"/>
    <hyperlink xmlns:r="http://schemas.openxmlformats.org/officeDocument/2006/relationships" ref="AI40" r:id="rId39"/>
    <hyperlink xmlns:r="http://schemas.openxmlformats.org/officeDocument/2006/relationships" ref="AI41" r:id="rId40"/>
    <hyperlink xmlns:r="http://schemas.openxmlformats.org/officeDocument/2006/relationships" ref="AI42" r:id="rId41"/>
    <hyperlink xmlns:r="http://schemas.openxmlformats.org/officeDocument/2006/relationships" ref="AI43" r:id="rId42"/>
    <hyperlink xmlns:r="http://schemas.openxmlformats.org/officeDocument/2006/relationships" ref="AI44" r:id="rId43"/>
    <hyperlink xmlns:r="http://schemas.openxmlformats.org/officeDocument/2006/relationships" ref="AI45" r:id="rId44"/>
    <hyperlink xmlns:r="http://schemas.openxmlformats.org/officeDocument/2006/relationships" ref="AI46" r:id="rId45"/>
    <hyperlink xmlns:r="http://schemas.openxmlformats.org/officeDocument/2006/relationships" ref="AI47" r:id="rId46"/>
    <hyperlink xmlns:r="http://schemas.openxmlformats.org/officeDocument/2006/relationships" ref="AI48" r:id="rId47"/>
    <hyperlink xmlns:r="http://schemas.openxmlformats.org/officeDocument/2006/relationships" ref="AI49" r:id="rId48"/>
    <hyperlink xmlns:r="http://schemas.openxmlformats.org/officeDocument/2006/relationships" ref="AI50" r:id="rId49"/>
    <hyperlink xmlns:r="http://schemas.openxmlformats.org/officeDocument/2006/relationships" ref="AI51" r:id="rId50"/>
    <hyperlink xmlns:r="http://schemas.openxmlformats.org/officeDocument/2006/relationships" ref="AI52" r:id="rId51"/>
    <hyperlink xmlns:r="http://schemas.openxmlformats.org/officeDocument/2006/relationships" ref="AI53" r:id="rId52"/>
    <hyperlink xmlns:r="http://schemas.openxmlformats.org/officeDocument/2006/relationships" ref="AI54" r:id="rId53"/>
    <hyperlink xmlns:r="http://schemas.openxmlformats.org/officeDocument/2006/relationships" ref="AI55" r:id="rId54"/>
    <hyperlink xmlns:r="http://schemas.openxmlformats.org/officeDocument/2006/relationships" ref="AI56" r:id="rId55"/>
    <hyperlink xmlns:r="http://schemas.openxmlformats.org/officeDocument/2006/relationships" ref="AI57" r:id="rId56"/>
    <hyperlink xmlns:r="http://schemas.openxmlformats.org/officeDocument/2006/relationships" ref="AI58" r:id="rId57"/>
    <hyperlink xmlns:r="http://schemas.openxmlformats.org/officeDocument/2006/relationships" ref="AI59" r:id="rId58"/>
    <hyperlink xmlns:r="http://schemas.openxmlformats.org/officeDocument/2006/relationships" ref="AI60" r:id="rId59"/>
    <hyperlink xmlns:r="http://schemas.openxmlformats.org/officeDocument/2006/relationships" ref="AI61" r:id="rId60"/>
    <hyperlink xmlns:r="http://schemas.openxmlformats.org/officeDocument/2006/relationships" ref="AI62" r:id="rId61"/>
    <hyperlink xmlns:r="http://schemas.openxmlformats.org/officeDocument/2006/relationships" ref="AI63" r:id="rId62"/>
    <hyperlink xmlns:r="http://schemas.openxmlformats.org/officeDocument/2006/relationships" ref="AI64" r:id="rId63"/>
    <hyperlink xmlns:r="http://schemas.openxmlformats.org/officeDocument/2006/relationships" ref="AI65" r:id="rId64"/>
    <hyperlink xmlns:r="http://schemas.openxmlformats.org/officeDocument/2006/relationships" ref="AI66" r:id="rId65"/>
    <hyperlink xmlns:r="http://schemas.openxmlformats.org/officeDocument/2006/relationships" ref="AI67" r:id="rId66"/>
    <hyperlink xmlns:r="http://schemas.openxmlformats.org/officeDocument/2006/relationships" ref="AI68" r:id="rId67"/>
    <hyperlink xmlns:r="http://schemas.openxmlformats.org/officeDocument/2006/relationships" ref="AI69" r:id="rId68"/>
    <hyperlink xmlns:r="http://schemas.openxmlformats.org/officeDocument/2006/relationships" ref="AI70" r:id="rId69"/>
    <hyperlink xmlns:r="http://schemas.openxmlformats.org/officeDocument/2006/relationships" ref="AI71" r:id="rId70"/>
    <hyperlink xmlns:r="http://schemas.openxmlformats.org/officeDocument/2006/relationships" ref="AI72" r:id="rId71"/>
    <hyperlink xmlns:r="http://schemas.openxmlformats.org/officeDocument/2006/relationships" ref="AI73" r:id="rId72"/>
    <hyperlink xmlns:r="http://schemas.openxmlformats.org/officeDocument/2006/relationships" ref="AI74" r:id="rId73"/>
    <hyperlink xmlns:r="http://schemas.openxmlformats.org/officeDocument/2006/relationships" ref="AI75" r:id="rId74"/>
    <hyperlink xmlns:r="http://schemas.openxmlformats.org/officeDocument/2006/relationships" ref="AI76" r:id="rId75"/>
    <hyperlink xmlns:r="http://schemas.openxmlformats.org/officeDocument/2006/relationships" ref="AI77" r:id="rId76"/>
    <hyperlink xmlns:r="http://schemas.openxmlformats.org/officeDocument/2006/relationships" ref="AI78" r:id="rId77"/>
    <hyperlink xmlns:r="http://schemas.openxmlformats.org/officeDocument/2006/relationships" ref="AI79" r:id="rId78"/>
    <hyperlink xmlns:r="http://schemas.openxmlformats.org/officeDocument/2006/relationships" ref="AI80" r:id="rId79"/>
    <hyperlink xmlns:r="http://schemas.openxmlformats.org/officeDocument/2006/relationships" ref="AI81" r:id="rId80"/>
    <hyperlink xmlns:r="http://schemas.openxmlformats.org/officeDocument/2006/relationships" ref="AI82" r:id="rId81"/>
    <hyperlink xmlns:r="http://schemas.openxmlformats.org/officeDocument/2006/relationships" ref="AI83" r:id="rId82"/>
    <hyperlink xmlns:r="http://schemas.openxmlformats.org/officeDocument/2006/relationships" ref="AI84" r:id="rId83"/>
    <hyperlink xmlns:r="http://schemas.openxmlformats.org/officeDocument/2006/relationships" ref="AI85" r:id="rId84"/>
    <hyperlink xmlns:r="http://schemas.openxmlformats.org/officeDocument/2006/relationships" ref="AI86" r:id="rId85"/>
    <hyperlink xmlns:r="http://schemas.openxmlformats.org/officeDocument/2006/relationships" ref="AI87" r:id="rId86"/>
    <hyperlink xmlns:r="http://schemas.openxmlformats.org/officeDocument/2006/relationships" ref="AI88" r:id="rId87"/>
    <hyperlink xmlns:r="http://schemas.openxmlformats.org/officeDocument/2006/relationships" ref="AI89" r:id="rId88"/>
    <hyperlink xmlns:r="http://schemas.openxmlformats.org/officeDocument/2006/relationships" ref="AI90" r:id="rId89"/>
    <hyperlink xmlns:r="http://schemas.openxmlformats.org/officeDocument/2006/relationships" ref="AI91" r:id="rId90"/>
    <hyperlink xmlns:r="http://schemas.openxmlformats.org/officeDocument/2006/relationships" ref="AI92" r:id="rId91"/>
    <hyperlink xmlns:r="http://schemas.openxmlformats.org/officeDocument/2006/relationships" ref="AI93" r:id="rId92"/>
    <hyperlink xmlns:r="http://schemas.openxmlformats.org/officeDocument/2006/relationships" ref="AI94" r:id="rId93"/>
    <hyperlink xmlns:r="http://schemas.openxmlformats.org/officeDocument/2006/relationships" ref="AI95" r:id="rId94"/>
    <hyperlink xmlns:r="http://schemas.openxmlformats.org/officeDocument/2006/relationships" ref="AI96" r:id="rId95"/>
    <hyperlink xmlns:r="http://schemas.openxmlformats.org/officeDocument/2006/relationships" ref="AI97" r:id="rId96"/>
    <hyperlink xmlns:r="http://schemas.openxmlformats.org/officeDocument/2006/relationships" ref="AI98" r:id="rId97"/>
    <hyperlink xmlns:r="http://schemas.openxmlformats.org/officeDocument/2006/relationships" ref="AI99" r:id="rId98"/>
    <hyperlink xmlns:r="http://schemas.openxmlformats.org/officeDocument/2006/relationships" ref="AI100" r:id="rId99"/>
    <hyperlink xmlns:r="http://schemas.openxmlformats.org/officeDocument/2006/relationships" ref="AI101" r:id="rId100"/>
    <hyperlink xmlns:r="http://schemas.openxmlformats.org/officeDocument/2006/relationships" ref="AI102" r:id="rId101"/>
    <hyperlink xmlns:r="http://schemas.openxmlformats.org/officeDocument/2006/relationships" ref="AI103" r:id="rId102"/>
    <hyperlink xmlns:r="http://schemas.openxmlformats.org/officeDocument/2006/relationships" ref="AI104" r:id="rId103"/>
    <hyperlink xmlns:r="http://schemas.openxmlformats.org/officeDocument/2006/relationships" ref="AI105" r:id="rId104"/>
    <hyperlink xmlns:r="http://schemas.openxmlformats.org/officeDocument/2006/relationships" ref="AI106" r:id="rId105"/>
    <hyperlink xmlns:r="http://schemas.openxmlformats.org/officeDocument/2006/relationships" ref="AI107" r:id="rId106"/>
    <hyperlink xmlns:r="http://schemas.openxmlformats.org/officeDocument/2006/relationships" ref="AI108" r:id="rId107"/>
    <hyperlink xmlns:r="http://schemas.openxmlformats.org/officeDocument/2006/relationships" ref="AI109" r:id="rId108"/>
    <hyperlink xmlns:r="http://schemas.openxmlformats.org/officeDocument/2006/relationships" ref="AI110" r:id="rId109"/>
    <hyperlink xmlns:r="http://schemas.openxmlformats.org/officeDocument/2006/relationships" ref="AI111" r:id="rId110"/>
    <hyperlink xmlns:r="http://schemas.openxmlformats.org/officeDocument/2006/relationships" ref="AI112" r:id="rId111"/>
    <hyperlink xmlns:r="http://schemas.openxmlformats.org/officeDocument/2006/relationships" ref="AI113" r:id="rId112"/>
    <hyperlink xmlns:r="http://schemas.openxmlformats.org/officeDocument/2006/relationships" ref="AI114" r:id="rId113"/>
    <hyperlink xmlns:r="http://schemas.openxmlformats.org/officeDocument/2006/relationships" ref="AI115" r:id="rId114"/>
    <hyperlink xmlns:r="http://schemas.openxmlformats.org/officeDocument/2006/relationships" ref="AI116" r:id="rId115"/>
    <hyperlink xmlns:r="http://schemas.openxmlformats.org/officeDocument/2006/relationships" ref="AI117" r:id="rId116"/>
    <hyperlink xmlns:r="http://schemas.openxmlformats.org/officeDocument/2006/relationships" ref="AI118" r:id="rId117"/>
    <hyperlink xmlns:r="http://schemas.openxmlformats.org/officeDocument/2006/relationships" ref="AI119" r:id="rId118"/>
    <hyperlink xmlns:r="http://schemas.openxmlformats.org/officeDocument/2006/relationships" ref="AI120" r:id="rId119"/>
    <hyperlink xmlns:r="http://schemas.openxmlformats.org/officeDocument/2006/relationships" ref="AI121" r:id="rId120"/>
    <hyperlink xmlns:r="http://schemas.openxmlformats.org/officeDocument/2006/relationships" ref="AI122" r:id="rId121"/>
    <hyperlink xmlns:r="http://schemas.openxmlformats.org/officeDocument/2006/relationships" ref="AI123" r:id="rId122"/>
    <hyperlink xmlns:r="http://schemas.openxmlformats.org/officeDocument/2006/relationships" ref="AI124" r:id="rId123"/>
    <hyperlink xmlns:r="http://schemas.openxmlformats.org/officeDocument/2006/relationships" ref="AI125" r:id="rId124"/>
    <hyperlink xmlns:r="http://schemas.openxmlformats.org/officeDocument/2006/relationships" ref="AI126" r:id="rId125"/>
    <hyperlink xmlns:r="http://schemas.openxmlformats.org/officeDocument/2006/relationships" ref="AI127" r:id="rId126"/>
    <hyperlink xmlns:r="http://schemas.openxmlformats.org/officeDocument/2006/relationships" ref="AI128" r:id="rId127"/>
    <hyperlink xmlns:r="http://schemas.openxmlformats.org/officeDocument/2006/relationships" ref="AI129" r:id="rId128"/>
    <hyperlink xmlns:r="http://schemas.openxmlformats.org/officeDocument/2006/relationships" ref="AI130" r:id="rId129"/>
    <hyperlink xmlns:r="http://schemas.openxmlformats.org/officeDocument/2006/relationships" ref="AI131" r:id="rId130"/>
    <hyperlink xmlns:r="http://schemas.openxmlformats.org/officeDocument/2006/relationships" ref="AI132" r:id="rId131"/>
    <hyperlink xmlns:r="http://schemas.openxmlformats.org/officeDocument/2006/relationships" ref="AI133" r:id="rId132"/>
    <hyperlink xmlns:r="http://schemas.openxmlformats.org/officeDocument/2006/relationships" ref="AI134" r:id="rId133"/>
    <hyperlink xmlns:r="http://schemas.openxmlformats.org/officeDocument/2006/relationships" ref="AI135" r:id="rId134"/>
    <hyperlink xmlns:r="http://schemas.openxmlformats.org/officeDocument/2006/relationships" ref="AI136" r:id="rId135"/>
    <hyperlink xmlns:r="http://schemas.openxmlformats.org/officeDocument/2006/relationships" ref="AI137" r:id="rId136"/>
    <hyperlink xmlns:r="http://schemas.openxmlformats.org/officeDocument/2006/relationships" ref="AI138" r:id="rId137"/>
    <hyperlink xmlns:r="http://schemas.openxmlformats.org/officeDocument/2006/relationships" ref="AI139" r:id="rId138"/>
    <hyperlink xmlns:r="http://schemas.openxmlformats.org/officeDocument/2006/relationships" ref="AI140" r:id="rId139"/>
    <hyperlink xmlns:r="http://schemas.openxmlformats.org/officeDocument/2006/relationships" ref="AI141" r:id="rId140"/>
    <hyperlink xmlns:r="http://schemas.openxmlformats.org/officeDocument/2006/relationships" ref="AI142" r:id="rId141"/>
    <hyperlink xmlns:r="http://schemas.openxmlformats.org/officeDocument/2006/relationships" ref="AI143" r:id="rId142"/>
    <hyperlink xmlns:r="http://schemas.openxmlformats.org/officeDocument/2006/relationships" ref="AI144" r:id="rId143"/>
    <hyperlink xmlns:r="http://schemas.openxmlformats.org/officeDocument/2006/relationships" ref="AI145" r:id="rId144"/>
    <hyperlink xmlns:r="http://schemas.openxmlformats.org/officeDocument/2006/relationships" ref="AI146" r:id="rId145"/>
    <hyperlink xmlns:r="http://schemas.openxmlformats.org/officeDocument/2006/relationships" ref="AI147" r:id="rId146"/>
    <hyperlink xmlns:r="http://schemas.openxmlformats.org/officeDocument/2006/relationships" ref="AI148" r:id="rId147"/>
    <hyperlink xmlns:r="http://schemas.openxmlformats.org/officeDocument/2006/relationships" ref="AI149" r:id="rId148"/>
    <hyperlink xmlns:r="http://schemas.openxmlformats.org/officeDocument/2006/relationships" ref="AI150" r:id="rId149"/>
    <hyperlink xmlns:r="http://schemas.openxmlformats.org/officeDocument/2006/relationships" ref="AI151" r:id="rId150"/>
    <hyperlink xmlns:r="http://schemas.openxmlformats.org/officeDocument/2006/relationships" ref="AI152" r:id="rId151"/>
    <hyperlink xmlns:r="http://schemas.openxmlformats.org/officeDocument/2006/relationships" ref="AI153" r:id="rId152"/>
    <hyperlink xmlns:r="http://schemas.openxmlformats.org/officeDocument/2006/relationships" ref="AI154" r:id="rId153"/>
    <hyperlink xmlns:r="http://schemas.openxmlformats.org/officeDocument/2006/relationships" ref="AI155" r:id="rId154"/>
    <hyperlink xmlns:r="http://schemas.openxmlformats.org/officeDocument/2006/relationships" ref="AI156" r:id="rId155"/>
    <hyperlink xmlns:r="http://schemas.openxmlformats.org/officeDocument/2006/relationships" ref="AI157" r:id="rId156"/>
    <hyperlink xmlns:r="http://schemas.openxmlformats.org/officeDocument/2006/relationships" ref="AI158" r:id="rId157"/>
    <hyperlink xmlns:r="http://schemas.openxmlformats.org/officeDocument/2006/relationships" ref="AI159" r:id="rId158"/>
    <hyperlink xmlns:r="http://schemas.openxmlformats.org/officeDocument/2006/relationships" ref="AI160" r:id="rId159"/>
    <hyperlink xmlns:r="http://schemas.openxmlformats.org/officeDocument/2006/relationships" ref="AI161" r:id="rId160"/>
    <hyperlink xmlns:r="http://schemas.openxmlformats.org/officeDocument/2006/relationships" ref="AI162" r:id="rId161"/>
    <hyperlink xmlns:r="http://schemas.openxmlformats.org/officeDocument/2006/relationships" ref="AI163" r:id="rId162"/>
    <hyperlink xmlns:r="http://schemas.openxmlformats.org/officeDocument/2006/relationships" ref="AI164" r:id="rId163"/>
    <hyperlink xmlns:r="http://schemas.openxmlformats.org/officeDocument/2006/relationships" ref="AI165" r:id="rId164"/>
    <hyperlink xmlns:r="http://schemas.openxmlformats.org/officeDocument/2006/relationships" ref="AI166" r:id="rId165"/>
    <hyperlink xmlns:r="http://schemas.openxmlformats.org/officeDocument/2006/relationships" ref="AI167" r:id="rId166"/>
    <hyperlink xmlns:r="http://schemas.openxmlformats.org/officeDocument/2006/relationships" ref="AI168" r:id="rId167"/>
    <hyperlink xmlns:r="http://schemas.openxmlformats.org/officeDocument/2006/relationships" ref="AI169" r:id="rId168"/>
    <hyperlink xmlns:r="http://schemas.openxmlformats.org/officeDocument/2006/relationships" ref="AI170" r:id="rId169"/>
    <hyperlink xmlns:r="http://schemas.openxmlformats.org/officeDocument/2006/relationships" ref="AI171" r:id="rId170"/>
    <hyperlink xmlns:r="http://schemas.openxmlformats.org/officeDocument/2006/relationships" ref="AI172" r:id="rId171"/>
    <hyperlink xmlns:r="http://schemas.openxmlformats.org/officeDocument/2006/relationships" ref="AI173" r:id="rId172"/>
    <hyperlink xmlns:r="http://schemas.openxmlformats.org/officeDocument/2006/relationships" ref="AI174" r:id="rId173"/>
    <hyperlink xmlns:r="http://schemas.openxmlformats.org/officeDocument/2006/relationships" ref="AI175" r:id="rId174"/>
    <hyperlink xmlns:r="http://schemas.openxmlformats.org/officeDocument/2006/relationships" ref="AI176" r:id="rId175"/>
    <hyperlink xmlns:r="http://schemas.openxmlformats.org/officeDocument/2006/relationships" ref="AI177" r:id="rId176"/>
    <hyperlink xmlns:r="http://schemas.openxmlformats.org/officeDocument/2006/relationships" ref="AI178" r:id="rId177"/>
    <hyperlink xmlns:r="http://schemas.openxmlformats.org/officeDocument/2006/relationships" ref="AI179" r:id="rId178"/>
    <hyperlink xmlns:r="http://schemas.openxmlformats.org/officeDocument/2006/relationships" ref="AI180" r:id="rId179"/>
    <hyperlink xmlns:r="http://schemas.openxmlformats.org/officeDocument/2006/relationships" ref="AI181" r:id="rId180"/>
    <hyperlink xmlns:r="http://schemas.openxmlformats.org/officeDocument/2006/relationships" ref="AI182" r:id="rId181"/>
    <hyperlink xmlns:r="http://schemas.openxmlformats.org/officeDocument/2006/relationships" ref="AI183" r:id="rId182"/>
    <hyperlink xmlns:r="http://schemas.openxmlformats.org/officeDocument/2006/relationships" ref="AI184" r:id="rId183"/>
    <hyperlink xmlns:r="http://schemas.openxmlformats.org/officeDocument/2006/relationships" ref="AI185" r:id="rId184"/>
    <hyperlink xmlns:r="http://schemas.openxmlformats.org/officeDocument/2006/relationships" ref="AI186" r:id="rId185"/>
    <hyperlink xmlns:r="http://schemas.openxmlformats.org/officeDocument/2006/relationships" ref="AI187" r:id="rId186"/>
    <hyperlink xmlns:r="http://schemas.openxmlformats.org/officeDocument/2006/relationships" ref="AI188" r:id="rId187"/>
    <hyperlink xmlns:r="http://schemas.openxmlformats.org/officeDocument/2006/relationships" ref="AI189" r:id="rId188"/>
    <hyperlink xmlns:r="http://schemas.openxmlformats.org/officeDocument/2006/relationships" ref="AI190" r:id="rId189"/>
    <hyperlink xmlns:r="http://schemas.openxmlformats.org/officeDocument/2006/relationships" ref="AI191" r:id="rId190"/>
    <hyperlink xmlns:r="http://schemas.openxmlformats.org/officeDocument/2006/relationships" ref="AI192" r:id="rId191"/>
    <hyperlink xmlns:r="http://schemas.openxmlformats.org/officeDocument/2006/relationships" ref="AI193" r:id="rId192"/>
    <hyperlink xmlns:r="http://schemas.openxmlformats.org/officeDocument/2006/relationships" ref="AI194" r:id="rId193"/>
    <hyperlink xmlns:r="http://schemas.openxmlformats.org/officeDocument/2006/relationships" ref="AI195" r:id="rId194"/>
    <hyperlink xmlns:r="http://schemas.openxmlformats.org/officeDocument/2006/relationships" ref="AI196" r:id="rId195"/>
    <hyperlink xmlns:r="http://schemas.openxmlformats.org/officeDocument/2006/relationships" ref="AI197" r:id="rId196"/>
    <hyperlink xmlns:r="http://schemas.openxmlformats.org/officeDocument/2006/relationships" ref="AI198" r:id="rId197"/>
    <hyperlink xmlns:r="http://schemas.openxmlformats.org/officeDocument/2006/relationships" ref="AI199" r:id="rId198"/>
    <hyperlink xmlns:r="http://schemas.openxmlformats.org/officeDocument/2006/relationships" ref="AI200" r:id="rId199"/>
    <hyperlink xmlns:r="http://schemas.openxmlformats.org/officeDocument/2006/relationships" ref="AI201" r:id="rId200"/>
    <hyperlink xmlns:r="http://schemas.openxmlformats.org/officeDocument/2006/relationships" ref="AI202" r:id="rId201"/>
    <hyperlink xmlns:r="http://schemas.openxmlformats.org/officeDocument/2006/relationships" ref="AI203" r:id="rId202"/>
    <hyperlink xmlns:r="http://schemas.openxmlformats.org/officeDocument/2006/relationships" ref="AI204" r:id="rId203"/>
    <hyperlink xmlns:r="http://schemas.openxmlformats.org/officeDocument/2006/relationships" ref="AI205" r:id="rId204"/>
    <hyperlink xmlns:r="http://schemas.openxmlformats.org/officeDocument/2006/relationships" ref="AI206" r:id="rId205"/>
    <hyperlink xmlns:r="http://schemas.openxmlformats.org/officeDocument/2006/relationships" ref="AI207" r:id="rId206"/>
    <hyperlink xmlns:r="http://schemas.openxmlformats.org/officeDocument/2006/relationships" ref="AI208" r:id="rId207"/>
    <hyperlink xmlns:r="http://schemas.openxmlformats.org/officeDocument/2006/relationships" ref="AI209" r:id="rId208"/>
    <hyperlink xmlns:r="http://schemas.openxmlformats.org/officeDocument/2006/relationships" ref="AI210" r:id="rId209"/>
    <hyperlink xmlns:r="http://schemas.openxmlformats.org/officeDocument/2006/relationships" ref="AI211" r:id="rId210"/>
    <hyperlink xmlns:r="http://schemas.openxmlformats.org/officeDocument/2006/relationships" ref="AI212" r:id="rId211"/>
    <hyperlink xmlns:r="http://schemas.openxmlformats.org/officeDocument/2006/relationships" ref="AI213" r:id="rId212"/>
    <hyperlink xmlns:r="http://schemas.openxmlformats.org/officeDocument/2006/relationships" ref="AI214" r:id="rId213"/>
    <hyperlink xmlns:r="http://schemas.openxmlformats.org/officeDocument/2006/relationships" ref="AI215" r:id="rId214"/>
    <hyperlink xmlns:r="http://schemas.openxmlformats.org/officeDocument/2006/relationships" ref="AI216" r:id="rId215"/>
    <hyperlink xmlns:r="http://schemas.openxmlformats.org/officeDocument/2006/relationships" ref="AI217" r:id="rId216"/>
    <hyperlink xmlns:r="http://schemas.openxmlformats.org/officeDocument/2006/relationships" ref="AI218" r:id="rId217"/>
    <hyperlink xmlns:r="http://schemas.openxmlformats.org/officeDocument/2006/relationships" ref="AI219" r:id="rId218"/>
    <hyperlink xmlns:r="http://schemas.openxmlformats.org/officeDocument/2006/relationships" ref="AI220" r:id="rId219"/>
    <hyperlink xmlns:r="http://schemas.openxmlformats.org/officeDocument/2006/relationships" ref="AI221" r:id="rId220"/>
    <hyperlink xmlns:r="http://schemas.openxmlformats.org/officeDocument/2006/relationships" ref="AI222" r:id="rId221"/>
    <hyperlink xmlns:r="http://schemas.openxmlformats.org/officeDocument/2006/relationships" ref="AI223" r:id="rId222"/>
    <hyperlink xmlns:r="http://schemas.openxmlformats.org/officeDocument/2006/relationships" ref="AI224" r:id="rId223"/>
    <hyperlink xmlns:r="http://schemas.openxmlformats.org/officeDocument/2006/relationships" ref="AI225" r:id="rId224"/>
    <hyperlink xmlns:r="http://schemas.openxmlformats.org/officeDocument/2006/relationships" ref="AI226" r:id="rId225"/>
    <hyperlink xmlns:r="http://schemas.openxmlformats.org/officeDocument/2006/relationships" ref="AI227" r:id="rId226"/>
    <hyperlink xmlns:r="http://schemas.openxmlformats.org/officeDocument/2006/relationships" ref="AI228" r:id="rId227"/>
    <hyperlink xmlns:r="http://schemas.openxmlformats.org/officeDocument/2006/relationships" ref="AI229" r:id="rId228"/>
    <hyperlink xmlns:r="http://schemas.openxmlformats.org/officeDocument/2006/relationships" ref="AI230" r:id="rId229"/>
    <hyperlink xmlns:r="http://schemas.openxmlformats.org/officeDocument/2006/relationships" ref="AI231" r:id="rId230"/>
    <hyperlink xmlns:r="http://schemas.openxmlformats.org/officeDocument/2006/relationships" ref="AI232" r:id="rId231"/>
    <hyperlink xmlns:r="http://schemas.openxmlformats.org/officeDocument/2006/relationships" ref="AI233" r:id="rId232"/>
    <hyperlink xmlns:r="http://schemas.openxmlformats.org/officeDocument/2006/relationships" ref="AI234" r:id="rId233"/>
    <hyperlink xmlns:r="http://schemas.openxmlformats.org/officeDocument/2006/relationships" ref="AI235" r:id="rId234"/>
    <hyperlink xmlns:r="http://schemas.openxmlformats.org/officeDocument/2006/relationships" ref="AI236" r:id="rId235"/>
    <hyperlink xmlns:r="http://schemas.openxmlformats.org/officeDocument/2006/relationships" ref="AI237" r:id="rId236"/>
    <hyperlink xmlns:r="http://schemas.openxmlformats.org/officeDocument/2006/relationships" ref="AI238" r:id="rId237"/>
    <hyperlink xmlns:r="http://schemas.openxmlformats.org/officeDocument/2006/relationships" ref="AI239" r:id="rId238"/>
    <hyperlink xmlns:r="http://schemas.openxmlformats.org/officeDocument/2006/relationships" ref="AI240" r:id="rId239"/>
    <hyperlink xmlns:r="http://schemas.openxmlformats.org/officeDocument/2006/relationships" ref="AI241" r:id="rId240"/>
    <hyperlink xmlns:r="http://schemas.openxmlformats.org/officeDocument/2006/relationships" ref="AI242" r:id="rId241"/>
    <hyperlink xmlns:r="http://schemas.openxmlformats.org/officeDocument/2006/relationships" ref="AI243" r:id="rId242"/>
    <hyperlink xmlns:r="http://schemas.openxmlformats.org/officeDocument/2006/relationships" ref="AI244" r:id="rId243"/>
    <hyperlink xmlns:r="http://schemas.openxmlformats.org/officeDocument/2006/relationships" ref="AI245" r:id="rId244"/>
    <hyperlink xmlns:r="http://schemas.openxmlformats.org/officeDocument/2006/relationships" ref="AI246" r:id="rId245"/>
    <hyperlink xmlns:r="http://schemas.openxmlformats.org/officeDocument/2006/relationships" ref="AI247" r:id="rId246"/>
    <hyperlink xmlns:r="http://schemas.openxmlformats.org/officeDocument/2006/relationships" ref="AI248" r:id="rId247"/>
    <hyperlink xmlns:r="http://schemas.openxmlformats.org/officeDocument/2006/relationships" ref="AI249" r:id="rId248"/>
    <hyperlink xmlns:r="http://schemas.openxmlformats.org/officeDocument/2006/relationships" ref="AI250" r:id="rId249"/>
    <hyperlink xmlns:r="http://schemas.openxmlformats.org/officeDocument/2006/relationships" ref="AI251" r:id="rId250"/>
    <hyperlink xmlns:r="http://schemas.openxmlformats.org/officeDocument/2006/relationships" ref="AI252" r:id="rId251"/>
    <hyperlink xmlns:r="http://schemas.openxmlformats.org/officeDocument/2006/relationships" ref="AI253" r:id="rId252"/>
    <hyperlink xmlns:r="http://schemas.openxmlformats.org/officeDocument/2006/relationships" ref="AI254" r:id="rId253"/>
    <hyperlink xmlns:r="http://schemas.openxmlformats.org/officeDocument/2006/relationships" ref="AI255" r:id="rId254"/>
    <hyperlink xmlns:r="http://schemas.openxmlformats.org/officeDocument/2006/relationships" ref="AI256" r:id="rId255"/>
    <hyperlink xmlns:r="http://schemas.openxmlformats.org/officeDocument/2006/relationships" ref="AI257" r:id="rId256"/>
    <hyperlink xmlns:r="http://schemas.openxmlformats.org/officeDocument/2006/relationships" ref="AI258" r:id="rId257"/>
    <hyperlink xmlns:r="http://schemas.openxmlformats.org/officeDocument/2006/relationships" ref="AI259" r:id="rId258"/>
    <hyperlink xmlns:r="http://schemas.openxmlformats.org/officeDocument/2006/relationships" ref="AI260" r:id="rId259"/>
    <hyperlink xmlns:r="http://schemas.openxmlformats.org/officeDocument/2006/relationships" ref="AI261" r:id="rId260"/>
    <hyperlink xmlns:r="http://schemas.openxmlformats.org/officeDocument/2006/relationships" ref="AI262" r:id="rId261"/>
    <hyperlink xmlns:r="http://schemas.openxmlformats.org/officeDocument/2006/relationships" ref="AI263" r:id="rId262"/>
    <hyperlink xmlns:r="http://schemas.openxmlformats.org/officeDocument/2006/relationships" ref="AI264" r:id="rId263"/>
    <hyperlink xmlns:r="http://schemas.openxmlformats.org/officeDocument/2006/relationships" ref="AI265" r:id="rId264"/>
    <hyperlink xmlns:r="http://schemas.openxmlformats.org/officeDocument/2006/relationships" ref="AI266" r:id="rId265"/>
    <hyperlink xmlns:r="http://schemas.openxmlformats.org/officeDocument/2006/relationships" ref="AI267" r:id="rId266"/>
    <hyperlink xmlns:r="http://schemas.openxmlformats.org/officeDocument/2006/relationships" ref="AI268" r:id="rId267"/>
    <hyperlink xmlns:r="http://schemas.openxmlformats.org/officeDocument/2006/relationships" ref="AI269" r:id="rId268"/>
    <hyperlink xmlns:r="http://schemas.openxmlformats.org/officeDocument/2006/relationships" ref="AI270" r:id="rId269"/>
    <hyperlink xmlns:r="http://schemas.openxmlformats.org/officeDocument/2006/relationships" ref="AI271" r:id="rId270"/>
    <hyperlink xmlns:r="http://schemas.openxmlformats.org/officeDocument/2006/relationships" ref="AI272" r:id="rId271"/>
    <hyperlink xmlns:r="http://schemas.openxmlformats.org/officeDocument/2006/relationships" ref="AI273" r:id="rId272"/>
    <hyperlink xmlns:r="http://schemas.openxmlformats.org/officeDocument/2006/relationships" ref="AI274" r:id="rId273"/>
    <hyperlink xmlns:r="http://schemas.openxmlformats.org/officeDocument/2006/relationships" ref="AI275" r:id="rId274"/>
    <hyperlink xmlns:r="http://schemas.openxmlformats.org/officeDocument/2006/relationships" ref="AI276" r:id="rId275"/>
    <hyperlink xmlns:r="http://schemas.openxmlformats.org/officeDocument/2006/relationships" ref="AI277" r:id="rId276"/>
    <hyperlink xmlns:r="http://schemas.openxmlformats.org/officeDocument/2006/relationships" ref="AI278" r:id="rId277"/>
    <hyperlink xmlns:r="http://schemas.openxmlformats.org/officeDocument/2006/relationships" ref="AI279" r:id="rId278"/>
    <hyperlink xmlns:r="http://schemas.openxmlformats.org/officeDocument/2006/relationships" ref="AI280" r:id="rId279"/>
    <hyperlink xmlns:r="http://schemas.openxmlformats.org/officeDocument/2006/relationships" ref="AI281" r:id="rId280"/>
    <hyperlink xmlns:r="http://schemas.openxmlformats.org/officeDocument/2006/relationships" ref="AI282" r:id="rId281"/>
    <hyperlink xmlns:r="http://schemas.openxmlformats.org/officeDocument/2006/relationships" ref="AI283" r:id="rId282"/>
    <hyperlink xmlns:r="http://schemas.openxmlformats.org/officeDocument/2006/relationships" ref="AI284" r:id="rId283"/>
    <hyperlink xmlns:r="http://schemas.openxmlformats.org/officeDocument/2006/relationships" ref="AI285" r:id="rId284"/>
    <hyperlink xmlns:r="http://schemas.openxmlformats.org/officeDocument/2006/relationships" ref="AI286" r:id="rId285"/>
    <hyperlink xmlns:r="http://schemas.openxmlformats.org/officeDocument/2006/relationships" ref="AI287" r:id="rId286"/>
    <hyperlink xmlns:r="http://schemas.openxmlformats.org/officeDocument/2006/relationships" ref="AI288" r:id="rId287"/>
    <hyperlink xmlns:r="http://schemas.openxmlformats.org/officeDocument/2006/relationships" ref="AI289" r:id="rId288"/>
    <hyperlink xmlns:r="http://schemas.openxmlformats.org/officeDocument/2006/relationships" ref="AI290" r:id="rId289"/>
    <hyperlink xmlns:r="http://schemas.openxmlformats.org/officeDocument/2006/relationships" ref="AI291" r:id="rId290"/>
    <hyperlink xmlns:r="http://schemas.openxmlformats.org/officeDocument/2006/relationships" ref="AI292" r:id="rId291"/>
    <hyperlink xmlns:r="http://schemas.openxmlformats.org/officeDocument/2006/relationships" ref="AI293" r:id="rId292"/>
    <hyperlink xmlns:r="http://schemas.openxmlformats.org/officeDocument/2006/relationships" ref="AI294" r:id="rId293"/>
    <hyperlink xmlns:r="http://schemas.openxmlformats.org/officeDocument/2006/relationships" ref="AI295" r:id="rId294"/>
    <hyperlink xmlns:r="http://schemas.openxmlformats.org/officeDocument/2006/relationships" ref="AI296" r:id="rId295"/>
    <hyperlink xmlns:r="http://schemas.openxmlformats.org/officeDocument/2006/relationships" ref="AI297" r:id="rId296"/>
    <hyperlink xmlns:r="http://schemas.openxmlformats.org/officeDocument/2006/relationships" ref="AI298" r:id="rId297"/>
    <hyperlink xmlns:r="http://schemas.openxmlformats.org/officeDocument/2006/relationships" ref="AI299" r:id="rId298"/>
    <hyperlink xmlns:r="http://schemas.openxmlformats.org/officeDocument/2006/relationships" ref="AI300" r:id="rId299"/>
    <hyperlink xmlns:r="http://schemas.openxmlformats.org/officeDocument/2006/relationships" ref="AI301" r:id="rId300"/>
    <hyperlink xmlns:r="http://schemas.openxmlformats.org/officeDocument/2006/relationships" ref="AI302" r:id="rId301"/>
    <hyperlink xmlns:r="http://schemas.openxmlformats.org/officeDocument/2006/relationships" ref="AI303" r:id="rId302"/>
    <hyperlink xmlns:r="http://schemas.openxmlformats.org/officeDocument/2006/relationships" ref="AI304" r:id="rId303"/>
    <hyperlink xmlns:r="http://schemas.openxmlformats.org/officeDocument/2006/relationships" ref="AI305" r:id="rId304"/>
    <hyperlink xmlns:r="http://schemas.openxmlformats.org/officeDocument/2006/relationships" ref="AI306" r:id="rId305"/>
    <hyperlink xmlns:r="http://schemas.openxmlformats.org/officeDocument/2006/relationships" ref="AI307" r:id="rId306"/>
    <hyperlink xmlns:r="http://schemas.openxmlformats.org/officeDocument/2006/relationships" ref="AI308" r:id="rId307"/>
    <hyperlink xmlns:r="http://schemas.openxmlformats.org/officeDocument/2006/relationships" ref="AI309" r:id="rId308"/>
    <hyperlink xmlns:r="http://schemas.openxmlformats.org/officeDocument/2006/relationships" ref="AI310" r:id="rId309"/>
    <hyperlink xmlns:r="http://schemas.openxmlformats.org/officeDocument/2006/relationships" ref="AI311" r:id="rId310"/>
    <hyperlink xmlns:r="http://schemas.openxmlformats.org/officeDocument/2006/relationships" ref="AI312" r:id="rId311"/>
    <hyperlink xmlns:r="http://schemas.openxmlformats.org/officeDocument/2006/relationships" ref="AI313" r:id="rId312"/>
    <hyperlink xmlns:r="http://schemas.openxmlformats.org/officeDocument/2006/relationships" ref="AI314" r:id="rId313"/>
    <hyperlink xmlns:r="http://schemas.openxmlformats.org/officeDocument/2006/relationships" ref="AI315" r:id="rId314"/>
    <hyperlink xmlns:r="http://schemas.openxmlformats.org/officeDocument/2006/relationships" ref="AI316" r:id="rId315"/>
    <hyperlink xmlns:r="http://schemas.openxmlformats.org/officeDocument/2006/relationships" ref="AI317" r:id="rId316"/>
    <hyperlink xmlns:r="http://schemas.openxmlformats.org/officeDocument/2006/relationships" ref="AI318" r:id="rId317"/>
    <hyperlink xmlns:r="http://schemas.openxmlformats.org/officeDocument/2006/relationships" ref="AI319" r:id="rId318"/>
    <hyperlink xmlns:r="http://schemas.openxmlformats.org/officeDocument/2006/relationships" ref="AI320" r:id="rId319"/>
    <hyperlink xmlns:r="http://schemas.openxmlformats.org/officeDocument/2006/relationships" ref="AI321" r:id="rId320"/>
    <hyperlink xmlns:r="http://schemas.openxmlformats.org/officeDocument/2006/relationships" ref="AI322" r:id="rId321"/>
    <hyperlink xmlns:r="http://schemas.openxmlformats.org/officeDocument/2006/relationships" ref="AI323" r:id="rId322"/>
    <hyperlink xmlns:r="http://schemas.openxmlformats.org/officeDocument/2006/relationships" ref="AI324" r:id="rId323"/>
    <hyperlink xmlns:r="http://schemas.openxmlformats.org/officeDocument/2006/relationships" ref="AI325" r:id="rId324"/>
    <hyperlink xmlns:r="http://schemas.openxmlformats.org/officeDocument/2006/relationships" ref="AI326" r:id="rId325"/>
    <hyperlink xmlns:r="http://schemas.openxmlformats.org/officeDocument/2006/relationships" ref="AI327" r:id="rId326"/>
    <hyperlink xmlns:r="http://schemas.openxmlformats.org/officeDocument/2006/relationships" ref="AI328" r:id="rId327"/>
    <hyperlink xmlns:r="http://schemas.openxmlformats.org/officeDocument/2006/relationships" ref="AI329" r:id="rId328"/>
    <hyperlink xmlns:r="http://schemas.openxmlformats.org/officeDocument/2006/relationships" ref="AI330" r:id="rId329"/>
    <hyperlink xmlns:r="http://schemas.openxmlformats.org/officeDocument/2006/relationships" ref="AI331" r:id="rId330"/>
    <hyperlink xmlns:r="http://schemas.openxmlformats.org/officeDocument/2006/relationships" ref="AI332" r:id="rId331"/>
    <hyperlink xmlns:r="http://schemas.openxmlformats.org/officeDocument/2006/relationships" ref="AI333" r:id="rId332"/>
    <hyperlink xmlns:r="http://schemas.openxmlformats.org/officeDocument/2006/relationships" ref="AI334" r:id="rId333"/>
    <hyperlink xmlns:r="http://schemas.openxmlformats.org/officeDocument/2006/relationships" ref="AI335" r:id="rId334"/>
    <hyperlink xmlns:r="http://schemas.openxmlformats.org/officeDocument/2006/relationships" ref="AI336" r:id="rId335"/>
    <hyperlink xmlns:r="http://schemas.openxmlformats.org/officeDocument/2006/relationships" ref="AI337" r:id="rId336"/>
    <hyperlink xmlns:r="http://schemas.openxmlformats.org/officeDocument/2006/relationships" ref="AI338" r:id="rId337"/>
    <hyperlink xmlns:r="http://schemas.openxmlformats.org/officeDocument/2006/relationships" ref="AI339" r:id="rId338"/>
    <hyperlink xmlns:r="http://schemas.openxmlformats.org/officeDocument/2006/relationships" ref="AI340" r:id="rId339"/>
    <hyperlink xmlns:r="http://schemas.openxmlformats.org/officeDocument/2006/relationships" ref="AI341" r:id="rId340"/>
    <hyperlink xmlns:r="http://schemas.openxmlformats.org/officeDocument/2006/relationships" ref="AI342" r:id="rId341"/>
    <hyperlink xmlns:r="http://schemas.openxmlformats.org/officeDocument/2006/relationships" ref="AI343" r:id="rId342"/>
    <hyperlink xmlns:r="http://schemas.openxmlformats.org/officeDocument/2006/relationships" ref="AI344" r:id="rId343"/>
    <hyperlink xmlns:r="http://schemas.openxmlformats.org/officeDocument/2006/relationships" ref="AI345" r:id="rId344"/>
    <hyperlink xmlns:r="http://schemas.openxmlformats.org/officeDocument/2006/relationships" ref="AI346" r:id="rId345"/>
    <hyperlink xmlns:r="http://schemas.openxmlformats.org/officeDocument/2006/relationships" ref="AI347" r:id="rId346"/>
    <hyperlink xmlns:r="http://schemas.openxmlformats.org/officeDocument/2006/relationships" ref="AI348" r:id="rId347"/>
    <hyperlink xmlns:r="http://schemas.openxmlformats.org/officeDocument/2006/relationships" ref="AI349" r:id="rId348"/>
    <hyperlink xmlns:r="http://schemas.openxmlformats.org/officeDocument/2006/relationships" ref="AI350" r:id="rId349"/>
    <hyperlink xmlns:r="http://schemas.openxmlformats.org/officeDocument/2006/relationships" ref="AI351" r:id="rId350"/>
    <hyperlink xmlns:r="http://schemas.openxmlformats.org/officeDocument/2006/relationships" ref="AI352" r:id="rId351"/>
    <hyperlink xmlns:r="http://schemas.openxmlformats.org/officeDocument/2006/relationships" ref="AI353" r:id="rId352"/>
    <hyperlink xmlns:r="http://schemas.openxmlformats.org/officeDocument/2006/relationships" ref="AI354" r:id="rId353"/>
    <hyperlink xmlns:r="http://schemas.openxmlformats.org/officeDocument/2006/relationships" ref="AI355" r:id="rId354"/>
    <hyperlink xmlns:r="http://schemas.openxmlformats.org/officeDocument/2006/relationships" ref="AI356" r:id="rId355"/>
    <hyperlink xmlns:r="http://schemas.openxmlformats.org/officeDocument/2006/relationships" ref="AI357" r:id="rId356"/>
    <hyperlink xmlns:r="http://schemas.openxmlformats.org/officeDocument/2006/relationships" ref="AI358" r:id="rId357"/>
    <hyperlink xmlns:r="http://schemas.openxmlformats.org/officeDocument/2006/relationships" ref="AI359" r:id="rId358"/>
    <hyperlink xmlns:r="http://schemas.openxmlformats.org/officeDocument/2006/relationships" ref="AI360" r:id="rId359"/>
    <hyperlink xmlns:r="http://schemas.openxmlformats.org/officeDocument/2006/relationships" ref="AI361" r:id="rId360"/>
    <hyperlink xmlns:r="http://schemas.openxmlformats.org/officeDocument/2006/relationships" ref="AI362" r:id="rId361"/>
    <hyperlink xmlns:r="http://schemas.openxmlformats.org/officeDocument/2006/relationships" ref="AI363" r:id="rId362"/>
    <hyperlink xmlns:r="http://schemas.openxmlformats.org/officeDocument/2006/relationships" ref="AI364" r:id="rId363"/>
    <hyperlink xmlns:r="http://schemas.openxmlformats.org/officeDocument/2006/relationships" ref="AI365" r:id="rId364"/>
    <hyperlink xmlns:r="http://schemas.openxmlformats.org/officeDocument/2006/relationships" ref="AI366" r:id="rId365"/>
    <hyperlink xmlns:r="http://schemas.openxmlformats.org/officeDocument/2006/relationships" ref="AI367" r:id="rId366"/>
    <hyperlink xmlns:r="http://schemas.openxmlformats.org/officeDocument/2006/relationships" ref="AI368" r:id="rId367"/>
    <hyperlink xmlns:r="http://schemas.openxmlformats.org/officeDocument/2006/relationships" ref="AI369" r:id="rId368"/>
    <hyperlink xmlns:r="http://schemas.openxmlformats.org/officeDocument/2006/relationships" ref="AI370" r:id="rId369"/>
    <hyperlink xmlns:r="http://schemas.openxmlformats.org/officeDocument/2006/relationships" ref="AI371" r:id="rId370"/>
    <hyperlink xmlns:r="http://schemas.openxmlformats.org/officeDocument/2006/relationships" ref="AI372" r:id="rId371"/>
    <hyperlink xmlns:r="http://schemas.openxmlformats.org/officeDocument/2006/relationships" ref="AI373" r:id="rId372"/>
    <hyperlink xmlns:r="http://schemas.openxmlformats.org/officeDocument/2006/relationships" ref="AI374" r:id="rId373"/>
    <hyperlink xmlns:r="http://schemas.openxmlformats.org/officeDocument/2006/relationships" ref="AI375" r:id="rId374"/>
    <hyperlink xmlns:r="http://schemas.openxmlformats.org/officeDocument/2006/relationships" ref="AI376" r:id="rId375"/>
    <hyperlink xmlns:r="http://schemas.openxmlformats.org/officeDocument/2006/relationships" ref="AI377" r:id="rId376"/>
    <hyperlink xmlns:r="http://schemas.openxmlformats.org/officeDocument/2006/relationships" ref="AI378" r:id="rId377"/>
    <hyperlink xmlns:r="http://schemas.openxmlformats.org/officeDocument/2006/relationships" ref="AI379" r:id="rId378"/>
    <hyperlink xmlns:r="http://schemas.openxmlformats.org/officeDocument/2006/relationships" ref="AI380" r:id="rId379"/>
    <hyperlink xmlns:r="http://schemas.openxmlformats.org/officeDocument/2006/relationships" ref="AI381" r:id="rId380"/>
    <hyperlink xmlns:r="http://schemas.openxmlformats.org/officeDocument/2006/relationships" ref="AI382" r:id="rId381"/>
    <hyperlink xmlns:r="http://schemas.openxmlformats.org/officeDocument/2006/relationships" ref="AI383" r:id="rId382"/>
    <hyperlink xmlns:r="http://schemas.openxmlformats.org/officeDocument/2006/relationships" ref="AI384" r:id="rId383"/>
    <hyperlink xmlns:r="http://schemas.openxmlformats.org/officeDocument/2006/relationships" ref="AI385" r:id="rId384"/>
    <hyperlink xmlns:r="http://schemas.openxmlformats.org/officeDocument/2006/relationships" ref="AI386" r:id="rId385"/>
    <hyperlink xmlns:r="http://schemas.openxmlformats.org/officeDocument/2006/relationships" ref="AI387" r:id="rId386"/>
    <hyperlink xmlns:r="http://schemas.openxmlformats.org/officeDocument/2006/relationships" ref="AI388" r:id="rId387"/>
    <hyperlink xmlns:r="http://schemas.openxmlformats.org/officeDocument/2006/relationships" ref="AI389" r:id="rId388"/>
    <hyperlink xmlns:r="http://schemas.openxmlformats.org/officeDocument/2006/relationships" ref="AI390" r:id="rId389"/>
    <hyperlink xmlns:r="http://schemas.openxmlformats.org/officeDocument/2006/relationships" ref="AI391" r:id="rId390"/>
    <hyperlink xmlns:r="http://schemas.openxmlformats.org/officeDocument/2006/relationships" ref="AI392" r:id="rId391"/>
    <hyperlink xmlns:r="http://schemas.openxmlformats.org/officeDocument/2006/relationships" ref="AI393" r:id="rId392"/>
    <hyperlink xmlns:r="http://schemas.openxmlformats.org/officeDocument/2006/relationships" ref="AI394" r:id="rId393"/>
    <hyperlink xmlns:r="http://schemas.openxmlformats.org/officeDocument/2006/relationships" ref="AI395" r:id="rId394"/>
    <hyperlink xmlns:r="http://schemas.openxmlformats.org/officeDocument/2006/relationships" ref="AI396" r:id="rId395"/>
    <hyperlink xmlns:r="http://schemas.openxmlformats.org/officeDocument/2006/relationships" ref="AI397" r:id="rId396"/>
    <hyperlink xmlns:r="http://schemas.openxmlformats.org/officeDocument/2006/relationships" ref="AI398" r:id="rId397"/>
    <hyperlink xmlns:r="http://schemas.openxmlformats.org/officeDocument/2006/relationships" ref="AI399" r:id="rId398"/>
    <hyperlink xmlns:r="http://schemas.openxmlformats.org/officeDocument/2006/relationships" ref="AI400" r:id="rId399"/>
    <hyperlink xmlns:r="http://schemas.openxmlformats.org/officeDocument/2006/relationships" ref="AI401" r:id="rId400"/>
    <hyperlink xmlns:r="http://schemas.openxmlformats.org/officeDocument/2006/relationships" ref="AI402" r:id="rId401"/>
    <hyperlink xmlns:r="http://schemas.openxmlformats.org/officeDocument/2006/relationships" ref="AI403" r:id="rId402"/>
    <hyperlink xmlns:r="http://schemas.openxmlformats.org/officeDocument/2006/relationships" ref="AI404" r:id="rId403"/>
    <hyperlink xmlns:r="http://schemas.openxmlformats.org/officeDocument/2006/relationships" ref="AI405" r:id="rId404"/>
    <hyperlink xmlns:r="http://schemas.openxmlformats.org/officeDocument/2006/relationships" ref="AI406" r:id="rId405"/>
    <hyperlink xmlns:r="http://schemas.openxmlformats.org/officeDocument/2006/relationships" ref="AI407" r:id="rId406"/>
    <hyperlink xmlns:r="http://schemas.openxmlformats.org/officeDocument/2006/relationships" ref="AI408" r:id="rId407"/>
    <hyperlink xmlns:r="http://schemas.openxmlformats.org/officeDocument/2006/relationships" ref="AI409" r:id="rId408"/>
    <hyperlink xmlns:r="http://schemas.openxmlformats.org/officeDocument/2006/relationships" ref="AI410" r:id="rId409"/>
    <hyperlink xmlns:r="http://schemas.openxmlformats.org/officeDocument/2006/relationships" ref="AI411" r:id="rId410"/>
    <hyperlink xmlns:r="http://schemas.openxmlformats.org/officeDocument/2006/relationships" ref="AI412" r:id="rId411"/>
    <hyperlink xmlns:r="http://schemas.openxmlformats.org/officeDocument/2006/relationships" ref="AI413" r:id="rId412"/>
    <hyperlink xmlns:r="http://schemas.openxmlformats.org/officeDocument/2006/relationships" ref="AI414" r:id="rId413"/>
    <hyperlink xmlns:r="http://schemas.openxmlformats.org/officeDocument/2006/relationships" ref="AI415" r:id="rId414"/>
    <hyperlink xmlns:r="http://schemas.openxmlformats.org/officeDocument/2006/relationships" ref="AI416" r:id="rId415"/>
    <hyperlink xmlns:r="http://schemas.openxmlformats.org/officeDocument/2006/relationships" ref="AI417" r:id="rId416"/>
    <hyperlink xmlns:r="http://schemas.openxmlformats.org/officeDocument/2006/relationships" ref="AI418" r:id="rId417"/>
    <hyperlink xmlns:r="http://schemas.openxmlformats.org/officeDocument/2006/relationships" ref="AI419" r:id="rId418"/>
    <hyperlink xmlns:r="http://schemas.openxmlformats.org/officeDocument/2006/relationships" ref="AI420" r:id="rId419"/>
    <hyperlink xmlns:r="http://schemas.openxmlformats.org/officeDocument/2006/relationships" ref="AI421" r:id="rId420"/>
    <hyperlink xmlns:r="http://schemas.openxmlformats.org/officeDocument/2006/relationships" ref="AI422" r:id="rId421"/>
    <hyperlink xmlns:r="http://schemas.openxmlformats.org/officeDocument/2006/relationships" ref="AI423" r:id="rId422"/>
    <hyperlink xmlns:r="http://schemas.openxmlformats.org/officeDocument/2006/relationships" ref="AI424" r:id="rId423"/>
    <hyperlink xmlns:r="http://schemas.openxmlformats.org/officeDocument/2006/relationships" ref="AI425" r:id="rId424"/>
    <hyperlink xmlns:r="http://schemas.openxmlformats.org/officeDocument/2006/relationships" ref="AI426" r:id="rId425"/>
    <hyperlink xmlns:r="http://schemas.openxmlformats.org/officeDocument/2006/relationships" ref="AI427" r:id="rId426"/>
    <hyperlink xmlns:r="http://schemas.openxmlformats.org/officeDocument/2006/relationships" ref="AI428" r:id="rId427"/>
    <hyperlink xmlns:r="http://schemas.openxmlformats.org/officeDocument/2006/relationships" ref="AI429" r:id="rId428"/>
    <hyperlink xmlns:r="http://schemas.openxmlformats.org/officeDocument/2006/relationships" ref="AI430" r:id="rId429"/>
    <hyperlink xmlns:r="http://schemas.openxmlformats.org/officeDocument/2006/relationships" ref="AI431" r:id="rId430"/>
    <hyperlink xmlns:r="http://schemas.openxmlformats.org/officeDocument/2006/relationships" ref="AI432" r:id="rId431"/>
    <hyperlink xmlns:r="http://schemas.openxmlformats.org/officeDocument/2006/relationships" ref="AI433" r:id="rId432"/>
    <hyperlink xmlns:r="http://schemas.openxmlformats.org/officeDocument/2006/relationships" ref="AI434" r:id="rId433"/>
    <hyperlink xmlns:r="http://schemas.openxmlformats.org/officeDocument/2006/relationships" ref="AI435" r:id="rId434"/>
    <hyperlink xmlns:r="http://schemas.openxmlformats.org/officeDocument/2006/relationships" ref="AI436" r:id="rId435"/>
    <hyperlink xmlns:r="http://schemas.openxmlformats.org/officeDocument/2006/relationships" ref="AI437" r:id="rId436"/>
    <hyperlink xmlns:r="http://schemas.openxmlformats.org/officeDocument/2006/relationships" ref="AI438" r:id="rId437"/>
    <hyperlink xmlns:r="http://schemas.openxmlformats.org/officeDocument/2006/relationships" ref="AI439" r:id="rId438"/>
    <hyperlink xmlns:r="http://schemas.openxmlformats.org/officeDocument/2006/relationships" ref="AI440" r:id="rId439"/>
    <hyperlink xmlns:r="http://schemas.openxmlformats.org/officeDocument/2006/relationships" ref="AI441" r:id="rId440"/>
    <hyperlink xmlns:r="http://schemas.openxmlformats.org/officeDocument/2006/relationships" ref="AI442" r:id="rId441"/>
    <hyperlink xmlns:r="http://schemas.openxmlformats.org/officeDocument/2006/relationships" ref="AI443" r:id="rId442"/>
    <hyperlink xmlns:r="http://schemas.openxmlformats.org/officeDocument/2006/relationships" ref="AI444" r:id="rId443"/>
    <hyperlink xmlns:r="http://schemas.openxmlformats.org/officeDocument/2006/relationships" ref="AI445" r:id="rId444"/>
    <hyperlink xmlns:r="http://schemas.openxmlformats.org/officeDocument/2006/relationships" ref="AI446" r:id="rId445"/>
    <hyperlink xmlns:r="http://schemas.openxmlformats.org/officeDocument/2006/relationships" ref="AI447" r:id="rId446"/>
    <hyperlink xmlns:r="http://schemas.openxmlformats.org/officeDocument/2006/relationships" ref="AI448" r:id="rId447"/>
    <hyperlink xmlns:r="http://schemas.openxmlformats.org/officeDocument/2006/relationships" ref="AI449" r:id="rId448"/>
    <hyperlink xmlns:r="http://schemas.openxmlformats.org/officeDocument/2006/relationships" ref="AI450" r:id="rId449"/>
    <hyperlink xmlns:r="http://schemas.openxmlformats.org/officeDocument/2006/relationships" ref="AI451" r:id="rId450"/>
    <hyperlink xmlns:r="http://schemas.openxmlformats.org/officeDocument/2006/relationships" ref="AI452" r:id="rId451"/>
    <hyperlink xmlns:r="http://schemas.openxmlformats.org/officeDocument/2006/relationships" ref="AI453" r:id="rId452"/>
    <hyperlink xmlns:r="http://schemas.openxmlformats.org/officeDocument/2006/relationships" ref="AI454" r:id="rId453"/>
    <hyperlink xmlns:r="http://schemas.openxmlformats.org/officeDocument/2006/relationships" ref="AI455" r:id="rId454"/>
    <hyperlink xmlns:r="http://schemas.openxmlformats.org/officeDocument/2006/relationships" ref="AI456" r:id="rId455"/>
    <hyperlink xmlns:r="http://schemas.openxmlformats.org/officeDocument/2006/relationships" ref="AI457" r:id="rId456"/>
    <hyperlink xmlns:r="http://schemas.openxmlformats.org/officeDocument/2006/relationships" ref="AI458" r:id="rId457"/>
    <hyperlink xmlns:r="http://schemas.openxmlformats.org/officeDocument/2006/relationships" ref="AI459" r:id="rId458"/>
    <hyperlink xmlns:r="http://schemas.openxmlformats.org/officeDocument/2006/relationships" ref="AI460" r:id="rId459"/>
    <hyperlink xmlns:r="http://schemas.openxmlformats.org/officeDocument/2006/relationships" ref="AI461" r:id="rId460"/>
    <hyperlink xmlns:r="http://schemas.openxmlformats.org/officeDocument/2006/relationships" ref="AI462" r:id="rId461"/>
    <hyperlink xmlns:r="http://schemas.openxmlformats.org/officeDocument/2006/relationships" ref="AI463" r:id="rId462"/>
    <hyperlink xmlns:r="http://schemas.openxmlformats.org/officeDocument/2006/relationships" ref="AI464" r:id="rId463"/>
    <hyperlink xmlns:r="http://schemas.openxmlformats.org/officeDocument/2006/relationships" ref="AI465" r:id="rId464"/>
    <hyperlink xmlns:r="http://schemas.openxmlformats.org/officeDocument/2006/relationships" ref="AI466" r:id="rId465"/>
    <hyperlink xmlns:r="http://schemas.openxmlformats.org/officeDocument/2006/relationships" ref="AI467" r:id="rId466"/>
    <hyperlink xmlns:r="http://schemas.openxmlformats.org/officeDocument/2006/relationships" ref="AI468" r:id="rId467"/>
    <hyperlink xmlns:r="http://schemas.openxmlformats.org/officeDocument/2006/relationships" ref="AI469" r:id="rId468"/>
    <hyperlink xmlns:r="http://schemas.openxmlformats.org/officeDocument/2006/relationships" ref="AI470" r:id="rId469"/>
    <hyperlink xmlns:r="http://schemas.openxmlformats.org/officeDocument/2006/relationships" ref="AI471" r:id="rId470"/>
    <hyperlink xmlns:r="http://schemas.openxmlformats.org/officeDocument/2006/relationships" ref="AI472" r:id="rId471"/>
    <hyperlink xmlns:r="http://schemas.openxmlformats.org/officeDocument/2006/relationships" ref="AI473" r:id="rId472"/>
    <hyperlink xmlns:r="http://schemas.openxmlformats.org/officeDocument/2006/relationships" ref="AI474" r:id="rId473"/>
    <hyperlink xmlns:r="http://schemas.openxmlformats.org/officeDocument/2006/relationships" ref="AI475" r:id="rId474"/>
    <hyperlink xmlns:r="http://schemas.openxmlformats.org/officeDocument/2006/relationships" ref="AI476" r:id="rId475"/>
    <hyperlink xmlns:r="http://schemas.openxmlformats.org/officeDocument/2006/relationships" ref="AI477" r:id="rId476"/>
    <hyperlink xmlns:r="http://schemas.openxmlformats.org/officeDocument/2006/relationships" ref="AI478" r:id="rId477"/>
    <hyperlink xmlns:r="http://schemas.openxmlformats.org/officeDocument/2006/relationships" ref="AI479" r:id="rId478"/>
    <hyperlink xmlns:r="http://schemas.openxmlformats.org/officeDocument/2006/relationships" ref="AI480" r:id="rId479"/>
    <hyperlink xmlns:r="http://schemas.openxmlformats.org/officeDocument/2006/relationships" ref="AI481" r:id="rId480"/>
    <hyperlink xmlns:r="http://schemas.openxmlformats.org/officeDocument/2006/relationships" ref="AI482" r:id="rId481"/>
    <hyperlink xmlns:r="http://schemas.openxmlformats.org/officeDocument/2006/relationships" ref="AI483" r:id="rId482"/>
    <hyperlink xmlns:r="http://schemas.openxmlformats.org/officeDocument/2006/relationships" ref="AI484" r:id="rId483"/>
    <hyperlink xmlns:r="http://schemas.openxmlformats.org/officeDocument/2006/relationships" ref="AI485" r:id="rId484"/>
    <hyperlink xmlns:r="http://schemas.openxmlformats.org/officeDocument/2006/relationships" ref="AI486" r:id="rId485"/>
    <hyperlink xmlns:r="http://schemas.openxmlformats.org/officeDocument/2006/relationships" ref="AI487" r:id="rId486"/>
    <hyperlink xmlns:r="http://schemas.openxmlformats.org/officeDocument/2006/relationships" ref="AI488" r:id="rId487"/>
    <hyperlink xmlns:r="http://schemas.openxmlformats.org/officeDocument/2006/relationships" ref="AI489" r:id="rId488"/>
    <hyperlink xmlns:r="http://schemas.openxmlformats.org/officeDocument/2006/relationships" ref="AI490" r:id="rId489"/>
    <hyperlink xmlns:r="http://schemas.openxmlformats.org/officeDocument/2006/relationships" ref="AI491" r:id="rId490"/>
    <hyperlink xmlns:r="http://schemas.openxmlformats.org/officeDocument/2006/relationships" ref="AI492" r:id="rId491"/>
    <hyperlink xmlns:r="http://schemas.openxmlformats.org/officeDocument/2006/relationships" ref="AI493" r:id="rId492"/>
    <hyperlink xmlns:r="http://schemas.openxmlformats.org/officeDocument/2006/relationships" ref="AI494" r:id="rId493"/>
    <hyperlink xmlns:r="http://schemas.openxmlformats.org/officeDocument/2006/relationships" ref="AI495" r:id="rId494"/>
    <hyperlink xmlns:r="http://schemas.openxmlformats.org/officeDocument/2006/relationships" ref="AI496" r:id="rId495"/>
    <hyperlink xmlns:r="http://schemas.openxmlformats.org/officeDocument/2006/relationships" ref="AI497" r:id="rId496"/>
    <hyperlink xmlns:r="http://schemas.openxmlformats.org/officeDocument/2006/relationships" ref="AI498" r:id="rId497"/>
    <hyperlink xmlns:r="http://schemas.openxmlformats.org/officeDocument/2006/relationships" ref="AI499" r:id="rId498"/>
    <hyperlink xmlns:r="http://schemas.openxmlformats.org/officeDocument/2006/relationships" ref="AI500" r:id="rId499"/>
    <hyperlink xmlns:r="http://schemas.openxmlformats.org/officeDocument/2006/relationships" ref="AI501" r:id="rId500"/>
    <hyperlink xmlns:r="http://schemas.openxmlformats.org/officeDocument/2006/relationships" ref="AI502" r:id="rId501"/>
    <hyperlink xmlns:r="http://schemas.openxmlformats.org/officeDocument/2006/relationships" ref="AI503" r:id="rId502"/>
    <hyperlink xmlns:r="http://schemas.openxmlformats.org/officeDocument/2006/relationships" ref="AI504" r:id="rId503"/>
    <hyperlink xmlns:r="http://schemas.openxmlformats.org/officeDocument/2006/relationships" ref="AI505" r:id="rId504"/>
    <hyperlink xmlns:r="http://schemas.openxmlformats.org/officeDocument/2006/relationships" ref="AI506" r:id="rId505"/>
    <hyperlink xmlns:r="http://schemas.openxmlformats.org/officeDocument/2006/relationships" ref="AI507" r:id="rId506"/>
    <hyperlink xmlns:r="http://schemas.openxmlformats.org/officeDocument/2006/relationships" ref="AI508" r:id="rId507"/>
    <hyperlink xmlns:r="http://schemas.openxmlformats.org/officeDocument/2006/relationships" ref="AI509" r:id="rId508"/>
    <hyperlink xmlns:r="http://schemas.openxmlformats.org/officeDocument/2006/relationships" ref="AI510" r:id="rId509"/>
    <hyperlink xmlns:r="http://schemas.openxmlformats.org/officeDocument/2006/relationships" ref="AI511" r:id="rId510"/>
    <hyperlink xmlns:r="http://schemas.openxmlformats.org/officeDocument/2006/relationships" ref="AI512" r:id="rId511"/>
    <hyperlink xmlns:r="http://schemas.openxmlformats.org/officeDocument/2006/relationships" ref="AI513" r:id="rId512"/>
    <hyperlink xmlns:r="http://schemas.openxmlformats.org/officeDocument/2006/relationships" ref="AI514" r:id="rId513"/>
    <hyperlink xmlns:r="http://schemas.openxmlformats.org/officeDocument/2006/relationships" ref="AI515" r:id="rId514"/>
    <hyperlink xmlns:r="http://schemas.openxmlformats.org/officeDocument/2006/relationships" ref="AI516" r:id="rId515"/>
    <hyperlink xmlns:r="http://schemas.openxmlformats.org/officeDocument/2006/relationships" ref="AI517" r:id="rId516"/>
    <hyperlink xmlns:r="http://schemas.openxmlformats.org/officeDocument/2006/relationships" ref="AI518" r:id="rId517"/>
    <hyperlink xmlns:r="http://schemas.openxmlformats.org/officeDocument/2006/relationships" ref="AI519" r:id="rId518"/>
    <hyperlink xmlns:r="http://schemas.openxmlformats.org/officeDocument/2006/relationships" ref="AI520" r:id="rId519"/>
    <hyperlink xmlns:r="http://schemas.openxmlformats.org/officeDocument/2006/relationships" ref="AI521" r:id="rId520"/>
    <hyperlink xmlns:r="http://schemas.openxmlformats.org/officeDocument/2006/relationships" ref="AI522" r:id="rId521"/>
    <hyperlink xmlns:r="http://schemas.openxmlformats.org/officeDocument/2006/relationships" ref="AI523" r:id="rId522"/>
    <hyperlink xmlns:r="http://schemas.openxmlformats.org/officeDocument/2006/relationships" ref="AI524" r:id="rId523"/>
    <hyperlink xmlns:r="http://schemas.openxmlformats.org/officeDocument/2006/relationships" ref="AI525" r:id="rId524"/>
    <hyperlink xmlns:r="http://schemas.openxmlformats.org/officeDocument/2006/relationships" ref="AI526" r:id="rId525"/>
    <hyperlink xmlns:r="http://schemas.openxmlformats.org/officeDocument/2006/relationships" ref="AI527" r:id="rId526"/>
    <hyperlink xmlns:r="http://schemas.openxmlformats.org/officeDocument/2006/relationships" ref="AI528" r:id="rId527"/>
    <hyperlink xmlns:r="http://schemas.openxmlformats.org/officeDocument/2006/relationships" ref="AI529" r:id="rId528"/>
    <hyperlink xmlns:r="http://schemas.openxmlformats.org/officeDocument/2006/relationships" ref="AI530" r:id="rId529"/>
    <hyperlink xmlns:r="http://schemas.openxmlformats.org/officeDocument/2006/relationships" ref="AI531" r:id="rId530"/>
    <hyperlink xmlns:r="http://schemas.openxmlformats.org/officeDocument/2006/relationships" ref="AI532" r:id="rId531"/>
    <hyperlink xmlns:r="http://schemas.openxmlformats.org/officeDocument/2006/relationships" ref="AI533" r:id="rId532"/>
    <hyperlink xmlns:r="http://schemas.openxmlformats.org/officeDocument/2006/relationships" ref="AI534" r:id="rId533"/>
    <hyperlink xmlns:r="http://schemas.openxmlformats.org/officeDocument/2006/relationships" ref="AI535" r:id="rId534"/>
    <hyperlink xmlns:r="http://schemas.openxmlformats.org/officeDocument/2006/relationships" ref="AI536" r:id="rId535"/>
    <hyperlink xmlns:r="http://schemas.openxmlformats.org/officeDocument/2006/relationships" ref="AI537" r:id="rId536"/>
    <hyperlink xmlns:r="http://schemas.openxmlformats.org/officeDocument/2006/relationships" ref="AI538" r:id="rId537"/>
    <hyperlink xmlns:r="http://schemas.openxmlformats.org/officeDocument/2006/relationships" ref="AI539" r:id="rId538"/>
    <hyperlink xmlns:r="http://schemas.openxmlformats.org/officeDocument/2006/relationships" ref="AI540" r:id="rId539"/>
    <hyperlink xmlns:r="http://schemas.openxmlformats.org/officeDocument/2006/relationships" ref="AI541" r:id="rId540"/>
    <hyperlink xmlns:r="http://schemas.openxmlformats.org/officeDocument/2006/relationships" ref="AI542" r:id="rId541"/>
    <hyperlink xmlns:r="http://schemas.openxmlformats.org/officeDocument/2006/relationships" ref="AI543" r:id="rId542"/>
    <hyperlink xmlns:r="http://schemas.openxmlformats.org/officeDocument/2006/relationships" ref="AI544" r:id="rId543"/>
    <hyperlink xmlns:r="http://schemas.openxmlformats.org/officeDocument/2006/relationships" ref="AI545" r:id="rId544"/>
    <hyperlink xmlns:r="http://schemas.openxmlformats.org/officeDocument/2006/relationships" ref="AI546" r:id="rId545"/>
    <hyperlink xmlns:r="http://schemas.openxmlformats.org/officeDocument/2006/relationships" ref="AI547" r:id="rId546"/>
    <hyperlink xmlns:r="http://schemas.openxmlformats.org/officeDocument/2006/relationships" ref="AI548" r:id="rId547"/>
    <hyperlink xmlns:r="http://schemas.openxmlformats.org/officeDocument/2006/relationships" ref="AI549" r:id="rId548"/>
    <hyperlink xmlns:r="http://schemas.openxmlformats.org/officeDocument/2006/relationships" ref="AI550" r:id="rId549"/>
    <hyperlink xmlns:r="http://schemas.openxmlformats.org/officeDocument/2006/relationships" ref="AI551" r:id="rId550"/>
    <hyperlink xmlns:r="http://schemas.openxmlformats.org/officeDocument/2006/relationships" ref="AI552" r:id="rId551"/>
    <hyperlink xmlns:r="http://schemas.openxmlformats.org/officeDocument/2006/relationships" ref="AI553" r:id="rId552"/>
    <hyperlink xmlns:r="http://schemas.openxmlformats.org/officeDocument/2006/relationships" ref="AI554" r:id="rId553"/>
    <hyperlink xmlns:r="http://schemas.openxmlformats.org/officeDocument/2006/relationships" ref="AI555" r:id="rId554"/>
    <hyperlink xmlns:r="http://schemas.openxmlformats.org/officeDocument/2006/relationships" ref="AI556" r:id="rId555"/>
    <hyperlink xmlns:r="http://schemas.openxmlformats.org/officeDocument/2006/relationships" ref="AI557" r:id="rId556"/>
    <hyperlink xmlns:r="http://schemas.openxmlformats.org/officeDocument/2006/relationships" ref="AI558" r:id="rId557"/>
    <hyperlink xmlns:r="http://schemas.openxmlformats.org/officeDocument/2006/relationships" ref="AI559" r:id="rId558"/>
    <hyperlink xmlns:r="http://schemas.openxmlformats.org/officeDocument/2006/relationships" ref="AI560" r:id="rId559"/>
    <hyperlink xmlns:r="http://schemas.openxmlformats.org/officeDocument/2006/relationships" ref="AI561" r:id="rId560"/>
    <hyperlink xmlns:r="http://schemas.openxmlformats.org/officeDocument/2006/relationships" ref="AI562" r:id="rId561"/>
    <hyperlink xmlns:r="http://schemas.openxmlformats.org/officeDocument/2006/relationships" ref="AI563" r:id="rId56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F3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0" customWidth="1" min="1" max="1"/>
    <col width="17" customWidth="1" min="2" max="2"/>
    <col width="36" customWidth="1" min="3" max="3"/>
    <col width="18" customWidth="1" min="4" max="4"/>
    <col width="11" customWidth="1" min="5" max="5"/>
    <col width="22" customWidth="1" min="6" max="6"/>
    <col width="11" customWidth="1" min="7" max="7"/>
    <col width="38" customWidth="1" min="8" max="8"/>
    <col width="30" customWidth="1" min="9" max="9"/>
    <col width="26" customWidth="1" min="10" max="10"/>
    <col width="16" customWidth="1" min="11" max="11"/>
    <col width="16" customWidth="1" min="12" max="12"/>
    <col width="16" customWidth="1" min="13" max="13"/>
    <col width="30" customWidth="1" min="14" max="14"/>
    <col width="12" customWidth="1" min="15" max="15"/>
    <col width="28" customWidth="1" min="16" max="16"/>
    <col width="24" customWidth="1" min="17" max="17"/>
    <col width="16" customWidth="1" min="18" max="18"/>
    <col width="28" customWidth="1" min="19" max="19"/>
    <col width="40" customWidth="1" min="20" max="20"/>
    <col width="17" customWidth="1" min="21" max="21"/>
    <col width="8" customWidth="1" min="22" max="22"/>
    <col width="10" customWidth="1" min="23" max="23"/>
    <col width="8" customWidth="1" min="24" max="24"/>
    <col width="8" customWidth="1" min="25" max="25"/>
    <col width="9" customWidth="1" min="26" max="26"/>
    <col width="8" customWidth="1" min="27" max="27"/>
    <col width="17" customWidth="1" min="28" max="28"/>
    <col width="7" customWidth="1" min="29" max="29"/>
    <col width="17" customWidth="1" min="30" max="30"/>
    <col width="7" customWidth="1" min="31" max="31"/>
    <col width="16" customWidth="1" min="32" max="32"/>
    <col width="8" customWidth="1" min="33" max="33"/>
    <col width="26" customWidth="1" min="34" max="34"/>
    <col width="50" customWidth="1" min="35" max="35"/>
    <col width="16" customWidth="1" min="36" max="36"/>
    <col width="30" customWidth="1" min="37" max="37"/>
    <col width="22" customWidth="1" min="38" max="38"/>
    <col width="11" customWidth="1" min="39" max="39"/>
    <col width="20" customWidth="1" min="40" max="40"/>
    <col width="26" customWidth="1" min="41" max="41"/>
    <col width="7" customWidth="1" min="42" max="42"/>
    <col width="18" customWidth="1" min="43" max="43"/>
    <col width="20" customWidth="1" min="44" max="44"/>
    <col width="7" customWidth="1" min="45" max="45"/>
    <col width="44" customWidth="1" min="46" max="46"/>
    <col width="19" customWidth="1" min="47" max="47"/>
    <col width="30" customWidth="1" min="48" max="48"/>
    <col width="30" customWidth="1" min="49" max="49"/>
    <col width="18" customWidth="1" min="50" max="50"/>
    <col width="5" customWidth="1" min="51" max="51"/>
    <col width="34" customWidth="1" min="52" max="52"/>
    <col width="10" customWidth="1" min="53" max="53"/>
    <col width="15" customWidth="1" min="54" max="54"/>
    <col width="13" customWidth="1" min="55" max="55"/>
    <col width="10" customWidth="1" min="56" max="56"/>
    <col width="6" customWidth="1" min="57" max="57"/>
    <col width="34" customWidth="1" min="58" max="58"/>
  </cols>
  <sheetData>
    <row r="1" ht="34" customHeight="1">
      <c r="A1" s="16" t="inlineStr">
        <is>
          <t>CREDITOR — company owed money</t>
        </is>
      </c>
      <c r="B1" s="16" t="inlineStr">
        <is>
          <t>AMOUNT OWED (R$)</t>
        </is>
      </c>
      <c r="C1" s="16" t="inlineStr">
        <is>
          <t>DEBTOR — company in RJ</t>
        </is>
      </c>
      <c r="D1" s="16" t="inlineStr">
        <is>
          <t>STATUS</t>
        </is>
      </c>
      <c r="E1" s="16" t="inlineStr">
        <is>
          <t>LAST TOUCH</t>
        </is>
      </c>
      <c r="F1" s="16" t="inlineStr">
        <is>
          <t>NEXT ACTION</t>
        </is>
      </c>
      <c r="G1" s="16" t="inlineStr">
        <is>
          <t>NEXT DATE</t>
        </is>
      </c>
      <c r="H1" s="16" t="inlineStr">
        <is>
          <t>NOTES</t>
        </is>
      </c>
      <c r="I1" s="16" t="inlineStr">
        <is>
          <t>DECISION MAKER</t>
        </is>
      </c>
      <c r="J1" s="16" t="inlineStr">
        <is>
          <t>Role</t>
        </is>
      </c>
      <c r="K1" s="16" t="inlineStr">
        <is>
          <t>Company phone 1</t>
        </is>
      </c>
      <c r="L1" s="16" t="inlineStr">
        <is>
          <t>Company phone 2</t>
        </is>
      </c>
      <c r="M1" s="16" t="inlineStr">
        <is>
          <t>Mobile (Apollo; reveal pending)</t>
        </is>
      </c>
      <c r="N1" s="16" t="inlineStr">
        <is>
          <t>Email</t>
        </is>
      </c>
      <c r="O1" s="16" t="inlineStr">
        <is>
          <t>Email status</t>
        </is>
      </c>
      <c r="P1" s="16" t="inlineStr">
        <is>
          <t>BACKUP CONTACT</t>
        </is>
      </c>
      <c r="Q1" s="16" t="inlineStr">
        <is>
          <t>Backup role</t>
        </is>
      </c>
      <c r="R1" s="16" t="inlineStr">
        <is>
          <t>Backup phone</t>
        </is>
      </c>
      <c r="S1" s="16" t="inlineStr">
        <is>
          <t>Backup email</t>
        </is>
      </c>
      <c r="T1" s="16" t="inlineStr">
        <is>
          <t>Contact note</t>
        </is>
      </c>
      <c r="U1" s="16" t="inlineStr">
        <is>
          <t>FACE VALUE (as printed)</t>
        </is>
      </c>
      <c r="V1" s="16" t="inlineStr">
        <is>
          <t>DEBTOR BAND</t>
        </is>
      </c>
      <c r="W1" s="16" t="inlineStr">
        <is>
          <t>Plan: class III recovery</t>
        </is>
      </c>
      <c r="X1" s="16" t="inlineStr">
        <is>
          <t>Plan: grace (y)</t>
        </is>
      </c>
      <c r="Y1" s="16" t="inlineStr">
        <is>
          <t>Plan: term (y)</t>
        </is>
      </c>
      <c r="Z1" s="16" t="inlineStr">
        <is>
          <t>Exp. recovery %</t>
        </is>
      </c>
      <c r="AA1" s="16" t="inlineStr">
        <is>
          <t>Years to payment</t>
        </is>
      </c>
      <c r="AB1" s="16" t="inlineStr">
        <is>
          <t>FUND PRICE @ IRR (model, R$)</t>
        </is>
      </c>
      <c r="AC1" s="16" t="inlineStr">
        <is>
          <t>Fund ¢/R$</t>
        </is>
      </c>
      <c r="AD1" s="16" t="inlineStr">
        <is>
          <t>OUR QUOTE (model, R$)</t>
        </is>
      </c>
      <c r="AE1" s="16" t="inlineStr">
        <is>
          <t>Quote ¢/R$</t>
        </is>
      </c>
      <c r="AF1" s="16" t="inlineStr">
        <is>
          <t>OUR ÁGIO (model, R$)</t>
        </is>
      </c>
      <c r="AG1" s="16" t="inlineStr">
        <is>
          <t>Ágio pts of face</t>
        </is>
      </c>
      <c r="AH1" s="16" t="inlineStr">
        <is>
          <t>PROOF QUALITY</t>
        </is>
      </c>
      <c r="AI1" s="16" t="inlineStr">
        <is>
          <t>PROOF: source document</t>
        </is>
      </c>
      <c r="AJ1" s="16" t="inlineStr">
        <is>
          <t>Page / row (extractor index)</t>
        </is>
      </c>
      <c r="AK1" s="16" t="inlineStr">
        <is>
          <t>Value as printed</t>
        </is>
      </c>
      <c r="AL1" s="16" t="inlineStr">
        <is>
          <t>Which list</t>
        </is>
      </c>
      <c r="AM1" s="16" t="inlineStr">
        <is>
          <t>List date</t>
        </is>
      </c>
      <c r="AN1" s="16" t="inlineStr">
        <is>
          <t>Plan evidence</t>
        </is>
      </c>
      <c r="AO1" s="16" t="inlineStr">
        <is>
          <t>Case number</t>
        </is>
      </c>
      <c r="AP1" s="16" t="inlineStr">
        <is>
          <t>Court</t>
        </is>
      </c>
      <c r="AQ1" s="16" t="inlineStr">
        <is>
          <t>Proceeding</t>
        </is>
      </c>
      <c r="AR1" s="16" t="inlineStr">
        <is>
          <t>Stage (DataJud)</t>
        </is>
      </c>
      <c r="AS1" s="16" t="inlineStr">
        <is>
          <t>Filed</t>
        </is>
      </c>
      <c r="AT1" s="16" t="inlineStr">
        <is>
          <t>Band reason</t>
        </is>
      </c>
      <c r="AU1" s="16" t="inlineStr">
        <is>
          <t>Debtor CNPJ (lead entity)</t>
        </is>
      </c>
      <c r="AV1" s="16" t="inlineStr">
        <is>
          <t>Debtor source</t>
        </is>
      </c>
      <c r="AW1" s="16" t="inlineStr">
        <is>
          <t>Plan terms source</t>
        </is>
      </c>
      <c r="AX1" s="16" t="inlineStr">
        <is>
          <t>City</t>
        </is>
      </c>
      <c r="AY1" s="16" t="inlineStr">
        <is>
          <t>UF</t>
        </is>
      </c>
      <c r="AZ1" s="16" t="inlineStr">
        <is>
          <t>Sector</t>
        </is>
      </c>
      <c r="BA1" s="16" t="inlineStr">
        <is>
          <t>Size</t>
        </is>
      </c>
      <c r="BB1" s="16" t="inlineStr">
        <is>
          <t>Capital (R$)</t>
        </is>
      </c>
      <c r="BC1" s="16" t="inlineStr">
        <is>
          <t>Seller fit</t>
        </is>
      </c>
      <c r="BD1" s="16" t="inlineStr">
        <is>
          <t>CNPJ root</t>
        </is>
      </c>
      <c r="BE1" s="16" t="inlineStr">
        <is>
          <t>Claims</t>
        </is>
      </c>
      <c r="BF1" s="16" t="inlineStr">
        <is>
          <t>Flags</t>
        </is>
      </c>
    </row>
    <row r="2">
      <c r="A2" s="17" t="inlineStr">
        <is>
          <t>TRAVESSIA SECURITIZADORA DE CREDITOS MERCANTIS XXV S.A.</t>
        </is>
      </c>
      <c r="B2" s="18" t="n">
        <v>860209703.42</v>
      </c>
      <c r="C2" s="19" t="inlineStr">
        <is>
          <t>GRUPO EGESA (Egesa Engenharia S.A. + 9 group companies; see group members)</t>
        </is>
      </c>
      <c r="D2" s="20" t="inlineStr">
        <is>
          <t>NEW</t>
        </is>
      </c>
      <c r="E2" s="21" t="inlineStr"/>
      <c r="F2" s="20" t="inlineStr"/>
      <c r="G2" s="21" t="inlineStr"/>
      <c r="H2" s="20" t="inlineStr"/>
      <c r="I2" s="22" t="inlineStr">
        <is>
          <t>VINICIUS BERNARDES BASILE SILVEIRA STOPA</t>
        </is>
      </c>
      <c r="J2" s="23" t="inlineStr">
        <is>
          <t>Presidente (RFB partner)</t>
        </is>
      </c>
      <c r="K2" s="22" t="inlineStr">
        <is>
          <t>(11) 4115-8700</t>
        </is>
      </c>
      <c r="L2" s="22" t="inlineStr"/>
      <c r="M2" s="22" t="inlineStr"/>
      <c r="N2" s="22" t="inlineStr"/>
      <c r="O2" s="22" t="inlineStr"/>
      <c r="P2" s="22" t="inlineStr">
        <is>
          <t>CAMILA MARIA OLIVEIRA</t>
        </is>
      </c>
      <c r="Q2" s="22" t="inlineStr">
        <is>
          <t>Diretor (RFB partner)</t>
        </is>
      </c>
      <c r="R2" s="22" t="inlineStr"/>
      <c r="S2" s="22" t="inlineStr"/>
      <c r="T2" s="22" t="inlineStr">
        <is>
          <t>DM = registered partner (RFB QSA); no Apollo match</t>
        </is>
      </c>
      <c r="U2" s="24" t="n">
        <v>860209703.42</v>
      </c>
      <c r="V2" s="25" t="inlineStr">
        <is>
          <t>B</t>
        </is>
      </c>
      <c r="W2" s="26" t="inlineStr"/>
      <c r="X2" s="27" t="inlineStr"/>
      <c r="Y2" s="27" t="inlineStr"/>
      <c r="Z2" s="26">
        <f>IF(W2&lt;&gt;"",W2,IFERROR(VLOOKUP(V2,Assumptions!$A$8:$F$12,2,FALSE),0))*Assumptions!$B$5</f>
        <v/>
      </c>
      <c r="AA2" s="28">
        <f>IF(V2="A",MAX(1,IF(X2&lt;&gt;"",X2,IFERROR(VLOOKUP(V2,Assumptions!$A$8:$F$12,3,FALSE),3))+IF(Y2&lt;&gt;"",Y2,IFERROR(VLOOKUP(V2,Assumptions!$A$8:$F$12,4,FALSE),8))/2-MAX(0,IF(AS2="",0,YEAR(TODAY())-AS2)-IFERROR(VLOOKUP(V2,Assumptions!$A$8:$F$12,5,FALSE),1.5))),IFERROR(VLOOKUP(V2,Assumptions!$A$8:$F$12,5,FALSE),2.5)+IF(X2&lt;&gt;"",X2,IFERROR(VLOOKUP(V2,Assumptions!$A$8:$F$12,3,FALSE),3))+IF(Y2&lt;&gt;"",Y2,IFERROR(VLOOKUP(V2,Assumptions!$A$8:$F$12,4,FALSE),8))/2)</f>
        <v/>
      </c>
      <c r="AB2" s="24">
        <f>U2*Z2/(1+Assumptions!$B$3)^AA2</f>
        <v/>
      </c>
      <c r="AC2" s="27">
        <f>IF(U2=0,"",ROUND(AB2/U2*100,1))</f>
        <v/>
      </c>
      <c r="AD2" s="29">
        <f>AB2*Assumptions!$B$4</f>
        <v/>
      </c>
      <c r="AE2" s="27">
        <f>IF(U2=0,"",ROUND(AD2/U2*100,1))</f>
        <v/>
      </c>
      <c r="AF2" s="29">
        <f>AB2-AD2</f>
        <v/>
      </c>
      <c r="AG2" s="27">
        <f>IF(U2=0,"",ROUND((AB2-AD2)/U2*100,1))</f>
        <v/>
      </c>
      <c r="AH2" s="30" t="inlineStr">
        <is>
          <t>OK — totals reconciled</t>
        </is>
      </c>
      <c r="AI2" s="31" t="inlineStr">
        <is>
          <t>https://scalzilliaj.com.br/sgc/download.php?file=files/processo_documento/processo_documento09514021082025_1_.pdf&amp;nome=04 - Relação de credores das Recuperandas</t>
        </is>
      </c>
      <c r="AJ2" s="30" t="inlineStr">
        <is>
          <t>p74 r14; p74 r15; p75 r1; p75 r2; p75 r3</t>
        </is>
      </c>
      <c r="AK2" s="30" t="inlineStr">
        <is>
          <t>p74: R$ 353.866.498,00; p74: R$ 298.441.197,42; p75: R$ 135.449.857,00; p75: R$ 46.031.397,00; p75: R$ 26.420.754,00</t>
        </is>
      </c>
      <c r="AL2" s="30" t="inlineStr">
        <is>
          <t>Debtor list (art. 51)</t>
        </is>
      </c>
      <c r="AM2" s="30" t="inlineStr"/>
      <c r="AN2" s="30" t="inlineStr">
        <is>
          <t>NONE FOUND</t>
        </is>
      </c>
      <c r="AO2" s="32" t="inlineStr">
        <is>
          <t>5088952-81.2025.8.13.0024</t>
        </is>
      </c>
      <c r="AP2" s="32" t="inlineStr">
        <is>
          <t>TJMG</t>
        </is>
      </c>
      <c r="AQ2" s="32" t="inlineStr"/>
      <c r="AR2" s="32" t="inlineStr">
        <is>
          <t>DataJud: no closure/falência movement</t>
        </is>
      </c>
      <c r="AS2" s="32" t="n">
        <v>2025</v>
      </c>
      <c r="AT2" s="32" t="inlineStr">
        <is>
          <t>live case, no plan document yet; case no. from the portal record, not printed on the list</t>
        </is>
      </c>
      <c r="AU2" s="32" t="inlineStr"/>
      <c r="AV2" s="32" t="inlineStr">
        <is>
          <t>portal page title / URL — not printed on the list</t>
        </is>
      </c>
      <c r="AW2" s="32" t="inlineStr"/>
      <c r="AX2" s="32" t="inlineStr">
        <is>
          <t>SAO PAULO</t>
        </is>
      </c>
      <c r="AY2" s="32" t="inlineStr">
        <is>
          <t>SP</t>
        </is>
      </c>
      <c r="AZ2" s="32" t="inlineStr">
        <is>
          <t>Securitização de créditos</t>
        </is>
      </c>
      <c r="BA2" s="32" t="inlineStr">
        <is>
          <t>não ME/EPP</t>
        </is>
      </c>
      <c r="BB2" s="33" t="n">
        <v>500</v>
      </c>
      <c r="BC2" s="32" t="inlineStr">
        <is>
          <t>MID-MARKET</t>
        </is>
      </c>
      <c r="BD2" s="32" t="inlineStr">
        <is>
          <t>45741898</t>
        </is>
      </c>
      <c r="BE2" s="32" t="n">
        <v>5</v>
      </c>
      <c r="BF2" s="32" t="inlineStr">
        <is>
          <t>financial by name case no. corrected by reader case no. from portal record</t>
        </is>
      </c>
    </row>
    <row r="3">
      <c r="A3" s="17" t="inlineStr">
        <is>
          <t>BANCO BRADESCO S.A.</t>
        </is>
      </c>
      <c r="B3" s="18" t="n">
        <v>166745196.81</v>
      </c>
      <c r="C3" s="19" t="inlineStr">
        <is>
          <t>GRUPO EGESA (Egesa Engenharia S.A. + 9 group companies; see group members)</t>
        </is>
      </c>
      <c r="D3" s="20" t="inlineStr">
        <is>
          <t>NEW</t>
        </is>
      </c>
      <c r="E3" s="21" t="inlineStr"/>
      <c r="F3" s="20" t="inlineStr"/>
      <c r="G3" s="21" t="inlineStr"/>
      <c r="H3" s="20" t="inlineStr"/>
      <c r="I3" s="22" t="inlineStr">
        <is>
          <t>Marcela Martins</t>
        </is>
      </c>
      <c r="J3" s="22" t="inlineStr">
        <is>
          <t>Superintendente de Recuperação de Crédito - Canais e Operações</t>
        </is>
      </c>
      <c r="K3" s="22" t="inlineStr">
        <is>
          <t>(11) 3684-5122</t>
        </is>
      </c>
      <c r="L3" s="22" t="inlineStr"/>
      <c r="M3" s="22" t="inlineStr"/>
      <c r="N3" s="22" t="inlineStr"/>
      <c r="O3" s="22" t="inlineStr"/>
      <c r="P3" s="22" t="inlineStr">
        <is>
          <t>Luis S</t>
        </is>
      </c>
      <c r="Q3" s="22" t="inlineStr">
        <is>
          <t>DRC - Departamento de Recuperação de Crédito - Gerente de Reestruturação de Crédito</t>
        </is>
      </c>
      <c r="R3" s="22" t="inlineStr"/>
      <c r="S3" s="22" t="inlineStr">
        <is>
          <t>sl@bradesco.com.br</t>
        </is>
      </c>
      <c r="T3" s="22" t="inlineStr">
        <is>
          <t>DM: DM; no work email in Apollo for DM; BACKUP: backup</t>
        </is>
      </c>
      <c r="U3" s="24" t="n">
        <v>166745196.81</v>
      </c>
      <c r="V3" s="25" t="inlineStr">
        <is>
          <t>B</t>
        </is>
      </c>
      <c r="W3" s="26" t="inlineStr"/>
      <c r="X3" s="27" t="inlineStr"/>
      <c r="Y3" s="27" t="inlineStr"/>
      <c r="Z3" s="26">
        <f>IF(W3&lt;&gt;"",W3,IFERROR(VLOOKUP(V3,Assumptions!$A$8:$F$12,2,FALSE),0))*Assumptions!$B$5</f>
        <v/>
      </c>
      <c r="AA3" s="28">
        <f>IF(V3="A",MAX(1,IF(X3&lt;&gt;"",X3,IFERROR(VLOOKUP(V3,Assumptions!$A$8:$F$12,3,FALSE),3))+IF(Y3&lt;&gt;"",Y3,IFERROR(VLOOKUP(V3,Assumptions!$A$8:$F$12,4,FALSE),8))/2-MAX(0,IF(AS3="",0,YEAR(TODAY())-AS3)-IFERROR(VLOOKUP(V3,Assumptions!$A$8:$F$12,5,FALSE),1.5))),IFERROR(VLOOKUP(V3,Assumptions!$A$8:$F$12,5,FALSE),2.5)+IF(X3&lt;&gt;"",X3,IFERROR(VLOOKUP(V3,Assumptions!$A$8:$F$12,3,FALSE),3))+IF(Y3&lt;&gt;"",Y3,IFERROR(VLOOKUP(V3,Assumptions!$A$8:$F$12,4,FALSE),8))/2)</f>
        <v/>
      </c>
      <c r="AB3" s="24">
        <f>U3*Z3/(1+Assumptions!$B$3)^AA3</f>
        <v/>
      </c>
      <c r="AC3" s="27">
        <f>IF(U3=0,"",ROUND(AB3/U3*100,1))</f>
        <v/>
      </c>
      <c r="AD3" s="29">
        <f>AB3*Assumptions!$B$4</f>
        <v/>
      </c>
      <c r="AE3" s="27">
        <f>IF(U3=0,"",ROUND(AD3/U3*100,1))</f>
        <v/>
      </c>
      <c r="AF3" s="29">
        <f>AB3-AD3</f>
        <v/>
      </c>
      <c r="AG3" s="27">
        <f>IF(U3=0,"",ROUND((AB3-AD3)/U3*100,1))</f>
        <v/>
      </c>
      <c r="AH3" s="30" t="inlineStr">
        <is>
          <t>OK — totals reconciled</t>
        </is>
      </c>
      <c r="AI3" s="31" t="inlineStr">
        <is>
          <t>https://scalzilliaj.com.br/sgc/download.php?file=files/processo_documento/processo_documento09514021082025_1_.pdf&amp;nome=04 - Relação de credores das Recuperandas</t>
        </is>
      </c>
      <c r="AJ3" s="30" t="inlineStr">
        <is>
          <t>p62 r14</t>
        </is>
      </c>
      <c r="AK3" s="30" t="inlineStr">
        <is>
          <t>p62: R$ 166.745.196,81</t>
        </is>
      </c>
      <c r="AL3" s="30" t="inlineStr">
        <is>
          <t>Debtor list (art. 51)</t>
        </is>
      </c>
      <c r="AM3" s="30" t="inlineStr"/>
      <c r="AN3" s="30" t="inlineStr">
        <is>
          <t>NONE FOUND</t>
        </is>
      </c>
      <c r="AO3" s="32" t="inlineStr">
        <is>
          <t>5088952-81.2025.8.13.0024</t>
        </is>
      </c>
      <c r="AP3" s="32" t="inlineStr">
        <is>
          <t>TJMG</t>
        </is>
      </c>
      <c r="AQ3" s="32" t="inlineStr"/>
      <c r="AR3" s="32" t="inlineStr">
        <is>
          <t>DataJud: no closure/falência movement</t>
        </is>
      </c>
      <c r="AS3" s="32" t="n">
        <v>2025</v>
      </c>
      <c r="AT3" s="32" t="inlineStr">
        <is>
          <t>live case, no plan document yet; case no. from the portal record, not printed on the list</t>
        </is>
      </c>
      <c r="AU3" s="32" t="inlineStr"/>
      <c r="AV3" s="32" t="inlineStr">
        <is>
          <t>portal page title / URL — not printed on the list</t>
        </is>
      </c>
      <c r="AW3" s="32" t="inlineStr"/>
      <c r="AX3" s="32" t="inlineStr">
        <is>
          <t>OSASCO</t>
        </is>
      </c>
      <c r="AY3" s="32" t="inlineStr">
        <is>
          <t>SP</t>
        </is>
      </c>
      <c r="AZ3" s="32" t="inlineStr">
        <is>
          <t>Bancos múltiplos, com carteira comercial</t>
        </is>
      </c>
      <c r="BA3" s="32" t="inlineStr">
        <is>
          <t>não ME/EPP</t>
        </is>
      </c>
      <c r="BB3" s="33" t="n">
        <v>93770000000</v>
      </c>
      <c r="BC3" s="32" t="inlineStr">
        <is>
          <t>LARGE CORP</t>
        </is>
      </c>
      <c r="BD3" s="32" t="inlineStr">
        <is>
          <t>60746948</t>
        </is>
      </c>
      <c r="BE3" s="32" t="n">
        <v>1</v>
      </c>
      <c r="BF3" s="32" t="inlineStr">
        <is>
          <t>financial by name case no. corrected by reader case no. from portal record</t>
        </is>
      </c>
    </row>
    <row r="4">
      <c r="A4" s="17" t="inlineStr">
        <is>
          <t>BANCO RURAL S.A - EM LIQUIDACAO EXTRAJUDICIAL</t>
        </is>
      </c>
      <c r="B4" s="18" t="n">
        <v>91334195.52</v>
      </c>
      <c r="C4" s="19" t="inlineStr">
        <is>
          <t>GRUPO EGESA (Egesa Engenharia S.A. + 9 group companies; see group members)</t>
        </is>
      </c>
      <c r="D4" s="20" t="inlineStr">
        <is>
          <t>NEW</t>
        </is>
      </c>
      <c r="E4" s="21" t="inlineStr"/>
      <c r="F4" s="20" t="inlineStr"/>
      <c r="G4" s="21" t="inlineStr"/>
      <c r="H4" s="20" t="inlineStr"/>
      <c r="I4" s="22" t="inlineStr">
        <is>
          <t>Marcelo Candido</t>
        </is>
      </c>
      <c r="J4" s="22" t="inlineStr">
        <is>
          <t>Especialista em Recuperação de Crédito</t>
        </is>
      </c>
      <c r="K4" s="22" t="inlineStr">
        <is>
          <t>(31) 2126-5207</t>
        </is>
      </c>
      <c r="L4" s="22" t="inlineStr"/>
      <c r="M4" s="22" t="inlineStr"/>
      <c r="N4" s="22" t="inlineStr"/>
      <c r="O4" s="22" t="inlineStr"/>
      <c r="P4" s="22" t="inlineStr">
        <is>
          <t>OSMAR BRASIL DE ALMEIDA</t>
        </is>
      </c>
      <c r="Q4" s="22" t="inlineStr">
        <is>
          <t>Diretor (RFB partner)</t>
        </is>
      </c>
      <c r="R4" s="22" t="inlineStr"/>
      <c r="S4" s="22" t="inlineStr"/>
      <c r="T4" s="22" t="inlineStr">
        <is>
          <t>DM: DM; no work email in Apollo for DM</t>
        </is>
      </c>
      <c r="U4" s="24" t="n">
        <v>91334195.52</v>
      </c>
      <c r="V4" s="25" t="inlineStr">
        <is>
          <t>B</t>
        </is>
      </c>
      <c r="W4" s="26" t="inlineStr"/>
      <c r="X4" s="27" t="inlineStr"/>
      <c r="Y4" s="27" t="inlineStr"/>
      <c r="Z4" s="26">
        <f>IF(W4&lt;&gt;"",W4,IFERROR(VLOOKUP(V4,Assumptions!$A$8:$F$12,2,FALSE),0))*Assumptions!$B$5</f>
        <v/>
      </c>
      <c r="AA4" s="28">
        <f>IF(V4="A",MAX(1,IF(X4&lt;&gt;"",X4,IFERROR(VLOOKUP(V4,Assumptions!$A$8:$F$12,3,FALSE),3))+IF(Y4&lt;&gt;"",Y4,IFERROR(VLOOKUP(V4,Assumptions!$A$8:$F$12,4,FALSE),8))/2-MAX(0,IF(AS4="",0,YEAR(TODAY())-AS4)-IFERROR(VLOOKUP(V4,Assumptions!$A$8:$F$12,5,FALSE),1.5))),IFERROR(VLOOKUP(V4,Assumptions!$A$8:$F$12,5,FALSE),2.5)+IF(X4&lt;&gt;"",X4,IFERROR(VLOOKUP(V4,Assumptions!$A$8:$F$12,3,FALSE),3))+IF(Y4&lt;&gt;"",Y4,IFERROR(VLOOKUP(V4,Assumptions!$A$8:$F$12,4,FALSE),8))/2)</f>
        <v/>
      </c>
      <c r="AB4" s="24">
        <f>U4*Z4/(1+Assumptions!$B$3)^AA4</f>
        <v/>
      </c>
      <c r="AC4" s="27">
        <f>IF(U4=0,"",ROUND(AB4/U4*100,1))</f>
        <v/>
      </c>
      <c r="AD4" s="29">
        <f>AB4*Assumptions!$B$4</f>
        <v/>
      </c>
      <c r="AE4" s="27">
        <f>IF(U4=0,"",ROUND(AD4/U4*100,1))</f>
        <v/>
      </c>
      <c r="AF4" s="29">
        <f>AB4-AD4</f>
        <v/>
      </c>
      <c r="AG4" s="27">
        <f>IF(U4=0,"",ROUND((AB4-AD4)/U4*100,1))</f>
        <v/>
      </c>
      <c r="AH4" s="30" t="inlineStr">
        <is>
          <t>OK — totals reconciled</t>
        </is>
      </c>
      <c r="AI4" s="31" t="inlineStr">
        <is>
          <t>https://scalzilliaj.com.br/sgc/download.php?file=files/processo_documento/processo_documento09514021082025_1_.pdf&amp;nome=04 - Relação de credores das Recuperandas</t>
        </is>
      </c>
      <c r="AJ4" s="30" t="inlineStr">
        <is>
          <t>p62 r16</t>
        </is>
      </c>
      <c r="AK4" s="30" t="inlineStr">
        <is>
          <t>p62: R$ 91.334.195,52</t>
        </is>
      </c>
      <c r="AL4" s="30" t="inlineStr">
        <is>
          <t>Debtor list (art. 51)</t>
        </is>
      </c>
      <c r="AM4" s="30" t="inlineStr"/>
      <c r="AN4" s="30" t="inlineStr">
        <is>
          <t>NONE FOUND</t>
        </is>
      </c>
      <c r="AO4" s="32" t="inlineStr">
        <is>
          <t>5088952-81.2025.8.13.0024</t>
        </is>
      </c>
      <c r="AP4" s="32" t="inlineStr">
        <is>
          <t>TJMG</t>
        </is>
      </c>
      <c r="AQ4" s="32" t="inlineStr"/>
      <c r="AR4" s="32" t="inlineStr">
        <is>
          <t>DataJud: no closure/falência movement</t>
        </is>
      </c>
      <c r="AS4" s="32" t="n">
        <v>2025</v>
      </c>
      <c r="AT4" s="32" t="inlineStr">
        <is>
          <t>live case, no plan document yet; case no. from the portal record, not printed on the list</t>
        </is>
      </c>
      <c r="AU4" s="32" t="inlineStr"/>
      <c r="AV4" s="32" t="inlineStr">
        <is>
          <t>portal page title / URL — not printed on the list</t>
        </is>
      </c>
      <c r="AW4" s="32" t="inlineStr"/>
      <c r="AX4" s="32" t="inlineStr">
        <is>
          <t>BELO HORIZONTE</t>
        </is>
      </c>
      <c r="AY4" s="32" t="inlineStr">
        <is>
          <t>MG</t>
        </is>
      </c>
      <c r="AZ4" s="32" t="inlineStr">
        <is>
          <t>Bancos múltiplos, com carteira comercial</t>
        </is>
      </c>
      <c r="BA4" s="32" t="inlineStr">
        <is>
          <t>não ME/EPP</t>
        </is>
      </c>
      <c r="BB4" s="33" t="n">
        <v>540744200</v>
      </c>
      <c r="BC4" s="32" t="inlineStr">
        <is>
          <t>MID-MARKET</t>
        </is>
      </c>
      <c r="BD4" s="32" t="inlineStr">
        <is>
          <t>33124959</t>
        </is>
      </c>
      <c r="BE4" s="32" t="n">
        <v>1</v>
      </c>
      <c r="BF4" s="32" t="inlineStr">
        <is>
          <t>financial by name case no. corrected by reader case no. from portal record</t>
        </is>
      </c>
    </row>
    <row r="5">
      <c r="A5" s="17" t="inlineStr">
        <is>
          <t>BANK OF CHINA (BRASIL) BANCO MULTIPLO S/A</t>
        </is>
      </c>
      <c r="B5" s="18" t="n">
        <v>84072313.37</v>
      </c>
      <c r="C5" s="19" t="inlineStr">
        <is>
          <t>GRUPO EGESA (Egesa Engenharia S.A. + 9 group companies; see group members)</t>
        </is>
      </c>
      <c r="D5" s="20" t="inlineStr">
        <is>
          <t>NEW</t>
        </is>
      </c>
      <c r="E5" s="21" t="inlineStr"/>
      <c r="F5" s="20" t="inlineStr"/>
      <c r="G5" s="21" t="inlineStr"/>
      <c r="H5" s="20" t="inlineStr"/>
      <c r="I5" s="22" t="inlineStr">
        <is>
          <t>Claudio Rotolo</t>
        </is>
      </c>
      <c r="J5" s="22" t="inlineStr">
        <is>
          <t>Executive Director</t>
        </is>
      </c>
      <c r="K5" s="22" t="inlineStr">
        <is>
          <t>(11) 2173-9000</t>
        </is>
      </c>
      <c r="L5" s="22" t="inlineStr"/>
      <c r="M5" s="22" t="inlineStr"/>
      <c r="N5" s="22" t="inlineStr">
        <is>
          <t>claudio.rotolo@bocbrasil.com.br</t>
        </is>
      </c>
      <c r="O5" s="22" t="inlineStr">
        <is>
          <t>verified</t>
        </is>
      </c>
      <c r="P5" s="22" t="inlineStr">
        <is>
          <t>Renan Medeiros</t>
        </is>
      </c>
      <c r="Q5" s="22" t="inlineStr">
        <is>
          <t>Credit Analyst</t>
        </is>
      </c>
      <c r="R5" s="22" t="inlineStr"/>
      <c r="S5" s="22" t="inlineStr">
        <is>
          <t>medeiros.renan@groupebpce.com</t>
        </is>
      </c>
      <c r="T5" s="22" t="inlineStr">
        <is>
          <t>DM: DM verified email; VERIFY org: Bank of China (Brasil) Banco Múltiplo S/A - no recovery desk in Apollo; BACKUP: backup extrapolated email (groupebpce.com domain - VERIFY); backup email is pattern-guessed</t>
        </is>
      </c>
      <c r="U5" s="24" t="n">
        <v>84072313.37</v>
      </c>
      <c r="V5" s="25" t="inlineStr">
        <is>
          <t>B</t>
        </is>
      </c>
      <c r="W5" s="26" t="inlineStr"/>
      <c r="X5" s="27" t="inlineStr"/>
      <c r="Y5" s="27" t="inlineStr"/>
      <c r="Z5" s="26">
        <f>IF(W5&lt;&gt;"",W5,IFERROR(VLOOKUP(V5,Assumptions!$A$8:$F$12,2,FALSE),0))*Assumptions!$B$5</f>
        <v/>
      </c>
      <c r="AA5" s="28">
        <f>IF(V5="A",MAX(1,IF(X5&lt;&gt;"",X5,IFERROR(VLOOKUP(V5,Assumptions!$A$8:$F$12,3,FALSE),3))+IF(Y5&lt;&gt;"",Y5,IFERROR(VLOOKUP(V5,Assumptions!$A$8:$F$12,4,FALSE),8))/2-MAX(0,IF(AS5="",0,YEAR(TODAY())-AS5)-IFERROR(VLOOKUP(V5,Assumptions!$A$8:$F$12,5,FALSE),1.5))),IFERROR(VLOOKUP(V5,Assumptions!$A$8:$F$12,5,FALSE),2.5)+IF(X5&lt;&gt;"",X5,IFERROR(VLOOKUP(V5,Assumptions!$A$8:$F$12,3,FALSE),3))+IF(Y5&lt;&gt;"",Y5,IFERROR(VLOOKUP(V5,Assumptions!$A$8:$F$12,4,FALSE),8))/2)</f>
        <v/>
      </c>
      <c r="AB5" s="24">
        <f>U5*Z5/(1+Assumptions!$B$3)^AA5</f>
        <v/>
      </c>
      <c r="AC5" s="27">
        <f>IF(U5=0,"",ROUND(AB5/U5*100,1))</f>
        <v/>
      </c>
      <c r="AD5" s="29">
        <f>AB5*Assumptions!$B$4</f>
        <v/>
      </c>
      <c r="AE5" s="27">
        <f>IF(U5=0,"",ROUND(AD5/U5*100,1))</f>
        <v/>
      </c>
      <c r="AF5" s="29">
        <f>AB5-AD5</f>
        <v/>
      </c>
      <c r="AG5" s="27">
        <f>IF(U5=0,"",ROUND((AB5-AD5)/U5*100,1))</f>
        <v/>
      </c>
      <c r="AH5" s="30" t="inlineStr">
        <is>
          <t>OK — totals reconciled</t>
        </is>
      </c>
      <c r="AI5" s="31" t="inlineStr">
        <is>
          <t>https://scalzilliaj.com.br/sgc/download.php?file=files/processo_documento/processo_documento09514021082025_1_.pdf&amp;nome=04 - Relação de credores das Recuperandas</t>
        </is>
      </c>
      <c r="AJ5" s="30" t="inlineStr">
        <is>
          <t>p64 r8</t>
        </is>
      </c>
      <c r="AK5" s="30" t="inlineStr">
        <is>
          <t>p64: R$ 84.072.313,37</t>
        </is>
      </c>
      <c r="AL5" s="30" t="inlineStr">
        <is>
          <t>Debtor list (art. 51)</t>
        </is>
      </c>
      <c r="AM5" s="30" t="inlineStr"/>
      <c r="AN5" s="30" t="inlineStr">
        <is>
          <t>NONE FOUND</t>
        </is>
      </c>
      <c r="AO5" s="32" t="inlineStr">
        <is>
          <t>5088952-81.2025.8.13.0024</t>
        </is>
      </c>
      <c r="AP5" s="32" t="inlineStr">
        <is>
          <t>TJMG</t>
        </is>
      </c>
      <c r="AQ5" s="32" t="inlineStr"/>
      <c r="AR5" s="32" t="inlineStr">
        <is>
          <t>DataJud: no closure/falência movement</t>
        </is>
      </c>
      <c r="AS5" s="32" t="n">
        <v>2025</v>
      </c>
      <c r="AT5" s="32" t="inlineStr">
        <is>
          <t>live case, no plan document yet; case no. from the portal record, not printed on the list</t>
        </is>
      </c>
      <c r="AU5" s="32" t="inlineStr"/>
      <c r="AV5" s="32" t="inlineStr">
        <is>
          <t>portal page title / URL — not printed on the list</t>
        </is>
      </c>
      <c r="AW5" s="32" t="inlineStr"/>
      <c r="AX5" s="32" t="inlineStr">
        <is>
          <t>SAO PAULO</t>
        </is>
      </c>
      <c r="AY5" s="32" t="inlineStr">
        <is>
          <t>SP</t>
        </is>
      </c>
      <c r="AZ5" s="32" t="inlineStr">
        <is>
          <t>Bancos múltiplos, com carteira comercial</t>
        </is>
      </c>
      <c r="BA5" s="32" t="inlineStr">
        <is>
          <t>não ME/EPP</t>
        </is>
      </c>
      <c r="BB5" s="33" t="n">
        <v>3497234200</v>
      </c>
      <c r="BC5" s="32" t="inlineStr">
        <is>
          <t>LARGE CORP</t>
        </is>
      </c>
      <c r="BD5" s="32" t="inlineStr">
        <is>
          <t>07450604</t>
        </is>
      </c>
      <c r="BE5" s="32" t="n">
        <v>1</v>
      </c>
      <c r="BF5" s="32" t="inlineStr">
        <is>
          <t>financial by name case no. corrected by reader case no. from portal record</t>
        </is>
      </c>
    </row>
    <row r="6">
      <c r="A6" s="17" t="inlineStr">
        <is>
          <t>BANCO SANTANDER (BRASIL) S.A.</t>
        </is>
      </c>
      <c r="B6" s="18" t="n">
        <v>81755024.22</v>
      </c>
      <c r="C6" s="19" t="inlineStr">
        <is>
          <t>GRUPO EGESA (Egesa Engenharia S.A. + 9 group companies; see group members)</t>
        </is>
      </c>
      <c r="D6" s="20" t="inlineStr">
        <is>
          <t>NEW</t>
        </is>
      </c>
      <c r="E6" s="21" t="inlineStr"/>
      <c r="F6" s="20" t="inlineStr"/>
      <c r="G6" s="21" t="inlineStr"/>
      <c r="H6" s="20" t="inlineStr"/>
      <c r="I6" s="22" t="inlineStr">
        <is>
          <t>Igor Puertas</t>
        </is>
      </c>
      <c r="J6" s="22" t="inlineStr">
        <is>
          <t>Distressed Assets | NPL</t>
        </is>
      </c>
      <c r="K6" s="22" t="inlineStr">
        <is>
          <t>(11) 4004-3535</t>
        </is>
      </c>
      <c r="L6" s="22" t="inlineStr"/>
      <c r="M6" s="22" t="inlineStr"/>
      <c r="N6" s="22" t="inlineStr">
        <is>
          <t>igor.puertas@santander.com.br</t>
        </is>
      </c>
      <c r="O6" s="22" t="inlineStr">
        <is>
          <t>verified</t>
        </is>
      </c>
      <c r="P6" s="22" t="inlineStr">
        <is>
          <t>Antonio Junior</t>
        </is>
      </c>
      <c r="Q6" s="22" t="inlineStr">
        <is>
          <t>Superintendente Recuperação de Crédito</t>
        </is>
      </c>
      <c r="R6" s="22" t="inlineStr"/>
      <c r="S6" s="22" t="inlineStr">
        <is>
          <t>antonio.pequeno.junior@santander.com.br</t>
        </is>
      </c>
      <c r="T6" s="22" t="inlineStr">
        <is>
          <t>DM: DM; BACKUP: backup</t>
        </is>
      </c>
      <c r="U6" s="24" t="n">
        <v>81755024.22</v>
      </c>
      <c r="V6" s="25" t="inlineStr">
        <is>
          <t>B</t>
        </is>
      </c>
      <c r="W6" s="26" t="inlineStr"/>
      <c r="X6" s="27" t="inlineStr"/>
      <c r="Y6" s="27" t="inlineStr"/>
      <c r="Z6" s="26">
        <f>IF(W6&lt;&gt;"",W6,IFERROR(VLOOKUP(V6,Assumptions!$A$8:$F$12,2,FALSE),0))*Assumptions!$B$5</f>
        <v/>
      </c>
      <c r="AA6" s="28">
        <f>IF(V6="A",MAX(1,IF(X6&lt;&gt;"",X6,IFERROR(VLOOKUP(V6,Assumptions!$A$8:$F$12,3,FALSE),3))+IF(Y6&lt;&gt;"",Y6,IFERROR(VLOOKUP(V6,Assumptions!$A$8:$F$12,4,FALSE),8))/2-MAX(0,IF(AS6="",0,YEAR(TODAY())-AS6)-IFERROR(VLOOKUP(V6,Assumptions!$A$8:$F$12,5,FALSE),1.5))),IFERROR(VLOOKUP(V6,Assumptions!$A$8:$F$12,5,FALSE),2.5)+IF(X6&lt;&gt;"",X6,IFERROR(VLOOKUP(V6,Assumptions!$A$8:$F$12,3,FALSE),3))+IF(Y6&lt;&gt;"",Y6,IFERROR(VLOOKUP(V6,Assumptions!$A$8:$F$12,4,FALSE),8))/2)</f>
        <v/>
      </c>
      <c r="AB6" s="24">
        <f>U6*Z6/(1+Assumptions!$B$3)^AA6</f>
        <v/>
      </c>
      <c r="AC6" s="27">
        <f>IF(U6=0,"",ROUND(AB6/U6*100,1))</f>
        <v/>
      </c>
      <c r="AD6" s="29">
        <f>AB6*Assumptions!$B$4</f>
        <v/>
      </c>
      <c r="AE6" s="27">
        <f>IF(U6=0,"",ROUND(AD6/U6*100,1))</f>
        <v/>
      </c>
      <c r="AF6" s="29">
        <f>AB6-AD6</f>
        <v/>
      </c>
      <c r="AG6" s="27">
        <f>IF(U6=0,"",ROUND((AB6-AD6)/U6*100,1))</f>
        <v/>
      </c>
      <c r="AH6" s="30" t="inlineStr">
        <is>
          <t>OK — totals reconciled</t>
        </is>
      </c>
      <c r="AI6" s="31" t="inlineStr">
        <is>
          <t>https://scalzilliaj.com.br/sgc/download.php?file=files/processo_documento/processo_documento09514021082025_1_.pdf&amp;nome=04 - Relação de credores das Recuperandas</t>
        </is>
      </c>
      <c r="AJ6" s="30" t="inlineStr">
        <is>
          <t>p62 r17</t>
        </is>
      </c>
      <c r="AK6" s="30" t="inlineStr">
        <is>
          <t>p62: R$ 81.755.024,22</t>
        </is>
      </c>
      <c r="AL6" s="30" t="inlineStr">
        <is>
          <t>Debtor list (art. 51)</t>
        </is>
      </c>
      <c r="AM6" s="30" t="inlineStr"/>
      <c r="AN6" s="30" t="inlineStr">
        <is>
          <t>NONE FOUND</t>
        </is>
      </c>
      <c r="AO6" s="32" t="inlineStr">
        <is>
          <t>5088952-81.2025.8.13.0024</t>
        </is>
      </c>
      <c r="AP6" s="32" t="inlineStr">
        <is>
          <t>TJMG</t>
        </is>
      </c>
      <c r="AQ6" s="32" t="inlineStr"/>
      <c r="AR6" s="32" t="inlineStr">
        <is>
          <t>DataJud: no closure/falência movement</t>
        </is>
      </c>
      <c r="AS6" s="32" t="n">
        <v>2025</v>
      </c>
      <c r="AT6" s="32" t="inlineStr">
        <is>
          <t>live case, no plan document yet; case no. from the portal record, not printed on the list</t>
        </is>
      </c>
      <c r="AU6" s="32" t="inlineStr"/>
      <c r="AV6" s="32" t="inlineStr">
        <is>
          <t>portal page title / URL — not printed on the list</t>
        </is>
      </c>
      <c r="AW6" s="32" t="inlineStr"/>
      <c r="AX6" s="32" t="inlineStr">
        <is>
          <t>SAO PAULO</t>
        </is>
      </c>
      <c r="AY6" s="32" t="inlineStr">
        <is>
          <t>SP</t>
        </is>
      </c>
      <c r="AZ6" s="32" t="inlineStr">
        <is>
          <t>Bancos múltiplos, com carteira comercial</t>
        </is>
      </c>
      <c r="BA6" s="32" t="inlineStr">
        <is>
          <t>não ME/EPP</t>
        </is>
      </c>
      <c r="BB6" s="33" t="n">
        <v>65000000000</v>
      </c>
      <c r="BC6" s="32" t="inlineStr">
        <is>
          <t>LARGE CORP</t>
        </is>
      </c>
      <c r="BD6" s="32" t="inlineStr">
        <is>
          <t>90400888</t>
        </is>
      </c>
      <c r="BE6" s="32" t="n">
        <v>1</v>
      </c>
      <c r="BF6" s="32" t="inlineStr">
        <is>
          <t>financial by name case no. corrected by reader case no. from portal record</t>
        </is>
      </c>
    </row>
    <row r="7">
      <c r="A7" s="17" t="inlineStr">
        <is>
          <t>BANCO VOTORANTIM S.A.</t>
        </is>
      </c>
      <c r="B7" s="18" t="n">
        <v>65326446.86</v>
      </c>
      <c r="C7" s="19" t="inlineStr">
        <is>
          <t>GRUPO EGESA (Egesa Engenharia S.A. + 9 group companies; see group members)</t>
        </is>
      </c>
      <c r="D7" s="20" t="inlineStr">
        <is>
          <t>NEW</t>
        </is>
      </c>
      <c r="E7" s="21" t="inlineStr"/>
      <c r="F7" s="20" t="inlineStr"/>
      <c r="G7" s="21" t="inlineStr"/>
      <c r="H7" s="20" t="inlineStr"/>
      <c r="I7" s="22" t="inlineStr">
        <is>
          <t>Red Silva</t>
        </is>
      </c>
      <c r="J7" s="22" t="inlineStr">
        <is>
          <t>Special Assets - Banker Senior</t>
        </is>
      </c>
      <c r="K7" s="22" t="inlineStr">
        <is>
          <t>(11) 5171-2672</t>
        </is>
      </c>
      <c r="L7" s="22" t="inlineStr">
        <is>
          <t>(11) 5171-2488</t>
        </is>
      </c>
      <c r="M7" s="22" t="inlineStr"/>
      <c r="N7" s="22" t="inlineStr">
        <is>
          <t>red.silva@bv.com.br</t>
        </is>
      </c>
      <c r="O7" s="22" t="inlineStr">
        <is>
          <t>verified</t>
        </is>
      </c>
      <c r="P7" s="22" t="inlineStr">
        <is>
          <t>Caroline Oishi</t>
        </is>
      </c>
      <c r="Q7" s="22" t="inlineStr">
        <is>
          <t>Gerente Executivo de Recuperação de Crédito</t>
        </is>
      </c>
      <c r="R7" s="22" t="inlineStr"/>
      <c r="S7" s="22" t="inlineStr">
        <is>
          <t>caroline.oishi@bv.com.br</t>
        </is>
      </c>
      <c r="T7" s="22" t="inlineStr">
        <is>
          <t>DM: DM; BACKUP: backup</t>
        </is>
      </c>
      <c r="U7" s="24" t="n">
        <v>65326446.86</v>
      </c>
      <c r="V7" s="25" t="inlineStr">
        <is>
          <t>B</t>
        </is>
      </c>
      <c r="W7" s="26" t="inlineStr"/>
      <c r="X7" s="27" t="inlineStr"/>
      <c r="Y7" s="27" t="inlineStr"/>
      <c r="Z7" s="26">
        <f>IF(W7&lt;&gt;"",W7,IFERROR(VLOOKUP(V7,Assumptions!$A$8:$F$12,2,FALSE),0))*Assumptions!$B$5</f>
        <v/>
      </c>
      <c r="AA7" s="28">
        <f>IF(V7="A",MAX(1,IF(X7&lt;&gt;"",X7,IFERROR(VLOOKUP(V7,Assumptions!$A$8:$F$12,3,FALSE),3))+IF(Y7&lt;&gt;"",Y7,IFERROR(VLOOKUP(V7,Assumptions!$A$8:$F$12,4,FALSE),8))/2-MAX(0,IF(AS7="",0,YEAR(TODAY())-AS7)-IFERROR(VLOOKUP(V7,Assumptions!$A$8:$F$12,5,FALSE),1.5))),IFERROR(VLOOKUP(V7,Assumptions!$A$8:$F$12,5,FALSE),2.5)+IF(X7&lt;&gt;"",X7,IFERROR(VLOOKUP(V7,Assumptions!$A$8:$F$12,3,FALSE),3))+IF(Y7&lt;&gt;"",Y7,IFERROR(VLOOKUP(V7,Assumptions!$A$8:$F$12,4,FALSE),8))/2)</f>
        <v/>
      </c>
      <c r="AB7" s="24">
        <f>U7*Z7/(1+Assumptions!$B$3)^AA7</f>
        <v/>
      </c>
      <c r="AC7" s="27">
        <f>IF(U7=0,"",ROUND(AB7/U7*100,1))</f>
        <v/>
      </c>
      <c r="AD7" s="29">
        <f>AB7*Assumptions!$B$4</f>
        <v/>
      </c>
      <c r="AE7" s="27">
        <f>IF(U7=0,"",ROUND(AD7/U7*100,1))</f>
        <v/>
      </c>
      <c r="AF7" s="29">
        <f>AB7-AD7</f>
        <v/>
      </c>
      <c r="AG7" s="27">
        <f>IF(U7=0,"",ROUND((AB7-AD7)/U7*100,1))</f>
        <v/>
      </c>
      <c r="AH7" s="30" t="inlineStr">
        <is>
          <t>OK — totals reconciled</t>
        </is>
      </c>
      <c r="AI7" s="31" t="inlineStr">
        <is>
          <t>https://scalzilliaj.com.br/sgc/download.php?file=files/processo_documento/processo_documento09514021082025_1_.pdf&amp;nome=04 - Relação de credores das Recuperandas</t>
        </is>
      </c>
      <c r="AJ7" s="30" t="inlineStr">
        <is>
          <t>p63 r1</t>
        </is>
      </c>
      <c r="AK7" s="30" t="inlineStr">
        <is>
          <t>p63: R$ 65.326.446,86</t>
        </is>
      </c>
      <c r="AL7" s="30" t="inlineStr">
        <is>
          <t>Debtor list (art. 51)</t>
        </is>
      </c>
      <c r="AM7" s="30" t="inlineStr"/>
      <c r="AN7" s="30" t="inlineStr">
        <is>
          <t>NONE FOUND</t>
        </is>
      </c>
      <c r="AO7" s="32" t="inlineStr">
        <is>
          <t>5088952-81.2025.8.13.0024</t>
        </is>
      </c>
      <c r="AP7" s="32" t="inlineStr">
        <is>
          <t>TJMG</t>
        </is>
      </c>
      <c r="AQ7" s="32" t="inlineStr"/>
      <c r="AR7" s="32" t="inlineStr">
        <is>
          <t>DataJud: no closure/falência movement</t>
        </is>
      </c>
      <c r="AS7" s="32" t="n">
        <v>2025</v>
      </c>
      <c r="AT7" s="32" t="inlineStr">
        <is>
          <t>live case, no plan document yet; case no. from the portal record, not printed on the list</t>
        </is>
      </c>
      <c r="AU7" s="32" t="inlineStr"/>
      <c r="AV7" s="32" t="inlineStr">
        <is>
          <t>portal page title / URL — not printed on the list</t>
        </is>
      </c>
      <c r="AW7" s="32" t="inlineStr"/>
      <c r="AX7" s="32" t="inlineStr">
        <is>
          <t>SAO PAULO</t>
        </is>
      </c>
      <c r="AY7" s="32" t="inlineStr">
        <is>
          <t>SP</t>
        </is>
      </c>
      <c r="AZ7" s="32" t="inlineStr">
        <is>
          <t>Bancos múltiplos, com carteira comercial</t>
        </is>
      </c>
      <c r="BA7" s="32" t="inlineStr">
        <is>
          <t>não ME/EPP</t>
        </is>
      </c>
      <c r="BB7" s="33" t="n">
        <v>8480372000</v>
      </c>
      <c r="BC7" s="32" t="inlineStr">
        <is>
          <t>LARGE CORP</t>
        </is>
      </c>
      <c r="BD7" s="32" t="inlineStr">
        <is>
          <t>59588111</t>
        </is>
      </c>
      <c r="BE7" s="32" t="n">
        <v>1</v>
      </c>
      <c r="BF7" s="32" t="inlineStr">
        <is>
          <t>financial by name case no. corrected by reader case no. from portal record</t>
        </is>
      </c>
    </row>
    <row r="8">
      <c r="A8" s="17" t="inlineStr">
        <is>
          <t>BANCO SANTANDER (BRASIL) S.A.</t>
        </is>
      </c>
      <c r="B8" s="18" t="n">
        <v>53119917.67</v>
      </c>
      <c r="C8" s="19" t="inlineStr">
        <is>
          <t>Grupo Rech</t>
        </is>
      </c>
      <c r="D8" s="20" t="inlineStr">
        <is>
          <t>NEW</t>
        </is>
      </c>
      <c r="E8" s="21" t="inlineStr"/>
      <c r="F8" s="20" t="inlineStr"/>
      <c r="G8" s="21" t="inlineStr"/>
      <c r="H8" s="20" t="inlineStr"/>
      <c r="I8" s="22" t="inlineStr">
        <is>
          <t>Igor Puertas</t>
        </is>
      </c>
      <c r="J8" s="22" t="inlineStr">
        <is>
          <t>Distressed Assets | NPL</t>
        </is>
      </c>
      <c r="K8" s="22" t="inlineStr">
        <is>
          <t>(11) 4004-3535</t>
        </is>
      </c>
      <c r="L8" s="22" t="inlineStr"/>
      <c r="M8" s="22" t="inlineStr"/>
      <c r="N8" s="22" t="inlineStr">
        <is>
          <t>igor.puertas@santander.com.br</t>
        </is>
      </c>
      <c r="O8" s="22" t="inlineStr">
        <is>
          <t>verified</t>
        </is>
      </c>
      <c r="P8" s="22" t="inlineStr">
        <is>
          <t>Antonio Junior</t>
        </is>
      </c>
      <c r="Q8" s="22" t="inlineStr">
        <is>
          <t>Superintendente Recuperação de Crédito</t>
        </is>
      </c>
      <c r="R8" s="22" t="inlineStr"/>
      <c r="S8" s="22" t="inlineStr">
        <is>
          <t>antonio.pequeno.junior@santander.com.br</t>
        </is>
      </c>
      <c r="T8" s="22" t="inlineStr">
        <is>
          <t>DM: DM; BACKUP: backup</t>
        </is>
      </c>
      <c r="U8" s="24" t="n">
        <v>53119917.67</v>
      </c>
      <c r="V8" s="25" t="inlineStr">
        <is>
          <t>B</t>
        </is>
      </c>
      <c r="W8" s="26" t="inlineStr"/>
      <c r="X8" s="27" t="inlineStr"/>
      <c r="Y8" s="27" t="inlineStr"/>
      <c r="Z8" s="26">
        <f>IF(W8&lt;&gt;"",W8,IFERROR(VLOOKUP(V8,Assumptions!$A$8:$F$12,2,FALSE),0))*Assumptions!$B$5</f>
        <v/>
      </c>
      <c r="AA8" s="28">
        <f>IF(V8="A",MAX(1,IF(X8&lt;&gt;"",X8,IFERROR(VLOOKUP(V8,Assumptions!$A$8:$F$12,3,FALSE),3))+IF(Y8&lt;&gt;"",Y8,IFERROR(VLOOKUP(V8,Assumptions!$A$8:$F$12,4,FALSE),8))/2-MAX(0,IF(AS8="",0,YEAR(TODAY())-AS8)-IFERROR(VLOOKUP(V8,Assumptions!$A$8:$F$12,5,FALSE),1.5))),IFERROR(VLOOKUP(V8,Assumptions!$A$8:$F$12,5,FALSE),2.5)+IF(X8&lt;&gt;"",X8,IFERROR(VLOOKUP(V8,Assumptions!$A$8:$F$12,3,FALSE),3))+IF(Y8&lt;&gt;"",Y8,IFERROR(VLOOKUP(V8,Assumptions!$A$8:$F$12,4,FALSE),8))/2)</f>
        <v/>
      </c>
      <c r="AB8" s="24">
        <f>U8*Z8/(1+Assumptions!$B$3)^AA8</f>
        <v/>
      </c>
      <c r="AC8" s="27">
        <f>IF(U8=0,"",ROUND(AB8/U8*100,1))</f>
        <v/>
      </c>
      <c r="AD8" s="29">
        <f>AB8*Assumptions!$B$4</f>
        <v/>
      </c>
      <c r="AE8" s="27">
        <f>IF(U8=0,"",ROUND(AD8/U8*100,1))</f>
        <v/>
      </c>
      <c r="AF8" s="29">
        <f>AB8-AD8</f>
        <v/>
      </c>
      <c r="AG8" s="27">
        <f>IF(U8=0,"",ROUND((AB8-AD8)/U8*100,1))</f>
        <v/>
      </c>
      <c r="AH8" s="36" t="inlineStr">
        <is>
          <t>CHECK — source is not a statutory creditor list</t>
        </is>
      </c>
      <c r="AI8" s="31" t="inlineStr">
        <is>
          <t>https://credibilita.com.br/wp-content/uploads/2025/09/Relacao-Credores-29.04.2026.pdf</t>
        </is>
      </c>
      <c r="AJ8" s="30" t="inlineStr">
        <is>
          <t>p1 r13</t>
        </is>
      </c>
      <c r="AK8" s="30" t="inlineStr">
        <is>
          <t>p1: R$ 53.119.917,67</t>
        </is>
      </c>
      <c r="AL8" s="30" t="inlineStr">
        <is>
          <t>Quorum list — NOT an art. 7/51 list</t>
        </is>
      </c>
      <c r="AM8" s="30" t="inlineStr"/>
      <c r="AN8" s="30" t="inlineStr">
        <is>
          <t>NONE FOUND</t>
        </is>
      </c>
      <c r="AO8" s="32" t="inlineStr">
        <is>
          <t>5057720-48.2025.8.24.0023</t>
        </is>
      </c>
      <c r="AP8" s="32" t="inlineStr">
        <is>
          <t>TJSC</t>
        </is>
      </c>
      <c r="AQ8" s="32" t="inlineStr"/>
      <c r="AR8" s="32" t="inlineStr">
        <is>
          <t>not in DataJud</t>
        </is>
      </c>
      <c r="AS8" s="32" t="n">
        <v>2025</v>
      </c>
      <c r="AT8" s="32" t="inlineStr">
        <is>
          <t>live case, no plan document yet; case no. from the portal record, not printed on the list</t>
        </is>
      </c>
      <c r="AU8" s="32" t="inlineStr"/>
      <c r="AV8" s="32" t="inlineStr">
        <is>
          <t>portal page title / URL — not printed on the list</t>
        </is>
      </c>
      <c r="AW8" s="32" t="inlineStr"/>
      <c r="AX8" s="32" t="inlineStr">
        <is>
          <t>SAO PAULO</t>
        </is>
      </c>
      <c r="AY8" s="32" t="inlineStr">
        <is>
          <t>SP</t>
        </is>
      </c>
      <c r="AZ8" s="32" t="inlineStr">
        <is>
          <t>Bancos múltiplos, com carteira comercial</t>
        </is>
      </c>
      <c r="BA8" s="32" t="inlineStr">
        <is>
          <t>não ME/EPP</t>
        </is>
      </c>
      <c r="BB8" s="33" t="n">
        <v>65000000000</v>
      </c>
      <c r="BC8" s="32" t="inlineStr">
        <is>
          <t>LARGE CORP</t>
        </is>
      </c>
      <c r="BD8" s="32" t="inlineStr">
        <is>
          <t>90400888</t>
        </is>
      </c>
      <c r="BE8" s="32" t="n">
        <v>1</v>
      </c>
      <c r="BF8" s="32" t="inlineStr">
        <is>
          <t>list prints no totals case no. corrected by reader</t>
        </is>
      </c>
    </row>
    <row r="9">
      <c r="A9" s="17" t="inlineStr">
        <is>
          <t>ITAU UNIBANCO S.A.</t>
        </is>
      </c>
      <c r="B9" s="18" t="n">
        <v>46224793.46</v>
      </c>
      <c r="C9" s="19" t="inlineStr">
        <is>
          <t>Grupo Rech</t>
        </is>
      </c>
      <c r="D9" s="20" t="inlineStr">
        <is>
          <t>NEW</t>
        </is>
      </c>
      <c r="E9" s="21" t="inlineStr"/>
      <c r="F9" s="20" t="inlineStr"/>
      <c r="G9" s="21" t="inlineStr"/>
      <c r="H9" s="20" t="inlineStr"/>
      <c r="I9" s="22" t="inlineStr">
        <is>
          <t>Murilo Gigliucci</t>
        </is>
      </c>
      <c r="J9" s="22" t="inlineStr">
        <is>
          <t>Superintendente de Reestruturação de Crédito</t>
        </is>
      </c>
      <c r="K9" s="22" t="inlineStr">
        <is>
          <t>(11) 3003-4828</t>
        </is>
      </c>
      <c r="L9" s="22" t="inlineStr"/>
      <c r="M9" s="22" t="inlineStr"/>
      <c r="N9" s="22" t="inlineStr">
        <is>
          <t>murilo.gigliucci@itau-unibanco.com.br</t>
        </is>
      </c>
      <c r="O9" s="22" t="inlineStr">
        <is>
          <t>verified</t>
        </is>
      </c>
      <c r="P9" s="22" t="inlineStr">
        <is>
          <t>Pedro Ornellas</t>
        </is>
      </c>
      <c r="Q9" s="22" t="inlineStr">
        <is>
          <t>Superintendente de Recuperação de Crédito</t>
        </is>
      </c>
      <c r="R9" s="22" t="inlineStr"/>
      <c r="S9" s="22" t="inlineStr">
        <is>
          <t>pedro.ornellas-geronimo@itau-unibanco.com.br</t>
        </is>
      </c>
      <c r="T9" s="22" t="inlineStr">
        <is>
          <t>DM: DM verified email; BACKUP: backup verified email</t>
        </is>
      </c>
      <c r="U9" s="24" t="n">
        <v>46224793.46</v>
      </c>
      <c r="V9" s="25" t="inlineStr">
        <is>
          <t>B</t>
        </is>
      </c>
      <c r="W9" s="26" t="inlineStr"/>
      <c r="X9" s="27" t="inlineStr"/>
      <c r="Y9" s="27" t="inlineStr"/>
      <c r="Z9" s="26">
        <f>IF(W9&lt;&gt;"",W9,IFERROR(VLOOKUP(V9,Assumptions!$A$8:$F$12,2,FALSE),0))*Assumptions!$B$5</f>
        <v/>
      </c>
      <c r="AA9" s="28">
        <f>IF(V9="A",MAX(1,IF(X9&lt;&gt;"",X9,IFERROR(VLOOKUP(V9,Assumptions!$A$8:$F$12,3,FALSE),3))+IF(Y9&lt;&gt;"",Y9,IFERROR(VLOOKUP(V9,Assumptions!$A$8:$F$12,4,FALSE),8))/2-MAX(0,IF(AS9="",0,YEAR(TODAY())-AS9)-IFERROR(VLOOKUP(V9,Assumptions!$A$8:$F$12,5,FALSE),1.5))),IFERROR(VLOOKUP(V9,Assumptions!$A$8:$F$12,5,FALSE),2.5)+IF(X9&lt;&gt;"",X9,IFERROR(VLOOKUP(V9,Assumptions!$A$8:$F$12,3,FALSE),3))+IF(Y9&lt;&gt;"",Y9,IFERROR(VLOOKUP(V9,Assumptions!$A$8:$F$12,4,FALSE),8))/2)</f>
        <v/>
      </c>
      <c r="AB9" s="24">
        <f>U9*Z9/(1+Assumptions!$B$3)^AA9</f>
        <v/>
      </c>
      <c r="AC9" s="27">
        <f>IF(U9=0,"",ROUND(AB9/U9*100,1))</f>
        <v/>
      </c>
      <c r="AD9" s="29">
        <f>AB9*Assumptions!$B$4</f>
        <v/>
      </c>
      <c r="AE9" s="27">
        <f>IF(U9=0,"",ROUND(AD9/U9*100,1))</f>
        <v/>
      </c>
      <c r="AF9" s="29">
        <f>AB9-AD9</f>
        <v/>
      </c>
      <c r="AG9" s="27">
        <f>IF(U9=0,"",ROUND((AB9-AD9)/U9*100,1))</f>
        <v/>
      </c>
      <c r="AH9" s="36" t="inlineStr">
        <is>
          <t>CHECK — source is not a statutory creditor list</t>
        </is>
      </c>
      <c r="AI9" s="31" t="inlineStr">
        <is>
          <t>https://credibilita.com.br/wp-content/uploads/2025/09/Relacao-Credores-29.04.2026.pdf</t>
        </is>
      </c>
      <c r="AJ9" s="30" t="inlineStr">
        <is>
          <t>p1 r28</t>
        </is>
      </c>
      <c r="AK9" s="30" t="inlineStr">
        <is>
          <t>p1: R$ 46.224.793,46</t>
        </is>
      </c>
      <c r="AL9" s="30" t="inlineStr">
        <is>
          <t>Quorum list — NOT an art. 7/51 list</t>
        </is>
      </c>
      <c r="AM9" s="30" t="inlineStr"/>
      <c r="AN9" s="30" t="inlineStr">
        <is>
          <t>NONE FOUND</t>
        </is>
      </c>
      <c r="AO9" s="32" t="inlineStr">
        <is>
          <t>5057720-48.2025.8.24.0023</t>
        </is>
      </c>
      <c r="AP9" s="32" t="inlineStr">
        <is>
          <t>TJSC</t>
        </is>
      </c>
      <c r="AQ9" s="32" t="inlineStr"/>
      <c r="AR9" s="32" t="inlineStr">
        <is>
          <t>not in DataJud</t>
        </is>
      </c>
      <c r="AS9" s="32" t="n">
        <v>2025</v>
      </c>
      <c r="AT9" s="32" t="inlineStr">
        <is>
          <t>live case, no plan document yet; case no. from the portal record, not printed on the list</t>
        </is>
      </c>
      <c r="AU9" s="32" t="inlineStr"/>
      <c r="AV9" s="32" t="inlineStr">
        <is>
          <t>portal page title / URL — not printed on the list</t>
        </is>
      </c>
      <c r="AW9" s="32" t="inlineStr"/>
      <c r="AX9" s="32" t="inlineStr">
        <is>
          <t>SAO PAULO</t>
        </is>
      </c>
      <c r="AY9" s="32" t="inlineStr">
        <is>
          <t>SP</t>
        </is>
      </c>
      <c r="AZ9" s="32" t="inlineStr">
        <is>
          <t>Bancos comerciais</t>
        </is>
      </c>
      <c r="BA9" s="32" t="inlineStr">
        <is>
          <t>não ME/EPP</t>
        </is>
      </c>
      <c r="BB9" s="33" t="n">
        <v>76200000000</v>
      </c>
      <c r="BC9" s="32" t="inlineStr">
        <is>
          <t>LARGE CORP</t>
        </is>
      </c>
      <c r="BD9" s="32" t="inlineStr">
        <is>
          <t>60701190</t>
        </is>
      </c>
      <c r="BE9" s="32" t="n">
        <v>1</v>
      </c>
      <c r="BF9" s="32" t="inlineStr">
        <is>
          <t>list prints no totals case no. corrected by reader</t>
        </is>
      </c>
    </row>
    <row r="10">
      <c r="A10" s="17" t="inlineStr">
        <is>
          <t>BANCO FIBRA SA</t>
        </is>
      </c>
      <c r="B10" s="18" t="n">
        <v>45662831.72</v>
      </c>
      <c r="C10" s="19" t="inlineStr">
        <is>
          <t>GRUPO EGESA (Egesa Engenharia S.A. + 9 group companies; see group members)</t>
        </is>
      </c>
      <c r="D10" s="20" t="inlineStr">
        <is>
          <t>NEW</t>
        </is>
      </c>
      <c r="E10" s="21" t="inlineStr"/>
      <c r="F10" s="20" t="inlineStr"/>
      <c r="G10" s="21" t="inlineStr"/>
      <c r="H10" s="20" t="inlineStr"/>
      <c r="I10" s="22" t="inlineStr">
        <is>
          <t>Carlota Schwarz</t>
        </is>
      </c>
      <c r="J10" s="22" t="inlineStr">
        <is>
          <t>Superintendente de Reestruturação de Crédito</t>
        </is>
      </c>
      <c r="K10" s="22" t="inlineStr">
        <is>
          <t>(11) 3847-6943</t>
        </is>
      </c>
      <c r="L10" s="22" t="inlineStr"/>
      <c r="M10" s="22" t="inlineStr"/>
      <c r="N10" s="22" t="inlineStr">
        <is>
          <t>carlota.schwarz@bancofibra.com.br</t>
        </is>
      </c>
      <c r="O10" s="22" t="inlineStr">
        <is>
          <t>verified</t>
        </is>
      </c>
      <c r="P10" s="22" t="inlineStr">
        <is>
          <t>Augusto Cardoso</t>
        </is>
      </c>
      <c r="Q10" s="22" t="inlineStr">
        <is>
          <t>Gerente de Recuperação de Crédito e Cobrança</t>
        </is>
      </c>
      <c r="R10" s="22" t="inlineStr"/>
      <c r="S10" s="22" t="inlineStr">
        <is>
          <t>acardoso@bancofibra.com.br</t>
        </is>
      </c>
      <c r="T10" s="22" t="inlineStr">
        <is>
          <t>DM: DM; BACKUP: backup</t>
        </is>
      </c>
      <c r="U10" s="24" t="n">
        <v>45662831.72</v>
      </c>
      <c r="V10" s="25" t="inlineStr">
        <is>
          <t>B</t>
        </is>
      </c>
      <c r="W10" s="26" t="inlineStr"/>
      <c r="X10" s="27" t="inlineStr"/>
      <c r="Y10" s="27" t="inlineStr"/>
      <c r="Z10" s="26">
        <f>IF(W10&lt;&gt;"",W10,IFERROR(VLOOKUP(V10,Assumptions!$A$8:$F$12,2,FALSE),0))*Assumptions!$B$5</f>
        <v/>
      </c>
      <c r="AA10" s="28">
        <f>IF(V10="A",MAX(1,IF(X10&lt;&gt;"",X10,IFERROR(VLOOKUP(V10,Assumptions!$A$8:$F$12,3,FALSE),3))+IF(Y10&lt;&gt;"",Y10,IFERROR(VLOOKUP(V10,Assumptions!$A$8:$F$12,4,FALSE),8))/2-MAX(0,IF(AS10="",0,YEAR(TODAY())-AS10)-IFERROR(VLOOKUP(V10,Assumptions!$A$8:$F$12,5,FALSE),1.5))),IFERROR(VLOOKUP(V10,Assumptions!$A$8:$F$12,5,FALSE),2.5)+IF(X10&lt;&gt;"",X10,IFERROR(VLOOKUP(V10,Assumptions!$A$8:$F$12,3,FALSE),3))+IF(Y10&lt;&gt;"",Y10,IFERROR(VLOOKUP(V10,Assumptions!$A$8:$F$12,4,FALSE),8))/2)</f>
        <v/>
      </c>
      <c r="AB10" s="24">
        <f>U10*Z10/(1+Assumptions!$B$3)^AA10</f>
        <v/>
      </c>
      <c r="AC10" s="27">
        <f>IF(U10=0,"",ROUND(AB10/U10*100,1))</f>
        <v/>
      </c>
      <c r="AD10" s="29">
        <f>AB10*Assumptions!$B$4</f>
        <v/>
      </c>
      <c r="AE10" s="27">
        <f>IF(U10=0,"",ROUND(AD10/U10*100,1))</f>
        <v/>
      </c>
      <c r="AF10" s="29">
        <f>AB10-AD10</f>
        <v/>
      </c>
      <c r="AG10" s="27">
        <f>IF(U10=0,"",ROUND((AB10-AD10)/U10*100,1))</f>
        <v/>
      </c>
      <c r="AH10" s="30" t="inlineStr">
        <is>
          <t>OK — totals reconciled</t>
        </is>
      </c>
      <c r="AI10" s="31" t="inlineStr">
        <is>
          <t>https://scalzilliaj.com.br/sgc/download.php?file=files/processo_documento/processo_documento09514021082025_1_.pdf&amp;nome=04 - Relação de credores das Recuperandas</t>
        </is>
      </c>
      <c r="AJ10" s="30" t="inlineStr">
        <is>
          <t>p62 r15</t>
        </is>
      </c>
      <c r="AK10" s="30" t="inlineStr">
        <is>
          <t>p62: R$ 45.662.831,72</t>
        </is>
      </c>
      <c r="AL10" s="30" t="inlineStr">
        <is>
          <t>Debtor list (art. 51)</t>
        </is>
      </c>
      <c r="AM10" s="30" t="inlineStr"/>
      <c r="AN10" s="30" t="inlineStr">
        <is>
          <t>NONE FOUND</t>
        </is>
      </c>
      <c r="AO10" s="32" t="inlineStr">
        <is>
          <t>5088952-81.2025.8.13.0024</t>
        </is>
      </c>
      <c r="AP10" s="32" t="inlineStr">
        <is>
          <t>TJMG</t>
        </is>
      </c>
      <c r="AQ10" s="32" t="inlineStr"/>
      <c r="AR10" s="32" t="inlineStr">
        <is>
          <t>DataJud: no closure/falência movement</t>
        </is>
      </c>
      <c r="AS10" s="32" t="n">
        <v>2025</v>
      </c>
      <c r="AT10" s="32" t="inlineStr">
        <is>
          <t>live case, no plan document yet; case no. from the portal record, not printed on the list</t>
        </is>
      </c>
      <c r="AU10" s="32" t="inlineStr"/>
      <c r="AV10" s="32" t="inlineStr">
        <is>
          <t>portal page title / URL — not printed on the list</t>
        </is>
      </c>
      <c r="AW10" s="32" t="inlineStr"/>
      <c r="AX10" s="32" t="inlineStr">
        <is>
          <t>SAO PAULO</t>
        </is>
      </c>
      <c r="AY10" s="32" t="inlineStr">
        <is>
          <t>SP</t>
        </is>
      </c>
      <c r="AZ10" s="32" t="inlineStr">
        <is>
          <t>Bancos múltiplos, com carteira comercial</t>
        </is>
      </c>
      <c r="BA10" s="32" t="inlineStr">
        <is>
          <t>não ME/EPP</t>
        </is>
      </c>
      <c r="BB10" s="33" t="n">
        <v>1207776000</v>
      </c>
      <c r="BC10" s="32" t="inlineStr">
        <is>
          <t>LARGE CORP</t>
        </is>
      </c>
      <c r="BD10" s="32" t="inlineStr">
        <is>
          <t>58616418</t>
        </is>
      </c>
      <c r="BE10" s="32" t="n">
        <v>1</v>
      </c>
      <c r="BF10" s="32" t="inlineStr">
        <is>
          <t>financial by name case no. corrected by reader case no. from portal record</t>
        </is>
      </c>
    </row>
    <row r="11">
      <c r="A11" s="17" t="inlineStr">
        <is>
          <t>BANCO SANTANDER (BRASIL) S.A.</t>
        </is>
      </c>
      <c r="B11" s="18" t="n">
        <v>21041903.06</v>
      </c>
      <c r="C11" s="19" t="inlineStr">
        <is>
          <t>GRUPO GLP</t>
        </is>
      </c>
      <c r="D11" s="20" t="inlineStr">
        <is>
          <t>NEW</t>
        </is>
      </c>
      <c r="E11" s="21" t="inlineStr"/>
      <c r="F11" s="20" t="inlineStr"/>
      <c r="G11" s="21" t="inlineStr"/>
      <c r="H11" s="20" t="inlineStr"/>
      <c r="I11" s="22" t="inlineStr">
        <is>
          <t>Igor Puertas</t>
        </is>
      </c>
      <c r="J11" s="22" t="inlineStr">
        <is>
          <t>Distressed Assets | NPL</t>
        </is>
      </c>
      <c r="K11" s="22" t="inlineStr">
        <is>
          <t>(11) 4004-3535</t>
        </is>
      </c>
      <c r="L11" s="22" t="inlineStr"/>
      <c r="M11" s="22" t="inlineStr"/>
      <c r="N11" s="22" t="inlineStr">
        <is>
          <t>igor.puertas@santander.com.br</t>
        </is>
      </c>
      <c r="O11" s="22" t="inlineStr">
        <is>
          <t>verified</t>
        </is>
      </c>
      <c r="P11" s="22" t="inlineStr">
        <is>
          <t>Antonio Junior</t>
        </is>
      </c>
      <c r="Q11" s="22" t="inlineStr">
        <is>
          <t>Superintendente Recuperação de Crédito</t>
        </is>
      </c>
      <c r="R11" s="22" t="inlineStr"/>
      <c r="S11" s="22" t="inlineStr">
        <is>
          <t>antonio.pequeno.junior@santander.com.br</t>
        </is>
      </c>
      <c r="T11" s="22" t="inlineStr">
        <is>
          <t>DM: DM; BACKUP: backup</t>
        </is>
      </c>
      <c r="U11" s="24" t="n">
        <v>21041903.06</v>
      </c>
      <c r="V11" s="25" t="inlineStr">
        <is>
          <t>B</t>
        </is>
      </c>
      <c r="W11" s="26" t="inlineStr"/>
      <c r="X11" s="27" t="inlineStr"/>
      <c r="Y11" s="27" t="inlineStr"/>
      <c r="Z11" s="26">
        <f>IF(W11&lt;&gt;"",W11,IFERROR(VLOOKUP(V11,Assumptions!$A$8:$F$12,2,FALSE),0))*Assumptions!$B$5</f>
        <v/>
      </c>
      <c r="AA11" s="28">
        <f>IF(V11="A",MAX(1,IF(X11&lt;&gt;"",X11,IFERROR(VLOOKUP(V11,Assumptions!$A$8:$F$12,3,FALSE),3))+IF(Y11&lt;&gt;"",Y11,IFERROR(VLOOKUP(V11,Assumptions!$A$8:$F$12,4,FALSE),8))/2-MAX(0,IF(AS11="",0,YEAR(TODAY())-AS11)-IFERROR(VLOOKUP(V11,Assumptions!$A$8:$F$12,5,FALSE),1.5))),IFERROR(VLOOKUP(V11,Assumptions!$A$8:$F$12,5,FALSE),2.5)+IF(X11&lt;&gt;"",X11,IFERROR(VLOOKUP(V11,Assumptions!$A$8:$F$12,3,FALSE),3))+IF(Y11&lt;&gt;"",Y11,IFERROR(VLOOKUP(V11,Assumptions!$A$8:$F$12,4,FALSE),8))/2)</f>
        <v/>
      </c>
      <c r="AB11" s="24">
        <f>U11*Z11/(1+Assumptions!$B$3)^AA11</f>
        <v/>
      </c>
      <c r="AC11" s="27">
        <f>IF(U11=0,"",ROUND(AB11/U11*100,1))</f>
        <v/>
      </c>
      <c r="AD11" s="29">
        <f>AB11*Assumptions!$B$4</f>
        <v/>
      </c>
      <c r="AE11" s="27">
        <f>IF(U11=0,"",ROUND(AD11/U11*100,1))</f>
        <v/>
      </c>
      <c r="AF11" s="29">
        <f>AB11-AD11</f>
        <v/>
      </c>
      <c r="AG11" s="27">
        <f>IF(U11=0,"",ROUND((AB11-AD11)/U11*100,1))</f>
        <v/>
      </c>
      <c r="AH11" s="30" t="inlineStr">
        <is>
          <t>OK — totals reconciled</t>
        </is>
      </c>
      <c r="AI11" s="31" t="inlineStr">
        <is>
          <t>https://recuperasolucoes.com/wp-content/plugins/download-attachments/includes/download.php?id=1597</t>
        </is>
      </c>
      <c r="AJ11" s="30" t="inlineStr">
        <is>
          <t>p13 r19</t>
        </is>
      </c>
      <c r="AK11" s="30" t="inlineStr">
        <is>
          <t>p13: R$ 21.041.903,06</t>
        </is>
      </c>
      <c r="AL11" s="30" t="inlineStr">
        <is>
          <t>Debtor list (art. 51)</t>
        </is>
      </c>
      <c r="AM11" s="30" t="inlineStr">
        <is>
          <t>2026-05-21</t>
        </is>
      </c>
      <c r="AN11" s="30" t="inlineStr">
        <is>
          <t>NONE FOUND</t>
        </is>
      </c>
      <c r="AO11" s="32" t="inlineStr">
        <is>
          <t>0001639-09.2026.8.17.2810</t>
        </is>
      </c>
      <c r="AP11" s="32" t="inlineStr">
        <is>
          <t>TJPE</t>
        </is>
      </c>
      <c r="AQ11" s="32" t="inlineStr">
        <is>
          <t>Recuperação judicial</t>
        </is>
      </c>
      <c r="AR11" s="32" t="inlineStr">
        <is>
          <t>DataJud: no closure/falência movement</t>
        </is>
      </c>
      <c r="AS11" s="32" t="n">
        <v>2026</v>
      </c>
      <c r="AT11" s="32" t="inlineStr">
        <is>
          <t>live case, no plan document yet</t>
        </is>
      </c>
      <c r="AU11" s="32" t="inlineStr"/>
      <c r="AV11" s="32" t="inlineStr">
        <is>
          <t>printed on the list (read twice)</t>
        </is>
      </c>
      <c r="AW11" s="32" t="inlineStr"/>
      <c r="AX11" s="32" t="inlineStr">
        <is>
          <t>SAO PAULO</t>
        </is>
      </c>
      <c r="AY11" s="32" t="inlineStr">
        <is>
          <t>SP</t>
        </is>
      </c>
      <c r="AZ11" s="32" t="inlineStr">
        <is>
          <t>Bancos múltiplos, com carteira comercial</t>
        </is>
      </c>
      <c r="BA11" s="32" t="inlineStr">
        <is>
          <t>não ME/EPP</t>
        </is>
      </c>
      <c r="BB11" s="33" t="n">
        <v>65000000000</v>
      </c>
      <c r="BC11" s="32" t="inlineStr">
        <is>
          <t>LARGE CORP</t>
        </is>
      </c>
      <c r="BD11" s="32" t="inlineStr">
        <is>
          <t>90400888</t>
        </is>
      </c>
      <c r="BE11" s="32" t="n">
        <v>1</v>
      </c>
      <c r="BF11" s="32" t="inlineStr">
        <is>
          <t>financial by name</t>
        </is>
      </c>
    </row>
    <row r="12">
      <c r="A12" s="17" t="inlineStr">
        <is>
          <t>BANCO ABC BRASIL S.A.</t>
        </is>
      </c>
      <c r="B12" s="18" t="n">
        <v>18590200.29</v>
      </c>
      <c r="C12" s="19" t="inlineStr">
        <is>
          <t>Grupo Rech</t>
        </is>
      </c>
      <c r="D12" s="20" t="inlineStr">
        <is>
          <t>NEW</t>
        </is>
      </c>
      <c r="E12" s="21" t="inlineStr"/>
      <c r="F12" s="20" t="inlineStr"/>
      <c r="G12" s="21" t="inlineStr"/>
      <c r="H12" s="20" t="inlineStr"/>
      <c r="I12" s="22" t="inlineStr">
        <is>
          <t>Luciano Makino</t>
        </is>
      </c>
      <c r="J12" s="22" t="inlineStr">
        <is>
          <t>Especialista de Recuperação de Crédito</t>
        </is>
      </c>
      <c r="K12" s="22" t="inlineStr">
        <is>
          <t>(11) 3170-2000</t>
        </is>
      </c>
      <c r="L12" s="22" t="inlineStr"/>
      <c r="M12" s="22" t="inlineStr"/>
      <c r="N12" s="22" t="inlineStr">
        <is>
          <t>luciano.makino@abcbrasil.com.br</t>
        </is>
      </c>
      <c r="O12" s="22" t="inlineStr">
        <is>
          <t>verified</t>
        </is>
      </c>
      <c r="P12" s="22" t="inlineStr">
        <is>
          <t>Marilia Neves</t>
        </is>
      </c>
      <c r="Q12" s="22" t="inlineStr">
        <is>
          <t>Advogado Especialista em Recuperação de Crédito</t>
        </is>
      </c>
      <c r="R12" s="22" t="inlineStr"/>
      <c r="S12" s="22" t="inlineStr">
        <is>
          <t>marilia.neves@abcbrasil.com.br</t>
        </is>
      </c>
      <c r="T12" s="22" t="inlineStr">
        <is>
          <t>DM: DM verified email; BACKUP: backup verified email</t>
        </is>
      </c>
      <c r="U12" s="24" t="n">
        <v>18590200.29</v>
      </c>
      <c r="V12" s="25" t="inlineStr">
        <is>
          <t>B</t>
        </is>
      </c>
      <c r="W12" s="26" t="inlineStr"/>
      <c r="X12" s="27" t="inlineStr"/>
      <c r="Y12" s="27" t="inlineStr"/>
      <c r="Z12" s="26">
        <f>IF(W12&lt;&gt;"",W12,IFERROR(VLOOKUP(V12,Assumptions!$A$8:$F$12,2,FALSE),0))*Assumptions!$B$5</f>
        <v/>
      </c>
      <c r="AA12" s="28">
        <f>IF(V12="A",MAX(1,IF(X12&lt;&gt;"",X12,IFERROR(VLOOKUP(V12,Assumptions!$A$8:$F$12,3,FALSE),3))+IF(Y12&lt;&gt;"",Y12,IFERROR(VLOOKUP(V12,Assumptions!$A$8:$F$12,4,FALSE),8))/2-MAX(0,IF(AS12="",0,YEAR(TODAY())-AS12)-IFERROR(VLOOKUP(V12,Assumptions!$A$8:$F$12,5,FALSE),1.5))),IFERROR(VLOOKUP(V12,Assumptions!$A$8:$F$12,5,FALSE),2.5)+IF(X12&lt;&gt;"",X12,IFERROR(VLOOKUP(V12,Assumptions!$A$8:$F$12,3,FALSE),3))+IF(Y12&lt;&gt;"",Y12,IFERROR(VLOOKUP(V12,Assumptions!$A$8:$F$12,4,FALSE),8))/2)</f>
        <v/>
      </c>
      <c r="AB12" s="24">
        <f>U12*Z12/(1+Assumptions!$B$3)^AA12</f>
        <v/>
      </c>
      <c r="AC12" s="27">
        <f>IF(U12=0,"",ROUND(AB12/U12*100,1))</f>
        <v/>
      </c>
      <c r="AD12" s="29">
        <f>AB12*Assumptions!$B$4</f>
        <v/>
      </c>
      <c r="AE12" s="27">
        <f>IF(U12=0,"",ROUND(AD12/U12*100,1))</f>
        <v/>
      </c>
      <c r="AF12" s="29">
        <f>AB12-AD12</f>
        <v/>
      </c>
      <c r="AG12" s="27">
        <f>IF(U12=0,"",ROUND((AB12-AD12)/U12*100,1))</f>
        <v/>
      </c>
      <c r="AH12" s="36" t="inlineStr">
        <is>
          <t>CHECK — source is not a statutory creditor list</t>
        </is>
      </c>
      <c r="AI12" s="31" t="inlineStr">
        <is>
          <t>https://credibilita.com.br/wp-content/uploads/2025/09/Relacao-Credores-29.04.2026.pdf</t>
        </is>
      </c>
      <c r="AJ12" s="30" t="inlineStr">
        <is>
          <t>p1 r4; p1 r5</t>
        </is>
      </c>
      <c r="AK12" s="30" t="inlineStr">
        <is>
          <t>p1: R$ 16.575.188,17; p1: R$ 2.015.012,12</t>
        </is>
      </c>
      <c r="AL12" s="30" t="inlineStr">
        <is>
          <t>Quorum list — NOT an art. 7/51 list</t>
        </is>
      </c>
      <c r="AM12" s="30" t="inlineStr"/>
      <c r="AN12" s="30" t="inlineStr">
        <is>
          <t>NONE FOUND</t>
        </is>
      </c>
      <c r="AO12" s="32" t="inlineStr">
        <is>
          <t>5057720-48.2025.8.24.0023</t>
        </is>
      </c>
      <c r="AP12" s="32" t="inlineStr">
        <is>
          <t>TJSC</t>
        </is>
      </c>
      <c r="AQ12" s="32" t="inlineStr"/>
      <c r="AR12" s="32" t="inlineStr">
        <is>
          <t>not in DataJud</t>
        </is>
      </c>
      <c r="AS12" s="32" t="n">
        <v>2025</v>
      </c>
      <c r="AT12" s="32" t="inlineStr">
        <is>
          <t>live case, no plan document yet; case no. from the portal record, not printed on the list</t>
        </is>
      </c>
      <c r="AU12" s="32" t="inlineStr"/>
      <c r="AV12" s="32" t="inlineStr">
        <is>
          <t>portal page title / URL — not printed on the list</t>
        </is>
      </c>
      <c r="AW12" s="32" t="inlineStr"/>
      <c r="AX12" s="32" t="inlineStr">
        <is>
          <t>SAO PAULO</t>
        </is>
      </c>
      <c r="AY12" s="32" t="inlineStr">
        <is>
          <t>SP</t>
        </is>
      </c>
      <c r="AZ12" s="32" t="inlineStr">
        <is>
          <t>Bancos múltiplos, com carteira comercial</t>
        </is>
      </c>
      <c r="BA12" s="32" t="inlineStr">
        <is>
          <t>não ME/EPP</t>
        </is>
      </c>
      <c r="BB12" s="33" t="n">
        <v>6012662300</v>
      </c>
      <c r="BC12" s="32" t="inlineStr">
        <is>
          <t>LARGE CORP</t>
        </is>
      </c>
      <c r="BD12" s="32" t="inlineStr">
        <is>
          <t>28195667</t>
        </is>
      </c>
      <c r="BE12" s="32" t="n">
        <v>2</v>
      </c>
      <c r="BF12" s="32" t="inlineStr">
        <is>
          <t>list prints no totals case no. corrected by reader</t>
        </is>
      </c>
    </row>
    <row r="13">
      <c r="A13" s="17" t="inlineStr">
        <is>
          <t>BANCO SEMEAR S.A.</t>
        </is>
      </c>
      <c r="B13" s="18" t="n">
        <v>17013791.05</v>
      </c>
      <c r="C13" s="19" t="inlineStr">
        <is>
          <t>GRUPO EGESA (Egesa Engenharia S.A. + 9 group companies; see group members)</t>
        </is>
      </c>
      <c r="D13" s="20" t="inlineStr">
        <is>
          <t>NEW</t>
        </is>
      </c>
      <c r="E13" s="21" t="inlineStr"/>
      <c r="F13" s="20" t="inlineStr"/>
      <c r="G13" s="21" t="inlineStr"/>
      <c r="H13" s="20" t="inlineStr"/>
      <c r="I13" s="22" t="inlineStr">
        <is>
          <t>Wenzzer Miranda</t>
        </is>
      </c>
      <c r="J13" s="22" t="inlineStr">
        <is>
          <t>Gerente – Operações Imobiliárias, Recuperação de Crédito, Garantias e Cadastro Corporativo</t>
        </is>
      </c>
      <c r="K13" s="22" t="inlineStr">
        <is>
          <t>(31) 3516-8000</t>
        </is>
      </c>
      <c r="L13" s="22" t="inlineStr"/>
      <c r="M13" s="22" t="inlineStr"/>
      <c r="N13" s="22" t="inlineStr">
        <is>
          <t>wenzzer.miranda@bancosemear.com.br</t>
        </is>
      </c>
      <c r="O13" s="22" t="inlineStr">
        <is>
          <t>verified</t>
        </is>
      </c>
      <c r="P13" s="22" t="inlineStr">
        <is>
          <t>ROBERTO WILLIANS SILVA AZEVEDO</t>
        </is>
      </c>
      <c r="Q13" s="22" t="inlineStr">
        <is>
          <t>Presidente (RFB partner)</t>
        </is>
      </c>
      <c r="R13" s="22" t="inlineStr"/>
      <c r="S13" s="22" t="inlineStr"/>
      <c r="T13" s="22" t="inlineStr">
        <is>
          <t>DM: DM verified email</t>
        </is>
      </c>
      <c r="U13" s="24" t="n">
        <v>17013791.05</v>
      </c>
      <c r="V13" s="25" t="inlineStr">
        <is>
          <t>B</t>
        </is>
      </c>
      <c r="W13" s="26" t="inlineStr"/>
      <c r="X13" s="27" t="inlineStr"/>
      <c r="Y13" s="27" t="inlineStr"/>
      <c r="Z13" s="26">
        <f>IF(W13&lt;&gt;"",W13,IFERROR(VLOOKUP(V13,Assumptions!$A$8:$F$12,2,FALSE),0))*Assumptions!$B$5</f>
        <v/>
      </c>
      <c r="AA13" s="28">
        <f>IF(V13="A",MAX(1,IF(X13&lt;&gt;"",X13,IFERROR(VLOOKUP(V13,Assumptions!$A$8:$F$12,3,FALSE),3))+IF(Y13&lt;&gt;"",Y13,IFERROR(VLOOKUP(V13,Assumptions!$A$8:$F$12,4,FALSE),8))/2-MAX(0,IF(AS13="",0,YEAR(TODAY())-AS13)-IFERROR(VLOOKUP(V13,Assumptions!$A$8:$F$12,5,FALSE),1.5))),IFERROR(VLOOKUP(V13,Assumptions!$A$8:$F$12,5,FALSE),2.5)+IF(X13&lt;&gt;"",X13,IFERROR(VLOOKUP(V13,Assumptions!$A$8:$F$12,3,FALSE),3))+IF(Y13&lt;&gt;"",Y13,IFERROR(VLOOKUP(V13,Assumptions!$A$8:$F$12,4,FALSE),8))/2)</f>
        <v/>
      </c>
      <c r="AB13" s="24">
        <f>U13*Z13/(1+Assumptions!$B$3)^AA13</f>
        <v/>
      </c>
      <c r="AC13" s="27">
        <f>IF(U13=0,"",ROUND(AB13/U13*100,1))</f>
        <v/>
      </c>
      <c r="AD13" s="29">
        <f>AB13*Assumptions!$B$4</f>
        <v/>
      </c>
      <c r="AE13" s="27">
        <f>IF(U13=0,"",ROUND(AD13/U13*100,1))</f>
        <v/>
      </c>
      <c r="AF13" s="29">
        <f>AB13-AD13</f>
        <v/>
      </c>
      <c r="AG13" s="27">
        <f>IF(U13=0,"",ROUND((AB13-AD13)/U13*100,1))</f>
        <v/>
      </c>
      <c r="AH13" s="30" t="inlineStr">
        <is>
          <t>OK — totals reconciled</t>
        </is>
      </c>
      <c r="AI13" s="31" t="inlineStr">
        <is>
          <t>https://scalzilliaj.com.br/sgc/download.php?file=files/processo_documento/processo_documento09514021082025_1_.pdf&amp;nome=04 - Relação de credores das Recuperandas</t>
        </is>
      </c>
      <c r="AJ13" s="30" t="inlineStr">
        <is>
          <t>p62 r18</t>
        </is>
      </c>
      <c r="AK13" s="30" t="inlineStr">
        <is>
          <t>p62: R$ 17.013.791,05</t>
        </is>
      </c>
      <c r="AL13" s="30" t="inlineStr">
        <is>
          <t>Debtor list (art. 51)</t>
        </is>
      </c>
      <c r="AM13" s="30" t="inlineStr"/>
      <c r="AN13" s="30" t="inlineStr">
        <is>
          <t>NONE FOUND</t>
        </is>
      </c>
      <c r="AO13" s="32" t="inlineStr">
        <is>
          <t>5088952-81.2025.8.13.0024</t>
        </is>
      </c>
      <c r="AP13" s="32" t="inlineStr">
        <is>
          <t>TJMG</t>
        </is>
      </c>
      <c r="AQ13" s="32" t="inlineStr"/>
      <c r="AR13" s="32" t="inlineStr">
        <is>
          <t>DataJud: no closure/falência movement</t>
        </is>
      </c>
      <c r="AS13" s="32" t="n">
        <v>2025</v>
      </c>
      <c r="AT13" s="32" t="inlineStr">
        <is>
          <t>live case, no plan document yet; case no. from the portal record, not printed on the list</t>
        </is>
      </c>
      <c r="AU13" s="32" t="inlineStr"/>
      <c r="AV13" s="32" t="inlineStr">
        <is>
          <t>portal page title / URL — not printed on the list</t>
        </is>
      </c>
      <c r="AW13" s="32" t="inlineStr"/>
      <c r="AX13" s="32" t="inlineStr">
        <is>
          <t>BELO HORIZONTE</t>
        </is>
      </c>
      <c r="AY13" s="32" t="inlineStr">
        <is>
          <t>MG</t>
        </is>
      </c>
      <c r="AZ13" s="32" t="inlineStr">
        <is>
          <t>Bancos múltiplos, com carteira comercial</t>
        </is>
      </c>
      <c r="BA13" s="32" t="inlineStr">
        <is>
          <t>não ME/EPP</t>
        </is>
      </c>
      <c r="BB13" s="33" t="n">
        <v>113068184</v>
      </c>
      <c r="BC13" s="32" t="inlineStr">
        <is>
          <t>MID-MARKET</t>
        </is>
      </c>
      <c r="BD13" s="32" t="inlineStr">
        <is>
          <t>00795423</t>
        </is>
      </c>
      <c r="BE13" s="32" t="n">
        <v>1</v>
      </c>
      <c r="BF13" s="32" t="inlineStr">
        <is>
          <t>financial by name case no. corrected by reader case no. from portal record</t>
        </is>
      </c>
    </row>
    <row r="14">
      <c r="A14" s="17" t="inlineStr">
        <is>
          <t>FUNDO DE INVESTIMENTO EM DIREITOS CREDITÓRIOS NÃO PADRONIZADOS MULTISSETORIA L BS NP</t>
        </is>
      </c>
      <c r="B14" s="18" t="n">
        <v>14857604.68</v>
      </c>
      <c r="C14" s="19" t="inlineStr">
        <is>
          <t>Grupo Conduscabos</t>
        </is>
      </c>
      <c r="D14" s="20" t="inlineStr">
        <is>
          <t>NEW</t>
        </is>
      </c>
      <c r="E14" s="21" t="inlineStr"/>
      <c r="F14" s="20" t="inlineStr"/>
      <c r="G14" s="21" t="inlineStr"/>
      <c r="H14" s="20" t="inlineStr"/>
      <c r="I14" s="22" t="inlineStr"/>
      <c r="J14" s="22" t="inlineStr"/>
      <c r="K14" s="22" t="inlineStr"/>
      <c r="L14" s="22" t="inlineStr"/>
      <c r="M14" s="22" t="inlineStr"/>
      <c r="N14" s="22" t="inlineStr"/>
      <c r="O14" s="22" t="inlineStr"/>
      <c r="P14" s="22" t="inlineStr"/>
      <c r="Q14" s="22" t="inlineStr"/>
      <c r="R14" s="22" t="inlineStr"/>
      <c r="S14" s="22" t="inlineStr"/>
      <c r="T14" s="22" t="inlineStr">
        <is>
          <t>no named contact found; NO ROUTE IN: no phone or email on file</t>
        </is>
      </c>
      <c r="U14" s="24" t="n">
        <v>14857604.68</v>
      </c>
      <c r="V14" s="25" t="inlineStr">
        <is>
          <t>B</t>
        </is>
      </c>
      <c r="W14" s="26" t="inlineStr"/>
      <c r="X14" s="27" t="inlineStr"/>
      <c r="Y14" s="27" t="inlineStr"/>
      <c r="Z14" s="26">
        <f>IF(W14&lt;&gt;"",W14,IFERROR(VLOOKUP(V14,Assumptions!$A$8:$F$12,2,FALSE),0))*Assumptions!$B$5</f>
        <v/>
      </c>
      <c r="AA14" s="28">
        <f>IF(V14="A",MAX(1,IF(X14&lt;&gt;"",X14,IFERROR(VLOOKUP(V14,Assumptions!$A$8:$F$12,3,FALSE),3))+IF(Y14&lt;&gt;"",Y14,IFERROR(VLOOKUP(V14,Assumptions!$A$8:$F$12,4,FALSE),8))/2-MAX(0,IF(AS14="",0,YEAR(TODAY())-AS14)-IFERROR(VLOOKUP(V14,Assumptions!$A$8:$F$12,5,FALSE),1.5))),IFERROR(VLOOKUP(V14,Assumptions!$A$8:$F$12,5,FALSE),2.5)+IF(X14&lt;&gt;"",X14,IFERROR(VLOOKUP(V14,Assumptions!$A$8:$F$12,3,FALSE),3))+IF(Y14&lt;&gt;"",Y14,IFERROR(VLOOKUP(V14,Assumptions!$A$8:$F$12,4,FALSE),8))/2)</f>
        <v/>
      </c>
      <c r="AB14" s="24">
        <f>U14*Z14/(1+Assumptions!$B$3)^AA14</f>
        <v/>
      </c>
      <c r="AC14" s="27">
        <f>IF(U14=0,"",ROUND(AB14/U14*100,1))</f>
        <v/>
      </c>
      <c r="AD14" s="29">
        <f>AB14*Assumptions!$B$4</f>
        <v/>
      </c>
      <c r="AE14" s="27">
        <f>IF(U14=0,"",ROUND(AD14/U14*100,1))</f>
        <v/>
      </c>
      <c r="AF14" s="29">
        <f>AB14-AD14</f>
        <v/>
      </c>
      <c r="AG14" s="27">
        <f>IF(U14=0,"",ROUND((AB14-AD14)/U14*100,1))</f>
        <v/>
      </c>
      <c r="AH14" s="34" t="inlineStr">
        <is>
          <t>NO TOTALS — list prints none; check page</t>
        </is>
      </c>
      <c r="AI14" s="31" t="inlineStr">
        <is>
          <t>https://assistjud.com.br/wp-content/uploads/elementor/forms/65098c80a5824.pdf</t>
        </is>
      </c>
      <c r="AJ14" s="30" t="inlineStr">
        <is>
          <t>p7 r8; p10 r1; p18 r2</t>
        </is>
      </c>
      <c r="AK14" s="30" t="inlineStr">
        <is>
          <t>p7: R$ 10.954.112,61; p10: R$ 1.455.516,44; p18: R$ 2.447.975,63</t>
        </is>
      </c>
      <c r="AL14" s="30" t="inlineStr">
        <is>
          <t>AJ list (art. 7 §2)</t>
        </is>
      </c>
      <c r="AM14" s="30" t="inlineStr">
        <is>
          <t>2023-09-18</t>
        </is>
      </c>
      <c r="AN14" s="30" t="inlineStr">
        <is>
          <t>NONE FOUND</t>
        </is>
      </c>
      <c r="AO14" s="32" t="inlineStr">
        <is>
          <t>8005129-09.2023.8.05.0039</t>
        </is>
      </c>
      <c r="AP14" s="32" t="inlineStr">
        <is>
          <t>TJBA</t>
        </is>
      </c>
      <c r="AQ14" s="32" t="inlineStr">
        <is>
          <t>Recuperação judicial</t>
        </is>
      </c>
      <c r="AR14" s="32" t="inlineStr">
        <is>
          <t>DataJud: no closure/falência movement</t>
        </is>
      </c>
      <c r="AS14" s="32" t="n">
        <v>2023</v>
      </c>
      <c r="AT14" s="32" t="inlineStr">
        <is>
          <t>live case, no plan document yet</t>
        </is>
      </c>
      <c r="AU14" s="32" t="inlineStr"/>
      <c r="AV14" s="32" t="inlineStr">
        <is>
          <t>printed on the list (read twice)</t>
        </is>
      </c>
      <c r="AW14" s="32" t="inlineStr"/>
      <c r="AX14" s="32" t="inlineStr"/>
      <c r="AY14" s="32" t="inlineStr"/>
      <c r="AZ14" s="32" t="inlineStr"/>
      <c r="BA14" s="32" t="inlineStr"/>
      <c r="BB14" s="33" t="inlineStr"/>
      <c r="BC14" s="32" t="inlineStr">
        <is>
          <t>UNKNOWN</t>
        </is>
      </c>
      <c r="BD14" s="32" t="inlineStr">
        <is>
          <t>12428086</t>
        </is>
      </c>
      <c r="BE14" s="32" t="n">
        <v>3</v>
      </c>
      <c r="BF14" s="32" t="inlineStr">
        <is>
          <t>financial by name list prints no totals no RFB record no route in</t>
        </is>
      </c>
    </row>
    <row r="15">
      <c r="A15" s="17" t="inlineStr">
        <is>
          <t>BOCOM BBM CORPORATE CREDIT HIGH YIELD FIF - CLASSE DE INVESTIMENTO MULT CRED PRIV - RESP LIMITADA</t>
        </is>
      </c>
      <c r="B15" s="18" t="n">
        <v>14500488.51</v>
      </c>
      <c r="C15" s="19" t="inlineStr">
        <is>
          <t>Grupo Rech</t>
        </is>
      </c>
      <c r="D15" s="20" t="inlineStr">
        <is>
          <t>NEW</t>
        </is>
      </c>
      <c r="E15" s="21" t="inlineStr"/>
      <c r="F15" s="20" t="inlineStr"/>
      <c r="G15" s="21" t="inlineStr"/>
      <c r="H15" s="20" t="inlineStr"/>
      <c r="I15" s="22" t="inlineStr">
        <is>
          <t>Rodrigo Caleiro</t>
        </is>
      </c>
      <c r="J15" s="22" t="inlineStr">
        <is>
          <t>Credit Manager | Large Corporate</t>
        </is>
      </c>
      <c r="K15" s="22" t="inlineStr">
        <is>
          <t>(11) 3684-5122</t>
        </is>
      </c>
      <c r="L15" s="22" t="inlineStr"/>
      <c r="M15" s="22" t="inlineStr"/>
      <c r="N15" s="22" t="inlineStr">
        <is>
          <t>rodrigocaleiro@bocombbm.com.br</t>
        </is>
      </c>
      <c r="O15" s="22" t="inlineStr">
        <is>
          <t>verified</t>
        </is>
      </c>
      <c r="P15" s="22" t="inlineStr">
        <is>
          <t>Thayna Franca</t>
        </is>
      </c>
      <c r="Q15" s="22" t="inlineStr">
        <is>
          <t>Analista de Controle de Crédito</t>
        </is>
      </c>
      <c r="R15" s="22" t="inlineStr"/>
      <c r="S15" s="22" t="inlineStr">
        <is>
          <t>thaynafranca@bocombbm.com.br</t>
        </is>
      </c>
      <c r="T15" s="22" t="inlineStr">
        <is>
          <t>DM: DM; BACKUP: backup</t>
        </is>
      </c>
      <c r="U15" s="24" t="n">
        <v>14500488.51</v>
      </c>
      <c r="V15" s="25" t="inlineStr">
        <is>
          <t>B</t>
        </is>
      </c>
      <c r="W15" s="26" t="inlineStr"/>
      <c r="X15" s="27" t="inlineStr"/>
      <c r="Y15" s="27" t="inlineStr"/>
      <c r="Z15" s="26">
        <f>IF(W15&lt;&gt;"",W15,IFERROR(VLOOKUP(V15,Assumptions!$A$8:$F$12,2,FALSE),0))*Assumptions!$B$5</f>
        <v/>
      </c>
      <c r="AA15" s="28">
        <f>IF(V15="A",MAX(1,IF(X15&lt;&gt;"",X15,IFERROR(VLOOKUP(V15,Assumptions!$A$8:$F$12,3,FALSE),3))+IF(Y15&lt;&gt;"",Y15,IFERROR(VLOOKUP(V15,Assumptions!$A$8:$F$12,4,FALSE),8))/2-MAX(0,IF(AS15="",0,YEAR(TODAY())-AS15)-IFERROR(VLOOKUP(V15,Assumptions!$A$8:$F$12,5,FALSE),1.5))),IFERROR(VLOOKUP(V15,Assumptions!$A$8:$F$12,5,FALSE),2.5)+IF(X15&lt;&gt;"",X15,IFERROR(VLOOKUP(V15,Assumptions!$A$8:$F$12,3,FALSE),3))+IF(Y15&lt;&gt;"",Y15,IFERROR(VLOOKUP(V15,Assumptions!$A$8:$F$12,4,FALSE),8))/2)</f>
        <v/>
      </c>
      <c r="AB15" s="24">
        <f>U15*Z15/(1+Assumptions!$B$3)^AA15</f>
        <v/>
      </c>
      <c r="AC15" s="27">
        <f>IF(U15=0,"",ROUND(AB15/U15*100,1))</f>
        <v/>
      </c>
      <c r="AD15" s="29">
        <f>AB15*Assumptions!$B$4</f>
        <v/>
      </c>
      <c r="AE15" s="27">
        <f>IF(U15=0,"",ROUND(AD15/U15*100,1))</f>
        <v/>
      </c>
      <c r="AF15" s="29">
        <f>AB15-AD15</f>
        <v/>
      </c>
      <c r="AG15" s="27">
        <f>IF(U15=0,"",ROUND((AB15-AD15)/U15*100,1))</f>
        <v/>
      </c>
      <c r="AH15" s="36" t="inlineStr">
        <is>
          <t>CHECK — source is not a statutory creditor list</t>
        </is>
      </c>
      <c r="AI15" s="31" t="inlineStr">
        <is>
          <t>https://credibilita.com.br/wp-content/uploads/2025/09/Relacao-Credores-29.04.2026.pdf</t>
        </is>
      </c>
      <c r="AJ15" s="30" t="inlineStr">
        <is>
          <t>p1 r15</t>
        </is>
      </c>
      <c r="AK15" s="30" t="inlineStr">
        <is>
          <t>p1: R$ 14.500.488,51</t>
        </is>
      </c>
      <c r="AL15" s="30" t="inlineStr">
        <is>
          <t>Quorum list — NOT an art. 7/51 list</t>
        </is>
      </c>
      <c r="AM15" s="30" t="inlineStr"/>
      <c r="AN15" s="30" t="inlineStr">
        <is>
          <t>NONE FOUND</t>
        </is>
      </c>
      <c r="AO15" s="32" t="inlineStr">
        <is>
          <t>5057720-48.2025.8.24.0023</t>
        </is>
      </c>
      <c r="AP15" s="32" t="inlineStr">
        <is>
          <t>TJSC</t>
        </is>
      </c>
      <c r="AQ15" s="32" t="inlineStr"/>
      <c r="AR15" s="32" t="inlineStr">
        <is>
          <t>not in DataJud</t>
        </is>
      </c>
      <c r="AS15" s="32" t="n">
        <v>2025</v>
      </c>
      <c r="AT15" s="32" t="inlineStr">
        <is>
          <t>live case, no plan document yet; case no. from the portal record, not printed on the list</t>
        </is>
      </c>
      <c r="AU15" s="32" t="inlineStr"/>
      <c r="AV15" s="32" t="inlineStr">
        <is>
          <t>portal page title / URL — not printed on the list</t>
        </is>
      </c>
      <c r="AW15" s="32" t="inlineStr"/>
      <c r="AX15" s="32" t="inlineStr">
        <is>
          <t>OSASCO</t>
        </is>
      </c>
      <c r="AY15" s="32" t="inlineStr">
        <is>
          <t>SP</t>
        </is>
      </c>
      <c r="AZ15" s="32" t="inlineStr">
        <is>
          <t>Fundos de investimento, exceto previdenciários e imobiliários</t>
        </is>
      </c>
      <c r="BA15" s="32" t="inlineStr">
        <is>
          <t>não ME/EPP</t>
        </is>
      </c>
      <c r="BB15" s="33" t="inlineStr"/>
      <c r="BC15" s="32" t="inlineStr">
        <is>
          <t>UNKNOWN</t>
        </is>
      </c>
      <c r="BD15" s="32" t="inlineStr">
        <is>
          <t>34799393</t>
        </is>
      </c>
      <c r="BE15" s="32" t="n">
        <v>1</v>
      </c>
      <c r="BF15" s="32" t="inlineStr">
        <is>
          <t>list prints no totals case no. corrected by reader</t>
        </is>
      </c>
    </row>
    <row r="16">
      <c r="A16" s="17" t="inlineStr">
        <is>
          <t>BANCO SANTANDER (BRASIL) S.A.</t>
        </is>
      </c>
      <c r="B16" s="18" t="n">
        <v>13569297.24</v>
      </c>
      <c r="C16" s="19" t="inlineStr">
        <is>
          <t>GRUPO IMOBI</t>
        </is>
      </c>
      <c r="D16" s="20" t="inlineStr">
        <is>
          <t>NEW</t>
        </is>
      </c>
      <c r="E16" s="21" t="inlineStr"/>
      <c r="F16" s="20" t="inlineStr"/>
      <c r="G16" s="21" t="inlineStr"/>
      <c r="H16" s="20" t="inlineStr"/>
      <c r="I16" s="22" t="inlineStr">
        <is>
          <t>Igor Puertas</t>
        </is>
      </c>
      <c r="J16" s="22" t="inlineStr">
        <is>
          <t>Distressed Assets | NPL</t>
        </is>
      </c>
      <c r="K16" s="22" t="inlineStr">
        <is>
          <t>(11) 4004-3535</t>
        </is>
      </c>
      <c r="L16" s="22" t="inlineStr"/>
      <c r="M16" s="22" t="inlineStr"/>
      <c r="N16" s="22" t="inlineStr">
        <is>
          <t>igor.puertas@santander.com.br</t>
        </is>
      </c>
      <c r="O16" s="22" t="inlineStr">
        <is>
          <t>verified</t>
        </is>
      </c>
      <c r="P16" s="22" t="inlineStr">
        <is>
          <t>Antonio Junior</t>
        </is>
      </c>
      <c r="Q16" s="22" t="inlineStr">
        <is>
          <t>Superintendente Recuperação de Crédito</t>
        </is>
      </c>
      <c r="R16" s="22" t="inlineStr"/>
      <c r="S16" s="22" t="inlineStr">
        <is>
          <t>antonio.pequeno.junior@santander.com.br</t>
        </is>
      </c>
      <c r="T16" s="22" t="inlineStr">
        <is>
          <t>DM: DM; BACKUP: backup</t>
        </is>
      </c>
      <c r="U16" s="24" t="n">
        <v>13569297.24</v>
      </c>
      <c r="V16" s="25" t="inlineStr">
        <is>
          <t>B</t>
        </is>
      </c>
      <c r="W16" s="26" t="inlineStr"/>
      <c r="X16" s="27" t="inlineStr"/>
      <c r="Y16" s="27" t="inlineStr"/>
      <c r="Z16" s="26">
        <f>IF(W16&lt;&gt;"",W16,IFERROR(VLOOKUP(V16,Assumptions!$A$8:$F$12,2,FALSE),0))*Assumptions!$B$5</f>
        <v/>
      </c>
      <c r="AA16" s="28">
        <f>IF(V16="A",MAX(1,IF(X16&lt;&gt;"",X16,IFERROR(VLOOKUP(V16,Assumptions!$A$8:$F$12,3,FALSE),3))+IF(Y16&lt;&gt;"",Y16,IFERROR(VLOOKUP(V16,Assumptions!$A$8:$F$12,4,FALSE),8))/2-MAX(0,IF(AS16="",0,YEAR(TODAY())-AS16)-IFERROR(VLOOKUP(V16,Assumptions!$A$8:$F$12,5,FALSE),1.5))),IFERROR(VLOOKUP(V16,Assumptions!$A$8:$F$12,5,FALSE),2.5)+IF(X16&lt;&gt;"",X16,IFERROR(VLOOKUP(V16,Assumptions!$A$8:$F$12,3,FALSE),3))+IF(Y16&lt;&gt;"",Y16,IFERROR(VLOOKUP(V16,Assumptions!$A$8:$F$12,4,FALSE),8))/2)</f>
        <v/>
      </c>
      <c r="AB16" s="24">
        <f>U16*Z16/(1+Assumptions!$B$3)^AA16</f>
        <v/>
      </c>
      <c r="AC16" s="27">
        <f>IF(U16=0,"",ROUND(AB16/U16*100,1))</f>
        <v/>
      </c>
      <c r="AD16" s="29">
        <f>AB16*Assumptions!$B$4</f>
        <v/>
      </c>
      <c r="AE16" s="27">
        <f>IF(U16=0,"",ROUND(AD16/U16*100,1))</f>
        <v/>
      </c>
      <c r="AF16" s="29">
        <f>AB16-AD16</f>
        <v/>
      </c>
      <c r="AG16" s="27">
        <f>IF(U16=0,"",ROUND((AB16-AD16)/U16*100,1))</f>
        <v/>
      </c>
      <c r="AH16" s="30" t="inlineStr">
        <is>
          <t>OK — totals reconciled</t>
        </is>
      </c>
      <c r="AI16" s="31" t="inlineStr">
        <is>
          <t>https://lrflideres.com.br/wp-content/plugins/download-attachments/includes/download.php?id=6273</t>
        </is>
      </c>
      <c r="AJ16" s="30" t="inlineStr">
        <is>
          <t>p3 r95</t>
        </is>
      </c>
      <c r="AK16" s="30" t="inlineStr">
        <is>
          <t>p3: R$ 13.569.297,24</t>
        </is>
      </c>
      <c r="AL16" s="30" t="inlineStr">
        <is>
          <t>AJ list (art. 7 §2)</t>
        </is>
      </c>
      <c r="AM16" s="30" t="inlineStr">
        <is>
          <t>2024-11-14</t>
        </is>
      </c>
      <c r="AN16" s="30" t="inlineStr">
        <is>
          <t>NONE FOUND</t>
        </is>
      </c>
      <c r="AO16" s="32" t="inlineStr">
        <is>
          <t>0074500-63.2024.8.17.2001</t>
        </is>
      </c>
      <c r="AP16" s="32" t="inlineStr">
        <is>
          <t>TJPE</t>
        </is>
      </c>
      <c r="AQ16" s="32" t="inlineStr">
        <is>
          <t>Recuperação judicial</t>
        </is>
      </c>
      <c r="AR16" s="32" t="inlineStr">
        <is>
          <t>DataJud: no closure/falência movement</t>
        </is>
      </c>
      <c r="AS16" s="32" t="n">
        <v>2024</v>
      </c>
      <c r="AT16" s="32" t="inlineStr">
        <is>
          <t>live case, no plan document yet</t>
        </is>
      </c>
      <c r="AU16" s="32" t="inlineStr">
        <is>
          <t>02.284.048/0001-02</t>
        </is>
      </c>
      <c r="AV16" s="32" t="inlineStr">
        <is>
          <t>printed on the list (read twice)</t>
        </is>
      </c>
      <c r="AW16" s="32" t="inlineStr"/>
      <c r="AX16" s="32" t="inlineStr">
        <is>
          <t>SAO PAULO</t>
        </is>
      </c>
      <c r="AY16" s="32" t="inlineStr">
        <is>
          <t>SP</t>
        </is>
      </c>
      <c r="AZ16" s="32" t="inlineStr">
        <is>
          <t>Bancos múltiplos, com carteira comercial</t>
        </is>
      </c>
      <c r="BA16" s="32" t="inlineStr">
        <is>
          <t>não ME/EPP</t>
        </is>
      </c>
      <c r="BB16" s="33" t="n">
        <v>65000000000</v>
      </c>
      <c r="BC16" s="32" t="inlineStr">
        <is>
          <t>LARGE CORP</t>
        </is>
      </c>
      <c r="BD16" s="32" t="inlineStr">
        <is>
          <t>90400888</t>
        </is>
      </c>
      <c r="BE16" s="32" t="n">
        <v>1</v>
      </c>
      <c r="BF16" s="32" t="inlineStr">
        <is>
          <t>financial by name</t>
        </is>
      </c>
    </row>
    <row r="17">
      <c r="A17" s="17" t="inlineStr">
        <is>
          <t>BANCO BOCOM BBM S.A.</t>
        </is>
      </c>
      <c r="B17" s="18" t="n">
        <v>12763083.47</v>
      </c>
      <c r="C17" s="19" t="inlineStr">
        <is>
          <t>Grupo Rech</t>
        </is>
      </c>
      <c r="D17" s="20" t="inlineStr">
        <is>
          <t>NEW</t>
        </is>
      </c>
      <c r="E17" s="21" t="inlineStr"/>
      <c r="F17" s="20" t="inlineStr"/>
      <c r="G17" s="21" t="inlineStr"/>
      <c r="H17" s="20" t="inlineStr"/>
      <c r="I17" s="22" t="inlineStr">
        <is>
          <t>Rodrigo Caleiro</t>
        </is>
      </c>
      <c r="J17" s="22" t="inlineStr">
        <is>
          <t>Credit Manager | Large Corporate</t>
        </is>
      </c>
      <c r="K17" s="22" t="inlineStr">
        <is>
          <t>(71) 3243-2666</t>
        </is>
      </c>
      <c r="L17" s="22" t="inlineStr"/>
      <c r="M17" s="22" t="inlineStr"/>
      <c r="N17" s="22" t="inlineStr">
        <is>
          <t>rodrigocaleiro@bocombbm.com.br</t>
        </is>
      </c>
      <c r="O17" s="22" t="inlineStr">
        <is>
          <t>verified</t>
        </is>
      </c>
      <c r="P17" s="22" t="inlineStr">
        <is>
          <t>Thayna Franca</t>
        </is>
      </c>
      <c r="Q17" s="22" t="inlineStr">
        <is>
          <t>Analista de Controle de Crédito</t>
        </is>
      </c>
      <c r="R17" s="22" t="inlineStr"/>
      <c r="S17" s="22" t="inlineStr">
        <is>
          <t>thaynafranca@bocombbm.com.br</t>
        </is>
      </c>
      <c r="T17" s="22" t="inlineStr">
        <is>
          <t>DM: DM; Banco BOCOM BBM; titles pass 0, no recovery desk visible; Credit Manager Large Corporate; BACKUP: backup</t>
        </is>
      </c>
      <c r="U17" s="24" t="n">
        <v>12763083.47</v>
      </c>
      <c r="V17" s="25" t="inlineStr">
        <is>
          <t>B</t>
        </is>
      </c>
      <c r="W17" s="26" t="inlineStr"/>
      <c r="X17" s="27" t="inlineStr"/>
      <c r="Y17" s="27" t="inlineStr"/>
      <c r="Z17" s="26">
        <f>IF(W17&lt;&gt;"",W17,IFERROR(VLOOKUP(V17,Assumptions!$A$8:$F$12,2,FALSE),0))*Assumptions!$B$5</f>
        <v/>
      </c>
      <c r="AA17" s="28">
        <f>IF(V17="A",MAX(1,IF(X17&lt;&gt;"",X17,IFERROR(VLOOKUP(V17,Assumptions!$A$8:$F$12,3,FALSE),3))+IF(Y17&lt;&gt;"",Y17,IFERROR(VLOOKUP(V17,Assumptions!$A$8:$F$12,4,FALSE),8))/2-MAX(0,IF(AS17="",0,YEAR(TODAY())-AS17)-IFERROR(VLOOKUP(V17,Assumptions!$A$8:$F$12,5,FALSE),1.5))),IFERROR(VLOOKUP(V17,Assumptions!$A$8:$F$12,5,FALSE),2.5)+IF(X17&lt;&gt;"",X17,IFERROR(VLOOKUP(V17,Assumptions!$A$8:$F$12,3,FALSE),3))+IF(Y17&lt;&gt;"",Y17,IFERROR(VLOOKUP(V17,Assumptions!$A$8:$F$12,4,FALSE),8))/2)</f>
        <v/>
      </c>
      <c r="AB17" s="24">
        <f>U17*Z17/(1+Assumptions!$B$3)^AA17</f>
        <v/>
      </c>
      <c r="AC17" s="27">
        <f>IF(U17=0,"",ROUND(AB17/U17*100,1))</f>
        <v/>
      </c>
      <c r="AD17" s="29">
        <f>AB17*Assumptions!$B$4</f>
        <v/>
      </c>
      <c r="AE17" s="27">
        <f>IF(U17=0,"",ROUND(AD17/U17*100,1))</f>
        <v/>
      </c>
      <c r="AF17" s="29">
        <f>AB17-AD17</f>
        <v/>
      </c>
      <c r="AG17" s="27">
        <f>IF(U17=0,"",ROUND((AB17-AD17)/U17*100,1))</f>
        <v/>
      </c>
      <c r="AH17" s="36" t="inlineStr">
        <is>
          <t>CHECK — source is not a statutory creditor list</t>
        </is>
      </c>
      <c r="AI17" s="31" t="inlineStr">
        <is>
          <t>https://credibilita.com.br/wp-content/uploads/2025/09/Relacao-Credores-29.04.2026.pdf</t>
        </is>
      </c>
      <c r="AJ17" s="30" t="inlineStr">
        <is>
          <t>p1 r7; p1 r8</t>
        </is>
      </c>
      <c r="AK17" s="30" t="inlineStr">
        <is>
          <t>p1: R$ 11.190.064,90; p1: R$ 1.573.018,57</t>
        </is>
      </c>
      <c r="AL17" s="30" t="inlineStr">
        <is>
          <t>Quorum list — NOT an art. 7/51 list</t>
        </is>
      </c>
      <c r="AM17" s="30" t="inlineStr"/>
      <c r="AN17" s="30" t="inlineStr">
        <is>
          <t>NONE FOUND</t>
        </is>
      </c>
      <c r="AO17" s="32" t="inlineStr">
        <is>
          <t>5057720-48.2025.8.24.0023</t>
        </is>
      </c>
      <c r="AP17" s="32" t="inlineStr">
        <is>
          <t>TJSC</t>
        </is>
      </c>
      <c r="AQ17" s="32" t="inlineStr"/>
      <c r="AR17" s="32" t="inlineStr">
        <is>
          <t>not in DataJud</t>
        </is>
      </c>
      <c r="AS17" s="32" t="n">
        <v>2025</v>
      </c>
      <c r="AT17" s="32" t="inlineStr">
        <is>
          <t>live case, no plan document yet; case no. from the portal record, not printed on the list</t>
        </is>
      </c>
      <c r="AU17" s="32" t="inlineStr"/>
      <c r="AV17" s="32" t="inlineStr">
        <is>
          <t>portal page title / URL — not printed on the list</t>
        </is>
      </c>
      <c r="AW17" s="32" t="inlineStr"/>
      <c r="AX17" s="32" t="inlineStr">
        <is>
          <t>SALVADOR</t>
        </is>
      </c>
      <c r="AY17" s="32" t="inlineStr">
        <is>
          <t>BA</t>
        </is>
      </c>
      <c r="AZ17" s="32" t="inlineStr">
        <is>
          <t>Bancos múltiplos, com carteira comercial</t>
        </is>
      </c>
      <c r="BA17" s="32" t="inlineStr">
        <is>
          <t>não ME/EPP</t>
        </is>
      </c>
      <c r="BB17" s="33" t="n">
        <v>469300380</v>
      </c>
      <c r="BC17" s="32" t="inlineStr">
        <is>
          <t>LARGE CORP</t>
        </is>
      </c>
      <c r="BD17" s="32" t="inlineStr">
        <is>
          <t>15114366</t>
        </is>
      </c>
      <c r="BE17" s="32" t="n">
        <v>2</v>
      </c>
      <c r="BF17" s="32" t="inlineStr">
        <is>
          <t>list prints no totals case no. corrected by reader</t>
        </is>
      </c>
    </row>
    <row r="18">
      <c r="A18" s="17" t="inlineStr">
        <is>
          <t>BANCO ALFA DE INVESTIMENTO S.A.</t>
        </is>
      </c>
      <c r="B18" s="18" t="n">
        <v>12737378.82</v>
      </c>
      <c r="C18" s="19" t="inlineStr">
        <is>
          <t>Grupo Rech</t>
        </is>
      </c>
      <c r="D18" s="20" t="inlineStr">
        <is>
          <t>NEW</t>
        </is>
      </c>
      <c r="E18" s="21" t="inlineStr"/>
      <c r="F18" s="20" t="inlineStr"/>
      <c r="G18" s="21" t="inlineStr"/>
      <c r="H18" s="20" t="inlineStr"/>
      <c r="I18" s="22" t="inlineStr">
        <is>
          <t>Andre Vinicius</t>
        </is>
      </c>
      <c r="J18" s="22" t="inlineStr">
        <is>
          <t>Coordinator</t>
        </is>
      </c>
      <c r="K18" s="22" t="inlineStr">
        <is>
          <t>(11) 3175-7575</t>
        </is>
      </c>
      <c r="L18" s="22" t="inlineStr"/>
      <c r="M18" s="22" t="inlineStr"/>
      <c r="N18" s="22" t="inlineStr"/>
      <c r="O18" s="22" t="inlineStr"/>
      <c r="P18" s="22" t="inlineStr">
        <is>
          <t>MARCOS LIMA MONTEIRO</t>
        </is>
      </c>
      <c r="Q18" s="22" t="inlineStr">
        <is>
          <t>Presidente (RFB partner)</t>
        </is>
      </c>
      <c r="R18" s="22" t="inlineStr"/>
      <c r="S18" s="22" t="inlineStr"/>
      <c r="T18" s="22" t="inlineStr">
        <is>
          <t>DM: DM email unavailable; VERIFY org: Banco Alfa S.A. (now Safra group) - runoff desk; no work email in Apollo for DM</t>
        </is>
      </c>
      <c r="U18" s="24" t="n">
        <v>12737378.82</v>
      </c>
      <c r="V18" s="25" t="inlineStr">
        <is>
          <t>B</t>
        </is>
      </c>
      <c r="W18" s="26" t="inlineStr"/>
      <c r="X18" s="27" t="inlineStr"/>
      <c r="Y18" s="27" t="inlineStr"/>
      <c r="Z18" s="26">
        <f>IF(W18&lt;&gt;"",W18,IFERROR(VLOOKUP(V18,Assumptions!$A$8:$F$12,2,FALSE),0))*Assumptions!$B$5</f>
        <v/>
      </c>
      <c r="AA18" s="28">
        <f>IF(V18="A",MAX(1,IF(X18&lt;&gt;"",X18,IFERROR(VLOOKUP(V18,Assumptions!$A$8:$F$12,3,FALSE),3))+IF(Y18&lt;&gt;"",Y18,IFERROR(VLOOKUP(V18,Assumptions!$A$8:$F$12,4,FALSE),8))/2-MAX(0,IF(AS18="",0,YEAR(TODAY())-AS18)-IFERROR(VLOOKUP(V18,Assumptions!$A$8:$F$12,5,FALSE),1.5))),IFERROR(VLOOKUP(V18,Assumptions!$A$8:$F$12,5,FALSE),2.5)+IF(X18&lt;&gt;"",X18,IFERROR(VLOOKUP(V18,Assumptions!$A$8:$F$12,3,FALSE),3))+IF(Y18&lt;&gt;"",Y18,IFERROR(VLOOKUP(V18,Assumptions!$A$8:$F$12,4,FALSE),8))/2)</f>
        <v/>
      </c>
      <c r="AB18" s="24">
        <f>U18*Z18/(1+Assumptions!$B$3)^AA18</f>
        <v/>
      </c>
      <c r="AC18" s="27">
        <f>IF(U18=0,"",ROUND(AB18/U18*100,1))</f>
        <v/>
      </c>
      <c r="AD18" s="29">
        <f>AB18*Assumptions!$B$4</f>
        <v/>
      </c>
      <c r="AE18" s="27">
        <f>IF(U18=0,"",ROUND(AD18/U18*100,1))</f>
        <v/>
      </c>
      <c r="AF18" s="29">
        <f>AB18-AD18</f>
        <v/>
      </c>
      <c r="AG18" s="27">
        <f>IF(U18=0,"",ROUND((AB18-AD18)/U18*100,1))</f>
        <v/>
      </c>
      <c r="AH18" s="36" t="inlineStr">
        <is>
          <t>CHECK — source is not a statutory creditor list</t>
        </is>
      </c>
      <c r="AI18" s="31" t="inlineStr">
        <is>
          <t>https://credibilita.com.br/wp-content/uploads/2025/09/Relacao-Credores-29.04.2026.pdf</t>
        </is>
      </c>
      <c r="AJ18" s="30" t="inlineStr">
        <is>
          <t>p1 r6</t>
        </is>
      </c>
      <c r="AK18" s="30" t="inlineStr">
        <is>
          <t>p1: R$ 12.737.378,82</t>
        </is>
      </c>
      <c r="AL18" s="30" t="inlineStr">
        <is>
          <t>Quorum list — NOT an art. 7/51 list</t>
        </is>
      </c>
      <c r="AM18" s="30" t="inlineStr"/>
      <c r="AN18" s="30" t="inlineStr">
        <is>
          <t>NONE FOUND</t>
        </is>
      </c>
      <c r="AO18" s="32" t="inlineStr">
        <is>
          <t>5057720-48.2025.8.24.0023</t>
        </is>
      </c>
      <c r="AP18" s="32" t="inlineStr">
        <is>
          <t>TJSC</t>
        </is>
      </c>
      <c r="AQ18" s="32" t="inlineStr"/>
      <c r="AR18" s="32" t="inlineStr">
        <is>
          <t>not in DataJud</t>
        </is>
      </c>
      <c r="AS18" s="32" t="n">
        <v>2025</v>
      </c>
      <c r="AT18" s="32" t="inlineStr">
        <is>
          <t>live case, no plan document yet; case no. from the portal record, not printed on the list</t>
        </is>
      </c>
      <c r="AU18" s="32" t="inlineStr"/>
      <c r="AV18" s="32" t="inlineStr">
        <is>
          <t>portal page title / URL — not printed on the list</t>
        </is>
      </c>
      <c r="AW18" s="32" t="inlineStr"/>
      <c r="AX18" s="32" t="inlineStr">
        <is>
          <t>SAO PAULO</t>
        </is>
      </c>
      <c r="AY18" s="32" t="inlineStr">
        <is>
          <t>SP</t>
        </is>
      </c>
      <c r="AZ18" s="32" t="inlineStr">
        <is>
          <t>Bancos de investimento</t>
        </is>
      </c>
      <c r="BA18" s="32" t="inlineStr">
        <is>
          <t>não ME/EPP</t>
        </is>
      </c>
      <c r="BB18" s="33" t="n">
        <v>820925000</v>
      </c>
      <c r="BC18" s="32" t="inlineStr">
        <is>
          <t>LARGE CORP</t>
        </is>
      </c>
      <c r="BD18" s="32" t="inlineStr">
        <is>
          <t>60770336</t>
        </is>
      </c>
      <c r="BE18" s="32" t="n">
        <v>1</v>
      </c>
      <c r="BF18" s="32" t="inlineStr">
        <is>
          <t>list prints no totals case no. corrected by reader</t>
        </is>
      </c>
    </row>
    <row r="19">
      <c r="A19" s="17" t="inlineStr">
        <is>
          <t>BANCO BRADESCO S.A.</t>
        </is>
      </c>
      <c r="B19" s="18" t="n">
        <v>12430000</v>
      </c>
      <c r="C19" s="19" t="inlineStr">
        <is>
          <t>Cerealista Safrasul Ltda</t>
        </is>
      </c>
      <c r="D19" s="20" t="inlineStr">
        <is>
          <t>NEW</t>
        </is>
      </c>
      <c r="E19" s="21" t="inlineStr"/>
      <c r="F19" s="20" t="inlineStr"/>
      <c r="G19" s="21" t="inlineStr"/>
      <c r="H19" s="20" t="inlineStr"/>
      <c r="I19" s="22" t="inlineStr">
        <is>
          <t>Marcela Martins</t>
        </is>
      </c>
      <c r="J19" s="22" t="inlineStr">
        <is>
          <t>Superintendente de Recuperação de Crédito - Canais e Operações</t>
        </is>
      </c>
      <c r="K19" s="22" t="inlineStr">
        <is>
          <t>(11) 3684-5122</t>
        </is>
      </c>
      <c r="L19" s="22" t="inlineStr"/>
      <c r="M19" s="22" t="inlineStr"/>
      <c r="N19" s="22" t="inlineStr"/>
      <c r="O19" s="22" t="inlineStr"/>
      <c r="P19" s="22" t="inlineStr">
        <is>
          <t>Luis S</t>
        </is>
      </c>
      <c r="Q19" s="22" t="inlineStr">
        <is>
          <t>DRC - Departamento de Recuperação de Crédito - Gerente de Reestruturação de Crédito</t>
        </is>
      </c>
      <c r="R19" s="22" t="inlineStr"/>
      <c r="S19" s="22" t="inlineStr">
        <is>
          <t>sl@bradesco.com.br</t>
        </is>
      </c>
      <c r="T19" s="22" t="inlineStr">
        <is>
          <t>DM: DM; no work email in Apollo for DM; BACKUP: backup</t>
        </is>
      </c>
      <c r="U19" s="24" t="n">
        <v>12430000</v>
      </c>
      <c r="V19" s="25" t="inlineStr">
        <is>
          <t>B</t>
        </is>
      </c>
      <c r="W19" s="26" t="inlineStr"/>
      <c r="X19" s="27" t="inlineStr"/>
      <c r="Y19" s="27" t="inlineStr"/>
      <c r="Z19" s="26">
        <f>IF(W19&lt;&gt;"",W19,IFERROR(VLOOKUP(V19,Assumptions!$A$8:$F$12,2,FALSE),0))*Assumptions!$B$5</f>
        <v/>
      </c>
      <c r="AA19" s="28">
        <f>IF(V19="A",MAX(1,IF(X19&lt;&gt;"",X19,IFERROR(VLOOKUP(V19,Assumptions!$A$8:$F$12,3,FALSE),3))+IF(Y19&lt;&gt;"",Y19,IFERROR(VLOOKUP(V19,Assumptions!$A$8:$F$12,4,FALSE),8))/2-MAX(0,IF(AS19="",0,YEAR(TODAY())-AS19)-IFERROR(VLOOKUP(V19,Assumptions!$A$8:$F$12,5,FALSE),1.5))),IFERROR(VLOOKUP(V19,Assumptions!$A$8:$F$12,5,FALSE),2.5)+IF(X19&lt;&gt;"",X19,IFERROR(VLOOKUP(V19,Assumptions!$A$8:$F$12,3,FALSE),3))+IF(Y19&lt;&gt;"",Y19,IFERROR(VLOOKUP(V19,Assumptions!$A$8:$F$12,4,FALSE),8))/2)</f>
        <v/>
      </c>
      <c r="AB19" s="24">
        <f>U19*Z19/(1+Assumptions!$B$3)^AA19</f>
        <v/>
      </c>
      <c r="AC19" s="27">
        <f>IF(U19=0,"",ROUND(AB19/U19*100,1))</f>
        <v/>
      </c>
      <c r="AD19" s="29">
        <f>AB19*Assumptions!$B$4</f>
        <v/>
      </c>
      <c r="AE19" s="27">
        <f>IF(U19=0,"",ROUND(AD19/U19*100,1))</f>
        <v/>
      </c>
      <c r="AF19" s="29">
        <f>AB19-AD19</f>
        <v/>
      </c>
      <c r="AG19" s="27">
        <f>IF(U19=0,"",ROUND((AB19-AD19)/U19*100,1))</f>
        <v/>
      </c>
      <c r="AH19" s="34" t="inlineStr">
        <is>
          <t>NO TOTALS — list prints none; check page</t>
        </is>
      </c>
      <c r="AI19" s="31" t="inlineStr">
        <is>
          <t>https://ajruiz.com.br/sites/default/files/public/arquivos-processos/2026-01/safrasul_relacao_de_credores_recuperanda.pdf</t>
        </is>
      </c>
      <c r="AJ19" s="30" t="inlineStr">
        <is>
          <t>p8 r16; p8 r17; p8 r18; p8 r19</t>
        </is>
      </c>
      <c r="AK19" s="30" t="inlineStr">
        <is>
          <t>p8: R$ 4.000.000,00; p8: R$ 8.000.000,00; p8: R$ 400.000,00; p8: R$ 30.000,00</t>
        </is>
      </c>
      <c r="AL19" s="30" t="inlineStr">
        <is>
          <t>AJ list (art. 7 §2)</t>
        </is>
      </c>
      <c r="AM19" s="30" t="inlineStr">
        <is>
          <t>2026-01-14</t>
        </is>
      </c>
      <c r="AN19" s="30" t="inlineStr">
        <is>
          <t>NONE FOUND</t>
        </is>
      </c>
      <c r="AO19" s="32" t="inlineStr">
        <is>
          <t>4000167-23.2025.8.26.0373</t>
        </is>
      </c>
      <c r="AP19" s="32" t="inlineStr">
        <is>
          <t>TJSP</t>
        </is>
      </c>
      <c r="AQ19" s="32" t="inlineStr">
        <is>
          <t>Recuperação judicial</t>
        </is>
      </c>
      <c r="AR19" s="32" t="inlineStr">
        <is>
          <t>DataJud: no closure/falência movement</t>
        </is>
      </c>
      <c r="AS19" s="32" t="n">
        <v>2025</v>
      </c>
      <c r="AT19" s="32" t="inlineStr">
        <is>
          <t>live case, no plan document yet</t>
        </is>
      </c>
      <c r="AU19" s="32" t="inlineStr"/>
      <c r="AV19" s="32" t="inlineStr">
        <is>
          <t>printed on the list (read twice)</t>
        </is>
      </c>
      <c r="AW19" s="32" t="inlineStr"/>
      <c r="AX19" s="32" t="inlineStr">
        <is>
          <t>OSASCO</t>
        </is>
      </c>
      <c r="AY19" s="32" t="inlineStr">
        <is>
          <t>SP</t>
        </is>
      </c>
      <c r="AZ19" s="32" t="inlineStr">
        <is>
          <t>Bancos múltiplos, com carteira comercial</t>
        </is>
      </c>
      <c r="BA19" s="32" t="inlineStr">
        <is>
          <t>não ME/EPP</t>
        </is>
      </c>
      <c r="BB19" s="33" t="n">
        <v>93770000000</v>
      </c>
      <c r="BC19" s="32" t="inlineStr">
        <is>
          <t>LARGE CORP</t>
        </is>
      </c>
      <c r="BD19" s="32" t="inlineStr">
        <is>
          <t>60746948</t>
        </is>
      </c>
      <c r="BE19" s="32" t="n">
        <v>4</v>
      </c>
      <c r="BF19" s="32" t="inlineStr">
        <is>
          <t>financial by name list prints no totals</t>
        </is>
      </c>
    </row>
    <row r="20">
      <c r="A20" s="17" t="inlineStr">
        <is>
          <t>BANCO ABC BRASIL S.A.</t>
        </is>
      </c>
      <c r="B20" s="18" t="n">
        <v>11070395.8</v>
      </c>
      <c r="C20" s="19" t="inlineStr">
        <is>
          <t>REAL DISTRIBUIDORA ÚNICA RIO COMÉRCIO DE REFRIGERAÇÃO LTDA.</t>
        </is>
      </c>
      <c r="D20" s="20" t="inlineStr">
        <is>
          <t>NEW</t>
        </is>
      </c>
      <c r="E20" s="21" t="inlineStr"/>
      <c r="F20" s="20" t="inlineStr"/>
      <c r="G20" s="21" t="inlineStr"/>
      <c r="H20" s="20" t="inlineStr"/>
      <c r="I20" s="22" t="inlineStr">
        <is>
          <t>Luciano Makino</t>
        </is>
      </c>
      <c r="J20" s="22" t="inlineStr">
        <is>
          <t>Especialista de Recuperação de Crédito</t>
        </is>
      </c>
      <c r="K20" s="22" t="inlineStr">
        <is>
          <t>(11) 3170-2000</t>
        </is>
      </c>
      <c r="L20" s="22" t="inlineStr"/>
      <c r="M20" s="22" t="inlineStr"/>
      <c r="N20" s="22" t="inlineStr">
        <is>
          <t>luciano.makino@abcbrasil.com.br</t>
        </is>
      </c>
      <c r="O20" s="22" t="inlineStr">
        <is>
          <t>verified</t>
        </is>
      </c>
      <c r="P20" s="22" t="inlineStr">
        <is>
          <t>Marilia Neves</t>
        </is>
      </c>
      <c r="Q20" s="22" t="inlineStr">
        <is>
          <t>Advogado Especialista em Recuperação de Crédito</t>
        </is>
      </c>
      <c r="R20" s="22" t="inlineStr"/>
      <c r="S20" s="22" t="inlineStr">
        <is>
          <t>marilia.neves@abcbrasil.com.br</t>
        </is>
      </c>
      <c r="T20" s="22" t="inlineStr">
        <is>
          <t>DM: DM verified email; BACKUP: backup verified email</t>
        </is>
      </c>
      <c r="U20" s="24" t="n">
        <v>11070395.8</v>
      </c>
      <c r="V20" s="25" t="inlineStr">
        <is>
          <t>B</t>
        </is>
      </c>
      <c r="W20" s="26" t="inlineStr"/>
      <c r="X20" s="27" t="inlineStr"/>
      <c r="Y20" s="27" t="inlineStr"/>
      <c r="Z20" s="26">
        <f>IF(W20&lt;&gt;"",W20,IFERROR(VLOOKUP(V20,Assumptions!$A$8:$F$12,2,FALSE),0))*Assumptions!$B$5</f>
        <v/>
      </c>
      <c r="AA20" s="28">
        <f>IF(V20="A",MAX(1,IF(X20&lt;&gt;"",X20,IFERROR(VLOOKUP(V20,Assumptions!$A$8:$F$12,3,FALSE),3))+IF(Y20&lt;&gt;"",Y20,IFERROR(VLOOKUP(V20,Assumptions!$A$8:$F$12,4,FALSE),8))/2-MAX(0,IF(AS20="",0,YEAR(TODAY())-AS20)-IFERROR(VLOOKUP(V20,Assumptions!$A$8:$F$12,5,FALSE),1.5))),IFERROR(VLOOKUP(V20,Assumptions!$A$8:$F$12,5,FALSE),2.5)+IF(X20&lt;&gt;"",X20,IFERROR(VLOOKUP(V20,Assumptions!$A$8:$F$12,3,FALSE),3))+IF(Y20&lt;&gt;"",Y20,IFERROR(VLOOKUP(V20,Assumptions!$A$8:$F$12,4,FALSE),8))/2)</f>
        <v/>
      </c>
      <c r="AB20" s="24">
        <f>U20*Z20/(1+Assumptions!$B$3)^AA20</f>
        <v/>
      </c>
      <c r="AC20" s="27">
        <f>IF(U20=0,"",ROUND(AB20/U20*100,1))</f>
        <v/>
      </c>
      <c r="AD20" s="29">
        <f>AB20*Assumptions!$B$4</f>
        <v/>
      </c>
      <c r="AE20" s="27">
        <f>IF(U20=0,"",ROUND(AD20/U20*100,1))</f>
        <v/>
      </c>
      <c r="AF20" s="29">
        <f>AB20-AD20</f>
        <v/>
      </c>
      <c r="AG20" s="27">
        <f>IF(U20=0,"",ROUND((AB20-AD20)/U20*100,1))</f>
        <v/>
      </c>
      <c r="AH20" s="30" t="inlineStr">
        <is>
          <t>OK — totals reconciled</t>
        </is>
      </c>
      <c r="AI20" s="31" t="inlineStr">
        <is>
          <t>https://inova-aj.com.br/wp-content/uploads/2026/08/1a-Relacao-de-Credores-Real.pdf</t>
        </is>
      </c>
      <c r="AJ20" s="30" t="inlineStr">
        <is>
          <t>p1 r14</t>
        </is>
      </c>
      <c r="AK20" s="30" t="inlineStr">
        <is>
          <t>p1: R$ 11.070.395,80</t>
        </is>
      </c>
      <c r="AL20" s="30" t="inlineStr">
        <is>
          <t>AJ list (art. 7 §2)</t>
        </is>
      </c>
      <c r="AM20" s="30" t="inlineStr">
        <is>
          <t>2023-06-05</t>
        </is>
      </c>
      <c r="AN20" s="30" t="inlineStr">
        <is>
          <t>NONE FOUND</t>
        </is>
      </c>
      <c r="AO20" s="32" t="inlineStr">
        <is>
          <t>0873061-47.2023.8.19.0001</t>
        </is>
      </c>
      <c r="AP20" s="32" t="inlineStr">
        <is>
          <t>TJRJ</t>
        </is>
      </c>
      <c r="AQ20" s="32" t="inlineStr">
        <is>
          <t>Recuperação judicial</t>
        </is>
      </c>
      <c r="AR20" s="32" t="inlineStr">
        <is>
          <t>not in DataJud</t>
        </is>
      </c>
      <c r="AS20" s="32" t="n">
        <v>2023</v>
      </c>
      <c r="AT20" s="32" t="inlineStr">
        <is>
          <t>live case, no plan document yet; case no. from the portal record, not printed on the list</t>
        </is>
      </c>
      <c r="AU20" s="32" t="inlineStr"/>
      <c r="AV20" s="32" t="inlineStr">
        <is>
          <t>printed on the list (read twice)</t>
        </is>
      </c>
      <c r="AW20" s="32" t="inlineStr"/>
      <c r="AX20" s="32" t="inlineStr">
        <is>
          <t>SAO PAULO</t>
        </is>
      </c>
      <c r="AY20" s="32" t="inlineStr">
        <is>
          <t>SP</t>
        </is>
      </c>
      <c r="AZ20" s="32" t="inlineStr">
        <is>
          <t>Bancos múltiplos, com carteira comercial</t>
        </is>
      </c>
      <c r="BA20" s="32" t="inlineStr">
        <is>
          <t>não ME/EPP</t>
        </is>
      </c>
      <c r="BB20" s="33" t="n">
        <v>6012662300</v>
      </c>
      <c r="BC20" s="32" t="inlineStr">
        <is>
          <t>LARGE CORP</t>
        </is>
      </c>
      <c r="BD20" s="32" t="inlineStr">
        <is>
          <t>28195667</t>
        </is>
      </c>
      <c r="BE20" s="32" t="n">
        <v>1</v>
      </c>
      <c r="BF20" s="32" t="inlineStr">
        <is>
          <t>ALT_VALUE:R$8.049.373,91</t>
        </is>
      </c>
    </row>
    <row r="21">
      <c r="A21" s="17" t="inlineStr">
        <is>
          <t>BANCO SAFRA S A</t>
        </is>
      </c>
      <c r="B21" s="18" t="n">
        <v>10547523.23</v>
      </c>
      <c r="C21" s="19" t="inlineStr">
        <is>
          <t>GRUPO GLP</t>
        </is>
      </c>
      <c r="D21" s="20" t="inlineStr">
        <is>
          <t>NEW</t>
        </is>
      </c>
      <c r="E21" s="21" t="inlineStr"/>
      <c r="F21" s="20" t="inlineStr"/>
      <c r="G21" s="21" t="inlineStr"/>
      <c r="H21" s="20" t="inlineStr"/>
      <c r="I21" s="22" t="inlineStr">
        <is>
          <t>Vanessa Biotti</t>
        </is>
      </c>
      <c r="J21" s="22" t="inlineStr">
        <is>
          <t>Gerente de Recuperação de Crédito</t>
        </is>
      </c>
      <c r="K21" s="22" t="inlineStr">
        <is>
          <t>(11) 3175-7575</t>
        </is>
      </c>
      <c r="L21" s="22" t="inlineStr"/>
      <c r="M21" s="22" t="inlineStr"/>
      <c r="N21" s="22" t="inlineStr">
        <is>
          <t>vanessa.biotti@safra.com.br</t>
        </is>
      </c>
      <c r="O21" s="22" t="inlineStr">
        <is>
          <t>verified</t>
        </is>
      </c>
      <c r="P21" s="22" t="inlineStr">
        <is>
          <t>Rodrigo Anjos</t>
        </is>
      </c>
      <c r="Q21" s="22" t="inlineStr">
        <is>
          <t>Advogado Sênior - Jurídico Contencioso - Recuperação de Crédito - NPL</t>
        </is>
      </c>
      <c r="R21" s="22" t="inlineStr"/>
      <c r="S21" s="22" t="inlineStr">
        <is>
          <t>rodrigo.anjos@safra.com.br</t>
        </is>
      </c>
      <c r="T21" s="22" t="inlineStr">
        <is>
          <t>DM: DM verified email; BACKUP: backup verified email (NPL legal)</t>
        </is>
      </c>
      <c r="U21" s="24" t="n">
        <v>10547523.23</v>
      </c>
      <c r="V21" s="25" t="inlineStr">
        <is>
          <t>B</t>
        </is>
      </c>
      <c r="W21" s="26" t="inlineStr"/>
      <c r="X21" s="27" t="inlineStr"/>
      <c r="Y21" s="27" t="inlineStr"/>
      <c r="Z21" s="26">
        <f>IF(W21&lt;&gt;"",W21,IFERROR(VLOOKUP(V21,Assumptions!$A$8:$F$12,2,FALSE),0))*Assumptions!$B$5</f>
        <v/>
      </c>
      <c r="AA21" s="28">
        <f>IF(V21="A",MAX(1,IF(X21&lt;&gt;"",X21,IFERROR(VLOOKUP(V21,Assumptions!$A$8:$F$12,3,FALSE),3))+IF(Y21&lt;&gt;"",Y21,IFERROR(VLOOKUP(V21,Assumptions!$A$8:$F$12,4,FALSE),8))/2-MAX(0,IF(AS21="",0,YEAR(TODAY())-AS21)-IFERROR(VLOOKUP(V21,Assumptions!$A$8:$F$12,5,FALSE),1.5))),IFERROR(VLOOKUP(V21,Assumptions!$A$8:$F$12,5,FALSE),2.5)+IF(X21&lt;&gt;"",X21,IFERROR(VLOOKUP(V21,Assumptions!$A$8:$F$12,3,FALSE),3))+IF(Y21&lt;&gt;"",Y21,IFERROR(VLOOKUP(V21,Assumptions!$A$8:$F$12,4,FALSE),8))/2)</f>
        <v/>
      </c>
      <c r="AB21" s="24">
        <f>U21*Z21/(1+Assumptions!$B$3)^AA21</f>
        <v/>
      </c>
      <c r="AC21" s="27">
        <f>IF(U21=0,"",ROUND(AB21/U21*100,1))</f>
        <v/>
      </c>
      <c r="AD21" s="29">
        <f>AB21*Assumptions!$B$4</f>
        <v/>
      </c>
      <c r="AE21" s="27">
        <f>IF(U21=0,"",ROUND(AD21/U21*100,1))</f>
        <v/>
      </c>
      <c r="AF21" s="29">
        <f>AB21-AD21</f>
        <v/>
      </c>
      <c r="AG21" s="27">
        <f>IF(U21=0,"",ROUND((AB21-AD21)/U21*100,1))</f>
        <v/>
      </c>
      <c r="AH21" s="30" t="inlineStr">
        <is>
          <t>OK — totals reconciled</t>
        </is>
      </c>
      <c r="AI21" s="31" t="inlineStr">
        <is>
          <t>https://recuperasolucoes.com/wp-content/plugins/download-attachments/includes/download.php?id=1597</t>
        </is>
      </c>
      <c r="AJ21" s="30" t="inlineStr">
        <is>
          <t>p13 r18</t>
        </is>
      </c>
      <c r="AK21" s="30" t="inlineStr">
        <is>
          <t>p13: R$ 10.547.523,23</t>
        </is>
      </c>
      <c r="AL21" s="30" t="inlineStr">
        <is>
          <t>Debtor list (art. 51)</t>
        </is>
      </c>
      <c r="AM21" s="30" t="inlineStr">
        <is>
          <t>2026-05-21</t>
        </is>
      </c>
      <c r="AN21" s="30" t="inlineStr">
        <is>
          <t>NONE FOUND</t>
        </is>
      </c>
      <c r="AO21" s="32" t="inlineStr">
        <is>
          <t>0001639-09.2026.8.17.2810</t>
        </is>
      </c>
      <c r="AP21" s="32" t="inlineStr">
        <is>
          <t>TJPE</t>
        </is>
      </c>
      <c r="AQ21" s="32" t="inlineStr">
        <is>
          <t>Recuperação judicial</t>
        </is>
      </c>
      <c r="AR21" s="32" t="inlineStr">
        <is>
          <t>DataJud: no closure/falência movement</t>
        </is>
      </c>
      <c r="AS21" s="32" t="n">
        <v>2026</v>
      </c>
      <c r="AT21" s="32" t="inlineStr">
        <is>
          <t>live case, no plan document yet</t>
        </is>
      </c>
      <c r="AU21" s="32" t="inlineStr"/>
      <c r="AV21" s="32" t="inlineStr">
        <is>
          <t>printed on the list (read twice)</t>
        </is>
      </c>
      <c r="AW21" s="32" t="inlineStr"/>
      <c r="AX21" s="32" t="inlineStr">
        <is>
          <t>SAO PAULO</t>
        </is>
      </c>
      <c r="AY21" s="32" t="inlineStr">
        <is>
          <t>SP</t>
        </is>
      </c>
      <c r="AZ21" s="32" t="inlineStr">
        <is>
          <t>Bancos múltiplos, com carteira comercial</t>
        </is>
      </c>
      <c r="BA21" s="32" t="inlineStr">
        <is>
          <t>não ME/EPP</t>
        </is>
      </c>
      <c r="BB21" s="33" t="n">
        <v>13924903000</v>
      </c>
      <c r="BC21" s="32" t="inlineStr">
        <is>
          <t>LARGE CORP</t>
        </is>
      </c>
      <c r="BD21" s="32" t="inlineStr">
        <is>
          <t>58160789</t>
        </is>
      </c>
      <c r="BE21" s="32" t="n">
        <v>1</v>
      </c>
      <c r="BF21" s="32" t="inlineStr"/>
    </row>
    <row r="22">
      <c r="A22" s="17" t="inlineStr">
        <is>
          <t>ITAU UNIBANCO S.A.</t>
        </is>
      </c>
      <c r="B22" s="18" t="n">
        <v>10230308.04</v>
      </c>
      <c r="C22" s="19" t="inlineStr">
        <is>
          <t>GRUPO CATTAN</t>
        </is>
      </c>
      <c r="D22" s="20" t="inlineStr">
        <is>
          <t>NEW</t>
        </is>
      </c>
      <c r="E22" s="21" t="inlineStr"/>
      <c r="F22" s="20" t="inlineStr"/>
      <c r="G22" s="21" t="inlineStr"/>
      <c r="H22" s="20" t="inlineStr"/>
      <c r="I22" s="22" t="inlineStr">
        <is>
          <t>Murilo Gigliucci</t>
        </is>
      </c>
      <c r="J22" s="22" t="inlineStr">
        <is>
          <t>Superintendente de Reestruturação de Crédito</t>
        </is>
      </c>
      <c r="K22" s="22" t="inlineStr">
        <is>
          <t>(11) 3003-4828</t>
        </is>
      </c>
      <c r="L22" s="22" t="inlineStr"/>
      <c r="M22" s="22" t="inlineStr"/>
      <c r="N22" s="22" t="inlineStr">
        <is>
          <t>murilo.gigliucci@itau-unibanco.com.br</t>
        </is>
      </c>
      <c r="O22" s="22" t="inlineStr">
        <is>
          <t>verified</t>
        </is>
      </c>
      <c r="P22" s="22" t="inlineStr">
        <is>
          <t>Pedro Ornellas</t>
        </is>
      </c>
      <c r="Q22" s="22" t="inlineStr">
        <is>
          <t>Superintendente de Recuperação de Crédito</t>
        </is>
      </c>
      <c r="R22" s="22" t="inlineStr"/>
      <c r="S22" s="22" t="inlineStr">
        <is>
          <t>pedro.ornellas-geronimo@itau-unibanco.com.br</t>
        </is>
      </c>
      <c r="T22" s="22" t="inlineStr">
        <is>
          <t>DM: DM verified email; BACKUP: backup verified email</t>
        </is>
      </c>
      <c r="U22" s="24" t="n">
        <v>10230308.04</v>
      </c>
      <c r="V22" s="25" t="inlineStr">
        <is>
          <t>B</t>
        </is>
      </c>
      <c r="W22" s="26" t="inlineStr"/>
      <c r="X22" s="27" t="inlineStr"/>
      <c r="Y22" s="27" t="inlineStr"/>
      <c r="Z22" s="26">
        <f>IF(W22&lt;&gt;"",W22,IFERROR(VLOOKUP(V22,Assumptions!$A$8:$F$12,2,FALSE),0))*Assumptions!$B$5</f>
        <v/>
      </c>
      <c r="AA22" s="28">
        <f>IF(V22="A",MAX(1,IF(X22&lt;&gt;"",X22,IFERROR(VLOOKUP(V22,Assumptions!$A$8:$F$12,3,FALSE),3))+IF(Y22&lt;&gt;"",Y22,IFERROR(VLOOKUP(V22,Assumptions!$A$8:$F$12,4,FALSE),8))/2-MAX(0,IF(AS22="",0,YEAR(TODAY())-AS22)-IFERROR(VLOOKUP(V22,Assumptions!$A$8:$F$12,5,FALSE),1.5))),IFERROR(VLOOKUP(V22,Assumptions!$A$8:$F$12,5,FALSE),2.5)+IF(X22&lt;&gt;"",X22,IFERROR(VLOOKUP(V22,Assumptions!$A$8:$F$12,3,FALSE),3))+IF(Y22&lt;&gt;"",Y22,IFERROR(VLOOKUP(V22,Assumptions!$A$8:$F$12,4,FALSE),8))/2)</f>
        <v/>
      </c>
      <c r="AB22" s="24">
        <f>U22*Z22/(1+Assumptions!$B$3)^AA22</f>
        <v/>
      </c>
      <c r="AC22" s="27">
        <f>IF(U22=0,"",ROUND(AB22/U22*100,1))</f>
        <v/>
      </c>
      <c r="AD22" s="29">
        <f>AB22*Assumptions!$B$4</f>
        <v/>
      </c>
      <c r="AE22" s="27">
        <f>IF(U22=0,"",ROUND(AD22/U22*100,1))</f>
        <v/>
      </c>
      <c r="AF22" s="29">
        <f>AB22-AD22</f>
        <v/>
      </c>
      <c r="AG22" s="27">
        <f>IF(U22=0,"",ROUND((AB22-AD22)/U22*100,1))</f>
        <v/>
      </c>
      <c r="AH22" s="35" t="inlineStr">
        <is>
          <t>PARTIAL — class III reconciled, other classes not</t>
        </is>
      </c>
      <c r="AI22" s="31" t="inlineStr">
        <is>
          <t>https://lrflideres.com.br/wp-content/plugins/download-attachments/includes/download.php?id=4023</t>
        </is>
      </c>
      <c r="AJ22" s="30" t="inlineStr">
        <is>
          <t>p4 r79; p7 r104; p8 r83; p9 r78</t>
        </is>
      </c>
      <c r="AK22" s="30" t="inlineStr">
        <is>
          <t>p4: R$ 1.877.913,26; p7: R$ 5.246.171,01; p8: R$ 2.428.571,55; p9: R$ 677.652,22</t>
        </is>
      </c>
      <c r="AL22" s="30" t="inlineStr">
        <is>
          <t>Debtor list (art. 51)</t>
        </is>
      </c>
      <c r="AM22" s="30" t="inlineStr"/>
      <c r="AN22" s="30" t="inlineStr">
        <is>
          <t>NONE FOUND</t>
        </is>
      </c>
      <c r="AO22" s="32" t="inlineStr">
        <is>
          <t>0002484-82.2022.8.17.2001</t>
        </is>
      </c>
      <c r="AP22" s="32" t="inlineStr">
        <is>
          <t>TJPE</t>
        </is>
      </c>
      <c r="AQ22" s="32" t="inlineStr">
        <is>
          <t>Recuperação judicial</t>
        </is>
      </c>
      <c r="AR22" s="32" t="inlineStr">
        <is>
          <t>DataJud: no closure/falência movement</t>
        </is>
      </c>
      <c r="AS22" s="32" t="n">
        <v>2022</v>
      </c>
      <c r="AT22" s="32" t="inlineStr">
        <is>
          <t>live case, no plan document yet</t>
        </is>
      </c>
      <c r="AU22" s="32" t="inlineStr"/>
      <c r="AV22" s="32" t="inlineStr">
        <is>
          <t>printed on the list (read twice)</t>
        </is>
      </c>
      <c r="AW22" s="32" t="inlineStr"/>
      <c r="AX22" s="32" t="inlineStr">
        <is>
          <t>SAO PAULO</t>
        </is>
      </c>
      <c r="AY22" s="32" t="inlineStr">
        <is>
          <t>SP</t>
        </is>
      </c>
      <c r="AZ22" s="32" t="inlineStr">
        <is>
          <t>Bancos comerciais</t>
        </is>
      </c>
      <c r="BA22" s="32" t="inlineStr">
        <is>
          <t>não ME/EPP</t>
        </is>
      </c>
      <c r="BB22" s="33" t="n">
        <v>76200000000</v>
      </c>
      <c r="BC22" s="32" t="inlineStr">
        <is>
          <t>LARGE CORP</t>
        </is>
      </c>
      <c r="BD22" s="32" t="inlineStr">
        <is>
          <t>60701190</t>
        </is>
      </c>
      <c r="BE22" s="32" t="n">
        <v>4</v>
      </c>
      <c r="BF22" s="32" t="inlineStr">
        <is>
          <t>financial by name class III reconciled (doc partial)</t>
        </is>
      </c>
    </row>
    <row r="23">
      <c r="A23" s="17" t="inlineStr">
        <is>
          <t>BANCO SANTANDER (BRASIL) S.A.</t>
        </is>
      </c>
      <c r="B23" s="18" t="n">
        <v>10130566.25</v>
      </c>
      <c r="C23" s="19" t="inlineStr">
        <is>
          <t>GRUPO ADLIM</t>
        </is>
      </c>
      <c r="D23" s="20" t="inlineStr">
        <is>
          <t>NEW</t>
        </is>
      </c>
      <c r="E23" s="21" t="inlineStr"/>
      <c r="F23" s="20" t="inlineStr"/>
      <c r="G23" s="21" t="inlineStr"/>
      <c r="H23" s="20" t="inlineStr"/>
      <c r="I23" s="22" t="inlineStr">
        <is>
          <t>Igor Puertas</t>
        </is>
      </c>
      <c r="J23" s="22" t="inlineStr">
        <is>
          <t>Distressed Assets | NPL</t>
        </is>
      </c>
      <c r="K23" s="22" t="inlineStr">
        <is>
          <t>(11) 4004-3535</t>
        </is>
      </c>
      <c r="L23" s="22" t="inlineStr"/>
      <c r="M23" s="22" t="inlineStr"/>
      <c r="N23" s="22" t="inlineStr">
        <is>
          <t>igor.puertas@santander.com.br</t>
        </is>
      </c>
      <c r="O23" s="22" t="inlineStr">
        <is>
          <t>verified</t>
        </is>
      </c>
      <c r="P23" s="22" t="inlineStr">
        <is>
          <t>Antonio Junior</t>
        </is>
      </c>
      <c r="Q23" s="22" t="inlineStr">
        <is>
          <t>Superintendente Recuperação de Crédito</t>
        </is>
      </c>
      <c r="R23" s="22" t="inlineStr"/>
      <c r="S23" s="22" t="inlineStr">
        <is>
          <t>antonio.pequeno.junior@santander.com.br</t>
        </is>
      </c>
      <c r="T23" s="22" t="inlineStr">
        <is>
          <t>DM: DM; BACKUP: backup</t>
        </is>
      </c>
      <c r="U23" s="24" t="n">
        <v>10130566.25</v>
      </c>
      <c r="V23" s="25" t="inlineStr">
        <is>
          <t>B</t>
        </is>
      </c>
      <c r="W23" s="26" t="inlineStr"/>
      <c r="X23" s="27" t="inlineStr"/>
      <c r="Y23" s="27" t="inlineStr"/>
      <c r="Z23" s="26">
        <f>IF(W23&lt;&gt;"",W23,IFERROR(VLOOKUP(V23,Assumptions!$A$8:$F$12,2,FALSE),0))*Assumptions!$B$5</f>
        <v/>
      </c>
      <c r="AA23" s="28">
        <f>IF(V23="A",MAX(1,IF(X23&lt;&gt;"",X23,IFERROR(VLOOKUP(V23,Assumptions!$A$8:$F$12,3,FALSE),3))+IF(Y23&lt;&gt;"",Y23,IFERROR(VLOOKUP(V23,Assumptions!$A$8:$F$12,4,FALSE),8))/2-MAX(0,IF(AS23="",0,YEAR(TODAY())-AS23)-IFERROR(VLOOKUP(V23,Assumptions!$A$8:$F$12,5,FALSE),1.5))),IFERROR(VLOOKUP(V23,Assumptions!$A$8:$F$12,5,FALSE),2.5)+IF(X23&lt;&gt;"",X23,IFERROR(VLOOKUP(V23,Assumptions!$A$8:$F$12,3,FALSE),3))+IF(Y23&lt;&gt;"",Y23,IFERROR(VLOOKUP(V23,Assumptions!$A$8:$F$12,4,FALSE),8))/2)</f>
        <v/>
      </c>
      <c r="AB23" s="24">
        <f>U23*Z23/(1+Assumptions!$B$3)^AA23</f>
        <v/>
      </c>
      <c r="AC23" s="27">
        <f>IF(U23=0,"",ROUND(AB23/U23*100,1))</f>
        <v/>
      </c>
      <c r="AD23" s="29">
        <f>AB23*Assumptions!$B$4</f>
        <v/>
      </c>
      <c r="AE23" s="27">
        <f>IF(U23=0,"",ROUND(AD23/U23*100,1))</f>
        <v/>
      </c>
      <c r="AF23" s="29">
        <f>AB23-AD23</f>
        <v/>
      </c>
      <c r="AG23" s="27">
        <f>IF(U23=0,"",ROUND((AB23-AD23)/U23*100,1))</f>
        <v/>
      </c>
      <c r="AH23" s="35" t="inlineStr">
        <is>
          <t>PARTIAL — class III reconciled, other classes not</t>
        </is>
      </c>
      <c r="AI23" s="31" t="inlineStr">
        <is>
          <t>https://lrflideres.com.br/wp-content/plugins/download-attachments/includes/download.php?id=6051</t>
        </is>
      </c>
      <c r="AJ23" s="30" t="inlineStr">
        <is>
          <t>p66 r71; p85 r23; p97 r22</t>
        </is>
      </c>
      <c r="AK23" s="30" t="inlineStr">
        <is>
          <t>[rows shown ≠ face] p66: R$ 5124521,38; p85: R$ 5006044,87; p97: R$ 5006044,87</t>
        </is>
      </c>
      <c r="AL23" s="30" t="inlineStr">
        <is>
          <t>AJ list (art. 7 §2)</t>
        </is>
      </c>
      <c r="AM23" s="30" t="inlineStr">
        <is>
          <t>2024-08-12</t>
        </is>
      </c>
      <c r="AN23" s="30" t="inlineStr">
        <is>
          <t>NONE FOUND</t>
        </is>
      </c>
      <c r="AO23" s="32" t="inlineStr">
        <is>
          <t>0019761-43.2024.8.17.2001</t>
        </is>
      </c>
      <c r="AP23" s="32" t="inlineStr">
        <is>
          <t>TJPE</t>
        </is>
      </c>
      <c r="AQ23" s="32" t="inlineStr">
        <is>
          <t>Recuperação judicial</t>
        </is>
      </c>
      <c r="AR23" s="32" t="inlineStr">
        <is>
          <t>DataJud: no closure/falência movement</t>
        </is>
      </c>
      <c r="AS23" s="32" t="n">
        <v>2024</v>
      </c>
      <c r="AT23" s="32" t="inlineStr">
        <is>
          <t>live case, no plan document yet</t>
        </is>
      </c>
      <c r="AU23" s="32" t="inlineStr"/>
      <c r="AV23" s="32" t="inlineStr">
        <is>
          <t>printed on the list (read twice)</t>
        </is>
      </c>
      <c r="AW23" s="32" t="inlineStr"/>
      <c r="AX23" s="32" t="inlineStr">
        <is>
          <t>SAO PAULO</t>
        </is>
      </c>
      <c r="AY23" s="32" t="inlineStr">
        <is>
          <t>SP</t>
        </is>
      </c>
      <c r="AZ23" s="32" t="inlineStr">
        <is>
          <t>Bancos múltiplos, com carteira comercial</t>
        </is>
      </c>
      <c r="BA23" s="32" t="inlineStr">
        <is>
          <t>não ME/EPP</t>
        </is>
      </c>
      <c r="BB23" s="33" t="n">
        <v>65000000000</v>
      </c>
      <c r="BC23" s="32" t="inlineStr">
        <is>
          <t>LARGE CORP</t>
        </is>
      </c>
      <c r="BD23" s="32" t="inlineStr">
        <is>
          <t>90400888</t>
        </is>
      </c>
      <c r="BE23" s="32" t="n">
        <v>2</v>
      </c>
      <c r="BF23" s="32" t="inlineStr">
        <is>
          <t>financial by name class III reconciled (doc partial)</t>
        </is>
      </c>
    </row>
    <row r="24">
      <c r="A24" s="17" t="inlineStr">
        <is>
          <t>BANCO DAYCOVAL S.A.</t>
        </is>
      </c>
      <c r="B24" s="18" t="n">
        <v>8739976.119999999</v>
      </c>
      <c r="C24" s="19" t="inlineStr">
        <is>
          <t>GRUPO DP4</t>
        </is>
      </c>
      <c r="D24" s="20" t="inlineStr">
        <is>
          <t>NEW</t>
        </is>
      </c>
      <c r="E24" s="21" t="inlineStr"/>
      <c r="F24" s="20" t="inlineStr"/>
      <c r="G24" s="21" t="inlineStr"/>
      <c r="H24" s="20" t="inlineStr"/>
      <c r="I24" s="22" t="inlineStr">
        <is>
          <t>Celso Araujo</t>
        </is>
      </c>
      <c r="J24" s="22" t="inlineStr">
        <is>
          <t>Gerente de Recuperação de Crédito</t>
        </is>
      </c>
      <c r="K24" s="22" t="inlineStr">
        <is>
          <t>(11) 3138-0500</t>
        </is>
      </c>
      <c r="L24" s="22" t="inlineStr"/>
      <c r="M24" s="22" t="inlineStr"/>
      <c r="N24" s="22" t="inlineStr">
        <is>
          <t>celso.araujo@bancodaycoval.com.br</t>
        </is>
      </c>
      <c r="O24" s="22" t="inlineStr">
        <is>
          <t>verified</t>
        </is>
      </c>
      <c r="P24" s="22" t="inlineStr">
        <is>
          <t>Andreia Matiel</t>
        </is>
      </c>
      <c r="Q24" s="22" t="inlineStr">
        <is>
          <t>Advogada Recuperação de Crédito Empresas</t>
        </is>
      </c>
      <c r="R24" s="22" t="inlineStr"/>
      <c r="S24" s="22" t="inlineStr">
        <is>
          <t>andreia.matiel@daycoval.com.br</t>
        </is>
      </c>
      <c r="T24" s="22" t="inlineStr">
        <is>
          <t>DM: DM verified email; BACKUP: backup verified email</t>
        </is>
      </c>
      <c r="U24" s="24" t="n">
        <v>8739976.119999999</v>
      </c>
      <c r="V24" s="25" t="inlineStr">
        <is>
          <t>B</t>
        </is>
      </c>
      <c r="W24" s="26" t="inlineStr"/>
      <c r="X24" s="27" t="inlineStr"/>
      <c r="Y24" s="27" t="inlineStr"/>
      <c r="Z24" s="26">
        <f>IF(W24&lt;&gt;"",W24,IFERROR(VLOOKUP(V24,Assumptions!$A$8:$F$12,2,FALSE),0))*Assumptions!$B$5</f>
        <v/>
      </c>
      <c r="AA24" s="28">
        <f>IF(V24="A",MAX(1,IF(X24&lt;&gt;"",X24,IFERROR(VLOOKUP(V24,Assumptions!$A$8:$F$12,3,FALSE),3))+IF(Y24&lt;&gt;"",Y24,IFERROR(VLOOKUP(V24,Assumptions!$A$8:$F$12,4,FALSE),8))/2-MAX(0,IF(AS24="",0,YEAR(TODAY())-AS24)-IFERROR(VLOOKUP(V24,Assumptions!$A$8:$F$12,5,FALSE),1.5))),IFERROR(VLOOKUP(V24,Assumptions!$A$8:$F$12,5,FALSE),2.5)+IF(X24&lt;&gt;"",X24,IFERROR(VLOOKUP(V24,Assumptions!$A$8:$F$12,3,FALSE),3))+IF(Y24&lt;&gt;"",Y24,IFERROR(VLOOKUP(V24,Assumptions!$A$8:$F$12,4,FALSE),8))/2)</f>
        <v/>
      </c>
      <c r="AB24" s="24">
        <f>U24*Z24/(1+Assumptions!$B$3)^AA24</f>
        <v/>
      </c>
      <c r="AC24" s="27">
        <f>IF(U24=0,"",ROUND(AB24/U24*100,1))</f>
        <v/>
      </c>
      <c r="AD24" s="29">
        <f>AB24*Assumptions!$B$4</f>
        <v/>
      </c>
      <c r="AE24" s="27">
        <f>IF(U24=0,"",ROUND(AD24/U24*100,1))</f>
        <v/>
      </c>
      <c r="AF24" s="29">
        <f>AB24-AD24</f>
        <v/>
      </c>
      <c r="AG24" s="27">
        <f>IF(U24=0,"",ROUND((AB24-AD24)/U24*100,1))</f>
        <v/>
      </c>
      <c r="AH24" s="35" t="inlineStr">
        <is>
          <t>PARTIAL — class III reconciled, other classes not</t>
        </is>
      </c>
      <c r="AI24" s="31" t="inlineStr">
        <is>
          <t>https://marquesadmjudicial.com.br/sgc/download.php?file=files/processo_documento/processo_documento15293208032024_1_.pdf&amp;nome=Relação Nominal de Credores da AJ-Sintética</t>
        </is>
      </c>
      <c r="AJ24" s="30" t="inlineStr">
        <is>
          <t>p20 r9</t>
        </is>
      </c>
      <c r="AK24" s="30" t="inlineStr">
        <is>
          <t>p20: R$ 8.739.976,12</t>
        </is>
      </c>
      <c r="AL24" s="30" t="inlineStr">
        <is>
          <t>AJ list (art. 7 §2)</t>
        </is>
      </c>
      <c r="AM24" s="30" t="inlineStr">
        <is>
          <t>2023-03-02</t>
        </is>
      </c>
      <c r="AN24" s="30" t="inlineStr">
        <is>
          <t>NONE FOUND</t>
        </is>
      </c>
      <c r="AO24" s="32" t="inlineStr">
        <is>
          <t>0005010-98.2023.8.16.0001</t>
        </is>
      </c>
      <c r="AP24" s="32" t="inlineStr">
        <is>
          <t>TJPR</t>
        </is>
      </c>
      <c r="AQ24" s="32" t="inlineStr">
        <is>
          <t>Recuperação judicial</t>
        </is>
      </c>
      <c r="AR24" s="32" t="inlineStr">
        <is>
          <t>DataJud: no closure/falência movement</t>
        </is>
      </c>
      <c r="AS24" s="32" t="n">
        <v>2023</v>
      </c>
      <c r="AT24" s="32" t="inlineStr">
        <is>
          <t>live case, no plan document yet</t>
        </is>
      </c>
      <c r="AU24" s="32" t="inlineStr"/>
      <c r="AV24" s="32" t="inlineStr">
        <is>
          <t>printed on the list (read twice)</t>
        </is>
      </c>
      <c r="AW24" s="32" t="inlineStr"/>
      <c r="AX24" s="32" t="inlineStr">
        <is>
          <t>SAO PAULO</t>
        </is>
      </c>
      <c r="AY24" s="32" t="inlineStr">
        <is>
          <t>SP</t>
        </is>
      </c>
      <c r="AZ24" s="32" t="inlineStr">
        <is>
          <t>Bancos múltiplos, com carteira comercial</t>
        </is>
      </c>
      <c r="BA24" s="32" t="inlineStr">
        <is>
          <t>não ME/EPP</t>
        </is>
      </c>
      <c r="BB24" s="33" t="n">
        <v>6907260000</v>
      </c>
      <c r="BC24" s="32" t="inlineStr">
        <is>
          <t>LARGE CORP</t>
        </is>
      </c>
      <c r="BD24" s="32" t="inlineStr">
        <is>
          <t>62232889</t>
        </is>
      </c>
      <c r="BE24" s="32" t="n">
        <v>1</v>
      </c>
      <c r="BF24" s="32" t="inlineStr">
        <is>
          <t>financial by name class III reconciled (doc partial)</t>
        </is>
      </c>
    </row>
    <row r="25">
      <c r="A25" s="17" t="inlineStr">
        <is>
          <t>BANCO VOTORANTIM S.A.</t>
        </is>
      </c>
      <c r="B25" s="18" t="n">
        <v>8555161.5</v>
      </c>
      <c r="C25" s="19" t="inlineStr">
        <is>
          <t>GRUPO GLP</t>
        </is>
      </c>
      <c r="D25" s="20" t="inlineStr">
        <is>
          <t>NEW</t>
        </is>
      </c>
      <c r="E25" s="21" t="inlineStr"/>
      <c r="F25" s="20" t="inlineStr"/>
      <c r="G25" s="21" t="inlineStr"/>
      <c r="H25" s="20" t="inlineStr"/>
      <c r="I25" s="22" t="inlineStr">
        <is>
          <t>Red Silva</t>
        </is>
      </c>
      <c r="J25" s="22" t="inlineStr">
        <is>
          <t>Special Assets - Banker Senior</t>
        </is>
      </c>
      <c r="K25" s="22" t="inlineStr">
        <is>
          <t>(11) 5171-2672</t>
        </is>
      </c>
      <c r="L25" s="22" t="inlineStr">
        <is>
          <t>(11) 5171-2488</t>
        </is>
      </c>
      <c r="M25" s="22" t="inlineStr"/>
      <c r="N25" s="22" t="inlineStr">
        <is>
          <t>red.silva@bv.com.br</t>
        </is>
      </c>
      <c r="O25" s="22" t="inlineStr">
        <is>
          <t>verified</t>
        </is>
      </c>
      <c r="P25" s="22" t="inlineStr">
        <is>
          <t>Caroline Oishi</t>
        </is>
      </c>
      <c r="Q25" s="22" t="inlineStr">
        <is>
          <t>Gerente Executivo de Recuperação de Crédito</t>
        </is>
      </c>
      <c r="R25" s="22" t="inlineStr"/>
      <c r="S25" s="22" t="inlineStr">
        <is>
          <t>caroline.oishi@bv.com.br</t>
        </is>
      </c>
      <c r="T25" s="22" t="inlineStr">
        <is>
          <t>DM: DM; BACKUP: backup</t>
        </is>
      </c>
      <c r="U25" s="24" t="n">
        <v>8555161.5</v>
      </c>
      <c r="V25" s="25" t="inlineStr">
        <is>
          <t>B</t>
        </is>
      </c>
      <c r="W25" s="26" t="inlineStr"/>
      <c r="X25" s="27" t="inlineStr"/>
      <c r="Y25" s="27" t="inlineStr"/>
      <c r="Z25" s="26">
        <f>IF(W25&lt;&gt;"",W25,IFERROR(VLOOKUP(V25,Assumptions!$A$8:$F$12,2,FALSE),0))*Assumptions!$B$5</f>
        <v/>
      </c>
      <c r="AA25" s="28">
        <f>IF(V25="A",MAX(1,IF(X25&lt;&gt;"",X25,IFERROR(VLOOKUP(V25,Assumptions!$A$8:$F$12,3,FALSE),3))+IF(Y25&lt;&gt;"",Y25,IFERROR(VLOOKUP(V25,Assumptions!$A$8:$F$12,4,FALSE),8))/2-MAX(0,IF(AS25="",0,YEAR(TODAY())-AS25)-IFERROR(VLOOKUP(V25,Assumptions!$A$8:$F$12,5,FALSE),1.5))),IFERROR(VLOOKUP(V25,Assumptions!$A$8:$F$12,5,FALSE),2.5)+IF(X25&lt;&gt;"",X25,IFERROR(VLOOKUP(V25,Assumptions!$A$8:$F$12,3,FALSE),3))+IF(Y25&lt;&gt;"",Y25,IFERROR(VLOOKUP(V25,Assumptions!$A$8:$F$12,4,FALSE),8))/2)</f>
        <v/>
      </c>
      <c r="AB25" s="24">
        <f>U25*Z25/(1+Assumptions!$B$3)^AA25</f>
        <v/>
      </c>
      <c r="AC25" s="27">
        <f>IF(U25=0,"",ROUND(AB25/U25*100,1))</f>
        <v/>
      </c>
      <c r="AD25" s="29">
        <f>AB25*Assumptions!$B$4</f>
        <v/>
      </c>
      <c r="AE25" s="27">
        <f>IF(U25=0,"",ROUND(AD25/U25*100,1))</f>
        <v/>
      </c>
      <c r="AF25" s="29">
        <f>AB25-AD25</f>
        <v/>
      </c>
      <c r="AG25" s="27">
        <f>IF(U25=0,"",ROUND((AB25-AD25)/U25*100,1))</f>
        <v/>
      </c>
      <c r="AH25" s="30" t="inlineStr">
        <is>
          <t>OK — totals reconciled</t>
        </is>
      </c>
      <c r="AI25" s="31" t="inlineStr">
        <is>
          <t>https://recuperasolucoes.com/wp-content/plugins/download-attachments/includes/download.php?id=1597</t>
        </is>
      </c>
      <c r="AJ25" s="30" t="inlineStr">
        <is>
          <t>p13 r24</t>
        </is>
      </c>
      <c r="AK25" s="30" t="inlineStr">
        <is>
          <t>p13: R$ 8.555.161,50</t>
        </is>
      </c>
      <c r="AL25" s="30" t="inlineStr">
        <is>
          <t>Debtor list (art. 51)</t>
        </is>
      </c>
      <c r="AM25" s="30" t="inlineStr">
        <is>
          <t>2026-05-21</t>
        </is>
      </c>
      <c r="AN25" s="30" t="inlineStr">
        <is>
          <t>NONE FOUND</t>
        </is>
      </c>
      <c r="AO25" s="32" t="inlineStr">
        <is>
          <t>0001639-09.2026.8.17.2810</t>
        </is>
      </c>
      <c r="AP25" s="32" t="inlineStr">
        <is>
          <t>TJPE</t>
        </is>
      </c>
      <c r="AQ25" s="32" t="inlineStr">
        <is>
          <t>Recuperação judicial</t>
        </is>
      </c>
      <c r="AR25" s="32" t="inlineStr">
        <is>
          <t>DataJud: no closure/falência movement</t>
        </is>
      </c>
      <c r="AS25" s="32" t="n">
        <v>2026</v>
      </c>
      <c r="AT25" s="32" t="inlineStr">
        <is>
          <t>live case, no plan document yet</t>
        </is>
      </c>
      <c r="AU25" s="32" t="inlineStr"/>
      <c r="AV25" s="32" t="inlineStr">
        <is>
          <t>printed on the list (read twice)</t>
        </is>
      </c>
      <c r="AW25" s="32" t="inlineStr"/>
      <c r="AX25" s="32" t="inlineStr">
        <is>
          <t>SAO PAULO</t>
        </is>
      </c>
      <c r="AY25" s="32" t="inlineStr">
        <is>
          <t>SP</t>
        </is>
      </c>
      <c r="AZ25" s="32" t="inlineStr">
        <is>
          <t>Bancos múltiplos, com carteira comercial</t>
        </is>
      </c>
      <c r="BA25" s="32" t="inlineStr">
        <is>
          <t>não ME/EPP</t>
        </is>
      </c>
      <c r="BB25" s="33" t="n">
        <v>8480372000</v>
      </c>
      <c r="BC25" s="32" t="inlineStr">
        <is>
          <t>LARGE CORP</t>
        </is>
      </c>
      <c r="BD25" s="32" t="inlineStr">
        <is>
          <t>59588111</t>
        </is>
      </c>
      <c r="BE25" s="32" t="n">
        <v>1</v>
      </c>
      <c r="BF25" s="32" t="inlineStr"/>
    </row>
    <row r="26">
      <c r="A26" s="17" t="inlineStr">
        <is>
          <t>SICOOB CREDIGOIAS COOPERATIVA DE CREDITO LTDA</t>
        </is>
      </c>
      <c r="B26" s="18" t="n">
        <v>8134852.72</v>
      </c>
      <c r="C26" s="19" t="inlineStr">
        <is>
          <t>Grupo GE (Condomínio Agropecuário GE)</t>
        </is>
      </c>
      <c r="D26" s="20" t="inlineStr">
        <is>
          <t>NEW</t>
        </is>
      </c>
      <c r="E26" s="21" t="inlineStr"/>
      <c r="F26" s="20" t="inlineStr"/>
      <c r="G26" s="21" t="inlineStr"/>
      <c r="H26" s="20" t="inlineStr"/>
      <c r="I26" s="22" t="inlineStr">
        <is>
          <t>Natanael Silva</t>
        </is>
      </c>
      <c r="J26" s="22" t="inlineStr">
        <is>
          <t>Credit Manager</t>
        </is>
      </c>
      <c r="K26" s="22" t="inlineStr"/>
      <c r="L26" s="22" t="inlineStr"/>
      <c r="M26" s="22" t="inlineStr"/>
      <c r="N26" s="22" t="inlineStr">
        <is>
          <t>natanael.silva@sicoob.com.br</t>
        </is>
      </c>
      <c r="O26" s="22" t="inlineStr">
        <is>
          <t>verified</t>
        </is>
      </c>
      <c r="P26" s="22" t="inlineStr">
        <is>
          <t>Ricardo Esteves</t>
        </is>
      </c>
      <c r="Q26" s="22" t="inlineStr">
        <is>
          <t>Diretor de Negócios</t>
        </is>
      </c>
      <c r="R26" s="22" t="inlineStr"/>
      <c r="S26" s="22" t="inlineStr">
        <is>
          <t>ricardo.esteves@sicoob.com.br</t>
        </is>
      </c>
      <c r="T26" s="22" t="inlineStr">
        <is>
          <t>DM: DM verified email; BACKUP: backup verified email</t>
        </is>
      </c>
      <c r="U26" s="24" t="n">
        <v>8134852.72</v>
      </c>
      <c r="V26" s="25" t="inlineStr">
        <is>
          <t>B</t>
        </is>
      </c>
      <c r="W26" s="26" t="inlineStr"/>
      <c r="X26" s="27" t="inlineStr"/>
      <c r="Y26" s="27" t="inlineStr"/>
      <c r="Z26" s="26">
        <f>IF(W26&lt;&gt;"",W26,IFERROR(VLOOKUP(V26,Assumptions!$A$8:$F$12,2,FALSE),0))*Assumptions!$B$5</f>
        <v/>
      </c>
      <c r="AA26" s="28">
        <f>IF(V26="A",MAX(1,IF(X26&lt;&gt;"",X26,IFERROR(VLOOKUP(V26,Assumptions!$A$8:$F$12,3,FALSE),3))+IF(Y26&lt;&gt;"",Y26,IFERROR(VLOOKUP(V26,Assumptions!$A$8:$F$12,4,FALSE),8))/2-MAX(0,IF(AS26="",0,YEAR(TODAY())-AS26)-IFERROR(VLOOKUP(V26,Assumptions!$A$8:$F$12,5,FALSE),1.5))),IFERROR(VLOOKUP(V26,Assumptions!$A$8:$F$12,5,FALSE),2.5)+IF(X26&lt;&gt;"",X26,IFERROR(VLOOKUP(V26,Assumptions!$A$8:$F$12,3,FALSE),3))+IF(Y26&lt;&gt;"",Y26,IFERROR(VLOOKUP(V26,Assumptions!$A$8:$F$12,4,FALSE),8))/2)</f>
        <v/>
      </c>
      <c r="AB26" s="24">
        <f>U26*Z26/(1+Assumptions!$B$3)^AA26</f>
        <v/>
      </c>
      <c r="AC26" s="27">
        <f>IF(U26=0,"",ROUND(AB26/U26*100,1))</f>
        <v/>
      </c>
      <c r="AD26" s="29">
        <f>AB26*Assumptions!$B$4</f>
        <v/>
      </c>
      <c r="AE26" s="27">
        <f>IF(U26=0,"",ROUND(AD26/U26*100,1))</f>
        <v/>
      </c>
      <c r="AF26" s="29">
        <f>AB26-AD26</f>
        <v/>
      </c>
      <c r="AG26" s="27">
        <f>IF(U26=0,"",ROUND((AB26-AD26)/U26*100,1))</f>
        <v/>
      </c>
      <c r="AH26" s="34" t="inlineStr">
        <is>
          <t>NO TOTALS — list prints none; check page</t>
        </is>
      </c>
      <c r="AI26" s="31" t="inlineStr">
        <is>
          <t>https://stenius.com.br/wp-content/uploads/2026/07/EDITAL-1-RELACAO-DE-CREDORES-GRUPO-GE.pdf</t>
        </is>
      </c>
      <c r="AJ26" s="30" t="inlineStr">
        <is>
          <t>p5 r25; p5 r26; p5 r27; p5 r28; p5 r29; p5 r30; p5 r31; p5 r32; p5 r33</t>
        </is>
      </c>
      <c r="AK26" s="30" t="inlineStr">
        <is>
          <t>p5: R$ 629.631,55; p5: R$ 919.663,17; p5: R$ 1.291.200,52; p5: R$ 3.671.894,34; p5: R$ 88.479,92; p5: R$ 131.967,11; p5: R$ 79.782,59; p5: R$ 54.000,00; p5: R$ 1.268.233,52</t>
        </is>
      </c>
      <c r="AL26" s="30" t="inlineStr">
        <is>
          <t>Debtor list (art. 51)</t>
        </is>
      </c>
      <c r="AM26" s="30" t="inlineStr">
        <is>
          <t>2026-07-01</t>
        </is>
      </c>
      <c r="AN26" s="30" t="inlineStr">
        <is>
          <t>NONE FOUND</t>
        </is>
      </c>
      <c r="AO26" s="32" t="inlineStr">
        <is>
          <t>5164979-18.2026.8.09.0110</t>
        </is>
      </c>
      <c r="AP26" s="32" t="inlineStr">
        <is>
          <t>TJGO</t>
        </is>
      </c>
      <c r="AQ26" s="32" t="inlineStr">
        <is>
          <t>Recuperação judicial</t>
        </is>
      </c>
      <c r="AR26" s="32" t="inlineStr">
        <is>
          <t>DataJud: no closure/falência movement</t>
        </is>
      </c>
      <c r="AS26" s="32" t="n">
        <v>2026</v>
      </c>
      <c r="AT26" s="32" t="inlineStr">
        <is>
          <t>live case, no plan document yet</t>
        </is>
      </c>
      <c r="AU26" s="32" t="inlineStr"/>
      <c r="AV26" s="32" t="inlineStr">
        <is>
          <t>printed on the list (read twice)</t>
        </is>
      </c>
      <c r="AW26" s="32" t="inlineStr"/>
      <c r="AX26" s="32" t="inlineStr"/>
      <c r="AY26" s="32" t="inlineStr"/>
      <c r="AZ26" s="32" t="inlineStr"/>
      <c r="BA26" s="32" t="inlineStr"/>
      <c r="BB26" s="33" t="inlineStr"/>
      <c r="BC26" s="32" t="inlineStr">
        <is>
          <t>UNKNOWN</t>
        </is>
      </c>
      <c r="BD26" s="32" t="inlineStr">
        <is>
          <t>37255049</t>
        </is>
      </c>
      <c r="BE26" s="32" t="n">
        <v>9</v>
      </c>
      <c r="BF26" s="32" t="inlineStr">
        <is>
          <t>financial by name list prints no totals no RFB record</t>
        </is>
      </c>
    </row>
    <row r="27">
      <c r="A27" s="17" t="inlineStr">
        <is>
          <t>SICREDI EVOLUCAO - COOP CREDITO POUPANCA E INVESTIME NTO</t>
        </is>
      </c>
      <c r="B27" s="18" t="n">
        <v>7778971.39</v>
      </c>
      <c r="C27" s="19" t="inlineStr">
        <is>
          <t>GRUPO DIAGSON</t>
        </is>
      </c>
      <c r="D27" s="20" t="inlineStr">
        <is>
          <t>NEW</t>
        </is>
      </c>
      <c r="E27" s="21" t="inlineStr"/>
      <c r="F27" s="20" t="inlineStr"/>
      <c r="G27" s="21" t="inlineStr"/>
      <c r="H27" s="20" t="inlineStr"/>
      <c r="I27" s="22" t="inlineStr">
        <is>
          <t>Thuani Queiroz</t>
        </is>
      </c>
      <c r="J27" s="22" t="inlineStr">
        <is>
          <t>Assistente de Recuperação de Crédito</t>
        </is>
      </c>
      <c r="K27" s="22" t="inlineStr"/>
      <c r="L27" s="22" t="inlineStr"/>
      <c r="M27" s="22" t="inlineStr"/>
      <c r="N27" s="22" t="inlineStr"/>
      <c r="O27" s="22" t="inlineStr"/>
      <c r="P27" s="22" t="inlineStr">
        <is>
          <t>Edgleyson Cabral</t>
        </is>
      </c>
      <c r="Q27" s="22" t="inlineStr">
        <is>
          <t>Coordenador de Análise de Crédito</t>
        </is>
      </c>
      <c r="R27" s="22" t="inlineStr"/>
      <c r="S27" s="22" t="inlineStr"/>
      <c r="T27" s="22" t="inlineStr">
        <is>
          <t>DM: DM; no work email in Apollo for DM; BACKUP: backup; NO ROUTE IN: no phone or email on file</t>
        </is>
      </c>
      <c r="U27" s="24" t="n">
        <v>7778971.39</v>
      </c>
      <c r="V27" s="25" t="inlineStr">
        <is>
          <t>B</t>
        </is>
      </c>
      <c r="W27" s="26" t="inlineStr"/>
      <c r="X27" s="27" t="inlineStr"/>
      <c r="Y27" s="27" t="inlineStr"/>
      <c r="Z27" s="26">
        <f>IF(W27&lt;&gt;"",W27,IFERROR(VLOOKUP(V27,Assumptions!$A$8:$F$12,2,FALSE),0))*Assumptions!$B$5</f>
        <v/>
      </c>
      <c r="AA27" s="28">
        <f>IF(V27="A",MAX(1,IF(X27&lt;&gt;"",X27,IFERROR(VLOOKUP(V27,Assumptions!$A$8:$F$12,3,FALSE),3))+IF(Y27&lt;&gt;"",Y27,IFERROR(VLOOKUP(V27,Assumptions!$A$8:$F$12,4,FALSE),8))/2-MAX(0,IF(AS27="",0,YEAR(TODAY())-AS27)-IFERROR(VLOOKUP(V27,Assumptions!$A$8:$F$12,5,FALSE),1.5))),IFERROR(VLOOKUP(V27,Assumptions!$A$8:$F$12,5,FALSE),2.5)+IF(X27&lt;&gt;"",X27,IFERROR(VLOOKUP(V27,Assumptions!$A$8:$F$12,3,FALSE),3))+IF(Y27&lt;&gt;"",Y27,IFERROR(VLOOKUP(V27,Assumptions!$A$8:$F$12,4,FALSE),8))/2)</f>
        <v/>
      </c>
      <c r="AB27" s="24">
        <f>U27*Z27/(1+Assumptions!$B$3)^AA27</f>
        <v/>
      </c>
      <c r="AC27" s="27">
        <f>IF(U27=0,"",ROUND(AB27/U27*100,1))</f>
        <v/>
      </c>
      <c r="AD27" s="29">
        <f>AB27*Assumptions!$B$4</f>
        <v/>
      </c>
      <c r="AE27" s="27">
        <f>IF(U27=0,"",ROUND(AD27/U27*100,1))</f>
        <v/>
      </c>
      <c r="AF27" s="29">
        <f>AB27-AD27</f>
        <v/>
      </c>
      <c r="AG27" s="27">
        <f>IF(U27=0,"",ROUND((AB27-AD27)/U27*100,1))</f>
        <v/>
      </c>
      <c r="AH27" s="35" t="inlineStr">
        <is>
          <t>PARTIAL — class III reconciled, other classes not</t>
        </is>
      </c>
      <c r="AI27" s="31" t="inlineStr">
        <is>
          <t>https://lrflideres.com.br/wp-content/plugins/download-attachments/includes/download.php?id=7418</t>
        </is>
      </c>
      <c r="AJ27" s="30" t="inlineStr">
        <is>
          <t>p2 r81</t>
        </is>
      </c>
      <c r="AK27" s="30" t="inlineStr">
        <is>
          <t>p2: R$ 7.778.971,39</t>
        </is>
      </c>
      <c r="AL27" s="30" t="inlineStr">
        <is>
          <t>Debtor list (art. 51)</t>
        </is>
      </c>
      <c r="AM27" s="30" t="inlineStr">
        <is>
          <t>2026-07-28</t>
        </is>
      </c>
      <c r="AN27" s="30" t="inlineStr">
        <is>
          <t>NONE FOUND</t>
        </is>
      </c>
      <c r="AO27" s="32" t="inlineStr">
        <is>
          <t>0822279-56.2026.8.15.2001</t>
        </is>
      </c>
      <c r="AP27" s="32" t="inlineStr">
        <is>
          <t>TJPB</t>
        </is>
      </c>
      <c r="AQ27" s="32" t="inlineStr">
        <is>
          <t>Recuperação judicial</t>
        </is>
      </c>
      <c r="AR27" s="32" t="inlineStr">
        <is>
          <t>DataJud: no closure/falência movement</t>
        </is>
      </c>
      <c r="AS27" s="32" t="n">
        <v>2026</v>
      </c>
      <c r="AT27" s="32" t="inlineStr">
        <is>
          <t>live case, no plan document yet</t>
        </is>
      </c>
      <c r="AU27" s="32" t="inlineStr">
        <is>
          <t>00.149.703/0001-86</t>
        </is>
      </c>
      <c r="AV27" s="32" t="inlineStr">
        <is>
          <t>printed on the list (read twice)</t>
        </is>
      </c>
      <c r="AW27" s="32" t="inlineStr"/>
      <c r="AX27" s="32" t="inlineStr"/>
      <c r="AY27" s="32" t="inlineStr"/>
      <c r="AZ27" s="32" t="inlineStr"/>
      <c r="BA27" s="32" t="inlineStr"/>
      <c r="BB27" s="33" t="inlineStr"/>
      <c r="BC27" s="32" t="inlineStr">
        <is>
          <t>UNKNOWN</t>
        </is>
      </c>
      <c r="BD27" s="32" t="inlineStr">
        <is>
          <t>35571249</t>
        </is>
      </c>
      <c r="BE27" s="32" t="n">
        <v>1</v>
      </c>
      <c r="BF27" s="32" t="inlineStr">
        <is>
          <t>financial by name class III reconciled (doc partial) no RFB record no route in</t>
        </is>
      </c>
    </row>
    <row r="28">
      <c r="A28" s="17" t="inlineStr">
        <is>
          <t>COOPERATIVA DE CREDITO POUPANCA E INVESTIMENTO NOSSA TERRA SICREDI NOSSA TERRA PRSP</t>
        </is>
      </c>
      <c r="B28" s="18" t="n">
        <v>7666039.9</v>
      </c>
      <c r="C28" s="19" t="inlineStr">
        <is>
          <t>Cerealista Safrasul Ltda</t>
        </is>
      </c>
      <c r="D28" s="20" t="inlineStr">
        <is>
          <t>NEW</t>
        </is>
      </c>
      <c r="E28" s="21" t="inlineStr"/>
      <c r="F28" s="20" t="inlineStr"/>
      <c r="G28" s="21" t="inlineStr"/>
      <c r="H28" s="20" t="inlineStr"/>
      <c r="I28" s="22" t="inlineStr">
        <is>
          <t>Handrey Balbino</t>
        </is>
      </c>
      <c r="J28" s="22" t="inlineStr">
        <is>
          <t>Gerente de Ciclo de Crédito</t>
        </is>
      </c>
      <c r="K28" s="22" t="inlineStr"/>
      <c r="L28" s="22" t="inlineStr"/>
      <c r="M28" s="22" t="inlineStr"/>
      <c r="N28" s="22" t="inlineStr"/>
      <c r="O28" s="22" t="inlineStr"/>
      <c r="P28" s="22" t="inlineStr">
        <is>
          <t>Daniel Mieli</t>
        </is>
      </c>
      <c r="Q28" s="22" t="inlineStr">
        <is>
          <t>Coordenador de Ciclo de Crédito-SP</t>
        </is>
      </c>
      <c r="R28" s="22" t="inlineStr"/>
      <c r="S28" s="22" t="inlineStr"/>
      <c r="T28" s="22" t="inlineStr">
        <is>
          <t>DM: DM email unavailable; no work email in Apollo for DM; BACKUP: backup email unavailable; NO ROUTE IN: no phone or email on file</t>
        </is>
      </c>
      <c r="U28" s="24" t="n">
        <v>7666039.9</v>
      </c>
      <c r="V28" s="25" t="inlineStr">
        <is>
          <t>B</t>
        </is>
      </c>
      <c r="W28" s="26" t="inlineStr"/>
      <c r="X28" s="27" t="inlineStr"/>
      <c r="Y28" s="27" t="inlineStr"/>
      <c r="Z28" s="26">
        <f>IF(W28&lt;&gt;"",W28,IFERROR(VLOOKUP(V28,Assumptions!$A$8:$F$12,2,FALSE),0))*Assumptions!$B$5</f>
        <v/>
      </c>
      <c r="AA28" s="28">
        <f>IF(V28="A",MAX(1,IF(X28&lt;&gt;"",X28,IFERROR(VLOOKUP(V28,Assumptions!$A$8:$F$12,3,FALSE),3))+IF(Y28&lt;&gt;"",Y28,IFERROR(VLOOKUP(V28,Assumptions!$A$8:$F$12,4,FALSE),8))/2-MAX(0,IF(AS28="",0,YEAR(TODAY())-AS28)-IFERROR(VLOOKUP(V28,Assumptions!$A$8:$F$12,5,FALSE),1.5))),IFERROR(VLOOKUP(V28,Assumptions!$A$8:$F$12,5,FALSE),2.5)+IF(X28&lt;&gt;"",X28,IFERROR(VLOOKUP(V28,Assumptions!$A$8:$F$12,3,FALSE),3))+IF(Y28&lt;&gt;"",Y28,IFERROR(VLOOKUP(V28,Assumptions!$A$8:$F$12,4,FALSE),8))/2)</f>
        <v/>
      </c>
      <c r="AB28" s="24">
        <f>U28*Z28/(1+Assumptions!$B$3)^AA28</f>
        <v/>
      </c>
      <c r="AC28" s="27">
        <f>IF(U28=0,"",ROUND(AB28/U28*100,1))</f>
        <v/>
      </c>
      <c r="AD28" s="29">
        <f>AB28*Assumptions!$B$4</f>
        <v/>
      </c>
      <c r="AE28" s="27">
        <f>IF(U28=0,"",ROUND(AD28/U28*100,1))</f>
        <v/>
      </c>
      <c r="AF28" s="29">
        <f>AB28-AD28</f>
        <v/>
      </c>
      <c r="AG28" s="27">
        <f>IF(U28=0,"",ROUND((AB28-AD28)/U28*100,1))</f>
        <v/>
      </c>
      <c r="AH28" s="34" t="inlineStr">
        <is>
          <t>NO TOTALS — list prints none; check page</t>
        </is>
      </c>
      <c r="AI28" s="31" t="inlineStr">
        <is>
          <t>https://ajruiz.com.br/sites/default/files/public/arquivos-processos/2026-01/safrasul_relacao_de_credores_recuperanda.pdf</t>
        </is>
      </c>
      <c r="AJ28" s="30" t="inlineStr">
        <is>
          <t>p8 r10; p8 r11; p8 r12; p8 r13</t>
        </is>
      </c>
      <c r="AK28" s="30" t="inlineStr">
        <is>
          <t>p8: R$ 5.000.000,00; p8: R$ 2.348.039,90; p8: R$ 288.000,00; p8: R$ 30.000,00</t>
        </is>
      </c>
      <c r="AL28" s="30" t="inlineStr">
        <is>
          <t>AJ list (art. 7 §2)</t>
        </is>
      </c>
      <c r="AM28" s="30" t="inlineStr">
        <is>
          <t>2026-01-14</t>
        </is>
      </c>
      <c r="AN28" s="30" t="inlineStr">
        <is>
          <t>NONE FOUND</t>
        </is>
      </c>
      <c r="AO28" s="32" t="inlineStr">
        <is>
          <t>4000167-23.2025.8.26.0373</t>
        </is>
      </c>
      <c r="AP28" s="32" t="inlineStr">
        <is>
          <t>TJSP</t>
        </is>
      </c>
      <c r="AQ28" s="32" t="inlineStr">
        <is>
          <t>Recuperação judicial</t>
        </is>
      </c>
      <c r="AR28" s="32" t="inlineStr">
        <is>
          <t>DataJud: no closure/falência movement</t>
        </is>
      </c>
      <c r="AS28" s="32" t="n">
        <v>2025</v>
      </c>
      <c r="AT28" s="32" t="inlineStr">
        <is>
          <t>live case, no plan document yet</t>
        </is>
      </c>
      <c r="AU28" s="32" t="inlineStr"/>
      <c r="AV28" s="32" t="inlineStr">
        <is>
          <t>printed on the list (read twice)</t>
        </is>
      </c>
      <c r="AW28" s="32" t="inlineStr"/>
      <c r="AX28" s="32" t="inlineStr"/>
      <c r="AY28" s="32" t="inlineStr"/>
      <c r="AZ28" s="32" t="inlineStr"/>
      <c r="BA28" s="32" t="inlineStr"/>
      <c r="BB28" s="33" t="inlineStr"/>
      <c r="BC28" s="32" t="inlineStr">
        <is>
          <t>UNKNOWN</t>
        </is>
      </c>
      <c r="BD28" s="32" t="inlineStr">
        <is>
          <t>81192106</t>
        </is>
      </c>
      <c r="BE28" s="32" t="n">
        <v>4</v>
      </c>
      <c r="BF28" s="32" t="inlineStr">
        <is>
          <t>financial by name list prints no totals no RFB record no route in</t>
        </is>
      </c>
    </row>
    <row r="29">
      <c r="A29" s="17" t="inlineStr">
        <is>
          <t>FINANCA FOMENTO MERCANTIL LTDA</t>
        </is>
      </c>
      <c r="B29" s="18" t="n">
        <v>7562593.19</v>
      </c>
      <c r="C29" s="19" t="inlineStr">
        <is>
          <t>GRUPO DIVINA</t>
        </is>
      </c>
      <c r="D29" s="20" t="inlineStr">
        <is>
          <t>NEW</t>
        </is>
      </c>
      <c r="E29" s="21" t="inlineStr"/>
      <c r="F29" s="20" t="inlineStr"/>
      <c r="G29" s="21" t="inlineStr"/>
      <c r="H29" s="20" t="inlineStr"/>
      <c r="I29" s="22" t="inlineStr"/>
      <c r="J29" s="22" t="inlineStr"/>
      <c r="K29" s="22" t="inlineStr"/>
      <c r="L29" s="22" t="inlineStr"/>
      <c r="M29" s="22" t="inlineStr"/>
      <c r="N29" s="22" t="inlineStr"/>
      <c r="O29" s="22" t="inlineStr"/>
      <c r="P29" s="22" t="inlineStr"/>
      <c r="Q29" s="22" t="inlineStr"/>
      <c r="R29" s="22" t="inlineStr"/>
      <c r="S29" s="22" t="inlineStr"/>
      <c r="T29" s="22" t="inlineStr">
        <is>
          <t>no named contact found; NO ROUTE IN: no phone or email on file</t>
        </is>
      </c>
      <c r="U29" s="24" t="n">
        <v>7562593.19</v>
      </c>
      <c r="V29" s="25" t="inlineStr">
        <is>
          <t>B</t>
        </is>
      </c>
      <c r="W29" s="26" t="inlineStr"/>
      <c r="X29" s="27" t="inlineStr"/>
      <c r="Y29" s="27" t="inlineStr"/>
      <c r="Z29" s="26">
        <f>IF(W29&lt;&gt;"",W29,IFERROR(VLOOKUP(V29,Assumptions!$A$8:$F$12,2,FALSE),0))*Assumptions!$B$5</f>
        <v/>
      </c>
      <c r="AA29" s="28">
        <f>IF(V29="A",MAX(1,IF(X29&lt;&gt;"",X29,IFERROR(VLOOKUP(V29,Assumptions!$A$8:$F$12,3,FALSE),3))+IF(Y29&lt;&gt;"",Y29,IFERROR(VLOOKUP(V29,Assumptions!$A$8:$F$12,4,FALSE),8))/2-MAX(0,IF(AS29="",0,YEAR(TODAY())-AS29)-IFERROR(VLOOKUP(V29,Assumptions!$A$8:$F$12,5,FALSE),1.5))),IFERROR(VLOOKUP(V29,Assumptions!$A$8:$F$12,5,FALSE),2.5)+IF(X29&lt;&gt;"",X29,IFERROR(VLOOKUP(V29,Assumptions!$A$8:$F$12,3,FALSE),3))+IF(Y29&lt;&gt;"",Y29,IFERROR(VLOOKUP(V29,Assumptions!$A$8:$F$12,4,FALSE),8))/2)</f>
        <v/>
      </c>
      <c r="AB29" s="24">
        <f>U29*Z29/(1+Assumptions!$B$3)^AA29</f>
        <v/>
      </c>
      <c r="AC29" s="27">
        <f>IF(U29=0,"",ROUND(AB29/U29*100,1))</f>
        <v/>
      </c>
      <c r="AD29" s="29">
        <f>AB29*Assumptions!$B$4</f>
        <v/>
      </c>
      <c r="AE29" s="27">
        <f>IF(U29=0,"",ROUND(AD29/U29*100,1))</f>
        <v/>
      </c>
      <c r="AF29" s="29">
        <f>AB29-AD29</f>
        <v/>
      </c>
      <c r="AG29" s="27">
        <f>IF(U29=0,"",ROUND((AB29-AD29)/U29*100,1))</f>
        <v/>
      </c>
      <c r="AH29" s="35" t="inlineStr">
        <is>
          <t>PARTIAL — class III reconciled, other classes not</t>
        </is>
      </c>
      <c r="AI29" s="31" t="inlineStr">
        <is>
          <t>https://lrflideres.com.br/wp-content/plugins/download-attachments/includes/download.php?id=6252</t>
        </is>
      </c>
      <c r="AJ29" s="30" t="inlineStr">
        <is>
          <t>p2 r41</t>
        </is>
      </c>
      <c r="AK29" s="30" t="inlineStr">
        <is>
          <t>p2: R$ 7.562.593,19</t>
        </is>
      </c>
      <c r="AL29" s="30" t="inlineStr">
        <is>
          <t>AJ list (art. 7 §2)</t>
        </is>
      </c>
      <c r="AM29" s="30" t="inlineStr">
        <is>
          <t>2024-11-27</t>
        </is>
      </c>
      <c r="AN29" s="30" t="inlineStr">
        <is>
          <t>NONE FOUND</t>
        </is>
      </c>
      <c r="AO29" s="32" t="inlineStr">
        <is>
          <t>0000721-61.2024.8.17.2620</t>
        </is>
      </c>
      <c r="AP29" s="32" t="inlineStr">
        <is>
          <t>TJPE</t>
        </is>
      </c>
      <c r="AQ29" s="32" t="inlineStr">
        <is>
          <t>Recuperação judicial</t>
        </is>
      </c>
      <c r="AR29" s="32" t="inlineStr">
        <is>
          <t>DataJud: no closure/falência movement</t>
        </is>
      </c>
      <c r="AS29" s="32" t="n">
        <v>2024</v>
      </c>
      <c r="AT29" s="32" t="inlineStr">
        <is>
          <t>live case, no plan document yet</t>
        </is>
      </c>
      <c r="AU29" s="32" t="inlineStr">
        <is>
          <t>08.785.522/0001-58</t>
        </is>
      </c>
      <c r="AV29" s="32" t="inlineStr">
        <is>
          <t>printed on the list (read twice)</t>
        </is>
      </c>
      <c r="AW29" s="32" t="inlineStr"/>
      <c r="AX29" s="32" t="inlineStr"/>
      <c r="AY29" s="32" t="inlineStr"/>
      <c r="AZ29" s="32" t="inlineStr"/>
      <c r="BA29" s="32" t="inlineStr"/>
      <c r="BB29" s="33" t="inlineStr"/>
      <c r="BC29" s="32" t="inlineStr">
        <is>
          <t>UNKNOWN</t>
        </is>
      </c>
      <c r="BD29" s="32" t="inlineStr">
        <is>
          <t>10860776</t>
        </is>
      </c>
      <c r="BE29" s="32" t="n">
        <v>1</v>
      </c>
      <c r="BF29" s="32" t="inlineStr">
        <is>
          <t>financial by name class III reconciled (doc partial) no RFB record no route in</t>
        </is>
      </c>
    </row>
    <row r="30">
      <c r="A30" s="17" t="inlineStr">
        <is>
          <t>BANCO C6 S.A.</t>
        </is>
      </c>
      <c r="B30" s="18" t="n">
        <v>7160294.01</v>
      </c>
      <c r="C30" s="19" t="inlineStr">
        <is>
          <t>GRUPO DP4</t>
        </is>
      </c>
      <c r="D30" s="20" t="inlineStr">
        <is>
          <t>NEW</t>
        </is>
      </c>
      <c r="E30" s="21" t="inlineStr"/>
      <c r="F30" s="20" t="inlineStr"/>
      <c r="G30" s="21" t="inlineStr"/>
      <c r="H30" s="20" t="inlineStr"/>
      <c r="I30" s="22" t="inlineStr">
        <is>
          <t>Camilla Moriki</t>
        </is>
      </c>
      <c r="J30" s="22" t="inlineStr">
        <is>
          <t>Gerente de Recuperação de Crédito | Reestruturação - Atacado</t>
        </is>
      </c>
      <c r="K30" s="22" t="inlineStr">
        <is>
          <t>(11) 2832-6000</t>
        </is>
      </c>
      <c r="L30" s="22" t="inlineStr"/>
      <c r="M30" s="22" t="inlineStr"/>
      <c r="N30" s="22" t="inlineStr">
        <is>
          <t>camilla.moriki@c6bank.com</t>
        </is>
      </c>
      <c r="O30" s="22" t="inlineStr">
        <is>
          <t>verified</t>
        </is>
      </c>
      <c r="P30" s="22" t="inlineStr">
        <is>
          <t>Kevin Santana</t>
        </is>
      </c>
      <c r="Q30" s="22" t="inlineStr">
        <is>
          <t>Gerente de Estratégia de Recuperação de Crédito</t>
        </is>
      </c>
      <c r="R30" s="22" t="inlineStr"/>
      <c r="S30" s="22" t="inlineStr">
        <is>
          <t>kevin.santana@c6bank.com</t>
        </is>
      </c>
      <c r="T30" s="22" t="inlineStr">
        <is>
          <t>DM: DM verified email (Atacado desk); BACKUP: backup verified email</t>
        </is>
      </c>
      <c r="U30" s="24" t="n">
        <v>7160294.01</v>
      </c>
      <c r="V30" s="25" t="inlineStr">
        <is>
          <t>B</t>
        </is>
      </c>
      <c r="W30" s="26" t="inlineStr"/>
      <c r="X30" s="27" t="inlineStr"/>
      <c r="Y30" s="27" t="inlineStr"/>
      <c r="Z30" s="26">
        <f>IF(W30&lt;&gt;"",W30,IFERROR(VLOOKUP(V30,Assumptions!$A$8:$F$12,2,FALSE),0))*Assumptions!$B$5</f>
        <v/>
      </c>
      <c r="AA30" s="28">
        <f>IF(V30="A",MAX(1,IF(X30&lt;&gt;"",X30,IFERROR(VLOOKUP(V30,Assumptions!$A$8:$F$12,3,FALSE),3))+IF(Y30&lt;&gt;"",Y30,IFERROR(VLOOKUP(V30,Assumptions!$A$8:$F$12,4,FALSE),8))/2-MAX(0,IF(AS30="",0,YEAR(TODAY())-AS30)-IFERROR(VLOOKUP(V30,Assumptions!$A$8:$F$12,5,FALSE),1.5))),IFERROR(VLOOKUP(V30,Assumptions!$A$8:$F$12,5,FALSE),2.5)+IF(X30&lt;&gt;"",X30,IFERROR(VLOOKUP(V30,Assumptions!$A$8:$F$12,3,FALSE),3))+IF(Y30&lt;&gt;"",Y30,IFERROR(VLOOKUP(V30,Assumptions!$A$8:$F$12,4,FALSE),8))/2)</f>
        <v/>
      </c>
      <c r="AB30" s="24">
        <f>U30*Z30/(1+Assumptions!$B$3)^AA30</f>
        <v/>
      </c>
      <c r="AC30" s="27">
        <f>IF(U30=0,"",ROUND(AB30/U30*100,1))</f>
        <v/>
      </c>
      <c r="AD30" s="29">
        <f>AB30*Assumptions!$B$4</f>
        <v/>
      </c>
      <c r="AE30" s="27">
        <f>IF(U30=0,"",ROUND(AD30/U30*100,1))</f>
        <v/>
      </c>
      <c r="AF30" s="29">
        <f>AB30-AD30</f>
        <v/>
      </c>
      <c r="AG30" s="27">
        <f>IF(U30=0,"",ROUND((AB30-AD30)/U30*100,1))</f>
        <v/>
      </c>
      <c r="AH30" s="35" t="inlineStr">
        <is>
          <t>PARTIAL — class III reconciled, other classes not</t>
        </is>
      </c>
      <c r="AI30" s="31" t="inlineStr">
        <is>
          <t>https://marquesadmjudicial.com.br/sgc/download.php?file=files/processo_documento/processo_documento15293208032024_1_.pdf&amp;nome=Relação Nominal de Credores da AJ-Sintética</t>
        </is>
      </c>
      <c r="AJ30" s="30" t="inlineStr">
        <is>
          <t>p20 r8</t>
        </is>
      </c>
      <c r="AK30" s="30" t="inlineStr">
        <is>
          <t>p20: R$ 7.160.294,01</t>
        </is>
      </c>
      <c r="AL30" s="30" t="inlineStr">
        <is>
          <t>AJ list (art. 7 §2)</t>
        </is>
      </c>
      <c r="AM30" s="30" t="inlineStr">
        <is>
          <t>2023-03-02</t>
        </is>
      </c>
      <c r="AN30" s="30" t="inlineStr">
        <is>
          <t>NONE FOUND</t>
        </is>
      </c>
      <c r="AO30" s="32" t="inlineStr">
        <is>
          <t>0005010-98.2023.8.16.0001</t>
        </is>
      </c>
      <c r="AP30" s="32" t="inlineStr">
        <is>
          <t>TJPR</t>
        </is>
      </c>
      <c r="AQ30" s="32" t="inlineStr">
        <is>
          <t>Recuperação judicial</t>
        </is>
      </c>
      <c r="AR30" s="32" t="inlineStr">
        <is>
          <t>DataJud: no closure/falência movement</t>
        </is>
      </c>
      <c r="AS30" s="32" t="n">
        <v>2023</v>
      </c>
      <c r="AT30" s="32" t="inlineStr">
        <is>
          <t>live case, no plan document yet</t>
        </is>
      </c>
      <c r="AU30" s="32" t="inlineStr"/>
      <c r="AV30" s="32" t="inlineStr">
        <is>
          <t>printed on the list (read twice)</t>
        </is>
      </c>
      <c r="AW30" s="32" t="inlineStr"/>
      <c r="AX30" s="32" t="inlineStr">
        <is>
          <t>SAO PAULO</t>
        </is>
      </c>
      <c r="AY30" s="32" t="inlineStr">
        <is>
          <t>SP</t>
        </is>
      </c>
      <c r="AZ30" s="32" t="inlineStr">
        <is>
          <t>Bancos múltiplos, com carteira comercial</t>
        </is>
      </c>
      <c r="BA30" s="32" t="inlineStr">
        <is>
          <t>não ME/EPP</t>
        </is>
      </c>
      <c r="BB30" s="33" t="n">
        <v>1131957000</v>
      </c>
      <c r="BC30" s="32" t="inlineStr">
        <is>
          <t>LARGE CORP</t>
        </is>
      </c>
      <c r="BD30" s="32" t="inlineStr">
        <is>
          <t>31872495</t>
        </is>
      </c>
      <c r="BE30" s="32" t="n">
        <v>1</v>
      </c>
      <c r="BF30" s="32" t="inlineStr">
        <is>
          <t>financial by name class III reconciled (doc partial)</t>
        </is>
      </c>
    </row>
    <row r="31">
      <c r="A31" s="17" t="inlineStr">
        <is>
          <t>BANCO BRADESCO S.A.</t>
        </is>
      </c>
      <c r="B31" s="18" t="n">
        <v>6831802.56</v>
      </c>
      <c r="C31" s="19" t="inlineStr">
        <is>
          <t>GRUPO BE EIGHT</t>
        </is>
      </c>
      <c r="D31" s="20" t="inlineStr">
        <is>
          <t>NEW</t>
        </is>
      </c>
      <c r="E31" s="21" t="inlineStr"/>
      <c r="F31" s="20" t="inlineStr"/>
      <c r="G31" s="21" t="inlineStr"/>
      <c r="H31" s="20" t="inlineStr"/>
      <c r="I31" s="22" t="inlineStr">
        <is>
          <t>Marcela Martins</t>
        </is>
      </c>
      <c r="J31" s="22" t="inlineStr">
        <is>
          <t>Superintendente de Recuperação de Crédito - Canais e Operações</t>
        </is>
      </c>
      <c r="K31" s="22" t="inlineStr">
        <is>
          <t>(11) 3684-5122</t>
        </is>
      </c>
      <c r="L31" s="22" t="inlineStr"/>
      <c r="M31" s="22" t="inlineStr"/>
      <c r="N31" s="22" t="inlineStr"/>
      <c r="O31" s="22" t="inlineStr"/>
      <c r="P31" s="22" t="inlineStr">
        <is>
          <t>Luis S</t>
        </is>
      </c>
      <c r="Q31" s="22" t="inlineStr">
        <is>
          <t>DRC - Departamento de Recuperação de Crédito - Gerente de Reestruturação de Crédito</t>
        </is>
      </c>
      <c r="R31" s="22" t="inlineStr"/>
      <c r="S31" s="22" t="inlineStr">
        <is>
          <t>sl@bradesco.com.br</t>
        </is>
      </c>
      <c r="T31" s="22" t="inlineStr">
        <is>
          <t>DM: DM; no work email in Apollo for DM; BACKUP: backup</t>
        </is>
      </c>
      <c r="U31" s="24" t="n">
        <v>6831802.56</v>
      </c>
      <c r="V31" s="25" t="inlineStr">
        <is>
          <t>B</t>
        </is>
      </c>
      <c r="W31" s="26" t="inlineStr"/>
      <c r="X31" s="27" t="inlineStr"/>
      <c r="Y31" s="27" t="inlineStr"/>
      <c r="Z31" s="26">
        <f>IF(W31&lt;&gt;"",W31,IFERROR(VLOOKUP(V31,Assumptions!$A$8:$F$12,2,FALSE),0))*Assumptions!$B$5</f>
        <v/>
      </c>
      <c r="AA31" s="28">
        <f>IF(V31="A",MAX(1,IF(X31&lt;&gt;"",X31,IFERROR(VLOOKUP(V31,Assumptions!$A$8:$F$12,3,FALSE),3))+IF(Y31&lt;&gt;"",Y31,IFERROR(VLOOKUP(V31,Assumptions!$A$8:$F$12,4,FALSE),8))/2-MAX(0,IF(AS31="",0,YEAR(TODAY())-AS31)-IFERROR(VLOOKUP(V31,Assumptions!$A$8:$F$12,5,FALSE),1.5))),IFERROR(VLOOKUP(V31,Assumptions!$A$8:$F$12,5,FALSE),2.5)+IF(X31&lt;&gt;"",X31,IFERROR(VLOOKUP(V31,Assumptions!$A$8:$F$12,3,FALSE),3))+IF(Y31&lt;&gt;"",Y31,IFERROR(VLOOKUP(V31,Assumptions!$A$8:$F$12,4,FALSE),8))/2)</f>
        <v/>
      </c>
      <c r="AB31" s="24">
        <f>U31*Z31/(1+Assumptions!$B$3)^AA31</f>
        <v/>
      </c>
      <c r="AC31" s="27">
        <f>IF(U31=0,"",ROUND(AB31/U31*100,1))</f>
        <v/>
      </c>
      <c r="AD31" s="29">
        <f>AB31*Assumptions!$B$4</f>
        <v/>
      </c>
      <c r="AE31" s="27">
        <f>IF(U31=0,"",ROUND(AD31/U31*100,1))</f>
        <v/>
      </c>
      <c r="AF31" s="29">
        <f>AB31-AD31</f>
        <v/>
      </c>
      <c r="AG31" s="27">
        <f>IF(U31=0,"",ROUND((AB31-AD31)/U31*100,1))</f>
        <v/>
      </c>
      <c r="AH31" s="34" t="inlineStr">
        <is>
          <t>NO TOTALS — list prints none; check page</t>
        </is>
      </c>
      <c r="AI31" s="31" t="inlineStr">
        <is>
          <t>https://marquesadmjudicial.com.br/sgc/download.php?file=files/processo_documento/processo_documento09444722082025_1_.pdf&amp;nome=2° Edital - Relação de Credores AJ e PRJ</t>
        </is>
      </c>
      <c r="AJ31" s="30" t="inlineStr">
        <is>
          <t>p2 r149</t>
        </is>
      </c>
      <c r="AK31" s="30" t="inlineStr">
        <is>
          <t>p2: R$ 6.831.802,56</t>
        </is>
      </c>
      <c r="AL31" s="30" t="inlineStr">
        <is>
          <t>AJ list (art. 7 §2)</t>
        </is>
      </c>
      <c r="AM31" s="30" t="inlineStr">
        <is>
          <t>2025-04-08</t>
        </is>
      </c>
      <c r="AN31" s="30" t="inlineStr">
        <is>
          <t>NONE FOUND</t>
        </is>
      </c>
      <c r="AO31" s="32" t="inlineStr">
        <is>
          <t>0008897-71.2025.8.16.0017</t>
        </is>
      </c>
      <c r="AP31" s="32" t="inlineStr">
        <is>
          <t>TJPR</t>
        </is>
      </c>
      <c r="AQ31" s="32" t="inlineStr">
        <is>
          <t>Recuperação judicial</t>
        </is>
      </c>
      <c r="AR31" s="32" t="inlineStr">
        <is>
          <t>DataJud: no closure/falência movement</t>
        </is>
      </c>
      <c r="AS31" s="32" t="n">
        <v>2025</v>
      </c>
      <c r="AT31" s="32" t="inlineStr">
        <is>
          <t>live case, no plan document yet</t>
        </is>
      </c>
      <c r="AU31" s="32" t="inlineStr">
        <is>
          <t>02.790.680/0001-10</t>
        </is>
      </c>
      <c r="AV31" s="32" t="inlineStr">
        <is>
          <t>printed on the list (read twice)</t>
        </is>
      </c>
      <c r="AW31" s="32" t="inlineStr"/>
      <c r="AX31" s="32" t="inlineStr">
        <is>
          <t>OSASCO</t>
        </is>
      </c>
      <c r="AY31" s="32" t="inlineStr">
        <is>
          <t>SP</t>
        </is>
      </c>
      <c r="AZ31" s="32" t="inlineStr">
        <is>
          <t>Bancos múltiplos, com carteira comercial</t>
        </is>
      </c>
      <c r="BA31" s="32" t="inlineStr">
        <is>
          <t>não ME/EPP</t>
        </is>
      </c>
      <c r="BB31" s="33" t="n">
        <v>93770000000</v>
      </c>
      <c r="BC31" s="32" t="inlineStr">
        <is>
          <t>LARGE CORP</t>
        </is>
      </c>
      <c r="BD31" s="32" t="inlineStr">
        <is>
          <t>60746948</t>
        </is>
      </c>
      <c r="BE31" s="32" t="n">
        <v>1</v>
      </c>
      <c r="BF31" s="32" t="inlineStr">
        <is>
          <t>financial by name list prints no totals</t>
        </is>
      </c>
    </row>
    <row r="32">
      <c r="A32" s="17" t="inlineStr">
        <is>
          <t>FUNDO DE INVESTIMENTO EM DIREITOS CREDITORIOS JPM III</t>
        </is>
      </c>
      <c r="B32" s="18" t="n">
        <v>6750000</v>
      </c>
      <c r="C32" s="19" t="inlineStr">
        <is>
          <t>GRUPO GLP</t>
        </is>
      </c>
      <c r="D32" s="20" t="inlineStr">
        <is>
          <t>NEW</t>
        </is>
      </c>
      <c r="E32" s="21" t="inlineStr"/>
      <c r="F32" s="20" t="inlineStr"/>
      <c r="G32" s="21" t="inlineStr"/>
      <c r="H32" s="20" t="inlineStr"/>
      <c r="I32" s="22" t="inlineStr">
        <is>
          <t>Gabriel Krauss</t>
        </is>
      </c>
      <c r="J32" s="22" t="inlineStr">
        <is>
          <t>Head | Negócios</t>
        </is>
      </c>
      <c r="K32" s="22" t="inlineStr"/>
      <c r="L32" s="22" t="inlineStr"/>
      <c r="M32" s="22" t="inlineStr"/>
      <c r="N32" s="22" t="inlineStr">
        <is>
          <t>gabriel@jpmfidc.com.br</t>
        </is>
      </c>
      <c r="O32" s="22" t="inlineStr">
        <is>
          <t>verified</t>
        </is>
      </c>
      <c r="P32" s="22" t="inlineStr">
        <is>
          <t>Luana Candido</t>
        </is>
      </c>
      <c r="Q32" s="22" t="inlineStr">
        <is>
          <t>Coordenadora de Cobranças</t>
        </is>
      </c>
      <c r="R32" s="22" t="inlineStr"/>
      <c r="S32" s="22" t="inlineStr">
        <is>
          <t>luana@jpmfidc.com.br</t>
        </is>
      </c>
      <c r="T32" s="22" t="inlineStr">
        <is>
          <t>DM is not a finance role (Head | Negócios); DM: DM verified email; VERIFY org: JPM FIDC Crédito Empresarial (assumed same JPM as FIDC JPM III); BACKUP: backup extrapolated email; backup email is pattern-guessed</t>
        </is>
      </c>
      <c r="U32" s="24" t="n">
        <v>6750000</v>
      </c>
      <c r="V32" s="25" t="inlineStr">
        <is>
          <t>B</t>
        </is>
      </c>
      <c r="W32" s="26" t="inlineStr"/>
      <c r="X32" s="27" t="inlineStr"/>
      <c r="Y32" s="27" t="inlineStr"/>
      <c r="Z32" s="26">
        <f>IF(W32&lt;&gt;"",W32,IFERROR(VLOOKUP(V32,Assumptions!$A$8:$F$12,2,FALSE),0))*Assumptions!$B$5</f>
        <v/>
      </c>
      <c r="AA32" s="28">
        <f>IF(V32="A",MAX(1,IF(X32&lt;&gt;"",X32,IFERROR(VLOOKUP(V32,Assumptions!$A$8:$F$12,3,FALSE),3))+IF(Y32&lt;&gt;"",Y32,IFERROR(VLOOKUP(V32,Assumptions!$A$8:$F$12,4,FALSE),8))/2-MAX(0,IF(AS32="",0,YEAR(TODAY())-AS32)-IFERROR(VLOOKUP(V32,Assumptions!$A$8:$F$12,5,FALSE),1.5))),IFERROR(VLOOKUP(V32,Assumptions!$A$8:$F$12,5,FALSE),2.5)+IF(X32&lt;&gt;"",X32,IFERROR(VLOOKUP(V32,Assumptions!$A$8:$F$12,3,FALSE),3))+IF(Y32&lt;&gt;"",Y32,IFERROR(VLOOKUP(V32,Assumptions!$A$8:$F$12,4,FALSE),8))/2)</f>
        <v/>
      </c>
      <c r="AB32" s="24">
        <f>U32*Z32/(1+Assumptions!$B$3)^AA32</f>
        <v/>
      </c>
      <c r="AC32" s="27">
        <f>IF(U32=0,"",ROUND(AB32/U32*100,1))</f>
        <v/>
      </c>
      <c r="AD32" s="29">
        <f>AB32*Assumptions!$B$4</f>
        <v/>
      </c>
      <c r="AE32" s="27">
        <f>IF(U32=0,"",ROUND(AD32/U32*100,1))</f>
        <v/>
      </c>
      <c r="AF32" s="29">
        <f>AB32-AD32</f>
        <v/>
      </c>
      <c r="AG32" s="27">
        <f>IF(U32=0,"",ROUND((AB32-AD32)/U32*100,1))</f>
        <v/>
      </c>
      <c r="AH32" s="30" t="inlineStr">
        <is>
          <t>OK — totals reconciled</t>
        </is>
      </c>
      <c r="AI32" s="31" t="inlineStr">
        <is>
          <t>https://recuperasolucoes.com/wp-content/plugins/download-attachments/includes/download.php?id=1597</t>
        </is>
      </c>
      <c r="AJ32" s="30" t="inlineStr">
        <is>
          <t>p13 r14; p13 r16</t>
        </is>
      </c>
      <c r="AK32" s="30" t="inlineStr">
        <is>
          <t>p13: R$ 4.250.000,00; p13: R$ 2.500.000,00</t>
        </is>
      </c>
      <c r="AL32" s="30" t="inlineStr">
        <is>
          <t>Debtor list (art. 51)</t>
        </is>
      </c>
      <c r="AM32" s="30" t="inlineStr">
        <is>
          <t>2026-05-21</t>
        </is>
      </c>
      <c r="AN32" s="30" t="inlineStr">
        <is>
          <t>NONE FOUND</t>
        </is>
      </c>
      <c r="AO32" s="32" t="inlineStr">
        <is>
          <t>0001639-09.2026.8.17.2810</t>
        </is>
      </c>
      <c r="AP32" s="32" t="inlineStr">
        <is>
          <t>TJPE</t>
        </is>
      </c>
      <c r="AQ32" s="32" t="inlineStr">
        <is>
          <t>Recuperação judicial</t>
        </is>
      </c>
      <c r="AR32" s="32" t="inlineStr">
        <is>
          <t>DataJud: no closure/falência movement</t>
        </is>
      </c>
      <c r="AS32" s="32" t="n">
        <v>2026</v>
      </c>
      <c r="AT32" s="32" t="inlineStr">
        <is>
          <t>live case, no plan document yet</t>
        </is>
      </c>
      <c r="AU32" s="32" t="inlineStr"/>
      <c r="AV32" s="32" t="inlineStr">
        <is>
          <t>printed on the list (read twice)</t>
        </is>
      </c>
      <c r="AW32" s="32" t="inlineStr"/>
      <c r="AX32" s="32" t="inlineStr"/>
      <c r="AY32" s="32" t="inlineStr"/>
      <c r="AZ32" s="32" t="inlineStr"/>
      <c r="BA32" s="32" t="inlineStr"/>
      <c r="BB32" s="33" t="inlineStr"/>
      <c r="BC32" s="32" t="inlineStr">
        <is>
          <t>UNKNOWN</t>
        </is>
      </c>
      <c r="BD32" s="32" t="inlineStr">
        <is>
          <t>29720639</t>
        </is>
      </c>
      <c r="BE32" s="32" t="n">
        <v>2</v>
      </c>
      <c r="BF32" s="32" t="inlineStr">
        <is>
          <t>financial by name no RFB record</t>
        </is>
      </c>
    </row>
    <row r="33">
      <c r="A33" s="17" t="inlineStr">
        <is>
          <t>LIBRA II NP FUNDO DE INVESTIMENTO EM DIREITOS CREDITÓRIOS NÃO PADRONIZADOS MULTISSETORIAL</t>
        </is>
      </c>
      <c r="B33" s="18" t="n">
        <v>6738246.38</v>
      </c>
      <c r="C33" s="19" t="inlineStr">
        <is>
          <t>AZEPLAST INDÚSTRIA E COMÉRCIO LTDA</t>
        </is>
      </c>
      <c r="D33" s="20" t="inlineStr">
        <is>
          <t>NEW</t>
        </is>
      </c>
      <c r="E33" s="21" t="inlineStr"/>
      <c r="F33" s="20" t="inlineStr"/>
      <c r="G33" s="21" t="inlineStr"/>
      <c r="H33" s="20" t="inlineStr"/>
      <c r="I33" s="22" t="inlineStr"/>
      <c r="J33" s="22" t="inlineStr"/>
      <c r="K33" s="22" t="inlineStr"/>
      <c r="L33" s="22" t="inlineStr"/>
      <c r="M33" s="22" t="inlineStr"/>
      <c r="N33" s="22" t="inlineStr"/>
      <c r="O33" s="22" t="inlineStr"/>
      <c r="P33" s="22" t="inlineStr"/>
      <c r="Q33" s="22" t="inlineStr"/>
      <c r="R33" s="22" t="inlineStr"/>
      <c r="S33" s="22" t="inlineStr"/>
      <c r="T33" s="22" t="inlineStr">
        <is>
          <t>no named contact found; NO ROUTE IN: no phone or email on file</t>
        </is>
      </c>
      <c r="U33" s="24" t="n">
        <v>6738246.38</v>
      </c>
      <c r="V33" s="25" t="inlineStr">
        <is>
          <t>B</t>
        </is>
      </c>
      <c r="W33" s="26" t="inlineStr"/>
      <c r="X33" s="27" t="inlineStr"/>
      <c r="Y33" s="27" t="inlineStr"/>
      <c r="Z33" s="26">
        <f>IF(W33&lt;&gt;"",W33,IFERROR(VLOOKUP(V33,Assumptions!$A$8:$F$12,2,FALSE),0))*Assumptions!$B$5</f>
        <v/>
      </c>
      <c r="AA33" s="28">
        <f>IF(V33="A",MAX(1,IF(X33&lt;&gt;"",X33,IFERROR(VLOOKUP(V33,Assumptions!$A$8:$F$12,3,FALSE),3))+IF(Y33&lt;&gt;"",Y33,IFERROR(VLOOKUP(V33,Assumptions!$A$8:$F$12,4,FALSE),8))/2-MAX(0,IF(AS33="",0,YEAR(TODAY())-AS33)-IFERROR(VLOOKUP(V33,Assumptions!$A$8:$F$12,5,FALSE),1.5))),IFERROR(VLOOKUP(V33,Assumptions!$A$8:$F$12,5,FALSE),2.5)+IF(X33&lt;&gt;"",X33,IFERROR(VLOOKUP(V33,Assumptions!$A$8:$F$12,3,FALSE),3))+IF(Y33&lt;&gt;"",Y33,IFERROR(VLOOKUP(V33,Assumptions!$A$8:$F$12,4,FALSE),8))/2)</f>
        <v/>
      </c>
      <c r="AB33" s="24">
        <f>U33*Z33/(1+Assumptions!$B$3)^AA33</f>
        <v/>
      </c>
      <c r="AC33" s="27">
        <f>IF(U33=0,"",ROUND(AB33/U33*100,1))</f>
        <v/>
      </c>
      <c r="AD33" s="29">
        <f>AB33*Assumptions!$B$4</f>
        <v/>
      </c>
      <c r="AE33" s="27">
        <f>IF(U33=0,"",ROUND(AD33/U33*100,1))</f>
        <v/>
      </c>
      <c r="AF33" s="29">
        <f>AB33-AD33</f>
        <v/>
      </c>
      <c r="AG33" s="27">
        <f>IF(U33=0,"",ROUND((AB33-AD33)/U33*100,1))</f>
        <v/>
      </c>
      <c r="AH33" s="35" t="inlineStr">
        <is>
          <t>PARTIAL — class III reconciled, other classes not</t>
        </is>
      </c>
      <c r="AI33" s="31" t="inlineStr">
        <is>
          <t>https://ajruiz.com.br/sites/default/files/public/arquivos-processos/2026-08/qgc_azeplast_julho_2026.pdf</t>
        </is>
      </c>
      <c r="AJ33" s="30" t="inlineStr">
        <is>
          <t>p1 r38</t>
        </is>
      </c>
      <c r="AK33" s="30" t="inlineStr">
        <is>
          <t>p1: R$ 6.738.246,38</t>
        </is>
      </c>
      <c r="AL33" s="30" t="inlineStr">
        <is>
          <t>QGC (art. 18)</t>
        </is>
      </c>
      <c r="AM33" s="30" t="inlineStr"/>
      <c r="AN33" s="30" t="inlineStr">
        <is>
          <t>NONE FOUND</t>
        </is>
      </c>
      <c r="AO33" s="32" t="inlineStr">
        <is>
          <t>5008793-34.2023.8.24.0019</t>
        </is>
      </c>
      <c r="AP33" s="32" t="inlineStr">
        <is>
          <t>TJSC</t>
        </is>
      </c>
      <c r="AQ33" s="32" t="inlineStr">
        <is>
          <t>Recuperação judicial</t>
        </is>
      </c>
      <c r="AR33" s="32" t="inlineStr">
        <is>
          <t>DataJud: no closure/falência movement</t>
        </is>
      </c>
      <c r="AS33" s="32" t="n">
        <v>2023</v>
      </c>
      <c r="AT33" s="32" t="inlineStr">
        <is>
          <t>live case, no plan document yet</t>
        </is>
      </c>
      <c r="AU33" s="32" t="inlineStr"/>
      <c r="AV33" s="32" t="inlineStr">
        <is>
          <t>printed on the list (read twice)</t>
        </is>
      </c>
      <c r="AW33" s="32" t="inlineStr"/>
      <c r="AX33" s="32" t="inlineStr"/>
      <c r="AY33" s="32" t="inlineStr"/>
      <c r="AZ33" s="32" t="inlineStr"/>
      <c r="BA33" s="32" t="inlineStr"/>
      <c r="BB33" s="33" t="inlineStr"/>
      <c r="BC33" s="32" t="inlineStr">
        <is>
          <t>UNKNOWN</t>
        </is>
      </c>
      <c r="BD33" s="32" t="inlineStr">
        <is>
          <t>18563847</t>
        </is>
      </c>
      <c r="BE33" s="32" t="n">
        <v>1</v>
      </c>
      <c r="BF33" s="32" t="inlineStr">
        <is>
          <t>financial by name class III reconciled (doc partial) no RFB record no route in</t>
        </is>
      </c>
    </row>
    <row r="34">
      <c r="A34" s="17" t="inlineStr">
        <is>
          <t>COOPERATIVA DE CREDITO DE LIVRE ADMISSAO DO CENTRO NORTE BRASILEIRO</t>
        </is>
      </c>
      <c r="B34" s="18" t="n">
        <v>25688383.88</v>
      </c>
      <c r="C34" s="19" t="inlineStr">
        <is>
          <t>GRUPO 3E</t>
        </is>
      </c>
      <c r="D34" s="20" t="inlineStr">
        <is>
          <t>NEW</t>
        </is>
      </c>
      <c r="E34" s="21" t="inlineStr"/>
      <c r="F34" s="20" t="inlineStr"/>
      <c r="G34" s="21" t="inlineStr"/>
      <c r="H34" s="20" t="inlineStr"/>
      <c r="I34" s="22" t="inlineStr">
        <is>
          <t>Talita Araujo</t>
        </is>
      </c>
      <c r="J34" s="22" t="inlineStr">
        <is>
          <t>Supervisora de Crédito</t>
        </is>
      </c>
      <c r="K34" s="22" t="inlineStr">
        <is>
          <t>(62) 3311-3810</t>
        </is>
      </c>
      <c r="L34" s="22" t="inlineStr"/>
      <c r="M34" s="22" t="inlineStr"/>
      <c r="N34" s="22" t="inlineStr">
        <is>
          <t>talita.araujo@sicoob.com.br</t>
        </is>
      </c>
      <c r="O34" s="22" t="inlineStr">
        <is>
          <t>verified</t>
        </is>
      </c>
      <c r="P34" s="22" t="inlineStr">
        <is>
          <t>Ingrid Lima</t>
        </is>
      </c>
      <c r="Q34" s="22" t="inlineStr">
        <is>
          <t>Supervisora Juridica</t>
        </is>
      </c>
      <c r="R34" s="22" t="inlineStr"/>
      <c r="S34" s="22" t="inlineStr">
        <is>
          <t>ingrid.lima@sicoob.com.br</t>
        </is>
      </c>
      <c r="T34" s="22" t="inlineStr">
        <is>
          <t>DM: DM; VERIFY org: Sicoob UniCentro Norte Brasileiro assumed = Coop de Crédito de Livre Admissão do Centro Norte Brasileiro (GO); BACKUP: backup</t>
        </is>
      </c>
      <c r="U34" s="24" t="n">
        <v>25688383.88</v>
      </c>
      <c r="V34" s="25" t="inlineStr">
        <is>
          <t>B</t>
        </is>
      </c>
      <c r="W34" s="26" t="n">
        <v>0.12</v>
      </c>
      <c r="X34" s="27" t="n">
        <v>2</v>
      </c>
      <c r="Y34" s="27" t="n">
        <v>13</v>
      </c>
      <c r="Z34" s="26">
        <f>IF(W34&lt;&gt;"",W34,IFERROR(VLOOKUP(V34,Assumptions!$A$8:$F$12,2,FALSE),0))*Assumptions!$B$5</f>
        <v/>
      </c>
      <c r="AA34" s="28">
        <f>IF(V34="A",MAX(1,IF(X34&lt;&gt;"",X34,IFERROR(VLOOKUP(V34,Assumptions!$A$8:$F$12,3,FALSE),3))+IF(Y34&lt;&gt;"",Y34,IFERROR(VLOOKUP(V34,Assumptions!$A$8:$F$12,4,FALSE),8))/2-MAX(0,IF(AS34="",0,YEAR(TODAY())-AS34)-IFERROR(VLOOKUP(V34,Assumptions!$A$8:$F$12,5,FALSE),1.5))),IFERROR(VLOOKUP(V34,Assumptions!$A$8:$F$12,5,FALSE),2.5)+IF(X34&lt;&gt;"",X34,IFERROR(VLOOKUP(V34,Assumptions!$A$8:$F$12,3,FALSE),3))+IF(Y34&lt;&gt;"",Y34,IFERROR(VLOOKUP(V34,Assumptions!$A$8:$F$12,4,FALSE),8))/2)</f>
        <v/>
      </c>
      <c r="AB34" s="24">
        <f>U34*Z34/(1+Assumptions!$B$3)^AA34</f>
        <v/>
      </c>
      <c r="AC34" s="27">
        <f>IF(U34=0,"",ROUND(AB34/U34*100,1))</f>
        <v/>
      </c>
      <c r="AD34" s="29">
        <f>AB34*Assumptions!$B$4</f>
        <v/>
      </c>
      <c r="AE34" s="27">
        <f>IF(U34=0,"",ROUND(AD34/U34*100,1))</f>
        <v/>
      </c>
      <c r="AF34" s="29">
        <f>AB34-AD34</f>
        <v/>
      </c>
      <c r="AG34" s="27">
        <f>IF(U34=0,"",ROUND((AB34-AD34)/U34*100,1))</f>
        <v/>
      </c>
      <c r="AH34" s="34" t="inlineStr">
        <is>
          <t>NO TOTALS — list prints none; check page</t>
        </is>
      </c>
      <c r="AI34" s="31" t="inlineStr">
        <is>
          <t>https://stenius.com.br/wp-content/uploads/2026/06/EDITAL-GRUPO-3E.pdf</t>
        </is>
      </c>
      <c r="AJ34" s="30" t="inlineStr">
        <is>
          <t>p12 r8</t>
        </is>
      </c>
      <c r="AK34" s="30" t="inlineStr">
        <is>
          <t>p12: R$ 25.688.383,88</t>
        </is>
      </c>
      <c r="AL34" s="30" t="inlineStr">
        <is>
          <t>Debtor list (art. 51)</t>
        </is>
      </c>
      <c r="AM34" s="30" t="inlineStr">
        <is>
          <t>2026-06-22</t>
        </is>
      </c>
      <c r="AN34" s="30" t="inlineStr">
        <is>
          <t>PLAN FILED (art. 53), not granted</t>
        </is>
      </c>
      <c r="AO34" s="32" t="inlineStr">
        <is>
          <t>5341375-33.2026.8.09.0049</t>
        </is>
      </c>
      <c r="AP34" s="32" t="inlineStr">
        <is>
          <t>TJGO</t>
        </is>
      </c>
      <c r="AQ34" s="32" t="inlineStr">
        <is>
          <t>Recuperação judicial</t>
        </is>
      </c>
      <c r="AR34" s="32" t="inlineStr">
        <is>
          <t>DataJud: no closure/falência movement</t>
        </is>
      </c>
      <c r="AS34" s="32" t="n">
        <v>2026</v>
      </c>
      <c r="AT34" s="32" t="inlineStr">
        <is>
          <t>plan filed (art. 53), not yet granted</t>
        </is>
      </c>
      <c r="AU34" s="32" t="inlineStr"/>
      <c r="AV34" s="32" t="inlineStr">
        <is>
          <t>printed on the list (read twice)</t>
        </is>
      </c>
      <c r="AW34" s="32" t="inlineStr">
        <is>
          <t>Plano de Recuperação Judicial Grupo 3E v2.0 (Métis), mov. 321, pp.24-25</t>
        </is>
      </c>
      <c r="AX34" s="32" t="inlineStr">
        <is>
          <t>ANAPOLIS</t>
        </is>
      </c>
      <c r="AY34" s="32" t="inlineStr">
        <is>
          <t>GO</t>
        </is>
      </c>
      <c r="AZ34" s="32" t="inlineStr">
        <is>
          <t>Cooperativas de crédito mútuo</t>
        </is>
      </c>
      <c r="BA34" s="32" t="inlineStr">
        <is>
          <t>não ME/EPP</t>
        </is>
      </c>
      <c r="BB34" s="33" t="inlineStr"/>
      <c r="BC34" s="32" t="inlineStr">
        <is>
          <t>UNKNOWN</t>
        </is>
      </c>
      <c r="BD34" s="32" t="inlineStr">
        <is>
          <t>02282709</t>
        </is>
      </c>
      <c r="BE34" s="32" t="n">
        <v>1</v>
      </c>
      <c r="BF34" s="32" t="inlineStr">
        <is>
          <t>financial by name list prints no totals</t>
        </is>
      </c>
    </row>
    <row r="35">
      <c r="A35" s="17" t="inlineStr">
        <is>
          <t>BANCO SANTANDER (BRASIL) S.A.</t>
        </is>
      </c>
      <c r="B35" s="18" t="n">
        <v>5767145.07</v>
      </c>
      <c r="C35" s="19" t="inlineStr">
        <is>
          <t>Cerealista Safrasul Ltda</t>
        </is>
      </c>
      <c r="D35" s="20" t="inlineStr">
        <is>
          <t>NEW</t>
        </is>
      </c>
      <c r="E35" s="21" t="inlineStr"/>
      <c r="F35" s="20" t="inlineStr"/>
      <c r="G35" s="21" t="inlineStr"/>
      <c r="H35" s="20" t="inlineStr"/>
      <c r="I35" s="22" t="inlineStr">
        <is>
          <t>Igor Puertas</t>
        </is>
      </c>
      <c r="J35" s="22" t="inlineStr">
        <is>
          <t>Distressed Assets | NPL</t>
        </is>
      </c>
      <c r="K35" s="22" t="inlineStr">
        <is>
          <t>(11) 4004-3535</t>
        </is>
      </c>
      <c r="L35" s="22" t="inlineStr"/>
      <c r="M35" s="22" t="inlineStr"/>
      <c r="N35" s="22" t="inlineStr">
        <is>
          <t>igor.puertas@santander.com.br</t>
        </is>
      </c>
      <c r="O35" s="22" t="inlineStr">
        <is>
          <t>verified</t>
        </is>
      </c>
      <c r="P35" s="22" t="inlineStr">
        <is>
          <t>Antonio Junior</t>
        </is>
      </c>
      <c r="Q35" s="22" t="inlineStr">
        <is>
          <t>Superintendente Recuperação de Crédito</t>
        </is>
      </c>
      <c r="R35" s="22" t="inlineStr"/>
      <c r="S35" s="22" t="inlineStr">
        <is>
          <t>antonio.pequeno.junior@santander.com.br</t>
        </is>
      </c>
      <c r="T35" s="22" t="inlineStr">
        <is>
          <t>DM: DM; BACKUP: backup</t>
        </is>
      </c>
      <c r="U35" s="24" t="n">
        <v>5767145.07</v>
      </c>
      <c r="V35" s="25" t="inlineStr">
        <is>
          <t>B</t>
        </is>
      </c>
      <c r="W35" s="26" t="inlineStr"/>
      <c r="X35" s="27" t="inlineStr"/>
      <c r="Y35" s="27" t="inlineStr"/>
      <c r="Z35" s="26">
        <f>IF(W35&lt;&gt;"",W35,IFERROR(VLOOKUP(V35,Assumptions!$A$8:$F$12,2,FALSE),0))*Assumptions!$B$5</f>
        <v/>
      </c>
      <c r="AA35" s="28">
        <f>IF(V35="A",MAX(1,IF(X35&lt;&gt;"",X35,IFERROR(VLOOKUP(V35,Assumptions!$A$8:$F$12,3,FALSE),3))+IF(Y35&lt;&gt;"",Y35,IFERROR(VLOOKUP(V35,Assumptions!$A$8:$F$12,4,FALSE),8))/2-MAX(0,IF(AS35="",0,YEAR(TODAY())-AS35)-IFERROR(VLOOKUP(V35,Assumptions!$A$8:$F$12,5,FALSE),1.5))),IFERROR(VLOOKUP(V35,Assumptions!$A$8:$F$12,5,FALSE),2.5)+IF(X35&lt;&gt;"",X35,IFERROR(VLOOKUP(V35,Assumptions!$A$8:$F$12,3,FALSE),3))+IF(Y35&lt;&gt;"",Y35,IFERROR(VLOOKUP(V35,Assumptions!$A$8:$F$12,4,FALSE),8))/2)</f>
        <v/>
      </c>
      <c r="AB35" s="24">
        <f>U35*Z35/(1+Assumptions!$B$3)^AA35</f>
        <v/>
      </c>
      <c r="AC35" s="27">
        <f>IF(U35=0,"",ROUND(AB35/U35*100,1))</f>
        <v/>
      </c>
      <c r="AD35" s="29">
        <f>AB35*Assumptions!$B$4</f>
        <v/>
      </c>
      <c r="AE35" s="27">
        <f>IF(U35=0,"",ROUND(AD35/U35*100,1))</f>
        <v/>
      </c>
      <c r="AF35" s="29">
        <f>AB35-AD35</f>
        <v/>
      </c>
      <c r="AG35" s="27">
        <f>IF(U35=0,"",ROUND((AB35-AD35)/U35*100,1))</f>
        <v/>
      </c>
      <c r="AH35" s="34" t="inlineStr">
        <is>
          <t>NO TOTALS — list prints none; check page</t>
        </is>
      </c>
      <c r="AI35" s="31" t="inlineStr">
        <is>
          <t>https://ajruiz.com.br/sites/default/files/public/arquivos-processos/2026-01/safrasul_relacao_de_credores_recuperanda.pdf</t>
        </is>
      </c>
      <c r="AJ35" s="30" t="inlineStr">
        <is>
          <t>p8 r25; p8 r26; p8 r27; p8 r28; p8 r29; p8 r30</t>
        </is>
      </c>
      <c r="AK35" s="30" t="inlineStr">
        <is>
          <t>p8: R$ 2.243.930,13; p8: R$ 2.083.333,35; p8: R$ 489.881,59; p8: R$ 200.000,00; p8: R$ 500.000,00; p8: R$ 250.000,00</t>
        </is>
      </c>
      <c r="AL35" s="30" t="inlineStr">
        <is>
          <t>AJ list (art. 7 §2)</t>
        </is>
      </c>
      <c r="AM35" s="30" t="inlineStr">
        <is>
          <t>2026-01-14</t>
        </is>
      </c>
      <c r="AN35" s="30" t="inlineStr">
        <is>
          <t>NONE FOUND</t>
        </is>
      </c>
      <c r="AO35" s="32" t="inlineStr">
        <is>
          <t>4000167-23.2025.8.26.0373</t>
        </is>
      </c>
      <c r="AP35" s="32" t="inlineStr">
        <is>
          <t>TJSP</t>
        </is>
      </c>
      <c r="AQ35" s="32" t="inlineStr">
        <is>
          <t>Recuperação judicial</t>
        </is>
      </c>
      <c r="AR35" s="32" t="inlineStr">
        <is>
          <t>DataJud: no closure/falência movement</t>
        </is>
      </c>
      <c r="AS35" s="32" t="n">
        <v>2025</v>
      </c>
      <c r="AT35" s="32" t="inlineStr">
        <is>
          <t>live case, no plan document yet</t>
        </is>
      </c>
      <c r="AU35" s="32" t="inlineStr"/>
      <c r="AV35" s="32" t="inlineStr">
        <is>
          <t>printed on the list (read twice)</t>
        </is>
      </c>
      <c r="AW35" s="32" t="inlineStr"/>
      <c r="AX35" s="32" t="inlineStr">
        <is>
          <t>SAO PAULO</t>
        </is>
      </c>
      <c r="AY35" s="32" t="inlineStr">
        <is>
          <t>SP</t>
        </is>
      </c>
      <c r="AZ35" s="32" t="inlineStr">
        <is>
          <t>Bancos múltiplos, com carteira comercial</t>
        </is>
      </c>
      <c r="BA35" s="32" t="inlineStr">
        <is>
          <t>não ME/EPP</t>
        </is>
      </c>
      <c r="BB35" s="33" t="n">
        <v>65000000000</v>
      </c>
      <c r="BC35" s="32" t="inlineStr">
        <is>
          <t>LARGE CORP</t>
        </is>
      </c>
      <c r="BD35" s="32" t="inlineStr">
        <is>
          <t>90400888</t>
        </is>
      </c>
      <c r="BE35" s="32" t="n">
        <v>6</v>
      </c>
      <c r="BF35" s="32" t="inlineStr">
        <is>
          <t>financial by name list prints no totals</t>
        </is>
      </c>
    </row>
    <row r="36">
      <c r="A36" s="17" t="inlineStr">
        <is>
          <t>BANCO SOFISA S.A.</t>
        </is>
      </c>
      <c r="B36" s="18" t="n">
        <v>5733764.93</v>
      </c>
      <c r="C36" s="19" t="inlineStr">
        <is>
          <t>Grupo Conduscabos</t>
        </is>
      </c>
      <c r="D36" s="20" t="inlineStr">
        <is>
          <t>NEW</t>
        </is>
      </c>
      <c r="E36" s="21" t="inlineStr"/>
      <c r="F36" s="20" t="inlineStr"/>
      <c r="G36" s="21" t="inlineStr"/>
      <c r="H36" s="20" t="inlineStr"/>
      <c r="I36" s="22" t="inlineStr">
        <is>
          <t>Tiago Hendo</t>
        </is>
      </c>
      <c r="J36" s="22" t="inlineStr">
        <is>
          <t>Gerente de Reestruturação de Crédito</t>
        </is>
      </c>
      <c r="K36" s="22" t="inlineStr">
        <is>
          <t>(11) 3176-5500</t>
        </is>
      </c>
      <c r="L36" s="22" t="inlineStr"/>
      <c r="M36" s="22" t="inlineStr"/>
      <c r="N36" s="22" t="inlineStr"/>
      <c r="O36" s="22" t="inlineStr"/>
      <c r="P36" s="22" t="inlineStr">
        <is>
          <t>Rafael Nurnberg</t>
        </is>
      </c>
      <c r="Q36" s="22" t="inlineStr">
        <is>
          <t>Superintendente Executivo de Crédito e Cobrança Varejo (PF e PJ)</t>
        </is>
      </c>
      <c r="R36" s="22" t="inlineStr"/>
      <c r="S36" s="22" t="inlineStr">
        <is>
          <t>rnurnberg@sofisa.com.br</t>
        </is>
      </c>
      <c r="T36" s="22" t="inlineStr">
        <is>
          <t>DM: DM email unavailable; no work email in Apollo for DM; BACKUP: backup verified email</t>
        </is>
      </c>
      <c r="U36" s="24" t="n">
        <v>5733764.93</v>
      </c>
      <c r="V36" s="25" t="inlineStr">
        <is>
          <t>B</t>
        </is>
      </c>
      <c r="W36" s="26" t="inlineStr"/>
      <c r="X36" s="27" t="inlineStr"/>
      <c r="Y36" s="27" t="inlineStr"/>
      <c r="Z36" s="26">
        <f>IF(W36&lt;&gt;"",W36,IFERROR(VLOOKUP(V36,Assumptions!$A$8:$F$12,2,FALSE),0))*Assumptions!$B$5</f>
        <v/>
      </c>
      <c r="AA36" s="28">
        <f>IF(V36="A",MAX(1,IF(X36&lt;&gt;"",X36,IFERROR(VLOOKUP(V36,Assumptions!$A$8:$F$12,3,FALSE),3))+IF(Y36&lt;&gt;"",Y36,IFERROR(VLOOKUP(V36,Assumptions!$A$8:$F$12,4,FALSE),8))/2-MAX(0,IF(AS36="",0,YEAR(TODAY())-AS36)-IFERROR(VLOOKUP(V36,Assumptions!$A$8:$F$12,5,FALSE),1.5))),IFERROR(VLOOKUP(V36,Assumptions!$A$8:$F$12,5,FALSE),2.5)+IF(X36&lt;&gt;"",X36,IFERROR(VLOOKUP(V36,Assumptions!$A$8:$F$12,3,FALSE),3))+IF(Y36&lt;&gt;"",Y36,IFERROR(VLOOKUP(V36,Assumptions!$A$8:$F$12,4,FALSE),8))/2)</f>
        <v/>
      </c>
      <c r="AB36" s="24">
        <f>U36*Z36/(1+Assumptions!$B$3)^AA36</f>
        <v/>
      </c>
      <c r="AC36" s="27">
        <f>IF(U36=0,"",ROUND(AB36/U36*100,1))</f>
        <v/>
      </c>
      <c r="AD36" s="29">
        <f>AB36*Assumptions!$B$4</f>
        <v/>
      </c>
      <c r="AE36" s="27">
        <f>IF(U36=0,"",ROUND(AD36/U36*100,1))</f>
        <v/>
      </c>
      <c r="AF36" s="29">
        <f>AB36-AD36</f>
        <v/>
      </c>
      <c r="AG36" s="27">
        <f>IF(U36=0,"",ROUND((AB36-AD36)/U36*100,1))</f>
        <v/>
      </c>
      <c r="AH36" s="34" t="inlineStr">
        <is>
          <t>NO TOTALS — list prints none; check page</t>
        </is>
      </c>
      <c r="AI36" s="31" t="inlineStr">
        <is>
          <t>https://assistjud.com.br/wp-content/uploads/elementor/forms/65098c80a5824.pdf</t>
        </is>
      </c>
      <c r="AJ36" s="30" t="inlineStr">
        <is>
          <t>p5 r13</t>
        </is>
      </c>
      <c r="AK36" s="30" t="inlineStr">
        <is>
          <t>p5: R$ 5.733.764,93</t>
        </is>
      </c>
      <c r="AL36" s="30" t="inlineStr">
        <is>
          <t>AJ list (art. 7 §2)</t>
        </is>
      </c>
      <c r="AM36" s="30" t="inlineStr">
        <is>
          <t>2023-09-18</t>
        </is>
      </c>
      <c r="AN36" s="30" t="inlineStr">
        <is>
          <t>NONE FOUND</t>
        </is>
      </c>
      <c r="AO36" s="32" t="inlineStr">
        <is>
          <t>8005129-09.2023.8.05.0039</t>
        </is>
      </c>
      <c r="AP36" s="32" t="inlineStr">
        <is>
          <t>TJBA</t>
        </is>
      </c>
      <c r="AQ36" s="32" t="inlineStr">
        <is>
          <t>Recuperação judicial</t>
        </is>
      </c>
      <c r="AR36" s="32" t="inlineStr">
        <is>
          <t>DataJud: no closure/falência movement</t>
        </is>
      </c>
      <c r="AS36" s="32" t="n">
        <v>2023</v>
      </c>
      <c r="AT36" s="32" t="inlineStr">
        <is>
          <t>live case, no plan document yet</t>
        </is>
      </c>
      <c r="AU36" s="32" t="inlineStr"/>
      <c r="AV36" s="32" t="inlineStr">
        <is>
          <t>printed on the list (read twice)</t>
        </is>
      </c>
      <c r="AW36" s="32" t="inlineStr"/>
      <c r="AX36" s="32" t="inlineStr">
        <is>
          <t>SAO PAULO</t>
        </is>
      </c>
      <c r="AY36" s="32" t="inlineStr">
        <is>
          <t>SP</t>
        </is>
      </c>
      <c r="AZ36" s="32" t="inlineStr">
        <is>
          <t>Bancos múltiplos, com carteira comercial</t>
        </is>
      </c>
      <c r="BA36" s="32" t="inlineStr">
        <is>
          <t>não ME/EPP</t>
        </is>
      </c>
      <c r="BB36" s="33" t="n">
        <v>1021700100</v>
      </c>
      <c r="BC36" s="32" t="inlineStr">
        <is>
          <t>LARGE CORP</t>
        </is>
      </c>
      <c r="BD36" s="32" t="inlineStr">
        <is>
          <t>60889128</t>
        </is>
      </c>
      <c r="BE36" s="32" t="n">
        <v>1</v>
      </c>
      <c r="BF36" s="32" t="inlineStr">
        <is>
          <t>financial by name list prints no totals</t>
        </is>
      </c>
    </row>
    <row r="37">
      <c r="A37" s="17" t="inlineStr">
        <is>
          <t>BANCO BRADESCO S.A.</t>
        </is>
      </c>
      <c r="B37" s="18" t="n">
        <v>5470219.17</v>
      </c>
      <c r="C37" s="19" t="inlineStr">
        <is>
          <t>GRUPO ADLIM</t>
        </is>
      </c>
      <c r="D37" s="20" t="inlineStr">
        <is>
          <t>NEW</t>
        </is>
      </c>
      <c r="E37" s="21" t="inlineStr"/>
      <c r="F37" s="20" t="inlineStr"/>
      <c r="G37" s="21" t="inlineStr"/>
      <c r="H37" s="20" t="inlineStr"/>
      <c r="I37" s="22" t="inlineStr">
        <is>
          <t>Marcela Martins</t>
        </is>
      </c>
      <c r="J37" s="22" t="inlineStr">
        <is>
          <t>Superintendente de Recuperação de Crédito - Canais e Operações</t>
        </is>
      </c>
      <c r="K37" s="22" t="inlineStr">
        <is>
          <t>(11) 3684-5122</t>
        </is>
      </c>
      <c r="L37" s="22" t="inlineStr"/>
      <c r="M37" s="22" t="inlineStr"/>
      <c r="N37" s="22" t="inlineStr"/>
      <c r="O37" s="22" t="inlineStr"/>
      <c r="P37" s="22" t="inlineStr">
        <is>
          <t>Luis S</t>
        </is>
      </c>
      <c r="Q37" s="22" t="inlineStr">
        <is>
          <t>DRC - Departamento de Recuperação de Crédito - Gerente de Reestruturação de Crédito</t>
        </is>
      </c>
      <c r="R37" s="22" t="inlineStr"/>
      <c r="S37" s="22" t="inlineStr">
        <is>
          <t>sl@bradesco.com.br</t>
        </is>
      </c>
      <c r="T37" s="22" t="inlineStr">
        <is>
          <t>DM: DM; no work email in Apollo for DM; BACKUP: backup</t>
        </is>
      </c>
      <c r="U37" s="24" t="n">
        <v>5470219.17</v>
      </c>
      <c r="V37" s="25" t="inlineStr">
        <is>
          <t>B</t>
        </is>
      </c>
      <c r="W37" s="26" t="inlineStr"/>
      <c r="X37" s="27" t="inlineStr"/>
      <c r="Y37" s="27" t="inlineStr"/>
      <c r="Z37" s="26">
        <f>IF(W37&lt;&gt;"",W37,IFERROR(VLOOKUP(V37,Assumptions!$A$8:$F$12,2,FALSE),0))*Assumptions!$B$5</f>
        <v/>
      </c>
      <c r="AA37" s="28">
        <f>IF(V37="A",MAX(1,IF(X37&lt;&gt;"",X37,IFERROR(VLOOKUP(V37,Assumptions!$A$8:$F$12,3,FALSE),3))+IF(Y37&lt;&gt;"",Y37,IFERROR(VLOOKUP(V37,Assumptions!$A$8:$F$12,4,FALSE),8))/2-MAX(0,IF(AS37="",0,YEAR(TODAY())-AS37)-IFERROR(VLOOKUP(V37,Assumptions!$A$8:$F$12,5,FALSE),1.5))),IFERROR(VLOOKUP(V37,Assumptions!$A$8:$F$12,5,FALSE),2.5)+IF(X37&lt;&gt;"",X37,IFERROR(VLOOKUP(V37,Assumptions!$A$8:$F$12,3,FALSE),3))+IF(Y37&lt;&gt;"",Y37,IFERROR(VLOOKUP(V37,Assumptions!$A$8:$F$12,4,FALSE),8))/2)</f>
        <v/>
      </c>
      <c r="AB37" s="24">
        <f>U37*Z37/(1+Assumptions!$B$3)^AA37</f>
        <v/>
      </c>
      <c r="AC37" s="27">
        <f>IF(U37=0,"",ROUND(AB37/U37*100,1))</f>
        <v/>
      </c>
      <c r="AD37" s="29">
        <f>AB37*Assumptions!$B$4</f>
        <v/>
      </c>
      <c r="AE37" s="27">
        <f>IF(U37=0,"",ROUND(AD37/U37*100,1))</f>
        <v/>
      </c>
      <c r="AF37" s="29">
        <f>AB37-AD37</f>
        <v/>
      </c>
      <c r="AG37" s="27">
        <f>IF(U37=0,"",ROUND((AB37-AD37)/U37*100,1))</f>
        <v/>
      </c>
      <c r="AH37" s="35" t="inlineStr">
        <is>
          <t>PARTIAL — class III reconciled, other classes not</t>
        </is>
      </c>
      <c r="AI37" s="31" t="inlineStr">
        <is>
          <t>https://lrflideres.com.br/wp-content/plugins/download-attachments/includes/download.php?id=6051</t>
        </is>
      </c>
      <c r="AJ37" s="30" t="inlineStr">
        <is>
          <t>p66 r68; p97 r20</t>
        </is>
      </c>
      <c r="AK37" s="30" t="inlineStr">
        <is>
          <t>p66: R$ 3928863,43; p97: R$ 1541355,74</t>
        </is>
      </c>
      <c r="AL37" s="30" t="inlineStr">
        <is>
          <t>AJ list (art. 7 §2)</t>
        </is>
      </c>
      <c r="AM37" s="30" t="inlineStr">
        <is>
          <t>2024-08-12</t>
        </is>
      </c>
      <c r="AN37" s="30" t="inlineStr">
        <is>
          <t>NONE FOUND</t>
        </is>
      </c>
      <c r="AO37" s="32" t="inlineStr">
        <is>
          <t>0019761-43.2024.8.17.2001</t>
        </is>
      </c>
      <c r="AP37" s="32" t="inlineStr">
        <is>
          <t>TJPE</t>
        </is>
      </c>
      <c r="AQ37" s="32" t="inlineStr">
        <is>
          <t>Recuperação judicial</t>
        </is>
      </c>
      <c r="AR37" s="32" t="inlineStr">
        <is>
          <t>DataJud: no closure/falência movement</t>
        </is>
      </c>
      <c r="AS37" s="32" t="n">
        <v>2024</v>
      </c>
      <c r="AT37" s="32" t="inlineStr">
        <is>
          <t>live case, no plan document yet</t>
        </is>
      </c>
      <c r="AU37" s="32" t="inlineStr"/>
      <c r="AV37" s="32" t="inlineStr">
        <is>
          <t>printed on the list (read twice)</t>
        </is>
      </c>
      <c r="AW37" s="32" t="inlineStr"/>
      <c r="AX37" s="32" t="inlineStr">
        <is>
          <t>OSASCO</t>
        </is>
      </c>
      <c r="AY37" s="32" t="inlineStr">
        <is>
          <t>SP</t>
        </is>
      </c>
      <c r="AZ37" s="32" t="inlineStr">
        <is>
          <t>Bancos múltiplos, com carteira comercial</t>
        </is>
      </c>
      <c r="BA37" s="32" t="inlineStr">
        <is>
          <t>não ME/EPP</t>
        </is>
      </c>
      <c r="BB37" s="33" t="n">
        <v>93770000000</v>
      </c>
      <c r="BC37" s="32" t="inlineStr">
        <is>
          <t>LARGE CORP</t>
        </is>
      </c>
      <c r="BD37" s="32" t="inlineStr">
        <is>
          <t>60746948</t>
        </is>
      </c>
      <c r="BE37" s="32" t="n">
        <v>2</v>
      </c>
      <c r="BF37" s="32" t="inlineStr">
        <is>
          <t>financial by name class III reconciled (doc partial)</t>
        </is>
      </c>
    </row>
    <row r="38">
      <c r="A38" s="17" t="inlineStr">
        <is>
          <t>BANCO BOCOM BBM S.A.</t>
        </is>
      </c>
      <c r="B38" s="18" t="n">
        <v>5372374.77</v>
      </c>
      <c r="C38" s="19" t="inlineStr">
        <is>
          <t>GRUPO DP4</t>
        </is>
      </c>
      <c r="D38" s="20" t="inlineStr">
        <is>
          <t>NEW</t>
        </is>
      </c>
      <c r="E38" s="21" t="inlineStr"/>
      <c r="F38" s="20" t="inlineStr"/>
      <c r="G38" s="21" t="inlineStr"/>
      <c r="H38" s="20" t="inlineStr"/>
      <c r="I38" s="22" t="inlineStr">
        <is>
          <t>Rodrigo Caleiro</t>
        </is>
      </c>
      <c r="J38" s="22" t="inlineStr">
        <is>
          <t>Credit Manager | Large Corporate</t>
        </is>
      </c>
      <c r="K38" s="22" t="inlineStr">
        <is>
          <t>(71) 3243-2666</t>
        </is>
      </c>
      <c r="L38" s="22" t="inlineStr"/>
      <c r="M38" s="22" t="inlineStr"/>
      <c r="N38" s="22" t="inlineStr">
        <is>
          <t>rodrigocaleiro@bocombbm.com.br</t>
        </is>
      </c>
      <c r="O38" s="22" t="inlineStr">
        <is>
          <t>verified</t>
        </is>
      </c>
      <c r="P38" s="22" t="inlineStr">
        <is>
          <t>Thayna Franca</t>
        </is>
      </c>
      <c r="Q38" s="22" t="inlineStr">
        <is>
          <t>Analista de Controle de Crédito</t>
        </is>
      </c>
      <c r="R38" s="22" t="inlineStr"/>
      <c r="S38" s="22" t="inlineStr">
        <is>
          <t>thaynafranca@bocombbm.com.br</t>
        </is>
      </c>
      <c r="T38" s="22" t="inlineStr">
        <is>
          <t>DM: DM; Banco BOCOM BBM; titles pass 0, no recovery desk visible; Credit Manager Large Corporate; BACKUP: backup</t>
        </is>
      </c>
      <c r="U38" s="24" t="n">
        <v>5372374.77</v>
      </c>
      <c r="V38" s="25" t="inlineStr">
        <is>
          <t>B</t>
        </is>
      </c>
      <c r="W38" s="26" t="inlineStr"/>
      <c r="X38" s="27" t="inlineStr"/>
      <c r="Y38" s="27" t="inlineStr"/>
      <c r="Z38" s="26">
        <f>IF(W38&lt;&gt;"",W38,IFERROR(VLOOKUP(V38,Assumptions!$A$8:$F$12,2,FALSE),0))*Assumptions!$B$5</f>
        <v/>
      </c>
      <c r="AA38" s="28">
        <f>IF(V38="A",MAX(1,IF(X38&lt;&gt;"",X38,IFERROR(VLOOKUP(V38,Assumptions!$A$8:$F$12,3,FALSE),3))+IF(Y38&lt;&gt;"",Y38,IFERROR(VLOOKUP(V38,Assumptions!$A$8:$F$12,4,FALSE),8))/2-MAX(0,IF(AS38="",0,YEAR(TODAY())-AS38)-IFERROR(VLOOKUP(V38,Assumptions!$A$8:$F$12,5,FALSE),1.5))),IFERROR(VLOOKUP(V38,Assumptions!$A$8:$F$12,5,FALSE),2.5)+IF(X38&lt;&gt;"",X38,IFERROR(VLOOKUP(V38,Assumptions!$A$8:$F$12,3,FALSE),3))+IF(Y38&lt;&gt;"",Y38,IFERROR(VLOOKUP(V38,Assumptions!$A$8:$F$12,4,FALSE),8))/2)</f>
        <v/>
      </c>
      <c r="AB38" s="24">
        <f>U38*Z38/(1+Assumptions!$B$3)^AA38</f>
        <v/>
      </c>
      <c r="AC38" s="27">
        <f>IF(U38=0,"",ROUND(AB38/U38*100,1))</f>
        <v/>
      </c>
      <c r="AD38" s="29">
        <f>AB38*Assumptions!$B$4</f>
        <v/>
      </c>
      <c r="AE38" s="27">
        <f>IF(U38=0,"",ROUND(AD38/U38*100,1))</f>
        <v/>
      </c>
      <c r="AF38" s="29">
        <f>AB38-AD38</f>
        <v/>
      </c>
      <c r="AG38" s="27">
        <f>IF(U38=0,"",ROUND((AB38-AD38)/U38*100,1))</f>
        <v/>
      </c>
      <c r="AH38" s="35" t="inlineStr">
        <is>
          <t>PARTIAL — class III reconciled, other classes not</t>
        </is>
      </c>
      <c r="AI38" s="31" t="inlineStr">
        <is>
          <t>https://marquesadmjudicial.com.br/sgc/download.php?file=files/processo_documento/processo_documento15293208032024_1_.pdf&amp;nome=Relação Nominal de Credores da AJ-Sintética</t>
        </is>
      </c>
      <c r="AJ38" s="30" t="inlineStr">
        <is>
          <t>p20 r6</t>
        </is>
      </c>
      <c r="AK38" s="30" t="inlineStr">
        <is>
          <t>p20: R$ 5.372.374,77</t>
        </is>
      </c>
      <c r="AL38" s="30" t="inlineStr">
        <is>
          <t>AJ list (art. 7 §2)</t>
        </is>
      </c>
      <c r="AM38" s="30" t="inlineStr">
        <is>
          <t>2023-03-02</t>
        </is>
      </c>
      <c r="AN38" s="30" t="inlineStr">
        <is>
          <t>NONE FOUND</t>
        </is>
      </c>
      <c r="AO38" s="32" t="inlineStr">
        <is>
          <t>0005010-98.2023.8.16.0001</t>
        </is>
      </c>
      <c r="AP38" s="32" t="inlineStr">
        <is>
          <t>TJPR</t>
        </is>
      </c>
      <c r="AQ38" s="32" t="inlineStr">
        <is>
          <t>Recuperação judicial</t>
        </is>
      </c>
      <c r="AR38" s="32" t="inlineStr">
        <is>
          <t>DataJud: no closure/falência movement</t>
        </is>
      </c>
      <c r="AS38" s="32" t="n">
        <v>2023</v>
      </c>
      <c r="AT38" s="32" t="inlineStr">
        <is>
          <t>live case, no plan document yet</t>
        </is>
      </c>
      <c r="AU38" s="32" t="inlineStr"/>
      <c r="AV38" s="32" t="inlineStr">
        <is>
          <t>printed on the list (read twice)</t>
        </is>
      </c>
      <c r="AW38" s="32" t="inlineStr"/>
      <c r="AX38" s="32" t="inlineStr">
        <is>
          <t>SALVADOR</t>
        </is>
      </c>
      <c r="AY38" s="32" t="inlineStr">
        <is>
          <t>BA</t>
        </is>
      </c>
      <c r="AZ38" s="32" t="inlineStr">
        <is>
          <t>Bancos múltiplos, com carteira comercial</t>
        </is>
      </c>
      <c r="BA38" s="32" t="inlineStr">
        <is>
          <t>não ME/EPP</t>
        </is>
      </c>
      <c r="BB38" s="33" t="n">
        <v>469300380</v>
      </c>
      <c r="BC38" s="32" t="inlineStr">
        <is>
          <t>LARGE CORP</t>
        </is>
      </c>
      <c r="BD38" s="32" t="inlineStr">
        <is>
          <t>15114366</t>
        </is>
      </c>
      <c r="BE38" s="32" t="n">
        <v>1</v>
      </c>
      <c r="BF38" s="32" t="inlineStr">
        <is>
          <t>financial by name class III reconciled (doc partial)</t>
        </is>
      </c>
    </row>
    <row r="39">
      <c r="A39" s="17" t="inlineStr">
        <is>
          <t>ITAU UNIBANCO S.A.</t>
        </is>
      </c>
      <c r="B39" s="18" t="n">
        <v>5337705.09</v>
      </c>
      <c r="C39" s="19" t="inlineStr">
        <is>
          <t>Grupo Arruda (ARRUDA &amp; MELO REPRESENTACAO DE ALIMENTOS E BEBIDAS LTDA, ARRUDA &amp; MELO COMERCIO E DISTRIBUICAO DE ALIMENTOS E BEBIDAS LTDA, ARRUDA &amp; MELO COMERCIO E DISTRIBUICAO DE ALIMENTOS E BEBIDAS DA BAHIA LTDA)</t>
        </is>
      </c>
      <c r="D39" s="20" t="inlineStr">
        <is>
          <t>NEW</t>
        </is>
      </c>
      <c r="E39" s="21" t="inlineStr"/>
      <c r="F39" s="20" t="inlineStr"/>
      <c r="G39" s="21" t="inlineStr"/>
      <c r="H39" s="20" t="inlineStr"/>
      <c r="I39" s="22" t="inlineStr">
        <is>
          <t>Murilo Gigliucci</t>
        </is>
      </c>
      <c r="J39" s="22" t="inlineStr">
        <is>
          <t>Superintendente de Reestruturação de Crédito</t>
        </is>
      </c>
      <c r="K39" s="22" t="inlineStr">
        <is>
          <t>(11) 3003-4828</t>
        </is>
      </c>
      <c r="L39" s="22" t="inlineStr"/>
      <c r="M39" s="22" t="inlineStr"/>
      <c r="N39" s="22" t="inlineStr">
        <is>
          <t>murilo.gigliucci@itau-unibanco.com.br</t>
        </is>
      </c>
      <c r="O39" s="22" t="inlineStr">
        <is>
          <t>verified</t>
        </is>
      </c>
      <c r="P39" s="22" t="inlineStr">
        <is>
          <t>Pedro Ornellas</t>
        </is>
      </c>
      <c r="Q39" s="22" t="inlineStr">
        <is>
          <t>Superintendente de Recuperação de Crédito</t>
        </is>
      </c>
      <c r="R39" s="22" t="inlineStr"/>
      <c r="S39" s="22" t="inlineStr">
        <is>
          <t>pedro.ornellas-geronimo@itau-unibanco.com.br</t>
        </is>
      </c>
      <c r="T39" s="22" t="inlineStr">
        <is>
          <t>DM: DM verified email; BACKUP: backup verified email</t>
        </is>
      </c>
      <c r="U39" s="24" t="n">
        <v>5337705.09</v>
      </c>
      <c r="V39" s="25" t="inlineStr">
        <is>
          <t>B</t>
        </is>
      </c>
      <c r="W39" s="26" t="inlineStr"/>
      <c r="X39" s="27" t="inlineStr"/>
      <c r="Y39" s="27" t="inlineStr"/>
      <c r="Z39" s="26">
        <f>IF(W39&lt;&gt;"",W39,IFERROR(VLOOKUP(V39,Assumptions!$A$8:$F$12,2,FALSE),0))*Assumptions!$B$5</f>
        <v/>
      </c>
      <c r="AA39" s="28">
        <f>IF(V39="A",MAX(1,IF(X39&lt;&gt;"",X39,IFERROR(VLOOKUP(V39,Assumptions!$A$8:$F$12,3,FALSE),3))+IF(Y39&lt;&gt;"",Y39,IFERROR(VLOOKUP(V39,Assumptions!$A$8:$F$12,4,FALSE),8))/2-MAX(0,IF(AS39="",0,YEAR(TODAY())-AS39)-IFERROR(VLOOKUP(V39,Assumptions!$A$8:$F$12,5,FALSE),1.5))),IFERROR(VLOOKUP(V39,Assumptions!$A$8:$F$12,5,FALSE),2.5)+IF(X39&lt;&gt;"",X39,IFERROR(VLOOKUP(V39,Assumptions!$A$8:$F$12,3,FALSE),3))+IF(Y39&lt;&gt;"",Y39,IFERROR(VLOOKUP(V39,Assumptions!$A$8:$F$12,4,FALSE),8))/2)</f>
        <v/>
      </c>
      <c r="AB39" s="24">
        <f>U39*Z39/(1+Assumptions!$B$3)^AA39</f>
        <v/>
      </c>
      <c r="AC39" s="27">
        <f>IF(U39=0,"",ROUND(AB39/U39*100,1))</f>
        <v/>
      </c>
      <c r="AD39" s="29">
        <f>AB39*Assumptions!$B$4</f>
        <v/>
      </c>
      <c r="AE39" s="27">
        <f>IF(U39=0,"",ROUND(AD39/U39*100,1))</f>
        <v/>
      </c>
      <c r="AF39" s="29">
        <f>AB39-AD39</f>
        <v/>
      </c>
      <c r="AG39" s="27">
        <f>IF(U39=0,"",ROUND((AB39-AD39)/U39*100,1))</f>
        <v/>
      </c>
      <c r="AH39" s="30" t="inlineStr">
        <is>
          <t>OK — totals reconciled</t>
        </is>
      </c>
      <c r="AI39" s="31" t="inlineStr">
        <is>
          <t>https://diligence.adm.br/wp-content/uploads/2025/06/Edital-1a-Lista-de-Credores.pdf</t>
        </is>
      </c>
      <c r="AJ39" s="30" t="inlineStr">
        <is>
          <t>p5 r56</t>
        </is>
      </c>
      <c r="AK39" s="30" t="inlineStr">
        <is>
          <t>p5: R$ 5.337.705,09</t>
        </is>
      </c>
      <c r="AL39" s="30" t="inlineStr">
        <is>
          <t>Debtor list (art. 51)</t>
        </is>
      </c>
      <c r="AM39" s="30" t="inlineStr">
        <is>
          <t>2025-06-10</t>
        </is>
      </c>
      <c r="AN39" s="30" t="inlineStr">
        <is>
          <t>NONE FOUND</t>
        </is>
      </c>
      <c r="AO39" s="32" t="inlineStr">
        <is>
          <t>0008526-45.2025.8.17.2001</t>
        </is>
      </c>
      <c r="AP39" s="32" t="inlineStr">
        <is>
          <t>TJPE</t>
        </is>
      </c>
      <c r="AQ39" s="32" t="inlineStr">
        <is>
          <t>Recuperação judicial</t>
        </is>
      </c>
      <c r="AR39" s="32" t="inlineStr">
        <is>
          <t>DataJud: no closure/falência movement</t>
        </is>
      </c>
      <c r="AS39" s="32" t="n">
        <v>2025</v>
      </c>
      <c r="AT39" s="32" t="inlineStr">
        <is>
          <t>live case, no plan document yet</t>
        </is>
      </c>
      <c r="AU39" s="32" t="inlineStr"/>
      <c r="AV39" s="32" t="inlineStr">
        <is>
          <t>printed on the list (read twice)</t>
        </is>
      </c>
      <c r="AW39" s="32" t="inlineStr"/>
      <c r="AX39" s="32" t="inlineStr">
        <is>
          <t>SAO PAULO</t>
        </is>
      </c>
      <c r="AY39" s="32" t="inlineStr">
        <is>
          <t>SP</t>
        </is>
      </c>
      <c r="AZ39" s="32" t="inlineStr">
        <is>
          <t>Bancos comerciais</t>
        </is>
      </c>
      <c r="BA39" s="32" t="inlineStr">
        <is>
          <t>não ME/EPP</t>
        </is>
      </c>
      <c r="BB39" s="33" t="n">
        <v>76200000000</v>
      </c>
      <c r="BC39" s="32" t="inlineStr">
        <is>
          <t>LARGE CORP</t>
        </is>
      </c>
      <c r="BD39" s="32" t="inlineStr">
        <is>
          <t>60701190</t>
        </is>
      </c>
      <c r="BE39" s="32" t="n">
        <v>1</v>
      </c>
      <c r="BF39" s="32" t="inlineStr">
        <is>
          <t>financial by name</t>
        </is>
      </c>
    </row>
    <row r="40">
      <c r="A40" s="17" t="inlineStr">
        <is>
          <t>BANCO BRADESCO S.A.</t>
        </is>
      </c>
      <c r="B40" s="18" t="n">
        <v>4951238.73</v>
      </c>
      <c r="C40" s="19" t="inlineStr">
        <is>
          <t>GRUPO ECONÔMICO FAEL (GRUPO FAEL)</t>
        </is>
      </c>
      <c r="D40" s="20" t="inlineStr">
        <is>
          <t>NEW</t>
        </is>
      </c>
      <c r="E40" s="21" t="inlineStr"/>
      <c r="F40" s="20" t="inlineStr"/>
      <c r="G40" s="21" t="inlineStr"/>
      <c r="H40" s="20" t="inlineStr"/>
      <c r="I40" s="22" t="inlineStr">
        <is>
          <t>Marcela Martins</t>
        </is>
      </c>
      <c r="J40" s="22" t="inlineStr">
        <is>
          <t>Superintendente de Recuperação de Crédito - Canais e Operações</t>
        </is>
      </c>
      <c r="K40" s="22" t="inlineStr">
        <is>
          <t>(11) 3684-5122</t>
        </is>
      </c>
      <c r="L40" s="22" t="inlineStr"/>
      <c r="M40" s="22" t="inlineStr"/>
      <c r="N40" s="22" t="inlineStr"/>
      <c r="O40" s="22" t="inlineStr"/>
      <c r="P40" s="22" t="inlineStr">
        <is>
          <t>Luis S</t>
        </is>
      </c>
      <c r="Q40" s="22" t="inlineStr">
        <is>
          <t>DRC - Departamento de Recuperação de Crédito - Gerente de Reestruturação de Crédito</t>
        </is>
      </c>
      <c r="R40" s="22" t="inlineStr"/>
      <c r="S40" s="22" t="inlineStr">
        <is>
          <t>sl@bradesco.com.br</t>
        </is>
      </c>
      <c r="T40" s="22" t="inlineStr">
        <is>
          <t>DM: DM; no work email in Apollo for DM; BACKUP: backup</t>
        </is>
      </c>
      <c r="U40" s="24" t="n">
        <v>4951238.73</v>
      </c>
      <c r="V40" s="25" t="inlineStr">
        <is>
          <t>B</t>
        </is>
      </c>
      <c r="W40" s="26" t="inlineStr"/>
      <c r="X40" s="27" t="inlineStr"/>
      <c r="Y40" s="27" t="inlineStr"/>
      <c r="Z40" s="26">
        <f>IF(W40&lt;&gt;"",W40,IFERROR(VLOOKUP(V40,Assumptions!$A$8:$F$12,2,FALSE),0))*Assumptions!$B$5</f>
        <v/>
      </c>
      <c r="AA40" s="28">
        <f>IF(V40="A",MAX(1,IF(X40&lt;&gt;"",X40,IFERROR(VLOOKUP(V40,Assumptions!$A$8:$F$12,3,FALSE),3))+IF(Y40&lt;&gt;"",Y40,IFERROR(VLOOKUP(V40,Assumptions!$A$8:$F$12,4,FALSE),8))/2-MAX(0,IF(AS40="",0,YEAR(TODAY())-AS40)-IFERROR(VLOOKUP(V40,Assumptions!$A$8:$F$12,5,FALSE),1.5))),IFERROR(VLOOKUP(V40,Assumptions!$A$8:$F$12,5,FALSE),2.5)+IF(X40&lt;&gt;"",X40,IFERROR(VLOOKUP(V40,Assumptions!$A$8:$F$12,3,FALSE),3))+IF(Y40&lt;&gt;"",Y40,IFERROR(VLOOKUP(V40,Assumptions!$A$8:$F$12,4,FALSE),8))/2)</f>
        <v/>
      </c>
      <c r="AB40" s="24">
        <f>U40*Z40/(1+Assumptions!$B$3)^AA40</f>
        <v/>
      </c>
      <c r="AC40" s="27">
        <f>IF(U40=0,"",ROUND(AB40/U40*100,1))</f>
        <v/>
      </c>
      <c r="AD40" s="29">
        <f>AB40*Assumptions!$B$4</f>
        <v/>
      </c>
      <c r="AE40" s="27">
        <f>IF(U40=0,"",ROUND(AD40/U40*100,1))</f>
        <v/>
      </c>
      <c r="AF40" s="29">
        <f>AB40-AD40</f>
        <v/>
      </c>
      <c r="AG40" s="27">
        <f>IF(U40=0,"",ROUND((AB40-AD40)/U40*100,1))</f>
        <v/>
      </c>
      <c r="AH40" s="34" t="inlineStr">
        <is>
          <t>NO TOTALS — list prints none; check page</t>
        </is>
      </c>
      <c r="AI40" s="31" t="inlineStr">
        <is>
          <t>https://stenius.com.br/wp-content/uploads/2026/06/EDITAL-GRUPO-FAEL.pdf</t>
        </is>
      </c>
      <c r="AJ40" s="30" t="inlineStr">
        <is>
          <t>p1 r1</t>
        </is>
      </c>
      <c r="AK40" s="30" t="inlineStr">
        <is>
          <t>p1: R$ 4.951.238,73</t>
        </is>
      </c>
      <c r="AL40" s="30" t="inlineStr">
        <is>
          <t>AJ list (art. 7 §2)</t>
        </is>
      </c>
      <c r="AM40" s="30" t="inlineStr">
        <is>
          <t>2026-06-30</t>
        </is>
      </c>
      <c r="AN40" s="30" t="inlineStr">
        <is>
          <t>NONE FOUND</t>
        </is>
      </c>
      <c r="AO40" s="32" t="inlineStr">
        <is>
          <t>5264228-81.2025.8.09.0172</t>
        </is>
      </c>
      <c r="AP40" s="32" t="inlineStr">
        <is>
          <t>TJGO</t>
        </is>
      </c>
      <c r="AQ40" s="32" t="inlineStr">
        <is>
          <t>Recuperação judicial</t>
        </is>
      </c>
      <c r="AR40" s="32" t="inlineStr">
        <is>
          <t>DataJud: no closure/falência movement</t>
        </is>
      </c>
      <c r="AS40" s="32" t="n">
        <v>2025</v>
      </c>
      <c r="AT40" s="32" t="inlineStr">
        <is>
          <t>live case, no plan document yet</t>
        </is>
      </c>
      <c r="AU40" s="32" t="inlineStr"/>
      <c r="AV40" s="32" t="inlineStr">
        <is>
          <t>printed on the list (read twice)</t>
        </is>
      </c>
      <c r="AW40" s="32" t="inlineStr"/>
      <c r="AX40" s="32" t="inlineStr">
        <is>
          <t>OSASCO</t>
        </is>
      </c>
      <c r="AY40" s="32" t="inlineStr">
        <is>
          <t>SP</t>
        </is>
      </c>
      <c r="AZ40" s="32" t="inlineStr">
        <is>
          <t>Bancos múltiplos, com carteira comercial</t>
        </is>
      </c>
      <c r="BA40" s="32" t="inlineStr">
        <is>
          <t>não ME/EPP</t>
        </is>
      </c>
      <c r="BB40" s="33" t="n">
        <v>93770000000</v>
      </c>
      <c r="BC40" s="32" t="inlineStr">
        <is>
          <t>LARGE CORP</t>
        </is>
      </c>
      <c r="BD40" s="32" t="inlineStr">
        <is>
          <t>60746948</t>
        </is>
      </c>
      <c r="BE40" s="32" t="n">
        <v>1</v>
      </c>
      <c r="BF40" s="32" t="inlineStr">
        <is>
          <t>NAME_MISSING list prints no totals</t>
        </is>
      </c>
    </row>
    <row r="41">
      <c r="A41" s="17" t="inlineStr">
        <is>
          <t>Cooperativa de Crédito de Livre Admissão do Vale do São Patrício Ltda - Sicoob Coopercred</t>
        </is>
      </c>
      <c r="B41" s="18" t="n">
        <v>20802131.71</v>
      </c>
      <c r="C41" s="19" t="inlineStr">
        <is>
          <t>GRUPO 3E</t>
        </is>
      </c>
      <c r="D41" s="20" t="inlineStr">
        <is>
          <t>NEW</t>
        </is>
      </c>
      <c r="E41" s="21" t="inlineStr"/>
      <c r="F41" s="20" t="inlineStr"/>
      <c r="G41" s="21" t="inlineStr"/>
      <c r="H41" s="20" t="inlineStr"/>
      <c r="I41" s="22" t="inlineStr">
        <is>
          <t>Kamilla Ibrahim</t>
        </is>
      </c>
      <c r="J41" s="22" t="inlineStr">
        <is>
          <t>Especialista em Crédito</t>
        </is>
      </c>
      <c r="K41" s="22" t="inlineStr"/>
      <c r="L41" s="22" t="inlineStr"/>
      <c r="M41" s="22" t="inlineStr"/>
      <c r="N41" s="22" t="inlineStr"/>
      <c r="O41" s="22" t="inlineStr"/>
      <c r="P41" s="22" t="inlineStr">
        <is>
          <t>Michelle Melo</t>
        </is>
      </c>
      <c r="Q41" s="22" t="inlineStr">
        <is>
          <t>Legal Advisor</t>
        </is>
      </c>
      <c r="R41" s="22" t="inlineStr"/>
      <c r="S41" s="22" t="inlineStr"/>
      <c r="T41" s="22" t="inlineStr">
        <is>
          <t>DM: DM; no work email in Apollo for DM; BACKUP: backup; NO ROUTE IN: no phone or email on file</t>
        </is>
      </c>
      <c r="U41" s="24" t="n">
        <v>20802131.71</v>
      </c>
      <c r="V41" s="25" t="inlineStr">
        <is>
          <t>B</t>
        </is>
      </c>
      <c r="W41" s="26" t="n">
        <v>0.12</v>
      </c>
      <c r="X41" s="27" t="n">
        <v>2</v>
      </c>
      <c r="Y41" s="27" t="n">
        <v>13</v>
      </c>
      <c r="Z41" s="26">
        <f>IF(W41&lt;&gt;"",W41,IFERROR(VLOOKUP(V41,Assumptions!$A$8:$F$12,2,FALSE),0))*Assumptions!$B$5</f>
        <v/>
      </c>
      <c r="AA41" s="28">
        <f>IF(V41="A",MAX(1,IF(X41&lt;&gt;"",X41,IFERROR(VLOOKUP(V41,Assumptions!$A$8:$F$12,3,FALSE),3))+IF(Y41&lt;&gt;"",Y41,IFERROR(VLOOKUP(V41,Assumptions!$A$8:$F$12,4,FALSE),8))/2-MAX(0,IF(AS41="",0,YEAR(TODAY())-AS41)-IFERROR(VLOOKUP(V41,Assumptions!$A$8:$F$12,5,FALSE),1.5))),IFERROR(VLOOKUP(V41,Assumptions!$A$8:$F$12,5,FALSE),2.5)+IF(X41&lt;&gt;"",X41,IFERROR(VLOOKUP(V41,Assumptions!$A$8:$F$12,3,FALSE),3))+IF(Y41&lt;&gt;"",Y41,IFERROR(VLOOKUP(V41,Assumptions!$A$8:$F$12,4,FALSE),8))/2)</f>
        <v/>
      </c>
      <c r="AB41" s="24">
        <f>U41*Z41/(1+Assumptions!$B$3)^AA41</f>
        <v/>
      </c>
      <c r="AC41" s="27">
        <f>IF(U41=0,"",ROUND(AB41/U41*100,1))</f>
        <v/>
      </c>
      <c r="AD41" s="29">
        <f>AB41*Assumptions!$B$4</f>
        <v/>
      </c>
      <c r="AE41" s="27">
        <f>IF(U41=0,"",ROUND(AD41/U41*100,1))</f>
        <v/>
      </c>
      <c r="AF41" s="29">
        <f>AB41-AD41</f>
        <v/>
      </c>
      <c r="AG41" s="27">
        <f>IF(U41=0,"",ROUND((AB41-AD41)/U41*100,1))</f>
        <v/>
      </c>
      <c r="AH41" s="34" t="inlineStr">
        <is>
          <t>NO TOTALS — list prints none; check page</t>
        </is>
      </c>
      <c r="AI41" s="31" t="inlineStr">
        <is>
          <t>https://stenius.com.br/wp-content/uploads/2026/06/EDITAL-GRUPO-3E.pdf</t>
        </is>
      </c>
      <c r="AJ41" s="30" t="inlineStr">
        <is>
          <t>p12 r9</t>
        </is>
      </c>
      <c r="AK41" s="30" t="inlineStr">
        <is>
          <t>p12: R$ 20.802.131,71</t>
        </is>
      </c>
      <c r="AL41" s="30" t="inlineStr">
        <is>
          <t>Debtor list (art. 51)</t>
        </is>
      </c>
      <c r="AM41" s="30" t="inlineStr">
        <is>
          <t>2026-06-22</t>
        </is>
      </c>
      <c r="AN41" s="30" t="inlineStr">
        <is>
          <t>PLAN FILED (art. 53), not granted</t>
        </is>
      </c>
      <c r="AO41" s="32" t="inlineStr">
        <is>
          <t>5341375-33.2026.8.09.0049</t>
        </is>
      </c>
      <c r="AP41" s="32" t="inlineStr">
        <is>
          <t>TJGO</t>
        </is>
      </c>
      <c r="AQ41" s="32" t="inlineStr">
        <is>
          <t>Recuperação judicial</t>
        </is>
      </c>
      <c r="AR41" s="32" t="inlineStr">
        <is>
          <t>DataJud: no closure/falência movement</t>
        </is>
      </c>
      <c r="AS41" s="32" t="n">
        <v>2026</v>
      </c>
      <c r="AT41" s="32" t="inlineStr">
        <is>
          <t>plan filed (art. 53), not yet granted</t>
        </is>
      </c>
      <c r="AU41" s="32" t="inlineStr"/>
      <c r="AV41" s="32" t="inlineStr">
        <is>
          <t>printed on the list (read twice)</t>
        </is>
      </c>
      <c r="AW41" s="32" t="inlineStr">
        <is>
          <t>Plano de Recuperação Judicial Grupo 3E v2.0 (Métis), mov. 321, pp.24-25</t>
        </is>
      </c>
      <c r="AX41" s="32" t="inlineStr"/>
      <c r="AY41" s="32" t="inlineStr"/>
      <c r="AZ41" s="32" t="inlineStr"/>
      <c r="BA41" s="32" t="inlineStr"/>
      <c r="BB41" s="33" t="inlineStr"/>
      <c r="BC41" s="32" t="inlineStr">
        <is>
          <t>UNKNOWN</t>
        </is>
      </c>
      <c r="BD41" s="32" t="inlineStr">
        <is>
          <t>00968602</t>
        </is>
      </c>
      <c r="BE41" s="32" t="n">
        <v>1</v>
      </c>
      <c r="BF41" s="32" t="inlineStr">
        <is>
          <t>financial by name list prints no totals no RFB record no route in</t>
        </is>
      </c>
    </row>
    <row r="42">
      <c r="A42" s="17" t="inlineStr">
        <is>
          <t>BANCO SAFRA S A</t>
        </is>
      </c>
      <c r="B42" s="18" t="n">
        <v>4717582.89</v>
      </c>
      <c r="C42" s="19" t="inlineStr">
        <is>
          <t>GRUPO CATTAN</t>
        </is>
      </c>
      <c r="D42" s="20" t="inlineStr">
        <is>
          <t>NEW</t>
        </is>
      </c>
      <c r="E42" s="21" t="inlineStr"/>
      <c r="F42" s="20" t="inlineStr"/>
      <c r="G42" s="21" t="inlineStr"/>
      <c r="H42" s="20" t="inlineStr"/>
      <c r="I42" s="22" t="inlineStr">
        <is>
          <t>Vanessa Biotti</t>
        </is>
      </c>
      <c r="J42" s="22" t="inlineStr">
        <is>
          <t>Gerente de Recuperação de Crédito</t>
        </is>
      </c>
      <c r="K42" s="22" t="inlineStr">
        <is>
          <t>(11) 3175-7575</t>
        </is>
      </c>
      <c r="L42" s="22" t="inlineStr"/>
      <c r="M42" s="22" t="inlineStr"/>
      <c r="N42" s="22" t="inlineStr">
        <is>
          <t>vanessa.biotti@safra.com.br</t>
        </is>
      </c>
      <c r="O42" s="22" t="inlineStr">
        <is>
          <t>verified</t>
        </is>
      </c>
      <c r="P42" s="22" t="inlineStr">
        <is>
          <t>Rodrigo Anjos</t>
        </is>
      </c>
      <c r="Q42" s="22" t="inlineStr">
        <is>
          <t>Advogado Sênior - Jurídico Contencioso - Recuperação de Crédito - NPL</t>
        </is>
      </c>
      <c r="R42" s="22" t="inlineStr"/>
      <c r="S42" s="22" t="inlineStr">
        <is>
          <t>rodrigo.anjos@safra.com.br</t>
        </is>
      </c>
      <c r="T42" s="22" t="inlineStr">
        <is>
          <t>DM: DM verified email; BACKUP: backup verified email (NPL legal)</t>
        </is>
      </c>
      <c r="U42" s="24" t="n">
        <v>4717582.89</v>
      </c>
      <c r="V42" s="25" t="inlineStr">
        <is>
          <t>B</t>
        </is>
      </c>
      <c r="W42" s="26" t="inlineStr"/>
      <c r="X42" s="27" t="inlineStr"/>
      <c r="Y42" s="27" t="inlineStr"/>
      <c r="Z42" s="26">
        <f>IF(W42&lt;&gt;"",W42,IFERROR(VLOOKUP(V42,Assumptions!$A$8:$F$12,2,FALSE),0))*Assumptions!$B$5</f>
        <v/>
      </c>
      <c r="AA42" s="28">
        <f>IF(V42="A",MAX(1,IF(X42&lt;&gt;"",X42,IFERROR(VLOOKUP(V42,Assumptions!$A$8:$F$12,3,FALSE),3))+IF(Y42&lt;&gt;"",Y42,IFERROR(VLOOKUP(V42,Assumptions!$A$8:$F$12,4,FALSE),8))/2-MAX(0,IF(AS42="",0,YEAR(TODAY())-AS42)-IFERROR(VLOOKUP(V42,Assumptions!$A$8:$F$12,5,FALSE),1.5))),IFERROR(VLOOKUP(V42,Assumptions!$A$8:$F$12,5,FALSE),2.5)+IF(X42&lt;&gt;"",X42,IFERROR(VLOOKUP(V42,Assumptions!$A$8:$F$12,3,FALSE),3))+IF(Y42&lt;&gt;"",Y42,IFERROR(VLOOKUP(V42,Assumptions!$A$8:$F$12,4,FALSE),8))/2)</f>
        <v/>
      </c>
      <c r="AB42" s="24">
        <f>U42*Z42/(1+Assumptions!$B$3)^AA42</f>
        <v/>
      </c>
      <c r="AC42" s="27">
        <f>IF(U42=0,"",ROUND(AB42/U42*100,1))</f>
        <v/>
      </c>
      <c r="AD42" s="29">
        <f>AB42*Assumptions!$B$4</f>
        <v/>
      </c>
      <c r="AE42" s="27">
        <f>IF(U42=0,"",ROUND(AD42/U42*100,1))</f>
        <v/>
      </c>
      <c r="AF42" s="29">
        <f>AB42-AD42</f>
        <v/>
      </c>
      <c r="AG42" s="27">
        <f>IF(U42=0,"",ROUND((AB42-AD42)/U42*100,1))</f>
        <v/>
      </c>
      <c r="AH42" s="35" t="inlineStr">
        <is>
          <t>PARTIAL — class III reconciled, other classes not</t>
        </is>
      </c>
      <c r="AI42" s="31" t="inlineStr">
        <is>
          <t>https://lrflideres.com.br/wp-content/plugins/download-attachments/includes/download.php?id=4023</t>
        </is>
      </c>
      <c r="AJ42" s="30" t="inlineStr">
        <is>
          <t>p7 r79</t>
        </is>
      </c>
      <c r="AK42" s="30" t="inlineStr">
        <is>
          <t>p7: R$ 4.717.582,89</t>
        </is>
      </c>
      <c r="AL42" s="30" t="inlineStr">
        <is>
          <t>Debtor list (art. 51)</t>
        </is>
      </c>
      <c r="AM42" s="30" t="inlineStr"/>
      <c r="AN42" s="30" t="inlineStr">
        <is>
          <t>NONE FOUND</t>
        </is>
      </c>
      <c r="AO42" s="32" t="inlineStr">
        <is>
          <t>0002484-82.2022.8.17.2001</t>
        </is>
      </c>
      <c r="AP42" s="32" t="inlineStr">
        <is>
          <t>TJPE</t>
        </is>
      </c>
      <c r="AQ42" s="32" t="inlineStr">
        <is>
          <t>Recuperação judicial</t>
        </is>
      </c>
      <c r="AR42" s="32" t="inlineStr">
        <is>
          <t>DataJud: no closure/falência movement</t>
        </is>
      </c>
      <c r="AS42" s="32" t="n">
        <v>2022</v>
      </c>
      <c r="AT42" s="32" t="inlineStr">
        <is>
          <t>live case, no plan document yet</t>
        </is>
      </c>
      <c r="AU42" s="32" t="inlineStr"/>
      <c r="AV42" s="32" t="inlineStr">
        <is>
          <t>printed on the list (read twice)</t>
        </is>
      </c>
      <c r="AW42" s="32" t="inlineStr"/>
      <c r="AX42" s="32" t="inlineStr">
        <is>
          <t>SAO PAULO</t>
        </is>
      </c>
      <c r="AY42" s="32" t="inlineStr">
        <is>
          <t>SP</t>
        </is>
      </c>
      <c r="AZ42" s="32" t="inlineStr">
        <is>
          <t>Bancos múltiplos, com carteira comercial</t>
        </is>
      </c>
      <c r="BA42" s="32" t="inlineStr">
        <is>
          <t>não ME/EPP</t>
        </is>
      </c>
      <c r="BB42" s="33" t="n">
        <v>13924903000</v>
      </c>
      <c r="BC42" s="32" t="inlineStr">
        <is>
          <t>LARGE CORP</t>
        </is>
      </c>
      <c r="BD42" s="32" t="inlineStr">
        <is>
          <t>58160789</t>
        </is>
      </c>
      <c r="BE42" s="32" t="n">
        <v>1</v>
      </c>
      <c r="BF42" s="32" t="inlineStr">
        <is>
          <t>financial by name class III reconciled (doc partial)</t>
        </is>
      </c>
    </row>
    <row r="43">
      <c r="A43" s="17" t="inlineStr">
        <is>
          <t>ITAU UNIBANCO S.A.</t>
        </is>
      </c>
      <c r="B43" s="18" t="n">
        <v>4610725.19</v>
      </c>
      <c r="C43" s="19" t="inlineStr">
        <is>
          <t>GRUPO ADLIM</t>
        </is>
      </c>
      <c r="D43" s="20" t="inlineStr">
        <is>
          <t>NEW</t>
        </is>
      </c>
      <c r="E43" s="21" t="inlineStr"/>
      <c r="F43" s="20" t="inlineStr"/>
      <c r="G43" s="21" t="inlineStr"/>
      <c r="H43" s="20" t="inlineStr"/>
      <c r="I43" s="22" t="inlineStr">
        <is>
          <t>Murilo Gigliucci</t>
        </is>
      </c>
      <c r="J43" s="22" t="inlineStr">
        <is>
          <t>Superintendente de Reestruturação de Crédito</t>
        </is>
      </c>
      <c r="K43" s="22" t="inlineStr">
        <is>
          <t>(11) 3003-4828</t>
        </is>
      </c>
      <c r="L43" s="22" t="inlineStr"/>
      <c r="M43" s="22" t="inlineStr"/>
      <c r="N43" s="22" t="inlineStr">
        <is>
          <t>murilo.gigliucci@itau-unibanco.com.br</t>
        </is>
      </c>
      <c r="O43" s="22" t="inlineStr">
        <is>
          <t>verified</t>
        </is>
      </c>
      <c r="P43" s="22" t="inlineStr">
        <is>
          <t>Pedro Ornellas</t>
        </is>
      </c>
      <c r="Q43" s="22" t="inlineStr">
        <is>
          <t>Superintendente de Recuperação de Crédito</t>
        </is>
      </c>
      <c r="R43" s="22" t="inlineStr"/>
      <c r="S43" s="22" t="inlineStr">
        <is>
          <t>pedro.ornellas-geronimo@itau-unibanco.com.br</t>
        </is>
      </c>
      <c r="T43" s="22" t="inlineStr">
        <is>
          <t>DM: DM verified email; BACKUP: backup verified email</t>
        </is>
      </c>
      <c r="U43" s="24" t="n">
        <v>4610725.19</v>
      </c>
      <c r="V43" s="25" t="inlineStr">
        <is>
          <t>B</t>
        </is>
      </c>
      <c r="W43" s="26" t="inlineStr"/>
      <c r="X43" s="27" t="inlineStr"/>
      <c r="Y43" s="27" t="inlineStr"/>
      <c r="Z43" s="26">
        <f>IF(W43&lt;&gt;"",W43,IFERROR(VLOOKUP(V43,Assumptions!$A$8:$F$12,2,FALSE),0))*Assumptions!$B$5</f>
        <v/>
      </c>
      <c r="AA43" s="28">
        <f>IF(V43="A",MAX(1,IF(X43&lt;&gt;"",X43,IFERROR(VLOOKUP(V43,Assumptions!$A$8:$F$12,3,FALSE),3))+IF(Y43&lt;&gt;"",Y43,IFERROR(VLOOKUP(V43,Assumptions!$A$8:$F$12,4,FALSE),8))/2-MAX(0,IF(AS43="",0,YEAR(TODAY())-AS43)-IFERROR(VLOOKUP(V43,Assumptions!$A$8:$F$12,5,FALSE),1.5))),IFERROR(VLOOKUP(V43,Assumptions!$A$8:$F$12,5,FALSE),2.5)+IF(X43&lt;&gt;"",X43,IFERROR(VLOOKUP(V43,Assumptions!$A$8:$F$12,3,FALSE),3))+IF(Y43&lt;&gt;"",Y43,IFERROR(VLOOKUP(V43,Assumptions!$A$8:$F$12,4,FALSE),8))/2)</f>
        <v/>
      </c>
      <c r="AB43" s="24">
        <f>U43*Z43/(1+Assumptions!$B$3)^AA43</f>
        <v/>
      </c>
      <c r="AC43" s="27">
        <f>IF(U43=0,"",ROUND(AB43/U43*100,1))</f>
        <v/>
      </c>
      <c r="AD43" s="29">
        <f>AB43*Assumptions!$B$4</f>
        <v/>
      </c>
      <c r="AE43" s="27">
        <f>IF(U43=0,"",ROUND(AD43/U43*100,1))</f>
        <v/>
      </c>
      <c r="AF43" s="29">
        <f>AB43-AD43</f>
        <v/>
      </c>
      <c r="AG43" s="27">
        <f>IF(U43=0,"",ROUND((AB43-AD43)/U43*100,1))</f>
        <v/>
      </c>
      <c r="AH43" s="35" t="inlineStr">
        <is>
          <t>PARTIAL — class III reconciled, other classes not</t>
        </is>
      </c>
      <c r="AI43" s="31" t="inlineStr">
        <is>
          <t>https://lrflideres.com.br/wp-content/plugins/download-attachments/includes/download.php?id=6051</t>
        </is>
      </c>
      <c r="AJ43" s="30" t="inlineStr">
        <is>
          <t>p67 r21</t>
        </is>
      </c>
      <c r="AK43" s="30" t="inlineStr">
        <is>
          <t>p67: R$ 4610725,19</t>
        </is>
      </c>
      <c r="AL43" s="30" t="inlineStr">
        <is>
          <t>AJ list (art. 7 §2)</t>
        </is>
      </c>
      <c r="AM43" s="30" t="inlineStr">
        <is>
          <t>2024-08-12</t>
        </is>
      </c>
      <c r="AN43" s="30" t="inlineStr">
        <is>
          <t>NONE FOUND</t>
        </is>
      </c>
      <c r="AO43" s="32" t="inlineStr">
        <is>
          <t>0019761-43.2024.8.17.2001</t>
        </is>
      </c>
      <c r="AP43" s="32" t="inlineStr">
        <is>
          <t>TJPE</t>
        </is>
      </c>
      <c r="AQ43" s="32" t="inlineStr">
        <is>
          <t>Recuperação judicial</t>
        </is>
      </c>
      <c r="AR43" s="32" t="inlineStr">
        <is>
          <t>DataJud: no closure/falência movement</t>
        </is>
      </c>
      <c r="AS43" s="32" t="n">
        <v>2024</v>
      </c>
      <c r="AT43" s="32" t="inlineStr">
        <is>
          <t>live case, no plan document yet</t>
        </is>
      </c>
      <c r="AU43" s="32" t="inlineStr"/>
      <c r="AV43" s="32" t="inlineStr">
        <is>
          <t>printed on the list (read twice)</t>
        </is>
      </c>
      <c r="AW43" s="32" t="inlineStr"/>
      <c r="AX43" s="32" t="inlineStr">
        <is>
          <t>SAO PAULO</t>
        </is>
      </c>
      <c r="AY43" s="32" t="inlineStr">
        <is>
          <t>SP</t>
        </is>
      </c>
      <c r="AZ43" s="32" t="inlineStr">
        <is>
          <t>Bancos comerciais</t>
        </is>
      </c>
      <c r="BA43" s="32" t="inlineStr">
        <is>
          <t>não ME/EPP</t>
        </is>
      </c>
      <c r="BB43" s="33" t="n">
        <v>76200000000</v>
      </c>
      <c r="BC43" s="32" t="inlineStr">
        <is>
          <t>LARGE CORP</t>
        </is>
      </c>
      <c r="BD43" s="32" t="inlineStr">
        <is>
          <t>60701190</t>
        </is>
      </c>
      <c r="BE43" s="32" t="n">
        <v>1</v>
      </c>
      <c r="BF43" s="32" t="inlineStr">
        <is>
          <t>financial by name class III reconciled (doc partial)</t>
        </is>
      </c>
    </row>
    <row r="44">
      <c r="A44" s="17" t="inlineStr">
        <is>
          <t>ITAU UNIBANCO S.A.</t>
        </is>
      </c>
      <c r="B44" s="18" t="n">
        <v>4228442.28</v>
      </c>
      <c r="C44" s="19" t="inlineStr">
        <is>
          <t>REAL DISTRIBUIDORA ÚNICA RIO COMÉRCIO DE REFRIGERAÇÃO LTDA.</t>
        </is>
      </c>
      <c r="D44" s="20" t="inlineStr">
        <is>
          <t>NEW</t>
        </is>
      </c>
      <c r="E44" s="21" t="inlineStr"/>
      <c r="F44" s="20" t="inlineStr"/>
      <c r="G44" s="21" t="inlineStr"/>
      <c r="H44" s="20" t="inlineStr"/>
      <c r="I44" s="22" t="inlineStr">
        <is>
          <t>Murilo Gigliucci</t>
        </is>
      </c>
      <c r="J44" s="22" t="inlineStr">
        <is>
          <t>Superintendente de Reestruturação de Crédito</t>
        </is>
      </c>
      <c r="K44" s="22" t="inlineStr">
        <is>
          <t>(11) 3003-4828</t>
        </is>
      </c>
      <c r="L44" s="22" t="inlineStr"/>
      <c r="M44" s="22" t="inlineStr"/>
      <c r="N44" s="22" t="inlineStr">
        <is>
          <t>murilo.gigliucci@itau-unibanco.com.br</t>
        </is>
      </c>
      <c r="O44" s="22" t="inlineStr">
        <is>
          <t>verified</t>
        </is>
      </c>
      <c r="P44" s="22" t="inlineStr">
        <is>
          <t>Pedro Ornellas</t>
        </is>
      </c>
      <c r="Q44" s="22" t="inlineStr">
        <is>
          <t>Superintendente de Recuperação de Crédito</t>
        </is>
      </c>
      <c r="R44" s="22" t="inlineStr"/>
      <c r="S44" s="22" t="inlineStr">
        <is>
          <t>pedro.ornellas-geronimo@itau-unibanco.com.br</t>
        </is>
      </c>
      <c r="T44" s="22" t="inlineStr">
        <is>
          <t>DM: DM verified email; BACKUP: backup verified email</t>
        </is>
      </c>
      <c r="U44" s="24" t="n">
        <v>4228442.28</v>
      </c>
      <c r="V44" s="25" t="inlineStr">
        <is>
          <t>B</t>
        </is>
      </c>
      <c r="W44" s="26" t="inlineStr"/>
      <c r="X44" s="27" t="inlineStr"/>
      <c r="Y44" s="27" t="inlineStr"/>
      <c r="Z44" s="26">
        <f>IF(W44&lt;&gt;"",W44,IFERROR(VLOOKUP(V44,Assumptions!$A$8:$F$12,2,FALSE),0))*Assumptions!$B$5</f>
        <v/>
      </c>
      <c r="AA44" s="28">
        <f>IF(V44="A",MAX(1,IF(X44&lt;&gt;"",X44,IFERROR(VLOOKUP(V44,Assumptions!$A$8:$F$12,3,FALSE),3))+IF(Y44&lt;&gt;"",Y44,IFERROR(VLOOKUP(V44,Assumptions!$A$8:$F$12,4,FALSE),8))/2-MAX(0,IF(AS44="",0,YEAR(TODAY())-AS44)-IFERROR(VLOOKUP(V44,Assumptions!$A$8:$F$12,5,FALSE),1.5))),IFERROR(VLOOKUP(V44,Assumptions!$A$8:$F$12,5,FALSE),2.5)+IF(X44&lt;&gt;"",X44,IFERROR(VLOOKUP(V44,Assumptions!$A$8:$F$12,3,FALSE),3))+IF(Y44&lt;&gt;"",Y44,IFERROR(VLOOKUP(V44,Assumptions!$A$8:$F$12,4,FALSE),8))/2)</f>
        <v/>
      </c>
      <c r="AB44" s="24">
        <f>U44*Z44/(1+Assumptions!$B$3)^AA44</f>
        <v/>
      </c>
      <c r="AC44" s="27">
        <f>IF(U44=0,"",ROUND(AB44/U44*100,1))</f>
        <v/>
      </c>
      <c r="AD44" s="29">
        <f>AB44*Assumptions!$B$4</f>
        <v/>
      </c>
      <c r="AE44" s="27">
        <f>IF(U44=0,"",ROUND(AD44/U44*100,1))</f>
        <v/>
      </c>
      <c r="AF44" s="29">
        <f>AB44-AD44</f>
        <v/>
      </c>
      <c r="AG44" s="27">
        <f>IF(U44=0,"",ROUND((AB44-AD44)/U44*100,1))</f>
        <v/>
      </c>
      <c r="AH44" s="30" t="inlineStr">
        <is>
          <t>OK — totals reconciled</t>
        </is>
      </c>
      <c r="AI44" s="31" t="inlineStr">
        <is>
          <t>https://inova-aj.com.br/wp-content/uploads/2026/08/1a-Relacao-de-Credores-Real.pdf</t>
        </is>
      </c>
      <c r="AJ44" s="30" t="inlineStr">
        <is>
          <t>p1 r15</t>
        </is>
      </c>
      <c r="AK44" s="30" t="inlineStr">
        <is>
          <t>p1: R$ 4.228.442,28</t>
        </is>
      </c>
      <c r="AL44" s="30" t="inlineStr">
        <is>
          <t>AJ list (art. 7 §2)</t>
        </is>
      </c>
      <c r="AM44" s="30" t="inlineStr">
        <is>
          <t>2023-06-05</t>
        </is>
      </c>
      <c r="AN44" s="30" t="inlineStr">
        <is>
          <t>NONE FOUND</t>
        </is>
      </c>
      <c r="AO44" s="32" t="inlineStr">
        <is>
          <t>0873061-47.2023.8.19.0001</t>
        </is>
      </c>
      <c r="AP44" s="32" t="inlineStr">
        <is>
          <t>TJRJ</t>
        </is>
      </c>
      <c r="AQ44" s="32" t="inlineStr">
        <is>
          <t>Recuperação judicial</t>
        </is>
      </c>
      <c r="AR44" s="32" t="inlineStr">
        <is>
          <t>not in DataJud</t>
        </is>
      </c>
      <c r="AS44" s="32" t="n">
        <v>2023</v>
      </c>
      <c r="AT44" s="32" t="inlineStr">
        <is>
          <t>live case, no plan document yet; case no. from the portal record, not printed on the list</t>
        </is>
      </c>
      <c r="AU44" s="32" t="inlineStr"/>
      <c r="AV44" s="32" t="inlineStr">
        <is>
          <t>printed on the list (read twice)</t>
        </is>
      </c>
      <c r="AW44" s="32" t="inlineStr"/>
      <c r="AX44" s="32" t="inlineStr">
        <is>
          <t>SAO PAULO</t>
        </is>
      </c>
      <c r="AY44" s="32" t="inlineStr">
        <is>
          <t>SP</t>
        </is>
      </c>
      <c r="AZ44" s="32" t="inlineStr">
        <is>
          <t>Bancos comerciais</t>
        </is>
      </c>
      <c r="BA44" s="32" t="inlineStr">
        <is>
          <t>não ME/EPP</t>
        </is>
      </c>
      <c r="BB44" s="33" t="n">
        <v>76200000000</v>
      </c>
      <c r="BC44" s="32" t="inlineStr">
        <is>
          <t>LARGE CORP</t>
        </is>
      </c>
      <c r="BD44" s="32" t="inlineStr">
        <is>
          <t>60701190</t>
        </is>
      </c>
      <c r="BE44" s="32" t="n">
        <v>1</v>
      </c>
      <c r="BF44" s="32" t="inlineStr">
        <is>
          <t>ALT_VALUE:R$3.074.534,42</t>
        </is>
      </c>
    </row>
    <row r="45">
      <c r="A45" s="17" t="inlineStr">
        <is>
          <t>Banco Guanabara S.A.</t>
        </is>
      </c>
      <c r="B45" s="18" t="n">
        <v>4227912.66</v>
      </c>
      <c r="C45" s="19" t="inlineStr">
        <is>
          <t>GRUPO DP4</t>
        </is>
      </c>
      <c r="D45" s="20" t="inlineStr">
        <is>
          <t>NEW</t>
        </is>
      </c>
      <c r="E45" s="21" t="inlineStr"/>
      <c r="F45" s="20" t="inlineStr"/>
      <c r="G45" s="21" t="inlineStr"/>
      <c r="H45" s="20" t="inlineStr"/>
      <c r="I45" s="22" t="inlineStr">
        <is>
          <t>Bianca Marinho</t>
        </is>
      </c>
      <c r="J45" s="22" t="inlineStr">
        <is>
          <t>Senior Lawyer</t>
        </is>
      </c>
      <c r="K45" s="22" t="inlineStr"/>
      <c r="L45" s="22" t="inlineStr"/>
      <c r="M45" s="22" t="inlineStr"/>
      <c r="N45" s="22" t="inlineStr">
        <is>
          <t>bianca.marinho@bancoguanabara.com.br</t>
        </is>
      </c>
      <c r="O45" s="22" t="inlineStr">
        <is>
          <t>verified</t>
        </is>
      </c>
      <c r="P45" s="22" t="inlineStr">
        <is>
          <t>Andressa Nogueira</t>
        </is>
      </c>
      <c r="Q45" s="22" t="inlineStr">
        <is>
          <t>Gerente de Contratos e Controle de Garantias</t>
        </is>
      </c>
      <c r="R45" s="22" t="inlineStr"/>
      <c r="S45" s="22" t="inlineStr">
        <is>
          <t>andressa.nogueira@bancoguanabara.com.br</t>
        </is>
      </c>
      <c r="T45" s="22" t="inlineStr">
        <is>
          <t>DM is not a finance role (Senior Lawyer); DM: DM verified email (contratos bancários); BACKUP: backup verified email</t>
        </is>
      </c>
      <c r="U45" s="24" t="n">
        <v>4227912.66</v>
      </c>
      <c r="V45" s="25" t="inlineStr">
        <is>
          <t>B</t>
        </is>
      </c>
      <c r="W45" s="26" t="inlineStr"/>
      <c r="X45" s="27" t="inlineStr"/>
      <c r="Y45" s="27" t="inlineStr"/>
      <c r="Z45" s="26">
        <f>IF(W45&lt;&gt;"",W45,IFERROR(VLOOKUP(V45,Assumptions!$A$8:$F$12,2,FALSE),0))*Assumptions!$B$5</f>
        <v/>
      </c>
      <c r="AA45" s="28">
        <f>IF(V45="A",MAX(1,IF(X45&lt;&gt;"",X45,IFERROR(VLOOKUP(V45,Assumptions!$A$8:$F$12,3,FALSE),3))+IF(Y45&lt;&gt;"",Y45,IFERROR(VLOOKUP(V45,Assumptions!$A$8:$F$12,4,FALSE),8))/2-MAX(0,IF(AS45="",0,YEAR(TODAY())-AS45)-IFERROR(VLOOKUP(V45,Assumptions!$A$8:$F$12,5,FALSE),1.5))),IFERROR(VLOOKUP(V45,Assumptions!$A$8:$F$12,5,FALSE),2.5)+IF(X45&lt;&gt;"",X45,IFERROR(VLOOKUP(V45,Assumptions!$A$8:$F$12,3,FALSE),3))+IF(Y45&lt;&gt;"",Y45,IFERROR(VLOOKUP(V45,Assumptions!$A$8:$F$12,4,FALSE),8))/2)</f>
        <v/>
      </c>
      <c r="AB45" s="24">
        <f>U45*Z45/(1+Assumptions!$B$3)^AA45</f>
        <v/>
      </c>
      <c r="AC45" s="27">
        <f>IF(U45=0,"",ROUND(AB45/U45*100,1))</f>
        <v/>
      </c>
      <c r="AD45" s="29">
        <f>AB45*Assumptions!$B$4</f>
        <v/>
      </c>
      <c r="AE45" s="27">
        <f>IF(U45=0,"",ROUND(AD45/U45*100,1))</f>
        <v/>
      </c>
      <c r="AF45" s="29">
        <f>AB45-AD45</f>
        <v/>
      </c>
      <c r="AG45" s="27">
        <f>IF(U45=0,"",ROUND((AB45-AD45)/U45*100,1))</f>
        <v/>
      </c>
      <c r="AH45" s="35" t="inlineStr">
        <is>
          <t>PARTIAL — class III reconciled, other classes not</t>
        </is>
      </c>
      <c r="AI45" s="31" t="inlineStr">
        <is>
          <t>https://marquesadmjudicial.com.br/sgc/download.php?file=files/processo_documento/processo_documento15293208032024_1_.pdf&amp;nome=Relação Nominal de Credores da AJ-Sintética</t>
        </is>
      </c>
      <c r="AJ45" s="30" t="inlineStr">
        <is>
          <t>p21 r2</t>
        </is>
      </c>
      <c r="AK45" s="30" t="inlineStr">
        <is>
          <t>p21: R$ 4.227.912,66</t>
        </is>
      </c>
      <c r="AL45" s="30" t="inlineStr">
        <is>
          <t>AJ list (art. 7 §2)</t>
        </is>
      </c>
      <c r="AM45" s="30" t="inlineStr">
        <is>
          <t>2023-03-02</t>
        </is>
      </c>
      <c r="AN45" s="30" t="inlineStr">
        <is>
          <t>NONE FOUND</t>
        </is>
      </c>
      <c r="AO45" s="32" t="inlineStr">
        <is>
          <t>0005010-98.2023.8.16.0001</t>
        </is>
      </c>
      <c r="AP45" s="32" t="inlineStr">
        <is>
          <t>TJPR</t>
        </is>
      </c>
      <c r="AQ45" s="32" t="inlineStr">
        <is>
          <t>Recuperação judicial</t>
        </is>
      </c>
      <c r="AR45" s="32" t="inlineStr">
        <is>
          <t>DataJud: no closure/falência movement</t>
        </is>
      </c>
      <c r="AS45" s="32" t="n">
        <v>2023</v>
      </c>
      <c r="AT45" s="32" t="inlineStr">
        <is>
          <t>live case, no plan document yet</t>
        </is>
      </c>
      <c r="AU45" s="32" t="inlineStr"/>
      <c r="AV45" s="32" t="inlineStr">
        <is>
          <t>printed on the list (read twice)</t>
        </is>
      </c>
      <c r="AW45" s="32" t="inlineStr"/>
      <c r="AX45" s="32" t="inlineStr"/>
      <c r="AY45" s="32" t="inlineStr"/>
      <c r="AZ45" s="32" t="inlineStr"/>
      <c r="BA45" s="32" t="inlineStr"/>
      <c r="BB45" s="33" t="inlineStr"/>
      <c r="BC45" s="32" t="inlineStr">
        <is>
          <t>UNKNOWN</t>
        </is>
      </c>
      <c r="BD45" s="32" t="inlineStr">
        <is>
          <t>31880826</t>
        </is>
      </c>
      <c r="BE45" s="32" t="n">
        <v>1</v>
      </c>
      <c r="BF45" s="32" t="inlineStr">
        <is>
          <t>financial by name class III reconciled (doc partial) no RFB record</t>
        </is>
      </c>
    </row>
    <row r="46">
      <c r="A46" s="17" t="inlineStr">
        <is>
          <t>BANCO SOFISA S.A.</t>
        </is>
      </c>
      <c r="B46" s="18" t="n">
        <v>4204523.67</v>
      </c>
      <c r="C46" s="19" t="inlineStr">
        <is>
          <t>REAL DISTRIBUIDORA ÚNICA RIO COMÉRCIO DE REFRIGERAÇÃO LTDA.</t>
        </is>
      </c>
      <c r="D46" s="20" t="inlineStr">
        <is>
          <t>NEW</t>
        </is>
      </c>
      <c r="E46" s="21" t="inlineStr"/>
      <c r="F46" s="20" t="inlineStr"/>
      <c r="G46" s="21" t="inlineStr"/>
      <c r="H46" s="20" t="inlineStr"/>
      <c r="I46" s="22" t="inlineStr">
        <is>
          <t>Tiago Hendo</t>
        </is>
      </c>
      <c r="J46" s="22" t="inlineStr">
        <is>
          <t>Gerente de Reestruturação de Crédito</t>
        </is>
      </c>
      <c r="K46" s="22" t="inlineStr">
        <is>
          <t>(11) 3176-5500</t>
        </is>
      </c>
      <c r="L46" s="22" t="inlineStr"/>
      <c r="M46" s="22" t="inlineStr"/>
      <c r="N46" s="22" t="inlineStr"/>
      <c r="O46" s="22" t="inlineStr"/>
      <c r="P46" s="22" t="inlineStr">
        <is>
          <t>Rafael Nurnberg</t>
        </is>
      </c>
      <c r="Q46" s="22" t="inlineStr">
        <is>
          <t>Superintendente Executivo de Crédito e Cobrança Varejo (PF e PJ)</t>
        </is>
      </c>
      <c r="R46" s="22" t="inlineStr"/>
      <c r="S46" s="22" t="inlineStr">
        <is>
          <t>rnurnberg@sofisa.com.br</t>
        </is>
      </c>
      <c r="T46" s="22" t="inlineStr">
        <is>
          <t>DM: DM email unavailable; no work email in Apollo for DM; BACKUP: backup verified email</t>
        </is>
      </c>
      <c r="U46" s="24" t="n">
        <v>4204523.67</v>
      </c>
      <c r="V46" s="25" t="inlineStr">
        <is>
          <t>B</t>
        </is>
      </c>
      <c r="W46" s="26" t="inlineStr"/>
      <c r="X46" s="27" t="inlineStr"/>
      <c r="Y46" s="27" t="inlineStr"/>
      <c r="Z46" s="26">
        <f>IF(W46&lt;&gt;"",W46,IFERROR(VLOOKUP(V46,Assumptions!$A$8:$F$12,2,FALSE),0))*Assumptions!$B$5</f>
        <v/>
      </c>
      <c r="AA46" s="28">
        <f>IF(V46="A",MAX(1,IF(X46&lt;&gt;"",X46,IFERROR(VLOOKUP(V46,Assumptions!$A$8:$F$12,3,FALSE),3))+IF(Y46&lt;&gt;"",Y46,IFERROR(VLOOKUP(V46,Assumptions!$A$8:$F$12,4,FALSE),8))/2-MAX(0,IF(AS46="",0,YEAR(TODAY())-AS46)-IFERROR(VLOOKUP(V46,Assumptions!$A$8:$F$12,5,FALSE),1.5))),IFERROR(VLOOKUP(V46,Assumptions!$A$8:$F$12,5,FALSE),2.5)+IF(X46&lt;&gt;"",X46,IFERROR(VLOOKUP(V46,Assumptions!$A$8:$F$12,3,FALSE),3))+IF(Y46&lt;&gt;"",Y46,IFERROR(VLOOKUP(V46,Assumptions!$A$8:$F$12,4,FALSE),8))/2)</f>
        <v/>
      </c>
      <c r="AB46" s="24">
        <f>U46*Z46/(1+Assumptions!$B$3)^AA46</f>
        <v/>
      </c>
      <c r="AC46" s="27">
        <f>IF(U46=0,"",ROUND(AB46/U46*100,1))</f>
        <v/>
      </c>
      <c r="AD46" s="29">
        <f>AB46*Assumptions!$B$4</f>
        <v/>
      </c>
      <c r="AE46" s="27">
        <f>IF(U46=0,"",ROUND(AD46/U46*100,1))</f>
        <v/>
      </c>
      <c r="AF46" s="29">
        <f>AB46-AD46</f>
        <v/>
      </c>
      <c r="AG46" s="27">
        <f>IF(U46=0,"",ROUND((AB46-AD46)/U46*100,1))</f>
        <v/>
      </c>
      <c r="AH46" s="30" t="inlineStr">
        <is>
          <t>OK — totals reconciled</t>
        </is>
      </c>
      <c r="AI46" s="31" t="inlineStr">
        <is>
          <t>https://inova-aj.com.br/wp-content/uploads/2026/08/1a-Relacao-de-Credores-Real.pdf</t>
        </is>
      </c>
      <c r="AJ46" s="30" t="inlineStr">
        <is>
          <t>p1 r16</t>
        </is>
      </c>
      <c r="AK46" s="30" t="inlineStr">
        <is>
          <t>p1: R$ 4.204.523,67</t>
        </is>
      </c>
      <c r="AL46" s="30" t="inlineStr">
        <is>
          <t>AJ list (art. 7 §2)</t>
        </is>
      </c>
      <c r="AM46" s="30" t="inlineStr">
        <is>
          <t>2023-06-05</t>
        </is>
      </c>
      <c r="AN46" s="30" t="inlineStr">
        <is>
          <t>NONE FOUND</t>
        </is>
      </c>
      <c r="AO46" s="32" t="inlineStr">
        <is>
          <t>0873061-47.2023.8.19.0001</t>
        </is>
      </c>
      <c r="AP46" s="32" t="inlineStr">
        <is>
          <t>TJRJ</t>
        </is>
      </c>
      <c r="AQ46" s="32" t="inlineStr">
        <is>
          <t>Recuperação judicial</t>
        </is>
      </c>
      <c r="AR46" s="32" t="inlineStr">
        <is>
          <t>not in DataJud</t>
        </is>
      </c>
      <c r="AS46" s="32" t="n">
        <v>2023</v>
      </c>
      <c r="AT46" s="32" t="inlineStr">
        <is>
          <t>live case, no plan document yet; case no. from the portal record, not printed on the list</t>
        </is>
      </c>
      <c r="AU46" s="32" t="inlineStr"/>
      <c r="AV46" s="32" t="inlineStr">
        <is>
          <t>printed on the list (read twice)</t>
        </is>
      </c>
      <c r="AW46" s="32" t="inlineStr"/>
      <c r="AX46" s="32" t="inlineStr">
        <is>
          <t>SAO PAULO</t>
        </is>
      </c>
      <c r="AY46" s="32" t="inlineStr">
        <is>
          <t>SP</t>
        </is>
      </c>
      <c r="AZ46" s="32" t="inlineStr">
        <is>
          <t>Bancos múltiplos, com carteira comercial</t>
        </is>
      </c>
      <c r="BA46" s="32" t="inlineStr">
        <is>
          <t>não ME/EPP</t>
        </is>
      </c>
      <c r="BB46" s="33" t="n">
        <v>1021700100</v>
      </c>
      <c r="BC46" s="32" t="inlineStr">
        <is>
          <t>LARGE CORP</t>
        </is>
      </c>
      <c r="BD46" s="32" t="inlineStr">
        <is>
          <t>60889128</t>
        </is>
      </c>
      <c r="BE46" s="32" t="n">
        <v>1</v>
      </c>
      <c r="BF46" s="32" t="inlineStr">
        <is>
          <t>ALT_VALUE:R$3.057.143,01</t>
        </is>
      </c>
    </row>
    <row r="47">
      <c r="A47" s="17" t="inlineStr">
        <is>
          <t>2.7 SICOOB CREDIAUC</t>
        </is>
      </c>
      <c r="B47" s="18" t="n">
        <v>4127569.13</v>
      </c>
      <c r="C47" s="19" t="inlineStr">
        <is>
          <t>SUINOCULTURA KUNZLER</t>
        </is>
      </c>
      <c r="D47" s="20" t="inlineStr">
        <is>
          <t>NEW</t>
        </is>
      </c>
      <c r="E47" s="21" t="inlineStr"/>
      <c r="F47" s="20" t="inlineStr"/>
      <c r="G47" s="21" t="inlineStr"/>
      <c r="H47" s="20" t="inlineStr"/>
      <c r="I47" s="22" t="inlineStr">
        <is>
          <t>Simone Grando</t>
        </is>
      </c>
      <c r="J47" s="22" t="inlineStr">
        <is>
          <t>Superintedente de Ciclo de Crédito</t>
        </is>
      </c>
      <c r="K47" s="22" t="inlineStr"/>
      <c r="L47" s="22" t="inlineStr"/>
      <c r="M47" s="22" t="inlineStr"/>
      <c r="N47" s="22" t="inlineStr"/>
      <c r="O47" s="22" t="inlineStr"/>
      <c r="P47" s="22" t="inlineStr">
        <is>
          <t>Lauro Donadel</t>
        </is>
      </c>
      <c r="Q47" s="22" t="inlineStr">
        <is>
          <t>Especialista de Recuperação de Ativo</t>
        </is>
      </c>
      <c r="R47" s="22" t="inlineStr"/>
      <c r="S47" s="22" t="inlineStr"/>
      <c r="T47" s="22" t="inlineStr">
        <is>
          <t>DM: DM; email dropped: previous employer domain; no work email in Apollo for DM; BACKUP: backup; NO ROUTE IN: no phone or email on file</t>
        </is>
      </c>
      <c r="U47" s="24" t="n">
        <v>4127569.13</v>
      </c>
      <c r="V47" s="25" t="inlineStr">
        <is>
          <t>B</t>
        </is>
      </c>
      <c r="W47" s="26" t="inlineStr"/>
      <c r="X47" s="27" t="inlineStr"/>
      <c r="Y47" s="27" t="inlineStr"/>
      <c r="Z47" s="26">
        <f>IF(W47&lt;&gt;"",W47,IFERROR(VLOOKUP(V47,Assumptions!$A$8:$F$12,2,FALSE),0))*Assumptions!$B$5</f>
        <v/>
      </c>
      <c r="AA47" s="28">
        <f>IF(V47="A",MAX(1,IF(X47&lt;&gt;"",X47,IFERROR(VLOOKUP(V47,Assumptions!$A$8:$F$12,3,FALSE),3))+IF(Y47&lt;&gt;"",Y47,IFERROR(VLOOKUP(V47,Assumptions!$A$8:$F$12,4,FALSE),8))/2-MAX(0,IF(AS47="",0,YEAR(TODAY())-AS47)-IFERROR(VLOOKUP(V47,Assumptions!$A$8:$F$12,5,FALSE),1.5))),IFERROR(VLOOKUP(V47,Assumptions!$A$8:$F$12,5,FALSE),2.5)+IF(X47&lt;&gt;"",X47,IFERROR(VLOOKUP(V47,Assumptions!$A$8:$F$12,3,FALSE),3))+IF(Y47&lt;&gt;"",Y47,IFERROR(VLOOKUP(V47,Assumptions!$A$8:$F$12,4,FALSE),8))/2)</f>
        <v/>
      </c>
      <c r="AB47" s="24">
        <f>U47*Z47/(1+Assumptions!$B$3)^AA47</f>
        <v/>
      </c>
      <c r="AC47" s="27">
        <f>IF(U47=0,"",ROUND(AB47/U47*100,1))</f>
        <v/>
      </c>
      <c r="AD47" s="29">
        <f>AB47*Assumptions!$B$4</f>
        <v/>
      </c>
      <c r="AE47" s="27">
        <f>IF(U47=0,"",ROUND(AD47/U47*100,1))</f>
        <v/>
      </c>
      <c r="AF47" s="29">
        <f>AB47-AD47</f>
        <v/>
      </c>
      <c r="AG47" s="27">
        <f>IF(U47=0,"",ROUND((AB47-AD47)/U47*100,1))</f>
        <v/>
      </c>
      <c r="AH47" s="34" t="inlineStr">
        <is>
          <t>NO TOTALS — list prints none; check page</t>
        </is>
      </c>
      <c r="AI47" s="31" t="inlineStr">
        <is>
          <t>https://rlg-aj.com.br/wp-content/uploads/2024/11/07.-Relação-de-credores.pdf</t>
        </is>
      </c>
      <c r="AJ47" s="30" t="inlineStr">
        <is>
          <t>p1 r13; p1 r14; p1 r15; p1 r16; p1 r17; p1 r18</t>
        </is>
      </c>
      <c r="AK47" s="30" t="inlineStr">
        <is>
          <t>p1: R$ 323.651,16; p1: R$ 907.705,56; p1: R$ 211.127,26; p1: R$ 137.183,48; p1: R$ 1.245.578,71; p1: R$ 1.302.322,96</t>
        </is>
      </c>
      <c r="AL47" s="30" t="inlineStr">
        <is>
          <t>Unclassified list</t>
        </is>
      </c>
      <c r="AM47" s="30" t="inlineStr"/>
      <c r="AN47" s="30" t="inlineStr">
        <is>
          <t>NONE FOUND</t>
        </is>
      </c>
      <c r="AO47" s="32" t="inlineStr">
        <is>
          <t>5009149-92.2024.8.24.0019</t>
        </is>
      </c>
      <c r="AP47" s="32" t="inlineStr">
        <is>
          <t>TJSC</t>
        </is>
      </c>
      <c r="AQ47" s="32" t="inlineStr">
        <is>
          <t>Recuperação judicial</t>
        </is>
      </c>
      <c r="AR47" s="32" t="inlineStr">
        <is>
          <t>DataJud: no closure/falência movement</t>
        </is>
      </c>
      <c r="AS47" s="32" t="n">
        <v>2024</v>
      </c>
      <c r="AT47" s="32" t="inlineStr">
        <is>
          <t>live case, no plan document yet; case no. from the portal record, not printed on the list</t>
        </is>
      </c>
      <c r="AU47" s="32" t="inlineStr">
        <is>
          <t>55.365.447/0001-56</t>
        </is>
      </c>
      <c r="AV47" s="32" t="inlineStr">
        <is>
          <t>printed on the list (read twice)</t>
        </is>
      </c>
      <c r="AW47" s="32" t="inlineStr"/>
      <c r="AX47" s="32" t="inlineStr"/>
      <c r="AY47" s="32" t="inlineStr"/>
      <c r="AZ47" s="32" t="inlineStr"/>
      <c r="BA47" s="32" t="inlineStr"/>
      <c r="BB47" s="33" t="inlineStr"/>
      <c r="BC47" s="32" t="inlineStr">
        <is>
          <t>UNKNOWN</t>
        </is>
      </c>
      <c r="BD47" s="32" t="inlineStr">
        <is>
          <t>78840071</t>
        </is>
      </c>
      <c r="BE47" s="32" t="n">
        <v>6</v>
      </c>
      <c r="BF47" s="32" t="inlineStr">
        <is>
          <t>financial by name list prints no totals no RFB record no route in</t>
        </is>
      </c>
    </row>
    <row r="48">
      <c r="A48" s="17" t="inlineStr">
        <is>
          <t>COOPERATIVA DE ECONOMIA E CRÉDITO MÚTUO UNICRED PONTO CAPITAL</t>
        </is>
      </c>
      <c r="B48" s="18" t="n">
        <v>4069396.91</v>
      </c>
      <c r="C48" s="19" t="inlineStr">
        <is>
          <t>GRUPO DIVINA</t>
        </is>
      </c>
      <c r="D48" s="20" t="inlineStr">
        <is>
          <t>NEW</t>
        </is>
      </c>
      <c r="E48" s="21" t="inlineStr"/>
      <c r="F48" s="20" t="inlineStr"/>
      <c r="G48" s="21" t="inlineStr"/>
      <c r="H48" s="20" t="inlineStr"/>
      <c r="I48" s="22" t="inlineStr">
        <is>
          <t>Luciano Martins</t>
        </is>
      </c>
      <c r="J48" s="22" t="inlineStr">
        <is>
          <t>Operations Manager</t>
        </is>
      </c>
      <c r="K48" s="22" t="inlineStr"/>
      <c r="L48" s="22" t="inlineStr"/>
      <c r="M48" s="22" t="inlineStr"/>
      <c r="N48" s="22" t="inlineStr"/>
      <c r="O48" s="22" t="inlineStr"/>
      <c r="P48" s="22" t="inlineStr">
        <is>
          <t>Daiane Pereira</t>
        </is>
      </c>
      <c r="Q48" s="22" t="inlineStr">
        <is>
          <t>Gerente de Relacionamento Pessoa Jurídica</t>
        </is>
      </c>
      <c r="R48" s="22" t="inlineStr"/>
      <c r="S48" s="22" t="inlineStr">
        <is>
          <t>daiane.pereira@unicred.com.br</t>
        </is>
      </c>
      <c r="T48" s="22" t="inlineStr">
        <is>
          <t>DM: DM email unavailable; no work email in Apollo for DM; BACKUP: backup2 verified email</t>
        </is>
      </c>
      <c r="U48" s="24" t="n">
        <v>4069396.91</v>
      </c>
      <c r="V48" s="25" t="inlineStr">
        <is>
          <t>B</t>
        </is>
      </c>
      <c r="W48" s="26" t="inlineStr"/>
      <c r="X48" s="27" t="inlineStr"/>
      <c r="Y48" s="27" t="inlineStr"/>
      <c r="Z48" s="26">
        <f>IF(W48&lt;&gt;"",W48,IFERROR(VLOOKUP(V48,Assumptions!$A$8:$F$12,2,FALSE),0))*Assumptions!$B$5</f>
        <v/>
      </c>
      <c r="AA48" s="28">
        <f>IF(V48="A",MAX(1,IF(X48&lt;&gt;"",X48,IFERROR(VLOOKUP(V48,Assumptions!$A$8:$F$12,3,FALSE),3))+IF(Y48&lt;&gt;"",Y48,IFERROR(VLOOKUP(V48,Assumptions!$A$8:$F$12,4,FALSE),8))/2-MAX(0,IF(AS48="",0,YEAR(TODAY())-AS48)-IFERROR(VLOOKUP(V48,Assumptions!$A$8:$F$12,5,FALSE),1.5))),IFERROR(VLOOKUP(V48,Assumptions!$A$8:$F$12,5,FALSE),2.5)+IF(X48&lt;&gt;"",X48,IFERROR(VLOOKUP(V48,Assumptions!$A$8:$F$12,3,FALSE),3))+IF(Y48&lt;&gt;"",Y48,IFERROR(VLOOKUP(V48,Assumptions!$A$8:$F$12,4,FALSE),8))/2)</f>
        <v/>
      </c>
      <c r="AB48" s="24">
        <f>U48*Z48/(1+Assumptions!$B$3)^AA48</f>
        <v/>
      </c>
      <c r="AC48" s="27">
        <f>IF(U48=0,"",ROUND(AB48/U48*100,1))</f>
        <v/>
      </c>
      <c r="AD48" s="29">
        <f>AB48*Assumptions!$B$4</f>
        <v/>
      </c>
      <c r="AE48" s="27">
        <f>IF(U48=0,"",ROUND(AD48/U48*100,1))</f>
        <v/>
      </c>
      <c r="AF48" s="29">
        <f>AB48-AD48</f>
        <v/>
      </c>
      <c r="AG48" s="27">
        <f>IF(U48=0,"",ROUND((AB48-AD48)/U48*100,1))</f>
        <v/>
      </c>
      <c r="AH48" s="35" t="inlineStr">
        <is>
          <t>PARTIAL — class III reconciled, other classes not</t>
        </is>
      </c>
      <c r="AI48" s="31" t="inlineStr">
        <is>
          <t>https://lrflideres.com.br/wp-content/plugins/download-attachments/includes/download.php?id=6252</t>
        </is>
      </c>
      <c r="AJ48" s="30" t="inlineStr">
        <is>
          <t>p2 r31</t>
        </is>
      </c>
      <c r="AK48" s="30" t="inlineStr">
        <is>
          <t>p2: R$ 4.069.396,91</t>
        </is>
      </c>
      <c r="AL48" s="30" t="inlineStr">
        <is>
          <t>AJ list (art. 7 §2)</t>
        </is>
      </c>
      <c r="AM48" s="30" t="inlineStr">
        <is>
          <t>2024-11-27</t>
        </is>
      </c>
      <c r="AN48" s="30" t="inlineStr">
        <is>
          <t>NONE FOUND</t>
        </is>
      </c>
      <c r="AO48" s="32" t="inlineStr">
        <is>
          <t>0000721-61.2024.8.17.2620</t>
        </is>
      </c>
      <c r="AP48" s="32" t="inlineStr">
        <is>
          <t>TJPE</t>
        </is>
      </c>
      <c r="AQ48" s="32" t="inlineStr">
        <is>
          <t>Recuperação judicial</t>
        </is>
      </c>
      <c r="AR48" s="32" t="inlineStr">
        <is>
          <t>DataJud: no closure/falência movement</t>
        </is>
      </c>
      <c r="AS48" s="32" t="n">
        <v>2024</v>
      </c>
      <c r="AT48" s="32" t="inlineStr">
        <is>
          <t>live case, no plan document yet</t>
        </is>
      </c>
      <c r="AU48" s="32" t="inlineStr">
        <is>
          <t>08.785.522/0001-58</t>
        </is>
      </c>
      <c r="AV48" s="32" t="inlineStr">
        <is>
          <t>printed on the list (read twice)</t>
        </is>
      </c>
      <c r="AW48" s="32" t="inlineStr"/>
      <c r="AX48" s="32" t="inlineStr"/>
      <c r="AY48" s="32" t="inlineStr"/>
      <c r="AZ48" s="32" t="inlineStr"/>
      <c r="BA48" s="32" t="inlineStr"/>
      <c r="BB48" s="33" t="inlineStr"/>
      <c r="BC48" s="32" t="inlineStr">
        <is>
          <t>UNKNOWN</t>
        </is>
      </c>
      <c r="BD48" s="32" t="inlineStr">
        <is>
          <t>02641032</t>
        </is>
      </c>
      <c r="BE48" s="32" t="n">
        <v>1</v>
      </c>
      <c r="BF48" s="32" t="inlineStr">
        <is>
          <t>financial by name class III reconciled (doc partial) no RFB record</t>
        </is>
      </c>
    </row>
    <row r="49">
      <c r="A49" s="17" t="inlineStr">
        <is>
          <t>BANCO BRADESCO FINANCIAMENTOS S.A.</t>
        </is>
      </c>
      <c r="B49" s="18" t="n">
        <v>7186584.64</v>
      </c>
      <c r="C49" s="37" t="inlineStr">
        <is>
          <t>(debtor not identified — see proof)</t>
        </is>
      </c>
      <c r="D49" s="20" t="inlineStr">
        <is>
          <t>NEW</t>
        </is>
      </c>
      <c r="E49" s="21" t="inlineStr"/>
      <c r="F49" s="20" t="inlineStr"/>
      <c r="G49" s="21" t="inlineStr"/>
      <c r="H49" s="20" t="inlineStr"/>
      <c r="I49" s="22" t="inlineStr">
        <is>
          <t>Sonia Ramos</t>
        </is>
      </c>
      <c r="J49" s="22" t="inlineStr">
        <is>
          <t>Gerente de Estratégias e Recuperação de Crédito</t>
        </is>
      </c>
      <c r="K49" s="22" t="inlineStr">
        <is>
          <t>(11) 5506-7717</t>
        </is>
      </c>
      <c r="L49" s="22" t="inlineStr"/>
      <c r="M49" s="22" t="inlineStr"/>
      <c r="N49" s="22" t="inlineStr"/>
      <c r="O49" s="22" t="inlineStr"/>
      <c r="P49" s="22" t="inlineStr">
        <is>
          <t>ANDRE DAVID MARQUES</t>
        </is>
      </c>
      <c r="Q49" s="22" t="inlineStr">
        <is>
          <t>Diretor (RFB partner)</t>
        </is>
      </c>
      <c r="R49" s="22" t="inlineStr"/>
      <c r="S49" s="22" t="inlineStr"/>
      <c r="T49" s="22" t="inlineStr">
        <is>
          <t>DM: DM; no work email in Apollo for DM</t>
        </is>
      </c>
      <c r="U49" s="24" t="n">
        <v>7186584.64</v>
      </c>
      <c r="V49" s="38" t="inlineStr">
        <is>
          <t>U</t>
        </is>
      </c>
      <c r="W49" s="26" t="inlineStr"/>
      <c r="X49" s="27" t="inlineStr"/>
      <c r="Y49" s="27" t="inlineStr"/>
      <c r="Z49" s="26">
        <f>IF(W49&lt;&gt;"",W49,IFERROR(VLOOKUP(V49,Assumptions!$A$8:$F$12,2,FALSE),0))*Assumptions!$B$5</f>
        <v/>
      </c>
      <c r="AA49" s="28">
        <f>IF(V49="A",MAX(1,IF(X49&lt;&gt;"",X49,IFERROR(VLOOKUP(V49,Assumptions!$A$8:$F$12,3,FALSE),3))+IF(Y49&lt;&gt;"",Y49,IFERROR(VLOOKUP(V49,Assumptions!$A$8:$F$12,4,FALSE),8))/2-MAX(0,IF(AS49="",0,YEAR(TODAY())-AS49)-IFERROR(VLOOKUP(V49,Assumptions!$A$8:$F$12,5,FALSE),1.5))),IFERROR(VLOOKUP(V49,Assumptions!$A$8:$F$12,5,FALSE),2.5)+IF(X49&lt;&gt;"",X49,IFERROR(VLOOKUP(V49,Assumptions!$A$8:$F$12,3,FALSE),3))+IF(Y49&lt;&gt;"",Y49,IFERROR(VLOOKUP(V49,Assumptions!$A$8:$F$12,4,FALSE),8))/2)</f>
        <v/>
      </c>
      <c r="AB49" s="24">
        <f>U49*Z49/(1+Assumptions!$B$3)^AA49</f>
        <v/>
      </c>
      <c r="AC49" s="27">
        <f>IF(U49=0,"",ROUND(AB49/U49*100,1))</f>
        <v/>
      </c>
      <c r="AD49" s="29">
        <f>AB49*Assumptions!$B$4</f>
        <v/>
      </c>
      <c r="AE49" s="27">
        <f>IF(U49=0,"",ROUND(AD49/U49*100,1))</f>
        <v/>
      </c>
      <c r="AF49" s="29">
        <f>AB49-AD49</f>
        <v/>
      </c>
      <c r="AG49" s="27">
        <f>IF(U49=0,"",ROUND((AB49-AD49)/U49*100,1))</f>
        <v/>
      </c>
      <c r="AH49" s="30" t="inlineStr">
        <is>
          <t>OK — totals reconciled</t>
        </is>
      </c>
      <c r="AI49" s="31" t="inlineStr">
        <is>
          <t>https://ajruiz.com.br/sites/default/files/public/arquivos-processos/2023-11/4_relacao_de_credores_analitica_art._51_iii_da_lre.pdf</t>
        </is>
      </c>
      <c r="AJ49" s="30" t="inlineStr">
        <is>
          <t>p2 r12</t>
        </is>
      </c>
      <c r="AK49" s="30" t="inlineStr">
        <is>
          <t>p2: R$ 7.186.584,64</t>
        </is>
      </c>
      <c r="AL49" s="30" t="inlineStr">
        <is>
          <t>Unclassified list</t>
        </is>
      </c>
      <c r="AM49" s="30" t="inlineStr"/>
      <c r="AN49" s="30" t="inlineStr">
        <is>
          <t>NONE FOUND</t>
        </is>
      </c>
      <c r="AO49" s="32" t="inlineStr">
        <is>
          <t>(not printed)</t>
        </is>
      </c>
      <c r="AP49" s="32" t="inlineStr"/>
      <c r="AQ49" s="32" t="inlineStr"/>
      <c r="AR49" s="32" t="inlineStr"/>
      <c r="AS49" s="32" t="inlineStr"/>
      <c r="AT49" s="32" t="inlineStr">
        <is>
          <t>RJ case number not identified on the document</t>
        </is>
      </c>
      <c r="AU49" s="32" t="inlineStr"/>
      <c r="AV49" s="32" t="inlineStr">
        <is>
          <t>not identified</t>
        </is>
      </c>
      <c r="AW49" s="32" t="inlineStr"/>
      <c r="AX49" s="32" t="inlineStr">
        <is>
          <t>OSASCO</t>
        </is>
      </c>
      <c r="AY49" s="32" t="inlineStr">
        <is>
          <t>SP</t>
        </is>
      </c>
      <c r="AZ49" s="32" t="inlineStr">
        <is>
          <t>Bancos múltiplos, com carteira comercial</t>
        </is>
      </c>
      <c r="BA49" s="32" t="inlineStr">
        <is>
          <t>não ME/EPP</t>
        </is>
      </c>
      <c r="BB49" s="33" t="n">
        <v>499300000</v>
      </c>
      <c r="BC49" s="32" t="inlineStr">
        <is>
          <t>LARGE CORP</t>
        </is>
      </c>
      <c r="BD49" s="32" t="inlineStr">
        <is>
          <t>07207996</t>
        </is>
      </c>
      <c r="BE49" s="32" t="n">
        <v>1</v>
      </c>
      <c r="BF49" s="32" t="inlineStr">
        <is>
          <t>ALT_VALUE:BANCOS case no. corrected by reader</t>
        </is>
      </c>
    </row>
    <row r="50">
      <c r="A50" s="17" t="inlineStr">
        <is>
          <t>BANCO SANTANDER (BRASIL) S.A.</t>
        </is>
      </c>
      <c r="B50" s="18" t="n">
        <v>3777366.43</v>
      </c>
      <c r="C50" s="19" t="inlineStr">
        <is>
          <t>GRUPO CEAM</t>
        </is>
      </c>
      <c r="D50" s="20" t="inlineStr">
        <is>
          <t>NEW</t>
        </is>
      </c>
      <c r="E50" s="21" t="inlineStr"/>
      <c r="F50" s="20" t="inlineStr"/>
      <c r="G50" s="21" t="inlineStr"/>
      <c r="H50" s="20" t="inlineStr"/>
      <c r="I50" s="22" t="inlineStr">
        <is>
          <t>Igor Puertas</t>
        </is>
      </c>
      <c r="J50" s="22" t="inlineStr">
        <is>
          <t>Distressed Assets | NPL</t>
        </is>
      </c>
      <c r="K50" s="22" t="inlineStr">
        <is>
          <t>(11) 4004-3535</t>
        </is>
      </c>
      <c r="L50" s="22" t="inlineStr"/>
      <c r="M50" s="22" t="inlineStr"/>
      <c r="N50" s="22" t="inlineStr">
        <is>
          <t>igor.puertas@santander.com.br</t>
        </is>
      </c>
      <c r="O50" s="22" t="inlineStr">
        <is>
          <t>verified</t>
        </is>
      </c>
      <c r="P50" s="22" t="inlineStr">
        <is>
          <t>Antonio Junior</t>
        </is>
      </c>
      <c r="Q50" s="22" t="inlineStr">
        <is>
          <t>Superintendente Recuperação de Crédito</t>
        </is>
      </c>
      <c r="R50" s="22" t="inlineStr"/>
      <c r="S50" s="22" t="inlineStr">
        <is>
          <t>antonio.pequeno.junior@santander.com.br</t>
        </is>
      </c>
      <c r="T50" s="22" t="inlineStr">
        <is>
          <t>DM: DM; BACKUP: backup</t>
        </is>
      </c>
      <c r="U50" s="24" t="n">
        <v>3777366.43</v>
      </c>
      <c r="V50" s="25" t="inlineStr">
        <is>
          <t>B</t>
        </is>
      </c>
      <c r="W50" s="26" t="inlineStr"/>
      <c r="X50" s="27" t="inlineStr"/>
      <c r="Y50" s="27" t="inlineStr"/>
      <c r="Z50" s="26">
        <f>IF(W50&lt;&gt;"",W50,IFERROR(VLOOKUP(V50,Assumptions!$A$8:$F$12,2,FALSE),0))*Assumptions!$B$5</f>
        <v/>
      </c>
      <c r="AA50" s="28">
        <f>IF(V50="A",MAX(1,IF(X50&lt;&gt;"",X50,IFERROR(VLOOKUP(V50,Assumptions!$A$8:$F$12,3,FALSE),3))+IF(Y50&lt;&gt;"",Y50,IFERROR(VLOOKUP(V50,Assumptions!$A$8:$F$12,4,FALSE),8))/2-MAX(0,IF(AS50="",0,YEAR(TODAY())-AS50)-IFERROR(VLOOKUP(V50,Assumptions!$A$8:$F$12,5,FALSE),1.5))),IFERROR(VLOOKUP(V50,Assumptions!$A$8:$F$12,5,FALSE),2.5)+IF(X50&lt;&gt;"",X50,IFERROR(VLOOKUP(V50,Assumptions!$A$8:$F$12,3,FALSE),3))+IF(Y50&lt;&gt;"",Y50,IFERROR(VLOOKUP(V50,Assumptions!$A$8:$F$12,4,FALSE),8))/2)</f>
        <v/>
      </c>
      <c r="AB50" s="24">
        <f>U50*Z50/(1+Assumptions!$B$3)^AA50</f>
        <v/>
      </c>
      <c r="AC50" s="27">
        <f>IF(U50=0,"",ROUND(AB50/U50*100,1))</f>
        <v/>
      </c>
      <c r="AD50" s="29">
        <f>AB50*Assumptions!$B$4</f>
        <v/>
      </c>
      <c r="AE50" s="27">
        <f>IF(U50=0,"",ROUND(AD50/U50*100,1))</f>
        <v/>
      </c>
      <c r="AF50" s="29">
        <f>AB50-AD50</f>
        <v/>
      </c>
      <c r="AG50" s="27">
        <f>IF(U50=0,"",ROUND((AB50-AD50)/U50*100,1))</f>
        <v/>
      </c>
      <c r="AH50" s="30" t="inlineStr">
        <is>
          <t>OK — totals reconciled</t>
        </is>
      </c>
      <c r="AI50" s="31" t="inlineStr">
        <is>
          <t>https://recuperasolucoes.com/wp-content/plugins/download-attachments/includes/download.php?id=1492</t>
        </is>
      </c>
      <c r="AJ50" s="30" t="inlineStr">
        <is>
          <t>p5 r53</t>
        </is>
      </c>
      <c r="AK50" s="30" t="inlineStr">
        <is>
          <t>p5: R$ 3.777.366,43</t>
        </is>
      </c>
      <c r="AL50" s="30" t="inlineStr">
        <is>
          <t>AJ list (art. 7 §2)</t>
        </is>
      </c>
      <c r="AM50" s="30" t="inlineStr">
        <is>
          <t>2025-09-12</t>
        </is>
      </c>
      <c r="AN50" s="30" t="inlineStr">
        <is>
          <t>NONE FOUND</t>
        </is>
      </c>
      <c r="AO50" s="32" t="inlineStr">
        <is>
          <t>0133628-14.2024.8.17.2001</t>
        </is>
      </c>
      <c r="AP50" s="32" t="inlineStr">
        <is>
          <t>TJPE</t>
        </is>
      </c>
      <c r="AQ50" s="32" t="inlineStr">
        <is>
          <t>Recuperação judicial</t>
        </is>
      </c>
      <c r="AR50" s="32" t="inlineStr">
        <is>
          <t>DataJud: no closure/falência movement</t>
        </is>
      </c>
      <c r="AS50" s="32" t="n">
        <v>2024</v>
      </c>
      <c r="AT50" s="32" t="inlineStr">
        <is>
          <t>live case, no plan document yet</t>
        </is>
      </c>
      <c r="AU50" s="32" t="inlineStr">
        <is>
          <t>32.525.567/0001-78</t>
        </is>
      </c>
      <c r="AV50" s="32" t="inlineStr">
        <is>
          <t>printed on the list (read twice)</t>
        </is>
      </c>
      <c r="AW50" s="32" t="inlineStr"/>
      <c r="AX50" s="32" t="inlineStr">
        <is>
          <t>SAO PAULO</t>
        </is>
      </c>
      <c r="AY50" s="32" t="inlineStr">
        <is>
          <t>SP</t>
        </is>
      </c>
      <c r="AZ50" s="32" t="inlineStr">
        <is>
          <t>Bancos múltiplos, com carteira comercial</t>
        </is>
      </c>
      <c r="BA50" s="32" t="inlineStr">
        <is>
          <t>não ME/EPP</t>
        </is>
      </c>
      <c r="BB50" s="33" t="n">
        <v>65000000000</v>
      </c>
      <c r="BC50" s="32" t="inlineStr">
        <is>
          <t>LARGE CORP</t>
        </is>
      </c>
      <c r="BD50" s="32" t="inlineStr">
        <is>
          <t>90400888</t>
        </is>
      </c>
      <c r="BE50" s="32" t="n">
        <v>1</v>
      </c>
      <c r="BF50" s="32" t="inlineStr">
        <is>
          <t>financial by name</t>
        </is>
      </c>
    </row>
    <row r="51">
      <c r="A51" s="17" t="inlineStr">
        <is>
          <t>BANCO SAFRA S A</t>
        </is>
      </c>
      <c r="B51" s="18" t="n">
        <v>3718575.71</v>
      </c>
      <c r="C51" s="19" t="inlineStr">
        <is>
          <t>Grupo Agromeal</t>
        </is>
      </c>
      <c r="D51" s="20" t="inlineStr">
        <is>
          <t>NEW</t>
        </is>
      </c>
      <c r="E51" s="21" t="inlineStr"/>
      <c r="F51" s="20" t="inlineStr"/>
      <c r="G51" s="21" t="inlineStr"/>
      <c r="H51" s="20" t="inlineStr"/>
      <c r="I51" s="22" t="inlineStr">
        <is>
          <t>Vanessa Biotti</t>
        </is>
      </c>
      <c r="J51" s="22" t="inlineStr">
        <is>
          <t>Gerente de Recuperação de Crédito</t>
        </is>
      </c>
      <c r="K51" s="22" t="inlineStr">
        <is>
          <t>(11) 3175-7575</t>
        </is>
      </c>
      <c r="L51" s="22" t="inlineStr"/>
      <c r="M51" s="22" t="inlineStr"/>
      <c r="N51" s="22" t="inlineStr">
        <is>
          <t>vanessa.biotti@safra.com.br</t>
        </is>
      </c>
      <c r="O51" s="22" t="inlineStr">
        <is>
          <t>verified</t>
        </is>
      </c>
      <c r="P51" s="22" t="inlineStr">
        <is>
          <t>Rodrigo Anjos</t>
        </is>
      </c>
      <c r="Q51" s="22" t="inlineStr">
        <is>
          <t>Advogado Sênior - Jurídico Contencioso - Recuperação de Crédito - NPL</t>
        </is>
      </c>
      <c r="R51" s="22" t="inlineStr"/>
      <c r="S51" s="22" t="inlineStr">
        <is>
          <t>rodrigo.anjos@safra.com.br</t>
        </is>
      </c>
      <c r="T51" s="22" t="inlineStr">
        <is>
          <t>DM: DM verified email; BACKUP: backup verified email (NPL legal)</t>
        </is>
      </c>
      <c r="U51" s="24" t="n">
        <v>3718575.71</v>
      </c>
      <c r="V51" s="25" t="inlineStr">
        <is>
          <t>B</t>
        </is>
      </c>
      <c r="W51" s="26" t="inlineStr"/>
      <c r="X51" s="27" t="inlineStr"/>
      <c r="Y51" s="27" t="inlineStr"/>
      <c r="Z51" s="26">
        <f>IF(W51&lt;&gt;"",W51,IFERROR(VLOOKUP(V51,Assumptions!$A$8:$F$12,2,FALSE),0))*Assumptions!$B$5</f>
        <v/>
      </c>
      <c r="AA51" s="28">
        <f>IF(V51="A",MAX(1,IF(X51&lt;&gt;"",X51,IFERROR(VLOOKUP(V51,Assumptions!$A$8:$F$12,3,FALSE),3))+IF(Y51&lt;&gt;"",Y51,IFERROR(VLOOKUP(V51,Assumptions!$A$8:$F$12,4,FALSE),8))/2-MAX(0,IF(AS51="",0,YEAR(TODAY())-AS51)-IFERROR(VLOOKUP(V51,Assumptions!$A$8:$F$12,5,FALSE),1.5))),IFERROR(VLOOKUP(V51,Assumptions!$A$8:$F$12,5,FALSE),2.5)+IF(X51&lt;&gt;"",X51,IFERROR(VLOOKUP(V51,Assumptions!$A$8:$F$12,3,FALSE),3))+IF(Y51&lt;&gt;"",Y51,IFERROR(VLOOKUP(V51,Assumptions!$A$8:$F$12,4,FALSE),8))/2)</f>
        <v/>
      </c>
      <c r="AB51" s="24">
        <f>U51*Z51/(1+Assumptions!$B$3)^AA51</f>
        <v/>
      </c>
      <c r="AC51" s="27">
        <f>IF(U51=0,"",ROUND(AB51/U51*100,1))</f>
        <v/>
      </c>
      <c r="AD51" s="29">
        <f>AB51*Assumptions!$B$4</f>
        <v/>
      </c>
      <c r="AE51" s="27">
        <f>IF(U51=0,"",ROUND(AD51/U51*100,1))</f>
        <v/>
      </c>
      <c r="AF51" s="29">
        <f>AB51-AD51</f>
        <v/>
      </c>
      <c r="AG51" s="27">
        <f>IF(U51=0,"",ROUND((AB51-AD51)/U51*100,1))</f>
        <v/>
      </c>
      <c r="AH51" s="35" t="inlineStr">
        <is>
          <t>PARTIAL — class III reconciled, other classes not</t>
        </is>
      </c>
      <c r="AI51" s="31" t="inlineStr">
        <is>
          <t>https://marquesadmjudicial.com.br/sgc/download.php?file=files/processo_documento/processo_documento17040729052024_1_.pdf&amp;nome=Relação Nominal de Credores AJ-Sintética</t>
        </is>
      </c>
      <c r="AJ51" s="30" t="inlineStr">
        <is>
          <t>p10 r5</t>
        </is>
      </c>
      <c r="AK51" s="30" t="inlineStr">
        <is>
          <t>p10: R$ 3.718.575,71</t>
        </is>
      </c>
      <c r="AL51" s="30" t="inlineStr">
        <is>
          <t>AJ list (art. 7 §2)</t>
        </is>
      </c>
      <c r="AM51" s="30" t="inlineStr">
        <is>
          <t>2024-05-27</t>
        </is>
      </c>
      <c r="AN51" s="30" t="inlineStr">
        <is>
          <t>NONE FOUND</t>
        </is>
      </c>
      <c r="AO51" s="32" t="inlineStr">
        <is>
          <t>0003971-03.2023.8.16.0119</t>
        </is>
      </c>
      <c r="AP51" s="32" t="inlineStr">
        <is>
          <t>TJPR</t>
        </is>
      </c>
      <c r="AQ51" s="32" t="inlineStr">
        <is>
          <t>Recuperação judicial</t>
        </is>
      </c>
      <c r="AR51" s="32" t="inlineStr">
        <is>
          <t>DataJud: no closure/falência movement</t>
        </is>
      </c>
      <c r="AS51" s="32" t="n">
        <v>2023</v>
      </c>
      <c r="AT51" s="32" t="inlineStr">
        <is>
          <t>live case, no plan document yet</t>
        </is>
      </c>
      <c r="AU51" s="32" t="inlineStr">
        <is>
          <t>11.624.776/0001-07</t>
        </is>
      </c>
      <c r="AV51" s="32" t="inlineStr">
        <is>
          <t>printed on the list (read twice)</t>
        </is>
      </c>
      <c r="AW51" s="32" t="inlineStr"/>
      <c r="AX51" s="32" t="inlineStr">
        <is>
          <t>SAO PAULO</t>
        </is>
      </c>
      <c r="AY51" s="32" t="inlineStr">
        <is>
          <t>SP</t>
        </is>
      </c>
      <c r="AZ51" s="32" t="inlineStr">
        <is>
          <t>Bancos múltiplos, com carteira comercial</t>
        </is>
      </c>
      <c r="BA51" s="32" t="inlineStr">
        <is>
          <t>não ME/EPP</t>
        </is>
      </c>
      <c r="BB51" s="33" t="n">
        <v>13924903000</v>
      </c>
      <c r="BC51" s="32" t="inlineStr">
        <is>
          <t>LARGE CORP</t>
        </is>
      </c>
      <c r="BD51" s="32" t="inlineStr">
        <is>
          <t>58160789</t>
        </is>
      </c>
      <c r="BE51" s="32" t="n">
        <v>1</v>
      </c>
      <c r="BF51" s="32" t="inlineStr">
        <is>
          <t>financial by name class III reconciled (doc partial)</t>
        </is>
      </c>
    </row>
    <row r="52">
      <c r="A52" s="17" t="inlineStr">
        <is>
          <t>BANCO NACIONAL DE DESENVOLVIMENTO ECONOMICO E SOCIAL</t>
        </is>
      </c>
      <c r="B52" s="18" t="n">
        <v>14441558.6</v>
      </c>
      <c r="C52" s="19" t="inlineStr">
        <is>
          <t>GRUPO ARNON DE MELLO</t>
        </is>
      </c>
      <c r="D52" s="20" t="inlineStr">
        <is>
          <t>NEW</t>
        </is>
      </c>
      <c r="E52" s="21" t="inlineStr"/>
      <c r="F52" s="20" t="inlineStr"/>
      <c r="G52" s="21" t="inlineStr"/>
      <c r="H52" s="20" t="inlineStr"/>
      <c r="I52" s="22" t="inlineStr">
        <is>
          <t>Paulo Almeida</t>
        </is>
      </c>
      <c r="J52" s="22" t="inlineStr">
        <is>
          <t>Distressed Debt</t>
        </is>
      </c>
      <c r="K52" s="22" t="inlineStr"/>
      <c r="L52" s="22" t="inlineStr"/>
      <c r="M52" s="22" t="inlineStr"/>
      <c r="N52" s="22" t="inlineStr"/>
      <c r="O52" s="22" t="inlineStr"/>
      <c r="P52" s="22" t="inlineStr"/>
      <c r="Q52" s="22" t="inlineStr"/>
      <c r="R52" s="22" t="inlineStr"/>
      <c r="S52" s="22" t="inlineStr"/>
      <c r="T52" s="22" t="inlineStr">
        <is>
          <t>DM is not a finance role (Distressed Debt); DM: DM email unavailable; no work email in Apollo for DM; NO ROUTE IN: no phone or email on file</t>
        </is>
      </c>
      <c r="U52" s="24" t="n">
        <v>14441558.6</v>
      </c>
      <c r="V52" s="39" t="inlineStr">
        <is>
          <t>C</t>
        </is>
      </c>
      <c r="W52" s="26" t="inlineStr"/>
      <c r="X52" s="27" t="inlineStr"/>
      <c r="Y52" s="27" t="inlineStr"/>
      <c r="Z52" s="26">
        <f>IF(W52&lt;&gt;"",W52,IFERROR(VLOOKUP(V52,Assumptions!$A$8:$F$12,2,FALSE),0))*Assumptions!$B$5</f>
        <v/>
      </c>
      <c r="AA52" s="28">
        <f>IF(V52="A",MAX(1,IF(X52&lt;&gt;"",X52,IFERROR(VLOOKUP(V52,Assumptions!$A$8:$F$12,3,FALSE),3))+IF(Y52&lt;&gt;"",Y52,IFERROR(VLOOKUP(V52,Assumptions!$A$8:$F$12,4,FALSE),8))/2-MAX(0,IF(AS52="",0,YEAR(TODAY())-AS52)-IFERROR(VLOOKUP(V52,Assumptions!$A$8:$F$12,5,FALSE),1.5))),IFERROR(VLOOKUP(V52,Assumptions!$A$8:$F$12,5,FALSE),2.5)+IF(X52&lt;&gt;"",X52,IFERROR(VLOOKUP(V52,Assumptions!$A$8:$F$12,3,FALSE),3))+IF(Y52&lt;&gt;"",Y52,IFERROR(VLOOKUP(V52,Assumptions!$A$8:$F$12,4,FALSE),8))/2)</f>
        <v/>
      </c>
      <c r="AB52" s="24">
        <f>U52*Z52/(1+Assumptions!$B$3)^AA52</f>
        <v/>
      </c>
      <c r="AC52" s="27">
        <f>IF(U52=0,"",ROUND(AB52/U52*100,1))</f>
        <v/>
      </c>
      <c r="AD52" s="29">
        <f>AB52*Assumptions!$B$4</f>
        <v/>
      </c>
      <c r="AE52" s="27">
        <f>IF(U52=0,"",ROUND(AD52/U52*100,1))</f>
        <v/>
      </c>
      <c r="AF52" s="29">
        <f>AB52-AD52</f>
        <v/>
      </c>
      <c r="AG52" s="27">
        <f>IF(U52=0,"",ROUND((AB52-AD52)/U52*100,1))</f>
        <v/>
      </c>
      <c r="AH52" s="34" t="inlineStr">
        <is>
          <t>NO TOTALS — list prints none; check page</t>
        </is>
      </c>
      <c r="AI52" s="31" t="inlineStr">
        <is>
          <t>https://recuperacaojudicial.squarespace.com/s/RJ-Grupo-Arnon-de-Melo-Lista-de-Credores-Consolidada-abril-2022.pdf</t>
        </is>
      </c>
      <c r="AJ52" s="30" t="inlineStr">
        <is>
          <t>p7 r21</t>
        </is>
      </c>
      <c r="AK52" s="30" t="inlineStr">
        <is>
          <t>p7: R$ 14.441.558,60</t>
        </is>
      </c>
      <c r="AL52" s="30" t="inlineStr">
        <is>
          <t>AJ list (art. 7 §2)</t>
        </is>
      </c>
      <c r="AM52" s="30" t="inlineStr"/>
      <c r="AN52" s="30" t="inlineStr">
        <is>
          <t>NONE FOUND</t>
        </is>
      </c>
      <c r="AO52" s="32" t="inlineStr">
        <is>
          <t>0700256-03.2019.8.02.0066</t>
        </is>
      </c>
      <c r="AP52" s="32" t="inlineStr">
        <is>
          <t>TJAL</t>
        </is>
      </c>
      <c r="AQ52" s="32" t="inlineStr">
        <is>
          <t>Recuperação judicial</t>
        </is>
      </c>
      <c r="AR52" s="32" t="inlineStr">
        <is>
          <t>not in DataJud</t>
        </is>
      </c>
      <c r="AS52" s="32" t="n">
        <v>2019</v>
      </c>
      <c r="AT52" s="32" t="inlineStr">
        <is>
          <t>7y since filing; plan not in our documents</t>
        </is>
      </c>
      <c r="AU52" s="32" t="inlineStr">
        <is>
          <t>12.503.801/0001-59</t>
        </is>
      </c>
      <c r="AV52" s="32" t="inlineStr">
        <is>
          <t>printed on the list (read twice)</t>
        </is>
      </c>
      <c r="AW52" s="32" t="inlineStr"/>
      <c r="AX52" s="32" t="inlineStr"/>
      <c r="AY52" s="32" t="inlineStr"/>
      <c r="AZ52" s="32" t="inlineStr"/>
      <c r="BA52" s="32" t="inlineStr"/>
      <c r="BB52" s="33" t="inlineStr"/>
      <c r="BC52" s="32" t="inlineStr">
        <is>
          <t>UNKNOWN</t>
        </is>
      </c>
      <c r="BD52" s="32" t="inlineStr">
        <is>
          <t>33657248</t>
        </is>
      </c>
      <c r="BE52" s="32" t="n">
        <v>1</v>
      </c>
      <c r="BF52" s="32" t="inlineStr">
        <is>
          <t>financial by name list prints no totals no RFB record no route in</t>
        </is>
      </c>
    </row>
    <row r="53">
      <c r="A53" s="17" t="inlineStr">
        <is>
          <t>BANCO BRADESCO S.A.</t>
        </is>
      </c>
      <c r="B53" s="18" t="n">
        <v>14366044.44</v>
      </c>
      <c r="C53" s="19" t="inlineStr">
        <is>
          <t>FORMAPLAN FORMAS PLANEJADAS INDÚSTRIA E COMÉRCIO LTDA</t>
        </is>
      </c>
      <c r="D53" s="20" t="inlineStr">
        <is>
          <t>NEW</t>
        </is>
      </c>
      <c r="E53" s="21" t="inlineStr"/>
      <c r="F53" s="20" t="inlineStr"/>
      <c r="G53" s="21" t="inlineStr"/>
      <c r="H53" s="20" t="inlineStr"/>
      <c r="I53" s="22" t="inlineStr">
        <is>
          <t>Marcela Martins</t>
        </is>
      </c>
      <c r="J53" s="22" t="inlineStr">
        <is>
          <t>Superintendente de Recuperação de Crédito - Canais e Operações</t>
        </is>
      </c>
      <c r="K53" s="22" t="inlineStr">
        <is>
          <t>(11) 3684-5122</t>
        </is>
      </c>
      <c r="L53" s="22" t="inlineStr"/>
      <c r="M53" s="22" t="inlineStr"/>
      <c r="N53" s="22" t="inlineStr"/>
      <c r="O53" s="22" t="inlineStr"/>
      <c r="P53" s="22" t="inlineStr">
        <is>
          <t>Luis S</t>
        </is>
      </c>
      <c r="Q53" s="22" t="inlineStr">
        <is>
          <t>DRC - Departamento de Recuperação de Crédito - Gerente de Reestruturação de Crédito</t>
        </is>
      </c>
      <c r="R53" s="22" t="inlineStr"/>
      <c r="S53" s="22" t="inlineStr">
        <is>
          <t>sl@bradesco.com.br</t>
        </is>
      </c>
      <c r="T53" s="22" t="inlineStr">
        <is>
          <t>DM: DM; no work email in Apollo for DM; BACKUP: backup</t>
        </is>
      </c>
      <c r="U53" s="24" t="n">
        <v>14366044.44</v>
      </c>
      <c r="V53" s="39" t="inlineStr">
        <is>
          <t>C</t>
        </is>
      </c>
      <c r="W53" s="26" t="inlineStr"/>
      <c r="X53" s="27" t="inlineStr"/>
      <c r="Y53" s="27" t="inlineStr"/>
      <c r="Z53" s="26">
        <f>IF(W53&lt;&gt;"",W53,IFERROR(VLOOKUP(V53,Assumptions!$A$8:$F$12,2,FALSE),0))*Assumptions!$B$5</f>
        <v/>
      </c>
      <c r="AA53" s="28">
        <f>IF(V53="A",MAX(1,IF(X53&lt;&gt;"",X53,IFERROR(VLOOKUP(V53,Assumptions!$A$8:$F$12,3,FALSE),3))+IF(Y53&lt;&gt;"",Y53,IFERROR(VLOOKUP(V53,Assumptions!$A$8:$F$12,4,FALSE),8))/2-MAX(0,IF(AS53="",0,YEAR(TODAY())-AS53)-IFERROR(VLOOKUP(V53,Assumptions!$A$8:$F$12,5,FALSE),1.5))),IFERROR(VLOOKUP(V53,Assumptions!$A$8:$F$12,5,FALSE),2.5)+IF(X53&lt;&gt;"",X53,IFERROR(VLOOKUP(V53,Assumptions!$A$8:$F$12,3,FALSE),3))+IF(Y53&lt;&gt;"",Y53,IFERROR(VLOOKUP(V53,Assumptions!$A$8:$F$12,4,FALSE),8))/2)</f>
        <v/>
      </c>
      <c r="AB53" s="24">
        <f>U53*Z53/(1+Assumptions!$B$3)^AA53</f>
        <v/>
      </c>
      <c r="AC53" s="27">
        <f>IF(U53=0,"",ROUND(AB53/U53*100,1))</f>
        <v/>
      </c>
      <c r="AD53" s="29">
        <f>AB53*Assumptions!$B$4</f>
        <v/>
      </c>
      <c r="AE53" s="27">
        <f>IF(U53=0,"",ROUND(AD53/U53*100,1))</f>
        <v/>
      </c>
      <c r="AF53" s="29">
        <f>AB53-AD53</f>
        <v/>
      </c>
      <c r="AG53" s="27">
        <f>IF(U53=0,"",ROUND((AB53-AD53)/U53*100,1))</f>
        <v/>
      </c>
      <c r="AH53" s="35" t="inlineStr">
        <is>
          <t>PARTIAL — class III reconciled, other classes not</t>
        </is>
      </c>
      <c r="AI53" s="31" t="inlineStr">
        <is>
          <t>https://marquesadmjudicial.com.br/sgc/download.php?file=files/processo_documento/processo_documento15232121112024_1_.pdf&amp;nome=Relação de Credores</t>
        </is>
      </c>
      <c r="AJ53" s="30" t="inlineStr">
        <is>
          <t>p13 r7</t>
        </is>
      </c>
      <c r="AK53" s="30" t="inlineStr">
        <is>
          <t>p13: R$ 14.366.044,44</t>
        </is>
      </c>
      <c r="AL53" s="30" t="inlineStr">
        <is>
          <t>AJ list (art. 7 §2)</t>
        </is>
      </c>
      <c r="AM53" s="30" t="inlineStr">
        <is>
          <t>2021-01-22</t>
        </is>
      </c>
      <c r="AN53" s="30" t="inlineStr">
        <is>
          <t>NONE FOUND</t>
        </is>
      </c>
      <c r="AO53" s="32" t="inlineStr">
        <is>
          <t>0000410-68.2021.8.16.0174</t>
        </is>
      </c>
      <c r="AP53" s="32" t="inlineStr">
        <is>
          <t>TJPR</t>
        </is>
      </c>
      <c r="AQ53" s="32" t="inlineStr">
        <is>
          <t>Recuperação judicial</t>
        </is>
      </c>
      <c r="AR53" s="32" t="inlineStr">
        <is>
          <t>DataJud: no closure/falência movement</t>
        </is>
      </c>
      <c r="AS53" s="32" t="n">
        <v>2021</v>
      </c>
      <c r="AT53" s="32" t="inlineStr">
        <is>
          <t>5y since filing; plan not in our documents</t>
        </is>
      </c>
      <c r="AU53" s="32" t="inlineStr">
        <is>
          <t>00.262.371/0001-41</t>
        </is>
      </c>
      <c r="AV53" s="32" t="inlineStr">
        <is>
          <t>printed on the list (read twice)</t>
        </is>
      </c>
      <c r="AW53" s="32" t="inlineStr"/>
      <c r="AX53" s="32" t="inlineStr">
        <is>
          <t>OSASCO</t>
        </is>
      </c>
      <c r="AY53" s="32" t="inlineStr">
        <is>
          <t>SP</t>
        </is>
      </c>
      <c r="AZ53" s="32" t="inlineStr">
        <is>
          <t>Bancos múltiplos, com carteira comercial</t>
        </is>
      </c>
      <c r="BA53" s="32" t="inlineStr">
        <is>
          <t>não ME/EPP</t>
        </is>
      </c>
      <c r="BB53" s="33" t="n">
        <v>93770000000</v>
      </c>
      <c r="BC53" s="32" t="inlineStr">
        <is>
          <t>LARGE CORP</t>
        </is>
      </c>
      <c r="BD53" s="32" t="inlineStr">
        <is>
          <t>60746948</t>
        </is>
      </c>
      <c r="BE53" s="32" t="n">
        <v>1</v>
      </c>
      <c r="BF53" s="32" t="inlineStr">
        <is>
          <t>financial by name class III reconciled (doc partial)</t>
        </is>
      </c>
    </row>
    <row r="54">
      <c r="A54" s="17" t="inlineStr">
        <is>
          <t>STONE SOCIEDADE DE CREDITO DIRETO S.A.</t>
        </is>
      </c>
      <c r="B54" s="18" t="n">
        <v>16005897.08</v>
      </c>
      <c r="C54" s="19" t="inlineStr">
        <is>
          <t>GRUPO 3E</t>
        </is>
      </c>
      <c r="D54" s="20" t="inlineStr">
        <is>
          <t>NEW</t>
        </is>
      </c>
      <c r="E54" s="21" t="inlineStr"/>
      <c r="F54" s="20" t="inlineStr"/>
      <c r="G54" s="21" t="inlineStr"/>
      <c r="H54" s="20" t="inlineStr"/>
      <c r="I54" s="22" t="inlineStr">
        <is>
          <t>Alex Aquino</t>
        </is>
      </c>
      <c r="J54" s="22" t="inlineStr">
        <is>
          <t>Gerente de Reestruturação de Crédito</t>
        </is>
      </c>
      <c r="K54" s="22" t="inlineStr">
        <is>
          <t>(11) 3568-6318</t>
        </is>
      </c>
      <c r="L54" s="22" t="inlineStr"/>
      <c r="M54" s="22" t="inlineStr"/>
      <c r="N54" s="22" t="inlineStr"/>
      <c r="O54" s="22" t="inlineStr"/>
      <c r="P54" s="22" t="inlineStr">
        <is>
          <t>Isaias Oliveira</t>
        </is>
      </c>
      <c r="Q54" s="22" t="inlineStr">
        <is>
          <t>Credit Recovery &amp; Collateral Management Lead</t>
        </is>
      </c>
      <c r="R54" s="22" t="inlineStr"/>
      <c r="S54" s="22" t="inlineStr">
        <is>
          <t>isaias.alves@stone.com.br</t>
        </is>
      </c>
      <c r="T54" s="22" t="inlineStr">
        <is>
          <t>DM: DM; email dropped: Apollo matched a US brewery, not Stone SCD; no work email in Apollo for DM; BACKUP: backup</t>
        </is>
      </c>
      <c r="U54" s="24" t="n">
        <v>16005897.08</v>
      </c>
      <c r="V54" s="25" t="inlineStr">
        <is>
          <t>B</t>
        </is>
      </c>
      <c r="W54" s="26" t="n">
        <v>0.12</v>
      </c>
      <c r="X54" s="27" t="n">
        <v>2</v>
      </c>
      <c r="Y54" s="27" t="n">
        <v>13</v>
      </c>
      <c r="Z54" s="26">
        <f>IF(W54&lt;&gt;"",W54,IFERROR(VLOOKUP(V54,Assumptions!$A$8:$F$12,2,FALSE),0))*Assumptions!$B$5</f>
        <v/>
      </c>
      <c r="AA54" s="28">
        <f>IF(V54="A",MAX(1,IF(X54&lt;&gt;"",X54,IFERROR(VLOOKUP(V54,Assumptions!$A$8:$F$12,3,FALSE),3))+IF(Y54&lt;&gt;"",Y54,IFERROR(VLOOKUP(V54,Assumptions!$A$8:$F$12,4,FALSE),8))/2-MAX(0,IF(AS54="",0,YEAR(TODAY())-AS54)-IFERROR(VLOOKUP(V54,Assumptions!$A$8:$F$12,5,FALSE),1.5))),IFERROR(VLOOKUP(V54,Assumptions!$A$8:$F$12,5,FALSE),2.5)+IF(X54&lt;&gt;"",X54,IFERROR(VLOOKUP(V54,Assumptions!$A$8:$F$12,3,FALSE),3))+IF(Y54&lt;&gt;"",Y54,IFERROR(VLOOKUP(V54,Assumptions!$A$8:$F$12,4,FALSE),8))/2)</f>
        <v/>
      </c>
      <c r="AB54" s="24">
        <f>U54*Z54/(1+Assumptions!$B$3)^AA54</f>
        <v/>
      </c>
      <c r="AC54" s="27">
        <f>IF(U54=0,"",ROUND(AB54/U54*100,1))</f>
        <v/>
      </c>
      <c r="AD54" s="29">
        <f>AB54*Assumptions!$B$4</f>
        <v/>
      </c>
      <c r="AE54" s="27">
        <f>IF(U54=0,"",ROUND(AD54/U54*100,1))</f>
        <v/>
      </c>
      <c r="AF54" s="29">
        <f>AB54-AD54</f>
        <v/>
      </c>
      <c r="AG54" s="27">
        <f>IF(U54=0,"",ROUND((AB54-AD54)/U54*100,1))</f>
        <v/>
      </c>
      <c r="AH54" s="34" t="inlineStr">
        <is>
          <t>NO TOTALS — list prints none; check page</t>
        </is>
      </c>
      <c r="AI54" s="31" t="inlineStr">
        <is>
          <t>https://stenius.com.br/wp-content/uploads/2026/06/EDITAL-GRUPO-3E.pdf</t>
        </is>
      </c>
      <c r="AJ54" s="30" t="inlineStr">
        <is>
          <t>p18 r11</t>
        </is>
      </c>
      <c r="AK54" s="30" t="inlineStr">
        <is>
          <t>p18: R$ 16.005.897,08</t>
        </is>
      </c>
      <c r="AL54" s="30" t="inlineStr">
        <is>
          <t>Debtor list (art. 51)</t>
        </is>
      </c>
      <c r="AM54" s="30" t="inlineStr">
        <is>
          <t>2026-06-22</t>
        </is>
      </c>
      <c r="AN54" s="30" t="inlineStr">
        <is>
          <t>PLAN FILED (art. 53), not granted</t>
        </is>
      </c>
      <c r="AO54" s="32" t="inlineStr">
        <is>
          <t>5341375-33.2026.8.09.0049</t>
        </is>
      </c>
      <c r="AP54" s="32" t="inlineStr">
        <is>
          <t>TJGO</t>
        </is>
      </c>
      <c r="AQ54" s="32" t="inlineStr">
        <is>
          <t>Recuperação judicial</t>
        </is>
      </c>
      <c r="AR54" s="32" t="inlineStr">
        <is>
          <t>DataJud: no closure/falência movement</t>
        </is>
      </c>
      <c r="AS54" s="32" t="n">
        <v>2026</v>
      </c>
      <c r="AT54" s="32" t="inlineStr">
        <is>
          <t>plan filed (art. 53), not yet granted</t>
        </is>
      </c>
      <c r="AU54" s="32" t="inlineStr"/>
      <c r="AV54" s="32" t="inlineStr">
        <is>
          <t>printed on the list (read twice)</t>
        </is>
      </c>
      <c r="AW54" s="32" t="inlineStr">
        <is>
          <t>Plano de Recuperação Judicial Grupo 3E v2.0 (Métis), mov. 321, pp.24-25</t>
        </is>
      </c>
      <c r="AX54" s="32" t="inlineStr">
        <is>
          <t>SAO PAULO</t>
        </is>
      </c>
      <c r="AY54" s="32" t="inlineStr">
        <is>
          <t>SP</t>
        </is>
      </c>
      <c r="AZ54" s="32" t="inlineStr">
        <is>
          <t>Outras atividades de serviços financeiros não especificadas anteriormente</t>
        </is>
      </c>
      <c r="BA54" s="32" t="inlineStr">
        <is>
          <t>não ME/EPP</t>
        </is>
      </c>
      <c r="BB54" s="33" t="n">
        <v>651000000</v>
      </c>
      <c r="BC54" s="32" t="inlineStr">
        <is>
          <t>LARGE CORP</t>
        </is>
      </c>
      <c r="BD54" s="32" t="inlineStr">
        <is>
          <t>34590184</t>
        </is>
      </c>
      <c r="BE54" s="32" t="n">
        <v>1</v>
      </c>
      <c r="BF54" s="32" t="inlineStr">
        <is>
          <t>list prints no totals</t>
        </is>
      </c>
    </row>
    <row r="55">
      <c r="A55" s="17" t="inlineStr">
        <is>
          <t>Gavea Securitizadora S.A.</t>
        </is>
      </c>
      <c r="B55" s="18" t="n">
        <v>3660943.81</v>
      </c>
      <c r="C55" s="19" t="inlineStr">
        <is>
          <t>GRUPO DP4</t>
        </is>
      </c>
      <c r="D55" s="20" t="inlineStr">
        <is>
          <t>NEW</t>
        </is>
      </c>
      <c r="E55" s="21" t="inlineStr"/>
      <c r="F55" s="20" t="inlineStr"/>
      <c r="G55" s="21" t="inlineStr"/>
      <c r="H55" s="20" t="inlineStr"/>
      <c r="I55" s="22" t="inlineStr">
        <is>
          <t>Elisangela Mattioli</t>
        </is>
      </c>
      <c r="J55" s="22" t="inlineStr">
        <is>
          <t>Senior Credit Analyst</t>
        </is>
      </c>
      <c r="K55" s="22" t="inlineStr"/>
      <c r="L55" s="22" t="inlineStr"/>
      <c r="M55" s="22" t="inlineStr"/>
      <c r="N55" s="22" t="inlineStr"/>
      <c r="O55" s="22" t="inlineStr"/>
      <c r="P55" s="22" t="inlineStr">
        <is>
          <t>Kilsilene Sul</t>
        </is>
      </c>
      <c r="Q55" s="22" t="inlineStr">
        <is>
          <t>Collection Assistant</t>
        </is>
      </c>
      <c r="R55" s="22" t="inlineStr"/>
      <c r="S55" s="22" t="inlineStr"/>
      <c r="T55" s="22" t="inlineStr">
        <is>
          <t>DM: DM; no work email in Apollo for DM; BACKUP: backup; NO ROUTE IN: no phone or email on file</t>
        </is>
      </c>
      <c r="U55" s="24" t="n">
        <v>3660943.81</v>
      </c>
      <c r="V55" s="25" t="inlineStr">
        <is>
          <t>B</t>
        </is>
      </c>
      <c r="W55" s="26" t="inlineStr"/>
      <c r="X55" s="27" t="inlineStr"/>
      <c r="Y55" s="27" t="inlineStr"/>
      <c r="Z55" s="26">
        <f>IF(W55&lt;&gt;"",W55,IFERROR(VLOOKUP(V55,Assumptions!$A$8:$F$12,2,FALSE),0))*Assumptions!$B$5</f>
        <v/>
      </c>
      <c r="AA55" s="28">
        <f>IF(V55="A",MAX(1,IF(X55&lt;&gt;"",X55,IFERROR(VLOOKUP(V55,Assumptions!$A$8:$F$12,3,FALSE),3))+IF(Y55&lt;&gt;"",Y55,IFERROR(VLOOKUP(V55,Assumptions!$A$8:$F$12,4,FALSE),8))/2-MAX(0,IF(AS55="",0,YEAR(TODAY())-AS55)-IFERROR(VLOOKUP(V55,Assumptions!$A$8:$F$12,5,FALSE),1.5))),IFERROR(VLOOKUP(V55,Assumptions!$A$8:$F$12,5,FALSE),2.5)+IF(X55&lt;&gt;"",X55,IFERROR(VLOOKUP(V55,Assumptions!$A$8:$F$12,3,FALSE),3))+IF(Y55&lt;&gt;"",Y55,IFERROR(VLOOKUP(V55,Assumptions!$A$8:$F$12,4,FALSE),8))/2)</f>
        <v/>
      </c>
      <c r="AB55" s="24">
        <f>U55*Z55/(1+Assumptions!$B$3)^AA55</f>
        <v/>
      </c>
      <c r="AC55" s="27">
        <f>IF(U55=0,"",ROUND(AB55/U55*100,1))</f>
        <v/>
      </c>
      <c r="AD55" s="29">
        <f>AB55*Assumptions!$B$4</f>
        <v/>
      </c>
      <c r="AE55" s="27">
        <f>IF(U55=0,"",ROUND(AD55/U55*100,1))</f>
        <v/>
      </c>
      <c r="AF55" s="29">
        <f>AB55-AD55</f>
        <v/>
      </c>
      <c r="AG55" s="27">
        <f>IF(U55=0,"",ROUND((AB55-AD55)/U55*100,1))</f>
        <v/>
      </c>
      <c r="AH55" s="35" t="inlineStr">
        <is>
          <t>PARTIAL — class III reconciled, other classes not</t>
        </is>
      </c>
      <c r="AI55" s="31" t="inlineStr">
        <is>
          <t>https://marquesadmjudicial.com.br/sgc/download.php?file=files/processo_documento/processo_documento15293208032024_1_.pdf&amp;nome=Relação Nominal de Credores da AJ-Sintética</t>
        </is>
      </c>
      <c r="AJ55" s="30" t="inlineStr">
        <is>
          <t>p25 r13</t>
        </is>
      </c>
      <c r="AK55" s="30" t="inlineStr">
        <is>
          <t>p25: R$ 3.660.943,81</t>
        </is>
      </c>
      <c r="AL55" s="30" t="inlineStr">
        <is>
          <t>AJ list (art. 7 §2)</t>
        </is>
      </c>
      <c r="AM55" s="30" t="inlineStr">
        <is>
          <t>2023-03-02</t>
        </is>
      </c>
      <c r="AN55" s="30" t="inlineStr">
        <is>
          <t>NONE FOUND</t>
        </is>
      </c>
      <c r="AO55" s="32" t="inlineStr">
        <is>
          <t>0005010-98.2023.8.16.0001</t>
        </is>
      </c>
      <c r="AP55" s="32" t="inlineStr">
        <is>
          <t>TJPR</t>
        </is>
      </c>
      <c r="AQ55" s="32" t="inlineStr">
        <is>
          <t>Recuperação judicial</t>
        </is>
      </c>
      <c r="AR55" s="32" t="inlineStr">
        <is>
          <t>DataJud: no closure/falência movement</t>
        </is>
      </c>
      <c r="AS55" s="32" t="n">
        <v>2023</v>
      </c>
      <c r="AT55" s="32" t="inlineStr">
        <is>
          <t>live case, no plan document yet</t>
        </is>
      </c>
      <c r="AU55" s="32" t="inlineStr"/>
      <c r="AV55" s="32" t="inlineStr">
        <is>
          <t>printed on the list (read twice)</t>
        </is>
      </c>
      <c r="AW55" s="32" t="inlineStr"/>
      <c r="AX55" s="32" t="inlineStr"/>
      <c r="AY55" s="32" t="inlineStr"/>
      <c r="AZ55" s="32" t="inlineStr"/>
      <c r="BA55" s="32" t="inlineStr"/>
      <c r="BB55" s="33" t="inlineStr"/>
      <c r="BC55" s="32" t="inlineStr">
        <is>
          <t>UNKNOWN</t>
        </is>
      </c>
      <c r="BD55" s="32" t="inlineStr">
        <is>
          <t>11193684</t>
        </is>
      </c>
      <c r="BE55" s="32" t="n">
        <v>1</v>
      </c>
      <c r="BF55" s="32" t="inlineStr">
        <is>
          <t>financial by name class III reconciled (doc partial) no RFB record no route in</t>
        </is>
      </c>
    </row>
    <row r="56">
      <c r="A56" s="17" t="inlineStr">
        <is>
          <t>ITAU UNIBANCO S.A.</t>
        </is>
      </c>
      <c r="B56" s="18" t="n">
        <v>3660419.48</v>
      </c>
      <c r="C56" s="19" t="inlineStr">
        <is>
          <t>AZEPLAST INDÚSTRIA E COMÉRCIO LTDA</t>
        </is>
      </c>
      <c r="D56" s="20" t="inlineStr">
        <is>
          <t>NEW</t>
        </is>
      </c>
      <c r="E56" s="21" t="inlineStr"/>
      <c r="F56" s="20" t="inlineStr"/>
      <c r="G56" s="21" t="inlineStr"/>
      <c r="H56" s="20" t="inlineStr"/>
      <c r="I56" s="22" t="inlineStr">
        <is>
          <t>Murilo Gigliucci</t>
        </is>
      </c>
      <c r="J56" s="22" t="inlineStr">
        <is>
          <t>Superintendente de Reestruturação de Crédito</t>
        </is>
      </c>
      <c r="K56" s="22" t="inlineStr">
        <is>
          <t>(11) 3003-4828</t>
        </is>
      </c>
      <c r="L56" s="22" t="inlineStr"/>
      <c r="M56" s="22" t="inlineStr"/>
      <c r="N56" s="22" t="inlineStr">
        <is>
          <t>murilo.gigliucci@itau-unibanco.com.br</t>
        </is>
      </c>
      <c r="O56" s="22" t="inlineStr">
        <is>
          <t>verified</t>
        </is>
      </c>
      <c r="P56" s="22" t="inlineStr">
        <is>
          <t>Pedro Ornellas</t>
        </is>
      </c>
      <c r="Q56" s="22" t="inlineStr">
        <is>
          <t>Superintendente de Recuperação de Crédito</t>
        </is>
      </c>
      <c r="R56" s="22" t="inlineStr"/>
      <c r="S56" s="22" t="inlineStr">
        <is>
          <t>pedro.ornellas-geronimo@itau-unibanco.com.br</t>
        </is>
      </c>
      <c r="T56" s="22" t="inlineStr">
        <is>
          <t>DM: DM verified email; BACKUP: backup verified email</t>
        </is>
      </c>
      <c r="U56" s="24" t="n">
        <v>3660419.48</v>
      </c>
      <c r="V56" s="25" t="inlineStr">
        <is>
          <t>B</t>
        </is>
      </c>
      <c r="W56" s="26" t="inlineStr"/>
      <c r="X56" s="27" t="inlineStr"/>
      <c r="Y56" s="27" t="inlineStr"/>
      <c r="Z56" s="26">
        <f>IF(W56&lt;&gt;"",W56,IFERROR(VLOOKUP(V56,Assumptions!$A$8:$F$12,2,FALSE),0))*Assumptions!$B$5</f>
        <v/>
      </c>
      <c r="AA56" s="28">
        <f>IF(V56="A",MAX(1,IF(X56&lt;&gt;"",X56,IFERROR(VLOOKUP(V56,Assumptions!$A$8:$F$12,3,FALSE),3))+IF(Y56&lt;&gt;"",Y56,IFERROR(VLOOKUP(V56,Assumptions!$A$8:$F$12,4,FALSE),8))/2-MAX(0,IF(AS56="",0,YEAR(TODAY())-AS56)-IFERROR(VLOOKUP(V56,Assumptions!$A$8:$F$12,5,FALSE),1.5))),IFERROR(VLOOKUP(V56,Assumptions!$A$8:$F$12,5,FALSE),2.5)+IF(X56&lt;&gt;"",X56,IFERROR(VLOOKUP(V56,Assumptions!$A$8:$F$12,3,FALSE),3))+IF(Y56&lt;&gt;"",Y56,IFERROR(VLOOKUP(V56,Assumptions!$A$8:$F$12,4,FALSE),8))/2)</f>
        <v/>
      </c>
      <c r="AB56" s="24">
        <f>U56*Z56/(1+Assumptions!$B$3)^AA56</f>
        <v/>
      </c>
      <c r="AC56" s="27">
        <f>IF(U56=0,"",ROUND(AB56/U56*100,1))</f>
        <v/>
      </c>
      <c r="AD56" s="29">
        <f>AB56*Assumptions!$B$4</f>
        <v/>
      </c>
      <c r="AE56" s="27">
        <f>IF(U56=0,"",ROUND(AD56/U56*100,1))</f>
        <v/>
      </c>
      <c r="AF56" s="29">
        <f>AB56-AD56</f>
        <v/>
      </c>
      <c r="AG56" s="27">
        <f>IF(U56=0,"",ROUND((AB56-AD56)/U56*100,1))</f>
        <v/>
      </c>
      <c r="AH56" s="35" t="inlineStr">
        <is>
          <t>PARTIAL — class III reconciled, other classes not</t>
        </is>
      </c>
      <c r="AI56" s="31" t="inlineStr">
        <is>
          <t>https://ajruiz.com.br/sites/default/files/public/arquivos-processos/2026-08/qgc_azeplast_julho_2026.pdf</t>
        </is>
      </c>
      <c r="AJ56" s="30" t="inlineStr">
        <is>
          <t>p1 r32</t>
        </is>
      </c>
      <c r="AK56" s="30" t="inlineStr">
        <is>
          <t>p1: R$ 3.660.419,48</t>
        </is>
      </c>
      <c r="AL56" s="30" t="inlineStr">
        <is>
          <t>QGC (art. 18)</t>
        </is>
      </c>
      <c r="AM56" s="30" t="inlineStr"/>
      <c r="AN56" s="30" t="inlineStr">
        <is>
          <t>NONE FOUND</t>
        </is>
      </c>
      <c r="AO56" s="32" t="inlineStr">
        <is>
          <t>5008793-34.2023.8.24.0019</t>
        </is>
      </c>
      <c r="AP56" s="32" t="inlineStr">
        <is>
          <t>TJSC</t>
        </is>
      </c>
      <c r="AQ56" s="32" t="inlineStr">
        <is>
          <t>Recuperação judicial</t>
        </is>
      </c>
      <c r="AR56" s="32" t="inlineStr">
        <is>
          <t>DataJud: no closure/falência movement</t>
        </is>
      </c>
      <c r="AS56" s="32" t="n">
        <v>2023</v>
      </c>
      <c r="AT56" s="32" t="inlineStr">
        <is>
          <t>live case, no plan document yet</t>
        </is>
      </c>
      <c r="AU56" s="32" t="inlineStr"/>
      <c r="AV56" s="32" t="inlineStr">
        <is>
          <t>printed on the list (read twice)</t>
        </is>
      </c>
      <c r="AW56" s="32" t="inlineStr"/>
      <c r="AX56" s="32" t="inlineStr">
        <is>
          <t>SAO PAULO</t>
        </is>
      </c>
      <c r="AY56" s="32" t="inlineStr">
        <is>
          <t>SP</t>
        </is>
      </c>
      <c r="AZ56" s="32" t="inlineStr">
        <is>
          <t>Bancos comerciais</t>
        </is>
      </c>
      <c r="BA56" s="32" t="inlineStr">
        <is>
          <t>não ME/EPP</t>
        </is>
      </c>
      <c r="BB56" s="33" t="n">
        <v>76200000000</v>
      </c>
      <c r="BC56" s="32" t="inlineStr">
        <is>
          <t>LARGE CORP</t>
        </is>
      </c>
      <c r="BD56" s="32" t="inlineStr">
        <is>
          <t>60701190</t>
        </is>
      </c>
      <c r="BE56" s="32" t="n">
        <v>1</v>
      </c>
      <c r="BF56" s="32" t="inlineStr">
        <is>
          <t>financial by name class III reconciled (doc partial)</t>
        </is>
      </c>
    </row>
    <row r="57">
      <c r="A57" s="17" t="inlineStr">
        <is>
          <t>METAL CREDIT SECURITIZADORA S.A.</t>
        </is>
      </c>
      <c r="B57" s="18" t="n">
        <v>3539955.57</v>
      </c>
      <c r="C57" s="19" t="inlineStr">
        <is>
          <t>Grupo Conduscabos</t>
        </is>
      </c>
      <c r="D57" s="20" t="inlineStr">
        <is>
          <t>NEW</t>
        </is>
      </c>
      <c r="E57" s="21" t="inlineStr"/>
      <c r="F57" s="20" t="inlineStr"/>
      <c r="G57" s="21" t="inlineStr"/>
      <c r="H57" s="20" t="inlineStr"/>
      <c r="I57" s="22" t="inlineStr">
        <is>
          <t>GILMAR ROBERTO DETTILIO JUNIOR</t>
        </is>
      </c>
      <c r="J57" s="23" t="inlineStr">
        <is>
          <t>Presidente (RFB partner)</t>
        </is>
      </c>
      <c r="K57" s="22" t="inlineStr">
        <is>
          <t>(41) 3244-4560</t>
        </is>
      </c>
      <c r="L57" s="22" t="inlineStr"/>
      <c r="M57" s="22" t="inlineStr"/>
      <c r="N57" s="22" t="inlineStr"/>
      <c r="O57" s="22" t="inlineStr"/>
      <c r="P57" s="22" t="inlineStr"/>
      <c r="Q57" s="22" t="inlineStr"/>
      <c r="R57" s="22" t="inlineStr"/>
      <c r="S57" s="22" t="inlineStr"/>
      <c r="T57" s="22" t="inlineStr">
        <is>
          <t>DM = registered partner (RFB QSA); no Apollo match</t>
        </is>
      </c>
      <c r="U57" s="24" t="n">
        <v>3539955.57</v>
      </c>
      <c r="V57" s="25" t="inlineStr">
        <is>
          <t>B</t>
        </is>
      </c>
      <c r="W57" s="26" t="inlineStr"/>
      <c r="X57" s="27" t="inlineStr"/>
      <c r="Y57" s="27" t="inlineStr"/>
      <c r="Z57" s="26">
        <f>IF(W57&lt;&gt;"",W57,IFERROR(VLOOKUP(V57,Assumptions!$A$8:$F$12,2,FALSE),0))*Assumptions!$B$5</f>
        <v/>
      </c>
      <c r="AA57" s="28">
        <f>IF(V57="A",MAX(1,IF(X57&lt;&gt;"",X57,IFERROR(VLOOKUP(V57,Assumptions!$A$8:$F$12,3,FALSE),3))+IF(Y57&lt;&gt;"",Y57,IFERROR(VLOOKUP(V57,Assumptions!$A$8:$F$12,4,FALSE),8))/2-MAX(0,IF(AS57="",0,YEAR(TODAY())-AS57)-IFERROR(VLOOKUP(V57,Assumptions!$A$8:$F$12,5,FALSE),1.5))),IFERROR(VLOOKUP(V57,Assumptions!$A$8:$F$12,5,FALSE),2.5)+IF(X57&lt;&gt;"",X57,IFERROR(VLOOKUP(V57,Assumptions!$A$8:$F$12,3,FALSE),3))+IF(Y57&lt;&gt;"",Y57,IFERROR(VLOOKUP(V57,Assumptions!$A$8:$F$12,4,FALSE),8))/2)</f>
        <v/>
      </c>
      <c r="AB57" s="24">
        <f>U57*Z57/(1+Assumptions!$B$3)^AA57</f>
        <v/>
      </c>
      <c r="AC57" s="27">
        <f>IF(U57=0,"",ROUND(AB57/U57*100,1))</f>
        <v/>
      </c>
      <c r="AD57" s="29">
        <f>AB57*Assumptions!$B$4</f>
        <v/>
      </c>
      <c r="AE57" s="27">
        <f>IF(U57=0,"",ROUND(AD57/U57*100,1))</f>
        <v/>
      </c>
      <c r="AF57" s="29">
        <f>AB57-AD57</f>
        <v/>
      </c>
      <c r="AG57" s="27">
        <f>IF(U57=0,"",ROUND((AB57-AD57)/U57*100,1))</f>
        <v/>
      </c>
      <c r="AH57" s="34" t="inlineStr">
        <is>
          <t>NO TOTALS — list prints none; check page</t>
        </is>
      </c>
      <c r="AI57" s="31" t="inlineStr">
        <is>
          <t>https://assistjud.com.br/wp-content/uploads/elementor/forms/65098c80a5824.pdf</t>
        </is>
      </c>
      <c r="AJ57" s="30" t="inlineStr">
        <is>
          <t>p9 r2</t>
        </is>
      </c>
      <c r="AK57" s="30" t="inlineStr">
        <is>
          <t>p9: R$ 3.539.955,57</t>
        </is>
      </c>
      <c r="AL57" s="30" t="inlineStr">
        <is>
          <t>AJ list (art. 7 §2)</t>
        </is>
      </c>
      <c r="AM57" s="30" t="inlineStr">
        <is>
          <t>2023-09-18</t>
        </is>
      </c>
      <c r="AN57" s="30" t="inlineStr">
        <is>
          <t>NONE FOUND</t>
        </is>
      </c>
      <c r="AO57" s="32" t="inlineStr">
        <is>
          <t>8005129-09.2023.8.05.0039</t>
        </is>
      </c>
      <c r="AP57" s="32" t="inlineStr">
        <is>
          <t>TJBA</t>
        </is>
      </c>
      <c r="AQ57" s="32" t="inlineStr">
        <is>
          <t>Recuperação judicial</t>
        </is>
      </c>
      <c r="AR57" s="32" t="inlineStr">
        <is>
          <t>DataJud: no closure/falência movement</t>
        </is>
      </c>
      <c r="AS57" s="32" t="n">
        <v>2023</v>
      </c>
      <c r="AT57" s="32" t="inlineStr">
        <is>
          <t>live case, no plan document yet</t>
        </is>
      </c>
      <c r="AU57" s="32" t="inlineStr"/>
      <c r="AV57" s="32" t="inlineStr">
        <is>
          <t>printed on the list (read twice)</t>
        </is>
      </c>
      <c r="AW57" s="32" t="inlineStr"/>
      <c r="AX57" s="32" t="inlineStr">
        <is>
          <t>SAO PAULO</t>
        </is>
      </c>
      <c r="AY57" s="32" t="inlineStr">
        <is>
          <t>SP</t>
        </is>
      </c>
      <c r="AZ57" s="32" t="inlineStr">
        <is>
          <t>Securitização de créditos</t>
        </is>
      </c>
      <c r="BA57" s="32" t="inlineStr">
        <is>
          <t>não ME/EPP</t>
        </is>
      </c>
      <c r="BB57" s="33" t="n">
        <v>100000</v>
      </c>
      <c r="BC57" s="32" t="inlineStr">
        <is>
          <t>MID-MARKET</t>
        </is>
      </c>
      <c r="BD57" s="32" t="inlineStr">
        <is>
          <t>33721490</t>
        </is>
      </c>
      <c r="BE57" s="32" t="n">
        <v>1</v>
      </c>
      <c r="BF57" s="32" t="inlineStr">
        <is>
          <t>list prints no totals</t>
        </is>
      </c>
    </row>
    <row r="58">
      <c r="A58" s="17" t="inlineStr">
        <is>
          <t>BANCO BRADESCO S.A.</t>
        </is>
      </c>
      <c r="B58" s="18" t="n">
        <v>3441046.15</v>
      </c>
      <c r="C58" s="19" t="inlineStr">
        <is>
          <t>GRUPO DP4</t>
        </is>
      </c>
      <c r="D58" s="20" t="inlineStr">
        <is>
          <t>NEW</t>
        </is>
      </c>
      <c r="E58" s="21" t="inlineStr"/>
      <c r="F58" s="20" t="inlineStr"/>
      <c r="G58" s="21" t="inlineStr"/>
      <c r="H58" s="20" t="inlineStr"/>
      <c r="I58" s="22" t="inlineStr">
        <is>
          <t>Marcela Martins</t>
        </is>
      </c>
      <c r="J58" s="22" t="inlineStr">
        <is>
          <t>Superintendente de Recuperação de Crédito - Canais e Operações</t>
        </is>
      </c>
      <c r="K58" s="22" t="inlineStr">
        <is>
          <t>(11) 3684-5122</t>
        </is>
      </c>
      <c r="L58" s="22" t="inlineStr"/>
      <c r="M58" s="22" t="inlineStr"/>
      <c r="N58" s="22" t="inlineStr"/>
      <c r="O58" s="22" t="inlineStr"/>
      <c r="P58" s="22" t="inlineStr">
        <is>
          <t>Luis S</t>
        </is>
      </c>
      <c r="Q58" s="22" t="inlineStr">
        <is>
          <t>DRC - Departamento de Recuperação de Crédito - Gerente de Reestruturação de Crédito</t>
        </is>
      </c>
      <c r="R58" s="22" t="inlineStr"/>
      <c r="S58" s="22" t="inlineStr">
        <is>
          <t>sl@bradesco.com.br</t>
        </is>
      </c>
      <c r="T58" s="22" t="inlineStr">
        <is>
          <t>DM: DM; no work email in Apollo for DM; BACKUP: backup</t>
        </is>
      </c>
      <c r="U58" s="24" t="n">
        <v>3441046.15</v>
      </c>
      <c r="V58" s="25" t="inlineStr">
        <is>
          <t>B</t>
        </is>
      </c>
      <c r="W58" s="26" t="inlineStr"/>
      <c r="X58" s="27" t="inlineStr"/>
      <c r="Y58" s="27" t="inlineStr"/>
      <c r="Z58" s="26">
        <f>IF(W58&lt;&gt;"",W58,IFERROR(VLOOKUP(V58,Assumptions!$A$8:$F$12,2,FALSE),0))*Assumptions!$B$5</f>
        <v/>
      </c>
      <c r="AA58" s="28">
        <f>IF(V58="A",MAX(1,IF(X58&lt;&gt;"",X58,IFERROR(VLOOKUP(V58,Assumptions!$A$8:$F$12,3,FALSE),3))+IF(Y58&lt;&gt;"",Y58,IFERROR(VLOOKUP(V58,Assumptions!$A$8:$F$12,4,FALSE),8))/2-MAX(0,IF(AS58="",0,YEAR(TODAY())-AS58)-IFERROR(VLOOKUP(V58,Assumptions!$A$8:$F$12,5,FALSE),1.5))),IFERROR(VLOOKUP(V58,Assumptions!$A$8:$F$12,5,FALSE),2.5)+IF(X58&lt;&gt;"",X58,IFERROR(VLOOKUP(V58,Assumptions!$A$8:$F$12,3,FALSE),3))+IF(Y58&lt;&gt;"",Y58,IFERROR(VLOOKUP(V58,Assumptions!$A$8:$F$12,4,FALSE),8))/2)</f>
        <v/>
      </c>
      <c r="AB58" s="24">
        <f>U58*Z58/(1+Assumptions!$B$3)^AA58</f>
        <v/>
      </c>
      <c r="AC58" s="27">
        <f>IF(U58=0,"",ROUND(AB58/U58*100,1))</f>
        <v/>
      </c>
      <c r="AD58" s="29">
        <f>AB58*Assumptions!$B$4</f>
        <v/>
      </c>
      <c r="AE58" s="27">
        <f>IF(U58=0,"",ROUND(AD58/U58*100,1))</f>
        <v/>
      </c>
      <c r="AF58" s="29">
        <f>AB58-AD58</f>
        <v/>
      </c>
      <c r="AG58" s="27">
        <f>IF(U58=0,"",ROUND((AB58-AD58)/U58*100,1))</f>
        <v/>
      </c>
      <c r="AH58" s="35" t="inlineStr">
        <is>
          <t>PARTIAL — class III reconciled, other classes not</t>
        </is>
      </c>
      <c r="AI58" s="31" t="inlineStr">
        <is>
          <t>https://marquesadmjudicial.com.br/sgc/download.php?file=files/processo_documento/processo_documento15293208032024_1_.pdf&amp;nome=Relação Nominal de Credores da AJ-Sintética</t>
        </is>
      </c>
      <c r="AJ58" s="30" t="inlineStr">
        <is>
          <t>p20 r7</t>
        </is>
      </c>
      <c r="AK58" s="30" t="inlineStr">
        <is>
          <t>p20: R$ 3.441.046,15</t>
        </is>
      </c>
      <c r="AL58" s="30" t="inlineStr">
        <is>
          <t>AJ list (art. 7 §2)</t>
        </is>
      </c>
      <c r="AM58" s="30" t="inlineStr">
        <is>
          <t>2023-03-02</t>
        </is>
      </c>
      <c r="AN58" s="30" t="inlineStr">
        <is>
          <t>NONE FOUND</t>
        </is>
      </c>
      <c r="AO58" s="32" t="inlineStr">
        <is>
          <t>0005010-98.2023.8.16.0001</t>
        </is>
      </c>
      <c r="AP58" s="32" t="inlineStr">
        <is>
          <t>TJPR</t>
        </is>
      </c>
      <c r="AQ58" s="32" t="inlineStr">
        <is>
          <t>Recuperação judicial</t>
        </is>
      </c>
      <c r="AR58" s="32" t="inlineStr">
        <is>
          <t>DataJud: no closure/falência movement</t>
        </is>
      </c>
      <c r="AS58" s="32" t="n">
        <v>2023</v>
      </c>
      <c r="AT58" s="32" t="inlineStr">
        <is>
          <t>live case, no plan document yet</t>
        </is>
      </c>
      <c r="AU58" s="32" t="inlineStr"/>
      <c r="AV58" s="32" t="inlineStr">
        <is>
          <t>printed on the list (read twice)</t>
        </is>
      </c>
      <c r="AW58" s="32" t="inlineStr"/>
      <c r="AX58" s="32" t="inlineStr">
        <is>
          <t>OSASCO</t>
        </is>
      </c>
      <c r="AY58" s="32" t="inlineStr">
        <is>
          <t>SP</t>
        </is>
      </c>
      <c r="AZ58" s="32" t="inlineStr">
        <is>
          <t>Bancos múltiplos, com carteira comercial</t>
        </is>
      </c>
      <c r="BA58" s="32" t="inlineStr">
        <is>
          <t>não ME/EPP</t>
        </is>
      </c>
      <c r="BB58" s="33" t="n">
        <v>93770000000</v>
      </c>
      <c r="BC58" s="32" t="inlineStr">
        <is>
          <t>LARGE CORP</t>
        </is>
      </c>
      <c r="BD58" s="32" t="inlineStr">
        <is>
          <t>60746948</t>
        </is>
      </c>
      <c r="BE58" s="32" t="n">
        <v>1</v>
      </c>
      <c r="BF58" s="32" t="inlineStr">
        <is>
          <t>financial by name class III reconciled (doc partial)</t>
        </is>
      </c>
    </row>
    <row r="59">
      <c r="A59" s="17" t="inlineStr">
        <is>
          <t>BANCO DAYCOVAL S.A.</t>
        </is>
      </c>
      <c r="B59" s="18" t="n">
        <v>3438942.48</v>
      </c>
      <c r="C59" s="19" t="inlineStr">
        <is>
          <t>GRUPO CATTAN</t>
        </is>
      </c>
      <c r="D59" s="20" t="inlineStr">
        <is>
          <t>NEW</t>
        </is>
      </c>
      <c r="E59" s="21" t="inlineStr"/>
      <c r="F59" s="20" t="inlineStr"/>
      <c r="G59" s="21" t="inlineStr"/>
      <c r="H59" s="20" t="inlineStr"/>
      <c r="I59" s="22" t="inlineStr">
        <is>
          <t>Celso Araujo</t>
        </is>
      </c>
      <c r="J59" s="22" t="inlineStr">
        <is>
          <t>Gerente de Recuperação de Crédito</t>
        </is>
      </c>
      <c r="K59" s="22" t="inlineStr">
        <is>
          <t>(11) 3138-0500</t>
        </is>
      </c>
      <c r="L59" s="22" t="inlineStr"/>
      <c r="M59" s="22" t="inlineStr"/>
      <c r="N59" s="22" t="inlineStr">
        <is>
          <t>celso.araujo@bancodaycoval.com.br</t>
        </is>
      </c>
      <c r="O59" s="22" t="inlineStr">
        <is>
          <t>verified</t>
        </is>
      </c>
      <c r="P59" s="22" t="inlineStr">
        <is>
          <t>Andreia Matiel</t>
        </is>
      </c>
      <c r="Q59" s="22" t="inlineStr">
        <is>
          <t>Advogada Recuperação de Crédito Empresas</t>
        </is>
      </c>
      <c r="R59" s="22" t="inlineStr"/>
      <c r="S59" s="22" t="inlineStr">
        <is>
          <t>andreia.matiel@daycoval.com.br</t>
        </is>
      </c>
      <c r="T59" s="22" t="inlineStr">
        <is>
          <t>DM: DM verified email; BACKUP: backup verified email</t>
        </is>
      </c>
      <c r="U59" s="24" t="n">
        <v>3438942.48</v>
      </c>
      <c r="V59" s="25" t="inlineStr">
        <is>
          <t>B</t>
        </is>
      </c>
      <c r="W59" s="26" t="inlineStr"/>
      <c r="X59" s="27" t="inlineStr"/>
      <c r="Y59" s="27" t="inlineStr"/>
      <c r="Z59" s="26">
        <f>IF(W59&lt;&gt;"",W59,IFERROR(VLOOKUP(V59,Assumptions!$A$8:$F$12,2,FALSE),0))*Assumptions!$B$5</f>
        <v/>
      </c>
      <c r="AA59" s="28">
        <f>IF(V59="A",MAX(1,IF(X59&lt;&gt;"",X59,IFERROR(VLOOKUP(V59,Assumptions!$A$8:$F$12,3,FALSE),3))+IF(Y59&lt;&gt;"",Y59,IFERROR(VLOOKUP(V59,Assumptions!$A$8:$F$12,4,FALSE),8))/2-MAX(0,IF(AS59="",0,YEAR(TODAY())-AS59)-IFERROR(VLOOKUP(V59,Assumptions!$A$8:$F$12,5,FALSE),1.5))),IFERROR(VLOOKUP(V59,Assumptions!$A$8:$F$12,5,FALSE),2.5)+IF(X59&lt;&gt;"",X59,IFERROR(VLOOKUP(V59,Assumptions!$A$8:$F$12,3,FALSE),3))+IF(Y59&lt;&gt;"",Y59,IFERROR(VLOOKUP(V59,Assumptions!$A$8:$F$12,4,FALSE),8))/2)</f>
        <v/>
      </c>
      <c r="AB59" s="24">
        <f>U59*Z59/(1+Assumptions!$B$3)^AA59</f>
        <v/>
      </c>
      <c r="AC59" s="27">
        <f>IF(U59=0,"",ROUND(AB59/U59*100,1))</f>
        <v/>
      </c>
      <c r="AD59" s="29">
        <f>AB59*Assumptions!$B$4</f>
        <v/>
      </c>
      <c r="AE59" s="27">
        <f>IF(U59=0,"",ROUND(AD59/U59*100,1))</f>
        <v/>
      </c>
      <c r="AF59" s="29">
        <f>AB59-AD59</f>
        <v/>
      </c>
      <c r="AG59" s="27">
        <f>IF(U59=0,"",ROUND((AB59-AD59)/U59*100,1))</f>
        <v/>
      </c>
      <c r="AH59" s="35" t="inlineStr">
        <is>
          <t>PARTIAL — class III reconciled, other classes not</t>
        </is>
      </c>
      <c r="AI59" s="31" t="inlineStr">
        <is>
          <t>https://lrflideres.com.br/wp-content/plugins/download-attachments/includes/download.php?id=4023</t>
        </is>
      </c>
      <c r="AJ59" s="30" t="inlineStr">
        <is>
          <t>p4 r55; p7 r76</t>
        </is>
      </c>
      <c r="AK59" s="30" t="inlineStr">
        <is>
          <t>p4: R$ 684.717,11; p7: R$ 2.754.225,37</t>
        </is>
      </c>
      <c r="AL59" s="30" t="inlineStr">
        <is>
          <t>Debtor list (art. 51)</t>
        </is>
      </c>
      <c r="AM59" s="30" t="inlineStr"/>
      <c r="AN59" s="30" t="inlineStr">
        <is>
          <t>NONE FOUND</t>
        </is>
      </c>
      <c r="AO59" s="32" t="inlineStr">
        <is>
          <t>0002484-82.2022.8.17.2001</t>
        </is>
      </c>
      <c r="AP59" s="32" t="inlineStr">
        <is>
          <t>TJPE</t>
        </is>
      </c>
      <c r="AQ59" s="32" t="inlineStr">
        <is>
          <t>Recuperação judicial</t>
        </is>
      </c>
      <c r="AR59" s="32" t="inlineStr">
        <is>
          <t>DataJud: no closure/falência movement</t>
        </is>
      </c>
      <c r="AS59" s="32" t="n">
        <v>2022</v>
      </c>
      <c r="AT59" s="32" t="inlineStr">
        <is>
          <t>live case, no plan document yet</t>
        </is>
      </c>
      <c r="AU59" s="32" t="inlineStr"/>
      <c r="AV59" s="32" t="inlineStr">
        <is>
          <t>printed on the list (read twice)</t>
        </is>
      </c>
      <c r="AW59" s="32" t="inlineStr"/>
      <c r="AX59" s="32" t="inlineStr">
        <is>
          <t>SAO PAULO</t>
        </is>
      </c>
      <c r="AY59" s="32" t="inlineStr">
        <is>
          <t>SP</t>
        </is>
      </c>
      <c r="AZ59" s="32" t="inlineStr">
        <is>
          <t>Bancos múltiplos, com carteira comercial</t>
        </is>
      </c>
      <c r="BA59" s="32" t="inlineStr">
        <is>
          <t>não ME/EPP</t>
        </is>
      </c>
      <c r="BB59" s="33" t="n">
        <v>6907260000</v>
      </c>
      <c r="BC59" s="32" t="inlineStr">
        <is>
          <t>LARGE CORP</t>
        </is>
      </c>
      <c r="BD59" s="32" t="inlineStr">
        <is>
          <t>62232889</t>
        </is>
      </c>
      <c r="BE59" s="32" t="n">
        <v>2</v>
      </c>
      <c r="BF59" s="32" t="inlineStr">
        <is>
          <t>financial by name class III reconciled (doc partial)</t>
        </is>
      </c>
    </row>
    <row r="60">
      <c r="A60" s="17" t="inlineStr">
        <is>
          <t>BANCO ITAUCARD S.A.</t>
        </is>
      </c>
      <c r="B60" s="18" t="n">
        <v>6300000</v>
      </c>
      <c r="C60" s="37" t="inlineStr">
        <is>
          <t>(debtor not identified — see proof)</t>
        </is>
      </c>
      <c r="D60" s="20" t="inlineStr">
        <is>
          <t>NEW</t>
        </is>
      </c>
      <c r="E60" s="21" t="inlineStr"/>
      <c r="F60" s="20" t="inlineStr"/>
      <c r="G60" s="21" t="inlineStr"/>
      <c r="H60" s="20" t="inlineStr"/>
      <c r="I60" s="22" t="inlineStr">
        <is>
          <t>RUBENS FOGLI NETTO</t>
        </is>
      </c>
      <c r="J60" s="23" t="inlineStr">
        <is>
          <t>Presidente (RFB partner)</t>
        </is>
      </c>
      <c r="K60" s="22" t="inlineStr">
        <is>
          <t>(11) 3003-4828</t>
        </is>
      </c>
      <c r="L60" s="22" t="inlineStr"/>
      <c r="M60" s="22" t="inlineStr"/>
      <c r="N60" s="22" t="inlineStr"/>
      <c r="O60" s="22" t="inlineStr"/>
      <c r="P60" s="22" t="inlineStr">
        <is>
          <t>ALBANO MANOEL ALMEIDA</t>
        </is>
      </c>
      <c r="Q60" s="22" t="inlineStr">
        <is>
          <t>Diretor (RFB partner)</t>
        </is>
      </c>
      <c r="R60" s="22" t="inlineStr"/>
      <c r="S60" s="22" t="inlineStr"/>
      <c r="T60" s="22" t="inlineStr">
        <is>
          <t>DM = registered partner (RFB QSA); no Apollo match</t>
        </is>
      </c>
      <c r="U60" s="24" t="n">
        <v>6300000</v>
      </c>
      <c r="V60" s="38" t="inlineStr">
        <is>
          <t>U</t>
        </is>
      </c>
      <c r="W60" s="26" t="inlineStr"/>
      <c r="X60" s="27" t="inlineStr"/>
      <c r="Y60" s="27" t="inlineStr"/>
      <c r="Z60" s="26">
        <f>IF(W60&lt;&gt;"",W60,IFERROR(VLOOKUP(V60,Assumptions!$A$8:$F$12,2,FALSE),0))*Assumptions!$B$5</f>
        <v/>
      </c>
      <c r="AA60" s="28">
        <f>IF(V60="A",MAX(1,IF(X60&lt;&gt;"",X60,IFERROR(VLOOKUP(V60,Assumptions!$A$8:$F$12,3,FALSE),3))+IF(Y60&lt;&gt;"",Y60,IFERROR(VLOOKUP(V60,Assumptions!$A$8:$F$12,4,FALSE),8))/2-MAX(0,IF(AS60="",0,YEAR(TODAY())-AS60)-IFERROR(VLOOKUP(V60,Assumptions!$A$8:$F$12,5,FALSE),1.5))),IFERROR(VLOOKUP(V60,Assumptions!$A$8:$F$12,5,FALSE),2.5)+IF(X60&lt;&gt;"",X60,IFERROR(VLOOKUP(V60,Assumptions!$A$8:$F$12,3,FALSE),3))+IF(Y60&lt;&gt;"",Y60,IFERROR(VLOOKUP(V60,Assumptions!$A$8:$F$12,4,FALSE),8))/2)</f>
        <v/>
      </c>
      <c r="AB60" s="24">
        <f>U60*Z60/(1+Assumptions!$B$3)^AA60</f>
        <v/>
      </c>
      <c r="AC60" s="27">
        <f>IF(U60=0,"",ROUND(AB60/U60*100,1))</f>
        <v/>
      </c>
      <c r="AD60" s="29">
        <f>AB60*Assumptions!$B$4</f>
        <v/>
      </c>
      <c r="AE60" s="27">
        <f>IF(U60=0,"",ROUND(AD60/U60*100,1))</f>
        <v/>
      </c>
      <c r="AF60" s="29">
        <f>AB60-AD60</f>
        <v/>
      </c>
      <c r="AG60" s="27">
        <f>IF(U60=0,"",ROUND((AB60-AD60)/U60*100,1))</f>
        <v/>
      </c>
      <c r="AH60" s="30" t="inlineStr">
        <is>
          <t>OK — totals reconciled</t>
        </is>
      </c>
      <c r="AI60" s="31" t="inlineStr">
        <is>
          <t>https://ajruiz.com.br/sites/default/files/public/arquivos-processos/2023-11/4_relacao_de_credores_analitica_art._51_iii_da_lre.pdf</t>
        </is>
      </c>
      <c r="AJ60" s="30" t="inlineStr">
        <is>
          <t>p2 r14</t>
        </is>
      </c>
      <c r="AK60" s="30" t="inlineStr">
        <is>
          <t>p2: R$ 6.300.000,00</t>
        </is>
      </c>
      <c r="AL60" s="30" t="inlineStr">
        <is>
          <t>Unclassified list</t>
        </is>
      </c>
      <c r="AM60" s="30" t="inlineStr"/>
      <c r="AN60" s="30" t="inlineStr">
        <is>
          <t>NONE FOUND</t>
        </is>
      </c>
      <c r="AO60" s="32" t="inlineStr">
        <is>
          <t>(not printed)</t>
        </is>
      </c>
      <c r="AP60" s="32" t="inlineStr"/>
      <c r="AQ60" s="32" t="inlineStr"/>
      <c r="AR60" s="32" t="inlineStr"/>
      <c r="AS60" s="32" t="inlineStr"/>
      <c r="AT60" s="32" t="inlineStr">
        <is>
          <t>RJ case number not identified on the document</t>
        </is>
      </c>
      <c r="AU60" s="32" t="inlineStr"/>
      <c r="AV60" s="32" t="inlineStr">
        <is>
          <t>not identified</t>
        </is>
      </c>
      <c r="AW60" s="32" t="inlineStr"/>
      <c r="AX60" s="32" t="inlineStr">
        <is>
          <t>SAO PAULO</t>
        </is>
      </c>
      <c r="AY60" s="32" t="inlineStr">
        <is>
          <t>SP</t>
        </is>
      </c>
      <c r="AZ60" s="32" t="inlineStr">
        <is>
          <t>Bancos múltiplos, sem carteira comercial</t>
        </is>
      </c>
      <c r="BA60" s="32" t="inlineStr">
        <is>
          <t>não ME/EPP</t>
        </is>
      </c>
      <c r="BB60" s="33" t="n">
        <v>50000000</v>
      </c>
      <c r="BC60" s="32" t="inlineStr">
        <is>
          <t>MID-MARKET</t>
        </is>
      </c>
      <c r="BD60" s="32" t="inlineStr">
        <is>
          <t>17192451</t>
        </is>
      </c>
      <c r="BE60" s="32" t="n">
        <v>1</v>
      </c>
      <c r="BF60" s="32" t="inlineStr">
        <is>
          <t>ALT_VALUE:BANCOS case no. corrected by reader</t>
        </is>
      </c>
    </row>
    <row r="61">
      <c r="A61" s="17" t="inlineStr">
        <is>
          <t>ITAU UNIBANCO S.A.</t>
        </is>
      </c>
      <c r="B61" s="18" t="n">
        <v>3183929.48</v>
      </c>
      <c r="C61" s="19" t="inlineStr">
        <is>
          <t>Cerealista Safrasul Ltda</t>
        </is>
      </c>
      <c r="D61" s="20" t="inlineStr">
        <is>
          <t>NEW</t>
        </is>
      </c>
      <c r="E61" s="21" t="inlineStr"/>
      <c r="F61" s="20" t="inlineStr"/>
      <c r="G61" s="21" t="inlineStr"/>
      <c r="H61" s="20" t="inlineStr"/>
      <c r="I61" s="22" t="inlineStr">
        <is>
          <t>Murilo Gigliucci</t>
        </is>
      </c>
      <c r="J61" s="22" t="inlineStr">
        <is>
          <t>Superintendente de Reestruturação de Crédito</t>
        </is>
      </c>
      <c r="K61" s="22" t="inlineStr">
        <is>
          <t>(11) 3003-4828</t>
        </is>
      </c>
      <c r="L61" s="22" t="inlineStr"/>
      <c r="M61" s="22" t="inlineStr"/>
      <c r="N61" s="22" t="inlineStr">
        <is>
          <t>murilo.gigliucci@itau-unibanco.com.br</t>
        </is>
      </c>
      <c r="O61" s="22" t="inlineStr">
        <is>
          <t>verified</t>
        </is>
      </c>
      <c r="P61" s="22" t="inlineStr">
        <is>
          <t>Pedro Ornellas</t>
        </is>
      </c>
      <c r="Q61" s="22" t="inlineStr">
        <is>
          <t>Superintendente de Recuperação de Crédito</t>
        </is>
      </c>
      <c r="R61" s="22" t="inlineStr"/>
      <c r="S61" s="22" t="inlineStr">
        <is>
          <t>pedro.ornellas-geronimo@itau-unibanco.com.br</t>
        </is>
      </c>
      <c r="T61" s="22" t="inlineStr">
        <is>
          <t>DM: DM verified email; BACKUP: backup verified email</t>
        </is>
      </c>
      <c r="U61" s="24" t="n">
        <v>3183929.48</v>
      </c>
      <c r="V61" s="25" t="inlineStr">
        <is>
          <t>B</t>
        </is>
      </c>
      <c r="W61" s="26" t="inlineStr"/>
      <c r="X61" s="27" t="inlineStr"/>
      <c r="Y61" s="27" t="inlineStr"/>
      <c r="Z61" s="26">
        <f>IF(W61&lt;&gt;"",W61,IFERROR(VLOOKUP(V61,Assumptions!$A$8:$F$12,2,FALSE),0))*Assumptions!$B$5</f>
        <v/>
      </c>
      <c r="AA61" s="28">
        <f>IF(V61="A",MAX(1,IF(X61&lt;&gt;"",X61,IFERROR(VLOOKUP(V61,Assumptions!$A$8:$F$12,3,FALSE),3))+IF(Y61&lt;&gt;"",Y61,IFERROR(VLOOKUP(V61,Assumptions!$A$8:$F$12,4,FALSE),8))/2-MAX(0,IF(AS61="",0,YEAR(TODAY())-AS61)-IFERROR(VLOOKUP(V61,Assumptions!$A$8:$F$12,5,FALSE),1.5))),IFERROR(VLOOKUP(V61,Assumptions!$A$8:$F$12,5,FALSE),2.5)+IF(X61&lt;&gt;"",X61,IFERROR(VLOOKUP(V61,Assumptions!$A$8:$F$12,3,FALSE),3))+IF(Y61&lt;&gt;"",Y61,IFERROR(VLOOKUP(V61,Assumptions!$A$8:$F$12,4,FALSE),8))/2)</f>
        <v/>
      </c>
      <c r="AB61" s="24">
        <f>U61*Z61/(1+Assumptions!$B$3)^AA61</f>
        <v/>
      </c>
      <c r="AC61" s="27">
        <f>IF(U61=0,"",ROUND(AB61/U61*100,1))</f>
        <v/>
      </c>
      <c r="AD61" s="29">
        <f>AB61*Assumptions!$B$4</f>
        <v/>
      </c>
      <c r="AE61" s="27">
        <f>IF(U61=0,"",ROUND(AD61/U61*100,1))</f>
        <v/>
      </c>
      <c r="AF61" s="29">
        <f>AB61-AD61</f>
        <v/>
      </c>
      <c r="AG61" s="27">
        <f>IF(U61=0,"",ROUND((AB61-AD61)/U61*100,1))</f>
        <v/>
      </c>
      <c r="AH61" s="34" t="inlineStr">
        <is>
          <t>NO TOTALS — list prints none; check page</t>
        </is>
      </c>
      <c r="AI61" s="31" t="inlineStr">
        <is>
          <t>https://ajruiz.com.br/sites/default/files/public/arquivos-processos/2026-01/safrasul_relacao_de_credores_recuperanda.pdf</t>
        </is>
      </c>
      <c r="AJ61" s="30" t="inlineStr">
        <is>
          <t>p8 r21; p8 r22; p8 r23; p8 r24</t>
        </is>
      </c>
      <c r="AK61" s="30" t="inlineStr">
        <is>
          <t>p8: R$ 500.000,00; p8: R$ 2.322.330,48; p8: R$ 100.000,00; p8: R$ 261.599,00</t>
        </is>
      </c>
      <c r="AL61" s="30" t="inlineStr">
        <is>
          <t>AJ list (art. 7 §2)</t>
        </is>
      </c>
      <c r="AM61" s="30" t="inlineStr">
        <is>
          <t>2026-01-14</t>
        </is>
      </c>
      <c r="AN61" s="30" t="inlineStr">
        <is>
          <t>NONE FOUND</t>
        </is>
      </c>
      <c r="AO61" s="32" t="inlineStr">
        <is>
          <t>4000167-23.2025.8.26.0373</t>
        </is>
      </c>
      <c r="AP61" s="32" t="inlineStr">
        <is>
          <t>TJSP</t>
        </is>
      </c>
      <c r="AQ61" s="32" t="inlineStr">
        <is>
          <t>Recuperação judicial</t>
        </is>
      </c>
      <c r="AR61" s="32" t="inlineStr">
        <is>
          <t>DataJud: no closure/falência movement</t>
        </is>
      </c>
      <c r="AS61" s="32" t="n">
        <v>2025</v>
      </c>
      <c r="AT61" s="32" t="inlineStr">
        <is>
          <t>live case, no plan document yet</t>
        </is>
      </c>
      <c r="AU61" s="32" t="inlineStr"/>
      <c r="AV61" s="32" t="inlineStr">
        <is>
          <t>printed on the list (read twice)</t>
        </is>
      </c>
      <c r="AW61" s="32" t="inlineStr"/>
      <c r="AX61" s="32" t="inlineStr">
        <is>
          <t>SAO PAULO</t>
        </is>
      </c>
      <c r="AY61" s="32" t="inlineStr">
        <is>
          <t>SP</t>
        </is>
      </c>
      <c r="AZ61" s="32" t="inlineStr">
        <is>
          <t>Bancos comerciais</t>
        </is>
      </c>
      <c r="BA61" s="32" t="inlineStr">
        <is>
          <t>não ME/EPP</t>
        </is>
      </c>
      <c r="BB61" s="33" t="n">
        <v>76200000000</v>
      </c>
      <c r="BC61" s="32" t="inlineStr">
        <is>
          <t>LARGE CORP</t>
        </is>
      </c>
      <c r="BD61" s="32" t="inlineStr">
        <is>
          <t>60701190</t>
        </is>
      </c>
      <c r="BE61" s="32" t="n">
        <v>4</v>
      </c>
      <c r="BF61" s="32" t="inlineStr">
        <is>
          <t>financial by name list prints no totals</t>
        </is>
      </c>
    </row>
    <row r="62">
      <c r="A62" s="17" t="inlineStr">
        <is>
          <t>BANCO GUANABARA</t>
        </is>
      </c>
      <c r="B62" s="18" t="n">
        <v>3164000</v>
      </c>
      <c r="C62" s="19" t="inlineStr">
        <is>
          <t>GRUPO GLP</t>
        </is>
      </c>
      <c r="D62" s="20" t="inlineStr">
        <is>
          <t>NEW</t>
        </is>
      </c>
      <c r="E62" s="21" t="inlineStr"/>
      <c r="F62" s="20" t="inlineStr"/>
      <c r="G62" s="21" t="inlineStr"/>
      <c r="H62" s="20" t="inlineStr"/>
      <c r="I62" s="22" t="inlineStr">
        <is>
          <t>Bianca Marinho</t>
        </is>
      </c>
      <c r="J62" s="22" t="inlineStr">
        <is>
          <t>Senior Lawyer</t>
        </is>
      </c>
      <c r="K62" s="22" t="inlineStr"/>
      <c r="L62" s="22" t="inlineStr"/>
      <c r="M62" s="22" t="inlineStr"/>
      <c r="N62" s="22" t="inlineStr">
        <is>
          <t>bianca.marinho@bancoguanabara.com.br</t>
        </is>
      </c>
      <c r="O62" s="22" t="inlineStr">
        <is>
          <t>verified</t>
        </is>
      </c>
      <c r="P62" s="22" t="inlineStr">
        <is>
          <t>Andressa Nogueira</t>
        </is>
      </c>
      <c r="Q62" s="22" t="inlineStr">
        <is>
          <t>Gerente de Contratos e Controle de Garantias</t>
        </is>
      </c>
      <c r="R62" s="22" t="inlineStr"/>
      <c r="S62" s="22" t="inlineStr">
        <is>
          <t>andressa.nogueira@bancoguanabara.com.br</t>
        </is>
      </c>
      <c r="T62" s="22" t="inlineStr">
        <is>
          <t>DM is not a finance role (Senior Lawyer); DM: DM verified email (contratos bancários); BACKUP: backup verified email</t>
        </is>
      </c>
      <c r="U62" s="24" t="n">
        <v>3164000</v>
      </c>
      <c r="V62" s="25" t="inlineStr">
        <is>
          <t>B</t>
        </is>
      </c>
      <c r="W62" s="26" t="inlineStr"/>
      <c r="X62" s="27" t="inlineStr"/>
      <c r="Y62" s="27" t="inlineStr"/>
      <c r="Z62" s="26">
        <f>IF(W62&lt;&gt;"",W62,IFERROR(VLOOKUP(V62,Assumptions!$A$8:$F$12,2,FALSE),0))*Assumptions!$B$5</f>
        <v/>
      </c>
      <c r="AA62" s="28">
        <f>IF(V62="A",MAX(1,IF(X62&lt;&gt;"",X62,IFERROR(VLOOKUP(V62,Assumptions!$A$8:$F$12,3,FALSE),3))+IF(Y62&lt;&gt;"",Y62,IFERROR(VLOOKUP(V62,Assumptions!$A$8:$F$12,4,FALSE),8))/2-MAX(0,IF(AS62="",0,YEAR(TODAY())-AS62)-IFERROR(VLOOKUP(V62,Assumptions!$A$8:$F$12,5,FALSE),1.5))),IFERROR(VLOOKUP(V62,Assumptions!$A$8:$F$12,5,FALSE),2.5)+IF(X62&lt;&gt;"",X62,IFERROR(VLOOKUP(V62,Assumptions!$A$8:$F$12,3,FALSE),3))+IF(Y62&lt;&gt;"",Y62,IFERROR(VLOOKUP(V62,Assumptions!$A$8:$F$12,4,FALSE),8))/2)</f>
        <v/>
      </c>
      <c r="AB62" s="24">
        <f>U62*Z62/(1+Assumptions!$B$3)^AA62</f>
        <v/>
      </c>
      <c r="AC62" s="27">
        <f>IF(U62=0,"",ROUND(AB62/U62*100,1))</f>
        <v/>
      </c>
      <c r="AD62" s="29">
        <f>AB62*Assumptions!$B$4</f>
        <v/>
      </c>
      <c r="AE62" s="27">
        <f>IF(U62=0,"",ROUND(AD62/U62*100,1))</f>
        <v/>
      </c>
      <c r="AF62" s="29">
        <f>AB62-AD62</f>
        <v/>
      </c>
      <c r="AG62" s="27">
        <f>IF(U62=0,"",ROUND((AB62-AD62)/U62*100,1))</f>
        <v/>
      </c>
      <c r="AH62" s="30" t="inlineStr">
        <is>
          <t>OK — totals reconciled</t>
        </is>
      </c>
      <c r="AI62" s="31" t="inlineStr">
        <is>
          <t>https://recuperasolucoes.com/wp-content/plugins/download-attachments/includes/download.php?id=1597</t>
        </is>
      </c>
      <c r="AJ62" s="30" t="inlineStr">
        <is>
          <t>p13 r3</t>
        </is>
      </c>
      <c r="AK62" s="30" t="inlineStr">
        <is>
          <t>p13: R$ 3.164.000,00</t>
        </is>
      </c>
      <c r="AL62" s="30" t="inlineStr">
        <is>
          <t>Debtor list (art. 51)</t>
        </is>
      </c>
      <c r="AM62" s="30" t="inlineStr">
        <is>
          <t>2026-05-21</t>
        </is>
      </c>
      <c r="AN62" s="30" t="inlineStr">
        <is>
          <t>NONE FOUND</t>
        </is>
      </c>
      <c r="AO62" s="32" t="inlineStr">
        <is>
          <t>0001639-09.2026.8.17.2810</t>
        </is>
      </c>
      <c r="AP62" s="32" t="inlineStr">
        <is>
          <t>TJPE</t>
        </is>
      </c>
      <c r="AQ62" s="32" t="inlineStr">
        <is>
          <t>Recuperação judicial</t>
        </is>
      </c>
      <c r="AR62" s="32" t="inlineStr">
        <is>
          <t>DataJud: no closure/falência movement</t>
        </is>
      </c>
      <c r="AS62" s="32" t="n">
        <v>2026</v>
      </c>
      <c r="AT62" s="32" t="inlineStr">
        <is>
          <t>live case, no plan document yet</t>
        </is>
      </c>
      <c r="AU62" s="32" t="inlineStr"/>
      <c r="AV62" s="32" t="inlineStr">
        <is>
          <t>printed on the list (read twice)</t>
        </is>
      </c>
      <c r="AW62" s="32" t="inlineStr"/>
      <c r="AX62" s="32" t="inlineStr"/>
      <c r="AY62" s="32" t="inlineStr"/>
      <c r="AZ62" s="32" t="inlineStr"/>
      <c r="BA62" s="32" t="inlineStr"/>
      <c r="BB62" s="33" t="inlineStr"/>
      <c r="BC62" s="32" t="inlineStr">
        <is>
          <t>UNKNOWN</t>
        </is>
      </c>
      <c r="BD62" s="32" t="inlineStr">
        <is>
          <t>31880826</t>
        </is>
      </c>
      <c r="BE62" s="32" t="n">
        <v>1</v>
      </c>
      <c r="BF62" s="32" t="inlineStr">
        <is>
          <t>financial by name no RFB record</t>
        </is>
      </c>
    </row>
    <row r="63">
      <c r="A63" s="17" t="inlineStr">
        <is>
          <t>BANCO BRADESCO S.A.</t>
        </is>
      </c>
      <c r="B63" s="18" t="n">
        <v>3153794.96</v>
      </c>
      <c r="C63" s="19" t="inlineStr">
        <is>
          <t>Grupo Conduscabos</t>
        </is>
      </c>
      <c r="D63" s="20" t="inlineStr">
        <is>
          <t>NEW</t>
        </is>
      </c>
      <c r="E63" s="21" t="inlineStr"/>
      <c r="F63" s="20" t="inlineStr"/>
      <c r="G63" s="21" t="inlineStr"/>
      <c r="H63" s="20" t="inlineStr"/>
      <c r="I63" s="22" t="inlineStr">
        <is>
          <t>Marcela Martins</t>
        </is>
      </c>
      <c r="J63" s="22" t="inlineStr">
        <is>
          <t>Superintendente de Recuperação de Crédito - Canais e Operações</t>
        </is>
      </c>
      <c r="K63" s="22" t="inlineStr">
        <is>
          <t>(11) 3684-5122</t>
        </is>
      </c>
      <c r="L63" s="22" t="inlineStr"/>
      <c r="M63" s="22" t="inlineStr"/>
      <c r="N63" s="22" t="inlineStr"/>
      <c r="O63" s="22" t="inlineStr"/>
      <c r="P63" s="22" t="inlineStr">
        <is>
          <t>Luis S</t>
        </is>
      </c>
      <c r="Q63" s="22" t="inlineStr">
        <is>
          <t>DRC - Departamento de Recuperação de Crédito - Gerente de Reestruturação de Crédito</t>
        </is>
      </c>
      <c r="R63" s="22" t="inlineStr"/>
      <c r="S63" s="22" t="inlineStr">
        <is>
          <t>sl@bradesco.com.br</t>
        </is>
      </c>
      <c r="T63" s="22" t="inlineStr">
        <is>
          <t>DM: DM; no work email in Apollo for DM; BACKUP: backup</t>
        </is>
      </c>
      <c r="U63" s="24" t="n">
        <v>3153794.96</v>
      </c>
      <c r="V63" s="25" t="inlineStr">
        <is>
          <t>B</t>
        </is>
      </c>
      <c r="W63" s="26" t="inlineStr"/>
      <c r="X63" s="27" t="inlineStr"/>
      <c r="Y63" s="27" t="inlineStr"/>
      <c r="Z63" s="26">
        <f>IF(W63&lt;&gt;"",W63,IFERROR(VLOOKUP(V63,Assumptions!$A$8:$F$12,2,FALSE),0))*Assumptions!$B$5</f>
        <v/>
      </c>
      <c r="AA63" s="28">
        <f>IF(V63="A",MAX(1,IF(X63&lt;&gt;"",X63,IFERROR(VLOOKUP(V63,Assumptions!$A$8:$F$12,3,FALSE),3))+IF(Y63&lt;&gt;"",Y63,IFERROR(VLOOKUP(V63,Assumptions!$A$8:$F$12,4,FALSE),8))/2-MAX(0,IF(AS63="",0,YEAR(TODAY())-AS63)-IFERROR(VLOOKUP(V63,Assumptions!$A$8:$F$12,5,FALSE),1.5))),IFERROR(VLOOKUP(V63,Assumptions!$A$8:$F$12,5,FALSE),2.5)+IF(X63&lt;&gt;"",X63,IFERROR(VLOOKUP(V63,Assumptions!$A$8:$F$12,3,FALSE),3))+IF(Y63&lt;&gt;"",Y63,IFERROR(VLOOKUP(V63,Assumptions!$A$8:$F$12,4,FALSE),8))/2)</f>
        <v/>
      </c>
      <c r="AB63" s="24">
        <f>U63*Z63/(1+Assumptions!$B$3)^AA63</f>
        <v/>
      </c>
      <c r="AC63" s="27">
        <f>IF(U63=0,"",ROUND(AB63/U63*100,1))</f>
        <v/>
      </c>
      <c r="AD63" s="29">
        <f>AB63*Assumptions!$B$4</f>
        <v/>
      </c>
      <c r="AE63" s="27">
        <f>IF(U63=0,"",ROUND(AD63/U63*100,1))</f>
        <v/>
      </c>
      <c r="AF63" s="29">
        <f>AB63-AD63</f>
        <v/>
      </c>
      <c r="AG63" s="27">
        <f>IF(U63=0,"",ROUND((AB63-AD63)/U63*100,1))</f>
        <v/>
      </c>
      <c r="AH63" s="34" t="inlineStr">
        <is>
          <t>NO TOTALS — list prints none; check page</t>
        </is>
      </c>
      <c r="AI63" s="31" t="inlineStr">
        <is>
          <t>https://assistjud.com.br/wp-content/uploads/elementor/forms/65098c80a5824.pdf</t>
        </is>
      </c>
      <c r="AJ63" s="30" t="inlineStr">
        <is>
          <t>p5 r16; p17 r7</t>
        </is>
      </c>
      <c r="AK63" s="30" t="inlineStr">
        <is>
          <t>p5: R$ 1.330.576,88; p17: R$ 1.823.218,08</t>
        </is>
      </c>
      <c r="AL63" s="30" t="inlineStr">
        <is>
          <t>AJ list (art. 7 §2)</t>
        </is>
      </c>
      <c r="AM63" s="30" t="inlineStr">
        <is>
          <t>2023-09-18</t>
        </is>
      </c>
      <c r="AN63" s="30" t="inlineStr">
        <is>
          <t>NONE FOUND</t>
        </is>
      </c>
      <c r="AO63" s="32" t="inlineStr">
        <is>
          <t>8005129-09.2023.8.05.0039</t>
        </is>
      </c>
      <c r="AP63" s="32" t="inlineStr">
        <is>
          <t>TJBA</t>
        </is>
      </c>
      <c r="AQ63" s="32" t="inlineStr">
        <is>
          <t>Recuperação judicial</t>
        </is>
      </c>
      <c r="AR63" s="32" t="inlineStr">
        <is>
          <t>DataJud: no closure/falência movement</t>
        </is>
      </c>
      <c r="AS63" s="32" t="n">
        <v>2023</v>
      </c>
      <c r="AT63" s="32" t="inlineStr">
        <is>
          <t>live case, no plan document yet</t>
        </is>
      </c>
      <c r="AU63" s="32" t="inlineStr"/>
      <c r="AV63" s="32" t="inlineStr">
        <is>
          <t>printed on the list (read twice)</t>
        </is>
      </c>
      <c r="AW63" s="32" t="inlineStr"/>
      <c r="AX63" s="32" t="inlineStr">
        <is>
          <t>OSASCO</t>
        </is>
      </c>
      <c r="AY63" s="32" t="inlineStr">
        <is>
          <t>SP</t>
        </is>
      </c>
      <c r="AZ63" s="32" t="inlineStr">
        <is>
          <t>Bancos múltiplos, com carteira comercial</t>
        </is>
      </c>
      <c r="BA63" s="32" t="inlineStr">
        <is>
          <t>não ME/EPP</t>
        </is>
      </c>
      <c r="BB63" s="33" t="n">
        <v>93770000000</v>
      </c>
      <c r="BC63" s="32" t="inlineStr">
        <is>
          <t>LARGE CORP</t>
        </is>
      </c>
      <c r="BD63" s="32" t="inlineStr">
        <is>
          <t>60746948</t>
        </is>
      </c>
      <c r="BE63" s="32" t="n">
        <v>2</v>
      </c>
      <c r="BF63" s="32" t="inlineStr">
        <is>
          <t>financial by name list prints no totals</t>
        </is>
      </c>
    </row>
    <row r="64">
      <c r="A64" s="17" t="inlineStr">
        <is>
          <t>BANCO DAYCOVAL S.A.</t>
        </is>
      </c>
      <c r="B64" s="18" t="n">
        <v>3115885.56</v>
      </c>
      <c r="C64" s="19" t="inlineStr">
        <is>
          <t>Grupo Conduscabos</t>
        </is>
      </c>
      <c r="D64" s="20" t="inlineStr">
        <is>
          <t>NEW</t>
        </is>
      </c>
      <c r="E64" s="21" t="inlineStr"/>
      <c r="F64" s="20" t="inlineStr"/>
      <c r="G64" s="21" t="inlineStr"/>
      <c r="H64" s="20" t="inlineStr"/>
      <c r="I64" s="22" t="inlineStr">
        <is>
          <t>Celso Araujo</t>
        </is>
      </c>
      <c r="J64" s="22" t="inlineStr">
        <is>
          <t>Gerente de Recuperação de Crédito</t>
        </is>
      </c>
      <c r="K64" s="22" t="inlineStr">
        <is>
          <t>(11) 3138-0500</t>
        </is>
      </c>
      <c r="L64" s="22" t="inlineStr"/>
      <c r="M64" s="22" t="inlineStr"/>
      <c r="N64" s="22" t="inlineStr">
        <is>
          <t>celso.araujo@bancodaycoval.com.br</t>
        </is>
      </c>
      <c r="O64" s="22" t="inlineStr">
        <is>
          <t>verified</t>
        </is>
      </c>
      <c r="P64" s="22" t="inlineStr">
        <is>
          <t>Andreia Matiel</t>
        </is>
      </c>
      <c r="Q64" s="22" t="inlineStr">
        <is>
          <t>Advogada Recuperação de Crédito Empresas</t>
        </is>
      </c>
      <c r="R64" s="22" t="inlineStr"/>
      <c r="S64" s="22" t="inlineStr">
        <is>
          <t>andreia.matiel@daycoval.com.br</t>
        </is>
      </c>
      <c r="T64" s="22" t="inlineStr">
        <is>
          <t>DM: DM verified email; BACKUP: backup verified email</t>
        </is>
      </c>
      <c r="U64" s="24" t="n">
        <v>3115885.56</v>
      </c>
      <c r="V64" s="25" t="inlineStr">
        <is>
          <t>B</t>
        </is>
      </c>
      <c r="W64" s="26" t="inlineStr"/>
      <c r="X64" s="27" t="inlineStr"/>
      <c r="Y64" s="27" t="inlineStr"/>
      <c r="Z64" s="26">
        <f>IF(W64&lt;&gt;"",W64,IFERROR(VLOOKUP(V64,Assumptions!$A$8:$F$12,2,FALSE),0))*Assumptions!$B$5</f>
        <v/>
      </c>
      <c r="AA64" s="28">
        <f>IF(V64="A",MAX(1,IF(X64&lt;&gt;"",X64,IFERROR(VLOOKUP(V64,Assumptions!$A$8:$F$12,3,FALSE),3))+IF(Y64&lt;&gt;"",Y64,IFERROR(VLOOKUP(V64,Assumptions!$A$8:$F$12,4,FALSE),8))/2-MAX(0,IF(AS64="",0,YEAR(TODAY())-AS64)-IFERROR(VLOOKUP(V64,Assumptions!$A$8:$F$12,5,FALSE),1.5))),IFERROR(VLOOKUP(V64,Assumptions!$A$8:$F$12,5,FALSE),2.5)+IF(X64&lt;&gt;"",X64,IFERROR(VLOOKUP(V64,Assumptions!$A$8:$F$12,3,FALSE),3))+IF(Y64&lt;&gt;"",Y64,IFERROR(VLOOKUP(V64,Assumptions!$A$8:$F$12,4,FALSE),8))/2)</f>
        <v/>
      </c>
      <c r="AB64" s="24">
        <f>U64*Z64/(1+Assumptions!$B$3)^AA64</f>
        <v/>
      </c>
      <c r="AC64" s="27">
        <f>IF(U64=0,"",ROUND(AB64/U64*100,1))</f>
        <v/>
      </c>
      <c r="AD64" s="29">
        <f>AB64*Assumptions!$B$4</f>
        <v/>
      </c>
      <c r="AE64" s="27">
        <f>IF(U64=0,"",ROUND(AD64/U64*100,1))</f>
        <v/>
      </c>
      <c r="AF64" s="29">
        <f>AB64-AD64</f>
        <v/>
      </c>
      <c r="AG64" s="27">
        <f>IF(U64=0,"",ROUND((AB64-AD64)/U64*100,1))</f>
        <v/>
      </c>
      <c r="AH64" s="34" t="inlineStr">
        <is>
          <t>NO TOTALS — list prints none; check page</t>
        </is>
      </c>
      <c r="AI64" s="31" t="inlineStr">
        <is>
          <t>https://assistjud.com.br/wp-content/uploads/elementor/forms/65098c80a5824.pdf</t>
        </is>
      </c>
      <c r="AJ64" s="30" t="inlineStr">
        <is>
          <t>p5 r8</t>
        </is>
      </c>
      <c r="AK64" s="30" t="inlineStr">
        <is>
          <t>p5: R$ 3.115.885,56</t>
        </is>
      </c>
      <c r="AL64" s="30" t="inlineStr">
        <is>
          <t>AJ list (art. 7 §2)</t>
        </is>
      </c>
      <c r="AM64" s="30" t="inlineStr">
        <is>
          <t>2023-09-18</t>
        </is>
      </c>
      <c r="AN64" s="30" t="inlineStr">
        <is>
          <t>NONE FOUND</t>
        </is>
      </c>
      <c r="AO64" s="32" t="inlineStr">
        <is>
          <t>8005129-09.2023.8.05.0039</t>
        </is>
      </c>
      <c r="AP64" s="32" t="inlineStr">
        <is>
          <t>TJBA</t>
        </is>
      </c>
      <c r="AQ64" s="32" t="inlineStr">
        <is>
          <t>Recuperação judicial</t>
        </is>
      </c>
      <c r="AR64" s="32" t="inlineStr">
        <is>
          <t>DataJud: no closure/falência movement</t>
        </is>
      </c>
      <c r="AS64" s="32" t="n">
        <v>2023</v>
      </c>
      <c r="AT64" s="32" t="inlineStr">
        <is>
          <t>live case, no plan document yet</t>
        </is>
      </c>
      <c r="AU64" s="32" t="inlineStr"/>
      <c r="AV64" s="32" t="inlineStr">
        <is>
          <t>printed on the list (read twice)</t>
        </is>
      </c>
      <c r="AW64" s="32" t="inlineStr"/>
      <c r="AX64" s="32" t="inlineStr">
        <is>
          <t>SAO PAULO</t>
        </is>
      </c>
      <c r="AY64" s="32" t="inlineStr">
        <is>
          <t>SP</t>
        </is>
      </c>
      <c r="AZ64" s="32" t="inlineStr">
        <is>
          <t>Bancos múltiplos, com carteira comercial</t>
        </is>
      </c>
      <c r="BA64" s="32" t="inlineStr">
        <is>
          <t>não ME/EPP</t>
        </is>
      </c>
      <c r="BB64" s="33" t="n">
        <v>6907260000</v>
      </c>
      <c r="BC64" s="32" t="inlineStr">
        <is>
          <t>LARGE CORP</t>
        </is>
      </c>
      <c r="BD64" s="32" t="inlineStr">
        <is>
          <t>62232889</t>
        </is>
      </c>
      <c r="BE64" s="32" t="n">
        <v>1</v>
      </c>
      <c r="BF64" s="32" t="inlineStr">
        <is>
          <t>financial by name list prints no totals</t>
        </is>
      </c>
    </row>
    <row r="65">
      <c r="A65" s="17" t="inlineStr">
        <is>
          <t>BANCO REGIONAL DE DESENVOLVIMENTO DO EXTREMO SUL - BRDE (</t>
        </is>
      </c>
      <c r="B65" s="18" t="n">
        <v>3110845.12</v>
      </c>
      <c r="C65" s="19" t="inlineStr">
        <is>
          <t>ASSOCIAÇÃO DE CARIDADE SANTA CASA DO RIO GRANDE</t>
        </is>
      </c>
      <c r="D65" s="20" t="inlineStr">
        <is>
          <t>NEW</t>
        </is>
      </c>
      <c r="E65" s="21" t="inlineStr"/>
      <c r="F65" s="20" t="inlineStr"/>
      <c r="G65" s="21" t="inlineStr"/>
      <c r="H65" s="20" t="inlineStr"/>
      <c r="I65" s="22" t="inlineStr">
        <is>
          <t>Simone Thomazi</t>
        </is>
      </c>
      <c r="J65" s="22" t="inlineStr">
        <is>
          <t>Gerente Adjunta de Acompanhamento e Recuperação de Crédito</t>
        </is>
      </c>
      <c r="K65" s="22" t="inlineStr"/>
      <c r="L65" s="22" t="inlineStr"/>
      <c r="M65" s="22" t="inlineStr"/>
      <c r="N65" s="22" t="inlineStr">
        <is>
          <t>simone.thomazi@brde.com.br</t>
        </is>
      </c>
      <c r="O65" s="22" t="inlineStr">
        <is>
          <t>verified</t>
        </is>
      </c>
      <c r="P65" s="22" t="inlineStr">
        <is>
          <t>Francisco Fernandes</t>
        </is>
      </c>
      <c r="Q65" s="22" t="inlineStr">
        <is>
          <t>Superintendente de Crédito</t>
        </is>
      </c>
      <c r="R65" s="22" t="inlineStr"/>
      <c r="S65" s="22" t="inlineStr">
        <is>
          <t>f.fernandes@brde.com.br</t>
        </is>
      </c>
      <c r="T65" s="22" t="inlineStr">
        <is>
          <t>DM: DM verified email; BACKUP: backup verified email</t>
        </is>
      </c>
      <c r="U65" s="24" t="n">
        <v>3110845.12</v>
      </c>
      <c r="V65" s="25" t="inlineStr">
        <is>
          <t>B</t>
        </is>
      </c>
      <c r="W65" s="26" t="inlineStr"/>
      <c r="X65" s="27" t="inlineStr"/>
      <c r="Y65" s="27" t="inlineStr"/>
      <c r="Z65" s="26">
        <f>IF(W65&lt;&gt;"",W65,IFERROR(VLOOKUP(V65,Assumptions!$A$8:$F$12,2,FALSE),0))*Assumptions!$B$5</f>
        <v/>
      </c>
      <c r="AA65" s="28">
        <f>IF(V65="A",MAX(1,IF(X65&lt;&gt;"",X65,IFERROR(VLOOKUP(V65,Assumptions!$A$8:$F$12,3,FALSE),3))+IF(Y65&lt;&gt;"",Y65,IFERROR(VLOOKUP(V65,Assumptions!$A$8:$F$12,4,FALSE),8))/2-MAX(0,IF(AS65="",0,YEAR(TODAY())-AS65)-IFERROR(VLOOKUP(V65,Assumptions!$A$8:$F$12,5,FALSE),1.5))),IFERROR(VLOOKUP(V65,Assumptions!$A$8:$F$12,5,FALSE),2.5)+IF(X65&lt;&gt;"",X65,IFERROR(VLOOKUP(V65,Assumptions!$A$8:$F$12,3,FALSE),3))+IF(Y65&lt;&gt;"",Y65,IFERROR(VLOOKUP(V65,Assumptions!$A$8:$F$12,4,FALSE),8))/2)</f>
        <v/>
      </c>
      <c r="AB65" s="24">
        <f>U65*Z65/(1+Assumptions!$B$3)^AA65</f>
        <v/>
      </c>
      <c r="AC65" s="27">
        <f>IF(U65=0,"",ROUND(AB65/U65*100,1))</f>
        <v/>
      </c>
      <c r="AD65" s="29">
        <f>AB65*Assumptions!$B$4</f>
        <v/>
      </c>
      <c r="AE65" s="27">
        <f>IF(U65=0,"",ROUND(AD65/U65*100,1))</f>
        <v/>
      </c>
      <c r="AF65" s="29">
        <f>AB65-AD65</f>
        <v/>
      </c>
      <c r="AG65" s="27">
        <f>IF(U65=0,"",ROUND((AB65-AD65)/U65*100,1))</f>
        <v/>
      </c>
      <c r="AH65" s="34" t="inlineStr">
        <is>
          <t>NO TOTALS — list prints none; check page</t>
        </is>
      </c>
      <c r="AI65" s="31" t="inlineStr">
        <is>
          <t>https://scalzilliaj.com.br/sgc/download.php?file=files/processo_documento/processo_documento09120721032023_1_.pdf&amp;nome=15 - Edital do art. 7º, §2º e 53 da Lei 11.101/2005 (segunda lista de credores e recebimento do plano))</t>
        </is>
      </c>
      <c r="AJ65" s="30" t="inlineStr">
        <is>
          <t>p25 r63</t>
        </is>
      </c>
      <c r="AK65" s="30" t="inlineStr">
        <is>
          <t>p25: R$ 3.110.845,12</t>
        </is>
      </c>
      <c r="AL65" s="30" t="inlineStr">
        <is>
          <t>AJ list (art. 7 §2)</t>
        </is>
      </c>
      <c r="AM65" s="30" t="inlineStr">
        <is>
          <t>2023-03-21</t>
        </is>
      </c>
      <c r="AN65" s="30" t="inlineStr">
        <is>
          <t>NONE FOUND</t>
        </is>
      </c>
      <c r="AO65" s="32" t="inlineStr">
        <is>
          <t>5012306-16.2022.8.21.0023</t>
        </is>
      </c>
      <c r="AP65" s="32" t="inlineStr">
        <is>
          <t>TJRS</t>
        </is>
      </c>
      <c r="AQ65" s="32" t="inlineStr">
        <is>
          <t>Recuperação judicial</t>
        </is>
      </c>
      <c r="AR65" s="32" t="inlineStr">
        <is>
          <t>DataJud: no closure/falência movement</t>
        </is>
      </c>
      <c r="AS65" s="32" t="n">
        <v>2022</v>
      </c>
      <c r="AT65" s="32" t="inlineStr">
        <is>
          <t>live case, no plan document yet; atypical debtor (associação/clube/hospital/produtor rural): admissibility or claim subjection may be contested</t>
        </is>
      </c>
      <c r="AU65" s="32" t="inlineStr"/>
      <c r="AV65" s="32" t="inlineStr">
        <is>
          <t>printed on the list (read twice)</t>
        </is>
      </c>
      <c r="AW65" s="32" t="inlineStr"/>
      <c r="AX65" s="32" t="inlineStr"/>
      <c r="AY65" s="32" t="inlineStr"/>
      <c r="AZ65" s="32" t="inlineStr"/>
      <c r="BA65" s="32" t="inlineStr"/>
      <c r="BB65" s="33" t="inlineStr"/>
      <c r="BC65" s="32" t="inlineStr">
        <is>
          <t>UNKNOWN</t>
        </is>
      </c>
      <c r="BD65" s="32" t="inlineStr">
        <is>
          <t>92816560</t>
        </is>
      </c>
      <c r="BE65" s="32" t="n">
        <v>1</v>
      </c>
      <c r="BF65" s="32" t="inlineStr">
        <is>
          <t>financial by name list prints no totals no RFB record</t>
        </is>
      </c>
    </row>
    <row r="66">
      <c r="A66" s="17" t="inlineStr">
        <is>
          <t>FS FUNDO DE INVESTIMENTO EM DIREITOS CREDITORIOS NAO PADRONIZADOS</t>
        </is>
      </c>
      <c r="B66" s="18" t="n">
        <v>3056640</v>
      </c>
      <c r="C66" s="19" t="inlineStr">
        <is>
          <t>TOP TEXTIL EMBALAGENS LTDA</t>
        </is>
      </c>
      <c r="D66" s="20" t="inlineStr">
        <is>
          <t>NEW</t>
        </is>
      </c>
      <c r="E66" s="21" t="inlineStr"/>
      <c r="F66" s="20" t="inlineStr"/>
      <c r="G66" s="21" t="inlineStr"/>
      <c r="H66" s="20" t="inlineStr"/>
      <c r="I66" s="22" t="inlineStr"/>
      <c r="J66" s="22" t="inlineStr"/>
      <c r="K66" s="22" t="inlineStr">
        <is>
          <t>(11) 2827-3500</t>
        </is>
      </c>
      <c r="L66" s="22" t="inlineStr"/>
      <c r="M66" s="22" t="inlineStr"/>
      <c r="N66" s="22" t="inlineStr"/>
      <c r="O66" s="22" t="inlineStr"/>
      <c r="P66" s="22" t="inlineStr"/>
      <c r="Q66" s="22" t="inlineStr"/>
      <c r="R66" s="22" t="inlineStr"/>
      <c r="S66" s="22" t="inlineStr"/>
      <c r="T66" s="22" t="inlineStr">
        <is>
          <t>no named contact found</t>
        </is>
      </c>
      <c r="U66" s="24" t="n">
        <v>3056640</v>
      </c>
      <c r="V66" s="25" t="inlineStr">
        <is>
          <t>B</t>
        </is>
      </c>
      <c r="W66" s="26" t="inlineStr"/>
      <c r="X66" s="27" t="inlineStr"/>
      <c r="Y66" s="27" t="inlineStr"/>
      <c r="Z66" s="26">
        <f>IF(W66&lt;&gt;"",W66,IFERROR(VLOOKUP(V66,Assumptions!$A$8:$F$12,2,FALSE),0))*Assumptions!$B$5</f>
        <v/>
      </c>
      <c r="AA66" s="28">
        <f>IF(V66="A",MAX(1,IF(X66&lt;&gt;"",X66,IFERROR(VLOOKUP(V66,Assumptions!$A$8:$F$12,3,FALSE),3))+IF(Y66&lt;&gt;"",Y66,IFERROR(VLOOKUP(V66,Assumptions!$A$8:$F$12,4,FALSE),8))/2-MAX(0,IF(AS66="",0,YEAR(TODAY())-AS66)-IFERROR(VLOOKUP(V66,Assumptions!$A$8:$F$12,5,FALSE),1.5))),IFERROR(VLOOKUP(V66,Assumptions!$A$8:$F$12,5,FALSE),2.5)+IF(X66&lt;&gt;"",X66,IFERROR(VLOOKUP(V66,Assumptions!$A$8:$F$12,3,FALSE),3))+IF(Y66&lt;&gt;"",Y66,IFERROR(VLOOKUP(V66,Assumptions!$A$8:$F$12,4,FALSE),8))/2)</f>
        <v/>
      </c>
      <c r="AB66" s="24">
        <f>U66*Z66/(1+Assumptions!$B$3)^AA66</f>
        <v/>
      </c>
      <c r="AC66" s="27">
        <f>IF(U66=0,"",ROUND(AB66/U66*100,1))</f>
        <v/>
      </c>
      <c r="AD66" s="29">
        <f>AB66*Assumptions!$B$4</f>
        <v/>
      </c>
      <c r="AE66" s="27">
        <f>IF(U66=0,"",ROUND(AD66/U66*100,1))</f>
        <v/>
      </c>
      <c r="AF66" s="29">
        <f>AB66-AD66</f>
        <v/>
      </c>
      <c r="AG66" s="27">
        <f>IF(U66=0,"",ROUND((AB66-AD66)/U66*100,1))</f>
        <v/>
      </c>
      <c r="AH66" s="34" t="inlineStr">
        <is>
          <t>NO TOTALS — list prints none; check page</t>
        </is>
      </c>
      <c r="AI66" s="31" t="inlineStr">
        <is>
          <t>https://cataliseaj.com.br/sgc/download.php?file=files/processo_documento/processo_documento15092204102024_1_.pdf&amp;nome=02. RELAÇÃO DE CREDORES</t>
        </is>
      </c>
      <c r="AJ66" s="30" t="inlineStr">
        <is>
          <t>p2 r45</t>
        </is>
      </c>
      <c r="AK66" s="30" t="inlineStr">
        <is>
          <t>p2: R$ 3.056.640,00</t>
        </is>
      </c>
      <c r="AL66" s="30" t="inlineStr">
        <is>
          <t>Debtor list (art. 51)</t>
        </is>
      </c>
      <c r="AM66" s="30" t="inlineStr"/>
      <c r="AN66" s="30" t="inlineStr">
        <is>
          <t>NONE FOUND</t>
        </is>
      </c>
      <c r="AO66" s="32" t="inlineStr">
        <is>
          <t>5011460-87.2023.8.24.0020</t>
        </is>
      </c>
      <c r="AP66" s="32" t="inlineStr">
        <is>
          <t>TJSC</t>
        </is>
      </c>
      <c r="AQ66" s="32" t="inlineStr">
        <is>
          <t>Recuperação judicial</t>
        </is>
      </c>
      <c r="AR66" s="32" t="inlineStr">
        <is>
          <t>DataJud: no closure/falência movement</t>
        </is>
      </c>
      <c r="AS66" s="32" t="n">
        <v>2023</v>
      </c>
      <c r="AT66" s="32" t="inlineStr">
        <is>
          <t>live case, no plan document yet; case no. from the portal record, not printed on the list</t>
        </is>
      </c>
      <c r="AU66" s="32" t="inlineStr">
        <is>
          <t>26.588.741/0001-29</t>
        </is>
      </c>
      <c r="AV66" s="32" t="inlineStr">
        <is>
          <t>printed on the list (read twice)</t>
        </is>
      </c>
      <c r="AW66" s="32" t="inlineStr"/>
      <c r="AX66" s="32" t="inlineStr">
        <is>
          <t>SAO PAULO</t>
        </is>
      </c>
      <c r="AY66" s="32" t="inlineStr">
        <is>
          <t>SP</t>
        </is>
      </c>
      <c r="AZ66" s="32" t="inlineStr">
        <is>
          <t>Fundos de investimento, exceto previdenciários e imobiliários</t>
        </is>
      </c>
      <c r="BA66" s="32" t="inlineStr">
        <is>
          <t>não ME/EPP</t>
        </is>
      </c>
      <c r="BB66" s="33" t="inlineStr"/>
      <c r="BC66" s="32" t="inlineStr">
        <is>
          <t>UNKNOWN</t>
        </is>
      </c>
      <c r="BD66" s="32" t="inlineStr">
        <is>
          <t>21397569</t>
        </is>
      </c>
      <c r="BE66" s="32" t="n">
        <v>1</v>
      </c>
      <c r="BF66" s="32" t="inlineStr">
        <is>
          <t>list prints no totals</t>
        </is>
      </c>
    </row>
    <row r="67">
      <c r="A67" s="17" t="inlineStr">
        <is>
          <t>ITAU UNIBANCO S.A.</t>
        </is>
      </c>
      <c r="B67" s="18" t="n">
        <v>3004176.14</v>
      </c>
      <c r="C67" s="19" t="inlineStr">
        <is>
          <t>Grupo Conduscabos</t>
        </is>
      </c>
      <c r="D67" s="20" t="inlineStr">
        <is>
          <t>NEW</t>
        </is>
      </c>
      <c r="E67" s="21" t="inlineStr"/>
      <c r="F67" s="20" t="inlineStr"/>
      <c r="G67" s="21" t="inlineStr"/>
      <c r="H67" s="20" t="inlineStr"/>
      <c r="I67" s="22" t="inlineStr">
        <is>
          <t>Murilo Gigliucci</t>
        </is>
      </c>
      <c r="J67" s="22" t="inlineStr">
        <is>
          <t>Superintendente de Reestruturação de Crédito</t>
        </is>
      </c>
      <c r="K67" s="22" t="inlineStr">
        <is>
          <t>(11) 3003-4828</t>
        </is>
      </c>
      <c r="L67" s="22" t="inlineStr"/>
      <c r="M67" s="22" t="inlineStr"/>
      <c r="N67" s="22" t="inlineStr">
        <is>
          <t>murilo.gigliucci@itau-unibanco.com.br</t>
        </is>
      </c>
      <c r="O67" s="22" t="inlineStr">
        <is>
          <t>verified</t>
        </is>
      </c>
      <c r="P67" s="22" t="inlineStr">
        <is>
          <t>Pedro Ornellas</t>
        </is>
      </c>
      <c r="Q67" s="22" t="inlineStr">
        <is>
          <t>Superintendente de Recuperação de Crédito</t>
        </is>
      </c>
      <c r="R67" s="22" t="inlineStr"/>
      <c r="S67" s="22" t="inlineStr">
        <is>
          <t>pedro.ornellas-geronimo@itau-unibanco.com.br</t>
        </is>
      </c>
      <c r="T67" s="22" t="inlineStr">
        <is>
          <t>DM: DM verified email; BACKUP: backup verified email</t>
        </is>
      </c>
      <c r="U67" s="24" t="n">
        <v>3004176.14</v>
      </c>
      <c r="V67" s="25" t="inlineStr">
        <is>
          <t>B</t>
        </is>
      </c>
      <c r="W67" s="26" t="inlineStr"/>
      <c r="X67" s="27" t="inlineStr"/>
      <c r="Y67" s="27" t="inlineStr"/>
      <c r="Z67" s="26">
        <f>IF(W67&lt;&gt;"",W67,IFERROR(VLOOKUP(V67,Assumptions!$A$8:$F$12,2,FALSE),0))*Assumptions!$B$5</f>
        <v/>
      </c>
      <c r="AA67" s="28">
        <f>IF(V67="A",MAX(1,IF(X67&lt;&gt;"",X67,IFERROR(VLOOKUP(V67,Assumptions!$A$8:$F$12,3,FALSE),3))+IF(Y67&lt;&gt;"",Y67,IFERROR(VLOOKUP(V67,Assumptions!$A$8:$F$12,4,FALSE),8))/2-MAX(0,IF(AS67="",0,YEAR(TODAY())-AS67)-IFERROR(VLOOKUP(V67,Assumptions!$A$8:$F$12,5,FALSE),1.5))),IFERROR(VLOOKUP(V67,Assumptions!$A$8:$F$12,5,FALSE),2.5)+IF(X67&lt;&gt;"",X67,IFERROR(VLOOKUP(V67,Assumptions!$A$8:$F$12,3,FALSE),3))+IF(Y67&lt;&gt;"",Y67,IFERROR(VLOOKUP(V67,Assumptions!$A$8:$F$12,4,FALSE),8))/2)</f>
        <v/>
      </c>
      <c r="AB67" s="24">
        <f>U67*Z67/(1+Assumptions!$B$3)^AA67</f>
        <v/>
      </c>
      <c r="AC67" s="27">
        <f>IF(U67=0,"",ROUND(AB67/U67*100,1))</f>
        <v/>
      </c>
      <c r="AD67" s="29">
        <f>AB67*Assumptions!$B$4</f>
        <v/>
      </c>
      <c r="AE67" s="27">
        <f>IF(U67=0,"",ROUND(AD67/U67*100,1))</f>
        <v/>
      </c>
      <c r="AF67" s="29">
        <f>AB67-AD67</f>
        <v/>
      </c>
      <c r="AG67" s="27">
        <f>IF(U67=0,"",ROUND((AB67-AD67)/U67*100,1))</f>
        <v/>
      </c>
      <c r="AH67" s="34" t="inlineStr">
        <is>
          <t>NO TOTALS — list prints none; check page</t>
        </is>
      </c>
      <c r="AI67" s="31" t="inlineStr">
        <is>
          <t>https://assistjud.com.br/wp-content/uploads/elementor/forms/65098c80a5824.pdf</t>
        </is>
      </c>
      <c r="AJ67" s="30" t="inlineStr">
        <is>
          <t>p8 r3; p18 r5</t>
        </is>
      </c>
      <c r="AK67" s="30" t="inlineStr">
        <is>
          <t>p8: R$ 2.066.142,03; p18: R$ 938.034,11</t>
        </is>
      </c>
      <c r="AL67" s="30" t="inlineStr">
        <is>
          <t>AJ list (art. 7 §2)</t>
        </is>
      </c>
      <c r="AM67" s="30" t="inlineStr">
        <is>
          <t>2023-09-18</t>
        </is>
      </c>
      <c r="AN67" s="30" t="inlineStr">
        <is>
          <t>NONE FOUND</t>
        </is>
      </c>
      <c r="AO67" s="32" t="inlineStr">
        <is>
          <t>8005129-09.2023.8.05.0039</t>
        </is>
      </c>
      <c r="AP67" s="32" t="inlineStr">
        <is>
          <t>TJBA</t>
        </is>
      </c>
      <c r="AQ67" s="32" t="inlineStr">
        <is>
          <t>Recuperação judicial</t>
        </is>
      </c>
      <c r="AR67" s="32" t="inlineStr">
        <is>
          <t>DataJud: no closure/falência movement</t>
        </is>
      </c>
      <c r="AS67" s="32" t="n">
        <v>2023</v>
      </c>
      <c r="AT67" s="32" t="inlineStr">
        <is>
          <t>live case, no plan document yet</t>
        </is>
      </c>
      <c r="AU67" s="32" t="inlineStr"/>
      <c r="AV67" s="32" t="inlineStr">
        <is>
          <t>printed on the list (read twice)</t>
        </is>
      </c>
      <c r="AW67" s="32" t="inlineStr"/>
      <c r="AX67" s="32" t="inlineStr">
        <is>
          <t>SAO PAULO</t>
        </is>
      </c>
      <c r="AY67" s="32" t="inlineStr">
        <is>
          <t>SP</t>
        </is>
      </c>
      <c r="AZ67" s="32" t="inlineStr">
        <is>
          <t>Bancos comerciais</t>
        </is>
      </c>
      <c r="BA67" s="32" t="inlineStr">
        <is>
          <t>não ME/EPP</t>
        </is>
      </c>
      <c r="BB67" s="33" t="n">
        <v>76200000000</v>
      </c>
      <c r="BC67" s="32" t="inlineStr">
        <is>
          <t>LARGE CORP</t>
        </is>
      </c>
      <c r="BD67" s="32" t="inlineStr">
        <is>
          <t>60701190</t>
        </is>
      </c>
      <c r="BE67" s="32" t="n">
        <v>2</v>
      </c>
      <c r="BF67" s="32" t="inlineStr">
        <is>
          <t>financial by name list prints no totals</t>
        </is>
      </c>
    </row>
    <row r="68">
      <c r="A68" s="17" t="inlineStr">
        <is>
          <t>BANCO BRADESCO S.A.</t>
        </is>
      </c>
      <c r="B68" s="18" t="n">
        <v>2966807.47</v>
      </c>
      <c r="C68" s="19" t="inlineStr">
        <is>
          <t>Alto Uruguai Indústria e Comércio de Óleos Ltda</t>
        </is>
      </c>
      <c r="D68" s="20" t="inlineStr">
        <is>
          <t>NEW</t>
        </is>
      </c>
      <c r="E68" s="21" t="inlineStr"/>
      <c r="F68" s="20" t="inlineStr"/>
      <c r="G68" s="21" t="inlineStr"/>
      <c r="H68" s="20" t="inlineStr"/>
      <c r="I68" s="22" t="inlineStr">
        <is>
          <t>Marcela Martins</t>
        </is>
      </c>
      <c r="J68" s="22" t="inlineStr">
        <is>
          <t>Superintendente de Recuperação de Crédito - Canais e Operações</t>
        </is>
      </c>
      <c r="K68" s="22" t="inlineStr">
        <is>
          <t>(11) 3684-5122</t>
        </is>
      </c>
      <c r="L68" s="22" t="inlineStr"/>
      <c r="M68" s="22" t="inlineStr"/>
      <c r="N68" s="22" t="inlineStr"/>
      <c r="O68" s="22" t="inlineStr"/>
      <c r="P68" s="22" t="inlineStr">
        <is>
          <t>Luis S</t>
        </is>
      </c>
      <c r="Q68" s="22" t="inlineStr">
        <is>
          <t>DRC - Departamento de Recuperação de Crédito - Gerente de Reestruturação de Crédito</t>
        </is>
      </c>
      <c r="R68" s="22" t="inlineStr"/>
      <c r="S68" s="22" t="inlineStr">
        <is>
          <t>sl@bradesco.com.br</t>
        </is>
      </c>
      <c r="T68" s="22" t="inlineStr">
        <is>
          <t>DM: DM; no work email in Apollo for DM; BACKUP: backup</t>
        </is>
      </c>
      <c r="U68" s="24" t="n">
        <v>2966807.47</v>
      </c>
      <c r="V68" s="25" t="inlineStr">
        <is>
          <t>B</t>
        </is>
      </c>
      <c r="W68" s="26" t="inlineStr"/>
      <c r="X68" s="27" t="inlineStr"/>
      <c r="Y68" s="27" t="inlineStr"/>
      <c r="Z68" s="26">
        <f>IF(W68&lt;&gt;"",W68,IFERROR(VLOOKUP(V68,Assumptions!$A$8:$F$12,2,FALSE),0))*Assumptions!$B$5</f>
        <v/>
      </c>
      <c r="AA68" s="28">
        <f>IF(V68="A",MAX(1,IF(X68&lt;&gt;"",X68,IFERROR(VLOOKUP(V68,Assumptions!$A$8:$F$12,3,FALSE),3))+IF(Y68&lt;&gt;"",Y68,IFERROR(VLOOKUP(V68,Assumptions!$A$8:$F$12,4,FALSE),8))/2-MAX(0,IF(AS68="",0,YEAR(TODAY())-AS68)-IFERROR(VLOOKUP(V68,Assumptions!$A$8:$F$12,5,FALSE),1.5))),IFERROR(VLOOKUP(V68,Assumptions!$A$8:$F$12,5,FALSE),2.5)+IF(X68&lt;&gt;"",X68,IFERROR(VLOOKUP(V68,Assumptions!$A$8:$F$12,3,FALSE),3))+IF(Y68&lt;&gt;"",Y68,IFERROR(VLOOKUP(V68,Assumptions!$A$8:$F$12,4,FALSE),8))/2)</f>
        <v/>
      </c>
      <c r="AB68" s="24">
        <f>U68*Z68/(1+Assumptions!$B$3)^AA68</f>
        <v/>
      </c>
      <c r="AC68" s="27">
        <f>IF(U68=0,"",ROUND(AB68/U68*100,1))</f>
        <v/>
      </c>
      <c r="AD68" s="29">
        <f>AB68*Assumptions!$B$4</f>
        <v/>
      </c>
      <c r="AE68" s="27">
        <f>IF(U68=0,"",ROUND(AD68/U68*100,1))</f>
        <v/>
      </c>
      <c r="AF68" s="29">
        <f>AB68-AD68</f>
        <v/>
      </c>
      <c r="AG68" s="27">
        <f>IF(U68=0,"",ROUND((AB68-AD68)/U68*100,1))</f>
        <v/>
      </c>
      <c r="AH68" s="30" t="inlineStr">
        <is>
          <t>OK — totals reconciled</t>
        </is>
      </c>
      <c r="AI68" s="31" t="inlineStr">
        <is>
          <t>https://ajruiz.com.br/sites/default/files/public/arquivos-processos/2026-06/alto_uruguai_qgc_junho.2026.pdf</t>
        </is>
      </c>
      <c r="AJ68" s="30" t="inlineStr">
        <is>
          <t>p1 r7</t>
        </is>
      </c>
      <c r="AK68" s="30" t="inlineStr">
        <is>
          <t>p1: R$ 2.966.807,47</t>
        </is>
      </c>
      <c r="AL68" s="30" t="inlineStr">
        <is>
          <t>Unclassified list</t>
        </is>
      </c>
      <c r="AM68" s="30" t="inlineStr"/>
      <c r="AN68" s="30" t="inlineStr">
        <is>
          <t>NONE FOUND</t>
        </is>
      </c>
      <c r="AO68" s="32" t="inlineStr">
        <is>
          <t>5012743-51.2023.8.24.0019</t>
        </is>
      </c>
      <c r="AP68" s="32" t="inlineStr">
        <is>
          <t>TJSC</t>
        </is>
      </c>
      <c r="AQ68" s="32" t="inlineStr">
        <is>
          <t>Recuperação judicial</t>
        </is>
      </c>
      <c r="AR68" s="32" t="inlineStr">
        <is>
          <t>DataJud: no closure/falência movement</t>
        </is>
      </c>
      <c r="AS68" s="32" t="n">
        <v>2023</v>
      </c>
      <c r="AT68" s="32" t="inlineStr">
        <is>
          <t>live case, no plan document yet</t>
        </is>
      </c>
      <c r="AU68" s="32" t="inlineStr"/>
      <c r="AV68" s="32" t="inlineStr">
        <is>
          <t>printed on the list (read twice)</t>
        </is>
      </c>
      <c r="AW68" s="32" t="inlineStr"/>
      <c r="AX68" s="32" t="inlineStr">
        <is>
          <t>OSASCO</t>
        </is>
      </c>
      <c r="AY68" s="32" t="inlineStr">
        <is>
          <t>SP</t>
        </is>
      </c>
      <c r="AZ68" s="32" t="inlineStr">
        <is>
          <t>Bancos múltiplos, com carteira comercial</t>
        </is>
      </c>
      <c r="BA68" s="32" t="inlineStr">
        <is>
          <t>não ME/EPP</t>
        </is>
      </c>
      <c r="BB68" s="33" t="n">
        <v>93770000000</v>
      </c>
      <c r="BC68" s="32" t="inlineStr">
        <is>
          <t>LARGE CORP</t>
        </is>
      </c>
      <c r="BD68" s="32" t="inlineStr">
        <is>
          <t>60746948</t>
        </is>
      </c>
      <c r="BE68" s="32" t="n">
        <v>1</v>
      </c>
      <c r="BF68" s="32" t="inlineStr">
        <is>
          <t>financial by name</t>
        </is>
      </c>
    </row>
    <row r="69">
      <c r="A69" s="17" t="inlineStr">
        <is>
          <t>Itaú Unibanco Holding S.A.</t>
        </is>
      </c>
      <c r="B69" s="18" t="n">
        <v>12852151.77</v>
      </c>
      <c r="C69" s="19" t="inlineStr">
        <is>
          <t>GRUPO 3E</t>
        </is>
      </c>
      <c r="D69" s="20" t="inlineStr">
        <is>
          <t>NEW</t>
        </is>
      </c>
      <c r="E69" s="21" t="inlineStr"/>
      <c r="F69" s="20" t="inlineStr"/>
      <c r="G69" s="21" t="inlineStr"/>
      <c r="H69" s="20" t="inlineStr"/>
      <c r="I69" s="22" t="inlineStr">
        <is>
          <t>Rodrigo Mourato</t>
        </is>
      </c>
      <c r="J69" s="22" t="inlineStr">
        <is>
          <t>Superintendente de Recuperação de Crédito</t>
        </is>
      </c>
      <c r="K69" s="22" t="inlineStr"/>
      <c r="L69" s="22" t="inlineStr"/>
      <c r="M69" s="22" t="inlineStr"/>
      <c r="N69" s="22" t="inlineStr">
        <is>
          <t>rodrigo.mourato@itau-unibanco.com.br</t>
        </is>
      </c>
      <c r="O69" s="22" t="inlineStr">
        <is>
          <t>verified</t>
        </is>
      </c>
      <c r="P69" s="22" t="inlineStr">
        <is>
          <t>Marina Canteiro</t>
        </is>
      </c>
      <c r="Q69" s="22" t="inlineStr">
        <is>
          <t>Superintendente de Recuperação de Crédito</t>
        </is>
      </c>
      <c r="R69" s="22" t="inlineStr"/>
      <c r="S69" s="22" t="inlineStr">
        <is>
          <t>marina.c@itau.com.br</t>
        </is>
      </c>
      <c r="T69" s="22" t="inlineStr">
        <is>
          <t>DM: DM verified email; BACKUP: backup verified email</t>
        </is>
      </c>
      <c r="U69" s="24" t="n">
        <v>12852151.77</v>
      </c>
      <c r="V69" s="25" t="inlineStr">
        <is>
          <t>B</t>
        </is>
      </c>
      <c r="W69" s="26" t="n">
        <v>0.12</v>
      </c>
      <c r="X69" s="27" t="n">
        <v>2</v>
      </c>
      <c r="Y69" s="27" t="n">
        <v>13</v>
      </c>
      <c r="Z69" s="26">
        <f>IF(W69&lt;&gt;"",W69,IFERROR(VLOOKUP(V69,Assumptions!$A$8:$F$12,2,FALSE),0))*Assumptions!$B$5</f>
        <v/>
      </c>
      <c r="AA69" s="28">
        <f>IF(V69="A",MAX(1,IF(X69&lt;&gt;"",X69,IFERROR(VLOOKUP(V69,Assumptions!$A$8:$F$12,3,FALSE),3))+IF(Y69&lt;&gt;"",Y69,IFERROR(VLOOKUP(V69,Assumptions!$A$8:$F$12,4,FALSE),8))/2-MAX(0,IF(AS69="",0,YEAR(TODAY())-AS69)-IFERROR(VLOOKUP(V69,Assumptions!$A$8:$F$12,5,FALSE),1.5))),IFERROR(VLOOKUP(V69,Assumptions!$A$8:$F$12,5,FALSE),2.5)+IF(X69&lt;&gt;"",X69,IFERROR(VLOOKUP(V69,Assumptions!$A$8:$F$12,3,FALSE),3))+IF(Y69&lt;&gt;"",Y69,IFERROR(VLOOKUP(V69,Assumptions!$A$8:$F$12,4,FALSE),8))/2)</f>
        <v/>
      </c>
      <c r="AB69" s="24">
        <f>U69*Z69/(1+Assumptions!$B$3)^AA69</f>
        <v/>
      </c>
      <c r="AC69" s="27">
        <f>IF(U69=0,"",ROUND(AB69/U69*100,1))</f>
        <v/>
      </c>
      <c r="AD69" s="29">
        <f>AB69*Assumptions!$B$4</f>
        <v/>
      </c>
      <c r="AE69" s="27">
        <f>IF(U69=0,"",ROUND(AD69/U69*100,1))</f>
        <v/>
      </c>
      <c r="AF69" s="29">
        <f>AB69-AD69</f>
        <v/>
      </c>
      <c r="AG69" s="27">
        <f>IF(U69=0,"",ROUND((AB69-AD69)/U69*100,1))</f>
        <v/>
      </c>
      <c r="AH69" s="34" t="inlineStr">
        <is>
          <t>NO TOTALS — list prints none; check page</t>
        </is>
      </c>
      <c r="AI69" s="31" t="inlineStr">
        <is>
          <t>https://stenius.com.br/wp-content/uploads/2026/06/EDITAL-GRUPO-3E.pdf</t>
        </is>
      </c>
      <c r="AJ69" s="30" t="inlineStr">
        <is>
          <t>p14 r63</t>
        </is>
      </c>
      <c r="AK69" s="30" t="inlineStr">
        <is>
          <t>p14: R$ 12.852.151,77</t>
        </is>
      </c>
      <c r="AL69" s="30" t="inlineStr">
        <is>
          <t>Debtor list (art. 51)</t>
        </is>
      </c>
      <c r="AM69" s="30" t="inlineStr">
        <is>
          <t>2026-06-22</t>
        </is>
      </c>
      <c r="AN69" s="30" t="inlineStr">
        <is>
          <t>PLAN FILED (art. 53), not granted</t>
        </is>
      </c>
      <c r="AO69" s="32" t="inlineStr">
        <is>
          <t>5341375-33.2026.8.09.0049</t>
        </is>
      </c>
      <c r="AP69" s="32" t="inlineStr">
        <is>
          <t>TJGO</t>
        </is>
      </c>
      <c r="AQ69" s="32" t="inlineStr">
        <is>
          <t>Recuperação judicial</t>
        </is>
      </c>
      <c r="AR69" s="32" t="inlineStr">
        <is>
          <t>DataJud: no closure/falência movement</t>
        </is>
      </c>
      <c r="AS69" s="32" t="n">
        <v>2026</v>
      </c>
      <c r="AT69" s="32" t="inlineStr">
        <is>
          <t>plan filed (art. 53), not yet granted</t>
        </is>
      </c>
      <c r="AU69" s="32" t="inlineStr"/>
      <c r="AV69" s="32" t="inlineStr">
        <is>
          <t>printed on the list (read twice)</t>
        </is>
      </c>
      <c r="AW69" s="32" t="inlineStr">
        <is>
          <t>Plano de Recuperação Judicial Grupo 3E v2.0 (Métis), mov. 321, pp.24-25</t>
        </is>
      </c>
      <c r="AX69" s="32" t="inlineStr"/>
      <c r="AY69" s="32" t="inlineStr"/>
      <c r="AZ69" s="32" t="inlineStr"/>
      <c r="BA69" s="32" t="inlineStr"/>
      <c r="BB69" s="33" t="inlineStr"/>
      <c r="BC69" s="32" t="inlineStr">
        <is>
          <t>UNKNOWN</t>
        </is>
      </c>
      <c r="BD69" s="32" t="inlineStr">
        <is>
          <t>60872504</t>
        </is>
      </c>
      <c r="BE69" s="32" t="n">
        <v>1</v>
      </c>
      <c r="BF69" s="32" t="inlineStr">
        <is>
          <t>financial by name list prints no totals no RFB record</t>
        </is>
      </c>
    </row>
    <row r="70">
      <c r="A70" s="17" t="inlineStr">
        <is>
          <t>BANCO SAFRA S A</t>
        </is>
      </c>
      <c r="B70" s="18" t="n">
        <v>2921565.37</v>
      </c>
      <c r="C70" s="19" t="inlineStr">
        <is>
          <t>Grupo Arruda (ARRUDA &amp; MELO REPRESENTACAO DE ALIMENTOS E BEBIDAS LTDA, ARRUDA &amp; MELO COMERCIO E DISTRIBUICAO DE ALIMENTOS E BEBIDAS LTDA, ARRUDA &amp; MELO COMERCIO E DISTRIBUICAO DE ALIMENTOS E BEBIDAS DA BAHIA LTDA)</t>
        </is>
      </c>
      <c r="D70" s="20" t="inlineStr">
        <is>
          <t>NEW</t>
        </is>
      </c>
      <c r="E70" s="21" t="inlineStr"/>
      <c r="F70" s="20" t="inlineStr"/>
      <c r="G70" s="21" t="inlineStr"/>
      <c r="H70" s="20" t="inlineStr"/>
      <c r="I70" s="22" t="inlineStr">
        <is>
          <t>Vanessa Biotti</t>
        </is>
      </c>
      <c r="J70" s="22" t="inlineStr">
        <is>
          <t>Gerente de Recuperação de Crédito</t>
        </is>
      </c>
      <c r="K70" s="22" t="inlineStr">
        <is>
          <t>(11) 3175-7575</t>
        </is>
      </c>
      <c r="L70" s="22" t="inlineStr"/>
      <c r="M70" s="22" t="inlineStr"/>
      <c r="N70" s="22" t="inlineStr">
        <is>
          <t>vanessa.biotti@safra.com.br</t>
        </is>
      </c>
      <c r="O70" s="22" t="inlineStr">
        <is>
          <t>verified</t>
        </is>
      </c>
      <c r="P70" s="22" t="inlineStr">
        <is>
          <t>Rodrigo Anjos</t>
        </is>
      </c>
      <c r="Q70" s="22" t="inlineStr">
        <is>
          <t>Advogado Sênior - Jurídico Contencioso - Recuperação de Crédito - NPL</t>
        </is>
      </c>
      <c r="R70" s="22" t="inlineStr"/>
      <c r="S70" s="22" t="inlineStr">
        <is>
          <t>rodrigo.anjos@safra.com.br</t>
        </is>
      </c>
      <c r="T70" s="22" t="inlineStr">
        <is>
          <t>DM: DM verified email; BACKUP: backup verified email (NPL legal)</t>
        </is>
      </c>
      <c r="U70" s="24" t="n">
        <v>2921565.37</v>
      </c>
      <c r="V70" s="25" t="inlineStr">
        <is>
          <t>B</t>
        </is>
      </c>
      <c r="W70" s="26" t="inlineStr"/>
      <c r="X70" s="27" t="inlineStr"/>
      <c r="Y70" s="27" t="inlineStr"/>
      <c r="Z70" s="26">
        <f>IF(W70&lt;&gt;"",W70,IFERROR(VLOOKUP(V70,Assumptions!$A$8:$F$12,2,FALSE),0))*Assumptions!$B$5</f>
        <v/>
      </c>
      <c r="AA70" s="28">
        <f>IF(V70="A",MAX(1,IF(X70&lt;&gt;"",X70,IFERROR(VLOOKUP(V70,Assumptions!$A$8:$F$12,3,FALSE),3))+IF(Y70&lt;&gt;"",Y70,IFERROR(VLOOKUP(V70,Assumptions!$A$8:$F$12,4,FALSE),8))/2-MAX(0,IF(AS70="",0,YEAR(TODAY())-AS70)-IFERROR(VLOOKUP(V70,Assumptions!$A$8:$F$12,5,FALSE),1.5))),IFERROR(VLOOKUP(V70,Assumptions!$A$8:$F$12,5,FALSE),2.5)+IF(X70&lt;&gt;"",X70,IFERROR(VLOOKUP(V70,Assumptions!$A$8:$F$12,3,FALSE),3))+IF(Y70&lt;&gt;"",Y70,IFERROR(VLOOKUP(V70,Assumptions!$A$8:$F$12,4,FALSE),8))/2)</f>
        <v/>
      </c>
      <c r="AB70" s="24">
        <f>U70*Z70/(1+Assumptions!$B$3)^AA70</f>
        <v/>
      </c>
      <c r="AC70" s="27">
        <f>IF(U70=0,"",ROUND(AB70/U70*100,1))</f>
        <v/>
      </c>
      <c r="AD70" s="29">
        <f>AB70*Assumptions!$B$4</f>
        <v/>
      </c>
      <c r="AE70" s="27">
        <f>IF(U70=0,"",ROUND(AD70/U70*100,1))</f>
        <v/>
      </c>
      <c r="AF70" s="29">
        <f>AB70-AD70</f>
        <v/>
      </c>
      <c r="AG70" s="27">
        <f>IF(U70=0,"",ROUND((AB70-AD70)/U70*100,1))</f>
        <v/>
      </c>
      <c r="AH70" s="30" t="inlineStr">
        <is>
          <t>OK — totals reconciled</t>
        </is>
      </c>
      <c r="AI70" s="31" t="inlineStr">
        <is>
          <t>https://diligence.adm.br/wp-content/uploads/2025/06/Edital-1a-Lista-de-Credores.pdf</t>
        </is>
      </c>
      <c r="AJ70" s="30" t="inlineStr">
        <is>
          <t>p5 r52</t>
        </is>
      </c>
      <c r="AK70" s="30" t="inlineStr">
        <is>
          <t>p5: R$ 2.921.565,37</t>
        </is>
      </c>
      <c r="AL70" s="30" t="inlineStr">
        <is>
          <t>Debtor list (art. 51)</t>
        </is>
      </c>
      <c r="AM70" s="30" t="inlineStr">
        <is>
          <t>2025-06-10</t>
        </is>
      </c>
      <c r="AN70" s="30" t="inlineStr">
        <is>
          <t>NONE FOUND</t>
        </is>
      </c>
      <c r="AO70" s="32" t="inlineStr">
        <is>
          <t>0008526-45.2025.8.17.2001</t>
        </is>
      </c>
      <c r="AP70" s="32" t="inlineStr">
        <is>
          <t>TJPE</t>
        </is>
      </c>
      <c r="AQ70" s="32" t="inlineStr">
        <is>
          <t>Recuperação judicial</t>
        </is>
      </c>
      <c r="AR70" s="32" t="inlineStr">
        <is>
          <t>DataJud: no closure/falência movement</t>
        </is>
      </c>
      <c r="AS70" s="32" t="n">
        <v>2025</v>
      </c>
      <c r="AT70" s="32" t="inlineStr">
        <is>
          <t>live case, no plan document yet</t>
        </is>
      </c>
      <c r="AU70" s="32" t="inlineStr"/>
      <c r="AV70" s="32" t="inlineStr">
        <is>
          <t>printed on the list (read twice)</t>
        </is>
      </c>
      <c r="AW70" s="32" t="inlineStr"/>
      <c r="AX70" s="32" t="inlineStr">
        <is>
          <t>SAO PAULO</t>
        </is>
      </c>
      <c r="AY70" s="32" t="inlineStr">
        <is>
          <t>SP</t>
        </is>
      </c>
      <c r="AZ70" s="32" t="inlineStr">
        <is>
          <t>Bancos múltiplos, com carteira comercial</t>
        </is>
      </c>
      <c r="BA70" s="32" t="inlineStr">
        <is>
          <t>não ME/EPP</t>
        </is>
      </c>
      <c r="BB70" s="33" t="n">
        <v>13924903000</v>
      </c>
      <c r="BC70" s="32" t="inlineStr">
        <is>
          <t>LARGE CORP</t>
        </is>
      </c>
      <c r="BD70" s="32" t="inlineStr">
        <is>
          <t>58160789</t>
        </is>
      </c>
      <c r="BE70" s="32" t="n">
        <v>1</v>
      </c>
      <c r="BF70" s="32" t="inlineStr">
        <is>
          <t>financial by name</t>
        </is>
      </c>
    </row>
    <row r="71">
      <c r="A71" s="17" t="inlineStr">
        <is>
          <t>BANCO SANTANDER (BRASIL) S.A.</t>
        </is>
      </c>
      <c r="B71" s="18" t="n">
        <v>2800719.2</v>
      </c>
      <c r="C71" s="19" t="inlineStr">
        <is>
          <t>GRUPO CATTAN</t>
        </is>
      </c>
      <c r="D71" s="20" t="inlineStr">
        <is>
          <t>NEW</t>
        </is>
      </c>
      <c r="E71" s="21" t="inlineStr"/>
      <c r="F71" s="20" t="inlineStr"/>
      <c r="G71" s="21" t="inlineStr"/>
      <c r="H71" s="20" t="inlineStr"/>
      <c r="I71" s="22" t="inlineStr">
        <is>
          <t>Igor Puertas</t>
        </is>
      </c>
      <c r="J71" s="22" t="inlineStr">
        <is>
          <t>Distressed Assets | NPL</t>
        </is>
      </c>
      <c r="K71" s="22" t="inlineStr">
        <is>
          <t>(11) 4004-3535</t>
        </is>
      </c>
      <c r="L71" s="22" t="inlineStr"/>
      <c r="M71" s="22" t="inlineStr"/>
      <c r="N71" s="22" t="inlineStr">
        <is>
          <t>igor.puertas@santander.com.br</t>
        </is>
      </c>
      <c r="O71" s="22" t="inlineStr">
        <is>
          <t>verified</t>
        </is>
      </c>
      <c r="P71" s="22" t="inlineStr">
        <is>
          <t>Antonio Junior</t>
        </is>
      </c>
      <c r="Q71" s="22" t="inlineStr">
        <is>
          <t>Superintendente Recuperação de Crédito</t>
        </is>
      </c>
      <c r="R71" s="22" t="inlineStr"/>
      <c r="S71" s="22" t="inlineStr">
        <is>
          <t>antonio.pequeno.junior@santander.com.br</t>
        </is>
      </c>
      <c r="T71" s="22" t="inlineStr">
        <is>
          <t>DM: DM; BACKUP: backup</t>
        </is>
      </c>
      <c r="U71" s="24" t="n">
        <v>2800719.2</v>
      </c>
      <c r="V71" s="25" t="inlineStr">
        <is>
          <t>B</t>
        </is>
      </c>
      <c r="W71" s="26" t="inlineStr"/>
      <c r="X71" s="27" t="inlineStr"/>
      <c r="Y71" s="27" t="inlineStr"/>
      <c r="Z71" s="26">
        <f>IF(W71&lt;&gt;"",W71,IFERROR(VLOOKUP(V71,Assumptions!$A$8:$F$12,2,FALSE),0))*Assumptions!$B$5</f>
        <v/>
      </c>
      <c r="AA71" s="28">
        <f>IF(V71="A",MAX(1,IF(X71&lt;&gt;"",X71,IFERROR(VLOOKUP(V71,Assumptions!$A$8:$F$12,3,FALSE),3))+IF(Y71&lt;&gt;"",Y71,IFERROR(VLOOKUP(V71,Assumptions!$A$8:$F$12,4,FALSE),8))/2-MAX(0,IF(AS71="",0,YEAR(TODAY())-AS71)-IFERROR(VLOOKUP(V71,Assumptions!$A$8:$F$12,5,FALSE),1.5))),IFERROR(VLOOKUP(V71,Assumptions!$A$8:$F$12,5,FALSE),2.5)+IF(X71&lt;&gt;"",X71,IFERROR(VLOOKUP(V71,Assumptions!$A$8:$F$12,3,FALSE),3))+IF(Y71&lt;&gt;"",Y71,IFERROR(VLOOKUP(V71,Assumptions!$A$8:$F$12,4,FALSE),8))/2)</f>
        <v/>
      </c>
      <c r="AB71" s="24">
        <f>U71*Z71/(1+Assumptions!$B$3)^AA71</f>
        <v/>
      </c>
      <c r="AC71" s="27">
        <f>IF(U71=0,"",ROUND(AB71/U71*100,1))</f>
        <v/>
      </c>
      <c r="AD71" s="29">
        <f>AB71*Assumptions!$B$4</f>
        <v/>
      </c>
      <c r="AE71" s="27">
        <f>IF(U71=0,"",ROUND(AD71/U71*100,1))</f>
        <v/>
      </c>
      <c r="AF71" s="29">
        <f>AB71-AD71</f>
        <v/>
      </c>
      <c r="AG71" s="27">
        <f>IF(U71=0,"",ROUND((AB71-AD71)/U71*100,1))</f>
        <v/>
      </c>
      <c r="AH71" s="35" t="inlineStr">
        <is>
          <t>PARTIAL — class III reconciled, other classes not</t>
        </is>
      </c>
      <c r="AI71" s="31" t="inlineStr">
        <is>
          <t>https://lrflideres.com.br/wp-content/plugins/download-attachments/includes/download.php?id=4023</t>
        </is>
      </c>
      <c r="AJ71" s="30" t="inlineStr">
        <is>
          <t>p4 r57; p7 r80</t>
        </is>
      </c>
      <c r="AK71" s="30" t="inlineStr">
        <is>
          <t>p4: R$ 2.445.781,02; p7: R$ 354.938,18</t>
        </is>
      </c>
      <c r="AL71" s="30" t="inlineStr">
        <is>
          <t>Debtor list (art. 51)</t>
        </is>
      </c>
      <c r="AM71" s="30" t="inlineStr"/>
      <c r="AN71" s="30" t="inlineStr">
        <is>
          <t>NONE FOUND</t>
        </is>
      </c>
      <c r="AO71" s="32" t="inlineStr">
        <is>
          <t>0002484-82.2022.8.17.2001</t>
        </is>
      </c>
      <c r="AP71" s="32" t="inlineStr">
        <is>
          <t>TJPE</t>
        </is>
      </c>
      <c r="AQ71" s="32" t="inlineStr">
        <is>
          <t>Recuperação judicial</t>
        </is>
      </c>
      <c r="AR71" s="32" t="inlineStr">
        <is>
          <t>DataJud: no closure/falência movement</t>
        </is>
      </c>
      <c r="AS71" s="32" t="n">
        <v>2022</v>
      </c>
      <c r="AT71" s="32" t="inlineStr">
        <is>
          <t>live case, no plan document yet</t>
        </is>
      </c>
      <c r="AU71" s="32" t="inlineStr"/>
      <c r="AV71" s="32" t="inlineStr">
        <is>
          <t>printed on the list (read twice)</t>
        </is>
      </c>
      <c r="AW71" s="32" t="inlineStr"/>
      <c r="AX71" s="32" t="inlineStr">
        <is>
          <t>SAO PAULO</t>
        </is>
      </c>
      <c r="AY71" s="32" t="inlineStr">
        <is>
          <t>SP</t>
        </is>
      </c>
      <c r="AZ71" s="32" t="inlineStr">
        <is>
          <t>Bancos múltiplos, com carteira comercial</t>
        </is>
      </c>
      <c r="BA71" s="32" t="inlineStr">
        <is>
          <t>não ME/EPP</t>
        </is>
      </c>
      <c r="BB71" s="33" t="n">
        <v>65000000000</v>
      </c>
      <c r="BC71" s="32" t="inlineStr">
        <is>
          <t>LARGE CORP</t>
        </is>
      </c>
      <c r="BD71" s="32" t="inlineStr">
        <is>
          <t>90400888</t>
        </is>
      </c>
      <c r="BE71" s="32" t="n">
        <v>2</v>
      </c>
      <c r="BF71" s="32" t="inlineStr">
        <is>
          <t>financial by name class III reconciled (doc partial)</t>
        </is>
      </c>
    </row>
    <row r="72">
      <c r="A72" s="17" t="inlineStr">
        <is>
          <t>BANCO VOTORANTIM S.A.</t>
        </is>
      </c>
      <c r="B72" s="18" t="n">
        <v>2800000</v>
      </c>
      <c r="C72" s="19" t="inlineStr">
        <is>
          <t>GRUPO DP4</t>
        </is>
      </c>
      <c r="D72" s="20" t="inlineStr">
        <is>
          <t>NEW</t>
        </is>
      </c>
      <c r="E72" s="21" t="inlineStr"/>
      <c r="F72" s="20" t="inlineStr"/>
      <c r="G72" s="21" t="inlineStr"/>
      <c r="H72" s="20" t="inlineStr"/>
      <c r="I72" s="22" t="inlineStr">
        <is>
          <t>Red Silva</t>
        </is>
      </c>
      <c r="J72" s="22" t="inlineStr">
        <is>
          <t>Special Assets - Banker Senior</t>
        </is>
      </c>
      <c r="K72" s="22" t="inlineStr">
        <is>
          <t>(11) 5171-2672</t>
        </is>
      </c>
      <c r="L72" s="22" t="inlineStr">
        <is>
          <t>(11) 5171-2488</t>
        </is>
      </c>
      <c r="M72" s="22" t="inlineStr"/>
      <c r="N72" s="22" t="inlineStr">
        <is>
          <t>red.silva@bv.com.br</t>
        </is>
      </c>
      <c r="O72" s="22" t="inlineStr">
        <is>
          <t>verified</t>
        </is>
      </c>
      <c r="P72" s="22" t="inlineStr">
        <is>
          <t>Caroline Oishi</t>
        </is>
      </c>
      <c r="Q72" s="22" t="inlineStr">
        <is>
          <t>Gerente Executivo de Recuperação de Crédito</t>
        </is>
      </c>
      <c r="R72" s="22" t="inlineStr"/>
      <c r="S72" s="22" t="inlineStr">
        <is>
          <t>caroline.oishi@bv.com.br</t>
        </is>
      </c>
      <c r="T72" s="22" t="inlineStr">
        <is>
          <t>DM: DM; BACKUP: backup</t>
        </is>
      </c>
      <c r="U72" s="24" t="n">
        <v>2800000</v>
      </c>
      <c r="V72" s="25" t="inlineStr">
        <is>
          <t>B</t>
        </is>
      </c>
      <c r="W72" s="26" t="inlineStr"/>
      <c r="X72" s="27" t="inlineStr"/>
      <c r="Y72" s="27" t="inlineStr"/>
      <c r="Z72" s="26">
        <f>IF(W72&lt;&gt;"",W72,IFERROR(VLOOKUP(V72,Assumptions!$A$8:$F$12,2,FALSE),0))*Assumptions!$B$5</f>
        <v/>
      </c>
      <c r="AA72" s="28">
        <f>IF(V72="A",MAX(1,IF(X72&lt;&gt;"",X72,IFERROR(VLOOKUP(V72,Assumptions!$A$8:$F$12,3,FALSE),3))+IF(Y72&lt;&gt;"",Y72,IFERROR(VLOOKUP(V72,Assumptions!$A$8:$F$12,4,FALSE),8))/2-MAX(0,IF(AS72="",0,YEAR(TODAY())-AS72)-IFERROR(VLOOKUP(V72,Assumptions!$A$8:$F$12,5,FALSE),1.5))),IFERROR(VLOOKUP(V72,Assumptions!$A$8:$F$12,5,FALSE),2.5)+IF(X72&lt;&gt;"",X72,IFERROR(VLOOKUP(V72,Assumptions!$A$8:$F$12,3,FALSE),3))+IF(Y72&lt;&gt;"",Y72,IFERROR(VLOOKUP(V72,Assumptions!$A$8:$F$12,4,FALSE),8))/2)</f>
        <v/>
      </c>
      <c r="AB72" s="24">
        <f>U72*Z72/(1+Assumptions!$B$3)^AA72</f>
        <v/>
      </c>
      <c r="AC72" s="27">
        <f>IF(U72=0,"",ROUND(AB72/U72*100,1))</f>
        <v/>
      </c>
      <c r="AD72" s="29">
        <f>AB72*Assumptions!$B$4</f>
        <v/>
      </c>
      <c r="AE72" s="27">
        <f>IF(U72=0,"",ROUND(AD72/U72*100,1))</f>
        <v/>
      </c>
      <c r="AF72" s="29">
        <f>AB72-AD72</f>
        <v/>
      </c>
      <c r="AG72" s="27">
        <f>IF(U72=0,"",ROUND((AB72-AD72)/U72*100,1))</f>
        <v/>
      </c>
      <c r="AH72" s="35" t="inlineStr">
        <is>
          <t>PARTIAL — class III reconciled, other classes not</t>
        </is>
      </c>
      <c r="AI72" s="31" t="inlineStr">
        <is>
          <t>https://marquesadmjudicial.com.br/sgc/download.php?file=files/processo_documento/processo_documento15293208032024_1_.pdf&amp;nome=Relação Nominal de Credores da AJ-Sintética</t>
        </is>
      </c>
      <c r="AJ72" s="30" t="inlineStr">
        <is>
          <t>p21 r6</t>
        </is>
      </c>
      <c r="AK72" s="30" t="inlineStr">
        <is>
          <t>p21: R$ 2.800.000,00</t>
        </is>
      </c>
      <c r="AL72" s="30" t="inlineStr">
        <is>
          <t>AJ list (art. 7 §2)</t>
        </is>
      </c>
      <c r="AM72" s="30" t="inlineStr">
        <is>
          <t>2023-03-02</t>
        </is>
      </c>
      <c r="AN72" s="30" t="inlineStr">
        <is>
          <t>NONE FOUND</t>
        </is>
      </c>
      <c r="AO72" s="32" t="inlineStr">
        <is>
          <t>0005010-98.2023.8.16.0001</t>
        </is>
      </c>
      <c r="AP72" s="32" t="inlineStr">
        <is>
          <t>TJPR</t>
        </is>
      </c>
      <c r="AQ72" s="32" t="inlineStr">
        <is>
          <t>Recuperação judicial</t>
        </is>
      </c>
      <c r="AR72" s="32" t="inlineStr">
        <is>
          <t>DataJud: no closure/falência movement</t>
        </is>
      </c>
      <c r="AS72" s="32" t="n">
        <v>2023</v>
      </c>
      <c r="AT72" s="32" t="inlineStr">
        <is>
          <t>live case, no plan document yet</t>
        </is>
      </c>
      <c r="AU72" s="32" t="inlineStr"/>
      <c r="AV72" s="32" t="inlineStr">
        <is>
          <t>printed on the list (read twice)</t>
        </is>
      </c>
      <c r="AW72" s="32" t="inlineStr"/>
      <c r="AX72" s="32" t="inlineStr">
        <is>
          <t>SAO PAULO</t>
        </is>
      </c>
      <c r="AY72" s="32" t="inlineStr">
        <is>
          <t>SP</t>
        </is>
      </c>
      <c r="AZ72" s="32" t="inlineStr">
        <is>
          <t>Bancos múltiplos, com carteira comercial</t>
        </is>
      </c>
      <c r="BA72" s="32" t="inlineStr">
        <is>
          <t>não ME/EPP</t>
        </is>
      </c>
      <c r="BB72" s="33" t="n">
        <v>8480372000</v>
      </c>
      <c r="BC72" s="32" t="inlineStr">
        <is>
          <t>LARGE CORP</t>
        </is>
      </c>
      <c r="BD72" s="32" t="inlineStr">
        <is>
          <t>59588111</t>
        </is>
      </c>
      <c r="BE72" s="32" t="n">
        <v>1</v>
      </c>
      <c r="BF72" s="32" t="inlineStr">
        <is>
          <t>financial by name class III reconciled (doc partial)</t>
        </is>
      </c>
    </row>
    <row r="73">
      <c r="A73" s="17" t="inlineStr">
        <is>
          <t>SICREDI S.A</t>
        </is>
      </c>
      <c r="B73" s="18" t="n">
        <v>2771887.36</v>
      </c>
      <c r="C73" s="19" t="inlineStr">
        <is>
          <t>GRUPO GLP</t>
        </is>
      </c>
      <c r="D73" s="20" t="inlineStr">
        <is>
          <t>NEW</t>
        </is>
      </c>
      <c r="E73" s="21" t="inlineStr"/>
      <c r="F73" s="20" t="inlineStr"/>
      <c r="G73" s="21" t="inlineStr"/>
      <c r="H73" s="20" t="inlineStr"/>
      <c r="I73" s="22" t="inlineStr">
        <is>
          <t>Rafael Vignotto</t>
        </is>
      </c>
      <c r="J73" s="22" t="inlineStr">
        <is>
          <t>GPM - Recuperação de Crédito</t>
        </is>
      </c>
      <c r="K73" s="22" t="inlineStr"/>
      <c r="L73" s="22" t="inlineStr"/>
      <c r="M73" s="22" t="inlineStr"/>
      <c r="N73" s="22" t="inlineStr">
        <is>
          <t>rafael_vignotto@sicredi.com.br</t>
        </is>
      </c>
      <c r="O73" s="22" t="inlineStr">
        <is>
          <t>verified</t>
        </is>
      </c>
      <c r="P73" s="22" t="inlineStr">
        <is>
          <t>Daniele Schallenberger</t>
        </is>
      </c>
      <c r="Q73" s="22" t="inlineStr">
        <is>
          <t>Assessora Recuperação de Crédito</t>
        </is>
      </c>
      <c r="R73" s="22" t="inlineStr"/>
      <c r="S73" s="22" t="inlineStr">
        <is>
          <t>daniele_schallenberger@sicredi.com.br</t>
        </is>
      </c>
      <c r="T73" s="22" t="inlineStr">
        <is>
          <t>DM: DM; BACKUP: backup</t>
        </is>
      </c>
      <c r="U73" s="24" t="n">
        <v>2771887.36</v>
      </c>
      <c r="V73" s="25" t="inlineStr">
        <is>
          <t>B</t>
        </is>
      </c>
      <c r="W73" s="26" t="inlineStr"/>
      <c r="X73" s="27" t="inlineStr"/>
      <c r="Y73" s="27" t="inlineStr"/>
      <c r="Z73" s="26">
        <f>IF(W73&lt;&gt;"",W73,IFERROR(VLOOKUP(V73,Assumptions!$A$8:$F$12,2,FALSE),0))*Assumptions!$B$5</f>
        <v/>
      </c>
      <c r="AA73" s="28">
        <f>IF(V73="A",MAX(1,IF(X73&lt;&gt;"",X73,IFERROR(VLOOKUP(V73,Assumptions!$A$8:$F$12,3,FALSE),3))+IF(Y73&lt;&gt;"",Y73,IFERROR(VLOOKUP(V73,Assumptions!$A$8:$F$12,4,FALSE),8))/2-MAX(0,IF(AS73="",0,YEAR(TODAY())-AS73)-IFERROR(VLOOKUP(V73,Assumptions!$A$8:$F$12,5,FALSE),1.5))),IFERROR(VLOOKUP(V73,Assumptions!$A$8:$F$12,5,FALSE),2.5)+IF(X73&lt;&gt;"",X73,IFERROR(VLOOKUP(V73,Assumptions!$A$8:$F$12,3,FALSE),3))+IF(Y73&lt;&gt;"",Y73,IFERROR(VLOOKUP(V73,Assumptions!$A$8:$F$12,4,FALSE),8))/2)</f>
        <v/>
      </c>
      <c r="AB73" s="24">
        <f>U73*Z73/(1+Assumptions!$B$3)^AA73</f>
        <v/>
      </c>
      <c r="AC73" s="27">
        <f>IF(U73=0,"",ROUND(AB73/U73*100,1))</f>
        <v/>
      </c>
      <c r="AD73" s="29">
        <f>AB73*Assumptions!$B$4</f>
        <v/>
      </c>
      <c r="AE73" s="27">
        <f>IF(U73=0,"",ROUND(AD73/U73*100,1))</f>
        <v/>
      </c>
      <c r="AF73" s="29">
        <f>AB73-AD73</f>
        <v/>
      </c>
      <c r="AG73" s="27">
        <f>IF(U73=0,"",ROUND((AB73-AD73)/U73*100,1))</f>
        <v/>
      </c>
      <c r="AH73" s="30" t="inlineStr">
        <is>
          <t>OK — totals reconciled</t>
        </is>
      </c>
      <c r="AI73" s="31" t="inlineStr">
        <is>
          <t>https://recuperasolucoes.com/wp-content/plugins/download-attachments/includes/download.php?id=1597</t>
        </is>
      </c>
      <c r="AJ73" s="30" t="inlineStr">
        <is>
          <t>p13 r21</t>
        </is>
      </c>
      <c r="AK73" s="30" t="inlineStr">
        <is>
          <t>p13: R$ 2.771.887,36</t>
        </is>
      </c>
      <c r="AL73" s="30" t="inlineStr">
        <is>
          <t>Debtor list (art. 51)</t>
        </is>
      </c>
      <c r="AM73" s="30" t="inlineStr">
        <is>
          <t>2026-05-21</t>
        </is>
      </c>
      <c r="AN73" s="30" t="inlineStr">
        <is>
          <t>NONE FOUND</t>
        </is>
      </c>
      <c r="AO73" s="32" t="inlineStr">
        <is>
          <t>0001639-09.2026.8.17.2810</t>
        </is>
      </c>
      <c r="AP73" s="32" t="inlineStr">
        <is>
          <t>TJPE</t>
        </is>
      </c>
      <c r="AQ73" s="32" t="inlineStr">
        <is>
          <t>Recuperação judicial</t>
        </is>
      </c>
      <c r="AR73" s="32" t="inlineStr">
        <is>
          <t>DataJud: no closure/falência movement</t>
        </is>
      </c>
      <c r="AS73" s="32" t="n">
        <v>2026</v>
      </c>
      <c r="AT73" s="32" t="inlineStr">
        <is>
          <t>live case, no plan document yet</t>
        </is>
      </c>
      <c r="AU73" s="32" t="inlineStr"/>
      <c r="AV73" s="32" t="inlineStr">
        <is>
          <t>printed on the list (read twice)</t>
        </is>
      </c>
      <c r="AW73" s="32" t="inlineStr"/>
      <c r="AX73" s="32" t="inlineStr"/>
      <c r="AY73" s="32" t="inlineStr"/>
      <c r="AZ73" s="32" t="inlineStr"/>
      <c r="BA73" s="32" t="inlineStr"/>
      <c r="BB73" s="33" t="inlineStr"/>
      <c r="BC73" s="32" t="inlineStr">
        <is>
          <t>UNKNOWN</t>
        </is>
      </c>
      <c r="BD73" s="32" t="inlineStr">
        <is>
          <t>01181521</t>
        </is>
      </c>
      <c r="BE73" s="32" t="n">
        <v>1</v>
      </c>
      <c r="BF73" s="32" t="inlineStr">
        <is>
          <t>financial by name no RFB record</t>
        </is>
      </c>
    </row>
    <row r="74">
      <c r="A74" s="17" t="inlineStr">
        <is>
          <t>BANCO SAFRA S A</t>
        </is>
      </c>
      <c r="B74" s="18" t="n">
        <v>2771401.44</v>
      </c>
      <c r="C74" s="19" t="inlineStr">
        <is>
          <t>GRUPO ADLIM</t>
        </is>
      </c>
      <c r="D74" s="20" t="inlineStr">
        <is>
          <t>NEW</t>
        </is>
      </c>
      <c r="E74" s="21" t="inlineStr"/>
      <c r="F74" s="20" t="inlineStr"/>
      <c r="G74" s="21" t="inlineStr"/>
      <c r="H74" s="20" t="inlineStr"/>
      <c r="I74" s="22" t="inlineStr">
        <is>
          <t>Vanessa Biotti</t>
        </is>
      </c>
      <c r="J74" s="22" t="inlineStr">
        <is>
          <t>Gerente de Recuperação de Crédito</t>
        </is>
      </c>
      <c r="K74" s="22" t="inlineStr">
        <is>
          <t>(11) 3175-7575</t>
        </is>
      </c>
      <c r="L74" s="22" t="inlineStr"/>
      <c r="M74" s="22" t="inlineStr"/>
      <c r="N74" s="22" t="inlineStr">
        <is>
          <t>vanessa.biotti@safra.com.br</t>
        </is>
      </c>
      <c r="O74" s="22" t="inlineStr">
        <is>
          <t>verified</t>
        </is>
      </c>
      <c r="P74" s="22" t="inlineStr">
        <is>
          <t>Rodrigo Anjos</t>
        </is>
      </c>
      <c r="Q74" s="22" t="inlineStr">
        <is>
          <t>Advogado Sênior - Jurídico Contencioso - Recuperação de Crédito - NPL</t>
        </is>
      </c>
      <c r="R74" s="22" t="inlineStr"/>
      <c r="S74" s="22" t="inlineStr">
        <is>
          <t>rodrigo.anjos@safra.com.br</t>
        </is>
      </c>
      <c r="T74" s="22" t="inlineStr">
        <is>
          <t>DM: DM verified email; BACKUP: backup verified email (NPL legal)</t>
        </is>
      </c>
      <c r="U74" s="24" t="n">
        <v>2771401.44</v>
      </c>
      <c r="V74" s="25" t="inlineStr">
        <is>
          <t>B</t>
        </is>
      </c>
      <c r="W74" s="26" t="inlineStr"/>
      <c r="X74" s="27" t="inlineStr"/>
      <c r="Y74" s="27" t="inlineStr"/>
      <c r="Z74" s="26">
        <f>IF(W74&lt;&gt;"",W74,IFERROR(VLOOKUP(V74,Assumptions!$A$8:$F$12,2,FALSE),0))*Assumptions!$B$5</f>
        <v/>
      </c>
      <c r="AA74" s="28">
        <f>IF(V74="A",MAX(1,IF(X74&lt;&gt;"",X74,IFERROR(VLOOKUP(V74,Assumptions!$A$8:$F$12,3,FALSE),3))+IF(Y74&lt;&gt;"",Y74,IFERROR(VLOOKUP(V74,Assumptions!$A$8:$F$12,4,FALSE),8))/2-MAX(0,IF(AS74="",0,YEAR(TODAY())-AS74)-IFERROR(VLOOKUP(V74,Assumptions!$A$8:$F$12,5,FALSE),1.5))),IFERROR(VLOOKUP(V74,Assumptions!$A$8:$F$12,5,FALSE),2.5)+IF(X74&lt;&gt;"",X74,IFERROR(VLOOKUP(V74,Assumptions!$A$8:$F$12,3,FALSE),3))+IF(Y74&lt;&gt;"",Y74,IFERROR(VLOOKUP(V74,Assumptions!$A$8:$F$12,4,FALSE),8))/2)</f>
        <v/>
      </c>
      <c r="AB74" s="24">
        <f>U74*Z74/(1+Assumptions!$B$3)^AA74</f>
        <v/>
      </c>
      <c r="AC74" s="27">
        <f>IF(U74=0,"",ROUND(AB74/U74*100,1))</f>
        <v/>
      </c>
      <c r="AD74" s="29">
        <f>AB74*Assumptions!$B$4</f>
        <v/>
      </c>
      <c r="AE74" s="27">
        <f>IF(U74=0,"",ROUND(AD74/U74*100,1))</f>
        <v/>
      </c>
      <c r="AF74" s="29">
        <f>AB74-AD74</f>
        <v/>
      </c>
      <c r="AG74" s="27">
        <f>IF(U74=0,"",ROUND((AB74-AD74)/U74*100,1))</f>
        <v/>
      </c>
      <c r="AH74" s="35" t="inlineStr">
        <is>
          <t>PARTIAL — class III reconciled, other classes not</t>
        </is>
      </c>
      <c r="AI74" s="31" t="inlineStr">
        <is>
          <t>https://lrflideres.com.br/wp-content/plugins/download-attachments/includes/download.php?id=6051</t>
        </is>
      </c>
      <c r="AJ74" s="30" t="inlineStr">
        <is>
          <t>p66 r70</t>
        </is>
      </c>
      <c r="AK74" s="30" t="inlineStr">
        <is>
          <t>p66: R$ 2771401,44</t>
        </is>
      </c>
      <c r="AL74" s="30" t="inlineStr">
        <is>
          <t>AJ list (art. 7 §2)</t>
        </is>
      </c>
      <c r="AM74" s="30" t="inlineStr">
        <is>
          <t>2024-08-12</t>
        </is>
      </c>
      <c r="AN74" s="30" t="inlineStr">
        <is>
          <t>NONE FOUND</t>
        </is>
      </c>
      <c r="AO74" s="32" t="inlineStr">
        <is>
          <t>0019761-43.2024.8.17.2001</t>
        </is>
      </c>
      <c r="AP74" s="32" t="inlineStr">
        <is>
          <t>TJPE</t>
        </is>
      </c>
      <c r="AQ74" s="32" t="inlineStr">
        <is>
          <t>Recuperação judicial</t>
        </is>
      </c>
      <c r="AR74" s="32" t="inlineStr">
        <is>
          <t>DataJud: no closure/falência movement</t>
        </is>
      </c>
      <c r="AS74" s="32" t="n">
        <v>2024</v>
      </c>
      <c r="AT74" s="32" t="inlineStr">
        <is>
          <t>live case, no plan document yet</t>
        </is>
      </c>
      <c r="AU74" s="32" t="inlineStr"/>
      <c r="AV74" s="32" t="inlineStr">
        <is>
          <t>printed on the list (read twice)</t>
        </is>
      </c>
      <c r="AW74" s="32" t="inlineStr"/>
      <c r="AX74" s="32" t="inlineStr">
        <is>
          <t>SAO PAULO</t>
        </is>
      </c>
      <c r="AY74" s="32" t="inlineStr">
        <is>
          <t>SP</t>
        </is>
      </c>
      <c r="AZ74" s="32" t="inlineStr">
        <is>
          <t>Bancos múltiplos, com carteira comercial</t>
        </is>
      </c>
      <c r="BA74" s="32" t="inlineStr">
        <is>
          <t>não ME/EPP</t>
        </is>
      </c>
      <c r="BB74" s="33" t="n">
        <v>13924903000</v>
      </c>
      <c r="BC74" s="32" t="inlineStr">
        <is>
          <t>LARGE CORP</t>
        </is>
      </c>
      <c r="BD74" s="32" t="inlineStr">
        <is>
          <t>58160789</t>
        </is>
      </c>
      <c r="BE74" s="32" t="n">
        <v>1</v>
      </c>
      <c r="BF74" s="32" t="inlineStr">
        <is>
          <t>financial by name class III reconciled (doc partial)</t>
        </is>
      </c>
    </row>
    <row r="75">
      <c r="A75" s="17" t="inlineStr">
        <is>
          <t>BANCO DAYCOVAL S.A.</t>
        </is>
      </c>
      <c r="B75" s="18" t="n">
        <v>2710655.64</v>
      </c>
      <c r="C75" s="19" t="inlineStr">
        <is>
          <t>Grupo Arruda (ARRUDA &amp; MELO REPRESENTACAO DE ALIMENTOS E BEBIDAS LTDA, ARRUDA &amp; MELO COMERCIO E DISTRIBUICAO DE ALIMENTOS E BEBIDAS LTDA, ARRUDA &amp; MELO COMERCIO E DISTRIBUICAO DE ALIMENTOS E BEBIDAS DA BAHIA LTDA)</t>
        </is>
      </c>
      <c r="D75" s="20" t="inlineStr">
        <is>
          <t>NEW</t>
        </is>
      </c>
      <c r="E75" s="21" t="inlineStr"/>
      <c r="F75" s="20" t="inlineStr"/>
      <c r="G75" s="21" t="inlineStr"/>
      <c r="H75" s="20" t="inlineStr"/>
      <c r="I75" s="22" t="inlineStr">
        <is>
          <t>Celso Araujo</t>
        </is>
      </c>
      <c r="J75" s="22" t="inlineStr">
        <is>
          <t>Gerente de Recuperação de Crédito</t>
        </is>
      </c>
      <c r="K75" s="22" t="inlineStr">
        <is>
          <t>(11) 3138-0500</t>
        </is>
      </c>
      <c r="L75" s="22" t="inlineStr"/>
      <c r="M75" s="22" t="inlineStr"/>
      <c r="N75" s="22" t="inlineStr">
        <is>
          <t>celso.araujo@bancodaycoval.com.br</t>
        </is>
      </c>
      <c r="O75" s="22" t="inlineStr">
        <is>
          <t>verified</t>
        </is>
      </c>
      <c r="P75" s="22" t="inlineStr">
        <is>
          <t>Andreia Matiel</t>
        </is>
      </c>
      <c r="Q75" s="22" t="inlineStr">
        <is>
          <t>Advogada Recuperação de Crédito Empresas</t>
        </is>
      </c>
      <c r="R75" s="22" t="inlineStr"/>
      <c r="S75" s="22" t="inlineStr">
        <is>
          <t>andreia.matiel@daycoval.com.br</t>
        </is>
      </c>
      <c r="T75" s="22" t="inlineStr">
        <is>
          <t>DM: DM verified email; BACKUP: backup verified email</t>
        </is>
      </c>
      <c r="U75" s="24" t="n">
        <v>2710655.64</v>
      </c>
      <c r="V75" s="25" t="inlineStr">
        <is>
          <t>B</t>
        </is>
      </c>
      <c r="W75" s="26" t="inlineStr"/>
      <c r="X75" s="27" t="inlineStr"/>
      <c r="Y75" s="27" t="inlineStr"/>
      <c r="Z75" s="26">
        <f>IF(W75&lt;&gt;"",W75,IFERROR(VLOOKUP(V75,Assumptions!$A$8:$F$12,2,FALSE),0))*Assumptions!$B$5</f>
        <v/>
      </c>
      <c r="AA75" s="28">
        <f>IF(V75="A",MAX(1,IF(X75&lt;&gt;"",X75,IFERROR(VLOOKUP(V75,Assumptions!$A$8:$F$12,3,FALSE),3))+IF(Y75&lt;&gt;"",Y75,IFERROR(VLOOKUP(V75,Assumptions!$A$8:$F$12,4,FALSE),8))/2-MAX(0,IF(AS75="",0,YEAR(TODAY())-AS75)-IFERROR(VLOOKUP(V75,Assumptions!$A$8:$F$12,5,FALSE),1.5))),IFERROR(VLOOKUP(V75,Assumptions!$A$8:$F$12,5,FALSE),2.5)+IF(X75&lt;&gt;"",X75,IFERROR(VLOOKUP(V75,Assumptions!$A$8:$F$12,3,FALSE),3))+IF(Y75&lt;&gt;"",Y75,IFERROR(VLOOKUP(V75,Assumptions!$A$8:$F$12,4,FALSE),8))/2)</f>
        <v/>
      </c>
      <c r="AB75" s="24">
        <f>U75*Z75/(1+Assumptions!$B$3)^AA75</f>
        <v/>
      </c>
      <c r="AC75" s="27">
        <f>IF(U75=0,"",ROUND(AB75/U75*100,1))</f>
        <v/>
      </c>
      <c r="AD75" s="29">
        <f>AB75*Assumptions!$B$4</f>
        <v/>
      </c>
      <c r="AE75" s="27">
        <f>IF(U75=0,"",ROUND(AD75/U75*100,1))</f>
        <v/>
      </c>
      <c r="AF75" s="29">
        <f>AB75-AD75</f>
        <v/>
      </c>
      <c r="AG75" s="27">
        <f>IF(U75=0,"",ROUND((AB75-AD75)/U75*100,1))</f>
        <v/>
      </c>
      <c r="AH75" s="30" t="inlineStr">
        <is>
          <t>OK — totals reconciled</t>
        </is>
      </c>
      <c r="AI75" s="31" t="inlineStr">
        <is>
          <t>https://diligence.adm.br/wp-content/uploads/2025/06/Edital-1a-Lista-de-Credores.pdf</t>
        </is>
      </c>
      <c r="AJ75" s="30" t="inlineStr">
        <is>
          <t>p5 r50</t>
        </is>
      </c>
      <c r="AK75" s="30" t="inlineStr">
        <is>
          <t>p5: R$ 2.710.655,64</t>
        </is>
      </c>
      <c r="AL75" s="30" t="inlineStr">
        <is>
          <t>Debtor list (art. 51)</t>
        </is>
      </c>
      <c r="AM75" s="30" t="inlineStr">
        <is>
          <t>2025-06-10</t>
        </is>
      </c>
      <c r="AN75" s="30" t="inlineStr">
        <is>
          <t>NONE FOUND</t>
        </is>
      </c>
      <c r="AO75" s="32" t="inlineStr">
        <is>
          <t>0008526-45.2025.8.17.2001</t>
        </is>
      </c>
      <c r="AP75" s="32" t="inlineStr">
        <is>
          <t>TJPE</t>
        </is>
      </c>
      <c r="AQ75" s="32" t="inlineStr">
        <is>
          <t>Recuperação judicial</t>
        </is>
      </c>
      <c r="AR75" s="32" t="inlineStr">
        <is>
          <t>DataJud: no closure/falência movement</t>
        </is>
      </c>
      <c r="AS75" s="32" t="n">
        <v>2025</v>
      </c>
      <c r="AT75" s="32" t="inlineStr">
        <is>
          <t>live case, no plan document yet</t>
        </is>
      </c>
      <c r="AU75" s="32" t="inlineStr"/>
      <c r="AV75" s="32" t="inlineStr">
        <is>
          <t>printed on the list (read twice)</t>
        </is>
      </c>
      <c r="AW75" s="32" t="inlineStr"/>
      <c r="AX75" s="32" t="inlineStr">
        <is>
          <t>SAO PAULO</t>
        </is>
      </c>
      <c r="AY75" s="32" t="inlineStr">
        <is>
          <t>SP</t>
        </is>
      </c>
      <c r="AZ75" s="32" t="inlineStr">
        <is>
          <t>Bancos múltiplos, com carteira comercial</t>
        </is>
      </c>
      <c r="BA75" s="32" t="inlineStr">
        <is>
          <t>não ME/EPP</t>
        </is>
      </c>
      <c r="BB75" s="33" t="n">
        <v>6907260000</v>
      </c>
      <c r="BC75" s="32" t="inlineStr">
        <is>
          <t>LARGE CORP</t>
        </is>
      </c>
      <c r="BD75" s="32" t="inlineStr">
        <is>
          <t>62232889</t>
        </is>
      </c>
      <c r="BE75" s="32" t="n">
        <v>1</v>
      </c>
      <c r="BF75" s="32" t="inlineStr">
        <is>
          <t>financial by name</t>
        </is>
      </c>
    </row>
    <row r="76">
      <c r="A76" s="17" t="inlineStr">
        <is>
          <t>BANCO SANTANDER (BRASIL) S.A.</t>
        </is>
      </c>
      <c r="B76" s="18" t="n">
        <v>5000000</v>
      </c>
      <c r="C76" s="37" t="inlineStr">
        <is>
          <t>(debtor not identified — see proof)</t>
        </is>
      </c>
      <c r="D76" s="20" t="inlineStr">
        <is>
          <t>NEW</t>
        </is>
      </c>
      <c r="E76" s="21" t="inlineStr"/>
      <c r="F76" s="20" t="inlineStr"/>
      <c r="G76" s="21" t="inlineStr"/>
      <c r="H76" s="20" t="inlineStr"/>
      <c r="I76" s="22" t="inlineStr">
        <is>
          <t>Igor Puertas</t>
        </is>
      </c>
      <c r="J76" s="22" t="inlineStr">
        <is>
          <t>Distressed Assets | NPL</t>
        </is>
      </c>
      <c r="K76" s="22" t="inlineStr">
        <is>
          <t>(11) 4004-3535</t>
        </is>
      </c>
      <c r="L76" s="22" t="inlineStr"/>
      <c r="M76" s="22" t="inlineStr"/>
      <c r="N76" s="22" t="inlineStr">
        <is>
          <t>igor.puertas@santander.com.br</t>
        </is>
      </c>
      <c r="O76" s="22" t="inlineStr">
        <is>
          <t>verified</t>
        </is>
      </c>
      <c r="P76" s="22" t="inlineStr">
        <is>
          <t>Antonio Junior</t>
        </is>
      </c>
      <c r="Q76" s="22" t="inlineStr">
        <is>
          <t>Superintendente Recuperação de Crédito</t>
        </is>
      </c>
      <c r="R76" s="22" t="inlineStr"/>
      <c r="S76" s="22" t="inlineStr">
        <is>
          <t>antonio.pequeno.junior@santander.com.br</t>
        </is>
      </c>
      <c r="T76" s="22" t="inlineStr">
        <is>
          <t>DM: DM; BACKUP: backup</t>
        </is>
      </c>
      <c r="U76" s="24" t="n">
        <v>5000000</v>
      </c>
      <c r="V76" s="38" t="inlineStr">
        <is>
          <t>U</t>
        </is>
      </c>
      <c r="W76" s="26" t="inlineStr"/>
      <c r="X76" s="27" t="inlineStr"/>
      <c r="Y76" s="27" t="inlineStr"/>
      <c r="Z76" s="26">
        <f>IF(W76&lt;&gt;"",W76,IFERROR(VLOOKUP(V76,Assumptions!$A$8:$F$12,2,FALSE),0))*Assumptions!$B$5</f>
        <v/>
      </c>
      <c r="AA76" s="28">
        <f>IF(V76="A",MAX(1,IF(X76&lt;&gt;"",X76,IFERROR(VLOOKUP(V76,Assumptions!$A$8:$F$12,3,FALSE),3))+IF(Y76&lt;&gt;"",Y76,IFERROR(VLOOKUP(V76,Assumptions!$A$8:$F$12,4,FALSE),8))/2-MAX(0,IF(AS76="",0,YEAR(TODAY())-AS76)-IFERROR(VLOOKUP(V76,Assumptions!$A$8:$F$12,5,FALSE),1.5))),IFERROR(VLOOKUP(V76,Assumptions!$A$8:$F$12,5,FALSE),2.5)+IF(X76&lt;&gt;"",X76,IFERROR(VLOOKUP(V76,Assumptions!$A$8:$F$12,3,FALSE),3))+IF(Y76&lt;&gt;"",Y76,IFERROR(VLOOKUP(V76,Assumptions!$A$8:$F$12,4,FALSE),8))/2)</f>
        <v/>
      </c>
      <c r="AB76" s="24">
        <f>U76*Z76/(1+Assumptions!$B$3)^AA76</f>
        <v/>
      </c>
      <c r="AC76" s="27">
        <f>IF(U76=0,"",ROUND(AB76/U76*100,1))</f>
        <v/>
      </c>
      <c r="AD76" s="29">
        <f>AB76*Assumptions!$B$4</f>
        <v/>
      </c>
      <c r="AE76" s="27">
        <f>IF(U76=0,"",ROUND(AD76/U76*100,1))</f>
        <v/>
      </c>
      <c r="AF76" s="29">
        <f>AB76-AD76</f>
        <v/>
      </c>
      <c r="AG76" s="27">
        <f>IF(U76=0,"",ROUND((AB76-AD76)/U76*100,1))</f>
        <v/>
      </c>
      <c r="AH76" s="30" t="inlineStr">
        <is>
          <t>OK — totals reconciled</t>
        </is>
      </c>
      <c r="AI76" s="31" t="inlineStr">
        <is>
          <t>https://ajruiz.com.br/sites/default/files/public/arquivos-processos/2023-11/4_relacao_de_credores_analitica_art._51_iii_da_lre.pdf</t>
        </is>
      </c>
      <c r="AJ76" s="30" t="inlineStr">
        <is>
          <t>p2 r16</t>
        </is>
      </c>
      <c r="AK76" s="30" t="inlineStr">
        <is>
          <t>p2: R$ 5.000.000,00</t>
        </is>
      </c>
      <c r="AL76" s="30" t="inlineStr">
        <is>
          <t>Unclassified list</t>
        </is>
      </c>
      <c r="AM76" s="30" t="inlineStr"/>
      <c r="AN76" s="30" t="inlineStr">
        <is>
          <t>NONE FOUND</t>
        </is>
      </c>
      <c r="AO76" s="32" t="inlineStr">
        <is>
          <t>(not printed)</t>
        </is>
      </c>
      <c r="AP76" s="32" t="inlineStr"/>
      <c r="AQ76" s="32" t="inlineStr"/>
      <c r="AR76" s="32" t="inlineStr"/>
      <c r="AS76" s="32" t="inlineStr"/>
      <c r="AT76" s="32" t="inlineStr">
        <is>
          <t>RJ case number not identified on the document</t>
        </is>
      </c>
      <c r="AU76" s="32" t="inlineStr"/>
      <c r="AV76" s="32" t="inlineStr">
        <is>
          <t>not identified</t>
        </is>
      </c>
      <c r="AW76" s="32" t="inlineStr"/>
      <c r="AX76" s="32" t="inlineStr">
        <is>
          <t>SAO PAULO</t>
        </is>
      </c>
      <c r="AY76" s="32" t="inlineStr">
        <is>
          <t>SP</t>
        </is>
      </c>
      <c r="AZ76" s="32" t="inlineStr">
        <is>
          <t>Bancos múltiplos, com carteira comercial</t>
        </is>
      </c>
      <c r="BA76" s="32" t="inlineStr">
        <is>
          <t>não ME/EPP</t>
        </is>
      </c>
      <c r="BB76" s="33" t="n">
        <v>65000000000</v>
      </c>
      <c r="BC76" s="32" t="inlineStr">
        <is>
          <t>LARGE CORP</t>
        </is>
      </c>
      <c r="BD76" s="32" t="inlineStr">
        <is>
          <t>90400888</t>
        </is>
      </c>
      <c r="BE76" s="32" t="n">
        <v>1</v>
      </c>
      <c r="BF76" s="32" t="inlineStr">
        <is>
          <t>ALT_VALUE:BANCOS case no. corrected by reader</t>
        </is>
      </c>
    </row>
    <row r="77">
      <c r="A77" s="17" t="inlineStr">
        <is>
          <t>COOPERATIVA DE CREDITO, POUPANCA E INVESTIMENTO PROGRESSO - SICREDI PROGRESSO PR/SP</t>
        </is>
      </c>
      <c r="B77" s="18" t="n">
        <v>2656901.01</v>
      </c>
      <c r="C77" s="19" t="inlineStr">
        <is>
          <t>GRUPO OESTEFER</t>
        </is>
      </c>
      <c r="D77" s="20" t="inlineStr">
        <is>
          <t>NEW</t>
        </is>
      </c>
      <c r="E77" s="21" t="inlineStr"/>
      <c r="F77" s="20" t="inlineStr"/>
      <c r="G77" s="21" t="inlineStr"/>
      <c r="H77" s="20" t="inlineStr"/>
      <c r="I77" s="22" t="inlineStr">
        <is>
          <t>Patricia Almeida</t>
        </is>
      </c>
      <c r="J77" s="22" t="inlineStr">
        <is>
          <t>Analista de Recuperação de Crédito</t>
        </is>
      </c>
      <c r="K77" s="22" t="inlineStr">
        <is>
          <t>(45) 3277-8700</t>
        </is>
      </c>
      <c r="L77" s="22" t="inlineStr"/>
      <c r="M77" s="22" t="inlineStr"/>
      <c r="N77" s="22" t="inlineStr">
        <is>
          <t>patricia_falmeida@sicredi.com.br</t>
        </is>
      </c>
      <c r="O77" s="22" t="inlineStr">
        <is>
          <t>verified</t>
        </is>
      </c>
      <c r="P77" s="22" t="inlineStr">
        <is>
          <t>Vagner Machado</t>
        </is>
      </c>
      <c r="Q77" s="22" t="inlineStr">
        <is>
          <t>Gerente de Desenvolvimento de Negócios Crédito</t>
        </is>
      </c>
      <c r="R77" s="22" t="inlineStr"/>
      <c r="S77" s="22" t="inlineStr">
        <is>
          <t>vagner_machado@sicredi.com.br</t>
        </is>
      </c>
      <c r="T77" s="22" t="inlineStr">
        <is>
          <t>DM: DM verified email; BACKUP: backup verified email</t>
        </is>
      </c>
      <c r="U77" s="24" t="n">
        <v>2656901.01</v>
      </c>
      <c r="V77" s="25" t="inlineStr">
        <is>
          <t>B</t>
        </is>
      </c>
      <c r="W77" s="26" t="inlineStr"/>
      <c r="X77" s="27" t="inlineStr"/>
      <c r="Y77" s="27" t="inlineStr"/>
      <c r="Z77" s="26">
        <f>IF(W77&lt;&gt;"",W77,IFERROR(VLOOKUP(V77,Assumptions!$A$8:$F$12,2,FALSE),0))*Assumptions!$B$5</f>
        <v/>
      </c>
      <c r="AA77" s="28">
        <f>IF(V77="A",MAX(1,IF(X77&lt;&gt;"",X77,IFERROR(VLOOKUP(V77,Assumptions!$A$8:$F$12,3,FALSE),3))+IF(Y77&lt;&gt;"",Y77,IFERROR(VLOOKUP(V77,Assumptions!$A$8:$F$12,4,FALSE),8))/2-MAX(0,IF(AS77="",0,YEAR(TODAY())-AS77)-IFERROR(VLOOKUP(V77,Assumptions!$A$8:$F$12,5,FALSE),1.5))),IFERROR(VLOOKUP(V77,Assumptions!$A$8:$F$12,5,FALSE),2.5)+IF(X77&lt;&gt;"",X77,IFERROR(VLOOKUP(V77,Assumptions!$A$8:$F$12,3,FALSE),3))+IF(Y77&lt;&gt;"",Y77,IFERROR(VLOOKUP(V77,Assumptions!$A$8:$F$12,4,FALSE),8))/2)</f>
        <v/>
      </c>
      <c r="AB77" s="24">
        <f>U77*Z77/(1+Assumptions!$B$3)^AA77</f>
        <v/>
      </c>
      <c r="AC77" s="27">
        <f>IF(U77=0,"",ROUND(AB77/U77*100,1))</f>
        <v/>
      </c>
      <c r="AD77" s="29">
        <f>AB77*Assumptions!$B$4</f>
        <v/>
      </c>
      <c r="AE77" s="27">
        <f>IF(U77=0,"",ROUND(AD77/U77*100,1))</f>
        <v/>
      </c>
      <c r="AF77" s="29">
        <f>AB77-AD77</f>
        <v/>
      </c>
      <c r="AG77" s="27">
        <f>IF(U77=0,"",ROUND((AB77-AD77)/U77*100,1))</f>
        <v/>
      </c>
      <c r="AH77" s="35" t="inlineStr">
        <is>
          <t>PARTIAL — class III reconciled, other classes not</t>
        </is>
      </c>
      <c r="AI77" s="31" t="inlineStr">
        <is>
          <t>https://ativosajce.com.br/admin/download.php?file=files/processo_documento/processo_documento14170815062026_1_.pdf&amp;nome=Relação de Credores - Art. 52º § 1º, da Lei nº 11.101/2005 - 20/05/2026</t>
        </is>
      </c>
      <c r="AJ77" s="30" t="inlineStr">
        <is>
          <t>p3 r4</t>
        </is>
      </c>
      <c r="AK77" s="30" t="inlineStr">
        <is>
          <t>p3: R$ 2.656.901,01</t>
        </is>
      </c>
      <c r="AL77" s="30" t="inlineStr">
        <is>
          <t>Debtor list (art. 51)</t>
        </is>
      </c>
      <c r="AM77" s="30" t="inlineStr">
        <is>
          <t>2026-05-20</t>
        </is>
      </c>
      <c r="AN77" s="30" t="inlineStr">
        <is>
          <t>NONE FOUND</t>
        </is>
      </c>
      <c r="AO77" s="32" t="inlineStr">
        <is>
          <t>4087055-04.2026.8.26.0100</t>
        </is>
      </c>
      <c r="AP77" s="32" t="inlineStr">
        <is>
          <t>TJSP</t>
        </is>
      </c>
      <c r="AQ77" s="32" t="inlineStr">
        <is>
          <t>Recuperação judicial</t>
        </is>
      </c>
      <c r="AR77" s="32" t="inlineStr">
        <is>
          <t>DataJud: no closure/falência movement</t>
        </is>
      </c>
      <c r="AS77" s="32" t="n">
        <v>2026</v>
      </c>
      <c r="AT77" s="32" t="inlineStr">
        <is>
          <t>live case, no plan document yet</t>
        </is>
      </c>
      <c r="AU77" s="32" t="inlineStr"/>
      <c r="AV77" s="32" t="inlineStr">
        <is>
          <t>printed on the list (read twice)</t>
        </is>
      </c>
      <c r="AW77" s="32" t="inlineStr"/>
      <c r="AX77" s="32" t="inlineStr">
        <is>
          <t>TOLEDO</t>
        </is>
      </c>
      <c r="AY77" s="32" t="inlineStr">
        <is>
          <t>PR</t>
        </is>
      </c>
      <c r="AZ77" s="32" t="inlineStr">
        <is>
          <t>Cooperativas de crédito mútuo</t>
        </is>
      </c>
      <c r="BA77" s="32" t="inlineStr">
        <is>
          <t>não ME/EPP</t>
        </is>
      </c>
      <c r="BB77" s="33" t="inlineStr"/>
      <c r="BC77" s="32" t="inlineStr">
        <is>
          <t>UNKNOWN</t>
        </is>
      </c>
      <c r="BD77" s="32" t="inlineStr">
        <is>
          <t>76059997</t>
        </is>
      </c>
      <c r="BE77" s="32" t="n">
        <v>1</v>
      </c>
      <c r="BF77" s="32" t="inlineStr">
        <is>
          <t>financial by name class III reconciled (doc partial)</t>
        </is>
      </c>
    </row>
    <row r="78">
      <c r="A78" s="17" t="inlineStr">
        <is>
          <t>BANCO SANTANDER (BRASIL) S.A.</t>
        </is>
      </c>
      <c r="B78" s="18" t="n">
        <v>2576900.02</v>
      </c>
      <c r="C78" s="19" t="inlineStr">
        <is>
          <t>B1 COMÉRCIO DE MANUFATURADOS LTDA</t>
        </is>
      </c>
      <c r="D78" s="20" t="inlineStr">
        <is>
          <t>NEW</t>
        </is>
      </c>
      <c r="E78" s="21" t="inlineStr"/>
      <c r="F78" s="20" t="inlineStr"/>
      <c r="G78" s="21" t="inlineStr"/>
      <c r="H78" s="20" t="inlineStr"/>
      <c r="I78" s="22" t="inlineStr">
        <is>
          <t>Igor Puertas</t>
        </is>
      </c>
      <c r="J78" s="22" t="inlineStr">
        <is>
          <t>Distressed Assets | NPL</t>
        </is>
      </c>
      <c r="K78" s="22" t="inlineStr">
        <is>
          <t>(11) 4004-3535</t>
        </is>
      </c>
      <c r="L78" s="22" t="inlineStr"/>
      <c r="M78" s="22" t="inlineStr"/>
      <c r="N78" s="22" t="inlineStr">
        <is>
          <t>igor.puertas@santander.com.br</t>
        </is>
      </c>
      <c r="O78" s="22" t="inlineStr">
        <is>
          <t>verified</t>
        </is>
      </c>
      <c r="P78" s="22" t="inlineStr">
        <is>
          <t>Antonio Junior</t>
        </is>
      </c>
      <c r="Q78" s="22" t="inlineStr">
        <is>
          <t>Superintendente Recuperação de Crédito</t>
        </is>
      </c>
      <c r="R78" s="22" t="inlineStr"/>
      <c r="S78" s="22" t="inlineStr">
        <is>
          <t>antonio.pequeno.junior@santander.com.br</t>
        </is>
      </c>
      <c r="T78" s="22" t="inlineStr">
        <is>
          <t>DM: DM; BACKUP: backup</t>
        </is>
      </c>
      <c r="U78" s="24" t="n">
        <v>2576900.02</v>
      </c>
      <c r="V78" s="25" t="inlineStr">
        <is>
          <t>B</t>
        </is>
      </c>
      <c r="W78" s="26" t="inlineStr"/>
      <c r="X78" s="27" t="inlineStr"/>
      <c r="Y78" s="27" t="inlineStr"/>
      <c r="Z78" s="26">
        <f>IF(W78&lt;&gt;"",W78,IFERROR(VLOOKUP(V78,Assumptions!$A$8:$F$12,2,FALSE),0))*Assumptions!$B$5</f>
        <v/>
      </c>
      <c r="AA78" s="28">
        <f>IF(V78="A",MAX(1,IF(X78&lt;&gt;"",X78,IFERROR(VLOOKUP(V78,Assumptions!$A$8:$F$12,3,FALSE),3))+IF(Y78&lt;&gt;"",Y78,IFERROR(VLOOKUP(V78,Assumptions!$A$8:$F$12,4,FALSE),8))/2-MAX(0,IF(AS78="",0,YEAR(TODAY())-AS78)-IFERROR(VLOOKUP(V78,Assumptions!$A$8:$F$12,5,FALSE),1.5))),IFERROR(VLOOKUP(V78,Assumptions!$A$8:$F$12,5,FALSE),2.5)+IF(X78&lt;&gt;"",X78,IFERROR(VLOOKUP(V78,Assumptions!$A$8:$F$12,3,FALSE),3))+IF(Y78&lt;&gt;"",Y78,IFERROR(VLOOKUP(V78,Assumptions!$A$8:$F$12,4,FALSE),8))/2)</f>
        <v/>
      </c>
      <c r="AB78" s="24">
        <f>U78*Z78/(1+Assumptions!$B$3)^AA78</f>
        <v/>
      </c>
      <c r="AC78" s="27">
        <f>IF(U78=0,"",ROUND(AB78/U78*100,1))</f>
        <v/>
      </c>
      <c r="AD78" s="29">
        <f>AB78*Assumptions!$B$4</f>
        <v/>
      </c>
      <c r="AE78" s="27">
        <f>IF(U78=0,"",ROUND(AD78/U78*100,1))</f>
        <v/>
      </c>
      <c r="AF78" s="29">
        <f>AB78-AD78</f>
        <v/>
      </c>
      <c r="AG78" s="27">
        <f>IF(U78=0,"",ROUND((AB78-AD78)/U78*100,1))</f>
        <v/>
      </c>
      <c r="AH78" s="34" t="inlineStr">
        <is>
          <t>NO TOTALS — list prints none; check page</t>
        </is>
      </c>
      <c r="AI78" s="31" t="inlineStr">
        <is>
          <t>https://marquesadmjudicial.com.br/sgc/download.php?file=files/processo_documento/processo_documento18581929042026_1_.pdf&amp;nome=3º Edital - Relação de Credores e PRJ</t>
        </is>
      </c>
      <c r="AJ78" s="30" t="inlineStr">
        <is>
          <t>p1 r39</t>
        </is>
      </c>
      <c r="AK78" s="30" t="inlineStr">
        <is>
          <t>p1: R$ 2.576.900,02</t>
        </is>
      </c>
      <c r="AL78" s="30" t="inlineStr">
        <is>
          <t>AJ list (art. 7 §2)</t>
        </is>
      </c>
      <c r="AM78" s="30" t="inlineStr">
        <is>
          <t>2025-09-12</t>
        </is>
      </c>
      <c r="AN78" s="30" t="inlineStr">
        <is>
          <t>NONE FOUND</t>
        </is>
      </c>
      <c r="AO78" s="32" t="inlineStr">
        <is>
          <t>0043030-30.2025.8.16.0021</t>
        </is>
      </c>
      <c r="AP78" s="32" t="inlineStr">
        <is>
          <t>TJPR</t>
        </is>
      </c>
      <c r="AQ78" s="32" t="inlineStr">
        <is>
          <t>Recuperação judicial</t>
        </is>
      </c>
      <c r="AR78" s="32" t="inlineStr">
        <is>
          <t>DataJud: no closure/falência movement</t>
        </is>
      </c>
      <c r="AS78" s="32" t="n">
        <v>2025</v>
      </c>
      <c r="AT78" s="32" t="inlineStr">
        <is>
          <t>live case, no plan document yet</t>
        </is>
      </c>
      <c r="AU78" s="32" t="inlineStr">
        <is>
          <t>29.448.809/0001-62</t>
        </is>
      </c>
      <c r="AV78" s="32" t="inlineStr">
        <is>
          <t>printed on the list (read twice)</t>
        </is>
      </c>
      <c r="AW78" s="32" t="inlineStr"/>
      <c r="AX78" s="32" t="inlineStr">
        <is>
          <t>SAO PAULO</t>
        </is>
      </c>
      <c r="AY78" s="32" t="inlineStr">
        <is>
          <t>SP</t>
        </is>
      </c>
      <c r="AZ78" s="32" t="inlineStr">
        <is>
          <t>Bancos múltiplos, com carteira comercial</t>
        </is>
      </c>
      <c r="BA78" s="32" t="inlineStr">
        <is>
          <t>não ME/EPP</t>
        </is>
      </c>
      <c r="BB78" s="33" t="n">
        <v>65000000000</v>
      </c>
      <c r="BC78" s="32" t="inlineStr">
        <is>
          <t>LARGE CORP</t>
        </is>
      </c>
      <c r="BD78" s="32" t="inlineStr">
        <is>
          <t>90400888</t>
        </is>
      </c>
      <c r="BE78" s="32" t="n">
        <v>1</v>
      </c>
      <c r="BF78" s="32" t="inlineStr">
        <is>
          <t>financial by name list prints no totals</t>
        </is>
      </c>
    </row>
    <row r="79">
      <c r="A79" s="17" t="inlineStr">
        <is>
          <t>Banco Cooperativo Sicredi S.A.</t>
        </is>
      </c>
      <c r="B79" s="18" t="n">
        <v>11225999.29</v>
      </c>
      <c r="C79" s="19" t="inlineStr">
        <is>
          <t>GRUPO 3E</t>
        </is>
      </c>
      <c r="D79" s="20" t="inlineStr">
        <is>
          <t>NEW</t>
        </is>
      </c>
      <c r="E79" s="21" t="inlineStr"/>
      <c r="F79" s="20" t="inlineStr"/>
      <c r="G79" s="21" t="inlineStr"/>
      <c r="H79" s="20" t="inlineStr"/>
      <c r="I79" s="22" t="inlineStr">
        <is>
          <t>Rafael Vignotto</t>
        </is>
      </c>
      <c r="J79" s="22" t="inlineStr">
        <is>
          <t>GPM - Recuperação de Crédito</t>
        </is>
      </c>
      <c r="K79" s="22" t="inlineStr"/>
      <c r="L79" s="22" t="inlineStr"/>
      <c r="M79" s="22" t="inlineStr"/>
      <c r="N79" s="22" t="inlineStr">
        <is>
          <t>rafael_vignotto@sicredi.com.br</t>
        </is>
      </c>
      <c r="O79" s="22" t="inlineStr">
        <is>
          <t>verified</t>
        </is>
      </c>
      <c r="P79" s="22" t="inlineStr">
        <is>
          <t>Daniele Schallenberger</t>
        </is>
      </c>
      <c r="Q79" s="22" t="inlineStr">
        <is>
          <t>Assessora Recuperação de Crédito</t>
        </is>
      </c>
      <c r="R79" s="22" t="inlineStr"/>
      <c r="S79" s="22" t="inlineStr">
        <is>
          <t>daniele_schallenberger@sicredi.com.br</t>
        </is>
      </c>
      <c r="T79" s="22" t="inlineStr">
        <is>
          <t>DM: DM; BACKUP: backup</t>
        </is>
      </c>
      <c r="U79" s="24" t="n">
        <v>11225999.29</v>
      </c>
      <c r="V79" s="25" t="inlineStr">
        <is>
          <t>B</t>
        </is>
      </c>
      <c r="W79" s="26" t="n">
        <v>0.12</v>
      </c>
      <c r="X79" s="27" t="n">
        <v>2</v>
      </c>
      <c r="Y79" s="27" t="n">
        <v>13</v>
      </c>
      <c r="Z79" s="26">
        <f>IF(W79&lt;&gt;"",W79,IFERROR(VLOOKUP(V79,Assumptions!$A$8:$F$12,2,FALSE),0))*Assumptions!$B$5</f>
        <v/>
      </c>
      <c r="AA79" s="28">
        <f>IF(V79="A",MAX(1,IF(X79&lt;&gt;"",X79,IFERROR(VLOOKUP(V79,Assumptions!$A$8:$F$12,3,FALSE),3))+IF(Y79&lt;&gt;"",Y79,IFERROR(VLOOKUP(V79,Assumptions!$A$8:$F$12,4,FALSE),8))/2-MAX(0,IF(AS79="",0,YEAR(TODAY())-AS79)-IFERROR(VLOOKUP(V79,Assumptions!$A$8:$F$12,5,FALSE),1.5))),IFERROR(VLOOKUP(V79,Assumptions!$A$8:$F$12,5,FALSE),2.5)+IF(X79&lt;&gt;"",X79,IFERROR(VLOOKUP(V79,Assumptions!$A$8:$F$12,3,FALSE),3))+IF(Y79&lt;&gt;"",Y79,IFERROR(VLOOKUP(V79,Assumptions!$A$8:$F$12,4,FALSE),8))/2)</f>
        <v/>
      </c>
      <c r="AB79" s="24">
        <f>U79*Z79/(1+Assumptions!$B$3)^AA79</f>
        <v/>
      </c>
      <c r="AC79" s="27">
        <f>IF(U79=0,"",ROUND(AB79/U79*100,1))</f>
        <v/>
      </c>
      <c r="AD79" s="29">
        <f>AB79*Assumptions!$B$4</f>
        <v/>
      </c>
      <c r="AE79" s="27">
        <f>IF(U79=0,"",ROUND(AD79/U79*100,1))</f>
        <v/>
      </c>
      <c r="AF79" s="29">
        <f>AB79-AD79</f>
        <v/>
      </c>
      <c r="AG79" s="27">
        <f>IF(U79=0,"",ROUND((AB79-AD79)/U79*100,1))</f>
        <v/>
      </c>
      <c r="AH79" s="34" t="inlineStr">
        <is>
          <t>NO TOTALS — list prints none; check page</t>
        </is>
      </c>
      <c r="AI79" s="31" t="inlineStr">
        <is>
          <t>https://stenius.com.br/wp-content/uploads/2026/06/EDITAL-GRUPO-3E.pdf</t>
        </is>
      </c>
      <c r="AJ79" s="30" t="inlineStr">
        <is>
          <t>p10 r34</t>
        </is>
      </c>
      <c r="AK79" s="30" t="inlineStr">
        <is>
          <t>p10: R$ 11.225.999,29</t>
        </is>
      </c>
      <c r="AL79" s="30" t="inlineStr">
        <is>
          <t>Debtor list (art. 51)</t>
        </is>
      </c>
      <c r="AM79" s="30" t="inlineStr">
        <is>
          <t>2026-06-22</t>
        </is>
      </c>
      <c r="AN79" s="30" t="inlineStr">
        <is>
          <t>PLAN FILED (art. 53), not granted</t>
        </is>
      </c>
      <c r="AO79" s="32" t="inlineStr">
        <is>
          <t>5341375-33.2026.8.09.0049</t>
        </is>
      </c>
      <c r="AP79" s="32" t="inlineStr">
        <is>
          <t>TJGO</t>
        </is>
      </c>
      <c r="AQ79" s="32" t="inlineStr">
        <is>
          <t>Recuperação judicial</t>
        </is>
      </c>
      <c r="AR79" s="32" t="inlineStr">
        <is>
          <t>DataJud: no closure/falência movement</t>
        </is>
      </c>
      <c r="AS79" s="32" t="n">
        <v>2026</v>
      </c>
      <c r="AT79" s="32" t="inlineStr">
        <is>
          <t>plan filed (art. 53), not yet granted</t>
        </is>
      </c>
      <c r="AU79" s="32" t="inlineStr"/>
      <c r="AV79" s="32" t="inlineStr">
        <is>
          <t>printed on the list (read twice)</t>
        </is>
      </c>
      <c r="AW79" s="32" t="inlineStr">
        <is>
          <t>Plano de Recuperação Judicial Grupo 3E v2.0 (Métis), mov. 321, pp.24-25</t>
        </is>
      </c>
      <c r="AX79" s="32" t="inlineStr"/>
      <c r="AY79" s="32" t="inlineStr"/>
      <c r="AZ79" s="32" t="inlineStr"/>
      <c r="BA79" s="32" t="inlineStr"/>
      <c r="BB79" s="33" t="inlineStr"/>
      <c r="BC79" s="32" t="inlineStr">
        <is>
          <t>UNKNOWN</t>
        </is>
      </c>
      <c r="BD79" s="32" t="inlineStr">
        <is>
          <t>01181521</t>
        </is>
      </c>
      <c r="BE79" s="32" t="n">
        <v>1</v>
      </c>
      <c r="BF79" s="32" t="inlineStr">
        <is>
          <t>financial by name list prints no totals no RFB record</t>
        </is>
      </c>
    </row>
    <row r="80">
      <c r="A80" s="17" t="inlineStr">
        <is>
          <t>BANCO ABC BRASIL S.A.</t>
        </is>
      </c>
      <c r="B80" s="18" t="n">
        <v>2550000</v>
      </c>
      <c r="C80" s="19" t="inlineStr">
        <is>
          <t>Cerealista Safrasul Ltda</t>
        </is>
      </c>
      <c r="D80" s="20" t="inlineStr">
        <is>
          <t>NEW</t>
        </is>
      </c>
      <c r="E80" s="21" t="inlineStr"/>
      <c r="F80" s="20" t="inlineStr"/>
      <c r="G80" s="21" t="inlineStr"/>
      <c r="H80" s="20" t="inlineStr"/>
      <c r="I80" s="22" t="inlineStr">
        <is>
          <t>Luciano Makino</t>
        </is>
      </c>
      <c r="J80" s="22" t="inlineStr">
        <is>
          <t>Especialista de Recuperação de Crédito</t>
        </is>
      </c>
      <c r="K80" s="22" t="inlineStr">
        <is>
          <t>(11) 3170-2000</t>
        </is>
      </c>
      <c r="L80" s="22" t="inlineStr"/>
      <c r="M80" s="22" t="inlineStr"/>
      <c r="N80" s="22" t="inlineStr">
        <is>
          <t>luciano.makino@abcbrasil.com.br</t>
        </is>
      </c>
      <c r="O80" s="22" t="inlineStr">
        <is>
          <t>verified</t>
        </is>
      </c>
      <c r="P80" s="22" t="inlineStr">
        <is>
          <t>Marilia Neves</t>
        </is>
      </c>
      <c r="Q80" s="22" t="inlineStr">
        <is>
          <t>Advogado Especialista em Recuperação de Crédito</t>
        </is>
      </c>
      <c r="R80" s="22" t="inlineStr"/>
      <c r="S80" s="22" t="inlineStr">
        <is>
          <t>marilia.neves@abcbrasil.com.br</t>
        </is>
      </c>
      <c r="T80" s="22" t="inlineStr">
        <is>
          <t>DM: DM verified email; BACKUP: backup verified email</t>
        </is>
      </c>
      <c r="U80" s="24" t="n">
        <v>2550000</v>
      </c>
      <c r="V80" s="25" t="inlineStr">
        <is>
          <t>B</t>
        </is>
      </c>
      <c r="W80" s="26" t="inlineStr"/>
      <c r="X80" s="27" t="inlineStr"/>
      <c r="Y80" s="27" t="inlineStr"/>
      <c r="Z80" s="26">
        <f>IF(W80&lt;&gt;"",W80,IFERROR(VLOOKUP(V80,Assumptions!$A$8:$F$12,2,FALSE),0))*Assumptions!$B$5</f>
        <v/>
      </c>
      <c r="AA80" s="28">
        <f>IF(V80="A",MAX(1,IF(X80&lt;&gt;"",X80,IFERROR(VLOOKUP(V80,Assumptions!$A$8:$F$12,3,FALSE),3))+IF(Y80&lt;&gt;"",Y80,IFERROR(VLOOKUP(V80,Assumptions!$A$8:$F$12,4,FALSE),8))/2-MAX(0,IF(AS80="",0,YEAR(TODAY())-AS80)-IFERROR(VLOOKUP(V80,Assumptions!$A$8:$F$12,5,FALSE),1.5))),IFERROR(VLOOKUP(V80,Assumptions!$A$8:$F$12,5,FALSE),2.5)+IF(X80&lt;&gt;"",X80,IFERROR(VLOOKUP(V80,Assumptions!$A$8:$F$12,3,FALSE),3))+IF(Y80&lt;&gt;"",Y80,IFERROR(VLOOKUP(V80,Assumptions!$A$8:$F$12,4,FALSE),8))/2)</f>
        <v/>
      </c>
      <c r="AB80" s="24">
        <f>U80*Z80/(1+Assumptions!$B$3)^AA80</f>
        <v/>
      </c>
      <c r="AC80" s="27">
        <f>IF(U80=0,"",ROUND(AB80/U80*100,1))</f>
        <v/>
      </c>
      <c r="AD80" s="29">
        <f>AB80*Assumptions!$B$4</f>
        <v/>
      </c>
      <c r="AE80" s="27">
        <f>IF(U80=0,"",ROUND(AD80/U80*100,1))</f>
        <v/>
      </c>
      <c r="AF80" s="29">
        <f>AB80-AD80</f>
        <v/>
      </c>
      <c r="AG80" s="27">
        <f>IF(U80=0,"",ROUND((AB80-AD80)/U80*100,1))</f>
        <v/>
      </c>
      <c r="AH80" s="34" t="inlineStr">
        <is>
          <t>NO TOTALS — list prints none; check page</t>
        </is>
      </c>
      <c r="AI80" s="31" t="inlineStr">
        <is>
          <t>https://ajruiz.com.br/sites/default/files/public/arquivos-processos/2026-01/safrasul_relacao_de_credores_recuperanda.pdf</t>
        </is>
      </c>
      <c r="AJ80" s="30" t="inlineStr">
        <is>
          <t>p8 r14; p8 r15</t>
        </is>
      </c>
      <c r="AK80" s="30" t="inlineStr">
        <is>
          <t>p8: R$ 2.200.000,00; p8: R$ 350.000,00</t>
        </is>
      </c>
      <c r="AL80" s="30" t="inlineStr">
        <is>
          <t>AJ list (art. 7 §2)</t>
        </is>
      </c>
      <c r="AM80" s="30" t="inlineStr">
        <is>
          <t>2026-01-14</t>
        </is>
      </c>
      <c r="AN80" s="30" t="inlineStr">
        <is>
          <t>NONE FOUND</t>
        </is>
      </c>
      <c r="AO80" s="32" t="inlineStr">
        <is>
          <t>4000167-23.2025.8.26.0373</t>
        </is>
      </c>
      <c r="AP80" s="32" t="inlineStr">
        <is>
          <t>TJSP</t>
        </is>
      </c>
      <c r="AQ80" s="32" t="inlineStr">
        <is>
          <t>Recuperação judicial</t>
        </is>
      </c>
      <c r="AR80" s="32" t="inlineStr">
        <is>
          <t>DataJud: no closure/falência movement</t>
        </is>
      </c>
      <c r="AS80" s="32" t="n">
        <v>2025</v>
      </c>
      <c r="AT80" s="32" t="inlineStr">
        <is>
          <t>live case, no plan document yet</t>
        </is>
      </c>
      <c r="AU80" s="32" t="inlineStr"/>
      <c r="AV80" s="32" t="inlineStr">
        <is>
          <t>printed on the list (read twice)</t>
        </is>
      </c>
      <c r="AW80" s="32" t="inlineStr"/>
      <c r="AX80" s="32" t="inlineStr">
        <is>
          <t>SAO PAULO</t>
        </is>
      </c>
      <c r="AY80" s="32" t="inlineStr">
        <is>
          <t>SP</t>
        </is>
      </c>
      <c r="AZ80" s="32" t="inlineStr">
        <is>
          <t>Bancos múltiplos, com carteira comercial</t>
        </is>
      </c>
      <c r="BA80" s="32" t="inlineStr">
        <is>
          <t>não ME/EPP</t>
        </is>
      </c>
      <c r="BB80" s="33" t="n">
        <v>6012662300</v>
      </c>
      <c r="BC80" s="32" t="inlineStr">
        <is>
          <t>LARGE CORP</t>
        </is>
      </c>
      <c r="BD80" s="32" t="inlineStr">
        <is>
          <t>28195667</t>
        </is>
      </c>
      <c r="BE80" s="32" t="n">
        <v>2</v>
      </c>
      <c r="BF80" s="32" t="inlineStr">
        <is>
          <t>financial by name list prints no totals</t>
        </is>
      </c>
    </row>
    <row r="81">
      <c r="A81" s="17" t="inlineStr">
        <is>
          <t>2.1 SICOOB TRANSCREDI</t>
        </is>
      </c>
      <c r="B81" s="18" t="n">
        <v>2542689.55</v>
      </c>
      <c r="C81" s="19" t="inlineStr">
        <is>
          <t>SUINOCULTURA KUNZLER</t>
        </is>
      </c>
      <c r="D81" s="20" t="inlineStr">
        <is>
          <t>NEW</t>
        </is>
      </c>
      <c r="E81" s="21" t="inlineStr"/>
      <c r="F81" s="20" t="inlineStr"/>
      <c r="G81" s="21" t="inlineStr"/>
      <c r="H81" s="20" t="inlineStr"/>
      <c r="I81" s="22" t="inlineStr"/>
      <c r="J81" s="22" t="inlineStr"/>
      <c r="K81" s="22" t="inlineStr"/>
      <c r="L81" s="22" t="inlineStr"/>
      <c r="M81" s="22" t="inlineStr"/>
      <c r="N81" s="22" t="inlineStr"/>
      <c r="O81" s="22" t="inlineStr"/>
      <c r="P81" s="22" t="inlineStr"/>
      <c r="Q81" s="22" t="inlineStr"/>
      <c r="R81" s="22" t="inlineStr"/>
      <c r="S81" s="22" t="inlineStr"/>
      <c r="T81" s="22" t="inlineStr">
        <is>
          <t>no named contact found; NO ROUTE IN: no phone or email on file</t>
        </is>
      </c>
      <c r="U81" s="24" t="n">
        <v>2542689.55</v>
      </c>
      <c r="V81" s="25" t="inlineStr">
        <is>
          <t>B</t>
        </is>
      </c>
      <c r="W81" s="26" t="inlineStr"/>
      <c r="X81" s="27" t="inlineStr"/>
      <c r="Y81" s="27" t="inlineStr"/>
      <c r="Z81" s="26">
        <f>IF(W81&lt;&gt;"",W81,IFERROR(VLOOKUP(V81,Assumptions!$A$8:$F$12,2,FALSE),0))*Assumptions!$B$5</f>
        <v/>
      </c>
      <c r="AA81" s="28">
        <f>IF(V81="A",MAX(1,IF(X81&lt;&gt;"",X81,IFERROR(VLOOKUP(V81,Assumptions!$A$8:$F$12,3,FALSE),3))+IF(Y81&lt;&gt;"",Y81,IFERROR(VLOOKUP(V81,Assumptions!$A$8:$F$12,4,FALSE),8))/2-MAX(0,IF(AS81="",0,YEAR(TODAY())-AS81)-IFERROR(VLOOKUP(V81,Assumptions!$A$8:$F$12,5,FALSE),1.5))),IFERROR(VLOOKUP(V81,Assumptions!$A$8:$F$12,5,FALSE),2.5)+IF(X81&lt;&gt;"",X81,IFERROR(VLOOKUP(V81,Assumptions!$A$8:$F$12,3,FALSE),3))+IF(Y81&lt;&gt;"",Y81,IFERROR(VLOOKUP(V81,Assumptions!$A$8:$F$12,4,FALSE),8))/2)</f>
        <v/>
      </c>
      <c r="AB81" s="24">
        <f>U81*Z81/(1+Assumptions!$B$3)^AA81</f>
        <v/>
      </c>
      <c r="AC81" s="27">
        <f>IF(U81=0,"",ROUND(AB81/U81*100,1))</f>
        <v/>
      </c>
      <c r="AD81" s="29">
        <f>AB81*Assumptions!$B$4</f>
        <v/>
      </c>
      <c r="AE81" s="27">
        <f>IF(U81=0,"",ROUND(AD81/U81*100,1))</f>
        <v/>
      </c>
      <c r="AF81" s="29">
        <f>AB81-AD81</f>
        <v/>
      </c>
      <c r="AG81" s="27">
        <f>IF(U81=0,"",ROUND((AB81-AD81)/U81*100,1))</f>
        <v/>
      </c>
      <c r="AH81" s="34" t="inlineStr">
        <is>
          <t>NO TOTALS — list prints none; check page</t>
        </is>
      </c>
      <c r="AI81" s="31" t="inlineStr">
        <is>
          <t>https://rlg-aj.com.br/wp-content/uploads/2024/11/07.-Relação-de-credores.pdf</t>
        </is>
      </c>
      <c r="AJ81" s="30" t="inlineStr">
        <is>
          <t>p1 r7; p1 r8; p1 r9; p1 r10; p1 r11; p1 r12</t>
        </is>
      </c>
      <c r="AK81" s="30" t="inlineStr">
        <is>
          <t>p1: R$ 1.926.007,07; p1: R$ 272.765,83; p1: R$ 68.170,82; p1: R$ 76.302,83; p1: R$ 96.085,17; p1: R$ 103.357,83</t>
        </is>
      </c>
      <c r="AL81" s="30" t="inlineStr">
        <is>
          <t>Unclassified list</t>
        </is>
      </c>
      <c r="AM81" s="30" t="inlineStr"/>
      <c r="AN81" s="30" t="inlineStr">
        <is>
          <t>NONE FOUND</t>
        </is>
      </c>
      <c r="AO81" s="32" t="inlineStr">
        <is>
          <t>5009149-92.2024.8.24.0019</t>
        </is>
      </c>
      <c r="AP81" s="32" t="inlineStr">
        <is>
          <t>TJSC</t>
        </is>
      </c>
      <c r="AQ81" s="32" t="inlineStr">
        <is>
          <t>Recuperação judicial</t>
        </is>
      </c>
      <c r="AR81" s="32" t="inlineStr">
        <is>
          <t>DataJud: no closure/falência movement</t>
        </is>
      </c>
      <c r="AS81" s="32" t="n">
        <v>2024</v>
      </c>
      <c r="AT81" s="32" t="inlineStr">
        <is>
          <t>live case, no plan document yet; case no. from the portal record, not printed on the list</t>
        </is>
      </c>
      <c r="AU81" s="32" t="inlineStr">
        <is>
          <t>55.365.447/0001-56</t>
        </is>
      </c>
      <c r="AV81" s="32" t="inlineStr">
        <is>
          <t>printed on the list (read twice)</t>
        </is>
      </c>
      <c r="AW81" s="32" t="inlineStr"/>
      <c r="AX81" s="32" t="inlineStr"/>
      <c r="AY81" s="32" t="inlineStr"/>
      <c r="AZ81" s="32" t="inlineStr"/>
      <c r="BA81" s="32" t="inlineStr"/>
      <c r="BB81" s="33" t="inlineStr"/>
      <c r="BC81" s="32" t="inlineStr">
        <is>
          <t>UNKNOWN</t>
        </is>
      </c>
      <c r="BD81" s="32" t="inlineStr">
        <is>
          <t>04247370</t>
        </is>
      </c>
      <c r="BE81" s="32" t="n">
        <v>6</v>
      </c>
      <c r="BF81" s="32" t="inlineStr">
        <is>
          <t>financial by name list prints no totals no RFB record no route in</t>
        </is>
      </c>
    </row>
    <row r="82">
      <c r="A82" s="17" t="inlineStr">
        <is>
          <t>COOPERATIVA DE CREDITO, POUPANCA E INVESTIMENTO DA REGIAO DA PRODUCAO - SICREDI REGIAO DA PRODUCAO RS/SC/MG</t>
        </is>
      </c>
      <c r="B82" s="18" t="n">
        <v>2536775.59</v>
      </c>
      <c r="C82" s="19" t="inlineStr">
        <is>
          <t>AZEPLAST INDÚSTRIA E COMÉRCIO LTDA</t>
        </is>
      </c>
      <c r="D82" s="20" t="inlineStr">
        <is>
          <t>NEW</t>
        </is>
      </c>
      <c r="E82" s="21" t="inlineStr"/>
      <c r="F82" s="20" t="inlineStr"/>
      <c r="G82" s="21" t="inlineStr"/>
      <c r="H82" s="20" t="inlineStr"/>
      <c r="I82" s="22" t="inlineStr">
        <is>
          <t>Jocelina Bento</t>
        </is>
      </c>
      <c r="J82" s="22" t="inlineStr">
        <is>
          <t>Analista de Recuperação de Crédito</t>
        </is>
      </c>
      <c r="K82" s="22" t="inlineStr"/>
      <c r="L82" s="22" t="inlineStr"/>
      <c r="M82" s="22" t="inlineStr"/>
      <c r="N82" s="22" t="inlineStr">
        <is>
          <t>jocelina_bento@sicredi.com.br</t>
        </is>
      </c>
      <c r="O82" s="22" t="inlineStr">
        <is>
          <t>verified</t>
        </is>
      </c>
      <c r="P82" s="22" t="inlineStr">
        <is>
          <t>Aline Festa</t>
        </is>
      </c>
      <c r="Q82" s="22" t="inlineStr">
        <is>
          <t>Recuperação de Crédito</t>
        </is>
      </c>
      <c r="R82" s="22" t="inlineStr"/>
      <c r="S82" s="22" t="inlineStr">
        <is>
          <t>aline_festa@sicredi.com.br</t>
        </is>
      </c>
      <c r="T82" s="22" t="inlineStr">
        <is>
          <t>DM: DM; BACKUP: backup</t>
        </is>
      </c>
      <c r="U82" s="24" t="n">
        <v>2536775.59</v>
      </c>
      <c r="V82" s="25" t="inlineStr">
        <is>
          <t>B</t>
        </is>
      </c>
      <c r="W82" s="26" t="inlineStr"/>
      <c r="X82" s="27" t="inlineStr"/>
      <c r="Y82" s="27" t="inlineStr"/>
      <c r="Z82" s="26">
        <f>IF(W82&lt;&gt;"",W82,IFERROR(VLOOKUP(V82,Assumptions!$A$8:$F$12,2,FALSE),0))*Assumptions!$B$5</f>
        <v/>
      </c>
      <c r="AA82" s="28">
        <f>IF(V82="A",MAX(1,IF(X82&lt;&gt;"",X82,IFERROR(VLOOKUP(V82,Assumptions!$A$8:$F$12,3,FALSE),3))+IF(Y82&lt;&gt;"",Y82,IFERROR(VLOOKUP(V82,Assumptions!$A$8:$F$12,4,FALSE),8))/2-MAX(0,IF(AS82="",0,YEAR(TODAY())-AS82)-IFERROR(VLOOKUP(V82,Assumptions!$A$8:$F$12,5,FALSE),1.5))),IFERROR(VLOOKUP(V82,Assumptions!$A$8:$F$12,5,FALSE),2.5)+IF(X82&lt;&gt;"",X82,IFERROR(VLOOKUP(V82,Assumptions!$A$8:$F$12,3,FALSE),3))+IF(Y82&lt;&gt;"",Y82,IFERROR(VLOOKUP(V82,Assumptions!$A$8:$F$12,4,FALSE),8))/2)</f>
        <v/>
      </c>
      <c r="AB82" s="24">
        <f>U82*Z82/(1+Assumptions!$B$3)^AA82</f>
        <v/>
      </c>
      <c r="AC82" s="27">
        <f>IF(U82=0,"",ROUND(AB82/U82*100,1))</f>
        <v/>
      </c>
      <c r="AD82" s="29">
        <f>AB82*Assumptions!$B$4</f>
        <v/>
      </c>
      <c r="AE82" s="27">
        <f>IF(U82=0,"",ROUND(AD82/U82*100,1))</f>
        <v/>
      </c>
      <c r="AF82" s="29">
        <f>AB82-AD82</f>
        <v/>
      </c>
      <c r="AG82" s="27">
        <f>IF(U82=0,"",ROUND((AB82-AD82)/U82*100,1))</f>
        <v/>
      </c>
      <c r="AH82" s="35" t="inlineStr">
        <is>
          <t>PARTIAL — class III reconciled, other classes not</t>
        </is>
      </c>
      <c r="AI82" s="31" t="inlineStr">
        <is>
          <t>https://ajruiz.com.br/sites/default/files/public/arquivos-processos/2026-08/qgc_azeplast_julho_2026.pdf</t>
        </is>
      </c>
      <c r="AJ82" s="30" t="inlineStr">
        <is>
          <t>p1 r18</t>
        </is>
      </c>
      <c r="AK82" s="30" t="inlineStr">
        <is>
          <t>p1: R$ 2.536.775,59</t>
        </is>
      </c>
      <c r="AL82" s="30" t="inlineStr">
        <is>
          <t>QGC (art. 18)</t>
        </is>
      </c>
      <c r="AM82" s="30" t="inlineStr"/>
      <c r="AN82" s="30" t="inlineStr">
        <is>
          <t>NONE FOUND</t>
        </is>
      </c>
      <c r="AO82" s="32" t="inlineStr">
        <is>
          <t>5008793-34.2023.8.24.0019</t>
        </is>
      </c>
      <c r="AP82" s="32" t="inlineStr">
        <is>
          <t>TJSC</t>
        </is>
      </c>
      <c r="AQ82" s="32" t="inlineStr">
        <is>
          <t>Recuperação judicial</t>
        </is>
      </c>
      <c r="AR82" s="32" t="inlineStr">
        <is>
          <t>DataJud: no closure/falência movement</t>
        </is>
      </c>
      <c r="AS82" s="32" t="n">
        <v>2023</v>
      </c>
      <c r="AT82" s="32" t="inlineStr">
        <is>
          <t>live case, no plan document yet</t>
        </is>
      </c>
      <c r="AU82" s="32" t="inlineStr"/>
      <c r="AV82" s="32" t="inlineStr">
        <is>
          <t>printed on the list (read twice)</t>
        </is>
      </c>
      <c r="AW82" s="32" t="inlineStr"/>
      <c r="AX82" s="32" t="inlineStr"/>
      <c r="AY82" s="32" t="inlineStr"/>
      <c r="AZ82" s="32" t="inlineStr"/>
      <c r="BA82" s="32" t="inlineStr"/>
      <c r="BB82" s="33" t="inlineStr"/>
      <c r="BC82" s="32" t="inlineStr">
        <is>
          <t>UNKNOWN</t>
        </is>
      </c>
      <c r="BD82" s="32" t="inlineStr">
        <is>
          <t>89468565</t>
        </is>
      </c>
      <c r="BE82" s="32" t="n">
        <v>1</v>
      </c>
      <c r="BF82" s="32" t="inlineStr">
        <is>
          <t>financial by name class III reconciled (doc partial) no RFB record</t>
        </is>
      </c>
    </row>
    <row r="83">
      <c r="A83" s="17" t="inlineStr">
        <is>
          <t>BANCO SAFRA S A</t>
        </is>
      </c>
      <c r="B83" s="18" t="n">
        <v>2526000</v>
      </c>
      <c r="C83" s="19" t="inlineStr">
        <is>
          <t>VENEZA SERVIÇOS ADMINISTRATIVOS LTDA.</t>
        </is>
      </c>
      <c r="D83" s="20" t="inlineStr">
        <is>
          <t>NEW</t>
        </is>
      </c>
      <c r="E83" s="21" t="inlineStr"/>
      <c r="F83" s="20" t="inlineStr"/>
      <c r="G83" s="21" t="inlineStr"/>
      <c r="H83" s="20" t="inlineStr"/>
      <c r="I83" s="22" t="inlineStr">
        <is>
          <t>Vanessa Biotti</t>
        </is>
      </c>
      <c r="J83" s="22" t="inlineStr">
        <is>
          <t>Gerente de Recuperação de Crédito</t>
        </is>
      </c>
      <c r="K83" s="22" t="inlineStr">
        <is>
          <t>(11) 3175-7575</t>
        </is>
      </c>
      <c r="L83" s="22" t="inlineStr"/>
      <c r="M83" s="22" t="inlineStr"/>
      <c r="N83" s="22" t="inlineStr">
        <is>
          <t>vanessa.biotti@safra.com.br</t>
        </is>
      </c>
      <c r="O83" s="22" t="inlineStr">
        <is>
          <t>verified</t>
        </is>
      </c>
      <c r="P83" s="22" t="inlineStr">
        <is>
          <t>Rodrigo Anjos</t>
        </is>
      </c>
      <c r="Q83" s="22" t="inlineStr">
        <is>
          <t>Advogado Sênior - Jurídico Contencioso - Recuperação de Crédito - NPL</t>
        </is>
      </c>
      <c r="R83" s="22" t="inlineStr"/>
      <c r="S83" s="22" t="inlineStr">
        <is>
          <t>rodrigo.anjos@safra.com.br</t>
        </is>
      </c>
      <c r="T83" s="22" t="inlineStr">
        <is>
          <t>DM: DM verified email; BACKUP: backup verified email (NPL legal)</t>
        </is>
      </c>
      <c r="U83" s="24" t="n">
        <v>2526000</v>
      </c>
      <c r="V83" s="25" t="inlineStr">
        <is>
          <t>B</t>
        </is>
      </c>
      <c r="W83" s="26" t="inlineStr"/>
      <c r="X83" s="27" t="inlineStr"/>
      <c r="Y83" s="27" t="inlineStr"/>
      <c r="Z83" s="26">
        <f>IF(W83&lt;&gt;"",W83,IFERROR(VLOOKUP(V83,Assumptions!$A$8:$F$12,2,FALSE),0))*Assumptions!$B$5</f>
        <v/>
      </c>
      <c r="AA83" s="28">
        <f>IF(V83="A",MAX(1,IF(X83&lt;&gt;"",X83,IFERROR(VLOOKUP(V83,Assumptions!$A$8:$F$12,3,FALSE),3))+IF(Y83&lt;&gt;"",Y83,IFERROR(VLOOKUP(V83,Assumptions!$A$8:$F$12,4,FALSE),8))/2-MAX(0,IF(AS83="",0,YEAR(TODAY())-AS83)-IFERROR(VLOOKUP(V83,Assumptions!$A$8:$F$12,5,FALSE),1.5))),IFERROR(VLOOKUP(V83,Assumptions!$A$8:$F$12,5,FALSE),2.5)+IF(X83&lt;&gt;"",X83,IFERROR(VLOOKUP(V83,Assumptions!$A$8:$F$12,3,FALSE),3))+IF(Y83&lt;&gt;"",Y83,IFERROR(VLOOKUP(V83,Assumptions!$A$8:$F$12,4,FALSE),8))/2)</f>
        <v/>
      </c>
      <c r="AB83" s="24">
        <f>U83*Z83/(1+Assumptions!$B$3)^AA83</f>
        <v/>
      </c>
      <c r="AC83" s="27">
        <f>IF(U83=0,"",ROUND(AB83/U83*100,1))</f>
        <v/>
      </c>
      <c r="AD83" s="29">
        <f>AB83*Assumptions!$B$4</f>
        <v/>
      </c>
      <c r="AE83" s="27">
        <f>IF(U83=0,"",ROUND(AD83/U83*100,1))</f>
        <v/>
      </c>
      <c r="AF83" s="29">
        <f>AB83-AD83</f>
        <v/>
      </c>
      <c r="AG83" s="27">
        <f>IF(U83=0,"",ROUND((AB83-AD83)/U83*100,1))</f>
        <v/>
      </c>
      <c r="AH83" s="30" t="inlineStr">
        <is>
          <t>OK — totals reconciled</t>
        </is>
      </c>
      <c r="AI83" s="31" t="inlineStr">
        <is>
          <t>https://bugarimecoelho.com.br/ws/media-library/b6b7ea42b9fa2afe30bc728fe00cd5c6/07---edital-do-processamento-da-recuperacao-judicial.pdf</t>
        </is>
      </c>
      <c r="AJ83" s="30" t="inlineStr">
        <is>
          <t>p16 r2</t>
        </is>
      </c>
      <c r="AK83" s="30" t="inlineStr">
        <is>
          <t>p16: R$ 2.526.000,00</t>
        </is>
      </c>
      <c r="AL83" s="30" t="inlineStr">
        <is>
          <t>Unclassified list</t>
        </is>
      </c>
      <c r="AM83" s="30" t="inlineStr">
        <is>
          <t>2026-07-09</t>
        </is>
      </c>
      <c r="AN83" s="30" t="inlineStr">
        <is>
          <t>NONE FOUND</t>
        </is>
      </c>
      <c r="AO83" s="32" t="inlineStr">
        <is>
          <t>3000117-40.2025.8.06.0512</t>
        </is>
      </c>
      <c r="AP83" s="32" t="inlineStr">
        <is>
          <t>TJCE</t>
        </is>
      </c>
      <c r="AQ83" s="32" t="inlineStr">
        <is>
          <t>Recuperação judicial</t>
        </is>
      </c>
      <c r="AR83" s="32" t="inlineStr">
        <is>
          <t>DataJud: no closure/falência movement</t>
        </is>
      </c>
      <c r="AS83" s="32" t="n">
        <v>2025</v>
      </c>
      <c r="AT83" s="32" t="inlineStr">
        <is>
          <t>live case, no plan document yet</t>
        </is>
      </c>
      <c r="AU83" s="32" t="inlineStr">
        <is>
          <t>11.399.787/0001-22</t>
        </is>
      </c>
      <c r="AV83" s="32" t="inlineStr">
        <is>
          <t>printed on the list (read twice)</t>
        </is>
      </c>
      <c r="AW83" s="32" t="inlineStr"/>
      <c r="AX83" s="32" t="inlineStr">
        <is>
          <t>SAO PAULO</t>
        </is>
      </c>
      <c r="AY83" s="32" t="inlineStr">
        <is>
          <t>SP</t>
        </is>
      </c>
      <c r="AZ83" s="32" t="inlineStr">
        <is>
          <t>Bancos múltiplos, com carteira comercial</t>
        </is>
      </c>
      <c r="BA83" s="32" t="inlineStr">
        <is>
          <t>não ME/EPP</t>
        </is>
      </c>
      <c r="BB83" s="33" t="n">
        <v>13924903000</v>
      </c>
      <c r="BC83" s="32" t="inlineStr">
        <is>
          <t>LARGE CORP</t>
        </is>
      </c>
      <c r="BD83" s="32" t="inlineStr">
        <is>
          <t>58160789</t>
        </is>
      </c>
      <c r="BE83" s="32" t="n">
        <v>1</v>
      </c>
      <c r="BF83" s="32" t="inlineStr">
        <is>
          <t>financial by name</t>
        </is>
      </c>
    </row>
    <row r="84">
      <c r="A84" s="17" t="inlineStr">
        <is>
          <t>BANCO SAFRA S A</t>
        </is>
      </c>
      <c r="B84" s="18" t="n">
        <v>2519726.54</v>
      </c>
      <c r="C84" s="19" t="inlineStr">
        <is>
          <t>Grupo Rech</t>
        </is>
      </c>
      <c r="D84" s="20" t="inlineStr">
        <is>
          <t>NEW</t>
        </is>
      </c>
      <c r="E84" s="21" t="inlineStr"/>
      <c r="F84" s="20" t="inlineStr"/>
      <c r="G84" s="21" t="inlineStr"/>
      <c r="H84" s="20" t="inlineStr"/>
      <c r="I84" s="22" t="inlineStr">
        <is>
          <t>Vanessa Biotti</t>
        </is>
      </c>
      <c r="J84" s="22" t="inlineStr">
        <is>
          <t>Gerente de Recuperação de Crédito</t>
        </is>
      </c>
      <c r="K84" s="22" t="inlineStr">
        <is>
          <t>(11) 3175-7575</t>
        </is>
      </c>
      <c r="L84" s="22" t="inlineStr"/>
      <c r="M84" s="22" t="inlineStr"/>
      <c r="N84" s="22" t="inlineStr">
        <is>
          <t>vanessa.biotti@safra.com.br</t>
        </is>
      </c>
      <c r="O84" s="22" t="inlineStr">
        <is>
          <t>verified</t>
        </is>
      </c>
      <c r="P84" s="22" t="inlineStr">
        <is>
          <t>Rodrigo Anjos</t>
        </is>
      </c>
      <c r="Q84" s="22" t="inlineStr">
        <is>
          <t>Advogado Sênior - Jurídico Contencioso - Recuperação de Crédito - NPL</t>
        </is>
      </c>
      <c r="R84" s="22" t="inlineStr"/>
      <c r="S84" s="22" t="inlineStr">
        <is>
          <t>rodrigo.anjos@safra.com.br</t>
        </is>
      </c>
      <c r="T84" s="22" t="inlineStr">
        <is>
          <t>DM: DM verified email; BACKUP: backup verified email (NPL legal)</t>
        </is>
      </c>
      <c r="U84" s="24" t="n">
        <v>2519726.54</v>
      </c>
      <c r="V84" s="25" t="inlineStr">
        <is>
          <t>B</t>
        </is>
      </c>
      <c r="W84" s="26" t="inlineStr"/>
      <c r="X84" s="27" t="inlineStr"/>
      <c r="Y84" s="27" t="inlineStr"/>
      <c r="Z84" s="26">
        <f>IF(W84&lt;&gt;"",W84,IFERROR(VLOOKUP(V84,Assumptions!$A$8:$F$12,2,FALSE),0))*Assumptions!$B$5</f>
        <v/>
      </c>
      <c r="AA84" s="28">
        <f>IF(V84="A",MAX(1,IF(X84&lt;&gt;"",X84,IFERROR(VLOOKUP(V84,Assumptions!$A$8:$F$12,3,FALSE),3))+IF(Y84&lt;&gt;"",Y84,IFERROR(VLOOKUP(V84,Assumptions!$A$8:$F$12,4,FALSE),8))/2-MAX(0,IF(AS84="",0,YEAR(TODAY())-AS84)-IFERROR(VLOOKUP(V84,Assumptions!$A$8:$F$12,5,FALSE),1.5))),IFERROR(VLOOKUP(V84,Assumptions!$A$8:$F$12,5,FALSE),2.5)+IF(X84&lt;&gt;"",X84,IFERROR(VLOOKUP(V84,Assumptions!$A$8:$F$12,3,FALSE),3))+IF(Y84&lt;&gt;"",Y84,IFERROR(VLOOKUP(V84,Assumptions!$A$8:$F$12,4,FALSE),8))/2)</f>
        <v/>
      </c>
      <c r="AB84" s="24">
        <f>U84*Z84/(1+Assumptions!$B$3)^AA84</f>
        <v/>
      </c>
      <c r="AC84" s="27">
        <f>IF(U84=0,"",ROUND(AB84/U84*100,1))</f>
        <v/>
      </c>
      <c r="AD84" s="29">
        <f>AB84*Assumptions!$B$4</f>
        <v/>
      </c>
      <c r="AE84" s="27">
        <f>IF(U84=0,"",ROUND(AD84/U84*100,1))</f>
        <v/>
      </c>
      <c r="AF84" s="29">
        <f>AB84-AD84</f>
        <v/>
      </c>
      <c r="AG84" s="27">
        <f>IF(U84=0,"",ROUND((AB84-AD84)/U84*100,1))</f>
        <v/>
      </c>
      <c r="AH84" s="36" t="inlineStr">
        <is>
          <t>CHECK — source is not a statutory creditor list</t>
        </is>
      </c>
      <c r="AI84" s="31" t="inlineStr">
        <is>
          <t>https://credibilita.com.br/wp-content/uploads/2025/09/Relacao-Credores-29.04.2026.pdf</t>
        </is>
      </c>
      <c r="AJ84" s="30" t="inlineStr">
        <is>
          <t>p1 r12</t>
        </is>
      </c>
      <c r="AK84" s="30" t="inlineStr">
        <is>
          <t>p1: R$ 2.519.726,54</t>
        </is>
      </c>
      <c r="AL84" s="30" t="inlineStr">
        <is>
          <t>Quorum list — NOT an art. 7/51 list</t>
        </is>
      </c>
      <c r="AM84" s="30" t="inlineStr"/>
      <c r="AN84" s="30" t="inlineStr">
        <is>
          <t>NONE FOUND</t>
        </is>
      </c>
      <c r="AO84" s="32" t="inlineStr">
        <is>
          <t>5057720-48.2025.8.24.0023</t>
        </is>
      </c>
      <c r="AP84" s="32" t="inlineStr">
        <is>
          <t>TJSC</t>
        </is>
      </c>
      <c r="AQ84" s="32" t="inlineStr"/>
      <c r="AR84" s="32" t="inlineStr">
        <is>
          <t>not in DataJud</t>
        </is>
      </c>
      <c r="AS84" s="32" t="n">
        <v>2025</v>
      </c>
      <c r="AT84" s="32" t="inlineStr">
        <is>
          <t>live case, no plan document yet; case no. from the portal record, not printed on the list</t>
        </is>
      </c>
      <c r="AU84" s="32" t="inlineStr"/>
      <c r="AV84" s="32" t="inlineStr">
        <is>
          <t>portal page title / URL — not printed on the list</t>
        </is>
      </c>
      <c r="AW84" s="32" t="inlineStr"/>
      <c r="AX84" s="32" t="inlineStr">
        <is>
          <t>SAO PAULO</t>
        </is>
      </c>
      <c r="AY84" s="32" t="inlineStr">
        <is>
          <t>SP</t>
        </is>
      </c>
      <c r="AZ84" s="32" t="inlineStr">
        <is>
          <t>Bancos múltiplos, com carteira comercial</t>
        </is>
      </c>
      <c r="BA84" s="32" t="inlineStr">
        <is>
          <t>não ME/EPP</t>
        </is>
      </c>
      <c r="BB84" s="33" t="n">
        <v>13924903000</v>
      </c>
      <c r="BC84" s="32" t="inlineStr">
        <is>
          <t>LARGE CORP</t>
        </is>
      </c>
      <c r="BD84" s="32" t="inlineStr">
        <is>
          <t>58160789</t>
        </is>
      </c>
      <c r="BE84" s="32" t="n">
        <v>1</v>
      </c>
      <c r="BF84" s="32" t="inlineStr">
        <is>
          <t>list prints no totals case no. corrected by reader</t>
        </is>
      </c>
    </row>
    <row r="85">
      <c r="A85" s="17" t="inlineStr">
        <is>
          <t>SCANIA BANCO S.A.</t>
        </is>
      </c>
      <c r="B85" s="18" t="n">
        <v>2485108.25</v>
      </c>
      <c r="C85" s="19" t="inlineStr">
        <is>
          <t>GRUPO GLP</t>
        </is>
      </c>
      <c r="D85" s="20" t="inlineStr">
        <is>
          <t>NEW</t>
        </is>
      </c>
      <c r="E85" s="21" t="inlineStr"/>
      <c r="F85" s="20" t="inlineStr"/>
      <c r="G85" s="21" t="inlineStr"/>
      <c r="H85" s="20" t="inlineStr"/>
      <c r="I85" s="22" t="inlineStr">
        <is>
          <t>Anilton Marchetti</t>
        </is>
      </c>
      <c r="J85" s="22" t="inlineStr">
        <is>
          <t>Gerente Regional Scania Banco</t>
        </is>
      </c>
      <c r="K85" s="22" t="inlineStr">
        <is>
          <t>(11) 3214-0820</t>
        </is>
      </c>
      <c r="L85" s="22" t="inlineStr"/>
      <c r="M85" s="22" t="inlineStr"/>
      <c r="N85" s="22" t="inlineStr">
        <is>
          <t>anilton.marchetti@scania.com</t>
        </is>
      </c>
      <c r="O85" s="22" t="inlineStr">
        <is>
          <t>verified</t>
        </is>
      </c>
      <c r="P85" s="22" t="inlineStr">
        <is>
          <t>Vanessa Calegari</t>
        </is>
      </c>
      <c r="Q85" s="22" t="inlineStr">
        <is>
          <t>Analista Financeiro Sênior/Scania Banco S/A</t>
        </is>
      </c>
      <c r="R85" s="22" t="inlineStr"/>
      <c r="S85" s="22" t="inlineStr">
        <is>
          <t>vanessa.calegari@scania.com</t>
        </is>
      </c>
      <c r="T85" s="22" t="inlineStr">
        <is>
          <t>DM: DM; VERIFY org: Scania Group (Scania Banco staff listed under group); no recovery desk visible; BACKUP: backup</t>
        </is>
      </c>
      <c r="U85" s="24" t="n">
        <v>2485108.25</v>
      </c>
      <c r="V85" s="25" t="inlineStr">
        <is>
          <t>B</t>
        </is>
      </c>
      <c r="W85" s="26" t="inlineStr"/>
      <c r="X85" s="27" t="inlineStr"/>
      <c r="Y85" s="27" t="inlineStr"/>
      <c r="Z85" s="26">
        <f>IF(W85&lt;&gt;"",W85,IFERROR(VLOOKUP(V85,Assumptions!$A$8:$F$12,2,FALSE),0))*Assumptions!$B$5</f>
        <v/>
      </c>
      <c r="AA85" s="28">
        <f>IF(V85="A",MAX(1,IF(X85&lt;&gt;"",X85,IFERROR(VLOOKUP(V85,Assumptions!$A$8:$F$12,3,FALSE),3))+IF(Y85&lt;&gt;"",Y85,IFERROR(VLOOKUP(V85,Assumptions!$A$8:$F$12,4,FALSE),8))/2-MAX(0,IF(AS85="",0,YEAR(TODAY())-AS85)-IFERROR(VLOOKUP(V85,Assumptions!$A$8:$F$12,5,FALSE),1.5))),IFERROR(VLOOKUP(V85,Assumptions!$A$8:$F$12,5,FALSE),2.5)+IF(X85&lt;&gt;"",X85,IFERROR(VLOOKUP(V85,Assumptions!$A$8:$F$12,3,FALSE),3))+IF(Y85&lt;&gt;"",Y85,IFERROR(VLOOKUP(V85,Assumptions!$A$8:$F$12,4,FALSE),8))/2)</f>
        <v/>
      </c>
      <c r="AB85" s="24">
        <f>U85*Z85/(1+Assumptions!$B$3)^AA85</f>
        <v/>
      </c>
      <c r="AC85" s="27">
        <f>IF(U85=0,"",ROUND(AB85/U85*100,1))</f>
        <v/>
      </c>
      <c r="AD85" s="29">
        <f>AB85*Assumptions!$B$4</f>
        <v/>
      </c>
      <c r="AE85" s="27">
        <f>IF(U85=0,"",ROUND(AD85/U85*100,1))</f>
        <v/>
      </c>
      <c r="AF85" s="29">
        <f>AB85-AD85</f>
        <v/>
      </c>
      <c r="AG85" s="27">
        <f>IF(U85=0,"",ROUND((AB85-AD85)/U85*100,1))</f>
        <v/>
      </c>
      <c r="AH85" s="30" t="inlineStr">
        <is>
          <t>OK — totals reconciled</t>
        </is>
      </c>
      <c r="AI85" s="31" t="inlineStr">
        <is>
          <t>https://recuperasolucoes.com/wp-content/plugins/download-attachments/includes/download.php?id=1597</t>
        </is>
      </c>
      <c r="AJ85" s="30" t="inlineStr">
        <is>
          <t>p13 r20</t>
        </is>
      </c>
      <c r="AK85" s="30" t="inlineStr">
        <is>
          <t>p13: R$ 2.485.108,25</t>
        </is>
      </c>
      <c r="AL85" s="30" t="inlineStr">
        <is>
          <t>Debtor list (art. 51)</t>
        </is>
      </c>
      <c r="AM85" s="30" t="inlineStr">
        <is>
          <t>2026-05-21</t>
        </is>
      </c>
      <c r="AN85" s="30" t="inlineStr">
        <is>
          <t>NONE FOUND</t>
        </is>
      </c>
      <c r="AO85" s="32" t="inlineStr">
        <is>
          <t>0001639-09.2026.8.17.2810</t>
        </is>
      </c>
      <c r="AP85" s="32" t="inlineStr">
        <is>
          <t>TJPE</t>
        </is>
      </c>
      <c r="AQ85" s="32" t="inlineStr">
        <is>
          <t>Recuperação judicial</t>
        </is>
      </c>
      <c r="AR85" s="32" t="inlineStr">
        <is>
          <t>DataJud: no closure/falência movement</t>
        </is>
      </c>
      <c r="AS85" s="32" t="n">
        <v>2026</v>
      </c>
      <c r="AT85" s="32" t="inlineStr">
        <is>
          <t>live case, no plan document yet</t>
        </is>
      </c>
      <c r="AU85" s="32" t="inlineStr"/>
      <c r="AV85" s="32" t="inlineStr">
        <is>
          <t>printed on the list (read twice)</t>
        </is>
      </c>
      <c r="AW85" s="32" t="inlineStr"/>
      <c r="AX85" s="32" t="inlineStr">
        <is>
          <t>SAO BERNARDO DO CAMPO</t>
        </is>
      </c>
      <c r="AY85" s="32" t="inlineStr">
        <is>
          <t>SP</t>
        </is>
      </c>
      <c r="AZ85" s="32" t="inlineStr">
        <is>
          <t>Bancos múltiplos, sem carteira comercial</t>
        </is>
      </c>
      <c r="BA85" s="32" t="inlineStr">
        <is>
          <t>não ME/EPP</t>
        </is>
      </c>
      <c r="BB85" s="33" t="n">
        <v>710000000</v>
      </c>
      <c r="BC85" s="32" t="inlineStr">
        <is>
          <t>LARGE CORP</t>
        </is>
      </c>
      <c r="BD85" s="32" t="inlineStr">
        <is>
          <t>11417016</t>
        </is>
      </c>
      <c r="BE85" s="32" t="n">
        <v>1</v>
      </c>
      <c r="BF85" s="32" t="inlineStr"/>
    </row>
    <row r="86">
      <c r="A86" s="17" t="inlineStr">
        <is>
          <t>MSN SECURITIZADORA S.A.</t>
        </is>
      </c>
      <c r="B86" s="18" t="n">
        <v>2463062.8</v>
      </c>
      <c r="C86" s="19" t="inlineStr">
        <is>
          <t>Grupo Conduscabos</t>
        </is>
      </c>
      <c r="D86" s="20" t="inlineStr">
        <is>
          <t>NEW</t>
        </is>
      </c>
      <c r="E86" s="21" t="inlineStr"/>
      <c r="F86" s="20" t="inlineStr"/>
      <c r="G86" s="21" t="inlineStr"/>
      <c r="H86" s="20" t="inlineStr"/>
      <c r="I86" s="22" t="inlineStr">
        <is>
          <t>MARCELO ALEXANDRE RIBEIRO</t>
        </is>
      </c>
      <c r="J86" s="23" t="inlineStr">
        <is>
          <t>Presidente (RFB partner)</t>
        </is>
      </c>
      <c r="K86" s="22" t="inlineStr">
        <is>
          <t>(41) 9701-8862</t>
        </is>
      </c>
      <c r="L86" s="22" t="inlineStr"/>
      <c r="M86" s="22" t="inlineStr"/>
      <c r="N86" s="22" t="inlineStr"/>
      <c r="O86" s="22" t="inlineStr"/>
      <c r="P86" s="22" t="inlineStr">
        <is>
          <t>SIMONE BATISTA CAMARGO RIBEIRO</t>
        </is>
      </c>
      <c r="Q86" s="22" t="inlineStr">
        <is>
          <t>Diretor (RFB partner)</t>
        </is>
      </c>
      <c r="R86" s="22" t="inlineStr"/>
      <c r="S86" s="22" t="inlineStr"/>
      <c r="T86" s="22" t="inlineStr">
        <is>
          <t>DM = registered partner (RFB QSA); no Apollo match</t>
        </is>
      </c>
      <c r="U86" s="24" t="n">
        <v>2463062.8</v>
      </c>
      <c r="V86" s="25" t="inlineStr">
        <is>
          <t>B</t>
        </is>
      </c>
      <c r="W86" s="26" t="inlineStr"/>
      <c r="X86" s="27" t="inlineStr"/>
      <c r="Y86" s="27" t="inlineStr"/>
      <c r="Z86" s="26">
        <f>IF(W86&lt;&gt;"",W86,IFERROR(VLOOKUP(V86,Assumptions!$A$8:$F$12,2,FALSE),0))*Assumptions!$B$5</f>
        <v/>
      </c>
      <c r="AA86" s="28">
        <f>IF(V86="A",MAX(1,IF(X86&lt;&gt;"",X86,IFERROR(VLOOKUP(V86,Assumptions!$A$8:$F$12,3,FALSE),3))+IF(Y86&lt;&gt;"",Y86,IFERROR(VLOOKUP(V86,Assumptions!$A$8:$F$12,4,FALSE),8))/2-MAX(0,IF(AS86="",0,YEAR(TODAY())-AS86)-IFERROR(VLOOKUP(V86,Assumptions!$A$8:$F$12,5,FALSE),1.5))),IFERROR(VLOOKUP(V86,Assumptions!$A$8:$F$12,5,FALSE),2.5)+IF(X86&lt;&gt;"",X86,IFERROR(VLOOKUP(V86,Assumptions!$A$8:$F$12,3,FALSE),3))+IF(Y86&lt;&gt;"",Y86,IFERROR(VLOOKUP(V86,Assumptions!$A$8:$F$12,4,FALSE),8))/2)</f>
        <v/>
      </c>
      <c r="AB86" s="24">
        <f>U86*Z86/(1+Assumptions!$B$3)^AA86</f>
        <v/>
      </c>
      <c r="AC86" s="27">
        <f>IF(U86=0,"",ROUND(AB86/U86*100,1))</f>
        <v/>
      </c>
      <c r="AD86" s="29">
        <f>AB86*Assumptions!$B$4</f>
        <v/>
      </c>
      <c r="AE86" s="27">
        <f>IF(U86=0,"",ROUND(AD86/U86*100,1))</f>
        <v/>
      </c>
      <c r="AF86" s="29">
        <f>AB86-AD86</f>
        <v/>
      </c>
      <c r="AG86" s="27">
        <f>IF(U86=0,"",ROUND((AB86-AD86)/U86*100,1))</f>
        <v/>
      </c>
      <c r="AH86" s="34" t="inlineStr">
        <is>
          <t>NO TOTALS — list prints none; check page</t>
        </is>
      </c>
      <c r="AI86" s="31" t="inlineStr">
        <is>
          <t>https://assistjud.com.br/wp-content/uploads/elementor/forms/65098c80a5824.pdf</t>
        </is>
      </c>
      <c r="AJ86" s="30" t="inlineStr">
        <is>
          <t>p9 r4; p18 r11</t>
        </is>
      </c>
      <c r="AK86" s="30" t="inlineStr">
        <is>
          <t>p9: R$ 2.310.588,55; p18: R$ 152.474,25</t>
        </is>
      </c>
      <c r="AL86" s="30" t="inlineStr">
        <is>
          <t>AJ list (art. 7 §2)</t>
        </is>
      </c>
      <c r="AM86" s="30" t="inlineStr">
        <is>
          <t>2023-09-18</t>
        </is>
      </c>
      <c r="AN86" s="30" t="inlineStr">
        <is>
          <t>NONE FOUND</t>
        </is>
      </c>
      <c r="AO86" s="32" t="inlineStr">
        <is>
          <t>8005129-09.2023.8.05.0039</t>
        </is>
      </c>
      <c r="AP86" s="32" t="inlineStr">
        <is>
          <t>TJBA</t>
        </is>
      </c>
      <c r="AQ86" s="32" t="inlineStr">
        <is>
          <t>Recuperação judicial</t>
        </is>
      </c>
      <c r="AR86" s="32" t="inlineStr">
        <is>
          <t>DataJud: no closure/falência movement</t>
        </is>
      </c>
      <c r="AS86" s="32" t="n">
        <v>2023</v>
      </c>
      <c r="AT86" s="32" t="inlineStr">
        <is>
          <t>live case, no plan document yet</t>
        </is>
      </c>
      <c r="AU86" s="32" t="inlineStr"/>
      <c r="AV86" s="32" t="inlineStr">
        <is>
          <t>printed on the list (read twice)</t>
        </is>
      </c>
      <c r="AW86" s="32" t="inlineStr"/>
      <c r="AX86" s="32" t="inlineStr">
        <is>
          <t>CURITIBA</t>
        </is>
      </c>
      <c r="AY86" s="32" t="inlineStr">
        <is>
          <t>PR</t>
        </is>
      </c>
      <c r="AZ86" s="32" t="inlineStr">
        <is>
          <t>Securitização de créditos</t>
        </is>
      </c>
      <c r="BA86" s="32" t="inlineStr">
        <is>
          <t>não ME/EPP</t>
        </is>
      </c>
      <c r="BB86" s="33" t="n">
        <v>1000</v>
      </c>
      <c r="BC86" s="32" t="inlineStr">
        <is>
          <t>MID-MARKET</t>
        </is>
      </c>
      <c r="BD86" s="32" t="inlineStr">
        <is>
          <t>20204300</t>
        </is>
      </c>
      <c r="BE86" s="32" t="n">
        <v>2</v>
      </c>
      <c r="BF86" s="32" t="inlineStr">
        <is>
          <t>list prints no totals</t>
        </is>
      </c>
    </row>
    <row r="87">
      <c r="A87" s="17" t="inlineStr">
        <is>
          <t>ITAU UNIBANCO S.A.</t>
        </is>
      </c>
      <c r="B87" s="18" t="n">
        <v>2425507.4</v>
      </c>
      <c r="C87" s="19" t="inlineStr">
        <is>
          <t>GRUPO GLP</t>
        </is>
      </c>
      <c r="D87" s="20" t="inlineStr">
        <is>
          <t>NEW</t>
        </is>
      </c>
      <c r="E87" s="21" t="inlineStr"/>
      <c r="F87" s="20" t="inlineStr"/>
      <c r="G87" s="21" t="inlineStr"/>
      <c r="H87" s="20" t="inlineStr"/>
      <c r="I87" s="22" t="inlineStr">
        <is>
          <t>Murilo Gigliucci</t>
        </is>
      </c>
      <c r="J87" s="22" t="inlineStr">
        <is>
          <t>Superintendente de Reestruturação de Crédito</t>
        </is>
      </c>
      <c r="K87" s="22" t="inlineStr">
        <is>
          <t>(11) 3003-4828</t>
        </is>
      </c>
      <c r="L87" s="22" t="inlineStr"/>
      <c r="M87" s="22" t="inlineStr"/>
      <c r="N87" s="22" t="inlineStr">
        <is>
          <t>murilo.gigliucci@itau-unibanco.com.br</t>
        </is>
      </c>
      <c r="O87" s="22" t="inlineStr">
        <is>
          <t>verified</t>
        </is>
      </c>
      <c r="P87" s="22" t="inlineStr">
        <is>
          <t>Pedro Ornellas</t>
        </is>
      </c>
      <c r="Q87" s="22" t="inlineStr">
        <is>
          <t>Superintendente de Recuperação de Crédito</t>
        </is>
      </c>
      <c r="R87" s="22" t="inlineStr"/>
      <c r="S87" s="22" t="inlineStr">
        <is>
          <t>pedro.ornellas-geronimo@itau-unibanco.com.br</t>
        </is>
      </c>
      <c r="T87" s="22" t="inlineStr">
        <is>
          <t>DM: DM verified email; BACKUP: backup verified email</t>
        </is>
      </c>
      <c r="U87" s="24" t="n">
        <v>2425507.4</v>
      </c>
      <c r="V87" s="25" t="inlineStr">
        <is>
          <t>B</t>
        </is>
      </c>
      <c r="W87" s="26" t="inlineStr"/>
      <c r="X87" s="27" t="inlineStr"/>
      <c r="Y87" s="27" t="inlineStr"/>
      <c r="Z87" s="26">
        <f>IF(W87&lt;&gt;"",W87,IFERROR(VLOOKUP(V87,Assumptions!$A$8:$F$12,2,FALSE),0))*Assumptions!$B$5</f>
        <v/>
      </c>
      <c r="AA87" s="28">
        <f>IF(V87="A",MAX(1,IF(X87&lt;&gt;"",X87,IFERROR(VLOOKUP(V87,Assumptions!$A$8:$F$12,3,FALSE),3))+IF(Y87&lt;&gt;"",Y87,IFERROR(VLOOKUP(V87,Assumptions!$A$8:$F$12,4,FALSE),8))/2-MAX(0,IF(AS87="",0,YEAR(TODAY())-AS87)-IFERROR(VLOOKUP(V87,Assumptions!$A$8:$F$12,5,FALSE),1.5))),IFERROR(VLOOKUP(V87,Assumptions!$A$8:$F$12,5,FALSE),2.5)+IF(X87&lt;&gt;"",X87,IFERROR(VLOOKUP(V87,Assumptions!$A$8:$F$12,3,FALSE),3))+IF(Y87&lt;&gt;"",Y87,IFERROR(VLOOKUP(V87,Assumptions!$A$8:$F$12,4,FALSE),8))/2)</f>
        <v/>
      </c>
      <c r="AB87" s="24">
        <f>U87*Z87/(1+Assumptions!$B$3)^AA87</f>
        <v/>
      </c>
      <c r="AC87" s="27">
        <f>IF(U87=0,"",ROUND(AB87/U87*100,1))</f>
        <v/>
      </c>
      <c r="AD87" s="29">
        <f>AB87*Assumptions!$B$4</f>
        <v/>
      </c>
      <c r="AE87" s="27">
        <f>IF(U87=0,"",ROUND(AD87/U87*100,1))</f>
        <v/>
      </c>
      <c r="AF87" s="29">
        <f>AB87-AD87</f>
        <v/>
      </c>
      <c r="AG87" s="27">
        <f>IF(U87=0,"",ROUND((AB87-AD87)/U87*100,1))</f>
        <v/>
      </c>
      <c r="AH87" s="30" t="inlineStr">
        <is>
          <t>OK — totals reconciled</t>
        </is>
      </c>
      <c r="AI87" s="31" t="inlineStr">
        <is>
          <t>https://recuperasolucoes.com/wp-content/plugins/download-attachments/includes/download.php?id=1597</t>
        </is>
      </c>
      <c r="AJ87" s="30" t="inlineStr">
        <is>
          <t>p13 r15</t>
        </is>
      </c>
      <c r="AK87" s="30" t="inlineStr">
        <is>
          <t>p13: R$ 2.425.507,40</t>
        </is>
      </c>
      <c r="AL87" s="30" t="inlineStr">
        <is>
          <t>Debtor list (art. 51)</t>
        </is>
      </c>
      <c r="AM87" s="30" t="inlineStr">
        <is>
          <t>2026-05-21</t>
        </is>
      </c>
      <c r="AN87" s="30" t="inlineStr">
        <is>
          <t>NONE FOUND</t>
        </is>
      </c>
      <c r="AO87" s="32" t="inlineStr">
        <is>
          <t>0001639-09.2026.8.17.2810</t>
        </is>
      </c>
      <c r="AP87" s="32" t="inlineStr">
        <is>
          <t>TJPE</t>
        </is>
      </c>
      <c r="AQ87" s="32" t="inlineStr">
        <is>
          <t>Recuperação judicial</t>
        </is>
      </c>
      <c r="AR87" s="32" t="inlineStr">
        <is>
          <t>DataJud: no closure/falência movement</t>
        </is>
      </c>
      <c r="AS87" s="32" t="n">
        <v>2026</v>
      </c>
      <c r="AT87" s="32" t="inlineStr">
        <is>
          <t>live case, no plan document yet</t>
        </is>
      </c>
      <c r="AU87" s="32" t="inlineStr"/>
      <c r="AV87" s="32" t="inlineStr">
        <is>
          <t>printed on the list (read twice)</t>
        </is>
      </c>
      <c r="AW87" s="32" t="inlineStr"/>
      <c r="AX87" s="32" t="inlineStr">
        <is>
          <t>SAO PAULO</t>
        </is>
      </c>
      <c r="AY87" s="32" t="inlineStr">
        <is>
          <t>SP</t>
        </is>
      </c>
      <c r="AZ87" s="32" t="inlineStr">
        <is>
          <t>Bancos comerciais</t>
        </is>
      </c>
      <c r="BA87" s="32" t="inlineStr">
        <is>
          <t>não ME/EPP</t>
        </is>
      </c>
      <c r="BB87" s="33" t="n">
        <v>76200000000</v>
      </c>
      <c r="BC87" s="32" t="inlineStr">
        <is>
          <t>LARGE CORP</t>
        </is>
      </c>
      <c r="BD87" s="32" t="inlineStr">
        <is>
          <t>60701190</t>
        </is>
      </c>
      <c r="BE87" s="32" t="n">
        <v>1</v>
      </c>
      <c r="BF87" s="32" t="inlineStr">
        <is>
          <t>financial by name</t>
        </is>
      </c>
    </row>
    <row r="88">
      <c r="A88" s="17" t="inlineStr">
        <is>
          <t>SICREDI RECIFE - COOPERATIVA DE CREDITO, POUPANCA E INVESTIMENTO SICREDI RECIFE</t>
        </is>
      </c>
      <c r="B88" s="18" t="n">
        <v>2386846.42</v>
      </c>
      <c r="C88" s="19" t="inlineStr">
        <is>
          <t>GRUPO CEAM</t>
        </is>
      </c>
      <c r="D88" s="20" t="inlineStr">
        <is>
          <t>NEW</t>
        </is>
      </c>
      <c r="E88" s="21" t="inlineStr"/>
      <c r="F88" s="20" t="inlineStr"/>
      <c r="G88" s="21" t="inlineStr"/>
      <c r="H88" s="20" t="inlineStr"/>
      <c r="I88" s="22" t="inlineStr">
        <is>
          <t>Luana Prysthon</t>
        </is>
      </c>
      <c r="J88" s="22" t="inlineStr">
        <is>
          <t>Gerente de Recuperação de Crédito</t>
        </is>
      </c>
      <c r="K88" s="22" t="inlineStr"/>
      <c r="L88" s="22" t="inlineStr"/>
      <c r="M88" s="22" t="inlineStr"/>
      <c r="N88" s="22" t="inlineStr"/>
      <c r="O88" s="22" t="inlineStr"/>
      <c r="P88" s="22" t="inlineStr">
        <is>
          <t>Rubia Albuquerque</t>
        </is>
      </c>
      <c r="Q88" s="22" t="inlineStr">
        <is>
          <t>Gerente Ciclo de Crédito</t>
        </is>
      </c>
      <c r="R88" s="22" t="inlineStr"/>
      <c r="S88" s="22" t="inlineStr">
        <is>
          <t>rubia_albuquerque@sicredi.com.br</t>
        </is>
      </c>
      <c r="T88" s="22" t="inlineStr">
        <is>
          <t>DM: DM; no work email in Apollo for DM; BACKUP: backup</t>
        </is>
      </c>
      <c r="U88" s="24" t="n">
        <v>2386846.42</v>
      </c>
      <c r="V88" s="25" t="inlineStr">
        <is>
          <t>B</t>
        </is>
      </c>
      <c r="W88" s="26" t="inlineStr"/>
      <c r="X88" s="27" t="inlineStr"/>
      <c r="Y88" s="27" t="inlineStr"/>
      <c r="Z88" s="26">
        <f>IF(W88&lt;&gt;"",W88,IFERROR(VLOOKUP(V88,Assumptions!$A$8:$F$12,2,FALSE),0))*Assumptions!$B$5</f>
        <v/>
      </c>
      <c r="AA88" s="28">
        <f>IF(V88="A",MAX(1,IF(X88&lt;&gt;"",X88,IFERROR(VLOOKUP(V88,Assumptions!$A$8:$F$12,3,FALSE),3))+IF(Y88&lt;&gt;"",Y88,IFERROR(VLOOKUP(V88,Assumptions!$A$8:$F$12,4,FALSE),8))/2-MAX(0,IF(AS88="",0,YEAR(TODAY())-AS88)-IFERROR(VLOOKUP(V88,Assumptions!$A$8:$F$12,5,FALSE),1.5))),IFERROR(VLOOKUP(V88,Assumptions!$A$8:$F$12,5,FALSE),2.5)+IF(X88&lt;&gt;"",X88,IFERROR(VLOOKUP(V88,Assumptions!$A$8:$F$12,3,FALSE),3))+IF(Y88&lt;&gt;"",Y88,IFERROR(VLOOKUP(V88,Assumptions!$A$8:$F$12,4,FALSE),8))/2)</f>
        <v/>
      </c>
      <c r="AB88" s="24">
        <f>U88*Z88/(1+Assumptions!$B$3)^AA88</f>
        <v/>
      </c>
      <c r="AC88" s="27">
        <f>IF(U88=0,"",ROUND(AB88/U88*100,1))</f>
        <v/>
      </c>
      <c r="AD88" s="29">
        <f>AB88*Assumptions!$B$4</f>
        <v/>
      </c>
      <c r="AE88" s="27">
        <f>IF(U88=0,"",ROUND(AD88/U88*100,1))</f>
        <v/>
      </c>
      <c r="AF88" s="29">
        <f>AB88-AD88</f>
        <v/>
      </c>
      <c r="AG88" s="27">
        <f>IF(U88=0,"",ROUND((AB88-AD88)/U88*100,1))</f>
        <v/>
      </c>
      <c r="AH88" s="30" t="inlineStr">
        <is>
          <t>OK — totals reconciled</t>
        </is>
      </c>
      <c r="AI88" s="31" t="inlineStr">
        <is>
          <t>https://recuperasolucoes.com/wp-content/plugins/download-attachments/includes/download.php?id=1492</t>
        </is>
      </c>
      <c r="AJ88" s="30" t="inlineStr">
        <is>
          <t>p5 r68</t>
        </is>
      </c>
      <c r="AK88" s="30" t="inlineStr">
        <is>
          <t>p5: R$ 2.386.846,42</t>
        </is>
      </c>
      <c r="AL88" s="30" t="inlineStr">
        <is>
          <t>AJ list (art. 7 §2)</t>
        </is>
      </c>
      <c r="AM88" s="30" t="inlineStr">
        <is>
          <t>2025-09-12</t>
        </is>
      </c>
      <c r="AN88" s="30" t="inlineStr">
        <is>
          <t>NONE FOUND</t>
        </is>
      </c>
      <c r="AO88" s="32" t="inlineStr">
        <is>
          <t>0133628-14.2024.8.17.2001</t>
        </is>
      </c>
      <c r="AP88" s="32" t="inlineStr">
        <is>
          <t>TJPE</t>
        </is>
      </c>
      <c r="AQ88" s="32" t="inlineStr">
        <is>
          <t>Recuperação judicial</t>
        </is>
      </c>
      <c r="AR88" s="32" t="inlineStr">
        <is>
          <t>DataJud: no closure/falência movement</t>
        </is>
      </c>
      <c r="AS88" s="32" t="n">
        <v>2024</v>
      </c>
      <c r="AT88" s="32" t="inlineStr">
        <is>
          <t>live case, no plan document yet</t>
        </is>
      </c>
      <c r="AU88" s="32" t="inlineStr">
        <is>
          <t>32.525.567/0001-78</t>
        </is>
      </c>
      <c r="AV88" s="32" t="inlineStr">
        <is>
          <t>printed on the list (read twice)</t>
        </is>
      </c>
      <c r="AW88" s="32" t="inlineStr"/>
      <c r="AX88" s="32" t="inlineStr"/>
      <c r="AY88" s="32" t="inlineStr"/>
      <c r="AZ88" s="32" t="inlineStr"/>
      <c r="BA88" s="32" t="inlineStr"/>
      <c r="BB88" s="33" t="inlineStr"/>
      <c r="BC88" s="32" t="inlineStr">
        <is>
          <t>UNKNOWN</t>
        </is>
      </c>
      <c r="BD88" s="32" t="inlineStr">
        <is>
          <t>70241658</t>
        </is>
      </c>
      <c r="BE88" s="32" t="n">
        <v>1</v>
      </c>
      <c r="BF88" s="32" t="inlineStr">
        <is>
          <t>financial by name no RFB record</t>
        </is>
      </c>
    </row>
    <row r="89">
      <c r="A89" s="17" t="inlineStr">
        <is>
          <t>BANCO ABC BRASIL S.A.</t>
        </is>
      </c>
      <c r="B89" s="18" t="n">
        <v>2355675.34</v>
      </c>
      <c r="C89" s="19" t="inlineStr">
        <is>
          <t>GRUPO GLP</t>
        </is>
      </c>
      <c r="D89" s="20" t="inlineStr">
        <is>
          <t>NEW</t>
        </is>
      </c>
      <c r="E89" s="21" t="inlineStr"/>
      <c r="F89" s="20" t="inlineStr"/>
      <c r="G89" s="21" t="inlineStr"/>
      <c r="H89" s="20" t="inlineStr"/>
      <c r="I89" s="22" t="inlineStr">
        <is>
          <t>Luciano Makino</t>
        </is>
      </c>
      <c r="J89" s="22" t="inlineStr">
        <is>
          <t>Especialista de Recuperação de Crédito</t>
        </is>
      </c>
      <c r="K89" s="22" t="inlineStr">
        <is>
          <t>(11) 3170-2000</t>
        </is>
      </c>
      <c r="L89" s="22" t="inlineStr"/>
      <c r="M89" s="22" t="inlineStr"/>
      <c r="N89" s="22" t="inlineStr">
        <is>
          <t>luciano.makino@abcbrasil.com.br</t>
        </is>
      </c>
      <c r="O89" s="22" t="inlineStr">
        <is>
          <t>verified</t>
        </is>
      </c>
      <c r="P89" s="22" t="inlineStr">
        <is>
          <t>Marilia Neves</t>
        </is>
      </c>
      <c r="Q89" s="22" t="inlineStr">
        <is>
          <t>Advogado Especialista em Recuperação de Crédito</t>
        </is>
      </c>
      <c r="R89" s="22" t="inlineStr"/>
      <c r="S89" s="22" t="inlineStr">
        <is>
          <t>marilia.neves@abcbrasil.com.br</t>
        </is>
      </c>
      <c r="T89" s="22" t="inlineStr">
        <is>
          <t>DM: DM verified email; BACKUP: backup verified email</t>
        </is>
      </c>
      <c r="U89" s="24" t="n">
        <v>2355675.34</v>
      </c>
      <c r="V89" s="25" t="inlineStr">
        <is>
          <t>B</t>
        </is>
      </c>
      <c r="W89" s="26" t="inlineStr"/>
      <c r="X89" s="27" t="inlineStr"/>
      <c r="Y89" s="27" t="inlineStr"/>
      <c r="Z89" s="26">
        <f>IF(W89&lt;&gt;"",W89,IFERROR(VLOOKUP(V89,Assumptions!$A$8:$F$12,2,FALSE),0))*Assumptions!$B$5</f>
        <v/>
      </c>
      <c r="AA89" s="28">
        <f>IF(V89="A",MAX(1,IF(X89&lt;&gt;"",X89,IFERROR(VLOOKUP(V89,Assumptions!$A$8:$F$12,3,FALSE),3))+IF(Y89&lt;&gt;"",Y89,IFERROR(VLOOKUP(V89,Assumptions!$A$8:$F$12,4,FALSE),8))/2-MAX(0,IF(AS89="",0,YEAR(TODAY())-AS89)-IFERROR(VLOOKUP(V89,Assumptions!$A$8:$F$12,5,FALSE),1.5))),IFERROR(VLOOKUP(V89,Assumptions!$A$8:$F$12,5,FALSE),2.5)+IF(X89&lt;&gt;"",X89,IFERROR(VLOOKUP(V89,Assumptions!$A$8:$F$12,3,FALSE),3))+IF(Y89&lt;&gt;"",Y89,IFERROR(VLOOKUP(V89,Assumptions!$A$8:$F$12,4,FALSE),8))/2)</f>
        <v/>
      </c>
      <c r="AB89" s="24">
        <f>U89*Z89/(1+Assumptions!$B$3)^AA89</f>
        <v/>
      </c>
      <c r="AC89" s="27">
        <f>IF(U89=0,"",ROUND(AB89/U89*100,1))</f>
        <v/>
      </c>
      <c r="AD89" s="29">
        <f>AB89*Assumptions!$B$4</f>
        <v/>
      </c>
      <c r="AE89" s="27">
        <f>IF(U89=0,"",ROUND(AD89/U89*100,1))</f>
        <v/>
      </c>
      <c r="AF89" s="29">
        <f>AB89-AD89</f>
        <v/>
      </c>
      <c r="AG89" s="27">
        <f>IF(U89=0,"",ROUND((AB89-AD89)/U89*100,1))</f>
        <v/>
      </c>
      <c r="AH89" s="30" t="inlineStr">
        <is>
          <t>OK — totals reconciled</t>
        </is>
      </c>
      <c r="AI89" s="31" t="inlineStr">
        <is>
          <t>https://recuperasolucoes.com/wp-content/plugins/download-attachments/includes/download.php?id=1597</t>
        </is>
      </c>
      <c r="AJ89" s="30" t="inlineStr">
        <is>
          <t>p13 r2</t>
        </is>
      </c>
      <c r="AK89" s="30" t="inlineStr">
        <is>
          <t>p13: R$ 2.355.675,34</t>
        </is>
      </c>
      <c r="AL89" s="30" t="inlineStr">
        <is>
          <t>Debtor list (art. 51)</t>
        </is>
      </c>
      <c r="AM89" s="30" t="inlineStr">
        <is>
          <t>2026-05-21</t>
        </is>
      </c>
      <c r="AN89" s="30" t="inlineStr">
        <is>
          <t>NONE FOUND</t>
        </is>
      </c>
      <c r="AO89" s="32" t="inlineStr">
        <is>
          <t>0001639-09.2026.8.17.2810</t>
        </is>
      </c>
      <c r="AP89" s="32" t="inlineStr">
        <is>
          <t>TJPE</t>
        </is>
      </c>
      <c r="AQ89" s="32" t="inlineStr">
        <is>
          <t>Recuperação judicial</t>
        </is>
      </c>
      <c r="AR89" s="32" t="inlineStr">
        <is>
          <t>DataJud: no closure/falência movement</t>
        </is>
      </c>
      <c r="AS89" s="32" t="n">
        <v>2026</v>
      </c>
      <c r="AT89" s="32" t="inlineStr">
        <is>
          <t>live case, no plan document yet</t>
        </is>
      </c>
      <c r="AU89" s="32" t="inlineStr"/>
      <c r="AV89" s="32" t="inlineStr">
        <is>
          <t>printed on the list (read twice)</t>
        </is>
      </c>
      <c r="AW89" s="32" t="inlineStr"/>
      <c r="AX89" s="32" t="inlineStr">
        <is>
          <t>SAO PAULO</t>
        </is>
      </c>
      <c r="AY89" s="32" t="inlineStr">
        <is>
          <t>SP</t>
        </is>
      </c>
      <c r="AZ89" s="32" t="inlineStr">
        <is>
          <t>Bancos múltiplos, com carteira comercial</t>
        </is>
      </c>
      <c r="BA89" s="32" t="inlineStr">
        <is>
          <t>não ME/EPP</t>
        </is>
      </c>
      <c r="BB89" s="33" t="n">
        <v>6012662300</v>
      </c>
      <c r="BC89" s="32" t="inlineStr">
        <is>
          <t>LARGE CORP</t>
        </is>
      </c>
      <c r="BD89" s="32" t="inlineStr">
        <is>
          <t>28195667</t>
        </is>
      </c>
      <c r="BE89" s="32" t="n">
        <v>1</v>
      </c>
      <c r="BF89" s="32" t="inlineStr">
        <is>
          <t>financial by name</t>
        </is>
      </c>
    </row>
    <row r="90">
      <c r="A90" s="17" t="inlineStr">
        <is>
          <t>GAVEA FIDC</t>
        </is>
      </c>
      <c r="B90" s="18" t="n">
        <v>2327494.5</v>
      </c>
      <c r="C90" s="19" t="inlineStr">
        <is>
          <t>Grupo Conduscabos</t>
        </is>
      </c>
      <c r="D90" s="20" t="inlineStr">
        <is>
          <t>NEW</t>
        </is>
      </c>
      <c r="E90" s="21" t="inlineStr"/>
      <c r="F90" s="20" t="inlineStr"/>
      <c r="G90" s="21" t="inlineStr"/>
      <c r="H90" s="20" t="inlineStr"/>
      <c r="I90" s="22" t="inlineStr">
        <is>
          <t>Guilherme Serrano</t>
        </is>
      </c>
      <c r="J90" s="22" t="inlineStr">
        <is>
          <t>Risk and Operations Analyst</t>
        </is>
      </c>
      <c r="K90" s="22" t="inlineStr"/>
      <c r="L90" s="22" t="inlineStr"/>
      <c r="M90" s="22" t="inlineStr"/>
      <c r="N90" s="22" t="inlineStr">
        <is>
          <t>gserrano@gaveainvest.com.br</t>
        </is>
      </c>
      <c r="O90" s="22" t="inlineStr">
        <is>
          <t>extrapolated</t>
        </is>
      </c>
      <c r="P90" s="22" t="inlineStr"/>
      <c r="Q90" s="22" t="inlineStr"/>
      <c r="R90" s="22" t="inlineStr"/>
      <c r="S90" s="22" t="inlineStr"/>
      <c r="T90" s="22" t="inlineStr">
        <is>
          <t>DM is not a finance role (Risk and Operations Analyst); DM: DM extrapolated email; Gávea FIDC -&gt; Gávea Investimentos; only risk/ops analyst; VERIFY org: Gávea Investimentos</t>
        </is>
      </c>
      <c r="U90" s="24" t="n">
        <v>2327494.5</v>
      </c>
      <c r="V90" s="25" t="inlineStr">
        <is>
          <t>B</t>
        </is>
      </c>
      <c r="W90" s="26" t="inlineStr"/>
      <c r="X90" s="27" t="inlineStr"/>
      <c r="Y90" s="27" t="inlineStr"/>
      <c r="Z90" s="26">
        <f>IF(W90&lt;&gt;"",W90,IFERROR(VLOOKUP(V90,Assumptions!$A$8:$F$12,2,FALSE),0))*Assumptions!$B$5</f>
        <v/>
      </c>
      <c r="AA90" s="28">
        <f>IF(V90="A",MAX(1,IF(X90&lt;&gt;"",X90,IFERROR(VLOOKUP(V90,Assumptions!$A$8:$F$12,3,FALSE),3))+IF(Y90&lt;&gt;"",Y90,IFERROR(VLOOKUP(V90,Assumptions!$A$8:$F$12,4,FALSE),8))/2-MAX(0,IF(AS90="",0,YEAR(TODAY())-AS90)-IFERROR(VLOOKUP(V90,Assumptions!$A$8:$F$12,5,FALSE),1.5))),IFERROR(VLOOKUP(V90,Assumptions!$A$8:$F$12,5,FALSE),2.5)+IF(X90&lt;&gt;"",X90,IFERROR(VLOOKUP(V90,Assumptions!$A$8:$F$12,3,FALSE),3))+IF(Y90&lt;&gt;"",Y90,IFERROR(VLOOKUP(V90,Assumptions!$A$8:$F$12,4,FALSE),8))/2)</f>
        <v/>
      </c>
      <c r="AB90" s="24">
        <f>U90*Z90/(1+Assumptions!$B$3)^AA90</f>
        <v/>
      </c>
      <c r="AC90" s="27">
        <f>IF(U90=0,"",ROUND(AB90/U90*100,1))</f>
        <v/>
      </c>
      <c r="AD90" s="29">
        <f>AB90*Assumptions!$B$4</f>
        <v/>
      </c>
      <c r="AE90" s="27">
        <f>IF(U90=0,"",ROUND(AD90/U90*100,1))</f>
        <v/>
      </c>
      <c r="AF90" s="29">
        <f>AB90-AD90</f>
        <v/>
      </c>
      <c r="AG90" s="27">
        <f>IF(U90=0,"",ROUND((AB90-AD90)/U90*100,1))</f>
        <v/>
      </c>
      <c r="AH90" s="34" t="inlineStr">
        <is>
          <t>NO TOTALS — list prints none; check page</t>
        </is>
      </c>
      <c r="AI90" s="31" t="inlineStr">
        <is>
          <t>https://assistjud.com.br/wp-content/uploads/elementor/forms/65098c80a5824.pdf</t>
        </is>
      </c>
      <c r="AJ90" s="30" t="inlineStr">
        <is>
          <t>p7 r9; p8 r18; p9 r15</t>
        </is>
      </c>
      <c r="AK90" s="30" t="inlineStr">
        <is>
          <t>p7: R$ 775.620,94; p8: R$ 462.653,52; p9: R$ 1.089.220,04</t>
        </is>
      </c>
      <c r="AL90" s="30" t="inlineStr">
        <is>
          <t>AJ list (art. 7 §2)</t>
        </is>
      </c>
      <c r="AM90" s="30" t="inlineStr">
        <is>
          <t>2023-09-18</t>
        </is>
      </c>
      <c r="AN90" s="30" t="inlineStr">
        <is>
          <t>NONE FOUND</t>
        </is>
      </c>
      <c r="AO90" s="32" t="inlineStr">
        <is>
          <t>8005129-09.2023.8.05.0039</t>
        </is>
      </c>
      <c r="AP90" s="32" t="inlineStr">
        <is>
          <t>TJBA</t>
        </is>
      </c>
      <c r="AQ90" s="32" t="inlineStr">
        <is>
          <t>Recuperação judicial</t>
        </is>
      </c>
      <c r="AR90" s="32" t="inlineStr">
        <is>
          <t>DataJud: no closure/falência movement</t>
        </is>
      </c>
      <c r="AS90" s="32" t="n">
        <v>2023</v>
      </c>
      <c r="AT90" s="32" t="inlineStr">
        <is>
          <t>live case, no plan document yet</t>
        </is>
      </c>
      <c r="AU90" s="32" t="inlineStr"/>
      <c r="AV90" s="32" t="inlineStr">
        <is>
          <t>printed on the list (read twice)</t>
        </is>
      </c>
      <c r="AW90" s="32" t="inlineStr"/>
      <c r="AX90" s="32" t="inlineStr"/>
      <c r="AY90" s="32" t="inlineStr"/>
      <c r="AZ90" s="32" t="inlineStr"/>
      <c r="BA90" s="32" t="inlineStr"/>
      <c r="BB90" s="33" t="inlineStr"/>
      <c r="BC90" s="32" t="inlineStr">
        <is>
          <t>UNKNOWN</t>
        </is>
      </c>
      <c r="BD90" s="32" t="inlineStr">
        <is>
          <t>12910431</t>
        </is>
      </c>
      <c r="BE90" s="32" t="n">
        <v>3</v>
      </c>
      <c r="BF90" s="32" t="inlineStr">
        <is>
          <t>financial by name list prints no totals no RFB record</t>
        </is>
      </c>
    </row>
    <row r="91">
      <c r="A91" s="17" t="inlineStr">
        <is>
          <t>BANCO SAFRA S A</t>
        </is>
      </c>
      <c r="B91" s="18" t="n">
        <v>2224584.09</v>
      </c>
      <c r="C91" s="19" t="inlineStr">
        <is>
          <t>TOP TEXTIL EMBALAGENS LTDA</t>
        </is>
      </c>
      <c r="D91" s="20" t="inlineStr">
        <is>
          <t>NEW</t>
        </is>
      </c>
      <c r="E91" s="21" t="inlineStr"/>
      <c r="F91" s="20" t="inlineStr"/>
      <c r="G91" s="21" t="inlineStr"/>
      <c r="H91" s="20" t="inlineStr"/>
      <c r="I91" s="22" t="inlineStr">
        <is>
          <t>Vanessa Biotti</t>
        </is>
      </c>
      <c r="J91" s="22" t="inlineStr">
        <is>
          <t>Gerente de Recuperação de Crédito</t>
        </is>
      </c>
      <c r="K91" s="22" t="inlineStr">
        <is>
          <t>(11) 3175-7575</t>
        </is>
      </c>
      <c r="L91" s="22" t="inlineStr"/>
      <c r="M91" s="22" t="inlineStr"/>
      <c r="N91" s="22" t="inlineStr">
        <is>
          <t>vanessa.biotti@safra.com.br</t>
        </is>
      </c>
      <c r="O91" s="22" t="inlineStr">
        <is>
          <t>verified</t>
        </is>
      </c>
      <c r="P91" s="22" t="inlineStr">
        <is>
          <t>Rodrigo Anjos</t>
        </is>
      </c>
      <c r="Q91" s="22" t="inlineStr">
        <is>
          <t>Advogado Sênior - Jurídico Contencioso - Recuperação de Crédito - NPL</t>
        </is>
      </c>
      <c r="R91" s="22" t="inlineStr"/>
      <c r="S91" s="22" t="inlineStr">
        <is>
          <t>rodrigo.anjos@safra.com.br</t>
        </is>
      </c>
      <c r="T91" s="22" t="inlineStr">
        <is>
          <t>DM: DM verified email; BACKUP: backup verified email (NPL legal)</t>
        </is>
      </c>
      <c r="U91" s="24" t="n">
        <v>2224584.09</v>
      </c>
      <c r="V91" s="25" t="inlineStr">
        <is>
          <t>B</t>
        </is>
      </c>
      <c r="W91" s="26" t="inlineStr"/>
      <c r="X91" s="27" t="inlineStr"/>
      <c r="Y91" s="27" t="inlineStr"/>
      <c r="Z91" s="26">
        <f>IF(W91&lt;&gt;"",W91,IFERROR(VLOOKUP(V91,Assumptions!$A$8:$F$12,2,FALSE),0))*Assumptions!$B$5</f>
        <v/>
      </c>
      <c r="AA91" s="28">
        <f>IF(V91="A",MAX(1,IF(X91&lt;&gt;"",X91,IFERROR(VLOOKUP(V91,Assumptions!$A$8:$F$12,3,FALSE),3))+IF(Y91&lt;&gt;"",Y91,IFERROR(VLOOKUP(V91,Assumptions!$A$8:$F$12,4,FALSE),8))/2-MAX(0,IF(AS91="",0,YEAR(TODAY())-AS91)-IFERROR(VLOOKUP(V91,Assumptions!$A$8:$F$12,5,FALSE),1.5))),IFERROR(VLOOKUP(V91,Assumptions!$A$8:$F$12,5,FALSE),2.5)+IF(X91&lt;&gt;"",X91,IFERROR(VLOOKUP(V91,Assumptions!$A$8:$F$12,3,FALSE),3))+IF(Y91&lt;&gt;"",Y91,IFERROR(VLOOKUP(V91,Assumptions!$A$8:$F$12,4,FALSE),8))/2)</f>
        <v/>
      </c>
      <c r="AB91" s="24">
        <f>U91*Z91/(1+Assumptions!$B$3)^AA91</f>
        <v/>
      </c>
      <c r="AC91" s="27">
        <f>IF(U91=0,"",ROUND(AB91/U91*100,1))</f>
        <v/>
      </c>
      <c r="AD91" s="29">
        <f>AB91*Assumptions!$B$4</f>
        <v/>
      </c>
      <c r="AE91" s="27">
        <f>IF(U91=0,"",ROUND(AD91/U91*100,1))</f>
        <v/>
      </c>
      <c r="AF91" s="29">
        <f>AB91-AD91</f>
        <v/>
      </c>
      <c r="AG91" s="27">
        <f>IF(U91=0,"",ROUND((AB91-AD91)/U91*100,1))</f>
        <v/>
      </c>
      <c r="AH91" s="34" t="inlineStr">
        <is>
          <t>NO TOTALS — list prints none; check page</t>
        </is>
      </c>
      <c r="AI91" s="31" t="inlineStr">
        <is>
          <t>https://cataliseaj.com.br/sgc/download.php?file=files/processo_documento/processo_documento15092204102024_1_.pdf&amp;nome=02. RELAÇÃO DE CREDORES</t>
        </is>
      </c>
      <c r="AJ91" s="30" t="inlineStr">
        <is>
          <t>p2 r15</t>
        </is>
      </c>
      <c r="AK91" s="30" t="inlineStr">
        <is>
          <t>p2: R$ 2.224.584,09</t>
        </is>
      </c>
      <c r="AL91" s="30" t="inlineStr">
        <is>
          <t>Debtor list (art. 51)</t>
        </is>
      </c>
      <c r="AM91" s="30" t="inlineStr"/>
      <c r="AN91" s="30" t="inlineStr">
        <is>
          <t>NONE FOUND</t>
        </is>
      </c>
      <c r="AO91" s="32" t="inlineStr">
        <is>
          <t>5011460-87.2023.8.24.0020</t>
        </is>
      </c>
      <c r="AP91" s="32" t="inlineStr">
        <is>
          <t>TJSC</t>
        </is>
      </c>
      <c r="AQ91" s="32" t="inlineStr">
        <is>
          <t>Recuperação judicial</t>
        </is>
      </c>
      <c r="AR91" s="32" t="inlineStr">
        <is>
          <t>DataJud: no closure/falência movement</t>
        </is>
      </c>
      <c r="AS91" s="32" t="n">
        <v>2023</v>
      </c>
      <c r="AT91" s="32" t="inlineStr">
        <is>
          <t>live case, no plan document yet; case no. from the portal record, not printed on the list</t>
        </is>
      </c>
      <c r="AU91" s="32" t="inlineStr">
        <is>
          <t>26.588.741/0001-29</t>
        </is>
      </c>
      <c r="AV91" s="32" t="inlineStr">
        <is>
          <t>printed on the list (read twice)</t>
        </is>
      </c>
      <c r="AW91" s="32" t="inlineStr"/>
      <c r="AX91" s="32" t="inlineStr">
        <is>
          <t>SAO PAULO</t>
        </is>
      </c>
      <c r="AY91" s="32" t="inlineStr">
        <is>
          <t>SP</t>
        </is>
      </c>
      <c r="AZ91" s="32" t="inlineStr">
        <is>
          <t>Bancos múltiplos, com carteira comercial</t>
        </is>
      </c>
      <c r="BA91" s="32" t="inlineStr">
        <is>
          <t>não ME/EPP</t>
        </is>
      </c>
      <c r="BB91" s="33" t="n">
        <v>13924903000</v>
      </c>
      <c r="BC91" s="32" t="inlineStr">
        <is>
          <t>LARGE CORP</t>
        </is>
      </c>
      <c r="BD91" s="32" t="inlineStr">
        <is>
          <t>58160789</t>
        </is>
      </c>
      <c r="BE91" s="32" t="n">
        <v>1</v>
      </c>
      <c r="BF91" s="32" t="inlineStr">
        <is>
          <t>list prints no totals</t>
        </is>
      </c>
    </row>
    <row r="92">
      <c r="A92" s="17" t="inlineStr">
        <is>
          <t>COOPERATIVA DE CREDITO POUPANCA E INVESTIMENTO DO ARAGUAIA E XINGU SICREDI ARAXINGU</t>
        </is>
      </c>
      <c r="B92" s="18" t="n">
        <v>2198652.05</v>
      </c>
      <c r="C92" s="19" t="inlineStr">
        <is>
          <t>Grupo GE (Condomínio Agropecuário GE)</t>
        </is>
      </c>
      <c r="D92" s="20" t="inlineStr">
        <is>
          <t>NEW</t>
        </is>
      </c>
      <c r="E92" s="21" t="inlineStr"/>
      <c r="F92" s="20" t="inlineStr"/>
      <c r="G92" s="21" t="inlineStr"/>
      <c r="H92" s="20" t="inlineStr"/>
      <c r="I92" s="22" t="inlineStr">
        <is>
          <t>Patricia Frey</t>
        </is>
      </c>
      <c r="J92" s="22" t="inlineStr">
        <is>
          <t>Assessora de Ciclo de Crédito</t>
        </is>
      </c>
      <c r="K92" s="22" t="inlineStr"/>
      <c r="L92" s="22" t="inlineStr"/>
      <c r="M92" s="22" t="inlineStr"/>
      <c r="N92" s="22" t="inlineStr"/>
      <c r="O92" s="22" t="inlineStr"/>
      <c r="P92" s="22" t="inlineStr">
        <is>
          <t>Brynner Oliveira</t>
        </is>
      </c>
      <c r="Q92" s="22" t="inlineStr">
        <is>
          <t>Regional Manager</t>
        </is>
      </c>
      <c r="R92" s="22" t="inlineStr"/>
      <c r="S92" s="22" t="inlineStr"/>
      <c r="T92" s="22" t="inlineStr">
        <is>
          <t>DM: DM no email; no work email in Apollo for DM; BACKUP: backup email unavailable; NO ROUTE IN: no phone or email on file</t>
        </is>
      </c>
      <c r="U92" s="24" t="n">
        <v>2198652.05</v>
      </c>
      <c r="V92" s="25" t="inlineStr">
        <is>
          <t>B</t>
        </is>
      </c>
      <c r="W92" s="26" t="inlineStr"/>
      <c r="X92" s="27" t="inlineStr"/>
      <c r="Y92" s="27" t="inlineStr"/>
      <c r="Z92" s="26">
        <f>IF(W92&lt;&gt;"",W92,IFERROR(VLOOKUP(V92,Assumptions!$A$8:$F$12,2,FALSE),0))*Assumptions!$B$5</f>
        <v/>
      </c>
      <c r="AA92" s="28">
        <f>IF(V92="A",MAX(1,IF(X92&lt;&gt;"",X92,IFERROR(VLOOKUP(V92,Assumptions!$A$8:$F$12,3,FALSE),3))+IF(Y92&lt;&gt;"",Y92,IFERROR(VLOOKUP(V92,Assumptions!$A$8:$F$12,4,FALSE),8))/2-MAX(0,IF(AS92="",0,YEAR(TODAY())-AS92)-IFERROR(VLOOKUP(V92,Assumptions!$A$8:$F$12,5,FALSE),1.5))),IFERROR(VLOOKUP(V92,Assumptions!$A$8:$F$12,5,FALSE),2.5)+IF(X92&lt;&gt;"",X92,IFERROR(VLOOKUP(V92,Assumptions!$A$8:$F$12,3,FALSE),3))+IF(Y92&lt;&gt;"",Y92,IFERROR(VLOOKUP(V92,Assumptions!$A$8:$F$12,4,FALSE),8))/2)</f>
        <v/>
      </c>
      <c r="AB92" s="24">
        <f>U92*Z92/(1+Assumptions!$B$3)^AA92</f>
        <v/>
      </c>
      <c r="AC92" s="27">
        <f>IF(U92=0,"",ROUND(AB92/U92*100,1))</f>
        <v/>
      </c>
      <c r="AD92" s="29">
        <f>AB92*Assumptions!$B$4</f>
        <v/>
      </c>
      <c r="AE92" s="27">
        <f>IF(U92=0,"",ROUND(AD92/U92*100,1))</f>
        <v/>
      </c>
      <c r="AF92" s="29">
        <f>AB92-AD92</f>
        <v/>
      </c>
      <c r="AG92" s="27">
        <f>IF(U92=0,"",ROUND((AB92-AD92)/U92*100,1))</f>
        <v/>
      </c>
      <c r="AH92" s="34" t="inlineStr">
        <is>
          <t>NO TOTALS — list prints none; check page</t>
        </is>
      </c>
      <c r="AI92" s="31" t="inlineStr">
        <is>
          <t>https://stenius.com.br/wp-content/uploads/2026/07/EDITAL-1-RELACAO-DE-CREDORES-GRUPO-GE.pdf</t>
        </is>
      </c>
      <c r="AJ92" s="30" t="inlineStr">
        <is>
          <t>p5 r34; p6 r1; p6 r2; p6 r3</t>
        </is>
      </c>
      <c r="AK92" s="30" t="inlineStr">
        <is>
          <t>p5: R$ 354.375,50; p6: R$ 500.000,00; p6: R$ 577.790,22; p6: R$ 766.486,33</t>
        </is>
      </c>
      <c r="AL92" s="30" t="inlineStr">
        <is>
          <t>Debtor list (art. 51)</t>
        </is>
      </c>
      <c r="AM92" s="30" t="inlineStr">
        <is>
          <t>2026-07-01</t>
        </is>
      </c>
      <c r="AN92" s="30" t="inlineStr">
        <is>
          <t>NONE FOUND</t>
        </is>
      </c>
      <c r="AO92" s="32" t="inlineStr">
        <is>
          <t>5164979-18.2026.8.09.0110</t>
        </is>
      </c>
      <c r="AP92" s="32" t="inlineStr">
        <is>
          <t>TJGO</t>
        </is>
      </c>
      <c r="AQ92" s="32" t="inlineStr">
        <is>
          <t>Recuperação judicial</t>
        </is>
      </c>
      <c r="AR92" s="32" t="inlineStr">
        <is>
          <t>DataJud: no closure/falência movement</t>
        </is>
      </c>
      <c r="AS92" s="32" t="n">
        <v>2026</v>
      </c>
      <c r="AT92" s="32" t="inlineStr">
        <is>
          <t>live case, no plan document yet</t>
        </is>
      </c>
      <c r="AU92" s="32" t="inlineStr"/>
      <c r="AV92" s="32" t="inlineStr">
        <is>
          <t>printed on the list (read twice)</t>
        </is>
      </c>
      <c r="AW92" s="32" t="inlineStr"/>
      <c r="AX92" s="32" t="inlineStr"/>
      <c r="AY92" s="32" t="inlineStr"/>
      <c r="AZ92" s="32" t="inlineStr"/>
      <c r="BA92" s="32" t="inlineStr"/>
      <c r="BB92" s="33" t="inlineStr"/>
      <c r="BC92" s="32" t="inlineStr">
        <is>
          <t>UNKNOWN</t>
        </is>
      </c>
      <c r="BD92" s="32" t="inlineStr">
        <is>
          <t>33021064</t>
        </is>
      </c>
      <c r="BE92" s="32" t="n">
        <v>4</v>
      </c>
      <c r="BF92" s="32" t="inlineStr">
        <is>
          <t>financial by name list prints no totals no RFB record no route in</t>
        </is>
      </c>
    </row>
    <row r="93">
      <c r="A93" s="17" t="inlineStr">
        <is>
          <t>BOA VISTA FUNDO DE INVESTIMENTO EM DIREITOS CREDITORIOS - NAO PADRONIZADO</t>
        </is>
      </c>
      <c r="B93" s="18" t="n">
        <v>2172949.97</v>
      </c>
      <c r="C93" s="19" t="inlineStr">
        <is>
          <t>GRUPO IMOBI</t>
        </is>
      </c>
      <c r="D93" s="20" t="inlineStr">
        <is>
          <t>NEW</t>
        </is>
      </c>
      <c r="E93" s="21" t="inlineStr"/>
      <c r="F93" s="20" t="inlineStr"/>
      <c r="G93" s="21" t="inlineStr"/>
      <c r="H93" s="20" t="inlineStr"/>
      <c r="I93" s="22" t="inlineStr"/>
      <c r="J93" s="22" t="inlineStr"/>
      <c r="K93" s="22" t="inlineStr"/>
      <c r="L93" s="22" t="inlineStr"/>
      <c r="M93" s="22" t="inlineStr"/>
      <c r="N93" s="22" t="inlineStr"/>
      <c r="O93" s="22" t="inlineStr"/>
      <c r="P93" s="22" t="inlineStr"/>
      <c r="Q93" s="22" t="inlineStr"/>
      <c r="R93" s="22" t="inlineStr"/>
      <c r="S93" s="22" t="inlineStr"/>
      <c r="T93" s="22" t="inlineStr">
        <is>
          <t>no named contact found; NO ROUTE IN: no phone or email on file</t>
        </is>
      </c>
      <c r="U93" s="24" t="n">
        <v>2172949.97</v>
      </c>
      <c r="V93" s="25" t="inlineStr">
        <is>
          <t>B</t>
        </is>
      </c>
      <c r="W93" s="26" t="inlineStr"/>
      <c r="X93" s="27" t="inlineStr"/>
      <c r="Y93" s="27" t="inlineStr"/>
      <c r="Z93" s="26">
        <f>IF(W93&lt;&gt;"",W93,IFERROR(VLOOKUP(V93,Assumptions!$A$8:$F$12,2,FALSE),0))*Assumptions!$B$5</f>
        <v/>
      </c>
      <c r="AA93" s="28">
        <f>IF(V93="A",MAX(1,IF(X93&lt;&gt;"",X93,IFERROR(VLOOKUP(V93,Assumptions!$A$8:$F$12,3,FALSE),3))+IF(Y93&lt;&gt;"",Y93,IFERROR(VLOOKUP(V93,Assumptions!$A$8:$F$12,4,FALSE),8))/2-MAX(0,IF(AS93="",0,YEAR(TODAY())-AS93)-IFERROR(VLOOKUP(V93,Assumptions!$A$8:$F$12,5,FALSE),1.5))),IFERROR(VLOOKUP(V93,Assumptions!$A$8:$F$12,5,FALSE),2.5)+IF(X93&lt;&gt;"",X93,IFERROR(VLOOKUP(V93,Assumptions!$A$8:$F$12,3,FALSE),3))+IF(Y93&lt;&gt;"",Y93,IFERROR(VLOOKUP(V93,Assumptions!$A$8:$F$12,4,FALSE),8))/2)</f>
        <v/>
      </c>
      <c r="AB93" s="24">
        <f>U93*Z93/(1+Assumptions!$B$3)^AA93</f>
        <v/>
      </c>
      <c r="AC93" s="27">
        <f>IF(U93=0,"",ROUND(AB93/U93*100,1))</f>
        <v/>
      </c>
      <c r="AD93" s="29">
        <f>AB93*Assumptions!$B$4</f>
        <v/>
      </c>
      <c r="AE93" s="27">
        <f>IF(U93=0,"",ROUND(AD93/U93*100,1))</f>
        <v/>
      </c>
      <c r="AF93" s="29">
        <f>AB93-AD93</f>
        <v/>
      </c>
      <c r="AG93" s="27">
        <f>IF(U93=0,"",ROUND((AB93-AD93)/U93*100,1))</f>
        <v/>
      </c>
      <c r="AH93" s="30" t="inlineStr">
        <is>
          <t>OK — totals reconciled</t>
        </is>
      </c>
      <c r="AI93" s="31" t="inlineStr">
        <is>
          <t>https://lrflideres.com.br/wp-content/plugins/download-attachments/includes/download.php?id=6273</t>
        </is>
      </c>
      <c r="AJ93" s="30" t="inlineStr">
        <is>
          <t>p4 r2</t>
        </is>
      </c>
      <c r="AK93" s="30" t="inlineStr">
        <is>
          <t>p4: R$ 2.172.949,97</t>
        </is>
      </c>
      <c r="AL93" s="30" t="inlineStr">
        <is>
          <t>AJ list (art. 7 §2)</t>
        </is>
      </c>
      <c r="AM93" s="30" t="inlineStr">
        <is>
          <t>2024-11-14</t>
        </is>
      </c>
      <c r="AN93" s="30" t="inlineStr">
        <is>
          <t>NONE FOUND</t>
        </is>
      </c>
      <c r="AO93" s="32" t="inlineStr">
        <is>
          <t>0074500-63.2024.8.17.2001</t>
        </is>
      </c>
      <c r="AP93" s="32" t="inlineStr">
        <is>
          <t>TJPE</t>
        </is>
      </c>
      <c r="AQ93" s="32" t="inlineStr">
        <is>
          <t>Recuperação judicial</t>
        </is>
      </c>
      <c r="AR93" s="32" t="inlineStr">
        <is>
          <t>DataJud: no closure/falência movement</t>
        </is>
      </c>
      <c r="AS93" s="32" t="n">
        <v>2024</v>
      </c>
      <c r="AT93" s="32" t="inlineStr">
        <is>
          <t>live case, no plan document yet</t>
        </is>
      </c>
      <c r="AU93" s="32" t="inlineStr">
        <is>
          <t>02.284.048/0001-02</t>
        </is>
      </c>
      <c r="AV93" s="32" t="inlineStr">
        <is>
          <t>printed on the list (read twice)</t>
        </is>
      </c>
      <c r="AW93" s="32" t="inlineStr"/>
      <c r="AX93" s="32" t="inlineStr"/>
      <c r="AY93" s="32" t="inlineStr"/>
      <c r="AZ93" s="32" t="inlineStr"/>
      <c r="BA93" s="32" t="inlineStr"/>
      <c r="BB93" s="33" t="inlineStr"/>
      <c r="BC93" s="32" t="inlineStr">
        <is>
          <t>UNKNOWN</t>
        </is>
      </c>
      <c r="BD93" s="32" t="inlineStr">
        <is>
          <t>12592411</t>
        </is>
      </c>
      <c r="BE93" s="32" t="n">
        <v>1</v>
      </c>
      <c r="BF93" s="32" t="inlineStr">
        <is>
          <t>financial by name no RFB record no route in</t>
        </is>
      </c>
    </row>
    <row r="94">
      <c r="A94" s="17" t="inlineStr">
        <is>
          <t>ASTRA SECURITIZADORA S.A.</t>
        </is>
      </c>
      <c r="B94" s="18" t="n">
        <v>2144705.34</v>
      </c>
      <c r="C94" s="19" t="inlineStr">
        <is>
          <t>Grupo Conduscabos</t>
        </is>
      </c>
      <c r="D94" s="20" t="inlineStr">
        <is>
          <t>NEW</t>
        </is>
      </c>
      <c r="E94" s="21" t="inlineStr"/>
      <c r="F94" s="20" t="inlineStr"/>
      <c r="G94" s="21" t="inlineStr"/>
      <c r="H94" s="20" t="inlineStr"/>
      <c r="I94" s="22" t="inlineStr">
        <is>
          <t>ALESSON PADUA TAVARES</t>
        </is>
      </c>
      <c r="J94" s="23" t="inlineStr">
        <is>
          <t>Diretor (RFB partner)</t>
        </is>
      </c>
      <c r="K94" s="22" t="inlineStr">
        <is>
          <t>(11) 3995-7800</t>
        </is>
      </c>
      <c r="L94" s="22" t="inlineStr"/>
      <c r="M94" s="22" t="inlineStr"/>
      <c r="N94" s="22" t="inlineStr"/>
      <c r="O94" s="22" t="inlineStr"/>
      <c r="P94" s="22" t="inlineStr">
        <is>
          <t>BRUNO CESCHIN</t>
        </is>
      </c>
      <c r="Q94" s="22" t="inlineStr">
        <is>
          <t>Diretor (RFB partner)</t>
        </is>
      </c>
      <c r="R94" s="22" t="inlineStr"/>
      <c r="S94" s="22" t="inlineStr"/>
      <c r="T94" s="22" t="inlineStr">
        <is>
          <t>DM = registered partner (RFB QSA); no Apollo match</t>
        </is>
      </c>
      <c r="U94" s="24" t="n">
        <v>2144705.34</v>
      </c>
      <c r="V94" s="25" t="inlineStr">
        <is>
          <t>B</t>
        </is>
      </c>
      <c r="W94" s="26" t="inlineStr"/>
      <c r="X94" s="27" t="inlineStr"/>
      <c r="Y94" s="27" t="inlineStr"/>
      <c r="Z94" s="26">
        <f>IF(W94&lt;&gt;"",W94,IFERROR(VLOOKUP(V94,Assumptions!$A$8:$F$12,2,FALSE),0))*Assumptions!$B$5</f>
        <v/>
      </c>
      <c r="AA94" s="28">
        <f>IF(V94="A",MAX(1,IF(X94&lt;&gt;"",X94,IFERROR(VLOOKUP(V94,Assumptions!$A$8:$F$12,3,FALSE),3))+IF(Y94&lt;&gt;"",Y94,IFERROR(VLOOKUP(V94,Assumptions!$A$8:$F$12,4,FALSE),8))/2-MAX(0,IF(AS94="",0,YEAR(TODAY())-AS94)-IFERROR(VLOOKUP(V94,Assumptions!$A$8:$F$12,5,FALSE),1.5))),IFERROR(VLOOKUP(V94,Assumptions!$A$8:$F$12,5,FALSE),2.5)+IF(X94&lt;&gt;"",X94,IFERROR(VLOOKUP(V94,Assumptions!$A$8:$F$12,3,FALSE),3))+IF(Y94&lt;&gt;"",Y94,IFERROR(VLOOKUP(V94,Assumptions!$A$8:$F$12,4,FALSE),8))/2)</f>
        <v/>
      </c>
      <c r="AB94" s="24">
        <f>U94*Z94/(1+Assumptions!$B$3)^AA94</f>
        <v/>
      </c>
      <c r="AC94" s="27">
        <f>IF(U94=0,"",ROUND(AB94/U94*100,1))</f>
        <v/>
      </c>
      <c r="AD94" s="29">
        <f>AB94*Assumptions!$B$4</f>
        <v/>
      </c>
      <c r="AE94" s="27">
        <f>IF(U94=0,"",ROUND(AD94/U94*100,1))</f>
        <v/>
      </c>
      <c r="AF94" s="29">
        <f>AB94-AD94</f>
        <v/>
      </c>
      <c r="AG94" s="27">
        <f>IF(U94=0,"",ROUND((AB94-AD94)/U94*100,1))</f>
        <v/>
      </c>
      <c r="AH94" s="34" t="inlineStr">
        <is>
          <t>NO TOTALS — list prints none; check page</t>
        </is>
      </c>
      <c r="AI94" s="31" t="inlineStr">
        <is>
          <t>https://assistjud.com.br/wp-content/uploads/elementor/forms/65098c80a5824.pdf</t>
        </is>
      </c>
      <c r="AJ94" s="30" t="inlineStr">
        <is>
          <t>p10 r2; p19 r7</t>
        </is>
      </c>
      <c r="AK94" s="30" t="inlineStr">
        <is>
          <t>p10: R$ 684.988,65; p19: R$ 1.459.716,69</t>
        </is>
      </c>
      <c r="AL94" s="30" t="inlineStr">
        <is>
          <t>AJ list (art. 7 §2)</t>
        </is>
      </c>
      <c r="AM94" s="30" t="inlineStr">
        <is>
          <t>2023-09-18</t>
        </is>
      </c>
      <c r="AN94" s="30" t="inlineStr">
        <is>
          <t>NONE FOUND</t>
        </is>
      </c>
      <c r="AO94" s="32" t="inlineStr">
        <is>
          <t>8005129-09.2023.8.05.0039</t>
        </is>
      </c>
      <c r="AP94" s="32" t="inlineStr">
        <is>
          <t>TJBA</t>
        </is>
      </c>
      <c r="AQ94" s="32" t="inlineStr">
        <is>
          <t>Recuperação judicial</t>
        </is>
      </c>
      <c r="AR94" s="32" t="inlineStr">
        <is>
          <t>DataJud: no closure/falência movement</t>
        </is>
      </c>
      <c r="AS94" s="32" t="n">
        <v>2023</v>
      </c>
      <c r="AT94" s="32" t="inlineStr">
        <is>
          <t>live case, no plan document yet</t>
        </is>
      </c>
      <c r="AU94" s="32" t="inlineStr"/>
      <c r="AV94" s="32" t="inlineStr">
        <is>
          <t>printed on the list (read twice)</t>
        </is>
      </c>
      <c r="AW94" s="32" t="inlineStr"/>
      <c r="AX94" s="32" t="inlineStr">
        <is>
          <t>SAO PAULO</t>
        </is>
      </c>
      <c r="AY94" s="32" t="inlineStr">
        <is>
          <t>SP</t>
        </is>
      </c>
      <c r="AZ94" s="32" t="inlineStr">
        <is>
          <t>Securitização de créditos</t>
        </is>
      </c>
      <c r="BA94" s="32" t="inlineStr">
        <is>
          <t>não ME/EPP</t>
        </is>
      </c>
      <c r="BB94" s="33" t="n">
        <v>25500000</v>
      </c>
      <c r="BC94" s="32" t="inlineStr">
        <is>
          <t>MID-MARKET</t>
        </is>
      </c>
      <c r="BD94" s="32" t="inlineStr">
        <is>
          <t>23360870</t>
        </is>
      </c>
      <c r="BE94" s="32" t="n">
        <v>2</v>
      </c>
      <c r="BF94" s="32" t="inlineStr">
        <is>
          <t>list prints no totals</t>
        </is>
      </c>
    </row>
    <row r="95">
      <c r="A95" s="17" t="inlineStr">
        <is>
          <t>Fundo De Investimento Em Direitos Creditorios Multisetorial Daniele Lp</t>
        </is>
      </c>
      <c r="B95" s="18" t="n">
        <v>2137604.8</v>
      </c>
      <c r="C95" s="19" t="inlineStr">
        <is>
          <t>Grupo Agromeal</t>
        </is>
      </c>
      <c r="D95" s="20" t="inlineStr">
        <is>
          <t>NEW</t>
        </is>
      </c>
      <c r="E95" s="21" t="inlineStr"/>
      <c r="F95" s="20" t="inlineStr"/>
      <c r="G95" s="21" t="inlineStr"/>
      <c r="H95" s="20" t="inlineStr"/>
      <c r="I95" s="22" t="inlineStr"/>
      <c r="J95" s="22" t="inlineStr"/>
      <c r="K95" s="22" t="inlineStr"/>
      <c r="L95" s="22" t="inlineStr"/>
      <c r="M95" s="22" t="inlineStr"/>
      <c r="N95" s="22" t="inlineStr"/>
      <c r="O95" s="22" t="inlineStr"/>
      <c r="P95" s="22" t="inlineStr"/>
      <c r="Q95" s="22" t="inlineStr"/>
      <c r="R95" s="22" t="inlineStr"/>
      <c r="S95" s="22" t="inlineStr"/>
      <c r="T95" s="22" t="inlineStr">
        <is>
          <t>no named contact found; NO ROUTE IN: no phone or email on file</t>
        </is>
      </c>
      <c r="U95" s="24" t="n">
        <v>2137604.8</v>
      </c>
      <c r="V95" s="25" t="inlineStr">
        <is>
          <t>B</t>
        </is>
      </c>
      <c r="W95" s="26" t="inlineStr"/>
      <c r="X95" s="27" t="inlineStr"/>
      <c r="Y95" s="27" t="inlineStr"/>
      <c r="Z95" s="26">
        <f>IF(W95&lt;&gt;"",W95,IFERROR(VLOOKUP(V95,Assumptions!$A$8:$F$12,2,FALSE),0))*Assumptions!$B$5</f>
        <v/>
      </c>
      <c r="AA95" s="28">
        <f>IF(V95="A",MAX(1,IF(X95&lt;&gt;"",X95,IFERROR(VLOOKUP(V95,Assumptions!$A$8:$F$12,3,FALSE),3))+IF(Y95&lt;&gt;"",Y95,IFERROR(VLOOKUP(V95,Assumptions!$A$8:$F$12,4,FALSE),8))/2-MAX(0,IF(AS95="",0,YEAR(TODAY())-AS95)-IFERROR(VLOOKUP(V95,Assumptions!$A$8:$F$12,5,FALSE),1.5))),IFERROR(VLOOKUP(V95,Assumptions!$A$8:$F$12,5,FALSE),2.5)+IF(X95&lt;&gt;"",X95,IFERROR(VLOOKUP(V95,Assumptions!$A$8:$F$12,3,FALSE),3))+IF(Y95&lt;&gt;"",Y95,IFERROR(VLOOKUP(V95,Assumptions!$A$8:$F$12,4,FALSE),8))/2)</f>
        <v/>
      </c>
      <c r="AB95" s="24">
        <f>U95*Z95/(1+Assumptions!$B$3)^AA95</f>
        <v/>
      </c>
      <c r="AC95" s="27">
        <f>IF(U95=0,"",ROUND(AB95/U95*100,1))</f>
        <v/>
      </c>
      <c r="AD95" s="29">
        <f>AB95*Assumptions!$B$4</f>
        <v/>
      </c>
      <c r="AE95" s="27">
        <f>IF(U95=0,"",ROUND(AD95/U95*100,1))</f>
        <v/>
      </c>
      <c r="AF95" s="29">
        <f>AB95-AD95</f>
        <v/>
      </c>
      <c r="AG95" s="27">
        <f>IF(U95=0,"",ROUND((AB95-AD95)/U95*100,1))</f>
        <v/>
      </c>
      <c r="AH95" s="35" t="inlineStr">
        <is>
          <t>PARTIAL — class III reconciled, other classes not</t>
        </is>
      </c>
      <c r="AI95" s="31" t="inlineStr">
        <is>
          <t>https://marquesadmjudicial.com.br/sgc/download.php?file=files/processo_documento/processo_documento17040729052024_1_.pdf&amp;nome=Relação Nominal de Credores AJ-Sintética</t>
        </is>
      </c>
      <c r="AJ95" s="30" t="inlineStr">
        <is>
          <t>p11 r7</t>
        </is>
      </c>
      <c r="AK95" s="30" t="inlineStr">
        <is>
          <t>p11: R$ 2.137.604,80</t>
        </is>
      </c>
      <c r="AL95" s="30" t="inlineStr">
        <is>
          <t>AJ list (art. 7 §2)</t>
        </is>
      </c>
      <c r="AM95" s="30" t="inlineStr">
        <is>
          <t>2024-05-27</t>
        </is>
      </c>
      <c r="AN95" s="30" t="inlineStr">
        <is>
          <t>NONE FOUND</t>
        </is>
      </c>
      <c r="AO95" s="32" t="inlineStr">
        <is>
          <t>0003971-03.2023.8.16.0119</t>
        </is>
      </c>
      <c r="AP95" s="32" t="inlineStr">
        <is>
          <t>TJPR</t>
        </is>
      </c>
      <c r="AQ95" s="32" t="inlineStr">
        <is>
          <t>Recuperação judicial</t>
        </is>
      </c>
      <c r="AR95" s="32" t="inlineStr">
        <is>
          <t>DataJud: no closure/falência movement</t>
        </is>
      </c>
      <c r="AS95" s="32" t="n">
        <v>2023</v>
      </c>
      <c r="AT95" s="32" t="inlineStr">
        <is>
          <t>live case, no plan document yet</t>
        </is>
      </c>
      <c r="AU95" s="32" t="inlineStr">
        <is>
          <t>11.624.776/0001-07</t>
        </is>
      </c>
      <c r="AV95" s="32" t="inlineStr">
        <is>
          <t>printed on the list (read twice)</t>
        </is>
      </c>
      <c r="AW95" s="32" t="inlineStr"/>
      <c r="AX95" s="32" t="inlineStr"/>
      <c r="AY95" s="32" t="inlineStr"/>
      <c r="AZ95" s="32" t="inlineStr"/>
      <c r="BA95" s="32" t="inlineStr"/>
      <c r="BB95" s="33" t="inlineStr"/>
      <c r="BC95" s="32" t="inlineStr">
        <is>
          <t>UNKNOWN</t>
        </is>
      </c>
      <c r="BD95" s="32" t="inlineStr">
        <is>
          <t>09414255</t>
        </is>
      </c>
      <c r="BE95" s="32" t="n">
        <v>1</v>
      </c>
      <c r="BF95" s="32" t="inlineStr">
        <is>
          <t>financial by name class III reconciled (doc partial) no RFB record no route in</t>
        </is>
      </c>
    </row>
    <row r="96">
      <c r="A96" s="17" t="inlineStr">
        <is>
          <t>BANCO C6 S.A.</t>
        </is>
      </c>
      <c r="B96" s="18" t="n">
        <v>2115489.72</v>
      </c>
      <c r="C96" s="19" t="inlineStr">
        <is>
          <t>GRUPO GLP</t>
        </is>
      </c>
      <c r="D96" s="20" t="inlineStr">
        <is>
          <t>NEW</t>
        </is>
      </c>
      <c r="E96" s="21" t="inlineStr"/>
      <c r="F96" s="20" t="inlineStr"/>
      <c r="G96" s="21" t="inlineStr"/>
      <c r="H96" s="20" t="inlineStr"/>
      <c r="I96" s="22" t="inlineStr">
        <is>
          <t>Camilla Moriki</t>
        </is>
      </c>
      <c r="J96" s="22" t="inlineStr">
        <is>
          <t>Gerente de Recuperação de Crédito | Reestruturação - Atacado</t>
        </is>
      </c>
      <c r="K96" s="22" t="inlineStr">
        <is>
          <t>(11) 2832-6000</t>
        </is>
      </c>
      <c r="L96" s="22" t="inlineStr"/>
      <c r="M96" s="22" t="inlineStr"/>
      <c r="N96" s="22" t="inlineStr">
        <is>
          <t>camilla.moriki@c6bank.com</t>
        </is>
      </c>
      <c r="O96" s="22" t="inlineStr">
        <is>
          <t>verified</t>
        </is>
      </c>
      <c r="P96" s="22" t="inlineStr">
        <is>
          <t>Kevin Santana</t>
        </is>
      </c>
      <c r="Q96" s="22" t="inlineStr">
        <is>
          <t>Gerente de Estratégia de Recuperação de Crédito</t>
        </is>
      </c>
      <c r="R96" s="22" t="inlineStr"/>
      <c r="S96" s="22" t="inlineStr">
        <is>
          <t>kevin.santana@c6bank.com</t>
        </is>
      </c>
      <c r="T96" s="22" t="inlineStr">
        <is>
          <t>DM: DM verified email (Atacado desk); BACKUP: backup verified email</t>
        </is>
      </c>
      <c r="U96" s="24" t="n">
        <v>2115489.72</v>
      </c>
      <c r="V96" s="25" t="inlineStr">
        <is>
          <t>B</t>
        </is>
      </c>
      <c r="W96" s="26" t="inlineStr"/>
      <c r="X96" s="27" t="inlineStr"/>
      <c r="Y96" s="27" t="inlineStr"/>
      <c r="Z96" s="26">
        <f>IF(W96&lt;&gt;"",W96,IFERROR(VLOOKUP(V96,Assumptions!$A$8:$F$12,2,FALSE),0))*Assumptions!$B$5</f>
        <v/>
      </c>
      <c r="AA96" s="28">
        <f>IF(V96="A",MAX(1,IF(X96&lt;&gt;"",X96,IFERROR(VLOOKUP(V96,Assumptions!$A$8:$F$12,3,FALSE),3))+IF(Y96&lt;&gt;"",Y96,IFERROR(VLOOKUP(V96,Assumptions!$A$8:$F$12,4,FALSE),8))/2-MAX(0,IF(AS96="",0,YEAR(TODAY())-AS96)-IFERROR(VLOOKUP(V96,Assumptions!$A$8:$F$12,5,FALSE),1.5))),IFERROR(VLOOKUP(V96,Assumptions!$A$8:$F$12,5,FALSE),2.5)+IF(X96&lt;&gt;"",X96,IFERROR(VLOOKUP(V96,Assumptions!$A$8:$F$12,3,FALSE),3))+IF(Y96&lt;&gt;"",Y96,IFERROR(VLOOKUP(V96,Assumptions!$A$8:$F$12,4,FALSE),8))/2)</f>
        <v/>
      </c>
      <c r="AB96" s="24">
        <f>U96*Z96/(1+Assumptions!$B$3)^AA96</f>
        <v/>
      </c>
      <c r="AC96" s="27">
        <f>IF(U96=0,"",ROUND(AB96/U96*100,1))</f>
        <v/>
      </c>
      <c r="AD96" s="29">
        <f>AB96*Assumptions!$B$4</f>
        <v/>
      </c>
      <c r="AE96" s="27">
        <f>IF(U96=0,"",ROUND(AD96/U96*100,1))</f>
        <v/>
      </c>
      <c r="AF96" s="29">
        <f>AB96-AD96</f>
        <v/>
      </c>
      <c r="AG96" s="27">
        <f>IF(U96=0,"",ROUND((AB96-AD96)/U96*100,1))</f>
        <v/>
      </c>
      <c r="AH96" s="30" t="inlineStr">
        <is>
          <t>OK — totals reconciled</t>
        </is>
      </c>
      <c r="AI96" s="31" t="inlineStr">
        <is>
          <t>https://recuperasolucoes.com/wp-content/plugins/download-attachments/includes/download.php?id=1597</t>
        </is>
      </c>
      <c r="AJ96" s="30" t="inlineStr">
        <is>
          <t>p13 r9</t>
        </is>
      </c>
      <c r="AK96" s="30" t="inlineStr">
        <is>
          <t>p13: R$ 2.115.489,72</t>
        </is>
      </c>
      <c r="AL96" s="30" t="inlineStr">
        <is>
          <t>Debtor list (art. 51)</t>
        </is>
      </c>
      <c r="AM96" s="30" t="inlineStr">
        <is>
          <t>2026-05-21</t>
        </is>
      </c>
      <c r="AN96" s="30" t="inlineStr">
        <is>
          <t>NONE FOUND</t>
        </is>
      </c>
      <c r="AO96" s="32" t="inlineStr">
        <is>
          <t>0001639-09.2026.8.17.2810</t>
        </is>
      </c>
      <c r="AP96" s="32" t="inlineStr">
        <is>
          <t>TJPE</t>
        </is>
      </c>
      <c r="AQ96" s="32" t="inlineStr">
        <is>
          <t>Recuperação judicial</t>
        </is>
      </c>
      <c r="AR96" s="32" t="inlineStr">
        <is>
          <t>DataJud: no closure/falência movement</t>
        </is>
      </c>
      <c r="AS96" s="32" t="n">
        <v>2026</v>
      </c>
      <c r="AT96" s="32" t="inlineStr">
        <is>
          <t>live case, no plan document yet</t>
        </is>
      </c>
      <c r="AU96" s="32" t="inlineStr"/>
      <c r="AV96" s="32" t="inlineStr">
        <is>
          <t>printed on the list (read twice)</t>
        </is>
      </c>
      <c r="AW96" s="32" t="inlineStr"/>
      <c r="AX96" s="32" t="inlineStr">
        <is>
          <t>SAO PAULO</t>
        </is>
      </c>
      <c r="AY96" s="32" t="inlineStr">
        <is>
          <t>SP</t>
        </is>
      </c>
      <c r="AZ96" s="32" t="inlineStr">
        <is>
          <t>Bancos múltiplos, com carteira comercial</t>
        </is>
      </c>
      <c r="BA96" s="32" t="inlineStr">
        <is>
          <t>não ME/EPP</t>
        </is>
      </c>
      <c r="BB96" s="33" t="n">
        <v>1131957000</v>
      </c>
      <c r="BC96" s="32" t="inlineStr">
        <is>
          <t>LARGE CORP</t>
        </is>
      </c>
      <c r="BD96" s="32" t="inlineStr">
        <is>
          <t>31872495</t>
        </is>
      </c>
      <c r="BE96" s="32" t="n">
        <v>1</v>
      </c>
      <c r="BF96" s="32" t="inlineStr"/>
    </row>
    <row r="97">
      <c r="A97" s="17" t="inlineStr">
        <is>
          <t>BANCO SAFRA S A</t>
        </is>
      </c>
      <c r="B97" s="18" t="n">
        <v>2110421.08</v>
      </c>
      <c r="C97" s="19" t="inlineStr">
        <is>
          <t>GRUPO IMPLASVERDE</t>
        </is>
      </c>
      <c r="D97" s="20" t="inlineStr">
        <is>
          <t>NEW</t>
        </is>
      </c>
      <c r="E97" s="21" t="inlineStr"/>
      <c r="F97" s="20" t="inlineStr"/>
      <c r="G97" s="21" t="inlineStr"/>
      <c r="H97" s="20" t="inlineStr"/>
      <c r="I97" s="22" t="inlineStr">
        <is>
          <t>Vanessa Biotti</t>
        </is>
      </c>
      <c r="J97" s="22" t="inlineStr">
        <is>
          <t>Gerente de Recuperação de Crédito</t>
        </is>
      </c>
      <c r="K97" s="22" t="inlineStr">
        <is>
          <t>(11) 3175-7575</t>
        </is>
      </c>
      <c r="L97" s="22" t="inlineStr"/>
      <c r="M97" s="22" t="inlineStr"/>
      <c r="N97" s="22" t="inlineStr">
        <is>
          <t>vanessa.biotti@safra.com.br</t>
        </is>
      </c>
      <c r="O97" s="22" t="inlineStr">
        <is>
          <t>verified</t>
        </is>
      </c>
      <c r="P97" s="22" t="inlineStr">
        <is>
          <t>Rodrigo Anjos</t>
        </is>
      </c>
      <c r="Q97" s="22" t="inlineStr">
        <is>
          <t>Advogado Sênior - Jurídico Contencioso - Recuperação de Crédito - NPL</t>
        </is>
      </c>
      <c r="R97" s="22" t="inlineStr"/>
      <c r="S97" s="22" t="inlineStr">
        <is>
          <t>rodrigo.anjos@safra.com.br</t>
        </is>
      </c>
      <c r="T97" s="22" t="inlineStr">
        <is>
          <t>DM: DM verified email; BACKUP: backup verified email (NPL legal)</t>
        </is>
      </c>
      <c r="U97" s="24" t="n">
        <v>2110421.08</v>
      </c>
      <c r="V97" s="25" t="inlineStr">
        <is>
          <t>B</t>
        </is>
      </c>
      <c r="W97" s="26" t="inlineStr"/>
      <c r="X97" s="27" t="inlineStr"/>
      <c r="Y97" s="27" t="inlineStr"/>
      <c r="Z97" s="26">
        <f>IF(W97&lt;&gt;"",W97,IFERROR(VLOOKUP(V97,Assumptions!$A$8:$F$12,2,FALSE),0))*Assumptions!$B$5</f>
        <v/>
      </c>
      <c r="AA97" s="28">
        <f>IF(V97="A",MAX(1,IF(X97&lt;&gt;"",X97,IFERROR(VLOOKUP(V97,Assumptions!$A$8:$F$12,3,FALSE),3))+IF(Y97&lt;&gt;"",Y97,IFERROR(VLOOKUP(V97,Assumptions!$A$8:$F$12,4,FALSE),8))/2-MAX(0,IF(AS97="",0,YEAR(TODAY())-AS97)-IFERROR(VLOOKUP(V97,Assumptions!$A$8:$F$12,5,FALSE),1.5))),IFERROR(VLOOKUP(V97,Assumptions!$A$8:$F$12,5,FALSE),2.5)+IF(X97&lt;&gt;"",X97,IFERROR(VLOOKUP(V97,Assumptions!$A$8:$F$12,3,FALSE),3))+IF(Y97&lt;&gt;"",Y97,IFERROR(VLOOKUP(V97,Assumptions!$A$8:$F$12,4,FALSE),8))/2)</f>
        <v/>
      </c>
      <c r="AB97" s="24">
        <f>U97*Z97/(1+Assumptions!$B$3)^AA97</f>
        <v/>
      </c>
      <c r="AC97" s="27">
        <f>IF(U97=0,"",ROUND(AB97/U97*100,1))</f>
        <v/>
      </c>
      <c r="AD97" s="29">
        <f>AB97*Assumptions!$B$4</f>
        <v/>
      </c>
      <c r="AE97" s="27">
        <f>IF(U97=0,"",ROUND(AD97/U97*100,1))</f>
        <v/>
      </c>
      <c r="AF97" s="29">
        <f>AB97-AD97</f>
        <v/>
      </c>
      <c r="AG97" s="27">
        <f>IF(U97=0,"",ROUND((AB97-AD97)/U97*100,1))</f>
        <v/>
      </c>
      <c r="AH97" s="30" t="inlineStr">
        <is>
          <t>OK — totals reconciled</t>
        </is>
      </c>
      <c r="AI97" s="31" t="inlineStr">
        <is>
          <t>http://recuperacaojudicial.squarespace.com/s/LISTA-DE-CREDORES-CONSOLIDADA-ATE-04102024.pdf</t>
        </is>
      </c>
      <c r="AJ97" s="30" t="inlineStr">
        <is>
          <t>p6 r6</t>
        </is>
      </c>
      <c r="AK97" s="30" t="inlineStr">
        <is>
          <t>p6: R$ 2.110.421,08</t>
        </is>
      </c>
      <c r="AL97" s="30" t="inlineStr">
        <is>
          <t>AJ list (art. 7 §2)</t>
        </is>
      </c>
      <c r="AM97" s="30" t="inlineStr">
        <is>
          <t>2024-10-04</t>
        </is>
      </c>
      <c r="AN97" s="30" t="inlineStr">
        <is>
          <t>NONE FOUND</t>
        </is>
      </c>
      <c r="AO97" s="32" t="inlineStr">
        <is>
          <t>0800778-16.2023.8.20.5104</t>
        </is>
      </c>
      <c r="AP97" s="32" t="inlineStr">
        <is>
          <t>TJRN</t>
        </is>
      </c>
      <c r="AQ97" s="32" t="inlineStr">
        <is>
          <t>Recuperação judicial</t>
        </is>
      </c>
      <c r="AR97" s="32" t="inlineStr">
        <is>
          <t>DataJud: no closure/falência movement</t>
        </is>
      </c>
      <c r="AS97" s="32" t="n">
        <v>2023</v>
      </c>
      <c r="AT97" s="32" t="inlineStr">
        <is>
          <t>live case, no plan document yet</t>
        </is>
      </c>
      <c r="AU97" s="32" t="inlineStr"/>
      <c r="AV97" s="32" t="inlineStr">
        <is>
          <t>printed on the list (read twice)</t>
        </is>
      </c>
      <c r="AW97" s="32" t="inlineStr"/>
      <c r="AX97" s="32" t="inlineStr">
        <is>
          <t>SAO PAULO</t>
        </is>
      </c>
      <c r="AY97" s="32" t="inlineStr">
        <is>
          <t>SP</t>
        </is>
      </c>
      <c r="AZ97" s="32" t="inlineStr">
        <is>
          <t>Bancos múltiplos, com carteira comercial</t>
        </is>
      </c>
      <c r="BA97" s="32" t="inlineStr">
        <is>
          <t>não ME/EPP</t>
        </is>
      </c>
      <c r="BB97" s="33" t="n">
        <v>13924903000</v>
      </c>
      <c r="BC97" s="32" t="inlineStr">
        <is>
          <t>LARGE CORP</t>
        </is>
      </c>
      <c r="BD97" s="32" t="inlineStr">
        <is>
          <t>58160789</t>
        </is>
      </c>
      <c r="BE97" s="32" t="n">
        <v>1</v>
      </c>
      <c r="BF97" s="32" t="inlineStr">
        <is>
          <t>financial by name</t>
        </is>
      </c>
    </row>
    <row r="98">
      <c r="A98" s="17" t="inlineStr">
        <is>
          <t>COOPERATIVA DE CREDITO DE LIVRE ADMISSAO DO CENTRO NORTE BRASILEIRO</t>
        </is>
      </c>
      <c r="B98" s="18" t="n">
        <v>2092386.84</v>
      </c>
      <c r="C98" s="19" t="inlineStr">
        <is>
          <t>GRUPO ECONÔMICO FAEL (GRUPO FAEL)</t>
        </is>
      </c>
      <c r="D98" s="20" t="inlineStr">
        <is>
          <t>NEW</t>
        </is>
      </c>
      <c r="E98" s="21" t="inlineStr"/>
      <c r="F98" s="20" t="inlineStr"/>
      <c r="G98" s="21" t="inlineStr"/>
      <c r="H98" s="20" t="inlineStr"/>
      <c r="I98" s="22" t="inlineStr">
        <is>
          <t>Talita Araujo</t>
        </is>
      </c>
      <c r="J98" s="22" t="inlineStr">
        <is>
          <t>Supervisora de Crédito</t>
        </is>
      </c>
      <c r="K98" s="22" t="inlineStr">
        <is>
          <t>(62) 3311-3810</t>
        </is>
      </c>
      <c r="L98" s="22" t="inlineStr"/>
      <c r="M98" s="22" t="inlineStr"/>
      <c r="N98" s="22" t="inlineStr">
        <is>
          <t>talita.araujo@sicoob.com.br</t>
        </is>
      </c>
      <c r="O98" s="22" t="inlineStr">
        <is>
          <t>verified</t>
        </is>
      </c>
      <c r="P98" s="22" t="inlineStr">
        <is>
          <t>Ingrid Lima</t>
        </is>
      </c>
      <c r="Q98" s="22" t="inlineStr">
        <is>
          <t>Supervisora Juridica</t>
        </is>
      </c>
      <c r="R98" s="22" t="inlineStr"/>
      <c r="S98" s="22" t="inlineStr">
        <is>
          <t>ingrid.lima@sicoob.com.br</t>
        </is>
      </c>
      <c r="T98" s="22" t="inlineStr">
        <is>
          <t>DM: DM; VERIFY org: Sicoob UniCentro Norte Brasileiro assumed = Coop de Crédito de Livre Admissão do Centro Norte Brasileiro (GO); BACKUP: backup</t>
        </is>
      </c>
      <c r="U98" s="24" t="n">
        <v>2092386.84</v>
      </c>
      <c r="V98" s="25" t="inlineStr">
        <is>
          <t>B</t>
        </is>
      </c>
      <c r="W98" s="26" t="inlineStr"/>
      <c r="X98" s="27" t="inlineStr"/>
      <c r="Y98" s="27" t="inlineStr"/>
      <c r="Z98" s="26">
        <f>IF(W98&lt;&gt;"",W98,IFERROR(VLOOKUP(V98,Assumptions!$A$8:$F$12,2,FALSE),0))*Assumptions!$B$5</f>
        <v/>
      </c>
      <c r="AA98" s="28">
        <f>IF(V98="A",MAX(1,IF(X98&lt;&gt;"",X98,IFERROR(VLOOKUP(V98,Assumptions!$A$8:$F$12,3,FALSE),3))+IF(Y98&lt;&gt;"",Y98,IFERROR(VLOOKUP(V98,Assumptions!$A$8:$F$12,4,FALSE),8))/2-MAX(0,IF(AS98="",0,YEAR(TODAY())-AS98)-IFERROR(VLOOKUP(V98,Assumptions!$A$8:$F$12,5,FALSE),1.5))),IFERROR(VLOOKUP(V98,Assumptions!$A$8:$F$12,5,FALSE),2.5)+IF(X98&lt;&gt;"",X98,IFERROR(VLOOKUP(V98,Assumptions!$A$8:$F$12,3,FALSE),3))+IF(Y98&lt;&gt;"",Y98,IFERROR(VLOOKUP(V98,Assumptions!$A$8:$F$12,4,FALSE),8))/2)</f>
        <v/>
      </c>
      <c r="AB98" s="24">
        <f>U98*Z98/(1+Assumptions!$B$3)^AA98</f>
        <v/>
      </c>
      <c r="AC98" s="27">
        <f>IF(U98=0,"",ROUND(AB98/U98*100,1))</f>
        <v/>
      </c>
      <c r="AD98" s="29">
        <f>AB98*Assumptions!$B$4</f>
        <v/>
      </c>
      <c r="AE98" s="27">
        <f>IF(U98=0,"",ROUND(AD98/U98*100,1))</f>
        <v/>
      </c>
      <c r="AF98" s="29">
        <f>AB98-AD98</f>
        <v/>
      </c>
      <c r="AG98" s="27">
        <f>IF(U98=0,"",ROUND((AB98-AD98)/U98*100,1))</f>
        <v/>
      </c>
      <c r="AH98" s="34" t="inlineStr">
        <is>
          <t>NO TOTALS — list prints none; check page</t>
        </is>
      </c>
      <c r="AI98" s="31" t="inlineStr">
        <is>
          <t>https://stenius.com.br/wp-content/uploads/2026/06/EDITAL-GRUPO-FAEL.pdf</t>
        </is>
      </c>
      <c r="AJ98" s="30" t="inlineStr">
        <is>
          <t>p2 r2</t>
        </is>
      </c>
      <c r="AK98" s="30" t="inlineStr">
        <is>
          <t>p2: R$ 2.092.386,84</t>
        </is>
      </c>
      <c r="AL98" s="30" t="inlineStr">
        <is>
          <t>AJ list (art. 7 §2)</t>
        </is>
      </c>
      <c r="AM98" s="30" t="inlineStr">
        <is>
          <t>2026-06-30</t>
        </is>
      </c>
      <c r="AN98" s="30" t="inlineStr">
        <is>
          <t>NONE FOUND</t>
        </is>
      </c>
      <c r="AO98" s="32" t="inlineStr">
        <is>
          <t>5264228-81.2025.8.09.0172</t>
        </is>
      </c>
      <c r="AP98" s="32" t="inlineStr">
        <is>
          <t>TJGO</t>
        </is>
      </c>
      <c r="AQ98" s="32" t="inlineStr">
        <is>
          <t>Recuperação judicial</t>
        </is>
      </c>
      <c r="AR98" s="32" t="inlineStr">
        <is>
          <t>DataJud: no closure/falência movement</t>
        </is>
      </c>
      <c r="AS98" s="32" t="n">
        <v>2025</v>
      </c>
      <c r="AT98" s="32" t="inlineStr">
        <is>
          <t>live case, no plan document yet</t>
        </is>
      </c>
      <c r="AU98" s="32" t="inlineStr"/>
      <c r="AV98" s="32" t="inlineStr">
        <is>
          <t>printed on the list (read twice)</t>
        </is>
      </c>
      <c r="AW98" s="32" t="inlineStr"/>
      <c r="AX98" s="32" t="inlineStr">
        <is>
          <t>ANAPOLIS</t>
        </is>
      </c>
      <c r="AY98" s="32" t="inlineStr">
        <is>
          <t>GO</t>
        </is>
      </c>
      <c r="AZ98" s="32" t="inlineStr">
        <is>
          <t>Cooperativas de crédito mútuo</t>
        </is>
      </c>
      <c r="BA98" s="32" t="inlineStr">
        <is>
          <t>não ME/EPP</t>
        </is>
      </c>
      <c r="BB98" s="33" t="inlineStr"/>
      <c r="BC98" s="32" t="inlineStr">
        <is>
          <t>UNKNOWN</t>
        </is>
      </c>
      <c r="BD98" s="32" t="inlineStr">
        <is>
          <t>02282709</t>
        </is>
      </c>
      <c r="BE98" s="32" t="n">
        <v>1</v>
      </c>
      <c r="BF98" s="32" t="inlineStr">
        <is>
          <t>list prints no totals</t>
        </is>
      </c>
    </row>
    <row r="99">
      <c r="A99" s="17" t="inlineStr">
        <is>
          <t>BANCO SOFISA S.A.</t>
        </is>
      </c>
      <c r="B99" s="18" t="n">
        <v>2057767.49</v>
      </c>
      <c r="C99" s="19" t="inlineStr">
        <is>
          <t>GRUPO GLP</t>
        </is>
      </c>
      <c r="D99" s="20" t="inlineStr">
        <is>
          <t>NEW</t>
        </is>
      </c>
      <c r="E99" s="21" t="inlineStr"/>
      <c r="F99" s="20" t="inlineStr"/>
      <c r="G99" s="21" t="inlineStr"/>
      <c r="H99" s="20" t="inlineStr"/>
      <c r="I99" s="22" t="inlineStr">
        <is>
          <t>Tiago Hendo</t>
        </is>
      </c>
      <c r="J99" s="22" t="inlineStr">
        <is>
          <t>Gerente de Reestruturação de Crédito</t>
        </is>
      </c>
      <c r="K99" s="22" t="inlineStr">
        <is>
          <t>(11) 3176-5500</t>
        </is>
      </c>
      <c r="L99" s="22" t="inlineStr"/>
      <c r="M99" s="22" t="inlineStr"/>
      <c r="N99" s="22" t="inlineStr"/>
      <c r="O99" s="22" t="inlineStr"/>
      <c r="P99" s="22" t="inlineStr">
        <is>
          <t>Rafael Nurnberg</t>
        </is>
      </c>
      <c r="Q99" s="22" t="inlineStr">
        <is>
          <t>Superintendente Executivo de Crédito e Cobrança Varejo (PF e PJ)</t>
        </is>
      </c>
      <c r="R99" s="22" t="inlineStr"/>
      <c r="S99" s="22" t="inlineStr">
        <is>
          <t>rnurnberg@sofisa.com.br</t>
        </is>
      </c>
      <c r="T99" s="22" t="inlineStr">
        <is>
          <t>DM: DM email unavailable; no work email in Apollo for DM; BACKUP: backup verified email</t>
        </is>
      </c>
      <c r="U99" s="24" t="n">
        <v>2057767.49</v>
      </c>
      <c r="V99" s="25" t="inlineStr">
        <is>
          <t>B</t>
        </is>
      </c>
      <c r="W99" s="26" t="inlineStr"/>
      <c r="X99" s="27" t="inlineStr"/>
      <c r="Y99" s="27" t="inlineStr"/>
      <c r="Z99" s="26">
        <f>IF(W99&lt;&gt;"",W99,IFERROR(VLOOKUP(V99,Assumptions!$A$8:$F$12,2,FALSE),0))*Assumptions!$B$5</f>
        <v/>
      </c>
      <c r="AA99" s="28">
        <f>IF(V99="A",MAX(1,IF(X99&lt;&gt;"",X99,IFERROR(VLOOKUP(V99,Assumptions!$A$8:$F$12,3,FALSE),3))+IF(Y99&lt;&gt;"",Y99,IFERROR(VLOOKUP(V99,Assumptions!$A$8:$F$12,4,FALSE),8))/2-MAX(0,IF(AS99="",0,YEAR(TODAY())-AS99)-IFERROR(VLOOKUP(V99,Assumptions!$A$8:$F$12,5,FALSE),1.5))),IFERROR(VLOOKUP(V99,Assumptions!$A$8:$F$12,5,FALSE),2.5)+IF(X99&lt;&gt;"",X99,IFERROR(VLOOKUP(V99,Assumptions!$A$8:$F$12,3,FALSE),3))+IF(Y99&lt;&gt;"",Y99,IFERROR(VLOOKUP(V99,Assumptions!$A$8:$F$12,4,FALSE),8))/2)</f>
        <v/>
      </c>
      <c r="AB99" s="24">
        <f>U99*Z99/(1+Assumptions!$B$3)^AA99</f>
        <v/>
      </c>
      <c r="AC99" s="27">
        <f>IF(U99=0,"",ROUND(AB99/U99*100,1))</f>
        <v/>
      </c>
      <c r="AD99" s="29">
        <f>AB99*Assumptions!$B$4</f>
        <v/>
      </c>
      <c r="AE99" s="27">
        <f>IF(U99=0,"",ROUND(AD99/U99*100,1))</f>
        <v/>
      </c>
      <c r="AF99" s="29">
        <f>AB99-AD99</f>
        <v/>
      </c>
      <c r="AG99" s="27">
        <f>IF(U99=0,"",ROUND((AB99-AD99)/U99*100,1))</f>
        <v/>
      </c>
      <c r="AH99" s="30" t="inlineStr">
        <is>
          <t>OK — totals reconciled</t>
        </is>
      </c>
      <c r="AI99" s="31" t="inlineStr">
        <is>
          <t>https://recuperasolucoes.com/wp-content/plugins/download-attachments/includes/download.php?id=1597</t>
        </is>
      </c>
      <c r="AJ99" s="30" t="inlineStr">
        <is>
          <t>p13 r22</t>
        </is>
      </c>
      <c r="AK99" s="30" t="inlineStr">
        <is>
          <t>p13: R$ 2.057.767,49</t>
        </is>
      </c>
      <c r="AL99" s="30" t="inlineStr">
        <is>
          <t>Debtor list (art. 51)</t>
        </is>
      </c>
      <c r="AM99" s="30" t="inlineStr">
        <is>
          <t>2026-05-21</t>
        </is>
      </c>
      <c r="AN99" s="30" t="inlineStr">
        <is>
          <t>NONE FOUND</t>
        </is>
      </c>
      <c r="AO99" s="32" t="inlineStr">
        <is>
          <t>0001639-09.2026.8.17.2810</t>
        </is>
      </c>
      <c r="AP99" s="32" t="inlineStr">
        <is>
          <t>TJPE</t>
        </is>
      </c>
      <c r="AQ99" s="32" t="inlineStr">
        <is>
          <t>Recuperação judicial</t>
        </is>
      </c>
      <c r="AR99" s="32" t="inlineStr">
        <is>
          <t>DataJud: no closure/falência movement</t>
        </is>
      </c>
      <c r="AS99" s="32" t="n">
        <v>2026</v>
      </c>
      <c r="AT99" s="32" t="inlineStr">
        <is>
          <t>live case, no plan document yet</t>
        </is>
      </c>
      <c r="AU99" s="32" t="inlineStr"/>
      <c r="AV99" s="32" t="inlineStr">
        <is>
          <t>printed on the list (read twice)</t>
        </is>
      </c>
      <c r="AW99" s="32" t="inlineStr"/>
      <c r="AX99" s="32" t="inlineStr">
        <is>
          <t>SAO PAULO</t>
        </is>
      </c>
      <c r="AY99" s="32" t="inlineStr">
        <is>
          <t>SP</t>
        </is>
      </c>
      <c r="AZ99" s="32" t="inlineStr">
        <is>
          <t>Bancos múltiplos, com carteira comercial</t>
        </is>
      </c>
      <c r="BA99" s="32" t="inlineStr">
        <is>
          <t>não ME/EPP</t>
        </is>
      </c>
      <c r="BB99" s="33" t="n">
        <v>1021700100</v>
      </c>
      <c r="BC99" s="32" t="inlineStr">
        <is>
          <t>LARGE CORP</t>
        </is>
      </c>
      <c r="BD99" s="32" t="inlineStr">
        <is>
          <t>60889128</t>
        </is>
      </c>
      <c r="BE99" s="32" t="n">
        <v>1</v>
      </c>
      <c r="BF99" s="32" t="inlineStr"/>
    </row>
    <row r="100">
      <c r="A100" s="17" t="inlineStr">
        <is>
          <t>BANCO INDUSTRIAL DO BRASIL S/A</t>
        </is>
      </c>
      <c r="B100" s="18" t="n">
        <v>2056998.2</v>
      </c>
      <c r="C100" s="19" t="inlineStr">
        <is>
          <t>Grupo Conduscabos</t>
        </is>
      </c>
      <c r="D100" s="20" t="inlineStr">
        <is>
          <t>NEW</t>
        </is>
      </c>
      <c r="E100" s="21" t="inlineStr"/>
      <c r="F100" s="20" t="inlineStr"/>
      <c r="G100" s="21" t="inlineStr"/>
      <c r="H100" s="20" t="inlineStr"/>
      <c r="I100" s="22" t="inlineStr">
        <is>
          <t>Eduardo Fernandes</t>
        </is>
      </c>
      <c r="J100" s="22" t="inlineStr">
        <is>
          <t>Gerente de Recuperação de Crédito</t>
        </is>
      </c>
      <c r="K100" s="22" t="inlineStr"/>
      <c r="L100" s="22" t="inlineStr"/>
      <c r="M100" s="22" t="inlineStr"/>
      <c r="N100" s="22" t="inlineStr">
        <is>
          <t>eduardo.fernandes@bancoindustrial.com.br</t>
        </is>
      </c>
      <c r="O100" s="22" t="inlineStr">
        <is>
          <t>verified</t>
        </is>
      </c>
      <c r="P100" s="22" t="inlineStr"/>
      <c r="Q100" s="22" t="inlineStr"/>
      <c r="R100" s="22" t="inlineStr"/>
      <c r="S100" s="22" t="inlineStr"/>
      <c r="T100" s="22" t="inlineStr">
        <is>
          <t>DM: DM</t>
        </is>
      </c>
      <c r="U100" s="24" t="n">
        <v>2056998.2</v>
      </c>
      <c r="V100" s="25" t="inlineStr">
        <is>
          <t>B</t>
        </is>
      </c>
      <c r="W100" s="26" t="inlineStr"/>
      <c r="X100" s="27" t="inlineStr"/>
      <c r="Y100" s="27" t="inlineStr"/>
      <c r="Z100" s="26">
        <f>IF(W100&lt;&gt;"",W100,IFERROR(VLOOKUP(V100,Assumptions!$A$8:$F$12,2,FALSE),0))*Assumptions!$B$5</f>
        <v/>
      </c>
      <c r="AA100" s="28">
        <f>IF(V100="A",MAX(1,IF(X100&lt;&gt;"",X100,IFERROR(VLOOKUP(V100,Assumptions!$A$8:$F$12,3,FALSE),3))+IF(Y100&lt;&gt;"",Y100,IFERROR(VLOOKUP(V100,Assumptions!$A$8:$F$12,4,FALSE),8))/2-MAX(0,IF(AS100="",0,YEAR(TODAY())-AS100)-IFERROR(VLOOKUP(V100,Assumptions!$A$8:$F$12,5,FALSE),1.5))),IFERROR(VLOOKUP(V100,Assumptions!$A$8:$F$12,5,FALSE),2.5)+IF(X100&lt;&gt;"",X100,IFERROR(VLOOKUP(V100,Assumptions!$A$8:$F$12,3,FALSE),3))+IF(Y100&lt;&gt;"",Y100,IFERROR(VLOOKUP(V100,Assumptions!$A$8:$F$12,4,FALSE),8))/2)</f>
        <v/>
      </c>
      <c r="AB100" s="24">
        <f>U100*Z100/(1+Assumptions!$B$3)^AA100</f>
        <v/>
      </c>
      <c r="AC100" s="27">
        <f>IF(U100=0,"",ROUND(AB100/U100*100,1))</f>
        <v/>
      </c>
      <c r="AD100" s="29">
        <f>AB100*Assumptions!$B$4</f>
        <v/>
      </c>
      <c r="AE100" s="27">
        <f>IF(U100=0,"",ROUND(AD100/U100*100,1))</f>
        <v/>
      </c>
      <c r="AF100" s="29">
        <f>AB100-AD100</f>
        <v/>
      </c>
      <c r="AG100" s="27">
        <f>IF(U100=0,"",ROUND((AB100-AD100)/U100*100,1))</f>
        <v/>
      </c>
      <c r="AH100" s="34" t="inlineStr">
        <is>
          <t>NO TOTALS — list prints none; check page</t>
        </is>
      </c>
      <c r="AI100" s="31" t="inlineStr">
        <is>
          <t>https://assistjud.com.br/wp-content/uploads/elementor/forms/65098c80a5824.pdf</t>
        </is>
      </c>
      <c r="AJ100" s="30" t="inlineStr">
        <is>
          <t>p5 r11; p17 r5</t>
        </is>
      </c>
      <c r="AK100" s="30" t="inlineStr">
        <is>
          <t>p5: R$ 1.047.741,53; p17: R$ 1.009.256,67</t>
        </is>
      </c>
      <c r="AL100" s="30" t="inlineStr">
        <is>
          <t>AJ list (art. 7 §2)</t>
        </is>
      </c>
      <c r="AM100" s="30" t="inlineStr">
        <is>
          <t>2023-09-18</t>
        </is>
      </c>
      <c r="AN100" s="30" t="inlineStr">
        <is>
          <t>NONE FOUND</t>
        </is>
      </c>
      <c r="AO100" s="32" t="inlineStr">
        <is>
          <t>8005129-09.2023.8.05.0039</t>
        </is>
      </c>
      <c r="AP100" s="32" t="inlineStr">
        <is>
          <t>TJBA</t>
        </is>
      </c>
      <c r="AQ100" s="32" t="inlineStr">
        <is>
          <t>Recuperação judicial</t>
        </is>
      </c>
      <c r="AR100" s="32" t="inlineStr">
        <is>
          <t>DataJud: no closure/falência movement</t>
        </is>
      </c>
      <c r="AS100" s="32" t="n">
        <v>2023</v>
      </c>
      <c r="AT100" s="32" t="inlineStr">
        <is>
          <t>live case, no plan document yet</t>
        </is>
      </c>
      <c r="AU100" s="32" t="inlineStr"/>
      <c r="AV100" s="32" t="inlineStr">
        <is>
          <t>printed on the list (read twice)</t>
        </is>
      </c>
      <c r="AW100" s="32" t="inlineStr"/>
      <c r="AX100" s="32" t="inlineStr"/>
      <c r="AY100" s="32" t="inlineStr"/>
      <c r="AZ100" s="32" t="inlineStr"/>
      <c r="BA100" s="32" t="inlineStr"/>
      <c r="BB100" s="33" t="inlineStr"/>
      <c r="BC100" s="32" t="inlineStr">
        <is>
          <t>UNKNOWN</t>
        </is>
      </c>
      <c r="BD100" s="32" t="inlineStr">
        <is>
          <t>31895683</t>
        </is>
      </c>
      <c r="BE100" s="32" t="n">
        <v>2</v>
      </c>
      <c r="BF100" s="32" t="inlineStr">
        <is>
          <t>financial by name list prints no totals no RFB record</t>
        </is>
      </c>
    </row>
    <row r="101">
      <c r="A101" s="17" t="inlineStr">
        <is>
          <t>BANCO C6 S.A.</t>
        </is>
      </c>
      <c r="B101" s="18" t="n">
        <v>2046618.39</v>
      </c>
      <c r="C101" s="19" t="inlineStr">
        <is>
          <t>Cerealista Safrasul Ltda</t>
        </is>
      </c>
      <c r="D101" s="20" t="inlineStr">
        <is>
          <t>NEW</t>
        </is>
      </c>
      <c r="E101" s="21" t="inlineStr"/>
      <c r="F101" s="20" t="inlineStr"/>
      <c r="G101" s="21" t="inlineStr"/>
      <c r="H101" s="20" t="inlineStr"/>
      <c r="I101" s="22" t="inlineStr">
        <is>
          <t>Camilla Moriki</t>
        </is>
      </c>
      <c r="J101" s="22" t="inlineStr">
        <is>
          <t>Gerente de Recuperação de Crédito | Reestruturação - Atacado</t>
        </is>
      </c>
      <c r="K101" s="22" t="inlineStr">
        <is>
          <t>(11) 2832-6000</t>
        </is>
      </c>
      <c r="L101" s="22" t="inlineStr"/>
      <c r="M101" s="22" t="inlineStr"/>
      <c r="N101" s="22" t="inlineStr">
        <is>
          <t>camilla.moriki@c6bank.com</t>
        </is>
      </c>
      <c r="O101" s="22" t="inlineStr">
        <is>
          <t>verified</t>
        </is>
      </c>
      <c r="P101" s="22" t="inlineStr">
        <is>
          <t>Kevin Santana</t>
        </is>
      </c>
      <c r="Q101" s="22" t="inlineStr">
        <is>
          <t>Gerente de Estratégia de Recuperação de Crédito</t>
        </is>
      </c>
      <c r="R101" s="22" t="inlineStr"/>
      <c r="S101" s="22" t="inlineStr">
        <is>
          <t>kevin.santana@c6bank.com</t>
        </is>
      </c>
      <c r="T101" s="22" t="inlineStr">
        <is>
          <t>DM: DM verified email (Atacado desk); BACKUP: backup verified email</t>
        </is>
      </c>
      <c r="U101" s="24" t="n">
        <v>2046618.39</v>
      </c>
      <c r="V101" s="25" t="inlineStr">
        <is>
          <t>B</t>
        </is>
      </c>
      <c r="W101" s="26" t="inlineStr"/>
      <c r="X101" s="27" t="inlineStr"/>
      <c r="Y101" s="27" t="inlineStr"/>
      <c r="Z101" s="26">
        <f>IF(W101&lt;&gt;"",W101,IFERROR(VLOOKUP(V101,Assumptions!$A$8:$F$12,2,FALSE),0))*Assumptions!$B$5</f>
        <v/>
      </c>
      <c r="AA101" s="28">
        <f>IF(V101="A",MAX(1,IF(X101&lt;&gt;"",X101,IFERROR(VLOOKUP(V101,Assumptions!$A$8:$F$12,3,FALSE),3))+IF(Y101&lt;&gt;"",Y101,IFERROR(VLOOKUP(V101,Assumptions!$A$8:$F$12,4,FALSE),8))/2-MAX(0,IF(AS101="",0,YEAR(TODAY())-AS101)-IFERROR(VLOOKUP(V101,Assumptions!$A$8:$F$12,5,FALSE),1.5))),IFERROR(VLOOKUP(V101,Assumptions!$A$8:$F$12,5,FALSE),2.5)+IF(X101&lt;&gt;"",X101,IFERROR(VLOOKUP(V101,Assumptions!$A$8:$F$12,3,FALSE),3))+IF(Y101&lt;&gt;"",Y101,IFERROR(VLOOKUP(V101,Assumptions!$A$8:$F$12,4,FALSE),8))/2)</f>
        <v/>
      </c>
      <c r="AB101" s="24">
        <f>U101*Z101/(1+Assumptions!$B$3)^AA101</f>
        <v/>
      </c>
      <c r="AC101" s="27">
        <f>IF(U101=0,"",ROUND(AB101/U101*100,1))</f>
        <v/>
      </c>
      <c r="AD101" s="29">
        <f>AB101*Assumptions!$B$4</f>
        <v/>
      </c>
      <c r="AE101" s="27">
        <f>IF(U101=0,"",ROUND(AD101/U101*100,1))</f>
        <v/>
      </c>
      <c r="AF101" s="29">
        <f>AB101-AD101</f>
        <v/>
      </c>
      <c r="AG101" s="27">
        <f>IF(U101=0,"",ROUND((AB101-AD101)/U101*100,1))</f>
        <v/>
      </c>
      <c r="AH101" s="34" t="inlineStr">
        <is>
          <t>NO TOTALS — list prints none; check page</t>
        </is>
      </c>
      <c r="AI101" s="31" t="inlineStr">
        <is>
          <t>https://ajruiz.com.br/sites/default/files/public/arquivos-processos/2026-01/safrasul_relacao_de_credores_recuperanda.pdf</t>
        </is>
      </c>
      <c r="AJ101" s="30" t="inlineStr">
        <is>
          <t>p8 r2; p8 r3</t>
        </is>
      </c>
      <c r="AK101" s="30" t="inlineStr">
        <is>
          <t>p8: R$ 2.045.018,39; p8: R$ 1.600,00</t>
        </is>
      </c>
      <c r="AL101" s="30" t="inlineStr">
        <is>
          <t>AJ list (art. 7 §2)</t>
        </is>
      </c>
      <c r="AM101" s="30" t="inlineStr">
        <is>
          <t>2026-01-14</t>
        </is>
      </c>
      <c r="AN101" s="30" t="inlineStr">
        <is>
          <t>NONE FOUND</t>
        </is>
      </c>
      <c r="AO101" s="32" t="inlineStr">
        <is>
          <t>4000167-23.2025.8.26.0373</t>
        </is>
      </c>
      <c r="AP101" s="32" t="inlineStr">
        <is>
          <t>TJSP</t>
        </is>
      </c>
      <c r="AQ101" s="32" t="inlineStr">
        <is>
          <t>Recuperação judicial</t>
        </is>
      </c>
      <c r="AR101" s="32" t="inlineStr">
        <is>
          <t>DataJud: no closure/falência movement</t>
        </is>
      </c>
      <c r="AS101" s="32" t="n">
        <v>2025</v>
      </c>
      <c r="AT101" s="32" t="inlineStr">
        <is>
          <t>live case, no plan document yet</t>
        </is>
      </c>
      <c r="AU101" s="32" t="inlineStr"/>
      <c r="AV101" s="32" t="inlineStr">
        <is>
          <t>printed on the list (read twice)</t>
        </is>
      </c>
      <c r="AW101" s="32" t="inlineStr"/>
      <c r="AX101" s="32" t="inlineStr">
        <is>
          <t>SAO PAULO</t>
        </is>
      </c>
      <c r="AY101" s="32" t="inlineStr">
        <is>
          <t>SP</t>
        </is>
      </c>
      <c r="AZ101" s="32" t="inlineStr">
        <is>
          <t>Bancos múltiplos, com carteira comercial</t>
        </is>
      </c>
      <c r="BA101" s="32" t="inlineStr">
        <is>
          <t>não ME/EPP</t>
        </is>
      </c>
      <c r="BB101" s="33" t="n">
        <v>1131957000</v>
      </c>
      <c r="BC101" s="32" t="inlineStr">
        <is>
          <t>LARGE CORP</t>
        </is>
      </c>
      <c r="BD101" s="32" t="inlineStr">
        <is>
          <t>31872495</t>
        </is>
      </c>
      <c r="BE101" s="32" t="n">
        <v>2</v>
      </c>
      <c r="BF101" s="32" t="inlineStr">
        <is>
          <t>financial by name list prints no totals</t>
        </is>
      </c>
    </row>
    <row r="102">
      <c r="A102" s="17" t="inlineStr">
        <is>
          <t>BANCO SAFRA S A</t>
        </is>
      </c>
      <c r="B102" s="18" t="n">
        <v>2014067.89</v>
      </c>
      <c r="C102" s="19" t="inlineStr">
        <is>
          <t>AZEPLAST INDÚSTRIA E COMÉRCIO LTDA</t>
        </is>
      </c>
      <c r="D102" s="20" t="inlineStr">
        <is>
          <t>NEW</t>
        </is>
      </c>
      <c r="E102" s="21" t="inlineStr"/>
      <c r="F102" s="20" t="inlineStr"/>
      <c r="G102" s="21" t="inlineStr"/>
      <c r="H102" s="20" t="inlineStr"/>
      <c r="I102" s="22" t="inlineStr">
        <is>
          <t>Vanessa Biotti</t>
        </is>
      </c>
      <c r="J102" s="22" t="inlineStr">
        <is>
          <t>Gerente de Recuperação de Crédito</t>
        </is>
      </c>
      <c r="K102" s="22" t="inlineStr">
        <is>
          <t>(11) 3175-7575</t>
        </is>
      </c>
      <c r="L102" s="22" t="inlineStr"/>
      <c r="M102" s="22" t="inlineStr"/>
      <c r="N102" s="22" t="inlineStr">
        <is>
          <t>vanessa.biotti@safra.com.br</t>
        </is>
      </c>
      <c r="O102" s="22" t="inlineStr">
        <is>
          <t>verified</t>
        </is>
      </c>
      <c r="P102" s="22" t="inlineStr">
        <is>
          <t>Rodrigo Anjos</t>
        </is>
      </c>
      <c r="Q102" s="22" t="inlineStr">
        <is>
          <t>Advogado Sênior - Jurídico Contencioso - Recuperação de Crédito - NPL</t>
        </is>
      </c>
      <c r="R102" s="22" t="inlineStr"/>
      <c r="S102" s="22" t="inlineStr">
        <is>
          <t>rodrigo.anjos@safra.com.br</t>
        </is>
      </c>
      <c r="T102" s="22" t="inlineStr">
        <is>
          <t>DM: DM verified email; BACKUP: backup verified email (NPL legal)</t>
        </is>
      </c>
      <c r="U102" s="24" t="n">
        <v>2014067.89</v>
      </c>
      <c r="V102" s="25" t="inlineStr">
        <is>
          <t>B</t>
        </is>
      </c>
      <c r="W102" s="26" t="inlineStr"/>
      <c r="X102" s="27" t="inlineStr"/>
      <c r="Y102" s="27" t="inlineStr"/>
      <c r="Z102" s="26">
        <f>IF(W102&lt;&gt;"",W102,IFERROR(VLOOKUP(V102,Assumptions!$A$8:$F$12,2,FALSE),0))*Assumptions!$B$5</f>
        <v/>
      </c>
      <c r="AA102" s="28">
        <f>IF(V102="A",MAX(1,IF(X102&lt;&gt;"",X102,IFERROR(VLOOKUP(V102,Assumptions!$A$8:$F$12,3,FALSE),3))+IF(Y102&lt;&gt;"",Y102,IFERROR(VLOOKUP(V102,Assumptions!$A$8:$F$12,4,FALSE),8))/2-MAX(0,IF(AS102="",0,YEAR(TODAY())-AS102)-IFERROR(VLOOKUP(V102,Assumptions!$A$8:$F$12,5,FALSE),1.5))),IFERROR(VLOOKUP(V102,Assumptions!$A$8:$F$12,5,FALSE),2.5)+IF(X102&lt;&gt;"",X102,IFERROR(VLOOKUP(V102,Assumptions!$A$8:$F$12,3,FALSE),3))+IF(Y102&lt;&gt;"",Y102,IFERROR(VLOOKUP(V102,Assumptions!$A$8:$F$12,4,FALSE),8))/2)</f>
        <v/>
      </c>
      <c r="AB102" s="24">
        <f>U102*Z102/(1+Assumptions!$B$3)^AA102</f>
        <v/>
      </c>
      <c r="AC102" s="27">
        <f>IF(U102=0,"",ROUND(AB102/U102*100,1))</f>
        <v/>
      </c>
      <c r="AD102" s="29">
        <f>AB102*Assumptions!$B$4</f>
        <v/>
      </c>
      <c r="AE102" s="27">
        <f>IF(U102=0,"",ROUND(AD102/U102*100,1))</f>
        <v/>
      </c>
      <c r="AF102" s="29">
        <f>AB102-AD102</f>
        <v/>
      </c>
      <c r="AG102" s="27">
        <f>IF(U102=0,"",ROUND((AB102-AD102)/U102*100,1))</f>
        <v/>
      </c>
      <c r="AH102" s="35" t="inlineStr">
        <is>
          <t>PARTIAL — class III reconciled, other classes not</t>
        </is>
      </c>
      <c r="AI102" s="31" t="inlineStr">
        <is>
          <t>https://ajruiz.com.br/sites/default/files/public/arquivos-processos/2026-08/qgc_azeplast_julho_2026.pdf</t>
        </is>
      </c>
      <c r="AJ102" s="30" t="inlineStr">
        <is>
          <t>p1 r8</t>
        </is>
      </c>
      <c r="AK102" s="30" t="inlineStr">
        <is>
          <t>p1: R$ 2.014.067,89</t>
        </is>
      </c>
      <c r="AL102" s="30" t="inlineStr">
        <is>
          <t>QGC (art. 18)</t>
        </is>
      </c>
      <c r="AM102" s="30" t="inlineStr"/>
      <c r="AN102" s="30" t="inlineStr">
        <is>
          <t>NONE FOUND</t>
        </is>
      </c>
      <c r="AO102" s="32" t="inlineStr">
        <is>
          <t>5008793-34.2023.8.24.0019</t>
        </is>
      </c>
      <c r="AP102" s="32" t="inlineStr">
        <is>
          <t>TJSC</t>
        </is>
      </c>
      <c r="AQ102" s="32" t="inlineStr">
        <is>
          <t>Recuperação judicial</t>
        </is>
      </c>
      <c r="AR102" s="32" t="inlineStr">
        <is>
          <t>DataJud: no closure/falência movement</t>
        </is>
      </c>
      <c r="AS102" s="32" t="n">
        <v>2023</v>
      </c>
      <c r="AT102" s="32" t="inlineStr">
        <is>
          <t>live case, no plan document yet</t>
        </is>
      </c>
      <c r="AU102" s="32" t="inlineStr"/>
      <c r="AV102" s="32" t="inlineStr">
        <is>
          <t>printed on the list (read twice)</t>
        </is>
      </c>
      <c r="AW102" s="32" t="inlineStr"/>
      <c r="AX102" s="32" t="inlineStr">
        <is>
          <t>SAO PAULO</t>
        </is>
      </c>
      <c r="AY102" s="32" t="inlineStr">
        <is>
          <t>SP</t>
        </is>
      </c>
      <c r="AZ102" s="32" t="inlineStr">
        <is>
          <t>Bancos múltiplos, com carteira comercial</t>
        </is>
      </c>
      <c r="BA102" s="32" t="inlineStr">
        <is>
          <t>não ME/EPP</t>
        </is>
      </c>
      <c r="BB102" s="33" t="n">
        <v>13924903000</v>
      </c>
      <c r="BC102" s="32" t="inlineStr">
        <is>
          <t>LARGE CORP</t>
        </is>
      </c>
      <c r="BD102" s="32" t="inlineStr">
        <is>
          <t>58160789</t>
        </is>
      </c>
      <c r="BE102" s="32" t="n">
        <v>1</v>
      </c>
      <c r="BF102" s="32" t="inlineStr">
        <is>
          <t>financial by name class III reconciled (doc partial)</t>
        </is>
      </c>
    </row>
    <row r="103">
      <c r="A103" s="17" t="inlineStr">
        <is>
          <t>BANCO BRADESCO S.A.</t>
        </is>
      </c>
      <c r="B103" s="18" t="n">
        <v>1995033.9</v>
      </c>
      <c r="C103" s="19" t="inlineStr">
        <is>
          <t>GRUPO GLP</t>
        </is>
      </c>
      <c r="D103" s="20" t="inlineStr">
        <is>
          <t>NEW</t>
        </is>
      </c>
      <c r="E103" s="21" t="inlineStr"/>
      <c r="F103" s="20" t="inlineStr"/>
      <c r="G103" s="21" t="inlineStr"/>
      <c r="H103" s="20" t="inlineStr"/>
      <c r="I103" s="22" t="inlineStr">
        <is>
          <t>Marcela Martins</t>
        </is>
      </c>
      <c r="J103" s="22" t="inlineStr">
        <is>
          <t>Superintendente de Recuperação de Crédito - Canais e Operações</t>
        </is>
      </c>
      <c r="K103" s="22" t="inlineStr">
        <is>
          <t>(11) 3684-5122</t>
        </is>
      </c>
      <c r="L103" s="22" t="inlineStr"/>
      <c r="M103" s="22" t="inlineStr"/>
      <c r="N103" s="22" t="inlineStr"/>
      <c r="O103" s="22" t="inlineStr"/>
      <c r="P103" s="22" t="inlineStr">
        <is>
          <t>Luis S</t>
        </is>
      </c>
      <c r="Q103" s="22" t="inlineStr">
        <is>
          <t>DRC - Departamento de Recuperação de Crédito - Gerente de Reestruturação de Crédito</t>
        </is>
      </c>
      <c r="R103" s="22" t="inlineStr"/>
      <c r="S103" s="22" t="inlineStr">
        <is>
          <t>sl@bradesco.com.br</t>
        </is>
      </c>
      <c r="T103" s="22" t="inlineStr">
        <is>
          <t>DM: DM; no work email in Apollo for DM; BACKUP: backup</t>
        </is>
      </c>
      <c r="U103" s="24" t="n">
        <v>1995033.9</v>
      </c>
      <c r="V103" s="25" t="inlineStr">
        <is>
          <t>B</t>
        </is>
      </c>
      <c r="W103" s="26" t="inlineStr"/>
      <c r="X103" s="27" t="inlineStr"/>
      <c r="Y103" s="27" t="inlineStr"/>
      <c r="Z103" s="26">
        <f>IF(W103&lt;&gt;"",W103,IFERROR(VLOOKUP(V103,Assumptions!$A$8:$F$12,2,FALSE),0))*Assumptions!$B$5</f>
        <v/>
      </c>
      <c r="AA103" s="28">
        <f>IF(V103="A",MAX(1,IF(X103&lt;&gt;"",X103,IFERROR(VLOOKUP(V103,Assumptions!$A$8:$F$12,3,FALSE),3))+IF(Y103&lt;&gt;"",Y103,IFERROR(VLOOKUP(V103,Assumptions!$A$8:$F$12,4,FALSE),8))/2-MAX(0,IF(AS103="",0,YEAR(TODAY())-AS103)-IFERROR(VLOOKUP(V103,Assumptions!$A$8:$F$12,5,FALSE),1.5))),IFERROR(VLOOKUP(V103,Assumptions!$A$8:$F$12,5,FALSE),2.5)+IF(X103&lt;&gt;"",X103,IFERROR(VLOOKUP(V103,Assumptions!$A$8:$F$12,3,FALSE),3))+IF(Y103&lt;&gt;"",Y103,IFERROR(VLOOKUP(V103,Assumptions!$A$8:$F$12,4,FALSE),8))/2)</f>
        <v/>
      </c>
      <c r="AB103" s="24">
        <f>U103*Z103/(1+Assumptions!$B$3)^AA103</f>
        <v/>
      </c>
      <c r="AC103" s="27">
        <f>IF(U103=0,"",ROUND(AB103/U103*100,1))</f>
        <v/>
      </c>
      <c r="AD103" s="29">
        <f>AB103*Assumptions!$B$4</f>
        <v/>
      </c>
      <c r="AE103" s="27">
        <f>IF(U103=0,"",ROUND(AD103/U103*100,1))</f>
        <v/>
      </c>
      <c r="AF103" s="29">
        <f>AB103-AD103</f>
        <v/>
      </c>
      <c r="AG103" s="27">
        <f>IF(U103=0,"",ROUND((AB103-AD103)/U103*100,1))</f>
        <v/>
      </c>
      <c r="AH103" s="30" t="inlineStr">
        <is>
          <t>OK — totals reconciled</t>
        </is>
      </c>
      <c r="AI103" s="31" t="inlineStr">
        <is>
          <t>https://recuperasolucoes.com/wp-content/plugins/download-attachments/includes/download.php?id=1597</t>
        </is>
      </c>
      <c r="AJ103" s="30" t="inlineStr">
        <is>
          <t>p13 r7</t>
        </is>
      </c>
      <c r="AK103" s="30" t="inlineStr">
        <is>
          <t>p13: R$ 1.995.033,90</t>
        </is>
      </c>
      <c r="AL103" s="30" t="inlineStr">
        <is>
          <t>Debtor list (art. 51)</t>
        </is>
      </c>
      <c r="AM103" s="30" t="inlineStr">
        <is>
          <t>2026-05-21</t>
        </is>
      </c>
      <c r="AN103" s="30" t="inlineStr">
        <is>
          <t>NONE FOUND</t>
        </is>
      </c>
      <c r="AO103" s="32" t="inlineStr">
        <is>
          <t>0001639-09.2026.8.17.2810</t>
        </is>
      </c>
      <c r="AP103" s="32" t="inlineStr">
        <is>
          <t>TJPE</t>
        </is>
      </c>
      <c r="AQ103" s="32" t="inlineStr">
        <is>
          <t>Recuperação judicial</t>
        </is>
      </c>
      <c r="AR103" s="32" t="inlineStr">
        <is>
          <t>DataJud: no closure/falência movement</t>
        </is>
      </c>
      <c r="AS103" s="32" t="n">
        <v>2026</v>
      </c>
      <c r="AT103" s="32" t="inlineStr">
        <is>
          <t>live case, no plan document yet</t>
        </is>
      </c>
      <c r="AU103" s="32" t="inlineStr"/>
      <c r="AV103" s="32" t="inlineStr">
        <is>
          <t>printed on the list (read twice)</t>
        </is>
      </c>
      <c r="AW103" s="32" t="inlineStr"/>
      <c r="AX103" s="32" t="inlineStr">
        <is>
          <t>OSASCO</t>
        </is>
      </c>
      <c r="AY103" s="32" t="inlineStr">
        <is>
          <t>SP</t>
        </is>
      </c>
      <c r="AZ103" s="32" t="inlineStr">
        <is>
          <t>Bancos múltiplos, com carteira comercial</t>
        </is>
      </c>
      <c r="BA103" s="32" t="inlineStr">
        <is>
          <t>não ME/EPP</t>
        </is>
      </c>
      <c r="BB103" s="33" t="n">
        <v>93770000000</v>
      </c>
      <c r="BC103" s="32" t="inlineStr">
        <is>
          <t>LARGE CORP</t>
        </is>
      </c>
      <c r="BD103" s="32" t="inlineStr">
        <is>
          <t>60746948</t>
        </is>
      </c>
      <c r="BE103" s="32" t="n">
        <v>1</v>
      </c>
      <c r="BF103" s="32" t="inlineStr">
        <is>
          <t>financial by name</t>
        </is>
      </c>
    </row>
    <row r="104">
      <c r="A104" s="17" t="inlineStr">
        <is>
          <t>BANCO SAFRA S A</t>
        </is>
      </c>
      <c r="B104" s="18" t="n">
        <v>8644481.52</v>
      </c>
      <c r="C104" s="19" t="inlineStr">
        <is>
          <t>GRUPO 3E</t>
        </is>
      </c>
      <c r="D104" s="20" t="inlineStr">
        <is>
          <t>NEW</t>
        </is>
      </c>
      <c r="E104" s="21" t="inlineStr"/>
      <c r="F104" s="20" t="inlineStr"/>
      <c r="G104" s="21" t="inlineStr"/>
      <c r="H104" s="20" t="inlineStr"/>
      <c r="I104" s="22" t="inlineStr">
        <is>
          <t>Vanessa Biotti</t>
        </is>
      </c>
      <c r="J104" s="22" t="inlineStr">
        <is>
          <t>Gerente de Recuperação de Crédito</t>
        </is>
      </c>
      <c r="K104" s="22" t="inlineStr">
        <is>
          <t>(11) 3175-7575</t>
        </is>
      </c>
      <c r="L104" s="22" t="inlineStr"/>
      <c r="M104" s="22" t="inlineStr"/>
      <c r="N104" s="22" t="inlineStr">
        <is>
          <t>vanessa.biotti@safra.com.br</t>
        </is>
      </c>
      <c r="O104" s="22" t="inlineStr">
        <is>
          <t>verified</t>
        </is>
      </c>
      <c r="P104" s="22" t="inlineStr">
        <is>
          <t>Rodrigo Anjos</t>
        </is>
      </c>
      <c r="Q104" s="22" t="inlineStr">
        <is>
          <t>Advogado Sênior - Jurídico Contencioso - Recuperação de Crédito - NPL</t>
        </is>
      </c>
      <c r="R104" s="22" t="inlineStr"/>
      <c r="S104" s="22" t="inlineStr">
        <is>
          <t>rodrigo.anjos@safra.com.br</t>
        </is>
      </c>
      <c r="T104" s="22" t="inlineStr">
        <is>
          <t>DM: DM verified email; BACKUP: backup verified email (NPL legal)</t>
        </is>
      </c>
      <c r="U104" s="24" t="n">
        <v>8644481.52</v>
      </c>
      <c r="V104" s="25" t="inlineStr">
        <is>
          <t>B</t>
        </is>
      </c>
      <c r="W104" s="26" t="n">
        <v>0.12</v>
      </c>
      <c r="X104" s="27" t="n">
        <v>2</v>
      </c>
      <c r="Y104" s="27" t="n">
        <v>13</v>
      </c>
      <c r="Z104" s="26">
        <f>IF(W104&lt;&gt;"",W104,IFERROR(VLOOKUP(V104,Assumptions!$A$8:$F$12,2,FALSE),0))*Assumptions!$B$5</f>
        <v/>
      </c>
      <c r="AA104" s="28">
        <f>IF(V104="A",MAX(1,IF(X104&lt;&gt;"",X104,IFERROR(VLOOKUP(V104,Assumptions!$A$8:$F$12,3,FALSE),3))+IF(Y104&lt;&gt;"",Y104,IFERROR(VLOOKUP(V104,Assumptions!$A$8:$F$12,4,FALSE),8))/2-MAX(0,IF(AS104="",0,YEAR(TODAY())-AS104)-IFERROR(VLOOKUP(V104,Assumptions!$A$8:$F$12,5,FALSE),1.5))),IFERROR(VLOOKUP(V104,Assumptions!$A$8:$F$12,5,FALSE),2.5)+IF(X104&lt;&gt;"",X104,IFERROR(VLOOKUP(V104,Assumptions!$A$8:$F$12,3,FALSE),3))+IF(Y104&lt;&gt;"",Y104,IFERROR(VLOOKUP(V104,Assumptions!$A$8:$F$12,4,FALSE),8))/2)</f>
        <v/>
      </c>
      <c r="AB104" s="24">
        <f>U104*Z104/(1+Assumptions!$B$3)^AA104</f>
        <v/>
      </c>
      <c r="AC104" s="27">
        <f>IF(U104=0,"",ROUND(AB104/U104*100,1))</f>
        <v/>
      </c>
      <c r="AD104" s="29">
        <f>AB104*Assumptions!$B$4</f>
        <v/>
      </c>
      <c r="AE104" s="27">
        <f>IF(U104=0,"",ROUND(AD104/U104*100,1))</f>
        <v/>
      </c>
      <c r="AF104" s="29">
        <f>AB104-AD104</f>
        <v/>
      </c>
      <c r="AG104" s="27">
        <f>IF(U104=0,"",ROUND((AB104-AD104)/U104*100,1))</f>
        <v/>
      </c>
      <c r="AH104" s="34" t="inlineStr">
        <is>
          <t>NO TOTALS — list prints none; check page</t>
        </is>
      </c>
      <c r="AI104" s="31" t="inlineStr">
        <is>
          <t>https://stenius.com.br/wp-content/uploads/2026/06/EDITAL-GRUPO-3E.pdf</t>
        </is>
      </c>
      <c r="AJ104" s="30" t="inlineStr">
        <is>
          <t>p10 r38</t>
        </is>
      </c>
      <c r="AK104" s="30" t="inlineStr">
        <is>
          <t>p10: R$ 8.644.481,52</t>
        </is>
      </c>
      <c r="AL104" s="30" t="inlineStr">
        <is>
          <t>Debtor list (art. 51)</t>
        </is>
      </c>
      <c r="AM104" s="30" t="inlineStr">
        <is>
          <t>2026-06-22</t>
        </is>
      </c>
      <c r="AN104" s="30" t="inlineStr">
        <is>
          <t>PLAN FILED (art. 53), not granted</t>
        </is>
      </c>
      <c r="AO104" s="32" t="inlineStr">
        <is>
          <t>5341375-33.2026.8.09.0049</t>
        </is>
      </c>
      <c r="AP104" s="32" t="inlineStr">
        <is>
          <t>TJGO</t>
        </is>
      </c>
      <c r="AQ104" s="32" t="inlineStr">
        <is>
          <t>Recuperação judicial</t>
        </is>
      </c>
      <c r="AR104" s="32" t="inlineStr">
        <is>
          <t>DataJud: no closure/falência movement</t>
        </is>
      </c>
      <c r="AS104" s="32" t="n">
        <v>2026</v>
      </c>
      <c r="AT104" s="32" t="inlineStr">
        <is>
          <t>plan filed (art. 53), not yet granted</t>
        </is>
      </c>
      <c r="AU104" s="32" t="inlineStr"/>
      <c r="AV104" s="32" t="inlineStr">
        <is>
          <t>printed on the list (read twice)</t>
        </is>
      </c>
      <c r="AW104" s="32" t="inlineStr">
        <is>
          <t>Plano de Recuperação Judicial Grupo 3E v2.0 (Métis), mov. 321, pp.24-25</t>
        </is>
      </c>
      <c r="AX104" s="32" t="inlineStr">
        <is>
          <t>SAO PAULO</t>
        </is>
      </c>
      <c r="AY104" s="32" t="inlineStr">
        <is>
          <t>SP</t>
        </is>
      </c>
      <c r="AZ104" s="32" t="inlineStr">
        <is>
          <t>Bancos múltiplos, com carteira comercial</t>
        </is>
      </c>
      <c r="BA104" s="32" t="inlineStr">
        <is>
          <t>não ME/EPP</t>
        </is>
      </c>
      <c r="BB104" s="33" t="n">
        <v>13924903000</v>
      </c>
      <c r="BC104" s="32" t="inlineStr">
        <is>
          <t>LARGE CORP</t>
        </is>
      </c>
      <c r="BD104" s="32" t="inlineStr">
        <is>
          <t>58160789</t>
        </is>
      </c>
      <c r="BE104" s="32" t="n">
        <v>1</v>
      </c>
      <c r="BF104" s="32" t="inlineStr">
        <is>
          <t>financial by name list prints no totals</t>
        </is>
      </c>
    </row>
    <row r="105">
      <c r="A105" s="17" t="inlineStr">
        <is>
          <t>ITAU UNIBANCO S.A.</t>
        </is>
      </c>
      <c r="B105" s="18" t="n">
        <v>1968048.14</v>
      </c>
      <c r="C105" s="19" t="inlineStr">
        <is>
          <t>GRUPO DIAGSON</t>
        </is>
      </c>
      <c r="D105" s="20" t="inlineStr">
        <is>
          <t>NEW</t>
        </is>
      </c>
      <c r="E105" s="21" t="inlineStr"/>
      <c r="F105" s="20" t="inlineStr"/>
      <c r="G105" s="21" t="inlineStr"/>
      <c r="H105" s="20" t="inlineStr"/>
      <c r="I105" s="22" t="inlineStr">
        <is>
          <t>Murilo Gigliucci</t>
        </is>
      </c>
      <c r="J105" s="22" t="inlineStr">
        <is>
          <t>Superintendente de Reestruturação de Crédito</t>
        </is>
      </c>
      <c r="K105" s="22" t="inlineStr">
        <is>
          <t>(11) 3003-4828</t>
        </is>
      </c>
      <c r="L105" s="22" t="inlineStr"/>
      <c r="M105" s="22" t="inlineStr"/>
      <c r="N105" s="22" t="inlineStr">
        <is>
          <t>murilo.gigliucci@itau-unibanco.com.br</t>
        </is>
      </c>
      <c r="O105" s="22" t="inlineStr">
        <is>
          <t>verified</t>
        </is>
      </c>
      <c r="P105" s="22" t="inlineStr">
        <is>
          <t>Pedro Ornellas</t>
        </is>
      </c>
      <c r="Q105" s="22" t="inlineStr">
        <is>
          <t>Superintendente de Recuperação de Crédito</t>
        </is>
      </c>
      <c r="R105" s="22" t="inlineStr"/>
      <c r="S105" s="22" t="inlineStr">
        <is>
          <t>pedro.ornellas-geronimo@itau-unibanco.com.br</t>
        </is>
      </c>
      <c r="T105" s="22" t="inlineStr">
        <is>
          <t>DM: DM verified email; BACKUP: backup verified email</t>
        </is>
      </c>
      <c r="U105" s="24" t="n">
        <v>1968048.14</v>
      </c>
      <c r="V105" s="25" t="inlineStr">
        <is>
          <t>B</t>
        </is>
      </c>
      <c r="W105" s="26" t="inlineStr"/>
      <c r="X105" s="27" t="inlineStr"/>
      <c r="Y105" s="27" t="inlineStr"/>
      <c r="Z105" s="26">
        <f>IF(W105&lt;&gt;"",W105,IFERROR(VLOOKUP(V105,Assumptions!$A$8:$F$12,2,FALSE),0))*Assumptions!$B$5</f>
        <v/>
      </c>
      <c r="AA105" s="28">
        <f>IF(V105="A",MAX(1,IF(X105&lt;&gt;"",X105,IFERROR(VLOOKUP(V105,Assumptions!$A$8:$F$12,3,FALSE),3))+IF(Y105&lt;&gt;"",Y105,IFERROR(VLOOKUP(V105,Assumptions!$A$8:$F$12,4,FALSE),8))/2-MAX(0,IF(AS105="",0,YEAR(TODAY())-AS105)-IFERROR(VLOOKUP(V105,Assumptions!$A$8:$F$12,5,FALSE),1.5))),IFERROR(VLOOKUP(V105,Assumptions!$A$8:$F$12,5,FALSE),2.5)+IF(X105&lt;&gt;"",X105,IFERROR(VLOOKUP(V105,Assumptions!$A$8:$F$12,3,FALSE),3))+IF(Y105&lt;&gt;"",Y105,IFERROR(VLOOKUP(V105,Assumptions!$A$8:$F$12,4,FALSE),8))/2)</f>
        <v/>
      </c>
      <c r="AB105" s="24">
        <f>U105*Z105/(1+Assumptions!$B$3)^AA105</f>
        <v/>
      </c>
      <c r="AC105" s="27">
        <f>IF(U105=0,"",ROUND(AB105/U105*100,1))</f>
        <v/>
      </c>
      <c r="AD105" s="29">
        <f>AB105*Assumptions!$B$4</f>
        <v/>
      </c>
      <c r="AE105" s="27">
        <f>IF(U105=0,"",ROUND(AD105/U105*100,1))</f>
        <v/>
      </c>
      <c r="AF105" s="29">
        <f>AB105-AD105</f>
        <v/>
      </c>
      <c r="AG105" s="27">
        <f>IF(U105=0,"",ROUND((AB105-AD105)/U105*100,1))</f>
        <v/>
      </c>
      <c r="AH105" s="35" t="inlineStr">
        <is>
          <t>PARTIAL — class III reconciled, other classes not</t>
        </is>
      </c>
      <c r="AI105" s="31" t="inlineStr">
        <is>
          <t>https://lrflideres.com.br/wp-content/plugins/download-attachments/includes/download.php?id=7418</t>
        </is>
      </c>
      <c r="AJ105" s="30" t="inlineStr">
        <is>
          <t>p2 r67</t>
        </is>
      </c>
      <c r="AK105" s="30" t="inlineStr">
        <is>
          <t>p2: R$ 1.968.048,14</t>
        </is>
      </c>
      <c r="AL105" s="30" t="inlineStr">
        <is>
          <t>Debtor list (art. 51)</t>
        </is>
      </c>
      <c r="AM105" s="30" t="inlineStr">
        <is>
          <t>2026-07-28</t>
        </is>
      </c>
      <c r="AN105" s="30" t="inlineStr">
        <is>
          <t>NONE FOUND</t>
        </is>
      </c>
      <c r="AO105" s="32" t="inlineStr">
        <is>
          <t>0822279-56.2026.8.15.2001</t>
        </is>
      </c>
      <c r="AP105" s="32" t="inlineStr">
        <is>
          <t>TJPB</t>
        </is>
      </c>
      <c r="AQ105" s="32" t="inlineStr">
        <is>
          <t>Recuperação judicial</t>
        </is>
      </c>
      <c r="AR105" s="32" t="inlineStr">
        <is>
          <t>DataJud: no closure/falência movement</t>
        </is>
      </c>
      <c r="AS105" s="32" t="n">
        <v>2026</v>
      </c>
      <c r="AT105" s="32" t="inlineStr">
        <is>
          <t>live case, no plan document yet</t>
        </is>
      </c>
      <c r="AU105" s="32" t="inlineStr">
        <is>
          <t>00.149.703/0001-86</t>
        </is>
      </c>
      <c r="AV105" s="32" t="inlineStr">
        <is>
          <t>printed on the list (read twice)</t>
        </is>
      </c>
      <c r="AW105" s="32" t="inlineStr"/>
      <c r="AX105" s="32" t="inlineStr">
        <is>
          <t>SAO PAULO</t>
        </is>
      </c>
      <c r="AY105" s="32" t="inlineStr">
        <is>
          <t>SP</t>
        </is>
      </c>
      <c r="AZ105" s="32" t="inlineStr">
        <is>
          <t>Bancos comerciais</t>
        </is>
      </c>
      <c r="BA105" s="32" t="inlineStr">
        <is>
          <t>não ME/EPP</t>
        </is>
      </c>
      <c r="BB105" s="33" t="n">
        <v>76200000000</v>
      </c>
      <c r="BC105" s="32" t="inlineStr">
        <is>
          <t>LARGE CORP</t>
        </is>
      </c>
      <c r="BD105" s="32" t="inlineStr">
        <is>
          <t>60701190</t>
        </is>
      </c>
      <c r="BE105" s="32" t="n">
        <v>1</v>
      </c>
      <c r="BF105" s="32" t="inlineStr">
        <is>
          <t>financial by name class III reconciled (doc partial)</t>
        </is>
      </c>
    </row>
    <row r="106">
      <c r="A106" s="17" t="inlineStr">
        <is>
          <t>PROSPERE SECURITIZADORA S.A.</t>
        </is>
      </c>
      <c r="B106" s="18" t="n">
        <v>1941127.48</v>
      </c>
      <c r="C106" s="19" t="inlineStr">
        <is>
          <t>Grupo Agromeal</t>
        </is>
      </c>
      <c r="D106" s="20" t="inlineStr">
        <is>
          <t>NEW</t>
        </is>
      </c>
      <c r="E106" s="21" t="inlineStr"/>
      <c r="F106" s="20" t="inlineStr"/>
      <c r="G106" s="21" t="inlineStr"/>
      <c r="H106" s="20" t="inlineStr"/>
      <c r="I106" s="22" t="inlineStr">
        <is>
          <t>RODRIGO DE OLIVEIRA KATAYOSE</t>
        </is>
      </c>
      <c r="J106" s="23" t="inlineStr">
        <is>
          <t>Presidente (RFB partner)</t>
        </is>
      </c>
      <c r="K106" s="22" t="inlineStr">
        <is>
          <t>(43) 9682-3443</t>
        </is>
      </c>
      <c r="L106" s="22" t="inlineStr">
        <is>
          <t>(43) 9826-5258</t>
        </is>
      </c>
      <c r="M106" s="22" t="inlineStr"/>
      <c r="N106" s="22" t="inlineStr"/>
      <c r="O106" s="22" t="inlineStr"/>
      <c r="P106" s="22" t="inlineStr">
        <is>
          <t>JOYCE PRISCILA TERTO SARTORI KATAYOSE</t>
        </is>
      </c>
      <c r="Q106" s="22" t="inlineStr">
        <is>
          <t>Diretor (RFB partner)</t>
        </is>
      </c>
      <c r="R106" s="22" t="inlineStr"/>
      <c r="S106" s="22" t="inlineStr"/>
      <c r="T106" s="22" t="inlineStr">
        <is>
          <t>DM = registered partner (RFB QSA); no Apollo match</t>
        </is>
      </c>
      <c r="U106" s="24" t="n">
        <v>1941127.48</v>
      </c>
      <c r="V106" s="25" t="inlineStr">
        <is>
          <t>B</t>
        </is>
      </c>
      <c r="W106" s="26" t="inlineStr"/>
      <c r="X106" s="27" t="inlineStr"/>
      <c r="Y106" s="27" t="inlineStr"/>
      <c r="Z106" s="26">
        <f>IF(W106&lt;&gt;"",W106,IFERROR(VLOOKUP(V106,Assumptions!$A$8:$F$12,2,FALSE),0))*Assumptions!$B$5</f>
        <v/>
      </c>
      <c r="AA106" s="28">
        <f>IF(V106="A",MAX(1,IF(X106&lt;&gt;"",X106,IFERROR(VLOOKUP(V106,Assumptions!$A$8:$F$12,3,FALSE),3))+IF(Y106&lt;&gt;"",Y106,IFERROR(VLOOKUP(V106,Assumptions!$A$8:$F$12,4,FALSE),8))/2-MAX(0,IF(AS106="",0,YEAR(TODAY())-AS106)-IFERROR(VLOOKUP(V106,Assumptions!$A$8:$F$12,5,FALSE),1.5))),IFERROR(VLOOKUP(V106,Assumptions!$A$8:$F$12,5,FALSE),2.5)+IF(X106&lt;&gt;"",X106,IFERROR(VLOOKUP(V106,Assumptions!$A$8:$F$12,3,FALSE),3))+IF(Y106&lt;&gt;"",Y106,IFERROR(VLOOKUP(V106,Assumptions!$A$8:$F$12,4,FALSE),8))/2)</f>
        <v/>
      </c>
      <c r="AB106" s="24">
        <f>U106*Z106/(1+Assumptions!$B$3)^AA106</f>
        <v/>
      </c>
      <c r="AC106" s="27">
        <f>IF(U106=0,"",ROUND(AB106/U106*100,1))</f>
        <v/>
      </c>
      <c r="AD106" s="29">
        <f>AB106*Assumptions!$B$4</f>
        <v/>
      </c>
      <c r="AE106" s="27">
        <f>IF(U106=0,"",ROUND(AD106/U106*100,1))</f>
        <v/>
      </c>
      <c r="AF106" s="29">
        <f>AB106-AD106</f>
        <v/>
      </c>
      <c r="AG106" s="27">
        <f>IF(U106=0,"",ROUND((AB106-AD106)/U106*100,1))</f>
        <v/>
      </c>
      <c r="AH106" s="35" t="inlineStr">
        <is>
          <t>PARTIAL — class III reconciled, other classes not</t>
        </is>
      </c>
      <c r="AI106" s="31" t="inlineStr">
        <is>
          <t>https://marquesadmjudicial.com.br/sgc/download.php?file=files/processo_documento/processo_documento17040729052024_1_.pdf&amp;nome=Relação Nominal de Credores AJ-Sintética</t>
        </is>
      </c>
      <c r="AJ106" s="30" t="inlineStr">
        <is>
          <t>p12 r9</t>
        </is>
      </c>
      <c r="AK106" s="30" t="inlineStr">
        <is>
          <t>p12: R$ 1.941.127,48</t>
        </is>
      </c>
      <c r="AL106" s="30" t="inlineStr">
        <is>
          <t>AJ list (art. 7 §2)</t>
        </is>
      </c>
      <c r="AM106" s="30" t="inlineStr">
        <is>
          <t>2024-05-27</t>
        </is>
      </c>
      <c r="AN106" s="30" t="inlineStr">
        <is>
          <t>NONE FOUND</t>
        </is>
      </c>
      <c r="AO106" s="32" t="inlineStr">
        <is>
          <t>0003971-03.2023.8.16.0119</t>
        </is>
      </c>
      <c r="AP106" s="32" t="inlineStr">
        <is>
          <t>TJPR</t>
        </is>
      </c>
      <c r="AQ106" s="32" t="inlineStr">
        <is>
          <t>Recuperação judicial</t>
        </is>
      </c>
      <c r="AR106" s="32" t="inlineStr">
        <is>
          <t>DataJud: no closure/falência movement</t>
        </is>
      </c>
      <c r="AS106" s="32" t="n">
        <v>2023</v>
      </c>
      <c r="AT106" s="32" t="inlineStr">
        <is>
          <t>live case, no plan document yet</t>
        </is>
      </c>
      <c r="AU106" s="32" t="inlineStr">
        <is>
          <t>11.624.776/0001-07</t>
        </is>
      </c>
      <c r="AV106" s="32" t="inlineStr">
        <is>
          <t>printed on the list (read twice)</t>
        </is>
      </c>
      <c r="AW106" s="32" t="inlineStr"/>
      <c r="AX106" s="32" t="inlineStr">
        <is>
          <t>LONDRINA</t>
        </is>
      </c>
      <c r="AY106" s="32" t="inlineStr">
        <is>
          <t>PR</t>
        </is>
      </c>
      <c r="AZ106" s="32" t="inlineStr">
        <is>
          <t>Securitização de créditos</t>
        </is>
      </c>
      <c r="BA106" s="32" t="inlineStr">
        <is>
          <t>não ME/EPP</t>
        </is>
      </c>
      <c r="BB106" s="33" t="n">
        <v>120000</v>
      </c>
      <c r="BC106" s="32" t="inlineStr">
        <is>
          <t>MID-MARKET</t>
        </is>
      </c>
      <c r="BD106" s="32" t="inlineStr">
        <is>
          <t>01489979</t>
        </is>
      </c>
      <c r="BE106" s="32" t="n">
        <v>1</v>
      </c>
      <c r="BF106" s="32" t="inlineStr">
        <is>
          <t>class III reconciled (doc partial)</t>
        </is>
      </c>
    </row>
    <row r="107">
      <c r="A107" s="17" t="inlineStr">
        <is>
          <t>BMP SOCIEDADE DE CREDITO AO MICROEMPREENDEDOR E A EMPRESA DE PEQUENO PORTE LTDA</t>
        </is>
      </c>
      <c r="B107" s="18" t="n">
        <v>1881174.37</v>
      </c>
      <c r="C107" s="19" t="inlineStr">
        <is>
          <t>FLAVOUR MIX IND. E REP. ALIM. E INGR. QUÍMICOS LTDA.</t>
        </is>
      </c>
      <c r="D107" s="20" t="inlineStr">
        <is>
          <t>NEW</t>
        </is>
      </c>
      <c r="E107" s="21" t="inlineStr"/>
      <c r="F107" s="20" t="inlineStr"/>
      <c r="G107" s="21" t="inlineStr"/>
      <c r="H107" s="20" t="inlineStr"/>
      <c r="I107" s="22" t="inlineStr">
        <is>
          <t>Alexandre Cardoso</t>
        </is>
      </c>
      <c r="J107" s="22" t="inlineStr">
        <is>
          <t>Gerente de Credito De Operações Estruturadas na BMP Money Plus</t>
        </is>
      </c>
      <c r="K107" s="22" t="inlineStr">
        <is>
          <t>(11) 3810-9313</t>
        </is>
      </c>
      <c r="L107" s="22" t="inlineStr"/>
      <c r="M107" s="22" t="inlineStr"/>
      <c r="N107" s="22" t="inlineStr">
        <is>
          <t>alexandre.cardoso@moneyp.com.br</t>
        </is>
      </c>
      <c r="O107" s="22" t="inlineStr">
        <is>
          <t>verified</t>
        </is>
      </c>
      <c r="P107" s="22" t="inlineStr">
        <is>
          <t>Clovis Dotta</t>
        </is>
      </c>
      <c r="Q107" s="22" t="inlineStr">
        <is>
          <t>Diretor Comercial na BMP Money PLUS</t>
        </is>
      </c>
      <c r="R107" s="22" t="inlineStr"/>
      <c r="S107" s="22" t="inlineStr">
        <is>
          <t>clovis.dotta@moneyp.com.br</t>
        </is>
      </c>
      <c r="T107" s="22" t="inlineStr">
        <is>
          <t>DM: DM verified email; BACKUP: backup verified email</t>
        </is>
      </c>
      <c r="U107" s="24" t="n">
        <v>1881174.37</v>
      </c>
      <c r="V107" s="25" t="inlineStr">
        <is>
          <t>B</t>
        </is>
      </c>
      <c r="W107" s="26" t="inlineStr"/>
      <c r="X107" s="27" t="inlineStr"/>
      <c r="Y107" s="27" t="inlineStr"/>
      <c r="Z107" s="26">
        <f>IF(W107&lt;&gt;"",W107,IFERROR(VLOOKUP(V107,Assumptions!$A$8:$F$12,2,FALSE),0))*Assumptions!$B$5</f>
        <v/>
      </c>
      <c r="AA107" s="28">
        <f>IF(V107="A",MAX(1,IF(X107&lt;&gt;"",X107,IFERROR(VLOOKUP(V107,Assumptions!$A$8:$F$12,3,FALSE),3))+IF(Y107&lt;&gt;"",Y107,IFERROR(VLOOKUP(V107,Assumptions!$A$8:$F$12,4,FALSE),8))/2-MAX(0,IF(AS107="",0,YEAR(TODAY())-AS107)-IFERROR(VLOOKUP(V107,Assumptions!$A$8:$F$12,5,FALSE),1.5))),IFERROR(VLOOKUP(V107,Assumptions!$A$8:$F$12,5,FALSE),2.5)+IF(X107&lt;&gt;"",X107,IFERROR(VLOOKUP(V107,Assumptions!$A$8:$F$12,3,FALSE),3))+IF(Y107&lt;&gt;"",Y107,IFERROR(VLOOKUP(V107,Assumptions!$A$8:$F$12,4,FALSE),8))/2)</f>
        <v/>
      </c>
      <c r="AB107" s="24">
        <f>U107*Z107/(1+Assumptions!$B$3)^AA107</f>
        <v/>
      </c>
      <c r="AC107" s="27">
        <f>IF(U107=0,"",ROUND(AB107/U107*100,1))</f>
        <v/>
      </c>
      <c r="AD107" s="29">
        <f>AB107*Assumptions!$B$4</f>
        <v/>
      </c>
      <c r="AE107" s="27">
        <f>IF(U107=0,"",ROUND(AD107/U107*100,1))</f>
        <v/>
      </c>
      <c r="AF107" s="29">
        <f>AB107-AD107</f>
        <v/>
      </c>
      <c r="AG107" s="27">
        <f>IF(U107=0,"",ROUND((AB107-AD107)/U107*100,1))</f>
        <v/>
      </c>
      <c r="AH107" s="34" t="inlineStr">
        <is>
          <t>NO TOTALS — list prints none; check page</t>
        </is>
      </c>
      <c r="AI107" s="31" t="inlineStr">
        <is>
          <t>https://ativosajce.com.br/admin/download.php?file=files/processo_documento/processo_documento13422625032025_1_.pdf&amp;nome=Relação de Credores - Art. 52º § 1º, da Lei nº 11.101/2005 - 25/02/2025</t>
        </is>
      </c>
      <c r="AJ107" s="30" t="inlineStr">
        <is>
          <t>p3 r28; p3 r29</t>
        </is>
      </c>
      <c r="AK107" s="30" t="inlineStr">
        <is>
          <t>p3: R$ 686.369,53; p3: R$ 1.194.804,84</t>
        </is>
      </c>
      <c r="AL107" s="30" t="inlineStr">
        <is>
          <t>Unclassified list</t>
        </is>
      </c>
      <c r="AM107" s="30" t="inlineStr">
        <is>
          <t>2025-02-28</t>
        </is>
      </c>
      <c r="AN107" s="30" t="inlineStr">
        <is>
          <t>NONE FOUND</t>
        </is>
      </c>
      <c r="AO107" s="32" t="inlineStr">
        <is>
          <t>1000119-75.2025.8.26.0354</t>
        </is>
      </c>
      <c r="AP107" s="32" t="inlineStr">
        <is>
          <t>TJSP</t>
        </is>
      </c>
      <c r="AQ107" s="32" t="inlineStr">
        <is>
          <t>Recuperação judicial</t>
        </is>
      </c>
      <c r="AR107" s="32" t="inlineStr">
        <is>
          <t>DataJud: no closure/falência movement</t>
        </is>
      </c>
      <c r="AS107" s="32" t="n">
        <v>2025</v>
      </c>
      <c r="AT107" s="32" t="inlineStr">
        <is>
          <t>live case, no plan document yet; case no. from the portal record, not printed on the list</t>
        </is>
      </c>
      <c r="AU107" s="32" t="inlineStr">
        <is>
          <t>09.357.504/0001-38</t>
        </is>
      </c>
      <c r="AV107" s="32" t="inlineStr">
        <is>
          <t>printed on the list (read twice)</t>
        </is>
      </c>
      <c r="AW107" s="32" t="inlineStr"/>
      <c r="AX107" s="32" t="inlineStr">
        <is>
          <t>SAO PAULO</t>
        </is>
      </c>
      <c r="AY107" s="32" t="inlineStr">
        <is>
          <t>SP</t>
        </is>
      </c>
      <c r="AZ107" s="32" t="inlineStr">
        <is>
          <t>Sociedades de crédito ao microempreendedor</t>
        </is>
      </c>
      <c r="BA107" s="32" t="inlineStr">
        <is>
          <t>não ME/EPP</t>
        </is>
      </c>
      <c r="BB107" s="33" t="n">
        <v>35000000</v>
      </c>
      <c r="BC107" s="32" t="inlineStr">
        <is>
          <t>MID-MARKET</t>
        </is>
      </c>
      <c r="BD107" s="32" t="inlineStr">
        <is>
          <t>11581339</t>
        </is>
      </c>
      <c r="BE107" s="32" t="n">
        <v>2</v>
      </c>
      <c r="BF107" s="32" t="inlineStr">
        <is>
          <t>list prints no totals</t>
        </is>
      </c>
    </row>
    <row r="108">
      <c r="A108" s="17" t="inlineStr">
        <is>
          <t>BANCO DAYCOVAL S.A.</t>
        </is>
      </c>
      <c r="B108" s="18" t="n">
        <v>1850000</v>
      </c>
      <c r="C108" s="19" t="inlineStr">
        <is>
          <t>GRUPO FOREST</t>
        </is>
      </c>
      <c r="D108" s="20" t="inlineStr">
        <is>
          <t>NEW</t>
        </is>
      </c>
      <c r="E108" s="21" t="inlineStr"/>
      <c r="F108" s="20" t="inlineStr"/>
      <c r="G108" s="21" t="inlineStr"/>
      <c r="H108" s="20" t="inlineStr"/>
      <c r="I108" s="22" t="inlineStr">
        <is>
          <t>Celso Araujo</t>
        </is>
      </c>
      <c r="J108" s="22" t="inlineStr">
        <is>
          <t>Gerente de Recuperação de Crédito</t>
        </is>
      </c>
      <c r="K108" s="22" t="inlineStr">
        <is>
          <t>(11) 3138-0500</t>
        </is>
      </c>
      <c r="L108" s="22" t="inlineStr"/>
      <c r="M108" s="22" t="inlineStr"/>
      <c r="N108" s="22" t="inlineStr">
        <is>
          <t>celso.araujo@bancodaycoval.com.br</t>
        </is>
      </c>
      <c r="O108" s="22" t="inlineStr">
        <is>
          <t>verified</t>
        </is>
      </c>
      <c r="P108" s="22" t="inlineStr">
        <is>
          <t>Andreia Matiel</t>
        </is>
      </c>
      <c r="Q108" s="22" t="inlineStr">
        <is>
          <t>Advogada Recuperação de Crédito Empresas</t>
        </is>
      </c>
      <c r="R108" s="22" t="inlineStr"/>
      <c r="S108" s="22" t="inlineStr">
        <is>
          <t>andreia.matiel@daycoval.com.br</t>
        </is>
      </c>
      <c r="T108" s="22" t="inlineStr">
        <is>
          <t>DM: DM verified email; BACKUP: backup verified email</t>
        </is>
      </c>
      <c r="U108" s="24" t="n">
        <v>1850000</v>
      </c>
      <c r="V108" s="25" t="inlineStr">
        <is>
          <t>B</t>
        </is>
      </c>
      <c r="W108" s="26" t="inlineStr"/>
      <c r="X108" s="27" t="inlineStr"/>
      <c r="Y108" s="27" t="inlineStr"/>
      <c r="Z108" s="26">
        <f>IF(W108&lt;&gt;"",W108,IFERROR(VLOOKUP(V108,Assumptions!$A$8:$F$12,2,FALSE),0))*Assumptions!$B$5</f>
        <v/>
      </c>
      <c r="AA108" s="28">
        <f>IF(V108="A",MAX(1,IF(X108&lt;&gt;"",X108,IFERROR(VLOOKUP(V108,Assumptions!$A$8:$F$12,3,FALSE),3))+IF(Y108&lt;&gt;"",Y108,IFERROR(VLOOKUP(V108,Assumptions!$A$8:$F$12,4,FALSE),8))/2-MAX(0,IF(AS108="",0,YEAR(TODAY())-AS108)-IFERROR(VLOOKUP(V108,Assumptions!$A$8:$F$12,5,FALSE),1.5))),IFERROR(VLOOKUP(V108,Assumptions!$A$8:$F$12,5,FALSE),2.5)+IF(X108&lt;&gt;"",X108,IFERROR(VLOOKUP(V108,Assumptions!$A$8:$F$12,3,FALSE),3))+IF(Y108&lt;&gt;"",Y108,IFERROR(VLOOKUP(V108,Assumptions!$A$8:$F$12,4,FALSE),8))/2)</f>
        <v/>
      </c>
      <c r="AB108" s="24">
        <f>U108*Z108/(1+Assumptions!$B$3)^AA108</f>
        <v/>
      </c>
      <c r="AC108" s="27">
        <f>IF(U108=0,"",ROUND(AB108/U108*100,1))</f>
        <v/>
      </c>
      <c r="AD108" s="29">
        <f>AB108*Assumptions!$B$4</f>
        <v/>
      </c>
      <c r="AE108" s="27">
        <f>IF(U108=0,"",ROUND(AD108/U108*100,1))</f>
        <v/>
      </c>
      <c r="AF108" s="29">
        <f>AB108-AD108</f>
        <v/>
      </c>
      <c r="AG108" s="27">
        <f>IF(U108=0,"",ROUND((AB108-AD108)/U108*100,1))</f>
        <v/>
      </c>
      <c r="AH108" s="34" t="inlineStr">
        <is>
          <t>NO TOTALS — list prints none; check page</t>
        </is>
      </c>
      <c r="AI108" s="31" t="inlineStr">
        <is>
          <t>https://administradorajudicialgs.com.br/wp-content/uploads/2025/09/relacao-de-credores-forest-sa.pdf</t>
        </is>
      </c>
      <c r="AJ108" s="30" t="inlineStr">
        <is>
          <t>p12 r1</t>
        </is>
      </c>
      <c r="AK108" s="30" t="inlineStr">
        <is>
          <t>p12: R$ 1.850.000,00</t>
        </is>
      </c>
      <c r="AL108" s="30" t="inlineStr">
        <is>
          <t>AJ list (art. 7 §2)</t>
        </is>
      </c>
      <c r="AM108" s="30" t="inlineStr">
        <is>
          <t>2025-08-01</t>
        </is>
      </c>
      <c r="AN108" s="30" t="inlineStr">
        <is>
          <t>NONE FOUND</t>
        </is>
      </c>
      <c r="AO108" s="32" t="inlineStr">
        <is>
          <t>0026395-77.2025.8.16.0019</t>
        </is>
      </c>
      <c r="AP108" s="32" t="inlineStr">
        <is>
          <t>TJPR</t>
        </is>
      </c>
      <c r="AQ108" s="32" t="inlineStr">
        <is>
          <t>Recuperação judicial</t>
        </is>
      </c>
      <c r="AR108" s="32" t="inlineStr">
        <is>
          <t>DataJud: no closure/falência movement</t>
        </is>
      </c>
      <c r="AS108" s="32" t="n">
        <v>2025</v>
      </c>
      <c r="AT108" s="32" t="inlineStr">
        <is>
          <t>live case, no plan document yet</t>
        </is>
      </c>
      <c r="AU108" s="32" t="inlineStr">
        <is>
          <t>07.155.032/0001-05</t>
        </is>
      </c>
      <c r="AV108" s="32" t="inlineStr">
        <is>
          <t>printed on the list (read twice)</t>
        </is>
      </c>
      <c r="AW108" s="32" t="inlineStr"/>
      <c r="AX108" s="32" t="inlineStr">
        <is>
          <t>SAO PAULO</t>
        </is>
      </c>
      <c r="AY108" s="32" t="inlineStr">
        <is>
          <t>SP</t>
        </is>
      </c>
      <c r="AZ108" s="32" t="inlineStr">
        <is>
          <t>Bancos múltiplos, com carteira comercial</t>
        </is>
      </c>
      <c r="BA108" s="32" t="inlineStr">
        <is>
          <t>não ME/EPP</t>
        </is>
      </c>
      <c r="BB108" s="33" t="n">
        <v>6907260000</v>
      </c>
      <c r="BC108" s="32" t="inlineStr">
        <is>
          <t>LARGE CORP</t>
        </is>
      </c>
      <c r="BD108" s="32" t="inlineStr">
        <is>
          <t>62232889</t>
        </is>
      </c>
      <c r="BE108" s="32" t="n">
        <v>1</v>
      </c>
      <c r="BF108" s="32" t="inlineStr">
        <is>
          <t>financial by name list prints no totals case no. corrected by reader</t>
        </is>
      </c>
    </row>
    <row r="109">
      <c r="A109" s="17" t="inlineStr">
        <is>
          <t>URA AGRO FUNDO DE INVESTIMENTO EM DIREIT</t>
        </is>
      </c>
      <c r="B109" s="18" t="n">
        <v>1849550.98</v>
      </c>
      <c r="C109" s="19" t="inlineStr">
        <is>
          <t>SOJAL COMERCIAL AGRICOLA LTDA e OUTROS</t>
        </is>
      </c>
      <c r="D109" s="20" t="inlineStr">
        <is>
          <t>NEW</t>
        </is>
      </c>
      <c r="E109" s="21" t="inlineStr"/>
      <c r="F109" s="20" t="inlineStr"/>
      <c r="G109" s="21" t="inlineStr"/>
      <c r="H109" s="20" t="inlineStr"/>
      <c r="I109" s="22" t="inlineStr"/>
      <c r="J109" s="22" t="inlineStr"/>
      <c r="K109" s="22" t="inlineStr"/>
      <c r="L109" s="22" t="inlineStr"/>
      <c r="M109" s="22" t="inlineStr"/>
      <c r="N109" s="22" t="inlineStr"/>
      <c r="O109" s="22" t="inlineStr"/>
      <c r="P109" s="22" t="inlineStr"/>
      <c r="Q109" s="22" t="inlineStr"/>
      <c r="R109" s="22" t="inlineStr"/>
      <c r="S109" s="22" t="inlineStr"/>
      <c r="T109" s="22" t="inlineStr">
        <is>
          <t>no named contact found; NO ROUTE IN: no phone or email on file</t>
        </is>
      </c>
      <c r="U109" s="24" t="n">
        <v>1849550.98</v>
      </c>
      <c r="V109" s="25" t="inlineStr">
        <is>
          <t>B</t>
        </is>
      </c>
      <c r="W109" s="26" t="inlineStr"/>
      <c r="X109" s="27" t="inlineStr"/>
      <c r="Y109" s="27" t="inlineStr"/>
      <c r="Z109" s="26">
        <f>IF(W109&lt;&gt;"",W109,IFERROR(VLOOKUP(V109,Assumptions!$A$8:$F$12,2,FALSE),0))*Assumptions!$B$5</f>
        <v/>
      </c>
      <c r="AA109" s="28">
        <f>IF(V109="A",MAX(1,IF(X109&lt;&gt;"",X109,IFERROR(VLOOKUP(V109,Assumptions!$A$8:$F$12,3,FALSE),3))+IF(Y109&lt;&gt;"",Y109,IFERROR(VLOOKUP(V109,Assumptions!$A$8:$F$12,4,FALSE),8))/2-MAX(0,IF(AS109="",0,YEAR(TODAY())-AS109)-IFERROR(VLOOKUP(V109,Assumptions!$A$8:$F$12,5,FALSE),1.5))),IFERROR(VLOOKUP(V109,Assumptions!$A$8:$F$12,5,FALSE),2.5)+IF(X109&lt;&gt;"",X109,IFERROR(VLOOKUP(V109,Assumptions!$A$8:$F$12,3,FALSE),3))+IF(Y109&lt;&gt;"",Y109,IFERROR(VLOOKUP(V109,Assumptions!$A$8:$F$12,4,FALSE),8))/2)</f>
        <v/>
      </c>
      <c r="AB109" s="24">
        <f>U109*Z109/(1+Assumptions!$B$3)^AA109</f>
        <v/>
      </c>
      <c r="AC109" s="27">
        <f>IF(U109=0,"",ROUND(AB109/U109*100,1))</f>
        <v/>
      </c>
      <c r="AD109" s="29">
        <f>AB109*Assumptions!$B$4</f>
        <v/>
      </c>
      <c r="AE109" s="27">
        <f>IF(U109=0,"",ROUND(AD109/U109*100,1))</f>
        <v/>
      </c>
      <c r="AF109" s="29">
        <f>AB109-AD109</f>
        <v/>
      </c>
      <c r="AG109" s="27">
        <f>IF(U109=0,"",ROUND((AB109-AD109)/U109*100,1))</f>
        <v/>
      </c>
      <c r="AH109" s="30" t="inlineStr">
        <is>
          <t>OK — totals reconciled</t>
        </is>
      </c>
      <c r="AI109" s="31" t="inlineStr">
        <is>
          <t>https://lrflideres.com.br/wp-content/plugins/download-attachments/includes/download.php?id=6879</t>
        </is>
      </c>
      <c r="AJ109" s="30" t="inlineStr">
        <is>
          <t>p2 r12</t>
        </is>
      </c>
      <c r="AK109" s="30" t="inlineStr">
        <is>
          <t>p2: R$ 1.849.550,98</t>
        </is>
      </c>
      <c r="AL109" s="30" t="inlineStr">
        <is>
          <t>AJ list (art. 7 §2)</t>
        </is>
      </c>
      <c r="AM109" s="30" t="inlineStr">
        <is>
          <t>2026-01-15</t>
        </is>
      </c>
      <c r="AN109" s="30" t="inlineStr">
        <is>
          <t>NONE FOUND</t>
        </is>
      </c>
      <c r="AO109" s="32" t="inlineStr">
        <is>
          <t>0804401-51.2025.8.14.0039</t>
        </is>
      </c>
      <c r="AP109" s="32" t="inlineStr">
        <is>
          <t>TJPA</t>
        </is>
      </c>
      <c r="AQ109" s="32" t="inlineStr">
        <is>
          <t>Recuperação judicial</t>
        </is>
      </c>
      <c r="AR109" s="32" t="inlineStr">
        <is>
          <t>DataJud: no closure/falência movement</t>
        </is>
      </c>
      <c r="AS109" s="32" t="n">
        <v>2025</v>
      </c>
      <c r="AT109" s="32" t="inlineStr">
        <is>
          <t>live case, no plan document yet</t>
        </is>
      </c>
      <c r="AU109" s="32" t="inlineStr"/>
      <c r="AV109" s="32" t="inlineStr">
        <is>
          <t>printed on the list (read twice)</t>
        </is>
      </c>
      <c r="AW109" s="32" t="inlineStr"/>
      <c r="AX109" s="32" t="inlineStr"/>
      <c r="AY109" s="32" t="inlineStr"/>
      <c r="AZ109" s="32" t="inlineStr"/>
      <c r="BA109" s="32" t="inlineStr"/>
      <c r="BB109" s="33" t="inlineStr"/>
      <c r="BC109" s="32" t="inlineStr">
        <is>
          <t>UNKNOWN</t>
        </is>
      </c>
      <c r="BD109" s="32" t="inlineStr">
        <is>
          <t>25382606</t>
        </is>
      </c>
      <c r="BE109" s="32" t="n">
        <v>1</v>
      </c>
      <c r="BF109" s="32" t="inlineStr">
        <is>
          <t>financial by name no RFB record no route in</t>
        </is>
      </c>
    </row>
    <row r="110">
      <c r="A110" s="17" t="inlineStr">
        <is>
          <t>RED FIDC</t>
        </is>
      </c>
      <c r="B110" s="18" t="n">
        <v>1841469.99</v>
      </c>
      <c r="C110" s="19" t="inlineStr">
        <is>
          <t>Grupo Conduscabos</t>
        </is>
      </c>
      <c r="D110" s="20" t="inlineStr">
        <is>
          <t>NEW</t>
        </is>
      </c>
      <c r="E110" s="21" t="inlineStr"/>
      <c r="F110" s="20" t="inlineStr"/>
      <c r="G110" s="21" t="inlineStr"/>
      <c r="H110" s="20" t="inlineStr"/>
      <c r="I110" s="22" t="inlineStr">
        <is>
          <t>Camila Benedett</t>
        </is>
      </c>
      <c r="J110" s="22" t="inlineStr">
        <is>
          <t>Especialista Jurídico - Contratos | Imobiliário | FIDC</t>
        </is>
      </c>
      <c r="K110" s="22" t="inlineStr"/>
      <c r="L110" s="22" t="inlineStr"/>
      <c r="M110" s="22" t="inlineStr"/>
      <c r="N110" s="22" t="inlineStr">
        <is>
          <t>camila.benedett@redasset.com.br</t>
        </is>
      </c>
      <c r="O110" s="22" t="inlineStr">
        <is>
          <t>extrapolated</t>
        </is>
      </c>
      <c r="P110" s="22" t="inlineStr"/>
      <c r="Q110" s="22" t="inlineStr"/>
      <c r="R110" s="22" t="inlineStr"/>
      <c r="S110" s="22" t="inlineStr"/>
      <c r="T110" s="22" t="inlineStr">
        <is>
          <t>DM is not a finance role (Especialista Jurídico - Contra); DM: DM extrapolated email; VERIFY org: RED Asset (gestora of RED FIDC?)</t>
        </is>
      </c>
      <c r="U110" s="24" t="n">
        <v>1841469.99</v>
      </c>
      <c r="V110" s="25" t="inlineStr">
        <is>
          <t>B</t>
        </is>
      </c>
      <c r="W110" s="26" t="inlineStr"/>
      <c r="X110" s="27" t="inlineStr"/>
      <c r="Y110" s="27" t="inlineStr"/>
      <c r="Z110" s="26">
        <f>IF(W110&lt;&gt;"",W110,IFERROR(VLOOKUP(V110,Assumptions!$A$8:$F$12,2,FALSE),0))*Assumptions!$B$5</f>
        <v/>
      </c>
      <c r="AA110" s="28">
        <f>IF(V110="A",MAX(1,IF(X110&lt;&gt;"",X110,IFERROR(VLOOKUP(V110,Assumptions!$A$8:$F$12,3,FALSE),3))+IF(Y110&lt;&gt;"",Y110,IFERROR(VLOOKUP(V110,Assumptions!$A$8:$F$12,4,FALSE),8))/2-MAX(0,IF(AS110="",0,YEAR(TODAY())-AS110)-IFERROR(VLOOKUP(V110,Assumptions!$A$8:$F$12,5,FALSE),1.5))),IFERROR(VLOOKUP(V110,Assumptions!$A$8:$F$12,5,FALSE),2.5)+IF(X110&lt;&gt;"",X110,IFERROR(VLOOKUP(V110,Assumptions!$A$8:$F$12,3,FALSE),3))+IF(Y110&lt;&gt;"",Y110,IFERROR(VLOOKUP(V110,Assumptions!$A$8:$F$12,4,FALSE),8))/2)</f>
        <v/>
      </c>
      <c r="AB110" s="24">
        <f>U110*Z110/(1+Assumptions!$B$3)^AA110</f>
        <v/>
      </c>
      <c r="AC110" s="27">
        <f>IF(U110=0,"",ROUND(AB110/U110*100,1))</f>
        <v/>
      </c>
      <c r="AD110" s="29">
        <f>AB110*Assumptions!$B$4</f>
        <v/>
      </c>
      <c r="AE110" s="27">
        <f>IF(U110=0,"",ROUND(AD110/U110*100,1))</f>
        <v/>
      </c>
      <c r="AF110" s="29">
        <f>AB110-AD110</f>
        <v/>
      </c>
      <c r="AG110" s="27">
        <f>IF(U110=0,"",ROUND((AB110-AD110)/U110*100,1))</f>
        <v/>
      </c>
      <c r="AH110" s="34" t="inlineStr">
        <is>
          <t>NO TOTALS — list prints none; check page</t>
        </is>
      </c>
      <c r="AI110" s="31" t="inlineStr">
        <is>
          <t>https://assistjud.com.br/wp-content/uploads/elementor/forms/65098c80a5824.pdf</t>
        </is>
      </c>
      <c r="AJ110" s="30" t="inlineStr">
        <is>
          <t>p9 r10; p19 r5</t>
        </is>
      </c>
      <c r="AK110" s="30" t="inlineStr">
        <is>
          <t>p9: R$ 1.565.337,07; p19: R$ 276.132,92</t>
        </is>
      </c>
      <c r="AL110" s="30" t="inlineStr">
        <is>
          <t>AJ list (art. 7 §2)</t>
        </is>
      </c>
      <c r="AM110" s="30" t="inlineStr">
        <is>
          <t>2023-09-18</t>
        </is>
      </c>
      <c r="AN110" s="30" t="inlineStr">
        <is>
          <t>NONE FOUND</t>
        </is>
      </c>
      <c r="AO110" s="32" t="inlineStr">
        <is>
          <t>8005129-09.2023.8.05.0039</t>
        </is>
      </c>
      <c r="AP110" s="32" t="inlineStr">
        <is>
          <t>TJBA</t>
        </is>
      </c>
      <c r="AQ110" s="32" t="inlineStr">
        <is>
          <t>Recuperação judicial</t>
        </is>
      </c>
      <c r="AR110" s="32" t="inlineStr">
        <is>
          <t>DataJud: no closure/falência movement</t>
        </is>
      </c>
      <c r="AS110" s="32" t="n">
        <v>2023</v>
      </c>
      <c r="AT110" s="32" t="inlineStr">
        <is>
          <t>live case, no plan document yet</t>
        </is>
      </c>
      <c r="AU110" s="32" t="inlineStr"/>
      <c r="AV110" s="32" t="inlineStr">
        <is>
          <t>printed on the list (read twice)</t>
        </is>
      </c>
      <c r="AW110" s="32" t="inlineStr"/>
      <c r="AX110" s="32" t="inlineStr"/>
      <c r="AY110" s="32" t="inlineStr"/>
      <c r="AZ110" s="32" t="inlineStr"/>
      <c r="BA110" s="32" t="inlineStr"/>
      <c r="BB110" s="33" t="inlineStr"/>
      <c r="BC110" s="32" t="inlineStr">
        <is>
          <t>UNKNOWN</t>
        </is>
      </c>
      <c r="BD110" s="32" t="inlineStr">
        <is>
          <t>08632394</t>
        </is>
      </c>
      <c r="BE110" s="32" t="n">
        <v>2</v>
      </c>
      <c r="BF110" s="32" t="inlineStr">
        <is>
          <t>financial by name list prints no totals no RFB record</t>
        </is>
      </c>
    </row>
    <row r="111">
      <c r="A111" s="17" t="inlineStr">
        <is>
          <t>OPHIR FUNDO DE INVESTIMENTO EM DIREITOS CREDITORIOS</t>
        </is>
      </c>
      <c r="B111" s="18" t="n">
        <v>1832792.2</v>
      </c>
      <c r="C111" s="19" t="inlineStr">
        <is>
          <t>Grupo Agromeal</t>
        </is>
      </c>
      <c r="D111" s="20" t="inlineStr">
        <is>
          <t>NEW</t>
        </is>
      </c>
      <c r="E111" s="21" t="inlineStr"/>
      <c r="F111" s="20" t="inlineStr"/>
      <c r="G111" s="21" t="inlineStr"/>
      <c r="H111" s="20" t="inlineStr"/>
      <c r="I111" s="22" t="inlineStr"/>
      <c r="J111" s="22" t="inlineStr"/>
      <c r="K111" s="22" t="inlineStr">
        <is>
          <t>(11) 2827-3500</t>
        </is>
      </c>
      <c r="L111" s="22" t="inlineStr"/>
      <c r="M111" s="22" t="inlineStr"/>
      <c r="N111" s="22" t="inlineStr"/>
      <c r="O111" s="22" t="inlineStr"/>
      <c r="P111" s="22" t="inlineStr"/>
      <c r="Q111" s="22" t="inlineStr"/>
      <c r="R111" s="22" t="inlineStr"/>
      <c r="S111" s="22" t="inlineStr"/>
      <c r="T111" s="22" t="inlineStr">
        <is>
          <t>no named contact found</t>
        </is>
      </c>
      <c r="U111" s="24" t="n">
        <v>1832792.2</v>
      </c>
      <c r="V111" s="25" t="inlineStr">
        <is>
          <t>B</t>
        </is>
      </c>
      <c r="W111" s="26" t="inlineStr"/>
      <c r="X111" s="27" t="inlineStr"/>
      <c r="Y111" s="27" t="inlineStr"/>
      <c r="Z111" s="26">
        <f>IF(W111&lt;&gt;"",W111,IFERROR(VLOOKUP(V111,Assumptions!$A$8:$F$12,2,FALSE),0))*Assumptions!$B$5</f>
        <v/>
      </c>
      <c r="AA111" s="28">
        <f>IF(V111="A",MAX(1,IF(X111&lt;&gt;"",X111,IFERROR(VLOOKUP(V111,Assumptions!$A$8:$F$12,3,FALSE),3))+IF(Y111&lt;&gt;"",Y111,IFERROR(VLOOKUP(V111,Assumptions!$A$8:$F$12,4,FALSE),8))/2-MAX(0,IF(AS111="",0,YEAR(TODAY())-AS111)-IFERROR(VLOOKUP(V111,Assumptions!$A$8:$F$12,5,FALSE),1.5))),IFERROR(VLOOKUP(V111,Assumptions!$A$8:$F$12,5,FALSE),2.5)+IF(X111&lt;&gt;"",X111,IFERROR(VLOOKUP(V111,Assumptions!$A$8:$F$12,3,FALSE),3))+IF(Y111&lt;&gt;"",Y111,IFERROR(VLOOKUP(V111,Assumptions!$A$8:$F$12,4,FALSE),8))/2)</f>
        <v/>
      </c>
      <c r="AB111" s="24">
        <f>U111*Z111/(1+Assumptions!$B$3)^AA111</f>
        <v/>
      </c>
      <c r="AC111" s="27">
        <f>IF(U111=0,"",ROUND(AB111/U111*100,1))</f>
        <v/>
      </c>
      <c r="AD111" s="29">
        <f>AB111*Assumptions!$B$4</f>
        <v/>
      </c>
      <c r="AE111" s="27">
        <f>IF(U111=0,"",ROUND(AD111/U111*100,1))</f>
        <v/>
      </c>
      <c r="AF111" s="29">
        <f>AB111-AD111</f>
        <v/>
      </c>
      <c r="AG111" s="27">
        <f>IF(U111=0,"",ROUND((AB111-AD111)/U111*100,1))</f>
        <v/>
      </c>
      <c r="AH111" s="35" t="inlineStr">
        <is>
          <t>PARTIAL — class III reconciled, other classes not</t>
        </is>
      </c>
      <c r="AI111" s="31" t="inlineStr">
        <is>
          <t>https://marquesadmjudicial.com.br/sgc/download.php?file=files/processo_documento/processo_documento17040729052024_1_.pdf&amp;nome=Relação Nominal de Credores AJ-Sintética</t>
        </is>
      </c>
      <c r="AJ111" s="30" t="inlineStr">
        <is>
          <t>p12 r11</t>
        </is>
      </c>
      <c r="AK111" s="30" t="inlineStr">
        <is>
          <t>p12: R$ 1.832.792,20</t>
        </is>
      </c>
      <c r="AL111" s="30" t="inlineStr">
        <is>
          <t>AJ list (art. 7 §2)</t>
        </is>
      </c>
      <c r="AM111" s="30" t="inlineStr">
        <is>
          <t>2024-05-27</t>
        </is>
      </c>
      <c r="AN111" s="30" t="inlineStr">
        <is>
          <t>NONE FOUND</t>
        </is>
      </c>
      <c r="AO111" s="32" t="inlineStr">
        <is>
          <t>0003971-03.2023.8.16.0119</t>
        </is>
      </c>
      <c r="AP111" s="32" t="inlineStr">
        <is>
          <t>TJPR</t>
        </is>
      </c>
      <c r="AQ111" s="32" t="inlineStr">
        <is>
          <t>Recuperação judicial</t>
        </is>
      </c>
      <c r="AR111" s="32" t="inlineStr">
        <is>
          <t>DataJud: no closure/falência movement</t>
        </is>
      </c>
      <c r="AS111" s="32" t="n">
        <v>2023</v>
      </c>
      <c r="AT111" s="32" t="inlineStr">
        <is>
          <t>live case, no plan document yet</t>
        </is>
      </c>
      <c r="AU111" s="32" t="inlineStr">
        <is>
          <t>11.624.776/0001-07</t>
        </is>
      </c>
      <c r="AV111" s="32" t="inlineStr">
        <is>
          <t>printed on the list (read twice)</t>
        </is>
      </c>
      <c r="AW111" s="32" t="inlineStr"/>
      <c r="AX111" s="32" t="inlineStr">
        <is>
          <t>SAO PAULO</t>
        </is>
      </c>
      <c r="AY111" s="32" t="inlineStr">
        <is>
          <t>SP</t>
        </is>
      </c>
      <c r="AZ111" s="32" t="inlineStr">
        <is>
          <t>Fundos de investimento, exceto previdenciários e imobiliários</t>
        </is>
      </c>
      <c r="BA111" s="32" t="inlineStr">
        <is>
          <t>não ME/EPP</t>
        </is>
      </c>
      <c r="BB111" s="33" t="inlineStr"/>
      <c r="BC111" s="32" t="inlineStr">
        <is>
          <t>UNKNOWN</t>
        </is>
      </c>
      <c r="BD111" s="32" t="inlineStr">
        <is>
          <t>42605322</t>
        </is>
      </c>
      <c r="BE111" s="32" t="n">
        <v>1</v>
      </c>
      <c r="BF111" s="32" t="inlineStr">
        <is>
          <t>financial by name class III reconciled (doc partial)</t>
        </is>
      </c>
    </row>
    <row r="112">
      <c r="A112" s="17" t="inlineStr">
        <is>
          <t>Cooperativa de Crédito de Livre Admissão Centro Oeste Ltda - Sicoob Emprecred</t>
        </is>
      </c>
      <c r="B112" s="18" t="n">
        <v>7977879.63</v>
      </c>
      <c r="C112" s="19" t="inlineStr">
        <is>
          <t>GRUPO 3E</t>
        </is>
      </c>
      <c r="D112" s="20" t="inlineStr">
        <is>
          <t>NEW</t>
        </is>
      </c>
      <c r="E112" s="21" t="inlineStr"/>
      <c r="F112" s="20" t="inlineStr"/>
      <c r="G112" s="21" t="inlineStr"/>
      <c r="H112" s="20" t="inlineStr"/>
      <c r="I112" s="22" t="inlineStr">
        <is>
          <t>Larissa Godoy</t>
        </is>
      </c>
      <c r="J112" s="22" t="inlineStr">
        <is>
          <t>Coordenadora de Crédito e Cadastro</t>
        </is>
      </c>
      <c r="K112" s="22" t="inlineStr"/>
      <c r="L112" s="22" t="inlineStr"/>
      <c r="M112" s="22" t="inlineStr"/>
      <c r="N112" s="22" t="inlineStr">
        <is>
          <t>larissa.godoy@sicoobemprecred.com.br</t>
        </is>
      </c>
      <c r="O112" s="22" t="inlineStr">
        <is>
          <t>extrapolated</t>
        </is>
      </c>
      <c r="P112" s="22" t="inlineStr">
        <is>
          <t>Alice Nascimento</t>
        </is>
      </c>
      <c r="Q112" s="22" t="inlineStr">
        <is>
          <t>Assistente de Cobrança e Recuperação de Crédito</t>
        </is>
      </c>
      <c r="R112" s="22" t="inlineStr"/>
      <c r="S112" s="22" t="inlineStr">
        <is>
          <t>alice.nascimento@sicoobemprecred.com.br</t>
        </is>
      </c>
      <c r="T112" s="22" t="inlineStr">
        <is>
          <t>DM: DM extrapolated email; BACKUP: backup extrapolated email; backup email is pattern-guessed</t>
        </is>
      </c>
      <c r="U112" s="24" t="n">
        <v>7977879.63</v>
      </c>
      <c r="V112" s="25" t="inlineStr">
        <is>
          <t>B</t>
        </is>
      </c>
      <c r="W112" s="26" t="n">
        <v>0.12</v>
      </c>
      <c r="X112" s="27" t="n">
        <v>2</v>
      </c>
      <c r="Y112" s="27" t="n">
        <v>13</v>
      </c>
      <c r="Z112" s="26">
        <f>IF(W112&lt;&gt;"",W112,IFERROR(VLOOKUP(V112,Assumptions!$A$8:$F$12,2,FALSE),0))*Assumptions!$B$5</f>
        <v/>
      </c>
      <c r="AA112" s="28">
        <f>IF(V112="A",MAX(1,IF(X112&lt;&gt;"",X112,IFERROR(VLOOKUP(V112,Assumptions!$A$8:$F$12,3,FALSE),3))+IF(Y112&lt;&gt;"",Y112,IFERROR(VLOOKUP(V112,Assumptions!$A$8:$F$12,4,FALSE),8))/2-MAX(0,IF(AS112="",0,YEAR(TODAY())-AS112)-IFERROR(VLOOKUP(V112,Assumptions!$A$8:$F$12,5,FALSE),1.5))),IFERROR(VLOOKUP(V112,Assumptions!$A$8:$F$12,5,FALSE),2.5)+IF(X112&lt;&gt;"",X112,IFERROR(VLOOKUP(V112,Assumptions!$A$8:$F$12,3,FALSE),3))+IF(Y112&lt;&gt;"",Y112,IFERROR(VLOOKUP(V112,Assumptions!$A$8:$F$12,4,FALSE),8))/2)</f>
        <v/>
      </c>
      <c r="AB112" s="24">
        <f>U112*Z112/(1+Assumptions!$B$3)^AA112</f>
        <v/>
      </c>
      <c r="AC112" s="27">
        <f>IF(U112=0,"",ROUND(AB112/U112*100,1))</f>
        <v/>
      </c>
      <c r="AD112" s="29">
        <f>AB112*Assumptions!$B$4</f>
        <v/>
      </c>
      <c r="AE112" s="27">
        <f>IF(U112=0,"",ROUND(AD112/U112*100,1))</f>
        <v/>
      </c>
      <c r="AF112" s="29">
        <f>AB112-AD112</f>
        <v/>
      </c>
      <c r="AG112" s="27">
        <f>IF(U112=0,"",ROUND((AB112-AD112)/U112*100,1))</f>
        <v/>
      </c>
      <c r="AH112" s="34" t="inlineStr">
        <is>
          <t>NO TOTALS — list prints none; check page</t>
        </is>
      </c>
      <c r="AI112" s="31" t="inlineStr">
        <is>
          <t>https://stenius.com.br/wp-content/uploads/2026/06/EDITAL-GRUPO-3E.pdf</t>
        </is>
      </c>
      <c r="AJ112" s="30" t="inlineStr">
        <is>
          <t>p12 r7</t>
        </is>
      </c>
      <c r="AK112" s="30" t="inlineStr">
        <is>
          <t>p12: R$ 7.977.879,63</t>
        </is>
      </c>
      <c r="AL112" s="30" t="inlineStr">
        <is>
          <t>Debtor list (art. 51)</t>
        </is>
      </c>
      <c r="AM112" s="30" t="inlineStr">
        <is>
          <t>2026-06-22</t>
        </is>
      </c>
      <c r="AN112" s="30" t="inlineStr">
        <is>
          <t>PLAN FILED (art. 53), not granted</t>
        </is>
      </c>
      <c r="AO112" s="32" t="inlineStr">
        <is>
          <t>5341375-33.2026.8.09.0049</t>
        </is>
      </c>
      <c r="AP112" s="32" t="inlineStr">
        <is>
          <t>TJGO</t>
        </is>
      </c>
      <c r="AQ112" s="32" t="inlineStr">
        <is>
          <t>Recuperação judicial</t>
        </is>
      </c>
      <c r="AR112" s="32" t="inlineStr">
        <is>
          <t>DataJud: no closure/falência movement</t>
        </is>
      </c>
      <c r="AS112" s="32" t="n">
        <v>2026</v>
      </c>
      <c r="AT112" s="32" t="inlineStr">
        <is>
          <t>plan filed (art. 53), not yet granted</t>
        </is>
      </c>
      <c r="AU112" s="32" t="inlineStr"/>
      <c r="AV112" s="32" t="inlineStr">
        <is>
          <t>printed on the list (read twice)</t>
        </is>
      </c>
      <c r="AW112" s="32" t="inlineStr">
        <is>
          <t>Plano de Recuperação Judicial Grupo 3E v2.0 (Métis), mov. 321, pp.24-25</t>
        </is>
      </c>
      <c r="AX112" s="32" t="inlineStr"/>
      <c r="AY112" s="32" t="inlineStr"/>
      <c r="AZ112" s="32" t="inlineStr"/>
      <c r="BA112" s="32" t="inlineStr"/>
      <c r="BB112" s="33" t="inlineStr"/>
      <c r="BC112" s="32" t="inlineStr">
        <is>
          <t>UNKNOWN</t>
        </is>
      </c>
      <c r="BD112" s="32" t="inlineStr">
        <is>
          <t>07502031</t>
        </is>
      </c>
      <c r="BE112" s="32" t="n">
        <v>1</v>
      </c>
      <c r="BF112" s="32" t="inlineStr">
        <is>
          <t>financial by name list prints no totals no RFB record</t>
        </is>
      </c>
    </row>
    <row r="113">
      <c r="A113" s="17" t="inlineStr">
        <is>
          <t>VERTIS CAPITAL FUNDO DE INVESTIMENTO</t>
        </is>
      </c>
      <c r="B113" s="18" t="n">
        <v>1767950</v>
      </c>
      <c r="C113" s="19" t="inlineStr">
        <is>
          <t>GRUPO GLP</t>
        </is>
      </c>
      <c r="D113" s="20" t="inlineStr">
        <is>
          <t>NEW</t>
        </is>
      </c>
      <c r="E113" s="21" t="inlineStr"/>
      <c r="F113" s="20" t="inlineStr"/>
      <c r="G113" s="21" t="inlineStr"/>
      <c r="H113" s="20" t="inlineStr"/>
      <c r="I113" s="22" t="inlineStr">
        <is>
          <t>Adriano Damasceno</t>
        </is>
      </c>
      <c r="J113" s="22" t="inlineStr">
        <is>
          <t>Sócio Fundador e Diretor</t>
        </is>
      </c>
      <c r="K113" s="22" t="inlineStr"/>
      <c r="L113" s="22" t="inlineStr"/>
      <c r="M113" s="22" t="inlineStr"/>
      <c r="N113" s="22" t="inlineStr"/>
      <c r="O113" s="22" t="inlineStr"/>
      <c r="P113" s="22" t="inlineStr">
        <is>
          <t>Felipe Abreu</t>
        </is>
      </c>
      <c r="Q113" s="22" t="inlineStr">
        <is>
          <t>Analista de Crédito e Risco</t>
        </is>
      </c>
      <c r="R113" s="22" t="inlineStr"/>
      <c r="S113" s="22" t="inlineStr">
        <is>
          <t>felipe.abreu@vertiscap.com</t>
        </is>
      </c>
      <c r="T113" s="22" t="inlineStr">
        <is>
          <t>DM: DM email unavailable; no work email in Apollo for DM; BACKUP: backup extrapolated email; backup email is pattern-guessed</t>
        </is>
      </c>
      <c r="U113" s="24" t="n">
        <v>1767950</v>
      </c>
      <c r="V113" s="25" t="inlineStr">
        <is>
          <t>B</t>
        </is>
      </c>
      <c r="W113" s="26" t="inlineStr"/>
      <c r="X113" s="27" t="inlineStr"/>
      <c r="Y113" s="27" t="inlineStr"/>
      <c r="Z113" s="26">
        <f>IF(W113&lt;&gt;"",W113,IFERROR(VLOOKUP(V113,Assumptions!$A$8:$F$12,2,FALSE),0))*Assumptions!$B$5</f>
        <v/>
      </c>
      <c r="AA113" s="28">
        <f>IF(V113="A",MAX(1,IF(X113&lt;&gt;"",X113,IFERROR(VLOOKUP(V113,Assumptions!$A$8:$F$12,3,FALSE),3))+IF(Y113&lt;&gt;"",Y113,IFERROR(VLOOKUP(V113,Assumptions!$A$8:$F$12,4,FALSE),8))/2-MAX(0,IF(AS113="",0,YEAR(TODAY())-AS113)-IFERROR(VLOOKUP(V113,Assumptions!$A$8:$F$12,5,FALSE),1.5))),IFERROR(VLOOKUP(V113,Assumptions!$A$8:$F$12,5,FALSE),2.5)+IF(X113&lt;&gt;"",X113,IFERROR(VLOOKUP(V113,Assumptions!$A$8:$F$12,3,FALSE),3))+IF(Y113&lt;&gt;"",Y113,IFERROR(VLOOKUP(V113,Assumptions!$A$8:$F$12,4,FALSE),8))/2)</f>
        <v/>
      </c>
      <c r="AB113" s="24">
        <f>U113*Z113/(1+Assumptions!$B$3)^AA113</f>
        <v/>
      </c>
      <c r="AC113" s="27">
        <f>IF(U113=0,"",ROUND(AB113/U113*100,1))</f>
        <v/>
      </c>
      <c r="AD113" s="29">
        <f>AB113*Assumptions!$B$4</f>
        <v/>
      </c>
      <c r="AE113" s="27">
        <f>IF(U113=0,"",ROUND(AD113/U113*100,1))</f>
        <v/>
      </c>
      <c r="AF113" s="29">
        <f>AB113-AD113</f>
        <v/>
      </c>
      <c r="AG113" s="27">
        <f>IF(U113=0,"",ROUND((AB113-AD113)/U113*100,1))</f>
        <v/>
      </c>
      <c r="AH113" s="30" t="inlineStr">
        <is>
          <t>OK — totals reconciled</t>
        </is>
      </c>
      <c r="AI113" s="31" t="inlineStr">
        <is>
          <t>https://recuperasolucoes.com/wp-content/plugins/download-attachments/includes/download.php?id=1597</t>
        </is>
      </c>
      <c r="AJ113" s="30" t="inlineStr">
        <is>
          <t>p13 r23</t>
        </is>
      </c>
      <c r="AK113" s="30" t="inlineStr">
        <is>
          <t>p13: R$ 1.767.950,00</t>
        </is>
      </c>
      <c r="AL113" s="30" t="inlineStr">
        <is>
          <t>Debtor list (art. 51)</t>
        </is>
      </c>
      <c r="AM113" s="30" t="inlineStr">
        <is>
          <t>2026-05-21</t>
        </is>
      </c>
      <c r="AN113" s="30" t="inlineStr">
        <is>
          <t>NONE FOUND</t>
        </is>
      </c>
      <c r="AO113" s="32" t="inlineStr">
        <is>
          <t>0001639-09.2026.8.17.2810</t>
        </is>
      </c>
      <c r="AP113" s="32" t="inlineStr">
        <is>
          <t>TJPE</t>
        </is>
      </c>
      <c r="AQ113" s="32" t="inlineStr">
        <is>
          <t>Recuperação judicial</t>
        </is>
      </c>
      <c r="AR113" s="32" t="inlineStr">
        <is>
          <t>DataJud: no closure/falência movement</t>
        </is>
      </c>
      <c r="AS113" s="32" t="n">
        <v>2026</v>
      </c>
      <c r="AT113" s="32" t="inlineStr">
        <is>
          <t>live case, no plan document yet</t>
        </is>
      </c>
      <c r="AU113" s="32" t="inlineStr"/>
      <c r="AV113" s="32" t="inlineStr">
        <is>
          <t>printed on the list (read twice)</t>
        </is>
      </c>
      <c r="AW113" s="32" t="inlineStr"/>
      <c r="AX113" s="32" t="inlineStr"/>
      <c r="AY113" s="32" t="inlineStr"/>
      <c r="AZ113" s="32" t="inlineStr"/>
      <c r="BA113" s="32" t="inlineStr"/>
      <c r="BB113" s="33" t="inlineStr"/>
      <c r="BC113" s="32" t="inlineStr">
        <is>
          <t>UNKNOWN</t>
        </is>
      </c>
      <c r="BD113" s="32" t="inlineStr">
        <is>
          <t>57691429</t>
        </is>
      </c>
      <c r="BE113" s="32" t="n">
        <v>1</v>
      </c>
      <c r="BF113" s="32" t="inlineStr">
        <is>
          <t>financial by name no RFB record</t>
        </is>
      </c>
    </row>
    <row r="114">
      <c r="A114" s="17" t="inlineStr">
        <is>
          <t>ITAU UNIBANCO S.A.</t>
        </is>
      </c>
      <c r="B114" s="18" t="n">
        <v>6832295.57</v>
      </c>
      <c r="C114" s="19" t="inlineStr">
        <is>
          <t>FORMAPLAN FORMAS PLANEJADAS INDÚSTRIA E COMÉRCIO LTDA</t>
        </is>
      </c>
      <c r="D114" s="20" t="inlineStr">
        <is>
          <t>NEW</t>
        </is>
      </c>
      <c r="E114" s="21" t="inlineStr"/>
      <c r="F114" s="20" t="inlineStr"/>
      <c r="G114" s="21" t="inlineStr"/>
      <c r="H114" s="20" t="inlineStr"/>
      <c r="I114" s="22" t="inlineStr">
        <is>
          <t>Murilo Gigliucci</t>
        </is>
      </c>
      <c r="J114" s="22" t="inlineStr">
        <is>
          <t>Superintendente de Reestruturação de Crédito</t>
        </is>
      </c>
      <c r="K114" s="22" t="inlineStr">
        <is>
          <t>(11) 3003-4828</t>
        </is>
      </c>
      <c r="L114" s="22" t="inlineStr"/>
      <c r="M114" s="22" t="inlineStr"/>
      <c r="N114" s="22" t="inlineStr">
        <is>
          <t>murilo.gigliucci@itau-unibanco.com.br</t>
        </is>
      </c>
      <c r="O114" s="22" t="inlineStr">
        <is>
          <t>verified</t>
        </is>
      </c>
      <c r="P114" s="22" t="inlineStr">
        <is>
          <t>Pedro Ornellas</t>
        </is>
      </c>
      <c r="Q114" s="22" t="inlineStr">
        <is>
          <t>Superintendente de Recuperação de Crédito</t>
        </is>
      </c>
      <c r="R114" s="22" t="inlineStr"/>
      <c r="S114" s="22" t="inlineStr">
        <is>
          <t>pedro.ornellas-geronimo@itau-unibanco.com.br</t>
        </is>
      </c>
      <c r="T114" s="22" t="inlineStr">
        <is>
          <t>DM: DM verified email; BACKUP: backup verified email</t>
        </is>
      </c>
      <c r="U114" s="24" t="n">
        <v>6832295.57</v>
      </c>
      <c r="V114" s="39" t="inlineStr">
        <is>
          <t>C</t>
        </is>
      </c>
      <c r="W114" s="26" t="inlineStr"/>
      <c r="X114" s="27" t="inlineStr"/>
      <c r="Y114" s="27" t="inlineStr"/>
      <c r="Z114" s="26">
        <f>IF(W114&lt;&gt;"",W114,IFERROR(VLOOKUP(V114,Assumptions!$A$8:$F$12,2,FALSE),0))*Assumptions!$B$5</f>
        <v/>
      </c>
      <c r="AA114" s="28">
        <f>IF(V114="A",MAX(1,IF(X114&lt;&gt;"",X114,IFERROR(VLOOKUP(V114,Assumptions!$A$8:$F$12,3,FALSE),3))+IF(Y114&lt;&gt;"",Y114,IFERROR(VLOOKUP(V114,Assumptions!$A$8:$F$12,4,FALSE),8))/2-MAX(0,IF(AS114="",0,YEAR(TODAY())-AS114)-IFERROR(VLOOKUP(V114,Assumptions!$A$8:$F$12,5,FALSE),1.5))),IFERROR(VLOOKUP(V114,Assumptions!$A$8:$F$12,5,FALSE),2.5)+IF(X114&lt;&gt;"",X114,IFERROR(VLOOKUP(V114,Assumptions!$A$8:$F$12,3,FALSE),3))+IF(Y114&lt;&gt;"",Y114,IFERROR(VLOOKUP(V114,Assumptions!$A$8:$F$12,4,FALSE),8))/2)</f>
        <v/>
      </c>
      <c r="AB114" s="24">
        <f>U114*Z114/(1+Assumptions!$B$3)^AA114</f>
        <v/>
      </c>
      <c r="AC114" s="27">
        <f>IF(U114=0,"",ROUND(AB114/U114*100,1))</f>
        <v/>
      </c>
      <c r="AD114" s="29">
        <f>AB114*Assumptions!$B$4</f>
        <v/>
      </c>
      <c r="AE114" s="27">
        <f>IF(U114=0,"",ROUND(AD114/U114*100,1))</f>
        <v/>
      </c>
      <c r="AF114" s="29">
        <f>AB114-AD114</f>
        <v/>
      </c>
      <c r="AG114" s="27">
        <f>IF(U114=0,"",ROUND((AB114-AD114)/U114*100,1))</f>
        <v/>
      </c>
      <c r="AH114" s="35" t="inlineStr">
        <is>
          <t>PARTIAL — class III reconciled, other classes not</t>
        </is>
      </c>
      <c r="AI114" s="31" t="inlineStr">
        <is>
          <t>https://marquesadmjudicial.com.br/sgc/download.php?file=files/processo_documento/processo_documento15232121112024_1_.pdf&amp;nome=Relação de Credores</t>
        </is>
      </c>
      <c r="AJ114" s="30" t="inlineStr">
        <is>
          <t>p14 r16</t>
        </is>
      </c>
      <c r="AK114" s="30" t="inlineStr">
        <is>
          <t>p14: R$ 6.832.295,57</t>
        </is>
      </c>
      <c r="AL114" s="30" t="inlineStr">
        <is>
          <t>AJ list (art. 7 §2)</t>
        </is>
      </c>
      <c r="AM114" s="30" t="inlineStr">
        <is>
          <t>2021-01-22</t>
        </is>
      </c>
      <c r="AN114" s="30" t="inlineStr">
        <is>
          <t>NONE FOUND</t>
        </is>
      </c>
      <c r="AO114" s="32" t="inlineStr">
        <is>
          <t>0000410-68.2021.8.16.0174</t>
        </is>
      </c>
      <c r="AP114" s="32" t="inlineStr">
        <is>
          <t>TJPR</t>
        </is>
      </c>
      <c r="AQ114" s="32" t="inlineStr">
        <is>
          <t>Recuperação judicial</t>
        </is>
      </c>
      <c r="AR114" s="32" t="inlineStr">
        <is>
          <t>DataJud: no closure/falência movement</t>
        </is>
      </c>
      <c r="AS114" s="32" t="n">
        <v>2021</v>
      </c>
      <c r="AT114" s="32" t="inlineStr">
        <is>
          <t>5y since filing; plan not in our documents</t>
        </is>
      </c>
      <c r="AU114" s="32" t="inlineStr">
        <is>
          <t>00.262.371/0001-41</t>
        </is>
      </c>
      <c r="AV114" s="32" t="inlineStr">
        <is>
          <t>printed on the list (read twice)</t>
        </is>
      </c>
      <c r="AW114" s="32" t="inlineStr"/>
      <c r="AX114" s="32" t="inlineStr">
        <is>
          <t>SAO PAULO</t>
        </is>
      </c>
      <c r="AY114" s="32" t="inlineStr">
        <is>
          <t>SP</t>
        </is>
      </c>
      <c r="AZ114" s="32" t="inlineStr">
        <is>
          <t>Bancos comerciais</t>
        </is>
      </c>
      <c r="BA114" s="32" t="inlineStr">
        <is>
          <t>não ME/EPP</t>
        </is>
      </c>
      <c r="BB114" s="33" t="n">
        <v>76200000000</v>
      </c>
      <c r="BC114" s="32" t="inlineStr">
        <is>
          <t>LARGE CORP</t>
        </is>
      </c>
      <c r="BD114" s="32" t="inlineStr">
        <is>
          <t>60701190</t>
        </is>
      </c>
      <c r="BE114" s="32" t="n">
        <v>1</v>
      </c>
      <c r="BF114" s="32" t="inlineStr">
        <is>
          <t>financial by name class III reconciled (doc partial)</t>
        </is>
      </c>
    </row>
    <row r="115">
      <c r="A115" s="17" t="inlineStr">
        <is>
          <t>ITAU UNIBANCO S.A.</t>
        </is>
      </c>
      <c r="B115" s="18" t="n">
        <v>3279415.79</v>
      </c>
      <c r="C115" s="37" t="inlineStr">
        <is>
          <t>(debtor not identified — see proof)</t>
        </is>
      </c>
      <c r="D115" s="20" t="inlineStr">
        <is>
          <t>NEW</t>
        </is>
      </c>
      <c r="E115" s="21" t="inlineStr"/>
      <c r="F115" s="20" t="inlineStr"/>
      <c r="G115" s="21" t="inlineStr"/>
      <c r="H115" s="20" t="inlineStr"/>
      <c r="I115" s="22" t="inlineStr">
        <is>
          <t>Murilo Gigliucci</t>
        </is>
      </c>
      <c r="J115" s="22" t="inlineStr">
        <is>
          <t>Superintendente de Reestruturação de Crédito</t>
        </is>
      </c>
      <c r="K115" s="22" t="inlineStr">
        <is>
          <t>(11) 3003-4828</t>
        </is>
      </c>
      <c r="L115" s="22" t="inlineStr"/>
      <c r="M115" s="22" t="inlineStr"/>
      <c r="N115" s="22" t="inlineStr">
        <is>
          <t>murilo.gigliucci@itau-unibanco.com.br</t>
        </is>
      </c>
      <c r="O115" s="22" t="inlineStr">
        <is>
          <t>verified</t>
        </is>
      </c>
      <c r="P115" s="22" t="inlineStr">
        <is>
          <t>Pedro Ornellas</t>
        </is>
      </c>
      <c r="Q115" s="22" t="inlineStr">
        <is>
          <t>Superintendente de Recuperação de Crédito</t>
        </is>
      </c>
      <c r="R115" s="22" t="inlineStr"/>
      <c r="S115" s="22" t="inlineStr">
        <is>
          <t>pedro.ornellas-geronimo@itau-unibanco.com.br</t>
        </is>
      </c>
      <c r="T115" s="22" t="inlineStr">
        <is>
          <t>DM: DM verified email; BACKUP: backup verified email</t>
        </is>
      </c>
      <c r="U115" s="24" t="n">
        <v>3279415.79</v>
      </c>
      <c r="V115" s="38" t="inlineStr">
        <is>
          <t>U</t>
        </is>
      </c>
      <c r="W115" s="26" t="inlineStr"/>
      <c r="X115" s="27" t="inlineStr"/>
      <c r="Y115" s="27" t="inlineStr"/>
      <c r="Z115" s="26">
        <f>IF(W115&lt;&gt;"",W115,IFERROR(VLOOKUP(V115,Assumptions!$A$8:$F$12,2,FALSE),0))*Assumptions!$B$5</f>
        <v/>
      </c>
      <c r="AA115" s="28">
        <f>IF(V115="A",MAX(1,IF(X115&lt;&gt;"",X115,IFERROR(VLOOKUP(V115,Assumptions!$A$8:$F$12,3,FALSE),3))+IF(Y115&lt;&gt;"",Y115,IFERROR(VLOOKUP(V115,Assumptions!$A$8:$F$12,4,FALSE),8))/2-MAX(0,IF(AS115="",0,YEAR(TODAY())-AS115)-IFERROR(VLOOKUP(V115,Assumptions!$A$8:$F$12,5,FALSE),1.5))),IFERROR(VLOOKUP(V115,Assumptions!$A$8:$F$12,5,FALSE),2.5)+IF(X115&lt;&gt;"",X115,IFERROR(VLOOKUP(V115,Assumptions!$A$8:$F$12,3,FALSE),3))+IF(Y115&lt;&gt;"",Y115,IFERROR(VLOOKUP(V115,Assumptions!$A$8:$F$12,4,FALSE),8))/2)</f>
        <v/>
      </c>
      <c r="AB115" s="24">
        <f>U115*Z115/(1+Assumptions!$B$3)^AA115</f>
        <v/>
      </c>
      <c r="AC115" s="27">
        <f>IF(U115=0,"",ROUND(AB115/U115*100,1))</f>
        <v/>
      </c>
      <c r="AD115" s="29">
        <f>AB115*Assumptions!$B$4</f>
        <v/>
      </c>
      <c r="AE115" s="27">
        <f>IF(U115=0,"",ROUND(AD115/U115*100,1))</f>
        <v/>
      </c>
      <c r="AF115" s="29">
        <f>AB115-AD115</f>
        <v/>
      </c>
      <c r="AG115" s="27">
        <f>IF(U115=0,"",ROUND((AB115-AD115)/U115*100,1))</f>
        <v/>
      </c>
      <c r="AH115" s="30" t="inlineStr">
        <is>
          <t>OK — totals reconciled</t>
        </is>
      </c>
      <c r="AI115" s="31" t="inlineStr">
        <is>
          <t>http://bernardobicalho.com.br/login/app/documents/Rela%C3%A7%C3%A3o%20de%20Credores/6.%20RVC-%20Nutricium%20-%20simplificada.pdf</t>
        </is>
      </c>
      <c r="AJ115" s="30" t="inlineStr">
        <is>
          <t>p3 r4</t>
        </is>
      </c>
      <c r="AK115" s="30" t="inlineStr">
        <is>
          <t>p3: R$ 3.279.415,79</t>
        </is>
      </c>
      <c r="AL115" s="30" t="inlineStr">
        <is>
          <t>AJ list (art. 7 §2)</t>
        </is>
      </c>
      <c r="AM115" s="30" t="inlineStr"/>
      <c r="AN115" s="30" t="inlineStr">
        <is>
          <t>NONE FOUND</t>
        </is>
      </c>
      <c r="AO115" s="32" t="inlineStr">
        <is>
          <t>(not printed)</t>
        </is>
      </c>
      <c r="AP115" s="32" t="inlineStr"/>
      <c r="AQ115" s="32" t="inlineStr"/>
      <c r="AR115" s="32" t="inlineStr"/>
      <c r="AS115" s="32" t="inlineStr"/>
      <c r="AT115" s="32" t="inlineStr">
        <is>
          <t>RJ case number not identified on the document</t>
        </is>
      </c>
      <c r="AU115" s="32" t="inlineStr"/>
      <c r="AV115" s="32" t="inlineStr">
        <is>
          <t>not identified</t>
        </is>
      </c>
      <c r="AW115" s="32" t="inlineStr"/>
      <c r="AX115" s="32" t="inlineStr">
        <is>
          <t>SAO PAULO</t>
        </is>
      </c>
      <c r="AY115" s="32" t="inlineStr">
        <is>
          <t>SP</t>
        </is>
      </c>
      <c r="AZ115" s="32" t="inlineStr">
        <is>
          <t>Bancos comerciais</t>
        </is>
      </c>
      <c r="BA115" s="32" t="inlineStr">
        <is>
          <t>não ME/EPP</t>
        </is>
      </c>
      <c r="BB115" s="33" t="n">
        <v>76200000000</v>
      </c>
      <c r="BC115" s="32" t="inlineStr">
        <is>
          <t>LARGE CORP</t>
        </is>
      </c>
      <c r="BD115" s="32" t="inlineStr">
        <is>
          <t>60701190</t>
        </is>
      </c>
      <c r="BE115" s="32" t="n">
        <v>1</v>
      </c>
      <c r="BF115" s="32" t="inlineStr">
        <is>
          <t>CASE_NUMBER_MISSING financial by name</t>
        </is>
      </c>
    </row>
    <row r="116">
      <c r="A116" s="17" t="inlineStr">
        <is>
          <t>BANCO SAFRA S A</t>
        </is>
      </c>
      <c r="B116" s="18" t="n">
        <v>1697422.77</v>
      </c>
      <c r="C116" s="19" t="inlineStr">
        <is>
          <t>Alto Uruguai Indústria e Comércio de Óleos Ltda</t>
        </is>
      </c>
      <c r="D116" s="20" t="inlineStr">
        <is>
          <t>NEW</t>
        </is>
      </c>
      <c r="E116" s="21" t="inlineStr"/>
      <c r="F116" s="20" t="inlineStr"/>
      <c r="G116" s="21" t="inlineStr"/>
      <c r="H116" s="20" t="inlineStr"/>
      <c r="I116" s="22" t="inlineStr">
        <is>
          <t>Vanessa Biotti</t>
        </is>
      </c>
      <c r="J116" s="22" t="inlineStr">
        <is>
          <t>Gerente de Recuperação de Crédito</t>
        </is>
      </c>
      <c r="K116" s="22" t="inlineStr">
        <is>
          <t>(11) 3175-7575</t>
        </is>
      </c>
      <c r="L116" s="22" t="inlineStr"/>
      <c r="M116" s="22" t="inlineStr"/>
      <c r="N116" s="22" t="inlineStr">
        <is>
          <t>vanessa.biotti@safra.com.br</t>
        </is>
      </c>
      <c r="O116" s="22" t="inlineStr">
        <is>
          <t>verified</t>
        </is>
      </c>
      <c r="P116" s="22" t="inlineStr">
        <is>
          <t>Rodrigo Anjos</t>
        </is>
      </c>
      <c r="Q116" s="22" t="inlineStr">
        <is>
          <t>Advogado Sênior - Jurídico Contencioso - Recuperação de Crédito - NPL</t>
        </is>
      </c>
      <c r="R116" s="22" t="inlineStr"/>
      <c r="S116" s="22" t="inlineStr">
        <is>
          <t>rodrigo.anjos@safra.com.br</t>
        </is>
      </c>
      <c r="T116" s="22" t="inlineStr">
        <is>
          <t>DM: DM verified email; BACKUP: backup verified email (NPL legal)</t>
        </is>
      </c>
      <c r="U116" s="24" t="n">
        <v>1697422.77</v>
      </c>
      <c r="V116" s="25" t="inlineStr">
        <is>
          <t>B</t>
        </is>
      </c>
      <c r="W116" s="26" t="inlineStr"/>
      <c r="X116" s="27" t="inlineStr"/>
      <c r="Y116" s="27" t="inlineStr"/>
      <c r="Z116" s="26">
        <f>IF(W116&lt;&gt;"",W116,IFERROR(VLOOKUP(V116,Assumptions!$A$8:$F$12,2,FALSE),0))*Assumptions!$B$5</f>
        <v/>
      </c>
      <c r="AA116" s="28">
        <f>IF(V116="A",MAX(1,IF(X116&lt;&gt;"",X116,IFERROR(VLOOKUP(V116,Assumptions!$A$8:$F$12,3,FALSE),3))+IF(Y116&lt;&gt;"",Y116,IFERROR(VLOOKUP(V116,Assumptions!$A$8:$F$12,4,FALSE),8))/2-MAX(0,IF(AS116="",0,YEAR(TODAY())-AS116)-IFERROR(VLOOKUP(V116,Assumptions!$A$8:$F$12,5,FALSE),1.5))),IFERROR(VLOOKUP(V116,Assumptions!$A$8:$F$12,5,FALSE),2.5)+IF(X116&lt;&gt;"",X116,IFERROR(VLOOKUP(V116,Assumptions!$A$8:$F$12,3,FALSE),3))+IF(Y116&lt;&gt;"",Y116,IFERROR(VLOOKUP(V116,Assumptions!$A$8:$F$12,4,FALSE),8))/2)</f>
        <v/>
      </c>
      <c r="AB116" s="24">
        <f>U116*Z116/(1+Assumptions!$B$3)^AA116</f>
        <v/>
      </c>
      <c r="AC116" s="27">
        <f>IF(U116=0,"",ROUND(AB116/U116*100,1))</f>
        <v/>
      </c>
      <c r="AD116" s="29">
        <f>AB116*Assumptions!$B$4</f>
        <v/>
      </c>
      <c r="AE116" s="27">
        <f>IF(U116=0,"",ROUND(AD116/U116*100,1))</f>
        <v/>
      </c>
      <c r="AF116" s="29">
        <f>AB116-AD116</f>
        <v/>
      </c>
      <c r="AG116" s="27">
        <f>IF(U116=0,"",ROUND((AB116-AD116)/U116*100,1))</f>
        <v/>
      </c>
      <c r="AH116" s="30" t="inlineStr">
        <is>
          <t>OK — totals reconciled</t>
        </is>
      </c>
      <c r="AI116" s="31" t="inlineStr">
        <is>
          <t>https://ajruiz.com.br/sites/default/files/public/arquivos-processos/2026-06/alto_uruguai_qgc_junho.2026.pdf</t>
        </is>
      </c>
      <c r="AJ116" s="30" t="inlineStr">
        <is>
          <t>p1 r9</t>
        </is>
      </c>
      <c r="AK116" s="30" t="inlineStr">
        <is>
          <t>p1: R$ 1.697.422,77</t>
        </is>
      </c>
      <c r="AL116" s="30" t="inlineStr">
        <is>
          <t>Unclassified list</t>
        </is>
      </c>
      <c r="AM116" s="30" t="inlineStr"/>
      <c r="AN116" s="30" t="inlineStr">
        <is>
          <t>NONE FOUND</t>
        </is>
      </c>
      <c r="AO116" s="32" t="inlineStr">
        <is>
          <t>5012743-51.2023.8.24.0019</t>
        </is>
      </c>
      <c r="AP116" s="32" t="inlineStr">
        <is>
          <t>TJSC</t>
        </is>
      </c>
      <c r="AQ116" s="32" t="inlineStr">
        <is>
          <t>Recuperação judicial</t>
        </is>
      </c>
      <c r="AR116" s="32" t="inlineStr">
        <is>
          <t>DataJud: no closure/falência movement</t>
        </is>
      </c>
      <c r="AS116" s="32" t="n">
        <v>2023</v>
      </c>
      <c r="AT116" s="32" t="inlineStr">
        <is>
          <t>live case, no plan document yet</t>
        </is>
      </c>
      <c r="AU116" s="32" t="inlineStr"/>
      <c r="AV116" s="32" t="inlineStr">
        <is>
          <t>printed on the list (read twice)</t>
        </is>
      </c>
      <c r="AW116" s="32" t="inlineStr"/>
      <c r="AX116" s="32" t="inlineStr">
        <is>
          <t>SAO PAULO</t>
        </is>
      </c>
      <c r="AY116" s="32" t="inlineStr">
        <is>
          <t>SP</t>
        </is>
      </c>
      <c r="AZ116" s="32" t="inlineStr">
        <is>
          <t>Bancos múltiplos, com carteira comercial</t>
        </is>
      </c>
      <c r="BA116" s="32" t="inlineStr">
        <is>
          <t>não ME/EPP</t>
        </is>
      </c>
      <c r="BB116" s="33" t="n">
        <v>13924903000</v>
      </c>
      <c r="BC116" s="32" t="inlineStr">
        <is>
          <t>LARGE CORP</t>
        </is>
      </c>
      <c r="BD116" s="32" t="inlineStr">
        <is>
          <t>58160789</t>
        </is>
      </c>
      <c r="BE116" s="32" t="n">
        <v>1</v>
      </c>
      <c r="BF116" s="32" t="inlineStr">
        <is>
          <t>financial by name</t>
        </is>
      </c>
    </row>
    <row r="117">
      <c r="A117" s="17" t="inlineStr">
        <is>
          <t>Banco Original S.A.</t>
        </is>
      </c>
      <c r="B117" s="18" t="n">
        <v>1653305.22</v>
      </c>
      <c r="C117" s="19" t="inlineStr">
        <is>
          <t>Grupo Agromeal</t>
        </is>
      </c>
      <c r="D117" s="20" t="inlineStr">
        <is>
          <t>NEW</t>
        </is>
      </c>
      <c r="E117" s="21" t="inlineStr"/>
      <c r="F117" s="20" t="inlineStr"/>
      <c r="G117" s="21" t="inlineStr"/>
      <c r="H117" s="20" t="inlineStr"/>
      <c r="I117" s="22" t="inlineStr">
        <is>
          <t>Leandro Waideman</t>
        </is>
      </c>
      <c r="J117" s="22" t="inlineStr">
        <is>
          <t>Gerente Executivo de Gestão de Garantias|Monitoramento de Riscos|Recuperação de Crédito|BNDU|</t>
        </is>
      </c>
      <c r="K117" s="22" t="inlineStr"/>
      <c r="L117" s="22" t="inlineStr"/>
      <c r="M117" s="22" t="inlineStr"/>
      <c r="N117" s="22" t="inlineStr">
        <is>
          <t>leandro.waideman@original.com.br</t>
        </is>
      </c>
      <c r="O117" s="22" t="inlineStr">
        <is>
          <t>verified</t>
        </is>
      </c>
      <c r="P117" s="22" t="inlineStr">
        <is>
          <t>Cintia Ferraz</t>
        </is>
      </c>
      <c r="Q117" s="22" t="inlineStr">
        <is>
          <t>Collections Manager</t>
        </is>
      </c>
      <c r="R117" s="22" t="inlineStr"/>
      <c r="S117" s="22" t="inlineStr">
        <is>
          <t>cintia.ferraz@original.com.br</t>
        </is>
      </c>
      <c r="T117" s="22" t="inlineStr">
        <is>
          <t>DM: DM verified email; BACKUP: backup verified email</t>
        </is>
      </c>
      <c r="U117" s="24" t="n">
        <v>1653305.22</v>
      </c>
      <c r="V117" s="25" t="inlineStr">
        <is>
          <t>B</t>
        </is>
      </c>
      <c r="W117" s="26" t="inlineStr"/>
      <c r="X117" s="27" t="inlineStr"/>
      <c r="Y117" s="27" t="inlineStr"/>
      <c r="Z117" s="26">
        <f>IF(W117&lt;&gt;"",W117,IFERROR(VLOOKUP(V117,Assumptions!$A$8:$F$12,2,FALSE),0))*Assumptions!$B$5</f>
        <v/>
      </c>
      <c r="AA117" s="28">
        <f>IF(V117="A",MAX(1,IF(X117&lt;&gt;"",X117,IFERROR(VLOOKUP(V117,Assumptions!$A$8:$F$12,3,FALSE),3))+IF(Y117&lt;&gt;"",Y117,IFERROR(VLOOKUP(V117,Assumptions!$A$8:$F$12,4,FALSE),8))/2-MAX(0,IF(AS117="",0,YEAR(TODAY())-AS117)-IFERROR(VLOOKUP(V117,Assumptions!$A$8:$F$12,5,FALSE),1.5))),IFERROR(VLOOKUP(V117,Assumptions!$A$8:$F$12,5,FALSE),2.5)+IF(X117&lt;&gt;"",X117,IFERROR(VLOOKUP(V117,Assumptions!$A$8:$F$12,3,FALSE),3))+IF(Y117&lt;&gt;"",Y117,IFERROR(VLOOKUP(V117,Assumptions!$A$8:$F$12,4,FALSE),8))/2)</f>
        <v/>
      </c>
      <c r="AB117" s="24">
        <f>U117*Z117/(1+Assumptions!$B$3)^AA117</f>
        <v/>
      </c>
      <c r="AC117" s="27">
        <f>IF(U117=0,"",ROUND(AB117/U117*100,1))</f>
        <v/>
      </c>
      <c r="AD117" s="29">
        <f>AB117*Assumptions!$B$4</f>
        <v/>
      </c>
      <c r="AE117" s="27">
        <f>IF(U117=0,"",ROUND(AD117/U117*100,1))</f>
        <v/>
      </c>
      <c r="AF117" s="29">
        <f>AB117-AD117</f>
        <v/>
      </c>
      <c r="AG117" s="27">
        <f>IF(U117=0,"",ROUND((AB117-AD117)/U117*100,1))</f>
        <v/>
      </c>
      <c r="AH117" s="35" t="inlineStr">
        <is>
          <t>PARTIAL — class III reconciled, other classes not</t>
        </is>
      </c>
      <c r="AI117" s="31" t="inlineStr">
        <is>
          <t>https://marquesadmjudicial.com.br/sgc/download.php?file=files/processo_documento/processo_documento17040729052024_1_.pdf&amp;nome=Relação Nominal de Credores AJ-Sintética</t>
        </is>
      </c>
      <c r="AJ117" s="30" t="inlineStr">
        <is>
          <t>p10 r4</t>
        </is>
      </c>
      <c r="AK117" s="30" t="inlineStr">
        <is>
          <t>p10: R$ 1.653.305,22</t>
        </is>
      </c>
      <c r="AL117" s="30" t="inlineStr">
        <is>
          <t>AJ list (art. 7 §2)</t>
        </is>
      </c>
      <c r="AM117" s="30" t="inlineStr">
        <is>
          <t>2024-05-27</t>
        </is>
      </c>
      <c r="AN117" s="30" t="inlineStr">
        <is>
          <t>NONE FOUND</t>
        </is>
      </c>
      <c r="AO117" s="32" t="inlineStr">
        <is>
          <t>0003971-03.2023.8.16.0119</t>
        </is>
      </c>
      <c r="AP117" s="32" t="inlineStr">
        <is>
          <t>TJPR</t>
        </is>
      </c>
      <c r="AQ117" s="32" t="inlineStr">
        <is>
          <t>Recuperação judicial</t>
        </is>
      </c>
      <c r="AR117" s="32" t="inlineStr">
        <is>
          <t>DataJud: no closure/falência movement</t>
        </is>
      </c>
      <c r="AS117" s="32" t="n">
        <v>2023</v>
      </c>
      <c r="AT117" s="32" t="inlineStr">
        <is>
          <t>live case, no plan document yet</t>
        </is>
      </c>
      <c r="AU117" s="32" t="inlineStr">
        <is>
          <t>11.624.776/0001-07</t>
        </is>
      </c>
      <c r="AV117" s="32" t="inlineStr">
        <is>
          <t>printed on the list (read twice)</t>
        </is>
      </c>
      <c r="AW117" s="32" t="inlineStr"/>
      <c r="AX117" s="32" t="inlineStr"/>
      <c r="AY117" s="32" t="inlineStr"/>
      <c r="AZ117" s="32" t="inlineStr"/>
      <c r="BA117" s="32" t="inlineStr"/>
      <c r="BB117" s="33" t="inlineStr"/>
      <c r="BC117" s="32" t="inlineStr">
        <is>
          <t>UNKNOWN</t>
        </is>
      </c>
      <c r="BD117" s="32" t="inlineStr">
        <is>
          <t>92894922</t>
        </is>
      </c>
      <c r="BE117" s="32" t="n">
        <v>1</v>
      </c>
      <c r="BF117" s="32" t="inlineStr">
        <is>
          <t>financial by name class III reconciled (doc partial) no RFB record</t>
        </is>
      </c>
    </row>
    <row r="118">
      <c r="A118" s="17" t="inlineStr">
        <is>
          <t>ITAU UNIBANCO S.A.</t>
        </is>
      </c>
      <c r="B118" s="18" t="n">
        <v>1612972.92</v>
      </c>
      <c r="C118" s="19" t="inlineStr">
        <is>
          <t>Grupo Agromeal</t>
        </is>
      </c>
      <c r="D118" s="20" t="inlineStr">
        <is>
          <t>NEW</t>
        </is>
      </c>
      <c r="E118" s="21" t="inlineStr"/>
      <c r="F118" s="20" t="inlineStr"/>
      <c r="G118" s="21" t="inlineStr"/>
      <c r="H118" s="20" t="inlineStr"/>
      <c r="I118" s="22" t="inlineStr">
        <is>
          <t>Murilo Gigliucci</t>
        </is>
      </c>
      <c r="J118" s="22" t="inlineStr">
        <is>
          <t>Superintendente de Reestruturação de Crédito</t>
        </is>
      </c>
      <c r="K118" s="22" t="inlineStr">
        <is>
          <t>(11) 3003-4828</t>
        </is>
      </c>
      <c r="L118" s="22" t="inlineStr"/>
      <c r="M118" s="22" t="inlineStr"/>
      <c r="N118" s="22" t="inlineStr">
        <is>
          <t>murilo.gigliucci@itau-unibanco.com.br</t>
        </is>
      </c>
      <c r="O118" s="22" t="inlineStr">
        <is>
          <t>verified</t>
        </is>
      </c>
      <c r="P118" s="22" t="inlineStr">
        <is>
          <t>Pedro Ornellas</t>
        </is>
      </c>
      <c r="Q118" s="22" t="inlineStr">
        <is>
          <t>Superintendente de Recuperação de Crédito</t>
        </is>
      </c>
      <c r="R118" s="22" t="inlineStr"/>
      <c r="S118" s="22" t="inlineStr">
        <is>
          <t>pedro.ornellas-geronimo@itau-unibanco.com.br</t>
        </is>
      </c>
      <c r="T118" s="22" t="inlineStr">
        <is>
          <t>DM: DM verified email; BACKUP: backup verified email</t>
        </is>
      </c>
      <c r="U118" s="24" t="n">
        <v>1612972.92</v>
      </c>
      <c r="V118" s="25" t="inlineStr">
        <is>
          <t>B</t>
        </is>
      </c>
      <c r="W118" s="26" t="inlineStr"/>
      <c r="X118" s="27" t="inlineStr"/>
      <c r="Y118" s="27" t="inlineStr"/>
      <c r="Z118" s="26">
        <f>IF(W118&lt;&gt;"",W118,IFERROR(VLOOKUP(V118,Assumptions!$A$8:$F$12,2,FALSE),0))*Assumptions!$B$5</f>
        <v/>
      </c>
      <c r="AA118" s="28">
        <f>IF(V118="A",MAX(1,IF(X118&lt;&gt;"",X118,IFERROR(VLOOKUP(V118,Assumptions!$A$8:$F$12,3,FALSE),3))+IF(Y118&lt;&gt;"",Y118,IFERROR(VLOOKUP(V118,Assumptions!$A$8:$F$12,4,FALSE),8))/2-MAX(0,IF(AS118="",0,YEAR(TODAY())-AS118)-IFERROR(VLOOKUP(V118,Assumptions!$A$8:$F$12,5,FALSE),1.5))),IFERROR(VLOOKUP(V118,Assumptions!$A$8:$F$12,5,FALSE),2.5)+IF(X118&lt;&gt;"",X118,IFERROR(VLOOKUP(V118,Assumptions!$A$8:$F$12,3,FALSE),3))+IF(Y118&lt;&gt;"",Y118,IFERROR(VLOOKUP(V118,Assumptions!$A$8:$F$12,4,FALSE),8))/2)</f>
        <v/>
      </c>
      <c r="AB118" s="24">
        <f>U118*Z118/(1+Assumptions!$B$3)^AA118</f>
        <v/>
      </c>
      <c r="AC118" s="27">
        <f>IF(U118=0,"",ROUND(AB118/U118*100,1))</f>
        <v/>
      </c>
      <c r="AD118" s="29">
        <f>AB118*Assumptions!$B$4</f>
        <v/>
      </c>
      <c r="AE118" s="27">
        <f>IF(U118=0,"",ROUND(AD118/U118*100,1))</f>
        <v/>
      </c>
      <c r="AF118" s="29">
        <f>AB118-AD118</f>
        <v/>
      </c>
      <c r="AG118" s="27">
        <f>IF(U118=0,"",ROUND((AB118-AD118)/U118*100,1))</f>
        <v/>
      </c>
      <c r="AH118" s="35" t="inlineStr">
        <is>
          <t>PARTIAL — class III reconciled, other classes not</t>
        </is>
      </c>
      <c r="AI118" s="31" t="inlineStr">
        <is>
          <t>https://marquesadmjudicial.com.br/sgc/download.php?file=files/processo_documento/processo_documento17040729052024_1_.pdf&amp;nome=Relação Nominal de Credores AJ-Sintética</t>
        </is>
      </c>
      <c r="AJ118" s="30" t="inlineStr">
        <is>
          <t>p12 r5</t>
        </is>
      </c>
      <c r="AK118" s="30" t="inlineStr">
        <is>
          <t>p12: R$ 1.612.972,92</t>
        </is>
      </c>
      <c r="AL118" s="30" t="inlineStr">
        <is>
          <t>AJ list (art. 7 §2)</t>
        </is>
      </c>
      <c r="AM118" s="30" t="inlineStr">
        <is>
          <t>2024-05-27</t>
        </is>
      </c>
      <c r="AN118" s="30" t="inlineStr">
        <is>
          <t>NONE FOUND</t>
        </is>
      </c>
      <c r="AO118" s="32" t="inlineStr">
        <is>
          <t>0003971-03.2023.8.16.0119</t>
        </is>
      </c>
      <c r="AP118" s="32" t="inlineStr">
        <is>
          <t>TJPR</t>
        </is>
      </c>
      <c r="AQ118" s="32" t="inlineStr">
        <is>
          <t>Recuperação judicial</t>
        </is>
      </c>
      <c r="AR118" s="32" t="inlineStr">
        <is>
          <t>DataJud: no closure/falência movement</t>
        </is>
      </c>
      <c r="AS118" s="32" t="n">
        <v>2023</v>
      </c>
      <c r="AT118" s="32" t="inlineStr">
        <is>
          <t>live case, no plan document yet</t>
        </is>
      </c>
      <c r="AU118" s="32" t="inlineStr">
        <is>
          <t>11.624.776/0001-07</t>
        </is>
      </c>
      <c r="AV118" s="32" t="inlineStr">
        <is>
          <t>printed on the list (read twice)</t>
        </is>
      </c>
      <c r="AW118" s="32" t="inlineStr"/>
      <c r="AX118" s="32" t="inlineStr">
        <is>
          <t>SAO PAULO</t>
        </is>
      </c>
      <c r="AY118" s="32" t="inlineStr">
        <is>
          <t>SP</t>
        </is>
      </c>
      <c r="AZ118" s="32" t="inlineStr">
        <is>
          <t>Bancos comerciais</t>
        </is>
      </c>
      <c r="BA118" s="32" t="inlineStr">
        <is>
          <t>não ME/EPP</t>
        </is>
      </c>
      <c r="BB118" s="33" t="n">
        <v>76200000000</v>
      </c>
      <c r="BC118" s="32" t="inlineStr">
        <is>
          <t>LARGE CORP</t>
        </is>
      </c>
      <c r="BD118" s="32" t="inlineStr">
        <is>
          <t>60701190</t>
        </is>
      </c>
      <c r="BE118" s="32" t="n">
        <v>1</v>
      </c>
      <c r="BF118" s="32" t="inlineStr">
        <is>
          <t>financial by name class III reconciled (doc partial)</t>
        </is>
      </c>
    </row>
    <row r="119">
      <c r="A119" s="17" t="inlineStr">
        <is>
          <t>BANCO SAFRA S A</t>
        </is>
      </c>
      <c r="B119" s="18" t="n">
        <v>1609442.7</v>
      </c>
      <c r="C119" s="19" t="inlineStr">
        <is>
          <t>GRUPO BE EIGHT</t>
        </is>
      </c>
      <c r="D119" s="20" t="inlineStr">
        <is>
          <t>NEW</t>
        </is>
      </c>
      <c r="E119" s="21" t="inlineStr"/>
      <c r="F119" s="20" t="inlineStr"/>
      <c r="G119" s="21" t="inlineStr"/>
      <c r="H119" s="20" t="inlineStr"/>
      <c r="I119" s="22" t="inlineStr">
        <is>
          <t>Vanessa Biotti</t>
        </is>
      </c>
      <c r="J119" s="22" t="inlineStr">
        <is>
          <t>Gerente de Recuperação de Crédito</t>
        </is>
      </c>
      <c r="K119" s="22" t="inlineStr">
        <is>
          <t>(11) 3175-7575</t>
        </is>
      </c>
      <c r="L119" s="22" t="inlineStr"/>
      <c r="M119" s="22" t="inlineStr"/>
      <c r="N119" s="22" t="inlineStr">
        <is>
          <t>vanessa.biotti@safra.com.br</t>
        </is>
      </c>
      <c r="O119" s="22" t="inlineStr">
        <is>
          <t>verified</t>
        </is>
      </c>
      <c r="P119" s="22" t="inlineStr">
        <is>
          <t>Rodrigo Anjos</t>
        </is>
      </c>
      <c r="Q119" s="22" t="inlineStr">
        <is>
          <t>Advogado Sênior - Jurídico Contencioso - Recuperação de Crédito - NPL</t>
        </is>
      </c>
      <c r="R119" s="22" t="inlineStr"/>
      <c r="S119" s="22" t="inlineStr">
        <is>
          <t>rodrigo.anjos@safra.com.br</t>
        </is>
      </c>
      <c r="T119" s="22" t="inlineStr">
        <is>
          <t>DM: DM verified email; BACKUP: backup verified email (NPL legal)</t>
        </is>
      </c>
      <c r="U119" s="24" t="n">
        <v>1609442.7</v>
      </c>
      <c r="V119" s="25" t="inlineStr">
        <is>
          <t>B</t>
        </is>
      </c>
      <c r="W119" s="26" t="inlineStr"/>
      <c r="X119" s="27" t="inlineStr"/>
      <c r="Y119" s="27" t="inlineStr"/>
      <c r="Z119" s="26">
        <f>IF(W119&lt;&gt;"",W119,IFERROR(VLOOKUP(V119,Assumptions!$A$8:$F$12,2,FALSE),0))*Assumptions!$B$5</f>
        <v/>
      </c>
      <c r="AA119" s="28">
        <f>IF(V119="A",MAX(1,IF(X119&lt;&gt;"",X119,IFERROR(VLOOKUP(V119,Assumptions!$A$8:$F$12,3,FALSE),3))+IF(Y119&lt;&gt;"",Y119,IFERROR(VLOOKUP(V119,Assumptions!$A$8:$F$12,4,FALSE),8))/2-MAX(0,IF(AS119="",0,YEAR(TODAY())-AS119)-IFERROR(VLOOKUP(V119,Assumptions!$A$8:$F$12,5,FALSE),1.5))),IFERROR(VLOOKUP(V119,Assumptions!$A$8:$F$12,5,FALSE),2.5)+IF(X119&lt;&gt;"",X119,IFERROR(VLOOKUP(V119,Assumptions!$A$8:$F$12,3,FALSE),3))+IF(Y119&lt;&gt;"",Y119,IFERROR(VLOOKUP(V119,Assumptions!$A$8:$F$12,4,FALSE),8))/2)</f>
        <v/>
      </c>
      <c r="AB119" s="24">
        <f>U119*Z119/(1+Assumptions!$B$3)^AA119</f>
        <v/>
      </c>
      <c r="AC119" s="27">
        <f>IF(U119=0,"",ROUND(AB119/U119*100,1))</f>
        <v/>
      </c>
      <c r="AD119" s="29">
        <f>AB119*Assumptions!$B$4</f>
        <v/>
      </c>
      <c r="AE119" s="27">
        <f>IF(U119=0,"",ROUND(AD119/U119*100,1))</f>
        <v/>
      </c>
      <c r="AF119" s="29">
        <f>AB119-AD119</f>
        <v/>
      </c>
      <c r="AG119" s="27">
        <f>IF(U119=0,"",ROUND((AB119-AD119)/U119*100,1))</f>
        <v/>
      </c>
      <c r="AH119" s="34" t="inlineStr">
        <is>
          <t>NO TOTALS — list prints none; check page</t>
        </is>
      </c>
      <c r="AI119" s="31" t="inlineStr">
        <is>
          <t>https://marquesadmjudicial.com.br/sgc/download.php?file=files/processo_documento/processo_documento09444722082025_1_.pdf&amp;nome=2° Edital - Relação de Credores AJ e PRJ</t>
        </is>
      </c>
      <c r="AJ119" s="30" t="inlineStr">
        <is>
          <t>p2 r150</t>
        </is>
      </c>
      <c r="AK119" s="30" t="inlineStr">
        <is>
          <t>p2: R$ 1.609.442,70</t>
        </is>
      </c>
      <c r="AL119" s="30" t="inlineStr">
        <is>
          <t>AJ list (art. 7 §2)</t>
        </is>
      </c>
      <c r="AM119" s="30" t="inlineStr">
        <is>
          <t>2025-04-08</t>
        </is>
      </c>
      <c r="AN119" s="30" t="inlineStr">
        <is>
          <t>NONE FOUND</t>
        </is>
      </c>
      <c r="AO119" s="32" t="inlineStr">
        <is>
          <t>0008897-71.2025.8.16.0017</t>
        </is>
      </c>
      <c r="AP119" s="32" t="inlineStr">
        <is>
          <t>TJPR</t>
        </is>
      </c>
      <c r="AQ119" s="32" t="inlineStr">
        <is>
          <t>Recuperação judicial</t>
        </is>
      </c>
      <c r="AR119" s="32" t="inlineStr">
        <is>
          <t>DataJud: no closure/falência movement</t>
        </is>
      </c>
      <c r="AS119" s="32" t="n">
        <v>2025</v>
      </c>
      <c r="AT119" s="32" t="inlineStr">
        <is>
          <t>live case, no plan document yet</t>
        </is>
      </c>
      <c r="AU119" s="32" t="inlineStr">
        <is>
          <t>02.790.680/0001-10</t>
        </is>
      </c>
      <c r="AV119" s="32" t="inlineStr">
        <is>
          <t>printed on the list (read twice)</t>
        </is>
      </c>
      <c r="AW119" s="32" t="inlineStr"/>
      <c r="AX119" s="32" t="inlineStr">
        <is>
          <t>SAO PAULO</t>
        </is>
      </c>
      <c r="AY119" s="32" t="inlineStr">
        <is>
          <t>SP</t>
        </is>
      </c>
      <c r="AZ119" s="32" t="inlineStr">
        <is>
          <t>Bancos múltiplos, com carteira comercial</t>
        </is>
      </c>
      <c r="BA119" s="32" t="inlineStr">
        <is>
          <t>não ME/EPP</t>
        </is>
      </c>
      <c r="BB119" s="33" t="n">
        <v>13924903000</v>
      </c>
      <c r="BC119" s="32" t="inlineStr">
        <is>
          <t>LARGE CORP</t>
        </is>
      </c>
      <c r="BD119" s="32" t="inlineStr">
        <is>
          <t>58160789</t>
        </is>
      </c>
      <c r="BE119" s="32" t="n">
        <v>1</v>
      </c>
      <c r="BF119" s="32" t="inlineStr">
        <is>
          <t>financial by name list prints no totals</t>
        </is>
      </c>
    </row>
    <row r="120">
      <c r="A120" s="17" t="inlineStr">
        <is>
          <t>BANCO BRADESCO S.A.</t>
        </is>
      </c>
      <c r="B120" s="18" t="n">
        <v>1593391.75</v>
      </c>
      <c r="C120" s="19" t="inlineStr">
        <is>
          <t>GRUPO CEAM</t>
        </is>
      </c>
      <c r="D120" s="20" t="inlineStr">
        <is>
          <t>NEW</t>
        </is>
      </c>
      <c r="E120" s="21" t="inlineStr"/>
      <c r="F120" s="20" t="inlineStr"/>
      <c r="G120" s="21" t="inlineStr"/>
      <c r="H120" s="20" t="inlineStr"/>
      <c r="I120" s="22" t="inlineStr">
        <is>
          <t>Marcela Martins</t>
        </is>
      </c>
      <c r="J120" s="22" t="inlineStr">
        <is>
          <t>Superintendente de Recuperação de Crédito - Canais e Operações</t>
        </is>
      </c>
      <c r="K120" s="22" t="inlineStr">
        <is>
          <t>(11) 3684-5122</t>
        </is>
      </c>
      <c r="L120" s="22" t="inlineStr"/>
      <c r="M120" s="22" t="inlineStr"/>
      <c r="N120" s="22" t="inlineStr"/>
      <c r="O120" s="22" t="inlineStr"/>
      <c r="P120" s="22" t="inlineStr">
        <is>
          <t>Luis S</t>
        </is>
      </c>
      <c r="Q120" s="22" t="inlineStr">
        <is>
          <t>DRC - Departamento de Recuperação de Crédito - Gerente de Reestruturação de Crédito</t>
        </is>
      </c>
      <c r="R120" s="22" t="inlineStr"/>
      <c r="S120" s="22" t="inlineStr">
        <is>
          <t>sl@bradesco.com.br</t>
        </is>
      </c>
      <c r="T120" s="22" t="inlineStr">
        <is>
          <t>DM: DM; no work email in Apollo for DM; BACKUP: backup</t>
        </is>
      </c>
      <c r="U120" s="24" t="n">
        <v>1593391.75</v>
      </c>
      <c r="V120" s="25" t="inlineStr">
        <is>
          <t>B</t>
        </is>
      </c>
      <c r="W120" s="26" t="inlineStr"/>
      <c r="X120" s="27" t="inlineStr"/>
      <c r="Y120" s="27" t="inlineStr"/>
      <c r="Z120" s="26">
        <f>IF(W120&lt;&gt;"",W120,IFERROR(VLOOKUP(V120,Assumptions!$A$8:$F$12,2,FALSE),0))*Assumptions!$B$5</f>
        <v/>
      </c>
      <c r="AA120" s="28">
        <f>IF(V120="A",MAX(1,IF(X120&lt;&gt;"",X120,IFERROR(VLOOKUP(V120,Assumptions!$A$8:$F$12,3,FALSE),3))+IF(Y120&lt;&gt;"",Y120,IFERROR(VLOOKUP(V120,Assumptions!$A$8:$F$12,4,FALSE),8))/2-MAX(0,IF(AS120="",0,YEAR(TODAY())-AS120)-IFERROR(VLOOKUP(V120,Assumptions!$A$8:$F$12,5,FALSE),1.5))),IFERROR(VLOOKUP(V120,Assumptions!$A$8:$F$12,5,FALSE),2.5)+IF(X120&lt;&gt;"",X120,IFERROR(VLOOKUP(V120,Assumptions!$A$8:$F$12,3,FALSE),3))+IF(Y120&lt;&gt;"",Y120,IFERROR(VLOOKUP(V120,Assumptions!$A$8:$F$12,4,FALSE),8))/2)</f>
        <v/>
      </c>
      <c r="AB120" s="24">
        <f>U120*Z120/(1+Assumptions!$B$3)^AA120</f>
        <v/>
      </c>
      <c r="AC120" s="27">
        <f>IF(U120=0,"",ROUND(AB120/U120*100,1))</f>
        <v/>
      </c>
      <c r="AD120" s="29">
        <f>AB120*Assumptions!$B$4</f>
        <v/>
      </c>
      <c r="AE120" s="27">
        <f>IF(U120=0,"",ROUND(AD120/U120*100,1))</f>
        <v/>
      </c>
      <c r="AF120" s="29">
        <f>AB120-AD120</f>
        <v/>
      </c>
      <c r="AG120" s="27">
        <f>IF(U120=0,"",ROUND((AB120-AD120)/U120*100,1))</f>
        <v/>
      </c>
      <c r="AH120" s="30" t="inlineStr">
        <is>
          <t>OK — totals reconciled</t>
        </is>
      </c>
      <c r="AI120" s="31" t="inlineStr">
        <is>
          <t>https://recuperasolucoes.com/wp-content/plugins/download-attachments/includes/download.php?id=1492</t>
        </is>
      </c>
      <c r="AJ120" s="30" t="inlineStr">
        <is>
          <t>p5 r52</t>
        </is>
      </c>
      <c r="AK120" s="30" t="inlineStr">
        <is>
          <t>p5: R$ 1.593.391,75</t>
        </is>
      </c>
      <c r="AL120" s="30" t="inlineStr">
        <is>
          <t>AJ list (art. 7 §2)</t>
        </is>
      </c>
      <c r="AM120" s="30" t="inlineStr">
        <is>
          <t>2025-09-12</t>
        </is>
      </c>
      <c r="AN120" s="30" t="inlineStr">
        <is>
          <t>NONE FOUND</t>
        </is>
      </c>
      <c r="AO120" s="32" t="inlineStr">
        <is>
          <t>0133628-14.2024.8.17.2001</t>
        </is>
      </c>
      <c r="AP120" s="32" t="inlineStr">
        <is>
          <t>TJPE</t>
        </is>
      </c>
      <c r="AQ120" s="32" t="inlineStr">
        <is>
          <t>Recuperação judicial</t>
        </is>
      </c>
      <c r="AR120" s="32" t="inlineStr">
        <is>
          <t>DataJud: no closure/falência movement</t>
        </is>
      </c>
      <c r="AS120" s="32" t="n">
        <v>2024</v>
      </c>
      <c r="AT120" s="32" t="inlineStr">
        <is>
          <t>live case, no plan document yet</t>
        </is>
      </c>
      <c r="AU120" s="32" t="inlineStr">
        <is>
          <t>32.525.567/0001-78</t>
        </is>
      </c>
      <c r="AV120" s="32" t="inlineStr">
        <is>
          <t>printed on the list (read twice)</t>
        </is>
      </c>
      <c r="AW120" s="32" t="inlineStr"/>
      <c r="AX120" s="32" t="inlineStr">
        <is>
          <t>OSASCO</t>
        </is>
      </c>
      <c r="AY120" s="32" t="inlineStr">
        <is>
          <t>SP</t>
        </is>
      </c>
      <c r="AZ120" s="32" t="inlineStr">
        <is>
          <t>Bancos múltiplos, com carteira comercial</t>
        </is>
      </c>
      <c r="BA120" s="32" t="inlineStr">
        <is>
          <t>não ME/EPP</t>
        </is>
      </c>
      <c r="BB120" s="33" t="n">
        <v>93770000000</v>
      </c>
      <c r="BC120" s="32" t="inlineStr">
        <is>
          <t>LARGE CORP</t>
        </is>
      </c>
      <c r="BD120" s="32" t="inlineStr">
        <is>
          <t>60746948</t>
        </is>
      </c>
      <c r="BE120" s="32" t="n">
        <v>1</v>
      </c>
      <c r="BF120" s="32" t="inlineStr">
        <is>
          <t>financial by name</t>
        </is>
      </c>
    </row>
    <row r="121">
      <c r="A121" s="17" t="inlineStr">
        <is>
          <t>BANCO BRADESCO S.A.</t>
        </is>
      </c>
      <c r="B121" s="18" t="n">
        <v>1541244.43</v>
      </c>
      <c r="C121" s="19" t="inlineStr">
        <is>
          <t>GRUPO IMPLASVERDE</t>
        </is>
      </c>
      <c r="D121" s="20" t="inlineStr">
        <is>
          <t>NEW</t>
        </is>
      </c>
      <c r="E121" s="21" t="inlineStr"/>
      <c r="F121" s="20" t="inlineStr"/>
      <c r="G121" s="21" t="inlineStr"/>
      <c r="H121" s="20" t="inlineStr"/>
      <c r="I121" s="22" t="inlineStr">
        <is>
          <t>Marcela Martins</t>
        </is>
      </c>
      <c r="J121" s="22" t="inlineStr">
        <is>
          <t>Superintendente de Recuperação de Crédito - Canais e Operações</t>
        </is>
      </c>
      <c r="K121" s="22" t="inlineStr">
        <is>
          <t>(11) 3684-5122</t>
        </is>
      </c>
      <c r="L121" s="22" t="inlineStr"/>
      <c r="M121" s="22" t="inlineStr"/>
      <c r="N121" s="22" t="inlineStr"/>
      <c r="O121" s="22" t="inlineStr"/>
      <c r="P121" s="22" t="inlineStr">
        <is>
          <t>Luis S</t>
        </is>
      </c>
      <c r="Q121" s="22" t="inlineStr">
        <is>
          <t>DRC - Departamento de Recuperação de Crédito - Gerente de Reestruturação de Crédito</t>
        </is>
      </c>
      <c r="R121" s="22" t="inlineStr"/>
      <c r="S121" s="22" t="inlineStr">
        <is>
          <t>sl@bradesco.com.br</t>
        </is>
      </c>
      <c r="T121" s="22" t="inlineStr">
        <is>
          <t>DM: DM; no work email in Apollo for DM; BACKUP: backup</t>
        </is>
      </c>
      <c r="U121" s="24" t="n">
        <v>1541244.43</v>
      </c>
      <c r="V121" s="25" t="inlineStr">
        <is>
          <t>B</t>
        </is>
      </c>
      <c r="W121" s="26" t="inlineStr"/>
      <c r="X121" s="27" t="inlineStr"/>
      <c r="Y121" s="27" t="inlineStr"/>
      <c r="Z121" s="26">
        <f>IF(W121&lt;&gt;"",W121,IFERROR(VLOOKUP(V121,Assumptions!$A$8:$F$12,2,FALSE),0))*Assumptions!$B$5</f>
        <v/>
      </c>
      <c r="AA121" s="28">
        <f>IF(V121="A",MAX(1,IF(X121&lt;&gt;"",X121,IFERROR(VLOOKUP(V121,Assumptions!$A$8:$F$12,3,FALSE),3))+IF(Y121&lt;&gt;"",Y121,IFERROR(VLOOKUP(V121,Assumptions!$A$8:$F$12,4,FALSE),8))/2-MAX(0,IF(AS121="",0,YEAR(TODAY())-AS121)-IFERROR(VLOOKUP(V121,Assumptions!$A$8:$F$12,5,FALSE),1.5))),IFERROR(VLOOKUP(V121,Assumptions!$A$8:$F$12,5,FALSE),2.5)+IF(X121&lt;&gt;"",X121,IFERROR(VLOOKUP(V121,Assumptions!$A$8:$F$12,3,FALSE),3))+IF(Y121&lt;&gt;"",Y121,IFERROR(VLOOKUP(V121,Assumptions!$A$8:$F$12,4,FALSE),8))/2)</f>
        <v/>
      </c>
      <c r="AB121" s="24">
        <f>U121*Z121/(1+Assumptions!$B$3)^AA121</f>
        <v/>
      </c>
      <c r="AC121" s="27">
        <f>IF(U121=0,"",ROUND(AB121/U121*100,1))</f>
        <v/>
      </c>
      <c r="AD121" s="29">
        <f>AB121*Assumptions!$B$4</f>
        <v/>
      </c>
      <c r="AE121" s="27">
        <f>IF(U121=0,"",ROUND(AD121/U121*100,1))</f>
        <v/>
      </c>
      <c r="AF121" s="29">
        <f>AB121-AD121</f>
        <v/>
      </c>
      <c r="AG121" s="27">
        <f>IF(U121=0,"",ROUND((AB121-AD121)/U121*100,1))</f>
        <v/>
      </c>
      <c r="AH121" s="30" t="inlineStr">
        <is>
          <t>OK — totals reconciled</t>
        </is>
      </c>
      <c r="AI121" s="31" t="inlineStr">
        <is>
          <t>http://recuperacaojudicial.squarespace.com/s/LISTA-DE-CREDORES-CONSOLIDADA-ATE-04102024.pdf</t>
        </is>
      </c>
      <c r="AJ121" s="30" t="inlineStr">
        <is>
          <t>p6 r2; p8 r5</t>
        </is>
      </c>
      <c r="AK121" s="30" t="inlineStr">
        <is>
          <t>p6: R$ 378.608,81; p8: R$ 1.162.635,62</t>
        </is>
      </c>
      <c r="AL121" s="30" t="inlineStr">
        <is>
          <t>AJ list (art. 7 §2)</t>
        </is>
      </c>
      <c r="AM121" s="30" t="inlineStr">
        <is>
          <t>2024-10-04</t>
        </is>
      </c>
      <c r="AN121" s="30" t="inlineStr">
        <is>
          <t>NONE FOUND</t>
        </is>
      </c>
      <c r="AO121" s="32" t="inlineStr">
        <is>
          <t>0800778-16.2023.8.20.5104</t>
        </is>
      </c>
      <c r="AP121" s="32" t="inlineStr">
        <is>
          <t>TJRN</t>
        </is>
      </c>
      <c r="AQ121" s="32" t="inlineStr">
        <is>
          <t>Recuperação judicial</t>
        </is>
      </c>
      <c r="AR121" s="32" t="inlineStr">
        <is>
          <t>DataJud: no closure/falência movement</t>
        </is>
      </c>
      <c r="AS121" s="32" t="n">
        <v>2023</v>
      </c>
      <c r="AT121" s="32" t="inlineStr">
        <is>
          <t>live case, no plan document yet</t>
        </is>
      </c>
      <c r="AU121" s="32" t="inlineStr"/>
      <c r="AV121" s="32" t="inlineStr">
        <is>
          <t>printed on the list (read twice)</t>
        </is>
      </c>
      <c r="AW121" s="32" t="inlineStr"/>
      <c r="AX121" s="32" t="inlineStr">
        <is>
          <t>OSASCO</t>
        </is>
      </c>
      <c r="AY121" s="32" t="inlineStr">
        <is>
          <t>SP</t>
        </is>
      </c>
      <c r="AZ121" s="32" t="inlineStr">
        <is>
          <t>Bancos múltiplos, com carteira comercial</t>
        </is>
      </c>
      <c r="BA121" s="32" t="inlineStr">
        <is>
          <t>não ME/EPP</t>
        </is>
      </c>
      <c r="BB121" s="33" t="n">
        <v>93770000000</v>
      </c>
      <c r="BC121" s="32" t="inlineStr">
        <is>
          <t>LARGE CORP</t>
        </is>
      </c>
      <c r="BD121" s="32" t="inlineStr">
        <is>
          <t>60746948</t>
        </is>
      </c>
      <c r="BE121" s="32" t="n">
        <v>2</v>
      </c>
      <c r="BF121" s="32" t="inlineStr">
        <is>
          <t>financial by name</t>
        </is>
      </c>
    </row>
    <row r="122">
      <c r="A122" s="17" t="inlineStr">
        <is>
          <t>TRUSTHUB SECURITIZADORA SA</t>
        </is>
      </c>
      <c r="B122" s="18" t="n">
        <v>1533721.91</v>
      </c>
      <c r="C122" s="19" t="inlineStr">
        <is>
          <t>FLAVOUR MIX IND. E REP. ALIM. E INGR. QUÍMICOS LTDA.</t>
        </is>
      </c>
      <c r="D122" s="20" t="inlineStr">
        <is>
          <t>NEW</t>
        </is>
      </c>
      <c r="E122" s="21" t="inlineStr"/>
      <c r="F122" s="20" t="inlineStr"/>
      <c r="G122" s="21" t="inlineStr"/>
      <c r="H122" s="20" t="inlineStr"/>
      <c r="I122" s="22" t="inlineStr">
        <is>
          <t>Edvaldo Oliveira</t>
        </is>
      </c>
      <c r="J122" s="22" t="inlineStr">
        <is>
          <t>Gerente Middle Corporate</t>
        </is>
      </c>
      <c r="K122" s="22" t="inlineStr"/>
      <c r="L122" s="22" t="inlineStr"/>
      <c r="M122" s="22" t="inlineStr"/>
      <c r="N122" s="22" t="inlineStr"/>
      <c r="O122" s="22" t="inlineStr"/>
      <c r="P122" s="22" t="inlineStr"/>
      <c r="Q122" s="22" t="inlineStr"/>
      <c r="R122" s="22" t="inlineStr"/>
      <c r="S122" s="22" t="inlineStr"/>
      <c r="T122" s="22" t="inlineStr">
        <is>
          <t>DM: DM email unavailable; VERIFY org: TrustHub; no work email in Apollo for DM; NO ROUTE IN: no phone or email on file</t>
        </is>
      </c>
      <c r="U122" s="24" t="n">
        <v>1533721.91</v>
      </c>
      <c r="V122" s="25" t="inlineStr">
        <is>
          <t>B</t>
        </is>
      </c>
      <c r="W122" s="26" t="inlineStr"/>
      <c r="X122" s="27" t="inlineStr"/>
      <c r="Y122" s="27" t="inlineStr"/>
      <c r="Z122" s="26">
        <f>IF(W122&lt;&gt;"",W122,IFERROR(VLOOKUP(V122,Assumptions!$A$8:$F$12,2,FALSE),0))*Assumptions!$B$5</f>
        <v/>
      </c>
      <c r="AA122" s="28">
        <f>IF(V122="A",MAX(1,IF(X122&lt;&gt;"",X122,IFERROR(VLOOKUP(V122,Assumptions!$A$8:$F$12,3,FALSE),3))+IF(Y122&lt;&gt;"",Y122,IFERROR(VLOOKUP(V122,Assumptions!$A$8:$F$12,4,FALSE),8))/2-MAX(0,IF(AS122="",0,YEAR(TODAY())-AS122)-IFERROR(VLOOKUP(V122,Assumptions!$A$8:$F$12,5,FALSE),1.5))),IFERROR(VLOOKUP(V122,Assumptions!$A$8:$F$12,5,FALSE),2.5)+IF(X122&lt;&gt;"",X122,IFERROR(VLOOKUP(V122,Assumptions!$A$8:$F$12,3,FALSE),3))+IF(Y122&lt;&gt;"",Y122,IFERROR(VLOOKUP(V122,Assumptions!$A$8:$F$12,4,FALSE),8))/2)</f>
        <v/>
      </c>
      <c r="AB122" s="24">
        <f>U122*Z122/(1+Assumptions!$B$3)^AA122</f>
        <v/>
      </c>
      <c r="AC122" s="27">
        <f>IF(U122=0,"",ROUND(AB122/U122*100,1))</f>
        <v/>
      </c>
      <c r="AD122" s="29">
        <f>AB122*Assumptions!$B$4</f>
        <v/>
      </c>
      <c r="AE122" s="27">
        <f>IF(U122=0,"",ROUND(AD122/U122*100,1))</f>
        <v/>
      </c>
      <c r="AF122" s="29">
        <f>AB122-AD122</f>
        <v/>
      </c>
      <c r="AG122" s="27">
        <f>IF(U122=0,"",ROUND((AB122-AD122)/U122*100,1))</f>
        <v/>
      </c>
      <c r="AH122" s="34" t="inlineStr">
        <is>
          <t>NO TOTALS — list prints none; check page</t>
        </is>
      </c>
      <c r="AI122" s="31" t="inlineStr">
        <is>
          <t>https://ativosajce.com.br/admin/download.php?file=files/processo_documento/processo_documento13422625032025_1_.pdf&amp;nome=Relação de Credores - Art. 52º § 1º, da Lei nº 11.101/2005 - 25/02/2025</t>
        </is>
      </c>
      <c r="AJ122" s="30" t="inlineStr">
        <is>
          <t>p5 r32; p5 r33</t>
        </is>
      </c>
      <c r="AK122" s="30" t="inlineStr">
        <is>
          <t>p5: R$ 484.500,00; p5: R$ 1.049.221,91</t>
        </is>
      </c>
      <c r="AL122" s="30" t="inlineStr">
        <is>
          <t>Unclassified list</t>
        </is>
      </c>
      <c r="AM122" s="30" t="inlineStr">
        <is>
          <t>2025-02-28</t>
        </is>
      </c>
      <c r="AN122" s="30" t="inlineStr">
        <is>
          <t>NONE FOUND</t>
        </is>
      </c>
      <c r="AO122" s="32" t="inlineStr">
        <is>
          <t>1000119-75.2025.8.26.0354</t>
        </is>
      </c>
      <c r="AP122" s="32" t="inlineStr">
        <is>
          <t>TJSP</t>
        </is>
      </c>
      <c r="AQ122" s="32" t="inlineStr">
        <is>
          <t>Recuperação judicial</t>
        </is>
      </c>
      <c r="AR122" s="32" t="inlineStr">
        <is>
          <t>DataJud: no closure/falência movement</t>
        </is>
      </c>
      <c r="AS122" s="32" t="n">
        <v>2025</v>
      </c>
      <c r="AT122" s="32" t="inlineStr">
        <is>
          <t>live case, no plan document yet; case no. from the portal record, not printed on the list</t>
        </is>
      </c>
      <c r="AU122" s="32" t="inlineStr">
        <is>
          <t>09.357.504/0001-38</t>
        </is>
      </c>
      <c r="AV122" s="32" t="inlineStr">
        <is>
          <t>printed on the list (read twice)</t>
        </is>
      </c>
      <c r="AW122" s="32" t="inlineStr"/>
      <c r="AX122" s="32" t="inlineStr"/>
      <c r="AY122" s="32" t="inlineStr"/>
      <c r="AZ122" s="32" t="inlineStr"/>
      <c r="BA122" s="32" t="inlineStr"/>
      <c r="BB122" s="33" t="inlineStr"/>
      <c r="BC122" s="32" t="inlineStr">
        <is>
          <t>UNKNOWN</t>
        </is>
      </c>
      <c r="BD122" s="32" t="inlineStr">
        <is>
          <t>02211906</t>
        </is>
      </c>
      <c r="BE122" s="32" t="n">
        <v>2</v>
      </c>
      <c r="BF122" s="32" t="inlineStr">
        <is>
          <t>financial by name list prints no totals no RFB record no route in</t>
        </is>
      </c>
    </row>
    <row r="123">
      <c r="A123" s="17" t="inlineStr">
        <is>
          <t>BANCO SAFRA S A</t>
        </is>
      </c>
      <c r="B123" s="18" t="n">
        <v>1504790.25</v>
      </c>
      <c r="C123" s="19" t="inlineStr">
        <is>
          <t>Cerealista Safrasul Ltda</t>
        </is>
      </c>
      <c r="D123" s="20" t="inlineStr">
        <is>
          <t>NEW</t>
        </is>
      </c>
      <c r="E123" s="21" t="inlineStr"/>
      <c r="F123" s="20" t="inlineStr"/>
      <c r="G123" s="21" t="inlineStr"/>
      <c r="H123" s="20" t="inlineStr"/>
      <c r="I123" s="22" t="inlineStr">
        <is>
          <t>Vanessa Biotti</t>
        </is>
      </c>
      <c r="J123" s="22" t="inlineStr">
        <is>
          <t>Gerente de Recuperação de Crédito</t>
        </is>
      </c>
      <c r="K123" s="22" t="inlineStr">
        <is>
          <t>(11) 3175-7575</t>
        </is>
      </c>
      <c r="L123" s="22" t="inlineStr"/>
      <c r="M123" s="22" t="inlineStr"/>
      <c r="N123" s="22" t="inlineStr">
        <is>
          <t>vanessa.biotti@safra.com.br</t>
        </is>
      </c>
      <c r="O123" s="22" t="inlineStr">
        <is>
          <t>verified</t>
        </is>
      </c>
      <c r="P123" s="22" t="inlineStr">
        <is>
          <t>Rodrigo Anjos</t>
        </is>
      </c>
      <c r="Q123" s="22" t="inlineStr">
        <is>
          <t>Advogado Sênior - Jurídico Contencioso - Recuperação de Crédito - NPL</t>
        </is>
      </c>
      <c r="R123" s="22" t="inlineStr"/>
      <c r="S123" s="22" t="inlineStr">
        <is>
          <t>rodrigo.anjos@safra.com.br</t>
        </is>
      </c>
      <c r="T123" s="22" t="inlineStr">
        <is>
          <t>DM: DM verified email; BACKUP: backup verified email (NPL legal)</t>
        </is>
      </c>
      <c r="U123" s="24" t="n">
        <v>1504790.25</v>
      </c>
      <c r="V123" s="25" t="inlineStr">
        <is>
          <t>B</t>
        </is>
      </c>
      <c r="W123" s="26" t="inlineStr"/>
      <c r="X123" s="27" t="inlineStr"/>
      <c r="Y123" s="27" t="inlineStr"/>
      <c r="Z123" s="26">
        <f>IF(W123&lt;&gt;"",W123,IFERROR(VLOOKUP(V123,Assumptions!$A$8:$F$12,2,FALSE),0))*Assumptions!$B$5</f>
        <v/>
      </c>
      <c r="AA123" s="28">
        <f>IF(V123="A",MAX(1,IF(X123&lt;&gt;"",X123,IFERROR(VLOOKUP(V123,Assumptions!$A$8:$F$12,3,FALSE),3))+IF(Y123&lt;&gt;"",Y123,IFERROR(VLOOKUP(V123,Assumptions!$A$8:$F$12,4,FALSE),8))/2-MAX(0,IF(AS123="",0,YEAR(TODAY())-AS123)-IFERROR(VLOOKUP(V123,Assumptions!$A$8:$F$12,5,FALSE),1.5))),IFERROR(VLOOKUP(V123,Assumptions!$A$8:$F$12,5,FALSE),2.5)+IF(X123&lt;&gt;"",X123,IFERROR(VLOOKUP(V123,Assumptions!$A$8:$F$12,3,FALSE),3))+IF(Y123&lt;&gt;"",Y123,IFERROR(VLOOKUP(V123,Assumptions!$A$8:$F$12,4,FALSE),8))/2)</f>
        <v/>
      </c>
      <c r="AB123" s="24">
        <f>U123*Z123/(1+Assumptions!$B$3)^AA123</f>
        <v/>
      </c>
      <c r="AC123" s="27">
        <f>IF(U123=0,"",ROUND(AB123/U123*100,1))</f>
        <v/>
      </c>
      <c r="AD123" s="29">
        <f>AB123*Assumptions!$B$4</f>
        <v/>
      </c>
      <c r="AE123" s="27">
        <f>IF(U123=0,"",ROUND(AD123/U123*100,1))</f>
        <v/>
      </c>
      <c r="AF123" s="29">
        <f>AB123-AD123</f>
        <v/>
      </c>
      <c r="AG123" s="27">
        <f>IF(U123=0,"",ROUND((AB123-AD123)/U123*100,1))</f>
        <v/>
      </c>
      <c r="AH123" s="34" t="inlineStr">
        <is>
          <t>NO TOTALS — list prints none; check page</t>
        </is>
      </c>
      <c r="AI123" s="31" t="inlineStr">
        <is>
          <t>https://ajruiz.com.br/sites/default/files/public/arquivos-processos/2026-01/safrasul_relacao_de_credores_recuperanda.pdf</t>
        </is>
      </c>
      <c r="AJ123" s="30" t="inlineStr">
        <is>
          <t>p8 r31; p8 r32; p8 r33</t>
        </is>
      </c>
      <c r="AK123" s="30" t="inlineStr">
        <is>
          <t>p8: R$ 474.497,77; p8: R$ 930.292,48; p8: R$ 100.000,00</t>
        </is>
      </c>
      <c r="AL123" s="30" t="inlineStr">
        <is>
          <t>AJ list (art. 7 §2)</t>
        </is>
      </c>
      <c r="AM123" s="30" t="inlineStr">
        <is>
          <t>2026-01-14</t>
        </is>
      </c>
      <c r="AN123" s="30" t="inlineStr">
        <is>
          <t>NONE FOUND</t>
        </is>
      </c>
      <c r="AO123" s="32" t="inlineStr">
        <is>
          <t>4000167-23.2025.8.26.0373</t>
        </is>
      </c>
      <c r="AP123" s="32" t="inlineStr">
        <is>
          <t>TJSP</t>
        </is>
      </c>
      <c r="AQ123" s="32" t="inlineStr">
        <is>
          <t>Recuperação judicial</t>
        </is>
      </c>
      <c r="AR123" s="32" t="inlineStr">
        <is>
          <t>DataJud: no closure/falência movement</t>
        </is>
      </c>
      <c r="AS123" s="32" t="n">
        <v>2025</v>
      </c>
      <c r="AT123" s="32" t="inlineStr">
        <is>
          <t>live case, no plan document yet</t>
        </is>
      </c>
      <c r="AU123" s="32" t="inlineStr"/>
      <c r="AV123" s="32" t="inlineStr">
        <is>
          <t>printed on the list (read twice)</t>
        </is>
      </c>
      <c r="AW123" s="32" t="inlineStr"/>
      <c r="AX123" s="32" t="inlineStr">
        <is>
          <t>SAO PAULO</t>
        </is>
      </c>
      <c r="AY123" s="32" t="inlineStr">
        <is>
          <t>SP</t>
        </is>
      </c>
      <c r="AZ123" s="32" t="inlineStr">
        <is>
          <t>Bancos múltiplos, com carteira comercial</t>
        </is>
      </c>
      <c r="BA123" s="32" t="inlineStr">
        <is>
          <t>não ME/EPP</t>
        </is>
      </c>
      <c r="BB123" s="33" t="n">
        <v>13924903000</v>
      </c>
      <c r="BC123" s="32" t="inlineStr">
        <is>
          <t>LARGE CORP</t>
        </is>
      </c>
      <c r="BD123" s="32" t="inlineStr">
        <is>
          <t>58160789</t>
        </is>
      </c>
      <c r="BE123" s="32" t="n">
        <v>3</v>
      </c>
      <c r="BF123" s="32" t="inlineStr">
        <is>
          <t>financial by name list prints no totals</t>
        </is>
      </c>
    </row>
    <row r="124">
      <c r="A124" s="17" t="inlineStr">
        <is>
          <t>ITAU UNIBANCO S.A.</t>
        </is>
      </c>
      <c r="B124" s="18" t="n">
        <v>1500000</v>
      </c>
      <c r="C124" s="19" t="inlineStr">
        <is>
          <t>Grupo Tendas</t>
        </is>
      </c>
      <c r="D124" s="20" t="inlineStr">
        <is>
          <t>NEW</t>
        </is>
      </c>
      <c r="E124" s="21" t="inlineStr"/>
      <c r="F124" s="20" t="inlineStr"/>
      <c r="G124" s="21" t="inlineStr"/>
      <c r="H124" s="20" t="inlineStr"/>
      <c r="I124" s="22" t="inlineStr">
        <is>
          <t>Murilo Gigliucci</t>
        </is>
      </c>
      <c r="J124" s="22" t="inlineStr">
        <is>
          <t>Superintendente de Reestruturação de Crédito</t>
        </is>
      </c>
      <c r="K124" s="22" t="inlineStr">
        <is>
          <t>(11) 3003-4828</t>
        </is>
      </c>
      <c r="L124" s="22" t="inlineStr"/>
      <c r="M124" s="22" t="inlineStr"/>
      <c r="N124" s="22" t="inlineStr">
        <is>
          <t>murilo.gigliucci@itau-unibanco.com.br</t>
        </is>
      </c>
      <c r="O124" s="22" t="inlineStr">
        <is>
          <t>verified</t>
        </is>
      </c>
      <c r="P124" s="22" t="inlineStr">
        <is>
          <t>Pedro Ornellas</t>
        </is>
      </c>
      <c r="Q124" s="22" t="inlineStr">
        <is>
          <t>Superintendente de Recuperação de Crédito</t>
        </is>
      </c>
      <c r="R124" s="22" t="inlineStr"/>
      <c r="S124" s="22" t="inlineStr">
        <is>
          <t>pedro.ornellas-geronimo@itau-unibanco.com.br</t>
        </is>
      </c>
      <c r="T124" s="22" t="inlineStr">
        <is>
          <t>DM: DM verified email; BACKUP: backup verified email</t>
        </is>
      </c>
      <c r="U124" s="24" t="n">
        <v>1500000</v>
      </c>
      <c r="V124" s="25" t="inlineStr">
        <is>
          <t>B</t>
        </is>
      </c>
      <c r="W124" s="26" t="inlineStr"/>
      <c r="X124" s="27" t="inlineStr"/>
      <c r="Y124" s="27" t="inlineStr"/>
      <c r="Z124" s="26">
        <f>IF(W124&lt;&gt;"",W124,IFERROR(VLOOKUP(V124,Assumptions!$A$8:$F$12,2,FALSE),0))*Assumptions!$B$5</f>
        <v/>
      </c>
      <c r="AA124" s="28">
        <f>IF(V124="A",MAX(1,IF(X124&lt;&gt;"",X124,IFERROR(VLOOKUP(V124,Assumptions!$A$8:$F$12,3,FALSE),3))+IF(Y124&lt;&gt;"",Y124,IFERROR(VLOOKUP(V124,Assumptions!$A$8:$F$12,4,FALSE),8))/2-MAX(0,IF(AS124="",0,YEAR(TODAY())-AS124)-IFERROR(VLOOKUP(V124,Assumptions!$A$8:$F$12,5,FALSE),1.5))),IFERROR(VLOOKUP(V124,Assumptions!$A$8:$F$12,5,FALSE),2.5)+IF(X124&lt;&gt;"",X124,IFERROR(VLOOKUP(V124,Assumptions!$A$8:$F$12,3,FALSE),3))+IF(Y124&lt;&gt;"",Y124,IFERROR(VLOOKUP(V124,Assumptions!$A$8:$F$12,4,FALSE),8))/2)</f>
        <v/>
      </c>
      <c r="AB124" s="24">
        <f>U124*Z124/(1+Assumptions!$B$3)^AA124</f>
        <v/>
      </c>
      <c r="AC124" s="27">
        <f>IF(U124=0,"",ROUND(AB124/U124*100,1))</f>
        <v/>
      </c>
      <c r="AD124" s="29">
        <f>AB124*Assumptions!$B$4</f>
        <v/>
      </c>
      <c r="AE124" s="27">
        <f>IF(U124=0,"",ROUND(AD124/U124*100,1))</f>
        <v/>
      </c>
      <c r="AF124" s="29">
        <f>AB124-AD124</f>
        <v/>
      </c>
      <c r="AG124" s="27">
        <f>IF(U124=0,"",ROUND((AB124-AD124)/U124*100,1))</f>
        <v/>
      </c>
      <c r="AH124" s="34" t="inlineStr">
        <is>
          <t>NO TOTALS — list prints none; check page</t>
        </is>
      </c>
      <c r="AI124" s="31" t="inlineStr">
        <is>
          <t>https://stenius.com.br/wp-content/uploads/2026/08/1°-EDITAL-GRUPO-TENDAS.pdf</t>
        </is>
      </c>
      <c r="AJ124" s="30" t="inlineStr">
        <is>
          <t>p5 r19</t>
        </is>
      </c>
      <c r="AK124" s="30" t="inlineStr">
        <is>
          <t>p5: R$ 1.500.000,00</t>
        </is>
      </c>
      <c r="AL124" s="30" t="inlineStr">
        <is>
          <t>AJ list (art. 7 §2)</t>
        </is>
      </c>
      <c r="AM124" s="30" t="inlineStr">
        <is>
          <t>2026-08-13</t>
        </is>
      </c>
      <c r="AN124" s="30" t="inlineStr">
        <is>
          <t>NONE FOUND</t>
        </is>
      </c>
      <c r="AO124" s="32" t="inlineStr">
        <is>
          <t>5401053-70.2026.8.09.0051</t>
        </is>
      </c>
      <c r="AP124" s="32" t="inlineStr">
        <is>
          <t>TJGO</t>
        </is>
      </c>
      <c r="AQ124" s="32" t="inlineStr">
        <is>
          <t>Recuperação judicial</t>
        </is>
      </c>
      <c r="AR124" s="32" t="inlineStr">
        <is>
          <t>DataJud: no closure/falência movement</t>
        </is>
      </c>
      <c r="AS124" s="32" t="n">
        <v>2026</v>
      </c>
      <c r="AT124" s="32" t="inlineStr">
        <is>
          <t>live case, no plan document yet</t>
        </is>
      </c>
      <c r="AU124" s="32" t="inlineStr">
        <is>
          <t>05.047.886/0001-42</t>
        </is>
      </c>
      <c r="AV124" s="32" t="inlineStr">
        <is>
          <t>printed on the list (read twice)</t>
        </is>
      </c>
      <c r="AW124" s="32" t="inlineStr"/>
      <c r="AX124" s="32" t="inlineStr">
        <is>
          <t>SAO PAULO</t>
        </is>
      </c>
      <c r="AY124" s="32" t="inlineStr">
        <is>
          <t>SP</t>
        </is>
      </c>
      <c r="AZ124" s="32" t="inlineStr">
        <is>
          <t>Bancos comerciais</t>
        </is>
      </c>
      <c r="BA124" s="32" t="inlineStr">
        <is>
          <t>não ME/EPP</t>
        </is>
      </c>
      <c r="BB124" s="33" t="n">
        <v>76200000000</v>
      </c>
      <c r="BC124" s="32" t="inlineStr">
        <is>
          <t>LARGE CORP</t>
        </is>
      </c>
      <c r="BD124" s="32" t="inlineStr">
        <is>
          <t>60701190</t>
        </is>
      </c>
      <c r="BE124" s="32" t="n">
        <v>1</v>
      </c>
      <c r="BF124" s="32" t="inlineStr">
        <is>
          <t>financial by name list prints no totals</t>
        </is>
      </c>
    </row>
    <row r="125">
      <c r="A125" s="17" t="inlineStr">
        <is>
          <t>BANCO SAFRA S A</t>
        </is>
      </c>
      <c r="B125" s="18" t="n">
        <v>1465561.74</v>
      </c>
      <c r="C125" s="19" t="inlineStr">
        <is>
          <t>GRUPO DP4</t>
        </is>
      </c>
      <c r="D125" s="20" t="inlineStr">
        <is>
          <t>NEW</t>
        </is>
      </c>
      <c r="E125" s="21" t="inlineStr"/>
      <c r="F125" s="20" t="inlineStr"/>
      <c r="G125" s="21" t="inlineStr"/>
      <c r="H125" s="20" t="inlineStr"/>
      <c r="I125" s="22" t="inlineStr">
        <is>
          <t>Vanessa Biotti</t>
        </is>
      </c>
      <c r="J125" s="22" t="inlineStr">
        <is>
          <t>Gerente de Recuperação de Crédito</t>
        </is>
      </c>
      <c r="K125" s="22" t="inlineStr">
        <is>
          <t>(11) 3175-7575</t>
        </is>
      </c>
      <c r="L125" s="22" t="inlineStr"/>
      <c r="M125" s="22" t="inlineStr"/>
      <c r="N125" s="22" t="inlineStr">
        <is>
          <t>vanessa.biotti@safra.com.br</t>
        </is>
      </c>
      <c r="O125" s="22" t="inlineStr">
        <is>
          <t>verified</t>
        </is>
      </c>
      <c r="P125" s="22" t="inlineStr">
        <is>
          <t>Rodrigo Anjos</t>
        </is>
      </c>
      <c r="Q125" s="22" t="inlineStr">
        <is>
          <t>Advogado Sênior - Jurídico Contencioso - Recuperação de Crédito - NPL</t>
        </is>
      </c>
      <c r="R125" s="22" t="inlineStr"/>
      <c r="S125" s="22" t="inlineStr">
        <is>
          <t>rodrigo.anjos@safra.com.br</t>
        </is>
      </c>
      <c r="T125" s="22" t="inlineStr">
        <is>
          <t>DM: DM verified email; BACKUP: backup verified email (NPL legal)</t>
        </is>
      </c>
      <c r="U125" s="24" t="n">
        <v>1465561.74</v>
      </c>
      <c r="V125" s="25" t="inlineStr">
        <is>
          <t>B</t>
        </is>
      </c>
      <c r="W125" s="26" t="inlineStr"/>
      <c r="X125" s="27" t="inlineStr"/>
      <c r="Y125" s="27" t="inlineStr"/>
      <c r="Z125" s="26">
        <f>IF(W125&lt;&gt;"",W125,IFERROR(VLOOKUP(V125,Assumptions!$A$8:$F$12,2,FALSE),0))*Assumptions!$B$5</f>
        <v/>
      </c>
      <c r="AA125" s="28">
        <f>IF(V125="A",MAX(1,IF(X125&lt;&gt;"",X125,IFERROR(VLOOKUP(V125,Assumptions!$A$8:$F$12,3,FALSE),3))+IF(Y125&lt;&gt;"",Y125,IFERROR(VLOOKUP(V125,Assumptions!$A$8:$F$12,4,FALSE),8))/2-MAX(0,IF(AS125="",0,YEAR(TODAY())-AS125)-IFERROR(VLOOKUP(V125,Assumptions!$A$8:$F$12,5,FALSE),1.5))),IFERROR(VLOOKUP(V125,Assumptions!$A$8:$F$12,5,FALSE),2.5)+IF(X125&lt;&gt;"",X125,IFERROR(VLOOKUP(V125,Assumptions!$A$8:$F$12,3,FALSE),3))+IF(Y125&lt;&gt;"",Y125,IFERROR(VLOOKUP(V125,Assumptions!$A$8:$F$12,4,FALSE),8))/2)</f>
        <v/>
      </c>
      <c r="AB125" s="24">
        <f>U125*Z125/(1+Assumptions!$B$3)^AA125</f>
        <v/>
      </c>
      <c r="AC125" s="27">
        <f>IF(U125=0,"",ROUND(AB125/U125*100,1))</f>
        <v/>
      </c>
      <c r="AD125" s="29">
        <f>AB125*Assumptions!$B$4</f>
        <v/>
      </c>
      <c r="AE125" s="27">
        <f>IF(U125=0,"",ROUND(AD125/U125*100,1))</f>
        <v/>
      </c>
      <c r="AF125" s="29">
        <f>AB125-AD125</f>
        <v/>
      </c>
      <c r="AG125" s="27">
        <f>IF(U125=0,"",ROUND((AB125-AD125)/U125*100,1))</f>
        <v/>
      </c>
      <c r="AH125" s="35" t="inlineStr">
        <is>
          <t>PARTIAL — class III reconciled, other classes not</t>
        </is>
      </c>
      <c r="AI125" s="31" t="inlineStr">
        <is>
          <t>https://marquesadmjudicial.com.br/sgc/download.php?file=files/processo_documento/processo_documento15293208032024_1_.pdf&amp;nome=Relação Nominal de Credores da AJ-Sintética</t>
        </is>
      </c>
      <c r="AJ125" s="30" t="inlineStr">
        <is>
          <t>p21 r4</t>
        </is>
      </c>
      <c r="AK125" s="30" t="inlineStr">
        <is>
          <t>p21: R$ 1.465.561,74</t>
        </is>
      </c>
      <c r="AL125" s="30" t="inlineStr">
        <is>
          <t>AJ list (art. 7 §2)</t>
        </is>
      </c>
      <c r="AM125" s="30" t="inlineStr">
        <is>
          <t>2023-03-02</t>
        </is>
      </c>
      <c r="AN125" s="30" t="inlineStr">
        <is>
          <t>NONE FOUND</t>
        </is>
      </c>
      <c r="AO125" s="32" t="inlineStr">
        <is>
          <t>0005010-98.2023.8.16.0001</t>
        </is>
      </c>
      <c r="AP125" s="32" t="inlineStr">
        <is>
          <t>TJPR</t>
        </is>
      </c>
      <c r="AQ125" s="32" t="inlineStr">
        <is>
          <t>Recuperação judicial</t>
        </is>
      </c>
      <c r="AR125" s="32" t="inlineStr">
        <is>
          <t>DataJud: no closure/falência movement</t>
        </is>
      </c>
      <c r="AS125" s="32" t="n">
        <v>2023</v>
      </c>
      <c r="AT125" s="32" t="inlineStr">
        <is>
          <t>live case, no plan document yet</t>
        </is>
      </c>
      <c r="AU125" s="32" t="inlineStr"/>
      <c r="AV125" s="32" t="inlineStr">
        <is>
          <t>printed on the list (read twice)</t>
        </is>
      </c>
      <c r="AW125" s="32" t="inlineStr"/>
      <c r="AX125" s="32" t="inlineStr">
        <is>
          <t>SAO PAULO</t>
        </is>
      </c>
      <c r="AY125" s="32" t="inlineStr">
        <is>
          <t>SP</t>
        </is>
      </c>
      <c r="AZ125" s="32" t="inlineStr">
        <is>
          <t>Bancos múltiplos, com carteira comercial</t>
        </is>
      </c>
      <c r="BA125" s="32" t="inlineStr">
        <is>
          <t>não ME/EPP</t>
        </is>
      </c>
      <c r="BB125" s="33" t="n">
        <v>13924903000</v>
      </c>
      <c r="BC125" s="32" t="inlineStr">
        <is>
          <t>LARGE CORP</t>
        </is>
      </c>
      <c r="BD125" s="32" t="inlineStr">
        <is>
          <t>58160789</t>
        </is>
      </c>
      <c r="BE125" s="32" t="n">
        <v>1</v>
      </c>
      <c r="BF125" s="32" t="inlineStr">
        <is>
          <t>financial by name class III reconciled (doc partial)</t>
        </is>
      </c>
    </row>
    <row r="126">
      <c r="A126" s="17" t="inlineStr">
        <is>
          <t>BANCO SANTANDER (BRASIL) S.A.</t>
        </is>
      </c>
      <c r="B126" s="18" t="n">
        <v>6202478.95</v>
      </c>
      <c r="C126" s="19" t="inlineStr">
        <is>
          <t>GRUPO 3E</t>
        </is>
      </c>
      <c r="D126" s="20" t="inlineStr">
        <is>
          <t>NEW</t>
        </is>
      </c>
      <c r="E126" s="21" t="inlineStr"/>
      <c r="F126" s="20" t="inlineStr"/>
      <c r="G126" s="21" t="inlineStr"/>
      <c r="H126" s="20" t="inlineStr"/>
      <c r="I126" s="22" t="inlineStr">
        <is>
          <t>Igor Puertas</t>
        </is>
      </c>
      <c r="J126" s="22" t="inlineStr">
        <is>
          <t>Distressed Assets | NPL</t>
        </is>
      </c>
      <c r="K126" s="22" t="inlineStr">
        <is>
          <t>(11) 4004-3535</t>
        </is>
      </c>
      <c r="L126" s="22" t="inlineStr"/>
      <c r="M126" s="22" t="inlineStr"/>
      <c r="N126" s="22" t="inlineStr">
        <is>
          <t>igor.puertas@santander.com.br</t>
        </is>
      </c>
      <c r="O126" s="22" t="inlineStr">
        <is>
          <t>verified</t>
        </is>
      </c>
      <c r="P126" s="22" t="inlineStr">
        <is>
          <t>Antonio Junior</t>
        </is>
      </c>
      <c r="Q126" s="22" t="inlineStr">
        <is>
          <t>Superintendente Recuperação de Crédito</t>
        </is>
      </c>
      <c r="R126" s="22" t="inlineStr"/>
      <c r="S126" s="22" t="inlineStr">
        <is>
          <t>antonio.pequeno.junior@santander.com.br</t>
        </is>
      </c>
      <c r="T126" s="22" t="inlineStr">
        <is>
          <t>DM: DM; BACKUP: backup</t>
        </is>
      </c>
      <c r="U126" s="24" t="n">
        <v>6202478.95</v>
      </c>
      <c r="V126" s="25" t="inlineStr">
        <is>
          <t>B</t>
        </is>
      </c>
      <c r="W126" s="26" t="n">
        <v>0.12</v>
      </c>
      <c r="X126" s="27" t="n">
        <v>2</v>
      </c>
      <c r="Y126" s="27" t="n">
        <v>13</v>
      </c>
      <c r="Z126" s="26">
        <f>IF(W126&lt;&gt;"",W126,IFERROR(VLOOKUP(V126,Assumptions!$A$8:$F$12,2,FALSE),0))*Assumptions!$B$5</f>
        <v/>
      </c>
      <c r="AA126" s="28">
        <f>IF(V126="A",MAX(1,IF(X126&lt;&gt;"",X126,IFERROR(VLOOKUP(V126,Assumptions!$A$8:$F$12,3,FALSE),3))+IF(Y126&lt;&gt;"",Y126,IFERROR(VLOOKUP(V126,Assumptions!$A$8:$F$12,4,FALSE),8))/2-MAX(0,IF(AS126="",0,YEAR(TODAY())-AS126)-IFERROR(VLOOKUP(V126,Assumptions!$A$8:$F$12,5,FALSE),1.5))),IFERROR(VLOOKUP(V126,Assumptions!$A$8:$F$12,5,FALSE),2.5)+IF(X126&lt;&gt;"",X126,IFERROR(VLOOKUP(V126,Assumptions!$A$8:$F$12,3,FALSE),3))+IF(Y126&lt;&gt;"",Y126,IFERROR(VLOOKUP(V126,Assumptions!$A$8:$F$12,4,FALSE),8))/2)</f>
        <v/>
      </c>
      <c r="AB126" s="24">
        <f>U126*Z126/(1+Assumptions!$B$3)^AA126</f>
        <v/>
      </c>
      <c r="AC126" s="27">
        <f>IF(U126=0,"",ROUND(AB126/U126*100,1))</f>
        <v/>
      </c>
      <c r="AD126" s="29">
        <f>AB126*Assumptions!$B$4</f>
        <v/>
      </c>
      <c r="AE126" s="27">
        <f>IF(U126=0,"",ROUND(AD126/U126*100,1))</f>
        <v/>
      </c>
      <c r="AF126" s="29">
        <f>AB126-AD126</f>
        <v/>
      </c>
      <c r="AG126" s="27">
        <f>IF(U126=0,"",ROUND((AB126-AD126)/U126*100,1))</f>
        <v/>
      </c>
      <c r="AH126" s="34" t="inlineStr">
        <is>
          <t>NO TOTALS — list prints none; check page</t>
        </is>
      </c>
      <c r="AI126" s="31" t="inlineStr">
        <is>
          <t>https://stenius.com.br/wp-content/uploads/2026/06/EDITAL-GRUPO-3E.pdf</t>
        </is>
      </c>
      <c r="AJ126" s="30" t="inlineStr">
        <is>
          <t>p10 r39</t>
        </is>
      </c>
      <c r="AK126" s="30" t="inlineStr">
        <is>
          <t>p10: R$ 6.202.478,95</t>
        </is>
      </c>
      <c r="AL126" s="30" t="inlineStr">
        <is>
          <t>Debtor list (art. 51)</t>
        </is>
      </c>
      <c r="AM126" s="30" t="inlineStr">
        <is>
          <t>2026-06-22</t>
        </is>
      </c>
      <c r="AN126" s="30" t="inlineStr">
        <is>
          <t>PLAN FILED (art. 53), not granted</t>
        </is>
      </c>
      <c r="AO126" s="32" t="inlineStr">
        <is>
          <t>5341375-33.2026.8.09.0049</t>
        </is>
      </c>
      <c r="AP126" s="32" t="inlineStr">
        <is>
          <t>TJGO</t>
        </is>
      </c>
      <c r="AQ126" s="32" t="inlineStr">
        <is>
          <t>Recuperação judicial</t>
        </is>
      </c>
      <c r="AR126" s="32" t="inlineStr">
        <is>
          <t>DataJud: no closure/falência movement</t>
        </is>
      </c>
      <c r="AS126" s="32" t="n">
        <v>2026</v>
      </c>
      <c r="AT126" s="32" t="inlineStr">
        <is>
          <t>plan filed (art. 53), not yet granted</t>
        </is>
      </c>
      <c r="AU126" s="32" t="inlineStr"/>
      <c r="AV126" s="32" t="inlineStr">
        <is>
          <t>printed on the list (read twice)</t>
        </is>
      </c>
      <c r="AW126" s="32" t="inlineStr">
        <is>
          <t>Plano de Recuperação Judicial Grupo 3E v2.0 (Métis), mov. 321, pp.24-25</t>
        </is>
      </c>
      <c r="AX126" s="32" t="inlineStr">
        <is>
          <t>SAO PAULO</t>
        </is>
      </c>
      <c r="AY126" s="32" t="inlineStr">
        <is>
          <t>SP</t>
        </is>
      </c>
      <c r="AZ126" s="32" t="inlineStr">
        <is>
          <t>Bancos múltiplos, com carteira comercial</t>
        </is>
      </c>
      <c r="BA126" s="32" t="inlineStr">
        <is>
          <t>não ME/EPP</t>
        </is>
      </c>
      <c r="BB126" s="33" t="n">
        <v>65000000000</v>
      </c>
      <c r="BC126" s="32" t="inlineStr">
        <is>
          <t>LARGE CORP</t>
        </is>
      </c>
      <c r="BD126" s="32" t="inlineStr">
        <is>
          <t>90400888</t>
        </is>
      </c>
      <c r="BE126" s="32" t="n">
        <v>1</v>
      </c>
      <c r="BF126" s="32" t="inlineStr">
        <is>
          <t>financial by name list prints no totals</t>
        </is>
      </c>
    </row>
    <row r="127">
      <c r="A127" s="17" t="inlineStr">
        <is>
          <t>BANCO SANTANDER (BRASIL) S.A.</t>
        </is>
      </c>
      <c r="B127" s="18" t="n">
        <v>1400946.8</v>
      </c>
      <c r="C127" s="19" t="inlineStr">
        <is>
          <t>Grupo Arruda (ARRUDA &amp; MELO REPRESENTACAO DE ALIMENTOS E BEBIDAS LTDA, ARRUDA &amp; MELO COMERCIO E DISTRIBUICAO DE ALIMENTOS E BEBIDAS LTDA, ARRUDA &amp; MELO COMERCIO E DISTRIBUICAO DE ALIMENTOS E BEBIDAS DA BAHIA LTDA)</t>
        </is>
      </c>
      <c r="D127" s="20" t="inlineStr">
        <is>
          <t>NEW</t>
        </is>
      </c>
      <c r="E127" s="21" t="inlineStr"/>
      <c r="F127" s="20" t="inlineStr"/>
      <c r="G127" s="21" t="inlineStr"/>
      <c r="H127" s="20" t="inlineStr"/>
      <c r="I127" s="22" t="inlineStr">
        <is>
          <t>Igor Puertas</t>
        </is>
      </c>
      <c r="J127" s="22" t="inlineStr">
        <is>
          <t>Distressed Assets | NPL</t>
        </is>
      </c>
      <c r="K127" s="22" t="inlineStr">
        <is>
          <t>(11) 4004-3535</t>
        </is>
      </c>
      <c r="L127" s="22" t="inlineStr"/>
      <c r="M127" s="22" t="inlineStr"/>
      <c r="N127" s="22" t="inlineStr">
        <is>
          <t>igor.puertas@santander.com.br</t>
        </is>
      </c>
      <c r="O127" s="22" t="inlineStr">
        <is>
          <t>verified</t>
        </is>
      </c>
      <c r="P127" s="22" t="inlineStr">
        <is>
          <t>Antonio Junior</t>
        </is>
      </c>
      <c r="Q127" s="22" t="inlineStr">
        <is>
          <t>Superintendente Recuperação de Crédito</t>
        </is>
      </c>
      <c r="R127" s="22" t="inlineStr"/>
      <c r="S127" s="22" t="inlineStr">
        <is>
          <t>antonio.pequeno.junior@santander.com.br</t>
        </is>
      </c>
      <c r="T127" s="22" t="inlineStr">
        <is>
          <t>DM: DM; BACKUP: backup</t>
        </is>
      </c>
      <c r="U127" s="24" t="n">
        <v>1400946.8</v>
      </c>
      <c r="V127" s="25" t="inlineStr">
        <is>
          <t>B</t>
        </is>
      </c>
      <c r="W127" s="26" t="inlineStr"/>
      <c r="X127" s="27" t="inlineStr"/>
      <c r="Y127" s="27" t="inlineStr"/>
      <c r="Z127" s="26">
        <f>IF(W127&lt;&gt;"",W127,IFERROR(VLOOKUP(V127,Assumptions!$A$8:$F$12,2,FALSE),0))*Assumptions!$B$5</f>
        <v/>
      </c>
      <c r="AA127" s="28">
        <f>IF(V127="A",MAX(1,IF(X127&lt;&gt;"",X127,IFERROR(VLOOKUP(V127,Assumptions!$A$8:$F$12,3,FALSE),3))+IF(Y127&lt;&gt;"",Y127,IFERROR(VLOOKUP(V127,Assumptions!$A$8:$F$12,4,FALSE),8))/2-MAX(0,IF(AS127="",0,YEAR(TODAY())-AS127)-IFERROR(VLOOKUP(V127,Assumptions!$A$8:$F$12,5,FALSE),1.5))),IFERROR(VLOOKUP(V127,Assumptions!$A$8:$F$12,5,FALSE),2.5)+IF(X127&lt;&gt;"",X127,IFERROR(VLOOKUP(V127,Assumptions!$A$8:$F$12,3,FALSE),3))+IF(Y127&lt;&gt;"",Y127,IFERROR(VLOOKUP(V127,Assumptions!$A$8:$F$12,4,FALSE),8))/2)</f>
        <v/>
      </c>
      <c r="AB127" s="24">
        <f>U127*Z127/(1+Assumptions!$B$3)^AA127</f>
        <v/>
      </c>
      <c r="AC127" s="27">
        <f>IF(U127=0,"",ROUND(AB127/U127*100,1))</f>
        <v/>
      </c>
      <c r="AD127" s="29">
        <f>AB127*Assumptions!$B$4</f>
        <v/>
      </c>
      <c r="AE127" s="27">
        <f>IF(U127=0,"",ROUND(AD127/U127*100,1))</f>
        <v/>
      </c>
      <c r="AF127" s="29">
        <f>AB127-AD127</f>
        <v/>
      </c>
      <c r="AG127" s="27">
        <f>IF(U127=0,"",ROUND((AB127-AD127)/U127*100,1))</f>
        <v/>
      </c>
      <c r="AH127" s="30" t="inlineStr">
        <is>
          <t>OK — totals reconciled</t>
        </is>
      </c>
      <c r="AI127" s="31" t="inlineStr">
        <is>
          <t>https://diligence.adm.br/wp-content/uploads/2025/06/Edital-1a-Lista-de-Credores.pdf</t>
        </is>
      </c>
      <c r="AJ127" s="30" t="inlineStr">
        <is>
          <t>p5 r53</t>
        </is>
      </c>
      <c r="AK127" s="30" t="inlineStr">
        <is>
          <t>p5: R$ 1.400.946,80</t>
        </is>
      </c>
      <c r="AL127" s="30" t="inlineStr">
        <is>
          <t>Debtor list (art. 51)</t>
        </is>
      </c>
      <c r="AM127" s="30" t="inlineStr">
        <is>
          <t>2025-06-10</t>
        </is>
      </c>
      <c r="AN127" s="30" t="inlineStr">
        <is>
          <t>NONE FOUND</t>
        </is>
      </c>
      <c r="AO127" s="32" t="inlineStr">
        <is>
          <t>0008526-45.2025.8.17.2001</t>
        </is>
      </c>
      <c r="AP127" s="32" t="inlineStr">
        <is>
          <t>TJPE</t>
        </is>
      </c>
      <c r="AQ127" s="32" t="inlineStr">
        <is>
          <t>Recuperação judicial</t>
        </is>
      </c>
      <c r="AR127" s="32" t="inlineStr">
        <is>
          <t>DataJud: no closure/falência movement</t>
        </is>
      </c>
      <c r="AS127" s="32" t="n">
        <v>2025</v>
      </c>
      <c r="AT127" s="32" t="inlineStr">
        <is>
          <t>live case, no plan document yet</t>
        </is>
      </c>
      <c r="AU127" s="32" t="inlineStr"/>
      <c r="AV127" s="32" t="inlineStr">
        <is>
          <t>printed on the list (read twice)</t>
        </is>
      </c>
      <c r="AW127" s="32" t="inlineStr"/>
      <c r="AX127" s="32" t="inlineStr">
        <is>
          <t>SAO PAULO</t>
        </is>
      </c>
      <c r="AY127" s="32" t="inlineStr">
        <is>
          <t>SP</t>
        </is>
      </c>
      <c r="AZ127" s="32" t="inlineStr">
        <is>
          <t>Bancos múltiplos, com carteira comercial</t>
        </is>
      </c>
      <c r="BA127" s="32" t="inlineStr">
        <is>
          <t>não ME/EPP</t>
        </is>
      </c>
      <c r="BB127" s="33" t="n">
        <v>65000000000</v>
      </c>
      <c r="BC127" s="32" t="inlineStr">
        <is>
          <t>LARGE CORP</t>
        </is>
      </c>
      <c r="BD127" s="32" t="inlineStr">
        <is>
          <t>90400888</t>
        </is>
      </c>
      <c r="BE127" s="32" t="n">
        <v>1</v>
      </c>
      <c r="BF127" s="32" t="inlineStr">
        <is>
          <t>financial by name</t>
        </is>
      </c>
    </row>
    <row r="128">
      <c r="A128" s="17" t="inlineStr">
        <is>
          <t>INTERBANK FUNDO DE INVESTIMENTO EM DIREITOS CREDITORIOS</t>
        </is>
      </c>
      <c r="B128" s="18" t="n">
        <v>1357782.33</v>
      </c>
      <c r="C128" s="19" t="inlineStr">
        <is>
          <t>Grupo Conduscabos</t>
        </is>
      </c>
      <c r="D128" s="20" t="inlineStr">
        <is>
          <t>NEW</t>
        </is>
      </c>
      <c r="E128" s="21" t="inlineStr"/>
      <c r="F128" s="20" t="inlineStr"/>
      <c r="G128" s="21" t="inlineStr"/>
      <c r="H128" s="20" t="inlineStr"/>
      <c r="I128" s="22" t="inlineStr">
        <is>
          <t>Talita Nicacio</t>
        </is>
      </c>
      <c r="J128" s="22" t="inlineStr">
        <is>
          <t>Coordenador(a) de Crédito, Cadastro e Formalização - FIDC</t>
        </is>
      </c>
      <c r="K128" s="22" t="inlineStr">
        <is>
          <t>(11) 2827-3500</t>
        </is>
      </c>
      <c r="L128" s="22" t="inlineStr"/>
      <c r="M128" s="22" t="inlineStr"/>
      <c r="N128" s="22" t="inlineStr">
        <is>
          <t>talita@lsinterbank.com.br</t>
        </is>
      </c>
      <c r="O128" s="22" t="inlineStr">
        <is>
          <t>verified</t>
        </is>
      </c>
      <c r="P128" s="22" t="inlineStr"/>
      <c r="Q128" s="22" t="inlineStr"/>
      <c r="R128" s="22" t="inlineStr"/>
      <c r="S128" s="22" t="inlineStr"/>
      <c r="T128" s="22" t="inlineStr">
        <is>
          <t>DM: DM verified email; LS Interbank (BH) FIDC credit coordinator; VERIFY org: LS Interbank</t>
        </is>
      </c>
      <c r="U128" s="24" t="n">
        <v>1357782.33</v>
      </c>
      <c r="V128" s="25" t="inlineStr">
        <is>
          <t>B</t>
        </is>
      </c>
      <c r="W128" s="26" t="inlineStr"/>
      <c r="X128" s="27" t="inlineStr"/>
      <c r="Y128" s="27" t="inlineStr"/>
      <c r="Z128" s="26">
        <f>IF(W128&lt;&gt;"",W128,IFERROR(VLOOKUP(V128,Assumptions!$A$8:$F$12,2,FALSE),0))*Assumptions!$B$5</f>
        <v/>
      </c>
      <c r="AA128" s="28">
        <f>IF(V128="A",MAX(1,IF(X128&lt;&gt;"",X128,IFERROR(VLOOKUP(V128,Assumptions!$A$8:$F$12,3,FALSE),3))+IF(Y128&lt;&gt;"",Y128,IFERROR(VLOOKUP(V128,Assumptions!$A$8:$F$12,4,FALSE),8))/2-MAX(0,IF(AS128="",0,YEAR(TODAY())-AS128)-IFERROR(VLOOKUP(V128,Assumptions!$A$8:$F$12,5,FALSE),1.5))),IFERROR(VLOOKUP(V128,Assumptions!$A$8:$F$12,5,FALSE),2.5)+IF(X128&lt;&gt;"",X128,IFERROR(VLOOKUP(V128,Assumptions!$A$8:$F$12,3,FALSE),3))+IF(Y128&lt;&gt;"",Y128,IFERROR(VLOOKUP(V128,Assumptions!$A$8:$F$12,4,FALSE),8))/2)</f>
        <v/>
      </c>
      <c r="AB128" s="24">
        <f>U128*Z128/(1+Assumptions!$B$3)^AA128</f>
        <v/>
      </c>
      <c r="AC128" s="27">
        <f>IF(U128=0,"",ROUND(AB128/U128*100,1))</f>
        <v/>
      </c>
      <c r="AD128" s="29">
        <f>AB128*Assumptions!$B$4</f>
        <v/>
      </c>
      <c r="AE128" s="27">
        <f>IF(U128=0,"",ROUND(AD128/U128*100,1))</f>
        <v/>
      </c>
      <c r="AF128" s="29">
        <f>AB128-AD128</f>
        <v/>
      </c>
      <c r="AG128" s="27">
        <f>IF(U128=0,"",ROUND((AB128-AD128)/U128*100,1))</f>
        <v/>
      </c>
      <c r="AH128" s="34" t="inlineStr">
        <is>
          <t>NO TOTALS — list prints none; check page</t>
        </is>
      </c>
      <c r="AI128" s="31" t="inlineStr">
        <is>
          <t>https://assistjud.com.br/wp-content/uploads/elementor/forms/65098c80a5824.pdf</t>
        </is>
      </c>
      <c r="AJ128" s="30" t="inlineStr">
        <is>
          <t>p8 r14</t>
        </is>
      </c>
      <c r="AK128" s="30" t="inlineStr">
        <is>
          <t>p8: R$ 1.357.782,33</t>
        </is>
      </c>
      <c r="AL128" s="30" t="inlineStr">
        <is>
          <t>AJ list (art. 7 §2)</t>
        </is>
      </c>
      <c r="AM128" s="30" t="inlineStr">
        <is>
          <t>2023-09-18</t>
        </is>
      </c>
      <c r="AN128" s="30" t="inlineStr">
        <is>
          <t>NONE FOUND</t>
        </is>
      </c>
      <c r="AO128" s="32" t="inlineStr">
        <is>
          <t>8005129-09.2023.8.05.0039</t>
        </is>
      </c>
      <c r="AP128" s="32" t="inlineStr">
        <is>
          <t>TJBA</t>
        </is>
      </c>
      <c r="AQ128" s="32" t="inlineStr">
        <is>
          <t>Recuperação judicial</t>
        </is>
      </c>
      <c r="AR128" s="32" t="inlineStr">
        <is>
          <t>DataJud: no closure/falência movement</t>
        </is>
      </c>
      <c r="AS128" s="32" t="n">
        <v>2023</v>
      </c>
      <c r="AT128" s="32" t="inlineStr">
        <is>
          <t>live case, no plan document yet</t>
        </is>
      </c>
      <c r="AU128" s="32" t="inlineStr"/>
      <c r="AV128" s="32" t="inlineStr">
        <is>
          <t>printed on the list (read twice)</t>
        </is>
      </c>
      <c r="AW128" s="32" t="inlineStr"/>
      <c r="AX128" s="32" t="inlineStr">
        <is>
          <t>SAO PAULO</t>
        </is>
      </c>
      <c r="AY128" s="32" t="inlineStr">
        <is>
          <t>SP</t>
        </is>
      </c>
      <c r="AZ128" s="32" t="inlineStr">
        <is>
          <t>Fundos de investimento, exceto previdenciários e imobiliários</t>
        </is>
      </c>
      <c r="BA128" s="32" t="inlineStr">
        <is>
          <t>não ME/EPP</t>
        </is>
      </c>
      <c r="BB128" s="33" t="inlineStr"/>
      <c r="BC128" s="32" t="inlineStr">
        <is>
          <t>UNKNOWN</t>
        </is>
      </c>
      <c r="BD128" s="32" t="inlineStr">
        <is>
          <t>20791371</t>
        </is>
      </c>
      <c r="BE128" s="32" t="n">
        <v>1</v>
      </c>
      <c r="BF128" s="32" t="inlineStr">
        <is>
          <t>list prints no totals</t>
        </is>
      </c>
    </row>
    <row r="129">
      <c r="A129" s="17" t="inlineStr">
        <is>
          <t>BANCO BRADESCO S.A.</t>
        </is>
      </c>
      <c r="B129" s="18" t="n">
        <v>1341594.91</v>
      </c>
      <c r="C129" s="19" t="inlineStr">
        <is>
          <t>Grupo Rech</t>
        </is>
      </c>
      <c r="D129" s="20" t="inlineStr">
        <is>
          <t>NEW</t>
        </is>
      </c>
      <c r="E129" s="21" t="inlineStr"/>
      <c r="F129" s="20" t="inlineStr"/>
      <c r="G129" s="21" t="inlineStr"/>
      <c r="H129" s="20" t="inlineStr"/>
      <c r="I129" s="22" t="inlineStr">
        <is>
          <t>Marcela Martins</t>
        </is>
      </c>
      <c r="J129" s="22" t="inlineStr">
        <is>
          <t>Superintendente de Recuperação de Crédito - Canais e Operações</t>
        </is>
      </c>
      <c r="K129" s="22" t="inlineStr">
        <is>
          <t>(11) 3684-5122</t>
        </is>
      </c>
      <c r="L129" s="22" t="inlineStr"/>
      <c r="M129" s="22" t="inlineStr"/>
      <c r="N129" s="22" t="inlineStr"/>
      <c r="O129" s="22" t="inlineStr"/>
      <c r="P129" s="22" t="inlineStr">
        <is>
          <t>Luis S</t>
        </is>
      </c>
      <c r="Q129" s="22" t="inlineStr">
        <is>
          <t>DRC - Departamento de Recuperação de Crédito - Gerente de Reestruturação de Crédito</t>
        </is>
      </c>
      <c r="R129" s="22" t="inlineStr"/>
      <c r="S129" s="22" t="inlineStr">
        <is>
          <t>sl@bradesco.com.br</t>
        </is>
      </c>
      <c r="T129" s="22" t="inlineStr">
        <is>
          <t>DM: DM; no work email in Apollo for DM; BACKUP: backup</t>
        </is>
      </c>
      <c r="U129" s="24" t="n">
        <v>1341594.91</v>
      </c>
      <c r="V129" s="25" t="inlineStr">
        <is>
          <t>B</t>
        </is>
      </c>
      <c r="W129" s="26" t="inlineStr"/>
      <c r="X129" s="27" t="inlineStr"/>
      <c r="Y129" s="27" t="inlineStr"/>
      <c r="Z129" s="26">
        <f>IF(W129&lt;&gt;"",W129,IFERROR(VLOOKUP(V129,Assumptions!$A$8:$F$12,2,FALSE),0))*Assumptions!$B$5</f>
        <v/>
      </c>
      <c r="AA129" s="28">
        <f>IF(V129="A",MAX(1,IF(X129&lt;&gt;"",X129,IFERROR(VLOOKUP(V129,Assumptions!$A$8:$F$12,3,FALSE),3))+IF(Y129&lt;&gt;"",Y129,IFERROR(VLOOKUP(V129,Assumptions!$A$8:$F$12,4,FALSE),8))/2-MAX(0,IF(AS129="",0,YEAR(TODAY())-AS129)-IFERROR(VLOOKUP(V129,Assumptions!$A$8:$F$12,5,FALSE),1.5))),IFERROR(VLOOKUP(V129,Assumptions!$A$8:$F$12,5,FALSE),2.5)+IF(X129&lt;&gt;"",X129,IFERROR(VLOOKUP(V129,Assumptions!$A$8:$F$12,3,FALSE),3))+IF(Y129&lt;&gt;"",Y129,IFERROR(VLOOKUP(V129,Assumptions!$A$8:$F$12,4,FALSE),8))/2)</f>
        <v/>
      </c>
      <c r="AB129" s="24">
        <f>U129*Z129/(1+Assumptions!$B$3)^AA129</f>
        <v/>
      </c>
      <c r="AC129" s="27">
        <f>IF(U129=0,"",ROUND(AB129/U129*100,1))</f>
        <v/>
      </c>
      <c r="AD129" s="29">
        <f>AB129*Assumptions!$B$4</f>
        <v/>
      </c>
      <c r="AE129" s="27">
        <f>IF(U129=0,"",ROUND(AD129/U129*100,1))</f>
        <v/>
      </c>
      <c r="AF129" s="29">
        <f>AB129-AD129</f>
        <v/>
      </c>
      <c r="AG129" s="27">
        <f>IF(U129=0,"",ROUND((AB129-AD129)/U129*100,1))</f>
        <v/>
      </c>
      <c r="AH129" s="36" t="inlineStr">
        <is>
          <t>CHECK — source is not a statutory creditor list</t>
        </is>
      </c>
      <c r="AI129" s="31" t="inlineStr">
        <is>
          <t>https://credibilita.com.br/wp-content/uploads/2025/09/Relacao-Credores-29.04.2026.pdf</t>
        </is>
      </c>
      <c r="AJ129" s="30" t="inlineStr">
        <is>
          <t>p1 r9</t>
        </is>
      </c>
      <c r="AK129" s="30" t="inlineStr">
        <is>
          <t>p1: R$ 1.341.594,91</t>
        </is>
      </c>
      <c r="AL129" s="30" t="inlineStr">
        <is>
          <t>Quorum list — NOT an art. 7/51 list</t>
        </is>
      </c>
      <c r="AM129" s="30" t="inlineStr"/>
      <c r="AN129" s="30" t="inlineStr">
        <is>
          <t>NONE FOUND</t>
        </is>
      </c>
      <c r="AO129" s="32" t="inlineStr">
        <is>
          <t>5057720-48.2025.8.24.0023</t>
        </is>
      </c>
      <c r="AP129" s="32" t="inlineStr">
        <is>
          <t>TJSC</t>
        </is>
      </c>
      <c r="AQ129" s="32" t="inlineStr"/>
      <c r="AR129" s="32" t="inlineStr">
        <is>
          <t>not in DataJud</t>
        </is>
      </c>
      <c r="AS129" s="32" t="n">
        <v>2025</v>
      </c>
      <c r="AT129" s="32" t="inlineStr">
        <is>
          <t>live case, no plan document yet; case no. from the portal record, not printed on the list</t>
        </is>
      </c>
      <c r="AU129" s="32" t="inlineStr"/>
      <c r="AV129" s="32" t="inlineStr">
        <is>
          <t>portal page title / URL — not printed on the list</t>
        </is>
      </c>
      <c r="AW129" s="32" t="inlineStr"/>
      <c r="AX129" s="32" t="inlineStr">
        <is>
          <t>OSASCO</t>
        </is>
      </c>
      <c r="AY129" s="32" t="inlineStr">
        <is>
          <t>SP</t>
        </is>
      </c>
      <c r="AZ129" s="32" t="inlineStr">
        <is>
          <t>Bancos múltiplos, com carteira comercial</t>
        </is>
      </c>
      <c r="BA129" s="32" t="inlineStr">
        <is>
          <t>não ME/EPP</t>
        </is>
      </c>
      <c r="BB129" s="33" t="n">
        <v>93770000000</v>
      </c>
      <c r="BC129" s="32" t="inlineStr">
        <is>
          <t>LARGE CORP</t>
        </is>
      </c>
      <c r="BD129" s="32" t="inlineStr">
        <is>
          <t>60746948</t>
        </is>
      </c>
      <c r="BE129" s="32" t="n">
        <v>1</v>
      </c>
      <c r="BF129" s="32" t="inlineStr">
        <is>
          <t>list prints no totals case no. corrected by reader</t>
        </is>
      </c>
    </row>
    <row r="130">
      <c r="A130" s="17" t="inlineStr">
        <is>
          <t>BB ADMINISTRADORA DE CONSORCIOS S.A.</t>
        </is>
      </c>
      <c r="B130" s="18" t="n">
        <v>1332074.41</v>
      </c>
      <c r="C130" s="19" t="inlineStr">
        <is>
          <t>Grupo Agromeal</t>
        </is>
      </c>
      <c r="D130" s="20" t="inlineStr">
        <is>
          <t>NEW</t>
        </is>
      </c>
      <c r="E130" s="21" t="inlineStr"/>
      <c r="F130" s="20" t="inlineStr"/>
      <c r="G130" s="21" t="inlineStr"/>
      <c r="H130" s="20" t="inlineStr"/>
      <c r="I130" s="22" t="inlineStr">
        <is>
          <t>RENATO BARRETO DE SOUZA</t>
        </is>
      </c>
      <c r="J130" s="23" t="inlineStr">
        <is>
          <t>Presidente (RFB partner)</t>
        </is>
      </c>
      <c r="K130" s="22" t="inlineStr">
        <is>
          <t>(61) 3493-9002</t>
        </is>
      </c>
      <c r="L130" s="22" t="inlineStr">
        <is>
          <t>(61) 3493-1118</t>
        </is>
      </c>
      <c r="M130" s="22" t="inlineStr"/>
      <c r="N130" s="22" t="inlineStr"/>
      <c r="O130" s="22" t="inlineStr"/>
      <c r="P130" s="22" t="inlineStr">
        <is>
          <t>JEAN MICHEL MOURA DA CAMARA</t>
        </is>
      </c>
      <c r="Q130" s="22" t="inlineStr">
        <is>
          <t>Diretor (RFB partner)</t>
        </is>
      </c>
      <c r="R130" s="22" t="inlineStr"/>
      <c r="S130" s="22" t="inlineStr"/>
      <c r="T130" s="22" t="inlineStr">
        <is>
          <t>DM = registered partner (RFB QSA); no Apollo match</t>
        </is>
      </c>
      <c r="U130" s="24" t="n">
        <v>1332074.41</v>
      </c>
      <c r="V130" s="25" t="inlineStr">
        <is>
          <t>B</t>
        </is>
      </c>
      <c r="W130" s="26" t="inlineStr"/>
      <c r="X130" s="27" t="inlineStr"/>
      <c r="Y130" s="27" t="inlineStr"/>
      <c r="Z130" s="26">
        <f>IF(W130&lt;&gt;"",W130,IFERROR(VLOOKUP(V130,Assumptions!$A$8:$F$12,2,FALSE),0))*Assumptions!$B$5</f>
        <v/>
      </c>
      <c r="AA130" s="28">
        <f>IF(V130="A",MAX(1,IF(X130&lt;&gt;"",X130,IFERROR(VLOOKUP(V130,Assumptions!$A$8:$F$12,3,FALSE),3))+IF(Y130&lt;&gt;"",Y130,IFERROR(VLOOKUP(V130,Assumptions!$A$8:$F$12,4,FALSE),8))/2-MAX(0,IF(AS130="",0,YEAR(TODAY())-AS130)-IFERROR(VLOOKUP(V130,Assumptions!$A$8:$F$12,5,FALSE),1.5))),IFERROR(VLOOKUP(V130,Assumptions!$A$8:$F$12,5,FALSE),2.5)+IF(X130&lt;&gt;"",X130,IFERROR(VLOOKUP(V130,Assumptions!$A$8:$F$12,3,FALSE),3))+IF(Y130&lt;&gt;"",Y130,IFERROR(VLOOKUP(V130,Assumptions!$A$8:$F$12,4,FALSE),8))/2)</f>
        <v/>
      </c>
      <c r="AB130" s="24">
        <f>U130*Z130/(1+Assumptions!$B$3)^AA130</f>
        <v/>
      </c>
      <c r="AC130" s="27">
        <f>IF(U130=0,"",ROUND(AB130/U130*100,1))</f>
        <v/>
      </c>
      <c r="AD130" s="29">
        <f>AB130*Assumptions!$B$4</f>
        <v/>
      </c>
      <c r="AE130" s="27">
        <f>IF(U130=0,"",ROUND(AD130/U130*100,1))</f>
        <v/>
      </c>
      <c r="AF130" s="29">
        <f>AB130-AD130</f>
        <v/>
      </c>
      <c r="AG130" s="27">
        <f>IF(U130=0,"",ROUND((AB130-AD130)/U130*100,1))</f>
        <v/>
      </c>
      <c r="AH130" s="35" t="inlineStr">
        <is>
          <t>PARTIAL — class III reconciled, other classes not</t>
        </is>
      </c>
      <c r="AI130" s="31" t="inlineStr">
        <is>
          <t>https://marquesadmjudicial.com.br/sgc/download.php?file=files/processo_documento/processo_documento17040729052024_1_.pdf&amp;nome=Relação Nominal de Credores AJ-Sintética</t>
        </is>
      </c>
      <c r="AJ130" s="30" t="inlineStr">
        <is>
          <t>p10 r7</t>
        </is>
      </c>
      <c r="AK130" s="30" t="inlineStr">
        <is>
          <t>p10: R$ 1.332.074,41</t>
        </is>
      </c>
      <c r="AL130" s="30" t="inlineStr">
        <is>
          <t>AJ list (art. 7 §2)</t>
        </is>
      </c>
      <c r="AM130" s="30" t="inlineStr">
        <is>
          <t>2024-05-27</t>
        </is>
      </c>
      <c r="AN130" s="30" t="inlineStr">
        <is>
          <t>NONE FOUND</t>
        </is>
      </c>
      <c r="AO130" s="32" t="inlineStr">
        <is>
          <t>0003971-03.2023.8.16.0119</t>
        </is>
      </c>
      <c r="AP130" s="32" t="inlineStr">
        <is>
          <t>TJPR</t>
        </is>
      </c>
      <c r="AQ130" s="32" t="inlineStr">
        <is>
          <t>Recuperação judicial</t>
        </is>
      </c>
      <c r="AR130" s="32" t="inlineStr">
        <is>
          <t>DataJud: no closure/falência movement</t>
        </is>
      </c>
      <c r="AS130" s="32" t="n">
        <v>2023</v>
      </c>
      <c r="AT130" s="32" t="inlineStr">
        <is>
          <t>live case, no plan document yet</t>
        </is>
      </c>
      <c r="AU130" s="32" t="inlineStr">
        <is>
          <t>11.624.776/0001-07</t>
        </is>
      </c>
      <c r="AV130" s="32" t="inlineStr">
        <is>
          <t>printed on the list (read twice)</t>
        </is>
      </c>
      <c r="AW130" s="32" t="inlineStr"/>
      <c r="AX130" s="32" t="inlineStr">
        <is>
          <t>BRASILIA</t>
        </is>
      </c>
      <c r="AY130" s="32" t="inlineStr">
        <is>
          <t>DF</t>
        </is>
      </c>
      <c r="AZ130" s="32" t="inlineStr">
        <is>
          <t>Administração de consórcios para aquisição de bens e direitos</t>
        </is>
      </c>
      <c r="BA130" s="32" t="inlineStr">
        <is>
          <t>não ME/EPP</t>
        </is>
      </c>
      <c r="BB130" s="33" t="n">
        <v>727543400</v>
      </c>
      <c r="BC130" s="32" t="inlineStr">
        <is>
          <t>LARGE CORP</t>
        </is>
      </c>
      <c r="BD130" s="32" t="inlineStr">
        <is>
          <t>06043050</t>
        </is>
      </c>
      <c r="BE130" s="32" t="n">
        <v>1</v>
      </c>
      <c r="BF130" s="32" t="inlineStr">
        <is>
          <t>class III reconciled (doc partial)</t>
        </is>
      </c>
    </row>
    <row r="131">
      <c r="A131" s="17" t="inlineStr">
        <is>
          <t>BANCO C6 S.A.</t>
        </is>
      </c>
      <c r="B131" s="18" t="n">
        <v>1260000</v>
      </c>
      <c r="C131" s="19" t="inlineStr">
        <is>
          <t>VENEZA SERVIÇOS ADMINISTRATIVOS LTDA.</t>
        </is>
      </c>
      <c r="D131" s="20" t="inlineStr">
        <is>
          <t>NEW</t>
        </is>
      </c>
      <c r="E131" s="21" t="inlineStr"/>
      <c r="F131" s="20" t="inlineStr"/>
      <c r="G131" s="21" t="inlineStr"/>
      <c r="H131" s="20" t="inlineStr"/>
      <c r="I131" s="22" t="inlineStr">
        <is>
          <t>Camilla Moriki</t>
        </is>
      </c>
      <c r="J131" s="22" t="inlineStr">
        <is>
          <t>Gerente de Recuperação de Crédito | Reestruturação - Atacado</t>
        </is>
      </c>
      <c r="K131" s="22" t="inlineStr">
        <is>
          <t>(11) 2832-6000</t>
        </is>
      </c>
      <c r="L131" s="22" t="inlineStr"/>
      <c r="M131" s="22" t="inlineStr"/>
      <c r="N131" s="22" t="inlineStr">
        <is>
          <t>camilla.moriki@c6bank.com</t>
        </is>
      </c>
      <c r="O131" s="22" t="inlineStr">
        <is>
          <t>verified</t>
        </is>
      </c>
      <c r="P131" s="22" t="inlineStr">
        <is>
          <t>Kevin Santana</t>
        </is>
      </c>
      <c r="Q131" s="22" t="inlineStr">
        <is>
          <t>Gerente de Estratégia de Recuperação de Crédito</t>
        </is>
      </c>
      <c r="R131" s="22" t="inlineStr"/>
      <c r="S131" s="22" t="inlineStr">
        <is>
          <t>kevin.santana@c6bank.com</t>
        </is>
      </c>
      <c r="T131" s="22" t="inlineStr">
        <is>
          <t>DM: DM verified email (Atacado desk); BACKUP: backup verified email</t>
        </is>
      </c>
      <c r="U131" s="24" t="n">
        <v>1260000</v>
      </c>
      <c r="V131" s="25" t="inlineStr">
        <is>
          <t>B</t>
        </is>
      </c>
      <c r="W131" s="26" t="inlineStr"/>
      <c r="X131" s="27" t="inlineStr"/>
      <c r="Y131" s="27" t="inlineStr"/>
      <c r="Z131" s="26">
        <f>IF(W131&lt;&gt;"",W131,IFERROR(VLOOKUP(V131,Assumptions!$A$8:$F$12,2,FALSE),0))*Assumptions!$B$5</f>
        <v/>
      </c>
      <c r="AA131" s="28">
        <f>IF(V131="A",MAX(1,IF(X131&lt;&gt;"",X131,IFERROR(VLOOKUP(V131,Assumptions!$A$8:$F$12,3,FALSE),3))+IF(Y131&lt;&gt;"",Y131,IFERROR(VLOOKUP(V131,Assumptions!$A$8:$F$12,4,FALSE),8))/2-MAX(0,IF(AS131="",0,YEAR(TODAY())-AS131)-IFERROR(VLOOKUP(V131,Assumptions!$A$8:$F$12,5,FALSE),1.5))),IFERROR(VLOOKUP(V131,Assumptions!$A$8:$F$12,5,FALSE),2.5)+IF(X131&lt;&gt;"",X131,IFERROR(VLOOKUP(V131,Assumptions!$A$8:$F$12,3,FALSE),3))+IF(Y131&lt;&gt;"",Y131,IFERROR(VLOOKUP(V131,Assumptions!$A$8:$F$12,4,FALSE),8))/2)</f>
        <v/>
      </c>
      <c r="AB131" s="24">
        <f>U131*Z131/(1+Assumptions!$B$3)^AA131</f>
        <v/>
      </c>
      <c r="AC131" s="27">
        <f>IF(U131=0,"",ROUND(AB131/U131*100,1))</f>
        <v/>
      </c>
      <c r="AD131" s="29">
        <f>AB131*Assumptions!$B$4</f>
        <v/>
      </c>
      <c r="AE131" s="27">
        <f>IF(U131=0,"",ROUND(AD131/U131*100,1))</f>
        <v/>
      </c>
      <c r="AF131" s="29">
        <f>AB131-AD131</f>
        <v/>
      </c>
      <c r="AG131" s="27">
        <f>IF(U131=0,"",ROUND((AB131-AD131)/U131*100,1))</f>
        <v/>
      </c>
      <c r="AH131" s="30" t="inlineStr">
        <is>
          <t>OK — totals reconciled</t>
        </is>
      </c>
      <c r="AI131" s="31" t="inlineStr">
        <is>
          <t>https://bugarimecoelho.com.br/ws/media-library/b6b7ea42b9fa2afe30bc728fe00cd5c6/07---edital-do-processamento-da-recuperacao-judicial.pdf</t>
        </is>
      </c>
      <c r="AJ131" s="30" t="inlineStr">
        <is>
          <t>p16 r5</t>
        </is>
      </c>
      <c r="AK131" s="30" t="inlineStr">
        <is>
          <t>p16: R$ 1.260.000,00</t>
        </is>
      </c>
      <c r="AL131" s="30" t="inlineStr">
        <is>
          <t>Unclassified list</t>
        </is>
      </c>
      <c r="AM131" s="30" t="inlineStr">
        <is>
          <t>2026-07-09</t>
        </is>
      </c>
      <c r="AN131" s="30" t="inlineStr">
        <is>
          <t>NONE FOUND</t>
        </is>
      </c>
      <c r="AO131" s="32" t="inlineStr">
        <is>
          <t>3000117-40.2025.8.06.0512</t>
        </is>
      </c>
      <c r="AP131" s="32" t="inlineStr">
        <is>
          <t>TJCE</t>
        </is>
      </c>
      <c r="AQ131" s="32" t="inlineStr">
        <is>
          <t>Recuperação judicial</t>
        </is>
      </c>
      <c r="AR131" s="32" t="inlineStr">
        <is>
          <t>DataJud: no closure/falência movement</t>
        </is>
      </c>
      <c r="AS131" s="32" t="n">
        <v>2025</v>
      </c>
      <c r="AT131" s="32" t="inlineStr">
        <is>
          <t>live case, no plan document yet</t>
        </is>
      </c>
      <c r="AU131" s="32" t="inlineStr">
        <is>
          <t>11.399.787/0001-22</t>
        </is>
      </c>
      <c r="AV131" s="32" t="inlineStr">
        <is>
          <t>printed on the list (read twice)</t>
        </is>
      </c>
      <c r="AW131" s="32" t="inlineStr"/>
      <c r="AX131" s="32" t="inlineStr">
        <is>
          <t>SAO PAULO</t>
        </is>
      </c>
      <c r="AY131" s="32" t="inlineStr">
        <is>
          <t>SP</t>
        </is>
      </c>
      <c r="AZ131" s="32" t="inlineStr">
        <is>
          <t>Bancos múltiplos, com carteira comercial</t>
        </is>
      </c>
      <c r="BA131" s="32" t="inlineStr">
        <is>
          <t>não ME/EPP</t>
        </is>
      </c>
      <c r="BB131" s="33" t="n">
        <v>1131957000</v>
      </c>
      <c r="BC131" s="32" t="inlineStr">
        <is>
          <t>LARGE CORP</t>
        </is>
      </c>
      <c r="BD131" s="32" t="inlineStr">
        <is>
          <t>31872495</t>
        </is>
      </c>
      <c r="BE131" s="32" t="n">
        <v>1</v>
      </c>
      <c r="BF131" s="32" t="inlineStr">
        <is>
          <t>financial by name</t>
        </is>
      </c>
    </row>
    <row r="132">
      <c r="A132" s="17" t="inlineStr">
        <is>
          <t>COOPERATIVA DE CREDITO DE LIVRE ADMISSAO DE ASSOCIADOS DO ALTO URUGUAI CATARINENSE - SICOOB - CREDIAUC/SC</t>
        </is>
      </c>
      <c r="B132" s="18" t="n">
        <v>1259657.63</v>
      </c>
      <c r="C132" s="37" t="inlineStr">
        <is>
          <t>(debtor not identified — see proof)</t>
        </is>
      </c>
      <c r="D132" s="20" t="inlineStr">
        <is>
          <t>NEW</t>
        </is>
      </c>
      <c r="E132" s="21" t="inlineStr"/>
      <c r="F132" s="20" t="inlineStr"/>
      <c r="G132" s="21" t="inlineStr"/>
      <c r="H132" s="20" t="inlineStr"/>
      <c r="I132" s="22" t="inlineStr">
        <is>
          <t>Simone Grando</t>
        </is>
      </c>
      <c r="J132" s="22" t="inlineStr">
        <is>
          <t>Superintedente de Ciclo de Crédito</t>
        </is>
      </c>
      <c r="K132" s="22" t="inlineStr"/>
      <c r="L132" s="22" t="inlineStr"/>
      <c r="M132" s="22" t="inlineStr"/>
      <c r="N132" s="22" t="inlineStr"/>
      <c r="O132" s="22" t="inlineStr"/>
      <c r="P132" s="22" t="inlineStr">
        <is>
          <t>Lauro Donadel</t>
        </is>
      </c>
      <c r="Q132" s="22" t="inlineStr">
        <is>
          <t>Especialista de Recuperação de Ativo</t>
        </is>
      </c>
      <c r="R132" s="22" t="inlineStr"/>
      <c r="S132" s="22" t="inlineStr"/>
      <c r="T132" s="22" t="inlineStr">
        <is>
          <t>DM: DM; email dropped: previous employer domain; no work email in Apollo for DM; BACKUP: backup; NO ROUTE IN: no phone or email on file</t>
        </is>
      </c>
      <c r="U132" s="24" t="n">
        <v>1259657.63</v>
      </c>
      <c r="V132" s="25" t="inlineStr">
        <is>
          <t>B</t>
        </is>
      </c>
      <c r="W132" s="26" t="inlineStr"/>
      <c r="X132" s="27" t="inlineStr"/>
      <c r="Y132" s="27" t="inlineStr"/>
      <c r="Z132" s="26">
        <f>IF(W132&lt;&gt;"",W132,IFERROR(VLOOKUP(V132,Assumptions!$A$8:$F$12,2,FALSE),0))*Assumptions!$B$5</f>
        <v/>
      </c>
      <c r="AA132" s="28">
        <f>IF(V132="A",MAX(1,IF(X132&lt;&gt;"",X132,IFERROR(VLOOKUP(V132,Assumptions!$A$8:$F$12,3,FALSE),3))+IF(Y132&lt;&gt;"",Y132,IFERROR(VLOOKUP(V132,Assumptions!$A$8:$F$12,4,FALSE),8))/2-MAX(0,IF(AS132="",0,YEAR(TODAY())-AS132)-IFERROR(VLOOKUP(V132,Assumptions!$A$8:$F$12,5,FALSE),1.5))),IFERROR(VLOOKUP(V132,Assumptions!$A$8:$F$12,5,FALSE),2.5)+IF(X132&lt;&gt;"",X132,IFERROR(VLOOKUP(V132,Assumptions!$A$8:$F$12,3,FALSE),3))+IF(Y132&lt;&gt;"",Y132,IFERROR(VLOOKUP(V132,Assumptions!$A$8:$F$12,4,FALSE),8))/2)</f>
        <v/>
      </c>
      <c r="AB132" s="24">
        <f>U132*Z132/(1+Assumptions!$B$3)^AA132</f>
        <v/>
      </c>
      <c r="AC132" s="27">
        <f>IF(U132=0,"",ROUND(AB132/U132*100,1))</f>
        <v/>
      </c>
      <c r="AD132" s="29">
        <f>AB132*Assumptions!$B$4</f>
        <v/>
      </c>
      <c r="AE132" s="27">
        <f>IF(U132=0,"",ROUND(AD132/U132*100,1))</f>
        <v/>
      </c>
      <c r="AF132" s="29">
        <f>AB132-AD132</f>
        <v/>
      </c>
      <c r="AG132" s="27">
        <f>IF(U132=0,"",ROUND((AB132-AD132)/U132*100,1))</f>
        <v/>
      </c>
      <c r="AH132" s="34" t="inlineStr">
        <is>
          <t>NO TOTALS — list prints none; check page</t>
        </is>
      </c>
      <c r="AI132" s="31" t="inlineStr">
        <is>
          <t>https://scalzilliaj.com.br/sgc/download.php?file=files/processo_documento/processo_documento15180810062026_1_.pdf&amp;nome=10 - Relação de credores do art. 7º, §2º, da Lei 11.101/2005</t>
        </is>
      </c>
      <c r="AJ132" s="30" t="inlineStr">
        <is>
          <t>p1 r37; p2 r34</t>
        </is>
      </c>
      <c r="AK132" s="30" t="inlineStr">
        <is>
          <t>p1: R$ 284.215,97; p2: R$ 975.441,66</t>
        </is>
      </c>
      <c r="AL132" s="30" t="inlineStr">
        <is>
          <t>AJ list (art. 7 §2)</t>
        </is>
      </c>
      <c r="AM132" s="30" t="inlineStr"/>
      <c r="AN132" s="30" t="inlineStr">
        <is>
          <t>NONE FOUND</t>
        </is>
      </c>
      <c r="AO132" s="32" t="inlineStr">
        <is>
          <t>5009529-81.2025.8.24.0019</t>
        </is>
      </c>
      <c r="AP132" s="32" t="inlineStr">
        <is>
          <t>TJSC</t>
        </is>
      </c>
      <c r="AQ132" s="32" t="inlineStr"/>
      <c r="AR132" s="32" t="inlineStr">
        <is>
          <t>not in DataJud</t>
        </is>
      </c>
      <c r="AS132" s="32" t="n">
        <v>2025</v>
      </c>
      <c r="AT132" s="32" t="inlineStr">
        <is>
          <t>live case, no plan document yet; case no. from the portal record, not printed on the list</t>
        </is>
      </c>
      <c r="AU132" s="32" t="inlineStr"/>
      <c r="AV132" s="32" t="inlineStr">
        <is>
          <t>not identified</t>
        </is>
      </c>
      <c r="AW132" s="32" t="inlineStr"/>
      <c r="AX132" s="32" t="inlineStr"/>
      <c r="AY132" s="32" t="inlineStr"/>
      <c r="AZ132" s="32" t="inlineStr"/>
      <c r="BA132" s="32" t="inlineStr"/>
      <c r="BB132" s="33" t="inlineStr"/>
      <c r="BC132" s="32" t="inlineStr">
        <is>
          <t>UNKNOWN</t>
        </is>
      </c>
      <c r="BD132" s="32" t="inlineStr">
        <is>
          <t>78840071</t>
        </is>
      </c>
      <c r="BE132" s="32" t="n">
        <v>2</v>
      </c>
      <c r="BF132" s="32" t="inlineStr">
        <is>
          <t>financial by name list prints no totals no RFB record no route in</t>
        </is>
      </c>
    </row>
    <row r="133">
      <c r="A133" s="17" t="inlineStr">
        <is>
          <t>Gavea Open Fundo De Investimento Em Direitos Creditorios</t>
        </is>
      </c>
      <c r="B133" s="18" t="n">
        <v>1218763.3</v>
      </c>
      <c r="C133" s="19" t="inlineStr">
        <is>
          <t>Grupo Agromeal</t>
        </is>
      </c>
      <c r="D133" s="20" t="inlineStr">
        <is>
          <t>NEW</t>
        </is>
      </c>
      <c r="E133" s="21" t="inlineStr"/>
      <c r="F133" s="20" t="inlineStr"/>
      <c r="G133" s="21" t="inlineStr"/>
      <c r="H133" s="20" t="inlineStr"/>
      <c r="I133" s="22" t="inlineStr">
        <is>
          <t>Guilherme Serrano</t>
        </is>
      </c>
      <c r="J133" s="22" t="inlineStr">
        <is>
          <t>Risk and Operations Analyst</t>
        </is>
      </c>
      <c r="K133" s="22" t="inlineStr"/>
      <c r="L133" s="22" t="inlineStr"/>
      <c r="M133" s="22" t="inlineStr"/>
      <c r="N133" s="22" t="inlineStr">
        <is>
          <t>gserrano@gaveainvest.com.br</t>
        </is>
      </c>
      <c r="O133" s="22" t="inlineStr">
        <is>
          <t>extrapolated</t>
        </is>
      </c>
      <c r="P133" s="22" t="inlineStr"/>
      <c r="Q133" s="22" t="inlineStr"/>
      <c r="R133" s="22" t="inlineStr"/>
      <c r="S133" s="22" t="inlineStr"/>
      <c r="T133" s="22" t="inlineStr">
        <is>
          <t>DM is not a finance role (Risk and Operations Analyst); DM: DM extrapolated email (same as root 12910431); Gávea Open FIDC -&gt; same Gávea Investimentos pick; VERIFY org</t>
        </is>
      </c>
      <c r="U133" s="24" t="n">
        <v>1218763.3</v>
      </c>
      <c r="V133" s="25" t="inlineStr">
        <is>
          <t>B</t>
        </is>
      </c>
      <c r="W133" s="26" t="inlineStr"/>
      <c r="X133" s="27" t="inlineStr"/>
      <c r="Y133" s="27" t="inlineStr"/>
      <c r="Z133" s="26">
        <f>IF(W133&lt;&gt;"",W133,IFERROR(VLOOKUP(V133,Assumptions!$A$8:$F$12,2,FALSE),0))*Assumptions!$B$5</f>
        <v/>
      </c>
      <c r="AA133" s="28">
        <f>IF(V133="A",MAX(1,IF(X133&lt;&gt;"",X133,IFERROR(VLOOKUP(V133,Assumptions!$A$8:$F$12,3,FALSE),3))+IF(Y133&lt;&gt;"",Y133,IFERROR(VLOOKUP(V133,Assumptions!$A$8:$F$12,4,FALSE),8))/2-MAX(0,IF(AS133="",0,YEAR(TODAY())-AS133)-IFERROR(VLOOKUP(V133,Assumptions!$A$8:$F$12,5,FALSE),1.5))),IFERROR(VLOOKUP(V133,Assumptions!$A$8:$F$12,5,FALSE),2.5)+IF(X133&lt;&gt;"",X133,IFERROR(VLOOKUP(V133,Assumptions!$A$8:$F$12,3,FALSE),3))+IF(Y133&lt;&gt;"",Y133,IFERROR(VLOOKUP(V133,Assumptions!$A$8:$F$12,4,FALSE),8))/2)</f>
        <v/>
      </c>
      <c r="AB133" s="24">
        <f>U133*Z133/(1+Assumptions!$B$3)^AA133</f>
        <v/>
      </c>
      <c r="AC133" s="27">
        <f>IF(U133=0,"",ROUND(AB133/U133*100,1))</f>
        <v/>
      </c>
      <c r="AD133" s="29">
        <f>AB133*Assumptions!$B$4</f>
        <v/>
      </c>
      <c r="AE133" s="27">
        <f>IF(U133=0,"",ROUND(AD133/U133*100,1))</f>
        <v/>
      </c>
      <c r="AF133" s="29">
        <f>AB133-AD133</f>
        <v/>
      </c>
      <c r="AG133" s="27">
        <f>IF(U133=0,"",ROUND((AB133-AD133)/U133*100,1))</f>
        <v/>
      </c>
      <c r="AH133" s="35" t="inlineStr">
        <is>
          <t>PARTIAL — class III reconciled, other classes not</t>
        </is>
      </c>
      <c r="AI133" s="31" t="inlineStr">
        <is>
          <t>https://marquesadmjudicial.com.br/sgc/download.php?file=files/processo_documento/processo_documento17040729052024_1_.pdf&amp;nome=Relação Nominal de Credores AJ-Sintética</t>
        </is>
      </c>
      <c r="AJ133" s="30" t="inlineStr">
        <is>
          <t>p11 r10</t>
        </is>
      </c>
      <c r="AK133" s="30" t="inlineStr">
        <is>
          <t>p11: R$ 1.218.763,30</t>
        </is>
      </c>
      <c r="AL133" s="30" t="inlineStr">
        <is>
          <t>AJ list (art. 7 §2)</t>
        </is>
      </c>
      <c r="AM133" s="30" t="inlineStr">
        <is>
          <t>2024-05-27</t>
        </is>
      </c>
      <c r="AN133" s="30" t="inlineStr">
        <is>
          <t>NONE FOUND</t>
        </is>
      </c>
      <c r="AO133" s="32" t="inlineStr">
        <is>
          <t>0003971-03.2023.8.16.0119</t>
        </is>
      </c>
      <c r="AP133" s="32" t="inlineStr">
        <is>
          <t>TJPR</t>
        </is>
      </c>
      <c r="AQ133" s="32" t="inlineStr">
        <is>
          <t>Recuperação judicial</t>
        </is>
      </c>
      <c r="AR133" s="32" t="inlineStr">
        <is>
          <t>DataJud: no closure/falência movement</t>
        </is>
      </c>
      <c r="AS133" s="32" t="n">
        <v>2023</v>
      </c>
      <c r="AT133" s="32" t="inlineStr">
        <is>
          <t>live case, no plan document yet</t>
        </is>
      </c>
      <c r="AU133" s="32" t="inlineStr">
        <is>
          <t>11.624.776/0001-07</t>
        </is>
      </c>
      <c r="AV133" s="32" t="inlineStr">
        <is>
          <t>printed on the list (read twice)</t>
        </is>
      </c>
      <c r="AW133" s="32" t="inlineStr"/>
      <c r="AX133" s="32" t="inlineStr"/>
      <c r="AY133" s="32" t="inlineStr"/>
      <c r="AZ133" s="32" t="inlineStr"/>
      <c r="BA133" s="32" t="inlineStr"/>
      <c r="BB133" s="33" t="inlineStr"/>
      <c r="BC133" s="32" t="inlineStr">
        <is>
          <t>UNKNOWN</t>
        </is>
      </c>
      <c r="BD133" s="32" t="inlineStr">
        <is>
          <t>31024386</t>
        </is>
      </c>
      <c r="BE133" s="32" t="n">
        <v>1</v>
      </c>
      <c r="BF133" s="32" t="inlineStr">
        <is>
          <t>financial by name class III reconciled (doc partial) no RFB record</t>
        </is>
      </c>
    </row>
    <row r="134">
      <c r="A134" s="17" t="inlineStr">
        <is>
          <t>BANCO BRADESCO S.A.</t>
        </is>
      </c>
      <c r="B134" s="18" t="n">
        <v>5316666.67</v>
      </c>
      <c r="C134" s="19" t="inlineStr">
        <is>
          <t>GRUPO 3E</t>
        </is>
      </c>
      <c r="D134" s="20" t="inlineStr">
        <is>
          <t>NEW</t>
        </is>
      </c>
      <c r="E134" s="21" t="inlineStr"/>
      <c r="F134" s="20" t="inlineStr"/>
      <c r="G134" s="21" t="inlineStr"/>
      <c r="H134" s="20" t="inlineStr"/>
      <c r="I134" s="22" t="inlineStr">
        <is>
          <t>Marcela Martins</t>
        </is>
      </c>
      <c r="J134" s="22" t="inlineStr">
        <is>
          <t>Superintendente de Recuperação de Crédito - Canais e Operações</t>
        </is>
      </c>
      <c r="K134" s="22" t="inlineStr">
        <is>
          <t>(11) 3684-5122</t>
        </is>
      </c>
      <c r="L134" s="22" t="inlineStr"/>
      <c r="M134" s="22" t="inlineStr"/>
      <c r="N134" s="22" t="inlineStr"/>
      <c r="O134" s="22" t="inlineStr"/>
      <c r="P134" s="22" t="inlineStr">
        <is>
          <t>Luis S</t>
        </is>
      </c>
      <c r="Q134" s="22" t="inlineStr">
        <is>
          <t>DRC - Departamento de Recuperação de Crédito - Gerente de Reestruturação de Crédito</t>
        </is>
      </c>
      <c r="R134" s="22" t="inlineStr"/>
      <c r="S134" s="22" t="inlineStr">
        <is>
          <t>sl@bradesco.com.br</t>
        </is>
      </c>
      <c r="T134" s="22" t="inlineStr">
        <is>
          <t>DM: DM; no work email in Apollo for DM; BACKUP: backup</t>
        </is>
      </c>
      <c r="U134" s="24" t="n">
        <v>5316666.67</v>
      </c>
      <c r="V134" s="25" t="inlineStr">
        <is>
          <t>B</t>
        </is>
      </c>
      <c r="W134" s="26" t="n">
        <v>0.12</v>
      </c>
      <c r="X134" s="27" t="n">
        <v>2</v>
      </c>
      <c r="Y134" s="27" t="n">
        <v>13</v>
      </c>
      <c r="Z134" s="26">
        <f>IF(W134&lt;&gt;"",W134,IFERROR(VLOOKUP(V134,Assumptions!$A$8:$F$12,2,FALSE),0))*Assumptions!$B$5</f>
        <v/>
      </c>
      <c r="AA134" s="28">
        <f>IF(V134="A",MAX(1,IF(X134&lt;&gt;"",X134,IFERROR(VLOOKUP(V134,Assumptions!$A$8:$F$12,3,FALSE),3))+IF(Y134&lt;&gt;"",Y134,IFERROR(VLOOKUP(V134,Assumptions!$A$8:$F$12,4,FALSE),8))/2-MAX(0,IF(AS134="",0,YEAR(TODAY())-AS134)-IFERROR(VLOOKUP(V134,Assumptions!$A$8:$F$12,5,FALSE),1.5))),IFERROR(VLOOKUP(V134,Assumptions!$A$8:$F$12,5,FALSE),2.5)+IF(X134&lt;&gt;"",X134,IFERROR(VLOOKUP(V134,Assumptions!$A$8:$F$12,3,FALSE),3))+IF(Y134&lt;&gt;"",Y134,IFERROR(VLOOKUP(V134,Assumptions!$A$8:$F$12,4,FALSE),8))/2)</f>
        <v/>
      </c>
      <c r="AB134" s="24">
        <f>U134*Z134/(1+Assumptions!$B$3)^AA134</f>
        <v/>
      </c>
      <c r="AC134" s="27">
        <f>IF(U134=0,"",ROUND(AB134/U134*100,1))</f>
        <v/>
      </c>
      <c r="AD134" s="29">
        <f>AB134*Assumptions!$B$4</f>
        <v/>
      </c>
      <c r="AE134" s="27">
        <f>IF(U134=0,"",ROUND(AD134/U134*100,1))</f>
        <v/>
      </c>
      <c r="AF134" s="29">
        <f>AB134-AD134</f>
        <v/>
      </c>
      <c r="AG134" s="27">
        <f>IF(U134=0,"",ROUND((AB134-AD134)/U134*100,1))</f>
        <v/>
      </c>
      <c r="AH134" s="34" t="inlineStr">
        <is>
          <t>NO TOTALS — list prints none; check page</t>
        </is>
      </c>
      <c r="AI134" s="31" t="inlineStr">
        <is>
          <t>https://stenius.com.br/wp-content/uploads/2026/06/EDITAL-GRUPO-3E.pdf</t>
        </is>
      </c>
      <c r="AJ134" s="30" t="inlineStr">
        <is>
          <t>p10 r32</t>
        </is>
      </c>
      <c r="AK134" s="30" t="inlineStr">
        <is>
          <t>p10: R$ 5.316.666,67</t>
        </is>
      </c>
      <c r="AL134" s="30" t="inlineStr">
        <is>
          <t>Debtor list (art. 51)</t>
        </is>
      </c>
      <c r="AM134" s="30" t="inlineStr">
        <is>
          <t>2026-06-22</t>
        </is>
      </c>
      <c r="AN134" s="30" t="inlineStr">
        <is>
          <t>PLAN FILED (art. 53), not granted</t>
        </is>
      </c>
      <c r="AO134" s="32" t="inlineStr">
        <is>
          <t>5341375-33.2026.8.09.0049</t>
        </is>
      </c>
      <c r="AP134" s="32" t="inlineStr">
        <is>
          <t>TJGO</t>
        </is>
      </c>
      <c r="AQ134" s="32" t="inlineStr">
        <is>
          <t>Recuperação judicial</t>
        </is>
      </c>
      <c r="AR134" s="32" t="inlineStr">
        <is>
          <t>DataJud: no closure/falência movement</t>
        </is>
      </c>
      <c r="AS134" s="32" t="n">
        <v>2026</v>
      </c>
      <c r="AT134" s="32" t="inlineStr">
        <is>
          <t>plan filed (art. 53), not yet granted</t>
        </is>
      </c>
      <c r="AU134" s="32" t="inlineStr"/>
      <c r="AV134" s="32" t="inlineStr">
        <is>
          <t>printed on the list (read twice)</t>
        </is>
      </c>
      <c r="AW134" s="32" t="inlineStr">
        <is>
          <t>Plano de Recuperação Judicial Grupo 3E v2.0 (Métis), mov. 321, pp.24-25</t>
        </is>
      </c>
      <c r="AX134" s="32" t="inlineStr">
        <is>
          <t>OSASCO</t>
        </is>
      </c>
      <c r="AY134" s="32" t="inlineStr">
        <is>
          <t>SP</t>
        </is>
      </c>
      <c r="AZ134" s="32" t="inlineStr">
        <is>
          <t>Bancos múltiplos, com carteira comercial</t>
        </is>
      </c>
      <c r="BA134" s="32" t="inlineStr">
        <is>
          <t>não ME/EPP</t>
        </is>
      </c>
      <c r="BB134" s="33" t="n">
        <v>93770000000</v>
      </c>
      <c r="BC134" s="32" t="inlineStr">
        <is>
          <t>LARGE CORP</t>
        </is>
      </c>
      <c r="BD134" s="32" t="inlineStr">
        <is>
          <t>60746948</t>
        </is>
      </c>
      <c r="BE134" s="32" t="n">
        <v>1</v>
      </c>
      <c r="BF134" s="32" t="inlineStr">
        <is>
          <t>financial by name list prints no totals</t>
        </is>
      </c>
    </row>
    <row r="135">
      <c r="A135" s="17" t="inlineStr">
        <is>
          <t>BANCO DAYCOVAL S.A.</t>
        </is>
      </c>
      <c r="B135" s="18" t="n">
        <v>1201117.72</v>
      </c>
      <c r="C135" s="19" t="inlineStr">
        <is>
          <t>TOP TEXTIL EMBALAGENS LTDA</t>
        </is>
      </c>
      <c r="D135" s="20" t="inlineStr">
        <is>
          <t>NEW</t>
        </is>
      </c>
      <c r="E135" s="21" t="inlineStr"/>
      <c r="F135" s="20" t="inlineStr"/>
      <c r="G135" s="21" t="inlineStr"/>
      <c r="H135" s="20" t="inlineStr"/>
      <c r="I135" s="22" t="inlineStr">
        <is>
          <t>Celso Araujo</t>
        </is>
      </c>
      <c r="J135" s="22" t="inlineStr">
        <is>
          <t>Gerente de Recuperação de Crédito</t>
        </is>
      </c>
      <c r="K135" s="22" t="inlineStr">
        <is>
          <t>(11) 3138-0500</t>
        </is>
      </c>
      <c r="L135" s="22" t="inlineStr"/>
      <c r="M135" s="22" t="inlineStr"/>
      <c r="N135" s="22" t="inlineStr">
        <is>
          <t>celso.araujo@bancodaycoval.com.br</t>
        </is>
      </c>
      <c r="O135" s="22" t="inlineStr">
        <is>
          <t>verified</t>
        </is>
      </c>
      <c r="P135" s="22" t="inlineStr">
        <is>
          <t>Andreia Matiel</t>
        </is>
      </c>
      <c r="Q135" s="22" t="inlineStr">
        <is>
          <t>Advogada Recuperação de Crédito Empresas</t>
        </is>
      </c>
      <c r="R135" s="22" t="inlineStr"/>
      <c r="S135" s="22" t="inlineStr">
        <is>
          <t>andreia.matiel@daycoval.com.br</t>
        </is>
      </c>
      <c r="T135" s="22" t="inlineStr">
        <is>
          <t>DM: DM verified email; BACKUP: backup verified email</t>
        </is>
      </c>
      <c r="U135" s="24" t="n">
        <v>1201117.72</v>
      </c>
      <c r="V135" s="25" t="inlineStr">
        <is>
          <t>B</t>
        </is>
      </c>
      <c r="W135" s="26" t="inlineStr"/>
      <c r="X135" s="27" t="inlineStr"/>
      <c r="Y135" s="27" t="inlineStr"/>
      <c r="Z135" s="26">
        <f>IF(W135&lt;&gt;"",W135,IFERROR(VLOOKUP(V135,Assumptions!$A$8:$F$12,2,FALSE),0))*Assumptions!$B$5</f>
        <v/>
      </c>
      <c r="AA135" s="28">
        <f>IF(V135="A",MAX(1,IF(X135&lt;&gt;"",X135,IFERROR(VLOOKUP(V135,Assumptions!$A$8:$F$12,3,FALSE),3))+IF(Y135&lt;&gt;"",Y135,IFERROR(VLOOKUP(V135,Assumptions!$A$8:$F$12,4,FALSE),8))/2-MAX(0,IF(AS135="",0,YEAR(TODAY())-AS135)-IFERROR(VLOOKUP(V135,Assumptions!$A$8:$F$12,5,FALSE),1.5))),IFERROR(VLOOKUP(V135,Assumptions!$A$8:$F$12,5,FALSE),2.5)+IF(X135&lt;&gt;"",X135,IFERROR(VLOOKUP(V135,Assumptions!$A$8:$F$12,3,FALSE),3))+IF(Y135&lt;&gt;"",Y135,IFERROR(VLOOKUP(V135,Assumptions!$A$8:$F$12,4,FALSE),8))/2)</f>
        <v/>
      </c>
      <c r="AB135" s="24">
        <f>U135*Z135/(1+Assumptions!$B$3)^AA135</f>
        <v/>
      </c>
      <c r="AC135" s="27">
        <f>IF(U135=0,"",ROUND(AB135/U135*100,1))</f>
        <v/>
      </c>
      <c r="AD135" s="29">
        <f>AB135*Assumptions!$B$4</f>
        <v/>
      </c>
      <c r="AE135" s="27">
        <f>IF(U135=0,"",ROUND(AD135/U135*100,1))</f>
        <v/>
      </c>
      <c r="AF135" s="29">
        <f>AB135-AD135</f>
        <v/>
      </c>
      <c r="AG135" s="27">
        <f>IF(U135=0,"",ROUND((AB135-AD135)/U135*100,1))</f>
        <v/>
      </c>
      <c r="AH135" s="34" t="inlineStr">
        <is>
          <t>NO TOTALS — list prints none; check page</t>
        </is>
      </c>
      <c r="AI135" s="31" t="inlineStr">
        <is>
          <t>https://cataliseaj.com.br/sgc/download.php?file=files/processo_documento/processo_documento15092204102024_1_.pdf&amp;nome=02. RELAÇÃO DE CREDORES</t>
        </is>
      </c>
      <c r="AJ135" s="30" t="inlineStr">
        <is>
          <t>p2 r13</t>
        </is>
      </c>
      <c r="AK135" s="30" t="inlineStr">
        <is>
          <t>p2: R$ 1.201.117,72</t>
        </is>
      </c>
      <c r="AL135" s="30" t="inlineStr">
        <is>
          <t>Debtor list (art. 51)</t>
        </is>
      </c>
      <c r="AM135" s="30" t="inlineStr"/>
      <c r="AN135" s="30" t="inlineStr">
        <is>
          <t>NONE FOUND</t>
        </is>
      </c>
      <c r="AO135" s="32" t="inlineStr">
        <is>
          <t>5011460-87.2023.8.24.0020</t>
        </is>
      </c>
      <c r="AP135" s="32" t="inlineStr">
        <is>
          <t>TJSC</t>
        </is>
      </c>
      <c r="AQ135" s="32" t="inlineStr">
        <is>
          <t>Recuperação judicial</t>
        </is>
      </c>
      <c r="AR135" s="32" t="inlineStr">
        <is>
          <t>DataJud: no closure/falência movement</t>
        </is>
      </c>
      <c r="AS135" s="32" t="n">
        <v>2023</v>
      </c>
      <c r="AT135" s="32" t="inlineStr">
        <is>
          <t>live case, no plan document yet; case no. from the portal record, not printed on the list</t>
        </is>
      </c>
      <c r="AU135" s="32" t="inlineStr">
        <is>
          <t>26.588.741/0001-29</t>
        </is>
      </c>
      <c r="AV135" s="32" t="inlineStr">
        <is>
          <t>printed on the list (read twice)</t>
        </is>
      </c>
      <c r="AW135" s="32" t="inlineStr"/>
      <c r="AX135" s="32" t="inlineStr">
        <is>
          <t>SAO PAULO</t>
        </is>
      </c>
      <c r="AY135" s="32" t="inlineStr">
        <is>
          <t>SP</t>
        </is>
      </c>
      <c r="AZ135" s="32" t="inlineStr">
        <is>
          <t>Bancos múltiplos, com carteira comercial</t>
        </is>
      </c>
      <c r="BA135" s="32" t="inlineStr">
        <is>
          <t>não ME/EPP</t>
        </is>
      </c>
      <c r="BB135" s="33" t="n">
        <v>6907260000</v>
      </c>
      <c r="BC135" s="32" t="inlineStr">
        <is>
          <t>LARGE CORP</t>
        </is>
      </c>
      <c r="BD135" s="32" t="inlineStr">
        <is>
          <t>62232889</t>
        </is>
      </c>
      <c r="BE135" s="32" t="n">
        <v>1</v>
      </c>
      <c r="BF135" s="32" t="inlineStr">
        <is>
          <t>list prints no totals</t>
        </is>
      </c>
    </row>
    <row r="136">
      <c r="A136" s="17" t="inlineStr">
        <is>
          <t>BANCO DAYCOVAL S.A.</t>
        </is>
      </c>
      <c r="B136" s="18" t="n">
        <v>1163007.18</v>
      </c>
      <c r="C136" s="19" t="inlineStr">
        <is>
          <t>Cerealista Safrasul Ltda</t>
        </is>
      </c>
      <c r="D136" s="20" t="inlineStr">
        <is>
          <t>NEW</t>
        </is>
      </c>
      <c r="E136" s="21" t="inlineStr"/>
      <c r="F136" s="20" t="inlineStr"/>
      <c r="G136" s="21" t="inlineStr"/>
      <c r="H136" s="20" t="inlineStr"/>
      <c r="I136" s="22" t="inlineStr">
        <is>
          <t>Celso Araujo</t>
        </is>
      </c>
      <c r="J136" s="22" t="inlineStr">
        <is>
          <t>Gerente de Recuperação de Crédito</t>
        </is>
      </c>
      <c r="K136" s="22" t="inlineStr">
        <is>
          <t>(11) 3138-0500</t>
        </is>
      </c>
      <c r="L136" s="22" t="inlineStr"/>
      <c r="M136" s="22" t="inlineStr"/>
      <c r="N136" s="22" t="inlineStr">
        <is>
          <t>celso.araujo@bancodaycoval.com.br</t>
        </is>
      </c>
      <c r="O136" s="22" t="inlineStr">
        <is>
          <t>verified</t>
        </is>
      </c>
      <c r="P136" s="22" t="inlineStr">
        <is>
          <t>Andreia Matiel</t>
        </is>
      </c>
      <c r="Q136" s="22" t="inlineStr">
        <is>
          <t>Advogada Recuperação de Crédito Empresas</t>
        </is>
      </c>
      <c r="R136" s="22" t="inlineStr"/>
      <c r="S136" s="22" t="inlineStr">
        <is>
          <t>andreia.matiel@daycoval.com.br</t>
        </is>
      </c>
      <c r="T136" s="22" t="inlineStr">
        <is>
          <t>DM: DM verified email; BACKUP: backup verified email</t>
        </is>
      </c>
      <c r="U136" s="24" t="n">
        <v>1163007.18</v>
      </c>
      <c r="V136" s="25" t="inlineStr">
        <is>
          <t>B</t>
        </is>
      </c>
      <c r="W136" s="26" t="inlineStr"/>
      <c r="X136" s="27" t="inlineStr"/>
      <c r="Y136" s="27" t="inlineStr"/>
      <c r="Z136" s="26">
        <f>IF(W136&lt;&gt;"",W136,IFERROR(VLOOKUP(V136,Assumptions!$A$8:$F$12,2,FALSE),0))*Assumptions!$B$5</f>
        <v/>
      </c>
      <c r="AA136" s="28">
        <f>IF(V136="A",MAX(1,IF(X136&lt;&gt;"",X136,IFERROR(VLOOKUP(V136,Assumptions!$A$8:$F$12,3,FALSE),3))+IF(Y136&lt;&gt;"",Y136,IFERROR(VLOOKUP(V136,Assumptions!$A$8:$F$12,4,FALSE),8))/2-MAX(0,IF(AS136="",0,YEAR(TODAY())-AS136)-IFERROR(VLOOKUP(V136,Assumptions!$A$8:$F$12,5,FALSE),1.5))),IFERROR(VLOOKUP(V136,Assumptions!$A$8:$F$12,5,FALSE),2.5)+IF(X136&lt;&gt;"",X136,IFERROR(VLOOKUP(V136,Assumptions!$A$8:$F$12,3,FALSE),3))+IF(Y136&lt;&gt;"",Y136,IFERROR(VLOOKUP(V136,Assumptions!$A$8:$F$12,4,FALSE),8))/2)</f>
        <v/>
      </c>
      <c r="AB136" s="24">
        <f>U136*Z136/(1+Assumptions!$B$3)^AA136</f>
        <v/>
      </c>
      <c r="AC136" s="27">
        <f>IF(U136=0,"",ROUND(AB136/U136*100,1))</f>
        <v/>
      </c>
      <c r="AD136" s="29">
        <f>AB136*Assumptions!$B$4</f>
        <v/>
      </c>
      <c r="AE136" s="27">
        <f>IF(U136=0,"",ROUND(AD136/U136*100,1))</f>
        <v/>
      </c>
      <c r="AF136" s="29">
        <f>AB136-AD136</f>
        <v/>
      </c>
      <c r="AG136" s="27">
        <f>IF(U136=0,"",ROUND((AB136-AD136)/U136*100,1))</f>
        <v/>
      </c>
      <c r="AH136" s="34" t="inlineStr">
        <is>
          <t>NO TOTALS — list prints none; check page</t>
        </is>
      </c>
      <c r="AI136" s="31" t="inlineStr">
        <is>
          <t>https://ajruiz.com.br/sites/default/files/public/arquivos-processos/2026-01/safrasul_relacao_de_credores_recuperanda.pdf</t>
        </is>
      </c>
      <c r="AJ136" s="30" t="inlineStr">
        <is>
          <t>p8 r5; p8 r6; p8 r7; p8 r8; p8 r9</t>
        </is>
      </c>
      <c r="AK136" s="30" t="inlineStr">
        <is>
          <t>p8: R$ 93.549,74; p8: R$ 390.904,62; p8: R$ 143.386,16; p8: R$ 450.000,00; p8: R$ 85.166,66</t>
        </is>
      </c>
      <c r="AL136" s="30" t="inlineStr">
        <is>
          <t>AJ list (art. 7 §2)</t>
        </is>
      </c>
      <c r="AM136" s="30" t="inlineStr">
        <is>
          <t>2026-01-14</t>
        </is>
      </c>
      <c r="AN136" s="30" t="inlineStr">
        <is>
          <t>NONE FOUND</t>
        </is>
      </c>
      <c r="AO136" s="32" t="inlineStr">
        <is>
          <t>4000167-23.2025.8.26.0373</t>
        </is>
      </c>
      <c r="AP136" s="32" t="inlineStr">
        <is>
          <t>TJSP</t>
        </is>
      </c>
      <c r="AQ136" s="32" t="inlineStr">
        <is>
          <t>Recuperação judicial</t>
        </is>
      </c>
      <c r="AR136" s="32" t="inlineStr">
        <is>
          <t>DataJud: no closure/falência movement</t>
        </is>
      </c>
      <c r="AS136" s="32" t="n">
        <v>2025</v>
      </c>
      <c r="AT136" s="32" t="inlineStr">
        <is>
          <t>live case, no plan document yet</t>
        </is>
      </c>
      <c r="AU136" s="32" t="inlineStr"/>
      <c r="AV136" s="32" t="inlineStr">
        <is>
          <t>printed on the list (read twice)</t>
        </is>
      </c>
      <c r="AW136" s="32" t="inlineStr"/>
      <c r="AX136" s="32" t="inlineStr">
        <is>
          <t>SAO PAULO</t>
        </is>
      </c>
      <c r="AY136" s="32" t="inlineStr">
        <is>
          <t>SP</t>
        </is>
      </c>
      <c r="AZ136" s="32" t="inlineStr">
        <is>
          <t>Bancos múltiplos, com carteira comercial</t>
        </is>
      </c>
      <c r="BA136" s="32" t="inlineStr">
        <is>
          <t>não ME/EPP</t>
        </is>
      </c>
      <c r="BB136" s="33" t="n">
        <v>6907260000</v>
      </c>
      <c r="BC136" s="32" t="inlineStr">
        <is>
          <t>LARGE CORP</t>
        </is>
      </c>
      <c r="BD136" s="32" t="inlineStr">
        <is>
          <t>62232889</t>
        </is>
      </c>
      <c r="BE136" s="32" t="n">
        <v>5</v>
      </c>
      <c r="BF136" s="32" t="inlineStr">
        <is>
          <t>financial by name list prints no totals</t>
        </is>
      </c>
    </row>
    <row r="137">
      <c r="A137" s="17" t="inlineStr">
        <is>
          <t>LOTUS PERFOMANCE FUNDO DE INVESTIMENTO</t>
        </is>
      </c>
      <c r="B137" s="18" t="n">
        <v>1148564.16</v>
      </c>
      <c r="C137" s="19" t="inlineStr">
        <is>
          <t>FLAVOUR MIX IND. E REP. ALIM. E INGR. QUÍMICOS LTDA.</t>
        </is>
      </c>
      <c r="D137" s="20" t="inlineStr">
        <is>
          <t>NEW</t>
        </is>
      </c>
      <c r="E137" s="21" t="inlineStr"/>
      <c r="F137" s="20" t="inlineStr"/>
      <c r="G137" s="21" t="inlineStr"/>
      <c r="H137" s="20" t="inlineStr"/>
      <c r="I137" s="22" t="inlineStr"/>
      <c r="J137" s="22" t="inlineStr"/>
      <c r="K137" s="22" t="inlineStr"/>
      <c r="L137" s="22" t="inlineStr"/>
      <c r="M137" s="22" t="inlineStr"/>
      <c r="N137" s="22" t="inlineStr"/>
      <c r="O137" s="22" t="inlineStr"/>
      <c r="P137" s="22" t="inlineStr"/>
      <c r="Q137" s="22" t="inlineStr"/>
      <c r="R137" s="22" t="inlineStr"/>
      <c r="S137" s="22" t="inlineStr"/>
      <c r="T137" s="22" t="inlineStr">
        <is>
          <t>no named contact found; NO ROUTE IN: no phone or email on file</t>
        </is>
      </c>
      <c r="U137" s="24" t="n">
        <v>1148564.16</v>
      </c>
      <c r="V137" s="25" t="inlineStr">
        <is>
          <t>B</t>
        </is>
      </c>
      <c r="W137" s="26" t="inlineStr"/>
      <c r="X137" s="27" t="inlineStr"/>
      <c r="Y137" s="27" t="inlineStr"/>
      <c r="Z137" s="26">
        <f>IF(W137&lt;&gt;"",W137,IFERROR(VLOOKUP(V137,Assumptions!$A$8:$F$12,2,FALSE),0))*Assumptions!$B$5</f>
        <v/>
      </c>
      <c r="AA137" s="28">
        <f>IF(V137="A",MAX(1,IF(X137&lt;&gt;"",X137,IFERROR(VLOOKUP(V137,Assumptions!$A$8:$F$12,3,FALSE),3))+IF(Y137&lt;&gt;"",Y137,IFERROR(VLOOKUP(V137,Assumptions!$A$8:$F$12,4,FALSE),8))/2-MAX(0,IF(AS137="",0,YEAR(TODAY())-AS137)-IFERROR(VLOOKUP(V137,Assumptions!$A$8:$F$12,5,FALSE),1.5))),IFERROR(VLOOKUP(V137,Assumptions!$A$8:$F$12,5,FALSE),2.5)+IF(X137&lt;&gt;"",X137,IFERROR(VLOOKUP(V137,Assumptions!$A$8:$F$12,3,FALSE),3))+IF(Y137&lt;&gt;"",Y137,IFERROR(VLOOKUP(V137,Assumptions!$A$8:$F$12,4,FALSE),8))/2)</f>
        <v/>
      </c>
      <c r="AB137" s="24">
        <f>U137*Z137/(1+Assumptions!$B$3)^AA137</f>
        <v/>
      </c>
      <c r="AC137" s="27">
        <f>IF(U137=0,"",ROUND(AB137/U137*100,1))</f>
        <v/>
      </c>
      <c r="AD137" s="29">
        <f>AB137*Assumptions!$B$4</f>
        <v/>
      </c>
      <c r="AE137" s="27">
        <f>IF(U137=0,"",ROUND(AD137/U137*100,1))</f>
        <v/>
      </c>
      <c r="AF137" s="29">
        <f>AB137-AD137</f>
        <v/>
      </c>
      <c r="AG137" s="27">
        <f>IF(U137=0,"",ROUND((AB137-AD137)/U137*100,1))</f>
        <v/>
      </c>
      <c r="AH137" s="34" t="inlineStr">
        <is>
          <t>NO TOTALS — list prints none; check page</t>
        </is>
      </c>
      <c r="AI137" s="31" t="inlineStr">
        <is>
          <t>https://ativosajce.com.br/admin/download.php?file=files/processo_documento/processo_documento13422625032025_1_.pdf&amp;nome=Relação de Credores - Art. 52º § 1º, da Lei nº 11.101/2005 - 25/02/2025</t>
        </is>
      </c>
      <c r="AJ137" s="30" t="inlineStr">
        <is>
          <t>p4 r47; p4 r48</t>
        </is>
      </c>
      <c r="AK137" s="30" t="inlineStr">
        <is>
          <t>p4: R$ 456.179,92; p4: R$ 692.384,24</t>
        </is>
      </c>
      <c r="AL137" s="30" t="inlineStr">
        <is>
          <t>Unclassified list</t>
        </is>
      </c>
      <c r="AM137" s="30" t="inlineStr">
        <is>
          <t>2025-02-28</t>
        </is>
      </c>
      <c r="AN137" s="30" t="inlineStr">
        <is>
          <t>NONE FOUND</t>
        </is>
      </c>
      <c r="AO137" s="32" t="inlineStr">
        <is>
          <t>1000119-75.2025.8.26.0354</t>
        </is>
      </c>
      <c r="AP137" s="32" t="inlineStr">
        <is>
          <t>TJSP</t>
        </is>
      </c>
      <c r="AQ137" s="32" t="inlineStr">
        <is>
          <t>Recuperação judicial</t>
        </is>
      </c>
      <c r="AR137" s="32" t="inlineStr">
        <is>
          <t>DataJud: no closure/falência movement</t>
        </is>
      </c>
      <c r="AS137" s="32" t="n">
        <v>2025</v>
      </c>
      <c r="AT137" s="32" t="inlineStr">
        <is>
          <t>live case, no plan document yet; case no. from the portal record, not printed on the list</t>
        </is>
      </c>
      <c r="AU137" s="32" t="inlineStr">
        <is>
          <t>09.357.504/0001-38</t>
        </is>
      </c>
      <c r="AV137" s="32" t="inlineStr">
        <is>
          <t>printed on the list (read twice)</t>
        </is>
      </c>
      <c r="AW137" s="32" t="inlineStr"/>
      <c r="AX137" s="32" t="inlineStr"/>
      <c r="AY137" s="32" t="inlineStr"/>
      <c r="AZ137" s="32" t="inlineStr"/>
      <c r="BA137" s="32" t="inlineStr"/>
      <c r="BB137" s="33" t="inlineStr"/>
      <c r="BC137" s="32" t="inlineStr">
        <is>
          <t>UNKNOWN</t>
        </is>
      </c>
      <c r="BD137" s="32" t="inlineStr">
        <is>
          <t>40155056</t>
        </is>
      </c>
      <c r="BE137" s="32" t="n">
        <v>2</v>
      </c>
      <c r="BF137" s="32" t="inlineStr">
        <is>
          <t>financial by name list prints no totals no RFB record no route in</t>
        </is>
      </c>
    </row>
    <row r="138">
      <c r="A138" s="17" t="inlineStr">
        <is>
          <t>CREDMEI SECURITIZADORA II SPE S.A</t>
        </is>
      </c>
      <c r="B138" s="18" t="n">
        <v>1135255.25</v>
      </c>
      <c r="C138" s="19" t="inlineStr">
        <is>
          <t>Grupo Arruda (ARRUDA &amp; MELO REPRESENTACAO DE ALIMENTOS E BEBIDAS LTDA, ARRUDA &amp; MELO COMERCIO E DISTRIBUICAO DE ALIMENTOS E BEBIDAS LTDA, ARRUDA &amp; MELO COMERCIO E DISTRIBUICAO DE ALIMENTOS E BEBIDAS DA BAHIA LTDA)</t>
        </is>
      </c>
      <c r="D138" s="20" t="inlineStr">
        <is>
          <t>NEW</t>
        </is>
      </c>
      <c r="E138" s="21" t="inlineStr"/>
      <c r="F138" s="20" t="inlineStr"/>
      <c r="G138" s="21" t="inlineStr"/>
      <c r="H138" s="20" t="inlineStr"/>
      <c r="I138" s="22" t="inlineStr">
        <is>
          <t>Luan Vieira</t>
        </is>
      </c>
      <c r="J138" s="22" t="inlineStr">
        <is>
          <t>Head of Credit</t>
        </is>
      </c>
      <c r="K138" s="22" t="inlineStr"/>
      <c r="L138" s="22" t="inlineStr"/>
      <c r="M138" s="22" t="inlineStr"/>
      <c r="N138" s="22" t="inlineStr">
        <is>
          <t>luan@credmei.com.br</t>
        </is>
      </c>
      <c r="O138" s="22" t="inlineStr">
        <is>
          <t>verified</t>
        </is>
      </c>
      <c r="P138" s="22" t="inlineStr">
        <is>
          <t>Nubia Silva</t>
        </is>
      </c>
      <c r="Q138" s="22" t="inlineStr">
        <is>
          <t>Credit Analyst</t>
        </is>
      </c>
      <c r="R138" s="22" t="inlineStr"/>
      <c r="S138" s="22" t="inlineStr">
        <is>
          <t>nubia@credmei.com.br</t>
        </is>
      </c>
      <c r="T138" s="22" t="inlineStr">
        <is>
          <t>DM: DM; BACKUP: backup</t>
        </is>
      </c>
      <c r="U138" s="24" t="n">
        <v>1135255.25</v>
      </c>
      <c r="V138" s="25" t="inlineStr">
        <is>
          <t>B</t>
        </is>
      </c>
      <c r="W138" s="26" t="inlineStr"/>
      <c r="X138" s="27" t="inlineStr"/>
      <c r="Y138" s="27" t="inlineStr"/>
      <c r="Z138" s="26">
        <f>IF(W138&lt;&gt;"",W138,IFERROR(VLOOKUP(V138,Assumptions!$A$8:$F$12,2,FALSE),0))*Assumptions!$B$5</f>
        <v/>
      </c>
      <c r="AA138" s="28">
        <f>IF(V138="A",MAX(1,IF(X138&lt;&gt;"",X138,IFERROR(VLOOKUP(V138,Assumptions!$A$8:$F$12,3,FALSE),3))+IF(Y138&lt;&gt;"",Y138,IFERROR(VLOOKUP(V138,Assumptions!$A$8:$F$12,4,FALSE),8))/2-MAX(0,IF(AS138="",0,YEAR(TODAY())-AS138)-IFERROR(VLOOKUP(V138,Assumptions!$A$8:$F$12,5,FALSE),1.5))),IFERROR(VLOOKUP(V138,Assumptions!$A$8:$F$12,5,FALSE),2.5)+IF(X138&lt;&gt;"",X138,IFERROR(VLOOKUP(V138,Assumptions!$A$8:$F$12,3,FALSE),3))+IF(Y138&lt;&gt;"",Y138,IFERROR(VLOOKUP(V138,Assumptions!$A$8:$F$12,4,FALSE),8))/2)</f>
        <v/>
      </c>
      <c r="AB138" s="24">
        <f>U138*Z138/(1+Assumptions!$B$3)^AA138</f>
        <v/>
      </c>
      <c r="AC138" s="27">
        <f>IF(U138=0,"",ROUND(AB138/U138*100,1))</f>
        <v/>
      </c>
      <c r="AD138" s="29">
        <f>AB138*Assumptions!$B$4</f>
        <v/>
      </c>
      <c r="AE138" s="27">
        <f>IF(U138=0,"",ROUND(AD138/U138*100,1))</f>
        <v/>
      </c>
      <c r="AF138" s="29">
        <f>AB138-AD138</f>
        <v/>
      </c>
      <c r="AG138" s="27">
        <f>IF(U138=0,"",ROUND((AB138-AD138)/U138*100,1))</f>
        <v/>
      </c>
      <c r="AH138" s="30" t="inlineStr">
        <is>
          <t>OK — totals reconciled</t>
        </is>
      </c>
      <c r="AI138" s="31" t="inlineStr">
        <is>
          <t>https://diligence.adm.br/wp-content/uploads/2025/06/Edital-1a-Lista-de-Credores.pdf</t>
        </is>
      </c>
      <c r="AJ138" s="30" t="inlineStr">
        <is>
          <t>p5 r54</t>
        </is>
      </c>
      <c r="AK138" s="30" t="inlineStr">
        <is>
          <t>p5: R$ 1.135.255,25</t>
        </is>
      </c>
      <c r="AL138" s="30" t="inlineStr">
        <is>
          <t>Debtor list (art. 51)</t>
        </is>
      </c>
      <c r="AM138" s="30" t="inlineStr">
        <is>
          <t>2025-06-10</t>
        </is>
      </c>
      <c r="AN138" s="30" t="inlineStr">
        <is>
          <t>NONE FOUND</t>
        </is>
      </c>
      <c r="AO138" s="32" t="inlineStr">
        <is>
          <t>0008526-45.2025.8.17.2001</t>
        </is>
      </c>
      <c r="AP138" s="32" t="inlineStr">
        <is>
          <t>TJPE</t>
        </is>
      </c>
      <c r="AQ138" s="32" t="inlineStr">
        <is>
          <t>Recuperação judicial</t>
        </is>
      </c>
      <c r="AR138" s="32" t="inlineStr">
        <is>
          <t>DataJud: no closure/falência movement</t>
        </is>
      </c>
      <c r="AS138" s="32" t="n">
        <v>2025</v>
      </c>
      <c r="AT138" s="32" t="inlineStr">
        <is>
          <t>live case, no plan document yet</t>
        </is>
      </c>
      <c r="AU138" s="32" t="inlineStr"/>
      <c r="AV138" s="32" t="inlineStr">
        <is>
          <t>printed on the list (read twice)</t>
        </is>
      </c>
      <c r="AW138" s="32" t="inlineStr"/>
      <c r="AX138" s="32" t="inlineStr"/>
      <c r="AY138" s="32" t="inlineStr"/>
      <c r="AZ138" s="32" t="inlineStr"/>
      <c r="BA138" s="32" t="inlineStr"/>
      <c r="BB138" s="33" t="inlineStr"/>
      <c r="BC138" s="32" t="inlineStr">
        <is>
          <t>UNKNOWN</t>
        </is>
      </c>
      <c r="BD138" s="32" t="inlineStr">
        <is>
          <t>50202890</t>
        </is>
      </c>
      <c r="BE138" s="32" t="n">
        <v>1</v>
      </c>
      <c r="BF138" s="32" t="inlineStr">
        <is>
          <t>financial by name no RFB record</t>
        </is>
      </c>
    </row>
    <row r="139">
      <c r="A139" s="17" t="inlineStr">
        <is>
          <t>P.S FACTORING</t>
        </is>
      </c>
      <c r="B139" s="18" t="n">
        <v>1131366.06</v>
      </c>
      <c r="C139" s="19" t="inlineStr">
        <is>
          <t>GRUPO DIVINA</t>
        </is>
      </c>
      <c r="D139" s="20" t="inlineStr">
        <is>
          <t>NEW</t>
        </is>
      </c>
      <c r="E139" s="21" t="inlineStr"/>
      <c r="F139" s="20" t="inlineStr"/>
      <c r="G139" s="21" t="inlineStr"/>
      <c r="H139" s="20" t="inlineStr"/>
      <c r="I139" s="22" t="inlineStr">
        <is>
          <t>Roseane Fischer</t>
        </is>
      </c>
      <c r="J139" s="22" t="inlineStr">
        <is>
          <t>Commercial Manager</t>
        </is>
      </c>
      <c r="K139" s="22" t="inlineStr"/>
      <c r="L139" s="22" t="inlineStr"/>
      <c r="M139" s="22" t="inlineStr"/>
      <c r="N139" s="22" t="inlineStr"/>
      <c r="O139" s="22" t="inlineStr"/>
      <c r="P139" s="22" t="inlineStr"/>
      <c r="Q139" s="22" t="inlineStr"/>
      <c r="R139" s="22" t="inlineStr"/>
      <c r="S139" s="22" t="inlineStr"/>
      <c r="T139" s="22" t="inlineStr">
        <is>
          <t>DM is not a finance role (Commercial Manager); DM: DM email unavailable; no work email in Apollo for DM; NO ROUTE IN: no phone or email on file</t>
        </is>
      </c>
      <c r="U139" s="24" t="n">
        <v>1131366.06</v>
      </c>
      <c r="V139" s="25" t="inlineStr">
        <is>
          <t>B</t>
        </is>
      </c>
      <c r="W139" s="26" t="inlineStr"/>
      <c r="X139" s="27" t="inlineStr"/>
      <c r="Y139" s="27" t="inlineStr"/>
      <c r="Z139" s="26">
        <f>IF(W139&lt;&gt;"",W139,IFERROR(VLOOKUP(V139,Assumptions!$A$8:$F$12,2,FALSE),0))*Assumptions!$B$5</f>
        <v/>
      </c>
      <c r="AA139" s="28">
        <f>IF(V139="A",MAX(1,IF(X139&lt;&gt;"",X139,IFERROR(VLOOKUP(V139,Assumptions!$A$8:$F$12,3,FALSE),3))+IF(Y139&lt;&gt;"",Y139,IFERROR(VLOOKUP(V139,Assumptions!$A$8:$F$12,4,FALSE),8))/2-MAX(0,IF(AS139="",0,YEAR(TODAY())-AS139)-IFERROR(VLOOKUP(V139,Assumptions!$A$8:$F$12,5,FALSE),1.5))),IFERROR(VLOOKUP(V139,Assumptions!$A$8:$F$12,5,FALSE),2.5)+IF(X139&lt;&gt;"",X139,IFERROR(VLOOKUP(V139,Assumptions!$A$8:$F$12,3,FALSE),3))+IF(Y139&lt;&gt;"",Y139,IFERROR(VLOOKUP(V139,Assumptions!$A$8:$F$12,4,FALSE),8))/2)</f>
        <v/>
      </c>
      <c r="AB139" s="24">
        <f>U139*Z139/(1+Assumptions!$B$3)^AA139</f>
        <v/>
      </c>
      <c r="AC139" s="27">
        <f>IF(U139=0,"",ROUND(AB139/U139*100,1))</f>
        <v/>
      </c>
      <c r="AD139" s="29">
        <f>AB139*Assumptions!$B$4</f>
        <v/>
      </c>
      <c r="AE139" s="27">
        <f>IF(U139=0,"",ROUND(AD139/U139*100,1))</f>
        <v/>
      </c>
      <c r="AF139" s="29">
        <f>AB139-AD139</f>
        <v/>
      </c>
      <c r="AG139" s="27">
        <f>IF(U139=0,"",ROUND((AB139-AD139)/U139*100,1))</f>
        <v/>
      </c>
      <c r="AH139" s="35" t="inlineStr">
        <is>
          <t>PARTIAL — class III reconciled, other classes not</t>
        </is>
      </c>
      <c r="AI139" s="31" t="inlineStr">
        <is>
          <t>https://lrflideres.com.br/wp-content/plugins/download-attachments/includes/download.php?id=6252</t>
        </is>
      </c>
      <c r="AJ139" s="30" t="inlineStr">
        <is>
          <t>p2 r67</t>
        </is>
      </c>
      <c r="AK139" s="30" t="inlineStr">
        <is>
          <t>p2: R$ 1.131.366,06</t>
        </is>
      </c>
      <c r="AL139" s="30" t="inlineStr">
        <is>
          <t>AJ list (art. 7 §2)</t>
        </is>
      </c>
      <c r="AM139" s="30" t="inlineStr">
        <is>
          <t>2024-11-27</t>
        </is>
      </c>
      <c r="AN139" s="30" t="inlineStr">
        <is>
          <t>NONE FOUND</t>
        </is>
      </c>
      <c r="AO139" s="32" t="inlineStr">
        <is>
          <t>0000721-61.2024.8.17.2620</t>
        </is>
      </c>
      <c r="AP139" s="32" t="inlineStr">
        <is>
          <t>TJPE</t>
        </is>
      </c>
      <c r="AQ139" s="32" t="inlineStr">
        <is>
          <t>Recuperação judicial</t>
        </is>
      </c>
      <c r="AR139" s="32" t="inlineStr">
        <is>
          <t>DataJud: no closure/falência movement</t>
        </is>
      </c>
      <c r="AS139" s="32" t="n">
        <v>2024</v>
      </c>
      <c r="AT139" s="32" t="inlineStr">
        <is>
          <t>live case, no plan document yet</t>
        </is>
      </c>
      <c r="AU139" s="32" t="inlineStr">
        <is>
          <t>08.785.522/0001-58</t>
        </is>
      </c>
      <c r="AV139" s="32" t="inlineStr">
        <is>
          <t>printed on the list (read twice)</t>
        </is>
      </c>
      <c r="AW139" s="32" t="inlineStr"/>
      <c r="AX139" s="32" t="inlineStr"/>
      <c r="AY139" s="32" t="inlineStr"/>
      <c r="AZ139" s="32" t="inlineStr"/>
      <c r="BA139" s="32" t="inlineStr"/>
      <c r="BB139" s="33" t="inlineStr"/>
      <c r="BC139" s="32" t="inlineStr">
        <is>
          <t>UNKNOWN</t>
        </is>
      </c>
      <c r="BD139" s="32" t="inlineStr">
        <is>
          <t>40974616</t>
        </is>
      </c>
      <c r="BE139" s="32" t="n">
        <v>1</v>
      </c>
      <c r="BF139" s="32" t="inlineStr">
        <is>
          <t>financial by name class III reconciled (doc partial) no RFB record no route in</t>
        </is>
      </c>
    </row>
    <row r="140">
      <c r="A140" s="17" t="inlineStr">
        <is>
          <t>BANCO LUSO BRASILEIRO SA</t>
        </is>
      </c>
      <c r="B140" s="18" t="n">
        <v>1113960</v>
      </c>
      <c r="C140" s="19" t="inlineStr">
        <is>
          <t>FLAVOUR MIX IND. E REP. ALIM. E INGR. QUÍMICOS LTDA.</t>
        </is>
      </c>
      <c r="D140" s="20" t="inlineStr">
        <is>
          <t>NEW</t>
        </is>
      </c>
      <c r="E140" s="21" t="inlineStr"/>
      <c r="F140" s="20" t="inlineStr"/>
      <c r="G140" s="21" t="inlineStr"/>
      <c r="H140" s="20" t="inlineStr"/>
      <c r="I140" s="22" t="inlineStr">
        <is>
          <t>Claudio Oliveira</t>
        </is>
      </c>
      <c r="J140" s="22" t="inlineStr">
        <is>
          <t>Coordenador de Cobrança, Retomados e BNDU</t>
        </is>
      </c>
      <c r="K140" s="22" t="inlineStr"/>
      <c r="L140" s="22" t="inlineStr"/>
      <c r="M140" s="22" t="inlineStr"/>
      <c r="N140" s="22" t="inlineStr"/>
      <c r="O140" s="22" t="inlineStr"/>
      <c r="P140" s="22" t="inlineStr">
        <is>
          <t>Bruno Peixoto</t>
        </is>
      </c>
      <c r="Q140" s="22" t="inlineStr">
        <is>
          <t>Legal Manager</t>
        </is>
      </c>
      <c r="R140" s="22" t="inlineStr"/>
      <c r="S140" s="22" t="inlineStr">
        <is>
          <t>bruno.peixoto@lusobank.com.br</t>
        </is>
      </c>
      <c r="T140" s="22" t="inlineStr">
        <is>
          <t>DM: DM; no work email in Apollo for DM; BACKUP: backup2</t>
        </is>
      </c>
      <c r="U140" s="24" t="n">
        <v>1113960</v>
      </c>
      <c r="V140" s="25" t="inlineStr">
        <is>
          <t>B</t>
        </is>
      </c>
      <c r="W140" s="26" t="inlineStr"/>
      <c r="X140" s="27" t="inlineStr"/>
      <c r="Y140" s="27" t="inlineStr"/>
      <c r="Z140" s="26">
        <f>IF(W140&lt;&gt;"",W140,IFERROR(VLOOKUP(V140,Assumptions!$A$8:$F$12,2,FALSE),0))*Assumptions!$B$5</f>
        <v/>
      </c>
      <c r="AA140" s="28">
        <f>IF(V140="A",MAX(1,IF(X140&lt;&gt;"",X140,IFERROR(VLOOKUP(V140,Assumptions!$A$8:$F$12,3,FALSE),3))+IF(Y140&lt;&gt;"",Y140,IFERROR(VLOOKUP(V140,Assumptions!$A$8:$F$12,4,FALSE),8))/2-MAX(0,IF(AS140="",0,YEAR(TODAY())-AS140)-IFERROR(VLOOKUP(V140,Assumptions!$A$8:$F$12,5,FALSE),1.5))),IFERROR(VLOOKUP(V140,Assumptions!$A$8:$F$12,5,FALSE),2.5)+IF(X140&lt;&gt;"",X140,IFERROR(VLOOKUP(V140,Assumptions!$A$8:$F$12,3,FALSE),3))+IF(Y140&lt;&gt;"",Y140,IFERROR(VLOOKUP(V140,Assumptions!$A$8:$F$12,4,FALSE),8))/2)</f>
        <v/>
      </c>
      <c r="AB140" s="24">
        <f>U140*Z140/(1+Assumptions!$B$3)^AA140</f>
        <v/>
      </c>
      <c r="AC140" s="27">
        <f>IF(U140=0,"",ROUND(AB140/U140*100,1))</f>
        <v/>
      </c>
      <c r="AD140" s="29">
        <f>AB140*Assumptions!$B$4</f>
        <v/>
      </c>
      <c r="AE140" s="27">
        <f>IF(U140=0,"",ROUND(AD140/U140*100,1))</f>
        <v/>
      </c>
      <c r="AF140" s="29">
        <f>AB140-AD140</f>
        <v/>
      </c>
      <c r="AG140" s="27">
        <f>IF(U140=0,"",ROUND((AB140-AD140)/U140*100,1))</f>
        <v/>
      </c>
      <c r="AH140" s="34" t="inlineStr">
        <is>
          <t>NO TOTALS — list prints none; check page</t>
        </is>
      </c>
      <c r="AI140" s="31" t="inlineStr">
        <is>
          <t>https://ativosajce.com.br/admin/download.php?file=files/processo_documento/processo_documento13422625032025_1_.pdf&amp;nome=Relação de Credores - Art. 52º § 1º, da Lei nº 11.101/2005 - 25/02/2025</t>
        </is>
      </c>
      <c r="AJ140" s="30" t="inlineStr">
        <is>
          <t>p3 r21</t>
        </is>
      </c>
      <c r="AK140" s="30" t="inlineStr">
        <is>
          <t>p3: R$ 1.113.960,00</t>
        </is>
      </c>
      <c r="AL140" s="30" t="inlineStr">
        <is>
          <t>Unclassified list</t>
        </is>
      </c>
      <c r="AM140" s="30" t="inlineStr">
        <is>
          <t>2025-02-28</t>
        </is>
      </c>
      <c r="AN140" s="30" t="inlineStr">
        <is>
          <t>NONE FOUND</t>
        </is>
      </c>
      <c r="AO140" s="32" t="inlineStr">
        <is>
          <t>1000119-75.2025.8.26.0354</t>
        </is>
      </c>
      <c r="AP140" s="32" t="inlineStr">
        <is>
          <t>TJSP</t>
        </is>
      </c>
      <c r="AQ140" s="32" t="inlineStr">
        <is>
          <t>Recuperação judicial</t>
        </is>
      </c>
      <c r="AR140" s="32" t="inlineStr">
        <is>
          <t>DataJud: no closure/falência movement</t>
        </is>
      </c>
      <c r="AS140" s="32" t="n">
        <v>2025</v>
      </c>
      <c r="AT140" s="32" t="inlineStr">
        <is>
          <t>live case, no plan document yet; case no. from the portal record, not printed on the list</t>
        </is>
      </c>
      <c r="AU140" s="32" t="inlineStr">
        <is>
          <t>09.357.504/0001-38</t>
        </is>
      </c>
      <c r="AV140" s="32" t="inlineStr">
        <is>
          <t>printed on the list (read twice)</t>
        </is>
      </c>
      <c r="AW140" s="32" t="inlineStr"/>
      <c r="AX140" s="32" t="inlineStr"/>
      <c r="AY140" s="32" t="inlineStr"/>
      <c r="AZ140" s="32" t="inlineStr"/>
      <c r="BA140" s="32" t="inlineStr"/>
      <c r="BB140" s="33" t="inlineStr"/>
      <c r="BC140" s="32" t="inlineStr">
        <is>
          <t>UNKNOWN</t>
        </is>
      </c>
      <c r="BD140" s="32" t="inlineStr">
        <is>
          <t>59118133</t>
        </is>
      </c>
      <c r="BE140" s="32" t="n">
        <v>1</v>
      </c>
      <c r="BF140" s="32" t="inlineStr">
        <is>
          <t>financial by name list prints no totals no RFB record</t>
        </is>
      </c>
    </row>
    <row r="141">
      <c r="A141" s="17" t="inlineStr">
        <is>
          <t>Banco Cooperativo Sicredi S.A.</t>
        </is>
      </c>
      <c r="B141" s="18" t="n">
        <v>1110075.23</v>
      </c>
      <c r="C141" s="19" t="inlineStr">
        <is>
          <t>Grupo Agromeal</t>
        </is>
      </c>
      <c r="D141" s="20" t="inlineStr">
        <is>
          <t>NEW</t>
        </is>
      </c>
      <c r="E141" s="21" t="inlineStr"/>
      <c r="F141" s="20" t="inlineStr"/>
      <c r="G141" s="21" t="inlineStr"/>
      <c r="H141" s="20" t="inlineStr"/>
      <c r="I141" s="22" t="inlineStr"/>
      <c r="J141" s="22" t="inlineStr"/>
      <c r="K141" s="22" t="inlineStr"/>
      <c r="L141" s="22" t="inlineStr"/>
      <c r="M141" s="22" t="inlineStr"/>
      <c r="N141" s="22" t="inlineStr"/>
      <c r="O141" s="22" t="inlineStr"/>
      <c r="P141" s="22" t="inlineStr"/>
      <c r="Q141" s="22" t="inlineStr"/>
      <c r="R141" s="22" t="inlineStr"/>
      <c r="S141" s="22" t="inlineStr"/>
      <c r="T141" s="22" t="inlineStr">
        <is>
          <t>no named contact found; NO ROUTE IN: no phone or email on file</t>
        </is>
      </c>
      <c r="U141" s="24" t="n">
        <v>1110075.23</v>
      </c>
      <c r="V141" s="25" t="inlineStr">
        <is>
          <t>B</t>
        </is>
      </c>
      <c r="W141" s="26" t="inlineStr"/>
      <c r="X141" s="27" t="inlineStr"/>
      <c r="Y141" s="27" t="inlineStr"/>
      <c r="Z141" s="26">
        <f>IF(W141&lt;&gt;"",W141,IFERROR(VLOOKUP(V141,Assumptions!$A$8:$F$12,2,FALSE),0))*Assumptions!$B$5</f>
        <v/>
      </c>
      <c r="AA141" s="28">
        <f>IF(V141="A",MAX(1,IF(X141&lt;&gt;"",X141,IFERROR(VLOOKUP(V141,Assumptions!$A$8:$F$12,3,FALSE),3))+IF(Y141&lt;&gt;"",Y141,IFERROR(VLOOKUP(V141,Assumptions!$A$8:$F$12,4,FALSE),8))/2-MAX(0,IF(AS141="",0,YEAR(TODAY())-AS141)-IFERROR(VLOOKUP(V141,Assumptions!$A$8:$F$12,5,FALSE),1.5))),IFERROR(VLOOKUP(V141,Assumptions!$A$8:$F$12,5,FALSE),2.5)+IF(X141&lt;&gt;"",X141,IFERROR(VLOOKUP(V141,Assumptions!$A$8:$F$12,3,FALSE),3))+IF(Y141&lt;&gt;"",Y141,IFERROR(VLOOKUP(V141,Assumptions!$A$8:$F$12,4,FALSE),8))/2)</f>
        <v/>
      </c>
      <c r="AB141" s="24">
        <f>U141*Z141/(1+Assumptions!$B$3)^AA141</f>
        <v/>
      </c>
      <c r="AC141" s="27">
        <f>IF(U141=0,"",ROUND(AB141/U141*100,1))</f>
        <v/>
      </c>
      <c r="AD141" s="29">
        <f>AB141*Assumptions!$B$4</f>
        <v/>
      </c>
      <c r="AE141" s="27">
        <f>IF(U141=0,"",ROUND(AD141/U141*100,1))</f>
        <v/>
      </c>
      <c r="AF141" s="29">
        <f>AB141-AD141</f>
        <v/>
      </c>
      <c r="AG141" s="27">
        <f>IF(U141=0,"",ROUND((AB141-AD141)/U141*100,1))</f>
        <v/>
      </c>
      <c r="AH141" s="35" t="inlineStr">
        <is>
          <t>PARTIAL — class III reconciled, other classes not</t>
        </is>
      </c>
      <c r="AI141" s="31" t="inlineStr">
        <is>
          <t>https://marquesadmjudicial.com.br/sgc/download.php?file=files/processo_documento/processo_documento17040729052024_1_.pdf&amp;nome=Relação Nominal de Credores AJ-Sintética</t>
        </is>
      </c>
      <c r="AJ141" s="30" t="inlineStr">
        <is>
          <t>p9 r18</t>
        </is>
      </c>
      <c r="AK141" s="30" t="inlineStr">
        <is>
          <t>p9: R$ 1.110.075,23</t>
        </is>
      </c>
      <c r="AL141" s="30" t="inlineStr">
        <is>
          <t>AJ list (art. 7 §2)</t>
        </is>
      </c>
      <c r="AM141" s="30" t="inlineStr">
        <is>
          <t>2024-05-27</t>
        </is>
      </c>
      <c r="AN141" s="30" t="inlineStr">
        <is>
          <t>NONE FOUND</t>
        </is>
      </c>
      <c r="AO141" s="32" t="inlineStr">
        <is>
          <t>0003971-03.2023.8.16.0119</t>
        </is>
      </c>
      <c r="AP141" s="32" t="inlineStr">
        <is>
          <t>TJPR</t>
        </is>
      </c>
      <c r="AQ141" s="32" t="inlineStr">
        <is>
          <t>Recuperação judicial</t>
        </is>
      </c>
      <c r="AR141" s="32" t="inlineStr">
        <is>
          <t>DataJud: no closure/falência movement</t>
        </is>
      </c>
      <c r="AS141" s="32" t="n">
        <v>2023</v>
      </c>
      <c r="AT141" s="32" t="inlineStr">
        <is>
          <t>live case, no plan document yet</t>
        </is>
      </c>
      <c r="AU141" s="32" t="inlineStr">
        <is>
          <t>11.624.776/0001-07</t>
        </is>
      </c>
      <c r="AV141" s="32" t="inlineStr">
        <is>
          <t>printed on the list (read twice)</t>
        </is>
      </c>
      <c r="AW141" s="32" t="inlineStr"/>
      <c r="AX141" s="32" t="inlineStr"/>
      <c r="AY141" s="32" t="inlineStr"/>
      <c r="AZ141" s="32" t="inlineStr"/>
      <c r="BA141" s="32" t="inlineStr"/>
      <c r="BB141" s="33" t="inlineStr"/>
      <c r="BC141" s="32" t="inlineStr">
        <is>
          <t>UNKNOWN</t>
        </is>
      </c>
      <c r="BD141" s="32" t="inlineStr">
        <is>
          <t>79342069</t>
        </is>
      </c>
      <c r="BE141" s="32" t="n">
        <v>1</v>
      </c>
      <c r="BF141" s="32" t="inlineStr">
        <is>
          <t>financial by name class III reconciled (doc partial) no RFB record no route in</t>
        </is>
      </c>
    </row>
    <row r="142">
      <c r="A142" s="17" t="inlineStr">
        <is>
          <t>BANCO SOFISA S.A.</t>
        </is>
      </c>
      <c r="B142" s="18" t="n">
        <v>1101118</v>
      </c>
      <c r="C142" s="19" t="inlineStr">
        <is>
          <t>VENEZA SERVIÇOS ADMINISTRATIVOS LTDA.</t>
        </is>
      </c>
      <c r="D142" s="20" t="inlineStr">
        <is>
          <t>NEW</t>
        </is>
      </c>
      <c r="E142" s="21" t="inlineStr"/>
      <c r="F142" s="20" t="inlineStr"/>
      <c r="G142" s="21" t="inlineStr"/>
      <c r="H142" s="20" t="inlineStr"/>
      <c r="I142" s="22" t="inlineStr">
        <is>
          <t>Tiago Hendo</t>
        </is>
      </c>
      <c r="J142" s="22" t="inlineStr">
        <is>
          <t>Gerente de Reestruturação de Crédito</t>
        </is>
      </c>
      <c r="K142" s="22" t="inlineStr">
        <is>
          <t>(11) 3176-5500</t>
        </is>
      </c>
      <c r="L142" s="22" t="inlineStr"/>
      <c r="M142" s="22" t="inlineStr"/>
      <c r="N142" s="22" t="inlineStr"/>
      <c r="O142" s="22" t="inlineStr"/>
      <c r="P142" s="22" t="inlineStr">
        <is>
          <t>Rafael Nurnberg</t>
        </is>
      </c>
      <c r="Q142" s="22" t="inlineStr">
        <is>
          <t>Superintendente Executivo de Crédito e Cobrança Varejo (PF e PJ)</t>
        </is>
      </c>
      <c r="R142" s="22" t="inlineStr"/>
      <c r="S142" s="22" t="inlineStr">
        <is>
          <t>rnurnberg@sofisa.com.br</t>
        </is>
      </c>
      <c r="T142" s="22" t="inlineStr">
        <is>
          <t>DM: DM email unavailable; no work email in Apollo for DM; BACKUP: backup verified email</t>
        </is>
      </c>
      <c r="U142" s="24" t="n">
        <v>1101118</v>
      </c>
      <c r="V142" s="25" t="inlineStr">
        <is>
          <t>B</t>
        </is>
      </c>
      <c r="W142" s="26" t="inlineStr"/>
      <c r="X142" s="27" t="inlineStr"/>
      <c r="Y142" s="27" t="inlineStr"/>
      <c r="Z142" s="26">
        <f>IF(W142&lt;&gt;"",W142,IFERROR(VLOOKUP(V142,Assumptions!$A$8:$F$12,2,FALSE),0))*Assumptions!$B$5</f>
        <v/>
      </c>
      <c r="AA142" s="28">
        <f>IF(V142="A",MAX(1,IF(X142&lt;&gt;"",X142,IFERROR(VLOOKUP(V142,Assumptions!$A$8:$F$12,3,FALSE),3))+IF(Y142&lt;&gt;"",Y142,IFERROR(VLOOKUP(V142,Assumptions!$A$8:$F$12,4,FALSE),8))/2-MAX(0,IF(AS142="",0,YEAR(TODAY())-AS142)-IFERROR(VLOOKUP(V142,Assumptions!$A$8:$F$12,5,FALSE),1.5))),IFERROR(VLOOKUP(V142,Assumptions!$A$8:$F$12,5,FALSE),2.5)+IF(X142&lt;&gt;"",X142,IFERROR(VLOOKUP(V142,Assumptions!$A$8:$F$12,3,FALSE),3))+IF(Y142&lt;&gt;"",Y142,IFERROR(VLOOKUP(V142,Assumptions!$A$8:$F$12,4,FALSE),8))/2)</f>
        <v/>
      </c>
      <c r="AB142" s="24">
        <f>U142*Z142/(1+Assumptions!$B$3)^AA142</f>
        <v/>
      </c>
      <c r="AC142" s="27">
        <f>IF(U142=0,"",ROUND(AB142/U142*100,1))</f>
        <v/>
      </c>
      <c r="AD142" s="29">
        <f>AB142*Assumptions!$B$4</f>
        <v/>
      </c>
      <c r="AE142" s="27">
        <f>IF(U142=0,"",ROUND(AD142/U142*100,1))</f>
        <v/>
      </c>
      <c r="AF142" s="29">
        <f>AB142-AD142</f>
        <v/>
      </c>
      <c r="AG142" s="27">
        <f>IF(U142=0,"",ROUND((AB142-AD142)/U142*100,1))</f>
        <v/>
      </c>
      <c r="AH142" s="30" t="inlineStr">
        <is>
          <t>OK — totals reconciled</t>
        </is>
      </c>
      <c r="AI142" s="31" t="inlineStr">
        <is>
          <t>https://bugarimecoelho.com.br/ws/media-library/b6b7ea42b9fa2afe30bc728fe00cd5c6/07---edital-do-processamento-da-recuperacao-judicial.pdf</t>
        </is>
      </c>
      <c r="AJ142" s="30" t="inlineStr">
        <is>
          <t>p16 r3</t>
        </is>
      </c>
      <c r="AK142" s="30" t="inlineStr">
        <is>
          <t>p16: R$ 1.101.118,00</t>
        </is>
      </c>
      <c r="AL142" s="30" t="inlineStr">
        <is>
          <t>Unclassified list</t>
        </is>
      </c>
      <c r="AM142" s="30" t="inlineStr">
        <is>
          <t>2026-07-09</t>
        </is>
      </c>
      <c r="AN142" s="30" t="inlineStr">
        <is>
          <t>NONE FOUND</t>
        </is>
      </c>
      <c r="AO142" s="32" t="inlineStr">
        <is>
          <t>3000117-40.2025.8.06.0512</t>
        </is>
      </c>
      <c r="AP142" s="32" t="inlineStr">
        <is>
          <t>TJCE</t>
        </is>
      </c>
      <c r="AQ142" s="32" t="inlineStr">
        <is>
          <t>Recuperação judicial</t>
        </is>
      </c>
      <c r="AR142" s="32" t="inlineStr">
        <is>
          <t>DataJud: no closure/falência movement</t>
        </is>
      </c>
      <c r="AS142" s="32" t="n">
        <v>2025</v>
      </c>
      <c r="AT142" s="32" t="inlineStr">
        <is>
          <t>live case, no plan document yet</t>
        </is>
      </c>
      <c r="AU142" s="32" t="inlineStr">
        <is>
          <t>11.399.787/0001-22</t>
        </is>
      </c>
      <c r="AV142" s="32" t="inlineStr">
        <is>
          <t>printed on the list (read twice)</t>
        </is>
      </c>
      <c r="AW142" s="32" t="inlineStr"/>
      <c r="AX142" s="32" t="inlineStr">
        <is>
          <t>SAO PAULO</t>
        </is>
      </c>
      <c r="AY142" s="32" t="inlineStr">
        <is>
          <t>SP</t>
        </is>
      </c>
      <c r="AZ142" s="32" t="inlineStr">
        <is>
          <t>Bancos múltiplos, com carteira comercial</t>
        </is>
      </c>
      <c r="BA142" s="32" t="inlineStr">
        <is>
          <t>não ME/EPP</t>
        </is>
      </c>
      <c r="BB142" s="33" t="n">
        <v>1021700100</v>
      </c>
      <c r="BC142" s="32" t="inlineStr">
        <is>
          <t>LARGE CORP</t>
        </is>
      </c>
      <c r="BD142" s="32" t="inlineStr">
        <is>
          <t>60889128</t>
        </is>
      </c>
      <c r="BE142" s="32" t="n">
        <v>1</v>
      </c>
      <c r="BF142" s="32" t="inlineStr">
        <is>
          <t>financial by name</t>
        </is>
      </c>
    </row>
    <row r="143">
      <c r="A143" s="17" t="inlineStr">
        <is>
          <t>BANCO SANTANDER (BRASIL) S.A.</t>
        </is>
      </c>
      <c r="B143" s="18" t="n">
        <v>1097205.22</v>
      </c>
      <c r="C143" s="19" t="inlineStr">
        <is>
          <t>CENTURY CONSTRUÇÕES COMÉRCIO E SERVIÇOS LTDA.</t>
        </is>
      </c>
      <c r="D143" s="20" t="inlineStr">
        <is>
          <t>NEW</t>
        </is>
      </c>
      <c r="E143" s="21" t="inlineStr"/>
      <c r="F143" s="20" t="inlineStr"/>
      <c r="G143" s="21" t="inlineStr"/>
      <c r="H143" s="20" t="inlineStr"/>
      <c r="I143" s="22" t="inlineStr">
        <is>
          <t>Igor Puertas</t>
        </is>
      </c>
      <c r="J143" s="22" t="inlineStr">
        <is>
          <t>Distressed Assets | NPL</t>
        </is>
      </c>
      <c r="K143" s="22" t="inlineStr">
        <is>
          <t>(11) 4004-3535</t>
        </is>
      </c>
      <c r="L143" s="22" t="inlineStr"/>
      <c r="M143" s="22" t="inlineStr"/>
      <c r="N143" s="22" t="inlineStr">
        <is>
          <t>igor.puertas@santander.com.br</t>
        </is>
      </c>
      <c r="O143" s="22" t="inlineStr">
        <is>
          <t>verified</t>
        </is>
      </c>
      <c r="P143" s="22" t="inlineStr">
        <is>
          <t>Antonio Junior</t>
        </is>
      </c>
      <c r="Q143" s="22" t="inlineStr">
        <is>
          <t>Superintendente Recuperação de Crédito</t>
        </is>
      </c>
      <c r="R143" s="22" t="inlineStr"/>
      <c r="S143" s="22" t="inlineStr">
        <is>
          <t>antonio.pequeno.junior@santander.com.br</t>
        </is>
      </c>
      <c r="T143" s="22" t="inlineStr">
        <is>
          <t>DM: DM; BACKUP: backup</t>
        </is>
      </c>
      <c r="U143" s="24" t="n">
        <v>1097205.22</v>
      </c>
      <c r="V143" s="25" t="inlineStr">
        <is>
          <t>B</t>
        </is>
      </c>
      <c r="W143" s="26" t="inlineStr"/>
      <c r="X143" s="27" t="inlineStr"/>
      <c r="Y143" s="27" t="inlineStr"/>
      <c r="Z143" s="26">
        <f>IF(W143&lt;&gt;"",W143,IFERROR(VLOOKUP(V143,Assumptions!$A$8:$F$12,2,FALSE),0))*Assumptions!$B$5</f>
        <v/>
      </c>
      <c r="AA143" s="28">
        <f>IF(V143="A",MAX(1,IF(X143&lt;&gt;"",X143,IFERROR(VLOOKUP(V143,Assumptions!$A$8:$F$12,3,FALSE),3))+IF(Y143&lt;&gt;"",Y143,IFERROR(VLOOKUP(V143,Assumptions!$A$8:$F$12,4,FALSE),8))/2-MAX(0,IF(AS143="",0,YEAR(TODAY())-AS143)-IFERROR(VLOOKUP(V143,Assumptions!$A$8:$F$12,5,FALSE),1.5))),IFERROR(VLOOKUP(V143,Assumptions!$A$8:$F$12,5,FALSE),2.5)+IF(X143&lt;&gt;"",X143,IFERROR(VLOOKUP(V143,Assumptions!$A$8:$F$12,3,FALSE),3))+IF(Y143&lt;&gt;"",Y143,IFERROR(VLOOKUP(V143,Assumptions!$A$8:$F$12,4,FALSE),8))/2)</f>
        <v/>
      </c>
      <c r="AB143" s="24">
        <f>U143*Z143/(1+Assumptions!$B$3)^AA143</f>
        <v/>
      </c>
      <c r="AC143" s="27">
        <f>IF(U143=0,"",ROUND(AB143/U143*100,1))</f>
        <v/>
      </c>
      <c r="AD143" s="29">
        <f>AB143*Assumptions!$B$4</f>
        <v/>
      </c>
      <c r="AE143" s="27">
        <f>IF(U143=0,"",ROUND(AD143/U143*100,1))</f>
        <v/>
      </c>
      <c r="AF143" s="29">
        <f>AB143-AD143</f>
        <v/>
      </c>
      <c r="AG143" s="27">
        <f>IF(U143=0,"",ROUND((AB143-AD143)/U143*100,1))</f>
        <v/>
      </c>
      <c r="AH143" s="34" t="inlineStr">
        <is>
          <t>NO TOTALS — list prints none; check page</t>
        </is>
      </c>
      <c r="AI143" s="31" t="inlineStr">
        <is>
          <t>https://ativosajce.com.br/admin/download.php?file=files/processo_documento/processo_documento16022716122025_1_.pdf&amp;nome=Relação de credores - art. 52, §1º da Lei 11.101/05 - 15/12/2025</t>
        </is>
      </c>
      <c r="AJ143" s="30" t="inlineStr">
        <is>
          <t>p2 r20</t>
        </is>
      </c>
      <c r="AK143" s="30" t="inlineStr">
        <is>
          <t>p2: R$ 1.097.205,22</t>
        </is>
      </c>
      <c r="AL143" s="30" t="inlineStr">
        <is>
          <t>Unclassified list</t>
        </is>
      </c>
      <c r="AM143" s="30" t="inlineStr"/>
      <c r="AN143" s="30" t="inlineStr">
        <is>
          <t>NONE FOUND</t>
        </is>
      </c>
      <c r="AO143" s="32" t="inlineStr">
        <is>
          <t>4054599-35.2025.8.26.0100</t>
        </is>
      </c>
      <c r="AP143" s="32" t="inlineStr">
        <is>
          <t>TJSP</t>
        </is>
      </c>
      <c r="AQ143" s="32" t="inlineStr">
        <is>
          <t>Recuperação judicial</t>
        </is>
      </c>
      <c r="AR143" s="32" t="inlineStr">
        <is>
          <t>DataJud: no closure/falência movement</t>
        </is>
      </c>
      <c r="AS143" s="32" t="n">
        <v>2025</v>
      </c>
      <c r="AT143" s="32" t="inlineStr">
        <is>
          <t>live case, no plan document yet; case no. from the portal record, not printed on the list</t>
        </is>
      </c>
      <c r="AU143" s="32" t="inlineStr">
        <is>
          <t>03.299.563/0001-10</t>
        </is>
      </c>
      <c r="AV143" s="32" t="inlineStr">
        <is>
          <t>printed on the list (read twice)</t>
        </is>
      </c>
      <c r="AW143" s="32" t="inlineStr"/>
      <c r="AX143" s="32" t="inlineStr">
        <is>
          <t>SAO PAULO</t>
        </is>
      </c>
      <c r="AY143" s="32" t="inlineStr">
        <is>
          <t>SP</t>
        </is>
      </c>
      <c r="AZ143" s="32" t="inlineStr">
        <is>
          <t>Bancos múltiplos, com carteira comercial</t>
        </is>
      </c>
      <c r="BA143" s="32" t="inlineStr">
        <is>
          <t>não ME/EPP</t>
        </is>
      </c>
      <c r="BB143" s="33" t="n">
        <v>65000000000</v>
      </c>
      <c r="BC143" s="32" t="inlineStr">
        <is>
          <t>LARGE CORP</t>
        </is>
      </c>
      <c r="BD143" s="32" t="inlineStr">
        <is>
          <t>90400888</t>
        </is>
      </c>
      <c r="BE143" s="32" t="n">
        <v>1</v>
      </c>
      <c r="BF143" s="32" t="inlineStr">
        <is>
          <t>list prints no totals</t>
        </is>
      </c>
    </row>
    <row r="144">
      <c r="A144" s="17" t="inlineStr">
        <is>
          <t>BANCO DAYCOVAL S.A.</t>
        </is>
      </c>
      <c r="B144" s="18" t="n">
        <v>1081440.72</v>
      </c>
      <c r="C144" s="19" t="inlineStr">
        <is>
          <t>GRUPO GLP</t>
        </is>
      </c>
      <c r="D144" s="20" t="inlineStr">
        <is>
          <t>NEW</t>
        </is>
      </c>
      <c r="E144" s="21" t="inlineStr"/>
      <c r="F144" s="20" t="inlineStr"/>
      <c r="G144" s="21" t="inlineStr"/>
      <c r="H144" s="20" t="inlineStr"/>
      <c r="I144" s="22" t="inlineStr">
        <is>
          <t>Celso Araujo</t>
        </is>
      </c>
      <c r="J144" s="22" t="inlineStr">
        <is>
          <t>Gerente de Recuperação de Crédito</t>
        </is>
      </c>
      <c r="K144" s="22" t="inlineStr">
        <is>
          <t>(11) 3138-0500</t>
        </is>
      </c>
      <c r="L144" s="22" t="inlineStr"/>
      <c r="M144" s="22" t="inlineStr"/>
      <c r="N144" s="22" t="inlineStr">
        <is>
          <t>celso.araujo@bancodaycoval.com.br</t>
        </is>
      </c>
      <c r="O144" s="22" t="inlineStr">
        <is>
          <t>verified</t>
        </is>
      </c>
      <c r="P144" s="22" t="inlineStr">
        <is>
          <t>Andreia Matiel</t>
        </is>
      </c>
      <c r="Q144" s="22" t="inlineStr">
        <is>
          <t>Advogada Recuperação de Crédito Empresas</t>
        </is>
      </c>
      <c r="R144" s="22" t="inlineStr"/>
      <c r="S144" s="22" t="inlineStr">
        <is>
          <t>andreia.matiel@daycoval.com.br</t>
        </is>
      </c>
      <c r="T144" s="22" t="inlineStr">
        <is>
          <t>DM: DM verified email; BACKUP: backup verified email</t>
        </is>
      </c>
      <c r="U144" s="24" t="n">
        <v>1081440.72</v>
      </c>
      <c r="V144" s="25" t="inlineStr">
        <is>
          <t>B</t>
        </is>
      </c>
      <c r="W144" s="26" t="inlineStr"/>
      <c r="X144" s="27" t="inlineStr"/>
      <c r="Y144" s="27" t="inlineStr"/>
      <c r="Z144" s="26">
        <f>IF(W144&lt;&gt;"",W144,IFERROR(VLOOKUP(V144,Assumptions!$A$8:$F$12,2,FALSE),0))*Assumptions!$B$5</f>
        <v/>
      </c>
      <c r="AA144" s="28">
        <f>IF(V144="A",MAX(1,IF(X144&lt;&gt;"",X144,IFERROR(VLOOKUP(V144,Assumptions!$A$8:$F$12,3,FALSE),3))+IF(Y144&lt;&gt;"",Y144,IFERROR(VLOOKUP(V144,Assumptions!$A$8:$F$12,4,FALSE),8))/2-MAX(0,IF(AS144="",0,YEAR(TODAY())-AS144)-IFERROR(VLOOKUP(V144,Assumptions!$A$8:$F$12,5,FALSE),1.5))),IFERROR(VLOOKUP(V144,Assumptions!$A$8:$F$12,5,FALSE),2.5)+IF(X144&lt;&gt;"",X144,IFERROR(VLOOKUP(V144,Assumptions!$A$8:$F$12,3,FALSE),3))+IF(Y144&lt;&gt;"",Y144,IFERROR(VLOOKUP(V144,Assumptions!$A$8:$F$12,4,FALSE),8))/2)</f>
        <v/>
      </c>
      <c r="AB144" s="24">
        <f>U144*Z144/(1+Assumptions!$B$3)^AA144</f>
        <v/>
      </c>
      <c r="AC144" s="27">
        <f>IF(U144=0,"",ROUND(AB144/U144*100,1))</f>
        <v/>
      </c>
      <c r="AD144" s="29">
        <f>AB144*Assumptions!$B$4</f>
        <v/>
      </c>
      <c r="AE144" s="27">
        <f>IF(U144=0,"",ROUND(AD144/U144*100,1))</f>
        <v/>
      </c>
      <c r="AF144" s="29">
        <f>AB144-AD144</f>
        <v/>
      </c>
      <c r="AG144" s="27">
        <f>IF(U144=0,"",ROUND((AB144-AD144)/U144*100,1))</f>
        <v/>
      </c>
      <c r="AH144" s="30" t="inlineStr">
        <is>
          <t>OK — totals reconciled</t>
        </is>
      </c>
      <c r="AI144" s="31" t="inlineStr">
        <is>
          <t>https://recuperasolucoes.com/wp-content/plugins/download-attachments/includes/download.php?id=1597</t>
        </is>
      </c>
      <c r="AJ144" s="30" t="inlineStr">
        <is>
          <t>p13 r13</t>
        </is>
      </c>
      <c r="AK144" s="30" t="inlineStr">
        <is>
          <t>p13: R$ 1.081.440,72</t>
        </is>
      </c>
      <c r="AL144" s="30" t="inlineStr">
        <is>
          <t>Debtor list (art. 51)</t>
        </is>
      </c>
      <c r="AM144" s="30" t="inlineStr">
        <is>
          <t>2026-05-21</t>
        </is>
      </c>
      <c r="AN144" s="30" t="inlineStr">
        <is>
          <t>NONE FOUND</t>
        </is>
      </c>
      <c r="AO144" s="32" t="inlineStr">
        <is>
          <t>0001639-09.2026.8.17.2810</t>
        </is>
      </c>
      <c r="AP144" s="32" t="inlineStr">
        <is>
          <t>TJPE</t>
        </is>
      </c>
      <c r="AQ144" s="32" t="inlineStr">
        <is>
          <t>Recuperação judicial</t>
        </is>
      </c>
      <c r="AR144" s="32" t="inlineStr">
        <is>
          <t>DataJud: no closure/falência movement</t>
        </is>
      </c>
      <c r="AS144" s="32" t="n">
        <v>2026</v>
      </c>
      <c r="AT144" s="32" t="inlineStr">
        <is>
          <t>live case, no plan document yet</t>
        </is>
      </c>
      <c r="AU144" s="32" t="inlineStr"/>
      <c r="AV144" s="32" t="inlineStr">
        <is>
          <t>printed on the list (read twice)</t>
        </is>
      </c>
      <c r="AW144" s="32" t="inlineStr"/>
      <c r="AX144" s="32" t="inlineStr">
        <is>
          <t>SAO PAULO</t>
        </is>
      </c>
      <c r="AY144" s="32" t="inlineStr">
        <is>
          <t>SP</t>
        </is>
      </c>
      <c r="AZ144" s="32" t="inlineStr">
        <is>
          <t>Bancos múltiplos, com carteira comercial</t>
        </is>
      </c>
      <c r="BA144" s="32" t="inlineStr">
        <is>
          <t>não ME/EPP</t>
        </is>
      </c>
      <c r="BB144" s="33" t="n">
        <v>6907260000</v>
      </c>
      <c r="BC144" s="32" t="inlineStr">
        <is>
          <t>LARGE CORP</t>
        </is>
      </c>
      <c r="BD144" s="32" t="inlineStr">
        <is>
          <t>62232889</t>
        </is>
      </c>
      <c r="BE144" s="32" t="n">
        <v>1</v>
      </c>
      <c r="BF144" s="32" t="inlineStr"/>
    </row>
    <row r="145">
      <c r="A145" s="17" t="inlineStr">
        <is>
          <t>SAFRA LEASING S.A. ARRENDAMENTO MERCANTIL</t>
        </is>
      </c>
      <c r="B145" s="18" t="n">
        <v>2000000</v>
      </c>
      <c r="C145" s="37" t="inlineStr">
        <is>
          <t>(debtor not identified — see proof)</t>
        </is>
      </c>
      <c r="D145" s="20" t="inlineStr">
        <is>
          <t>NEW</t>
        </is>
      </c>
      <c r="E145" s="21" t="inlineStr"/>
      <c r="F145" s="20" t="inlineStr"/>
      <c r="G145" s="21" t="inlineStr"/>
      <c r="H145" s="20" t="inlineStr"/>
      <c r="I145" s="22" t="inlineStr">
        <is>
          <t>Vanessa Biotti</t>
        </is>
      </c>
      <c r="J145" s="22" t="inlineStr">
        <is>
          <t>Gerente de Recuperação de Crédito</t>
        </is>
      </c>
      <c r="K145" s="22" t="inlineStr">
        <is>
          <t>(11) 3175-7575</t>
        </is>
      </c>
      <c r="L145" s="22" t="inlineStr"/>
      <c r="M145" s="22" t="inlineStr"/>
      <c r="N145" s="22" t="inlineStr">
        <is>
          <t>vanessa.biotti@safra.com.br</t>
        </is>
      </c>
      <c r="O145" s="22" t="inlineStr">
        <is>
          <t>verified</t>
        </is>
      </c>
      <c r="P145" s="22" t="inlineStr">
        <is>
          <t>Rodrigo Anjos</t>
        </is>
      </c>
      <c r="Q145" s="22" t="inlineStr">
        <is>
          <t>Advogado Sênior - Jurídico Contencioso - Recuperação de Crédito - NPL</t>
        </is>
      </c>
      <c r="R145" s="22" t="inlineStr"/>
      <c r="S145" s="22" t="inlineStr">
        <is>
          <t>rodrigo.anjos@safra.com.br</t>
        </is>
      </c>
      <c r="T145" s="22" t="inlineStr">
        <is>
          <t>DM: DM; BACKUP: backup</t>
        </is>
      </c>
      <c r="U145" s="24" t="n">
        <v>2000000</v>
      </c>
      <c r="V145" s="38" t="inlineStr">
        <is>
          <t>U</t>
        </is>
      </c>
      <c r="W145" s="26" t="inlineStr"/>
      <c r="X145" s="27" t="inlineStr"/>
      <c r="Y145" s="27" t="inlineStr"/>
      <c r="Z145" s="26">
        <f>IF(W145&lt;&gt;"",W145,IFERROR(VLOOKUP(V145,Assumptions!$A$8:$F$12,2,FALSE),0))*Assumptions!$B$5</f>
        <v/>
      </c>
      <c r="AA145" s="28">
        <f>IF(V145="A",MAX(1,IF(X145&lt;&gt;"",X145,IFERROR(VLOOKUP(V145,Assumptions!$A$8:$F$12,3,FALSE),3))+IF(Y145&lt;&gt;"",Y145,IFERROR(VLOOKUP(V145,Assumptions!$A$8:$F$12,4,FALSE),8))/2-MAX(0,IF(AS145="",0,YEAR(TODAY())-AS145)-IFERROR(VLOOKUP(V145,Assumptions!$A$8:$F$12,5,FALSE),1.5))),IFERROR(VLOOKUP(V145,Assumptions!$A$8:$F$12,5,FALSE),2.5)+IF(X145&lt;&gt;"",X145,IFERROR(VLOOKUP(V145,Assumptions!$A$8:$F$12,3,FALSE),3))+IF(Y145&lt;&gt;"",Y145,IFERROR(VLOOKUP(V145,Assumptions!$A$8:$F$12,4,FALSE),8))/2)</f>
        <v/>
      </c>
      <c r="AB145" s="24">
        <f>U145*Z145/(1+Assumptions!$B$3)^AA145</f>
        <v/>
      </c>
      <c r="AC145" s="27">
        <f>IF(U145=0,"",ROUND(AB145/U145*100,1))</f>
        <v/>
      </c>
      <c r="AD145" s="29">
        <f>AB145*Assumptions!$B$4</f>
        <v/>
      </c>
      <c r="AE145" s="27">
        <f>IF(U145=0,"",ROUND(AD145/U145*100,1))</f>
        <v/>
      </c>
      <c r="AF145" s="29">
        <f>AB145-AD145</f>
        <v/>
      </c>
      <c r="AG145" s="27">
        <f>IF(U145=0,"",ROUND((AB145-AD145)/U145*100,1))</f>
        <v/>
      </c>
      <c r="AH145" s="30" t="inlineStr">
        <is>
          <t>OK — totals reconciled</t>
        </is>
      </c>
      <c r="AI145" s="31" t="inlineStr">
        <is>
          <t>https://ajruiz.com.br/sites/default/files/public/arquivos-processos/2023-11/4_relacao_de_credores_analitica_art._51_iii_da_lre.pdf</t>
        </is>
      </c>
      <c r="AJ145" s="30" t="inlineStr">
        <is>
          <t>p2 r15</t>
        </is>
      </c>
      <c r="AK145" s="30" t="inlineStr">
        <is>
          <t>p2: R$ 2.000.000,00</t>
        </is>
      </c>
      <c r="AL145" s="30" t="inlineStr">
        <is>
          <t>Unclassified list</t>
        </is>
      </c>
      <c r="AM145" s="30" t="inlineStr"/>
      <c r="AN145" s="30" t="inlineStr">
        <is>
          <t>NONE FOUND</t>
        </is>
      </c>
      <c r="AO145" s="32" t="inlineStr">
        <is>
          <t>(not printed)</t>
        </is>
      </c>
      <c r="AP145" s="32" t="inlineStr"/>
      <c r="AQ145" s="32" t="inlineStr"/>
      <c r="AR145" s="32" t="inlineStr"/>
      <c r="AS145" s="32" t="inlineStr"/>
      <c r="AT145" s="32" t="inlineStr">
        <is>
          <t>RJ case number not identified on the document</t>
        </is>
      </c>
      <c r="AU145" s="32" t="inlineStr"/>
      <c r="AV145" s="32" t="inlineStr">
        <is>
          <t>not identified</t>
        </is>
      </c>
      <c r="AW145" s="32" t="inlineStr"/>
      <c r="AX145" s="32" t="inlineStr">
        <is>
          <t>SAO PAULO</t>
        </is>
      </c>
      <c r="AY145" s="32" t="inlineStr">
        <is>
          <t>SP</t>
        </is>
      </c>
      <c r="AZ145" s="32" t="inlineStr">
        <is>
          <t>Arrendamento mercantil</t>
        </is>
      </c>
      <c r="BA145" s="32" t="inlineStr">
        <is>
          <t>não ME/EPP</t>
        </is>
      </c>
      <c r="BB145" s="33" t="n">
        <v>883404600</v>
      </c>
      <c r="BC145" s="32" t="inlineStr">
        <is>
          <t>MID-MARKET</t>
        </is>
      </c>
      <c r="BD145" s="32" t="inlineStr">
        <is>
          <t>62063177</t>
        </is>
      </c>
      <c r="BE145" s="32" t="n">
        <v>1</v>
      </c>
      <c r="BF145" s="32" t="inlineStr">
        <is>
          <t>ALT_VALUE:BANCOS case no. corrected by reader</t>
        </is>
      </c>
    </row>
    <row r="146">
      <c r="A146" s="17" t="inlineStr">
        <is>
          <t>COOPERATIVA DE CREDITO EVOLUA</t>
        </is>
      </c>
      <c r="B146" s="18" t="n">
        <v>1049021.3</v>
      </c>
      <c r="C146" s="19" t="inlineStr">
        <is>
          <t>AZEPLAST INDÚSTRIA E COMÉRCIO LTDA</t>
        </is>
      </c>
      <c r="D146" s="20" t="inlineStr">
        <is>
          <t>NEW</t>
        </is>
      </c>
      <c r="E146" s="21" t="inlineStr"/>
      <c r="F146" s="20" t="inlineStr"/>
      <c r="G146" s="21" t="inlineStr"/>
      <c r="H146" s="20" t="inlineStr"/>
      <c r="I146" s="22" t="inlineStr">
        <is>
          <t>Elmir Borges</t>
        </is>
      </c>
      <c r="J146" s="22" t="inlineStr">
        <is>
          <t>Credit Coordinator</t>
        </is>
      </c>
      <c r="K146" s="22" t="inlineStr"/>
      <c r="L146" s="22" t="inlineStr"/>
      <c r="M146" s="22" t="inlineStr"/>
      <c r="N146" s="22" t="inlineStr">
        <is>
          <t>elmir.borges@evolua.coop.br</t>
        </is>
      </c>
      <c r="O146" s="22" t="inlineStr">
        <is>
          <t>extrapolated</t>
        </is>
      </c>
      <c r="P146" s="22" t="inlineStr">
        <is>
          <t>Samuel Link</t>
        </is>
      </c>
      <c r="Q146" s="22" t="inlineStr">
        <is>
          <t>Supervisor de Riscos e Controles</t>
        </is>
      </c>
      <c r="R146" s="22" t="inlineStr"/>
      <c r="S146" s="22" t="inlineStr">
        <is>
          <t>samuel.link@evolua.coop.br</t>
        </is>
      </c>
      <c r="T146" s="22" t="inlineStr">
        <is>
          <t>DM: DM extrapolated email; BACKUP: backup verified email</t>
        </is>
      </c>
      <c r="U146" s="24" t="n">
        <v>1049021.3</v>
      </c>
      <c r="V146" s="25" t="inlineStr">
        <is>
          <t>B</t>
        </is>
      </c>
      <c r="W146" s="26" t="inlineStr"/>
      <c r="X146" s="27" t="inlineStr"/>
      <c r="Y146" s="27" t="inlineStr"/>
      <c r="Z146" s="26">
        <f>IF(W146&lt;&gt;"",W146,IFERROR(VLOOKUP(V146,Assumptions!$A$8:$F$12,2,FALSE),0))*Assumptions!$B$5</f>
        <v/>
      </c>
      <c r="AA146" s="28">
        <f>IF(V146="A",MAX(1,IF(X146&lt;&gt;"",X146,IFERROR(VLOOKUP(V146,Assumptions!$A$8:$F$12,3,FALSE),3))+IF(Y146&lt;&gt;"",Y146,IFERROR(VLOOKUP(V146,Assumptions!$A$8:$F$12,4,FALSE),8))/2-MAX(0,IF(AS146="",0,YEAR(TODAY())-AS146)-IFERROR(VLOOKUP(V146,Assumptions!$A$8:$F$12,5,FALSE),1.5))),IFERROR(VLOOKUP(V146,Assumptions!$A$8:$F$12,5,FALSE),2.5)+IF(X146&lt;&gt;"",X146,IFERROR(VLOOKUP(V146,Assumptions!$A$8:$F$12,3,FALSE),3))+IF(Y146&lt;&gt;"",Y146,IFERROR(VLOOKUP(V146,Assumptions!$A$8:$F$12,4,FALSE),8))/2)</f>
        <v/>
      </c>
      <c r="AB146" s="24">
        <f>U146*Z146/(1+Assumptions!$B$3)^AA146</f>
        <v/>
      </c>
      <c r="AC146" s="27">
        <f>IF(U146=0,"",ROUND(AB146/U146*100,1))</f>
        <v/>
      </c>
      <c r="AD146" s="29">
        <f>AB146*Assumptions!$B$4</f>
        <v/>
      </c>
      <c r="AE146" s="27">
        <f>IF(U146=0,"",ROUND(AD146/U146*100,1))</f>
        <v/>
      </c>
      <c r="AF146" s="29">
        <f>AB146-AD146</f>
        <v/>
      </c>
      <c r="AG146" s="27">
        <f>IF(U146=0,"",ROUND((AB146-AD146)/U146*100,1))</f>
        <v/>
      </c>
      <c r="AH146" s="35" t="inlineStr">
        <is>
          <t>PARTIAL — class III reconciled, other classes not</t>
        </is>
      </c>
      <c r="AI146" s="31" t="inlineStr">
        <is>
          <t>https://ajruiz.com.br/sites/default/files/public/arquivos-processos/2026-08/qgc_azeplast_julho_2026.pdf</t>
        </is>
      </c>
      <c r="AJ146" s="30" t="inlineStr">
        <is>
          <t>p1 r16</t>
        </is>
      </c>
      <c r="AK146" s="30" t="inlineStr">
        <is>
          <t>p1: R$ 1.049.021,30</t>
        </is>
      </c>
      <c r="AL146" s="30" t="inlineStr">
        <is>
          <t>QGC (art. 18)</t>
        </is>
      </c>
      <c r="AM146" s="30" t="inlineStr"/>
      <c r="AN146" s="30" t="inlineStr">
        <is>
          <t>NONE FOUND</t>
        </is>
      </c>
      <c r="AO146" s="32" t="inlineStr">
        <is>
          <t>5008793-34.2023.8.24.0019</t>
        </is>
      </c>
      <c r="AP146" s="32" t="inlineStr">
        <is>
          <t>TJSC</t>
        </is>
      </c>
      <c r="AQ146" s="32" t="inlineStr">
        <is>
          <t>Recuperação judicial</t>
        </is>
      </c>
      <c r="AR146" s="32" t="inlineStr">
        <is>
          <t>DataJud: no closure/falência movement</t>
        </is>
      </c>
      <c r="AS146" s="32" t="n">
        <v>2023</v>
      </c>
      <c r="AT146" s="32" t="inlineStr">
        <is>
          <t>live case, no plan document yet</t>
        </is>
      </c>
      <c r="AU146" s="32" t="inlineStr"/>
      <c r="AV146" s="32" t="inlineStr">
        <is>
          <t>printed on the list (read twice)</t>
        </is>
      </c>
      <c r="AW146" s="32" t="inlineStr"/>
      <c r="AX146" s="32" t="inlineStr"/>
      <c r="AY146" s="32" t="inlineStr"/>
      <c r="AZ146" s="32" t="inlineStr"/>
      <c r="BA146" s="32" t="inlineStr"/>
      <c r="BB146" s="33" t="inlineStr"/>
      <c r="BC146" s="32" t="inlineStr">
        <is>
          <t>UNKNOWN</t>
        </is>
      </c>
      <c r="BD146" s="32" t="inlineStr">
        <is>
          <t>10311218</t>
        </is>
      </c>
      <c r="BE146" s="32" t="n">
        <v>1</v>
      </c>
      <c r="BF146" s="32" t="inlineStr">
        <is>
          <t>financial by name class III reconciled (doc partial) no RFB record</t>
        </is>
      </c>
    </row>
    <row r="147">
      <c r="A147" s="17" t="inlineStr">
        <is>
          <t>BOCOM BBM CORPORATE CREDIT FIF - CLASSE DE INVESTIMENTO RF CRED PRIV - RESP LIMITADA</t>
        </is>
      </c>
      <c r="B147" s="18" t="n">
        <v>1031462.76</v>
      </c>
      <c r="C147" s="19" t="inlineStr">
        <is>
          <t>Grupo Rech</t>
        </is>
      </c>
      <c r="D147" s="20" t="inlineStr">
        <is>
          <t>NEW</t>
        </is>
      </c>
      <c r="E147" s="21" t="inlineStr"/>
      <c r="F147" s="20" t="inlineStr"/>
      <c r="G147" s="21" t="inlineStr"/>
      <c r="H147" s="20" t="inlineStr"/>
      <c r="I147" s="22" t="inlineStr">
        <is>
          <t>Rodrigo Caleiro</t>
        </is>
      </c>
      <c r="J147" s="22" t="inlineStr">
        <is>
          <t>Credit Manager | Large Corporate</t>
        </is>
      </c>
      <c r="K147" s="22" t="inlineStr">
        <is>
          <t>(11) 3684-5122</t>
        </is>
      </c>
      <c r="L147" s="22" t="inlineStr"/>
      <c r="M147" s="22" t="inlineStr"/>
      <c r="N147" s="22" t="inlineStr">
        <is>
          <t>rodrigocaleiro@bocombbm.com.br</t>
        </is>
      </c>
      <c r="O147" s="22" t="inlineStr">
        <is>
          <t>verified</t>
        </is>
      </c>
      <c r="P147" s="22" t="inlineStr">
        <is>
          <t>Thayna Franca</t>
        </is>
      </c>
      <c r="Q147" s="22" t="inlineStr">
        <is>
          <t>Analista de Controle de Crédito</t>
        </is>
      </c>
      <c r="R147" s="22" t="inlineStr"/>
      <c r="S147" s="22" t="inlineStr">
        <is>
          <t>thaynafranca@bocombbm.com.br</t>
        </is>
      </c>
      <c r="T147" s="22" t="inlineStr">
        <is>
          <t>DM: DM; BACKUP: backup</t>
        </is>
      </c>
      <c r="U147" s="24" t="n">
        <v>1031462.76</v>
      </c>
      <c r="V147" s="25" t="inlineStr">
        <is>
          <t>B</t>
        </is>
      </c>
      <c r="W147" s="26" t="inlineStr"/>
      <c r="X147" s="27" t="inlineStr"/>
      <c r="Y147" s="27" t="inlineStr"/>
      <c r="Z147" s="26">
        <f>IF(W147&lt;&gt;"",W147,IFERROR(VLOOKUP(V147,Assumptions!$A$8:$F$12,2,FALSE),0))*Assumptions!$B$5</f>
        <v/>
      </c>
      <c r="AA147" s="28">
        <f>IF(V147="A",MAX(1,IF(X147&lt;&gt;"",X147,IFERROR(VLOOKUP(V147,Assumptions!$A$8:$F$12,3,FALSE),3))+IF(Y147&lt;&gt;"",Y147,IFERROR(VLOOKUP(V147,Assumptions!$A$8:$F$12,4,FALSE),8))/2-MAX(0,IF(AS147="",0,YEAR(TODAY())-AS147)-IFERROR(VLOOKUP(V147,Assumptions!$A$8:$F$12,5,FALSE),1.5))),IFERROR(VLOOKUP(V147,Assumptions!$A$8:$F$12,5,FALSE),2.5)+IF(X147&lt;&gt;"",X147,IFERROR(VLOOKUP(V147,Assumptions!$A$8:$F$12,3,FALSE),3))+IF(Y147&lt;&gt;"",Y147,IFERROR(VLOOKUP(V147,Assumptions!$A$8:$F$12,4,FALSE),8))/2)</f>
        <v/>
      </c>
      <c r="AB147" s="24">
        <f>U147*Z147/(1+Assumptions!$B$3)^AA147</f>
        <v/>
      </c>
      <c r="AC147" s="27">
        <f>IF(U147=0,"",ROUND(AB147/U147*100,1))</f>
        <v/>
      </c>
      <c r="AD147" s="29">
        <f>AB147*Assumptions!$B$4</f>
        <v/>
      </c>
      <c r="AE147" s="27">
        <f>IF(U147=0,"",ROUND(AD147/U147*100,1))</f>
        <v/>
      </c>
      <c r="AF147" s="29">
        <f>AB147-AD147</f>
        <v/>
      </c>
      <c r="AG147" s="27">
        <f>IF(U147=0,"",ROUND((AB147-AD147)/U147*100,1))</f>
        <v/>
      </c>
      <c r="AH147" s="36" t="inlineStr">
        <is>
          <t>CHECK — source is not a statutory creditor list</t>
        </is>
      </c>
      <c r="AI147" s="31" t="inlineStr">
        <is>
          <t>https://credibilita.com.br/wp-content/uploads/2025/09/Relacao-Credores-29.04.2026.pdf</t>
        </is>
      </c>
      <c r="AJ147" s="30" t="inlineStr">
        <is>
          <t>p1 r16</t>
        </is>
      </c>
      <c r="AK147" s="30" t="inlineStr">
        <is>
          <t>p1: R$ 1.031.462,76</t>
        </is>
      </c>
      <c r="AL147" s="30" t="inlineStr">
        <is>
          <t>Quorum list — NOT an art. 7/51 list</t>
        </is>
      </c>
      <c r="AM147" s="30" t="inlineStr"/>
      <c r="AN147" s="30" t="inlineStr">
        <is>
          <t>NONE FOUND</t>
        </is>
      </c>
      <c r="AO147" s="32" t="inlineStr">
        <is>
          <t>5057720-48.2025.8.24.0023</t>
        </is>
      </c>
      <c r="AP147" s="32" t="inlineStr">
        <is>
          <t>TJSC</t>
        </is>
      </c>
      <c r="AQ147" s="32" t="inlineStr"/>
      <c r="AR147" s="32" t="inlineStr">
        <is>
          <t>not in DataJud</t>
        </is>
      </c>
      <c r="AS147" s="32" t="n">
        <v>2025</v>
      </c>
      <c r="AT147" s="32" t="inlineStr">
        <is>
          <t>live case, no plan document yet; case no. from the portal record, not printed on the list</t>
        </is>
      </c>
      <c r="AU147" s="32" t="inlineStr"/>
      <c r="AV147" s="32" t="inlineStr">
        <is>
          <t>portal page title / URL — not printed on the list</t>
        </is>
      </c>
      <c r="AW147" s="32" t="inlineStr"/>
      <c r="AX147" s="32" t="inlineStr">
        <is>
          <t>OSASCO</t>
        </is>
      </c>
      <c r="AY147" s="32" t="inlineStr">
        <is>
          <t>SP</t>
        </is>
      </c>
      <c r="AZ147" s="32" t="inlineStr">
        <is>
          <t>Fundos de investimento, exceto previdenciários e imobiliários</t>
        </is>
      </c>
      <c r="BA147" s="32" t="inlineStr">
        <is>
          <t>não ME/EPP</t>
        </is>
      </c>
      <c r="BB147" s="33" t="inlineStr"/>
      <c r="BC147" s="32" t="inlineStr">
        <is>
          <t>UNKNOWN</t>
        </is>
      </c>
      <c r="BD147" s="32" t="inlineStr">
        <is>
          <t>34799162</t>
        </is>
      </c>
      <c r="BE147" s="32" t="n">
        <v>1</v>
      </c>
      <c r="BF147" s="32" t="inlineStr">
        <is>
          <t>list prints no totals case no. corrected by reader</t>
        </is>
      </c>
    </row>
    <row r="148">
      <c r="A148" s="17" t="inlineStr">
        <is>
          <t>Fundo De Investimento Em Direitos Creditorios ML Bank II</t>
        </is>
      </c>
      <c r="B148" s="18" t="n">
        <v>1031250</v>
      </c>
      <c r="C148" s="19" t="inlineStr">
        <is>
          <t>GRUPO DP4</t>
        </is>
      </c>
      <c r="D148" s="20" t="inlineStr">
        <is>
          <t>NEW</t>
        </is>
      </c>
      <c r="E148" s="21" t="inlineStr"/>
      <c r="F148" s="20" t="inlineStr"/>
      <c r="G148" s="21" t="inlineStr"/>
      <c r="H148" s="20" t="inlineStr"/>
      <c r="I148" s="22" t="inlineStr"/>
      <c r="J148" s="22" t="inlineStr"/>
      <c r="K148" s="22" t="inlineStr"/>
      <c r="L148" s="22" t="inlineStr"/>
      <c r="M148" s="22" t="inlineStr"/>
      <c r="N148" s="22" t="inlineStr"/>
      <c r="O148" s="22" t="inlineStr"/>
      <c r="P148" s="22" t="inlineStr"/>
      <c r="Q148" s="22" t="inlineStr"/>
      <c r="R148" s="22" t="inlineStr"/>
      <c r="S148" s="22" t="inlineStr"/>
      <c r="T148" s="22" t="inlineStr">
        <is>
          <t>no named contact found; NO ROUTE IN: no phone or email on file</t>
        </is>
      </c>
      <c r="U148" s="24" t="n">
        <v>1031250</v>
      </c>
      <c r="V148" s="25" t="inlineStr">
        <is>
          <t>B</t>
        </is>
      </c>
      <c r="W148" s="26" t="inlineStr"/>
      <c r="X148" s="27" t="inlineStr"/>
      <c r="Y148" s="27" t="inlineStr"/>
      <c r="Z148" s="26">
        <f>IF(W148&lt;&gt;"",W148,IFERROR(VLOOKUP(V148,Assumptions!$A$8:$F$12,2,FALSE),0))*Assumptions!$B$5</f>
        <v/>
      </c>
      <c r="AA148" s="28">
        <f>IF(V148="A",MAX(1,IF(X148&lt;&gt;"",X148,IFERROR(VLOOKUP(V148,Assumptions!$A$8:$F$12,3,FALSE),3))+IF(Y148&lt;&gt;"",Y148,IFERROR(VLOOKUP(V148,Assumptions!$A$8:$F$12,4,FALSE),8))/2-MAX(0,IF(AS148="",0,YEAR(TODAY())-AS148)-IFERROR(VLOOKUP(V148,Assumptions!$A$8:$F$12,5,FALSE),1.5))),IFERROR(VLOOKUP(V148,Assumptions!$A$8:$F$12,5,FALSE),2.5)+IF(X148&lt;&gt;"",X148,IFERROR(VLOOKUP(V148,Assumptions!$A$8:$F$12,3,FALSE),3))+IF(Y148&lt;&gt;"",Y148,IFERROR(VLOOKUP(V148,Assumptions!$A$8:$F$12,4,FALSE),8))/2)</f>
        <v/>
      </c>
      <c r="AB148" s="24">
        <f>U148*Z148/(1+Assumptions!$B$3)^AA148</f>
        <v/>
      </c>
      <c r="AC148" s="27">
        <f>IF(U148=0,"",ROUND(AB148/U148*100,1))</f>
        <v/>
      </c>
      <c r="AD148" s="29">
        <f>AB148*Assumptions!$B$4</f>
        <v/>
      </c>
      <c r="AE148" s="27">
        <f>IF(U148=0,"",ROUND(AD148/U148*100,1))</f>
        <v/>
      </c>
      <c r="AF148" s="29">
        <f>AB148-AD148</f>
        <v/>
      </c>
      <c r="AG148" s="27">
        <f>IF(U148=0,"",ROUND((AB148-AD148)/U148*100,1))</f>
        <v/>
      </c>
      <c r="AH148" s="35" t="inlineStr">
        <is>
          <t>PARTIAL — class III reconciled, other classes not</t>
        </is>
      </c>
      <c r="AI148" s="31" t="inlineStr">
        <is>
          <t>https://marquesadmjudicial.com.br/sgc/download.php?file=files/processo_documento/processo_documento15293208032024_1_.pdf&amp;nome=Relação Nominal de Credores da AJ-Sintética</t>
        </is>
      </c>
      <c r="AJ148" s="30" t="inlineStr">
        <is>
          <t>p25 r11</t>
        </is>
      </c>
      <c r="AK148" s="30" t="inlineStr">
        <is>
          <t>p25: R$ 1.031.250,00</t>
        </is>
      </c>
      <c r="AL148" s="30" t="inlineStr">
        <is>
          <t>AJ list (art. 7 §2)</t>
        </is>
      </c>
      <c r="AM148" s="30" t="inlineStr">
        <is>
          <t>2023-03-02</t>
        </is>
      </c>
      <c r="AN148" s="30" t="inlineStr">
        <is>
          <t>NONE FOUND</t>
        </is>
      </c>
      <c r="AO148" s="32" t="inlineStr">
        <is>
          <t>0005010-98.2023.8.16.0001</t>
        </is>
      </c>
      <c r="AP148" s="32" t="inlineStr">
        <is>
          <t>TJPR</t>
        </is>
      </c>
      <c r="AQ148" s="32" t="inlineStr">
        <is>
          <t>Recuperação judicial</t>
        </is>
      </c>
      <c r="AR148" s="32" t="inlineStr">
        <is>
          <t>DataJud: no closure/falência movement</t>
        </is>
      </c>
      <c r="AS148" s="32" t="n">
        <v>2023</v>
      </c>
      <c r="AT148" s="32" t="inlineStr">
        <is>
          <t>live case, no plan document yet</t>
        </is>
      </c>
      <c r="AU148" s="32" t="inlineStr"/>
      <c r="AV148" s="32" t="inlineStr">
        <is>
          <t>printed on the list (read twice)</t>
        </is>
      </c>
      <c r="AW148" s="32" t="inlineStr"/>
      <c r="AX148" s="32" t="inlineStr"/>
      <c r="AY148" s="32" t="inlineStr"/>
      <c r="AZ148" s="32" t="inlineStr"/>
      <c r="BA148" s="32" t="inlineStr"/>
      <c r="BB148" s="33" t="inlineStr"/>
      <c r="BC148" s="32" t="inlineStr">
        <is>
          <t>UNKNOWN</t>
        </is>
      </c>
      <c r="BD148" s="32" t="inlineStr">
        <is>
          <t>39664088</t>
        </is>
      </c>
      <c r="BE148" s="32" t="n">
        <v>1</v>
      </c>
      <c r="BF148" s="32" t="inlineStr">
        <is>
          <t>financial by name class III reconciled (doc partial) no RFB record no route in</t>
        </is>
      </c>
    </row>
    <row r="149">
      <c r="A149" s="17" t="inlineStr">
        <is>
          <t>BANCO SANTANDER (BRASIL) S.A.</t>
        </is>
      </c>
      <c r="B149" s="18" t="n">
        <v>1019858.75</v>
      </c>
      <c r="C149" s="19" t="inlineStr">
        <is>
          <t>JA SANTOS IMPORTACAO E EXPORTACAO DE FERRAMENTAS LTDA</t>
        </is>
      </c>
      <c r="D149" s="20" t="inlineStr">
        <is>
          <t>NEW</t>
        </is>
      </c>
      <c r="E149" s="21" t="inlineStr"/>
      <c r="F149" s="20" t="inlineStr"/>
      <c r="G149" s="21" t="inlineStr"/>
      <c r="H149" s="20" t="inlineStr"/>
      <c r="I149" s="22" t="inlineStr">
        <is>
          <t>Igor Puertas</t>
        </is>
      </c>
      <c r="J149" s="22" t="inlineStr">
        <is>
          <t>Distressed Assets | NPL</t>
        </is>
      </c>
      <c r="K149" s="22" t="inlineStr">
        <is>
          <t>(11) 4004-3535</t>
        </is>
      </c>
      <c r="L149" s="22" t="inlineStr"/>
      <c r="M149" s="22" t="inlineStr"/>
      <c r="N149" s="22" t="inlineStr">
        <is>
          <t>igor.puertas@santander.com.br</t>
        </is>
      </c>
      <c r="O149" s="22" t="inlineStr">
        <is>
          <t>verified</t>
        </is>
      </c>
      <c r="P149" s="22" t="inlineStr">
        <is>
          <t>Antonio Junior</t>
        </is>
      </c>
      <c r="Q149" s="22" t="inlineStr">
        <is>
          <t>Superintendente Recuperação de Crédito</t>
        </is>
      </c>
      <c r="R149" s="22" t="inlineStr"/>
      <c r="S149" s="22" t="inlineStr">
        <is>
          <t>antonio.pequeno.junior@santander.com.br</t>
        </is>
      </c>
      <c r="T149" s="22" t="inlineStr">
        <is>
          <t>DM: DM; BACKUP: backup</t>
        </is>
      </c>
      <c r="U149" s="24" t="n">
        <v>1019858.75</v>
      </c>
      <c r="V149" s="25" t="inlineStr">
        <is>
          <t>B</t>
        </is>
      </c>
      <c r="W149" s="26" t="inlineStr"/>
      <c r="X149" s="27" t="inlineStr"/>
      <c r="Y149" s="27" t="inlineStr"/>
      <c r="Z149" s="26">
        <f>IF(W149&lt;&gt;"",W149,IFERROR(VLOOKUP(V149,Assumptions!$A$8:$F$12,2,FALSE),0))*Assumptions!$B$5</f>
        <v/>
      </c>
      <c r="AA149" s="28">
        <f>IF(V149="A",MAX(1,IF(X149&lt;&gt;"",X149,IFERROR(VLOOKUP(V149,Assumptions!$A$8:$F$12,3,FALSE),3))+IF(Y149&lt;&gt;"",Y149,IFERROR(VLOOKUP(V149,Assumptions!$A$8:$F$12,4,FALSE),8))/2-MAX(0,IF(AS149="",0,YEAR(TODAY())-AS149)-IFERROR(VLOOKUP(V149,Assumptions!$A$8:$F$12,5,FALSE),1.5))),IFERROR(VLOOKUP(V149,Assumptions!$A$8:$F$12,5,FALSE),2.5)+IF(X149&lt;&gt;"",X149,IFERROR(VLOOKUP(V149,Assumptions!$A$8:$F$12,3,FALSE),3))+IF(Y149&lt;&gt;"",Y149,IFERROR(VLOOKUP(V149,Assumptions!$A$8:$F$12,4,FALSE),8))/2)</f>
        <v/>
      </c>
      <c r="AB149" s="24">
        <f>U149*Z149/(1+Assumptions!$B$3)^AA149</f>
        <v/>
      </c>
      <c r="AC149" s="27">
        <f>IF(U149=0,"",ROUND(AB149/U149*100,1))</f>
        <v/>
      </c>
      <c r="AD149" s="29">
        <f>AB149*Assumptions!$B$4</f>
        <v/>
      </c>
      <c r="AE149" s="27">
        <f>IF(U149=0,"",ROUND(AD149/U149*100,1))</f>
        <v/>
      </c>
      <c r="AF149" s="29">
        <f>AB149-AD149</f>
        <v/>
      </c>
      <c r="AG149" s="27">
        <f>IF(U149=0,"",ROUND((AB149-AD149)/U149*100,1))</f>
        <v/>
      </c>
      <c r="AH149" s="30" t="inlineStr">
        <is>
          <t>OK — totals reconciled</t>
        </is>
      </c>
      <c r="AI149" s="31" t="inlineStr">
        <is>
          <t>https://vivanteaj.com.br/wp-content/uploads/2024/11/1a-lista-de-credores-JA-Santos.pdf</t>
        </is>
      </c>
      <c r="AJ149" s="30" t="inlineStr">
        <is>
          <t>p1 r10; p1 r11; p1 r12; p1 r13; p1 r14</t>
        </is>
      </c>
      <c r="AK149" s="30" t="inlineStr">
        <is>
          <t>p1: R$ 29.999,97; p1: R$ 354.970,00; p1: R$ 386.666,57; p1: R$ 122.222,21; p1: R$ 126.000,00</t>
        </is>
      </c>
      <c r="AL149" s="30" t="inlineStr">
        <is>
          <t>Unclassified list</t>
        </is>
      </c>
      <c r="AM149" s="30" t="inlineStr">
        <is>
          <t>2022-11-02</t>
        </is>
      </c>
      <c r="AN149" s="30" t="inlineStr">
        <is>
          <t>PLAN FILED (art. 53), not granted</t>
        </is>
      </c>
      <c r="AO149" s="32" t="inlineStr">
        <is>
          <t>1018313-46.2024.8.26.0100</t>
        </is>
      </c>
      <c r="AP149" s="32" t="inlineStr">
        <is>
          <t>TJSP</t>
        </is>
      </c>
      <c r="AQ149" s="32" t="inlineStr">
        <is>
          <t>Recuperação judicial</t>
        </is>
      </c>
      <c r="AR149" s="32" t="inlineStr">
        <is>
          <t>DataJud: no closure/falência movement</t>
        </is>
      </c>
      <c r="AS149" s="32" t="n">
        <v>2024</v>
      </c>
      <c r="AT149" s="32" t="inlineStr">
        <is>
          <t>plan filed (art. 53), not yet granted; case no. from the portal record, not printed on the list</t>
        </is>
      </c>
      <c r="AU149" s="32" t="inlineStr">
        <is>
          <t>15.408.785/0001-03</t>
        </is>
      </c>
      <c r="AV149" s="32" t="inlineStr">
        <is>
          <t>printed on the list (read twice)</t>
        </is>
      </c>
      <c r="AW149" s="32" t="inlineStr"/>
      <c r="AX149" s="32" t="inlineStr">
        <is>
          <t>SAO PAULO</t>
        </is>
      </c>
      <c r="AY149" s="32" t="inlineStr">
        <is>
          <t>SP</t>
        </is>
      </c>
      <c r="AZ149" s="32" t="inlineStr">
        <is>
          <t>Bancos múltiplos, com carteira comercial</t>
        </is>
      </c>
      <c r="BA149" s="32" t="inlineStr">
        <is>
          <t>não ME/EPP</t>
        </is>
      </c>
      <c r="BB149" s="33" t="n">
        <v>65000000000</v>
      </c>
      <c r="BC149" s="32" t="inlineStr">
        <is>
          <t>LARGE CORP</t>
        </is>
      </c>
      <c r="BD149" s="32" t="inlineStr">
        <is>
          <t>90400888</t>
        </is>
      </c>
      <c r="BE149" s="32" t="n">
        <v>5</v>
      </c>
      <c r="BF149" s="32" t="inlineStr"/>
    </row>
    <row r="150">
      <c r="A150" s="17" t="inlineStr">
        <is>
          <t>BANCO BOCOM BBM S.A.</t>
        </is>
      </c>
      <c r="B150" s="18" t="n">
        <v>1018255.6</v>
      </c>
      <c r="C150" s="19" t="inlineStr">
        <is>
          <t>GRUPO GLP</t>
        </is>
      </c>
      <c r="D150" s="20" t="inlineStr">
        <is>
          <t>NEW</t>
        </is>
      </c>
      <c r="E150" s="21" t="inlineStr"/>
      <c r="F150" s="20" t="inlineStr"/>
      <c r="G150" s="21" t="inlineStr"/>
      <c r="H150" s="20" t="inlineStr"/>
      <c r="I150" s="22" t="inlineStr">
        <is>
          <t>Rodrigo Caleiro</t>
        </is>
      </c>
      <c r="J150" s="22" t="inlineStr">
        <is>
          <t>Credit Manager | Large Corporate</t>
        </is>
      </c>
      <c r="K150" s="22" t="inlineStr">
        <is>
          <t>(71) 3243-2666</t>
        </is>
      </c>
      <c r="L150" s="22" t="inlineStr"/>
      <c r="M150" s="22" t="inlineStr"/>
      <c r="N150" s="22" t="inlineStr">
        <is>
          <t>rodrigocaleiro@bocombbm.com.br</t>
        </is>
      </c>
      <c r="O150" s="22" t="inlineStr">
        <is>
          <t>verified</t>
        </is>
      </c>
      <c r="P150" s="22" t="inlineStr">
        <is>
          <t>Thayna Franca</t>
        </is>
      </c>
      <c r="Q150" s="22" t="inlineStr">
        <is>
          <t>Analista de Controle de Crédito</t>
        </is>
      </c>
      <c r="R150" s="22" t="inlineStr"/>
      <c r="S150" s="22" t="inlineStr">
        <is>
          <t>thaynafranca@bocombbm.com.br</t>
        </is>
      </c>
      <c r="T150" s="22" t="inlineStr">
        <is>
          <t>DM: DM; Banco BOCOM BBM; titles pass 0, no recovery desk visible; Credit Manager Large Corporate; BACKUP: backup</t>
        </is>
      </c>
      <c r="U150" s="24" t="n">
        <v>1018255.6</v>
      </c>
      <c r="V150" s="25" t="inlineStr">
        <is>
          <t>B</t>
        </is>
      </c>
      <c r="W150" s="26" t="inlineStr"/>
      <c r="X150" s="27" t="inlineStr"/>
      <c r="Y150" s="27" t="inlineStr"/>
      <c r="Z150" s="26">
        <f>IF(W150&lt;&gt;"",W150,IFERROR(VLOOKUP(V150,Assumptions!$A$8:$F$12,2,FALSE),0))*Assumptions!$B$5</f>
        <v/>
      </c>
      <c r="AA150" s="28">
        <f>IF(V150="A",MAX(1,IF(X150&lt;&gt;"",X150,IFERROR(VLOOKUP(V150,Assumptions!$A$8:$F$12,3,FALSE),3))+IF(Y150&lt;&gt;"",Y150,IFERROR(VLOOKUP(V150,Assumptions!$A$8:$F$12,4,FALSE),8))/2-MAX(0,IF(AS150="",0,YEAR(TODAY())-AS150)-IFERROR(VLOOKUP(V150,Assumptions!$A$8:$F$12,5,FALSE),1.5))),IFERROR(VLOOKUP(V150,Assumptions!$A$8:$F$12,5,FALSE),2.5)+IF(X150&lt;&gt;"",X150,IFERROR(VLOOKUP(V150,Assumptions!$A$8:$F$12,3,FALSE),3))+IF(Y150&lt;&gt;"",Y150,IFERROR(VLOOKUP(V150,Assumptions!$A$8:$F$12,4,FALSE),8))/2)</f>
        <v/>
      </c>
      <c r="AB150" s="24">
        <f>U150*Z150/(1+Assumptions!$B$3)^AA150</f>
        <v/>
      </c>
      <c r="AC150" s="27">
        <f>IF(U150=0,"",ROUND(AB150/U150*100,1))</f>
        <v/>
      </c>
      <c r="AD150" s="29">
        <f>AB150*Assumptions!$B$4</f>
        <v/>
      </c>
      <c r="AE150" s="27">
        <f>IF(U150=0,"",ROUND(AD150/U150*100,1))</f>
        <v/>
      </c>
      <c r="AF150" s="29">
        <f>AB150-AD150</f>
        <v/>
      </c>
      <c r="AG150" s="27">
        <f>IF(U150=0,"",ROUND((AB150-AD150)/U150*100,1))</f>
        <v/>
      </c>
      <c r="AH150" s="30" t="inlineStr">
        <is>
          <t>OK — totals reconciled</t>
        </is>
      </c>
      <c r="AI150" s="31" t="inlineStr">
        <is>
          <t>https://recuperasolucoes.com/wp-content/plugins/download-attachments/includes/download.php?id=1597</t>
        </is>
      </c>
      <c r="AJ150" s="30" t="inlineStr">
        <is>
          <t>p13 r6</t>
        </is>
      </c>
      <c r="AK150" s="30" t="inlineStr">
        <is>
          <t>p13: R$ 1.018.255,60</t>
        </is>
      </c>
      <c r="AL150" s="30" t="inlineStr">
        <is>
          <t>Debtor list (art. 51)</t>
        </is>
      </c>
      <c r="AM150" s="30" t="inlineStr">
        <is>
          <t>2026-05-21</t>
        </is>
      </c>
      <c r="AN150" s="30" t="inlineStr">
        <is>
          <t>NONE FOUND</t>
        </is>
      </c>
      <c r="AO150" s="32" t="inlineStr">
        <is>
          <t>0001639-09.2026.8.17.2810</t>
        </is>
      </c>
      <c r="AP150" s="32" t="inlineStr">
        <is>
          <t>TJPE</t>
        </is>
      </c>
      <c r="AQ150" s="32" t="inlineStr">
        <is>
          <t>Recuperação judicial</t>
        </is>
      </c>
      <c r="AR150" s="32" t="inlineStr">
        <is>
          <t>DataJud: no closure/falência movement</t>
        </is>
      </c>
      <c r="AS150" s="32" t="n">
        <v>2026</v>
      </c>
      <c r="AT150" s="32" t="inlineStr">
        <is>
          <t>live case, no plan document yet</t>
        </is>
      </c>
      <c r="AU150" s="32" t="inlineStr"/>
      <c r="AV150" s="32" t="inlineStr">
        <is>
          <t>printed on the list (read twice)</t>
        </is>
      </c>
      <c r="AW150" s="32" t="inlineStr"/>
      <c r="AX150" s="32" t="inlineStr">
        <is>
          <t>SALVADOR</t>
        </is>
      </c>
      <c r="AY150" s="32" t="inlineStr">
        <is>
          <t>BA</t>
        </is>
      </c>
      <c r="AZ150" s="32" t="inlineStr">
        <is>
          <t>Bancos múltiplos, com carteira comercial</t>
        </is>
      </c>
      <c r="BA150" s="32" t="inlineStr">
        <is>
          <t>não ME/EPP</t>
        </is>
      </c>
      <c r="BB150" s="33" t="n">
        <v>469300380</v>
      </c>
      <c r="BC150" s="32" t="inlineStr">
        <is>
          <t>LARGE CORP</t>
        </is>
      </c>
      <c r="BD150" s="32" t="inlineStr">
        <is>
          <t>15114366</t>
        </is>
      </c>
      <c r="BE150" s="32" t="n">
        <v>1</v>
      </c>
      <c r="BF150" s="32" t="inlineStr"/>
    </row>
    <row r="151">
      <c r="A151" s="17" t="inlineStr">
        <is>
          <t>BANCO SANTANDER (BRASIL) S.A.</t>
        </is>
      </c>
      <c r="B151" s="18" t="n">
        <v>1013805.75</v>
      </c>
      <c r="C151" s="19" t="inlineStr">
        <is>
          <t>GRUPO DP4</t>
        </is>
      </c>
      <c r="D151" s="20" t="inlineStr">
        <is>
          <t>NEW</t>
        </is>
      </c>
      <c r="E151" s="21" t="inlineStr"/>
      <c r="F151" s="20" t="inlineStr"/>
      <c r="G151" s="21" t="inlineStr"/>
      <c r="H151" s="20" t="inlineStr"/>
      <c r="I151" s="22" t="inlineStr">
        <is>
          <t>Igor Puertas</t>
        </is>
      </c>
      <c r="J151" s="22" t="inlineStr">
        <is>
          <t>Distressed Assets | NPL</t>
        </is>
      </c>
      <c r="K151" s="22" t="inlineStr">
        <is>
          <t>(11) 4004-3535</t>
        </is>
      </c>
      <c r="L151" s="22" t="inlineStr"/>
      <c r="M151" s="22" t="inlineStr"/>
      <c r="N151" s="22" t="inlineStr">
        <is>
          <t>igor.puertas@santander.com.br</t>
        </is>
      </c>
      <c r="O151" s="22" t="inlineStr">
        <is>
          <t>verified</t>
        </is>
      </c>
      <c r="P151" s="22" t="inlineStr">
        <is>
          <t>Antonio Junior</t>
        </is>
      </c>
      <c r="Q151" s="22" t="inlineStr">
        <is>
          <t>Superintendente Recuperação de Crédito</t>
        </is>
      </c>
      <c r="R151" s="22" t="inlineStr"/>
      <c r="S151" s="22" t="inlineStr">
        <is>
          <t>antonio.pequeno.junior@santander.com.br</t>
        </is>
      </c>
      <c r="T151" s="22" t="inlineStr">
        <is>
          <t>DM: DM; BACKUP: backup</t>
        </is>
      </c>
      <c r="U151" s="24" t="n">
        <v>1013805.75</v>
      </c>
      <c r="V151" s="25" t="inlineStr">
        <is>
          <t>B</t>
        </is>
      </c>
      <c r="W151" s="26" t="inlineStr"/>
      <c r="X151" s="27" t="inlineStr"/>
      <c r="Y151" s="27" t="inlineStr"/>
      <c r="Z151" s="26">
        <f>IF(W151&lt;&gt;"",W151,IFERROR(VLOOKUP(V151,Assumptions!$A$8:$F$12,2,FALSE),0))*Assumptions!$B$5</f>
        <v/>
      </c>
      <c r="AA151" s="28">
        <f>IF(V151="A",MAX(1,IF(X151&lt;&gt;"",X151,IFERROR(VLOOKUP(V151,Assumptions!$A$8:$F$12,3,FALSE),3))+IF(Y151&lt;&gt;"",Y151,IFERROR(VLOOKUP(V151,Assumptions!$A$8:$F$12,4,FALSE),8))/2-MAX(0,IF(AS151="",0,YEAR(TODAY())-AS151)-IFERROR(VLOOKUP(V151,Assumptions!$A$8:$F$12,5,FALSE),1.5))),IFERROR(VLOOKUP(V151,Assumptions!$A$8:$F$12,5,FALSE),2.5)+IF(X151&lt;&gt;"",X151,IFERROR(VLOOKUP(V151,Assumptions!$A$8:$F$12,3,FALSE),3))+IF(Y151&lt;&gt;"",Y151,IFERROR(VLOOKUP(V151,Assumptions!$A$8:$F$12,4,FALSE),8))/2)</f>
        <v/>
      </c>
      <c r="AB151" s="24">
        <f>U151*Z151/(1+Assumptions!$B$3)^AA151</f>
        <v/>
      </c>
      <c r="AC151" s="27">
        <f>IF(U151=0,"",ROUND(AB151/U151*100,1))</f>
        <v/>
      </c>
      <c r="AD151" s="29">
        <f>AB151*Assumptions!$B$4</f>
        <v/>
      </c>
      <c r="AE151" s="27">
        <f>IF(U151=0,"",ROUND(AD151/U151*100,1))</f>
        <v/>
      </c>
      <c r="AF151" s="29">
        <f>AB151-AD151</f>
        <v/>
      </c>
      <c r="AG151" s="27">
        <f>IF(U151=0,"",ROUND((AB151-AD151)/U151*100,1))</f>
        <v/>
      </c>
      <c r="AH151" s="35" t="inlineStr">
        <is>
          <t>PARTIAL — class III reconciled, other classes not</t>
        </is>
      </c>
      <c r="AI151" s="31" t="inlineStr">
        <is>
          <t>https://marquesadmjudicial.com.br/sgc/download.php?file=files/processo_documento/processo_documento15293208032024_1_.pdf&amp;nome=Relação Nominal de Credores da AJ-Sintética</t>
        </is>
      </c>
      <c r="AJ151" s="30" t="inlineStr">
        <is>
          <t>p21 r5</t>
        </is>
      </c>
      <c r="AK151" s="30" t="inlineStr">
        <is>
          <t>p21: R$ 1.013.805,75</t>
        </is>
      </c>
      <c r="AL151" s="30" t="inlineStr">
        <is>
          <t>AJ list (art. 7 §2)</t>
        </is>
      </c>
      <c r="AM151" s="30" t="inlineStr">
        <is>
          <t>2023-03-02</t>
        </is>
      </c>
      <c r="AN151" s="30" t="inlineStr">
        <is>
          <t>NONE FOUND</t>
        </is>
      </c>
      <c r="AO151" s="32" t="inlineStr">
        <is>
          <t>0005010-98.2023.8.16.0001</t>
        </is>
      </c>
      <c r="AP151" s="32" t="inlineStr">
        <is>
          <t>TJPR</t>
        </is>
      </c>
      <c r="AQ151" s="32" t="inlineStr">
        <is>
          <t>Recuperação judicial</t>
        </is>
      </c>
      <c r="AR151" s="32" t="inlineStr">
        <is>
          <t>DataJud: no closure/falência movement</t>
        </is>
      </c>
      <c r="AS151" s="32" t="n">
        <v>2023</v>
      </c>
      <c r="AT151" s="32" t="inlineStr">
        <is>
          <t>live case, no plan document yet</t>
        </is>
      </c>
      <c r="AU151" s="32" t="inlineStr"/>
      <c r="AV151" s="32" t="inlineStr">
        <is>
          <t>printed on the list (read twice)</t>
        </is>
      </c>
      <c r="AW151" s="32" t="inlineStr"/>
      <c r="AX151" s="32" t="inlineStr">
        <is>
          <t>SAO PAULO</t>
        </is>
      </c>
      <c r="AY151" s="32" t="inlineStr">
        <is>
          <t>SP</t>
        </is>
      </c>
      <c r="AZ151" s="32" t="inlineStr">
        <is>
          <t>Bancos múltiplos, com carteira comercial</t>
        </is>
      </c>
      <c r="BA151" s="32" t="inlineStr">
        <is>
          <t>não ME/EPP</t>
        </is>
      </c>
      <c r="BB151" s="33" t="n">
        <v>65000000000</v>
      </c>
      <c r="BC151" s="32" t="inlineStr">
        <is>
          <t>LARGE CORP</t>
        </is>
      </c>
      <c r="BD151" s="32" t="inlineStr">
        <is>
          <t>90400888</t>
        </is>
      </c>
      <c r="BE151" s="32" t="n">
        <v>1</v>
      </c>
      <c r="BF151" s="32" t="inlineStr">
        <is>
          <t>financial by name class III reconciled (doc partial)</t>
        </is>
      </c>
    </row>
    <row r="152">
      <c r="A152" s="17" t="inlineStr">
        <is>
          <t>BANCO DAYCOVAL S.A.</t>
        </is>
      </c>
      <c r="B152" s="18" t="n">
        <v>1012247.65</v>
      </c>
      <c r="C152" s="19" t="inlineStr">
        <is>
          <t>Alto Uruguai Indústria e Comércio de Óleos Ltda</t>
        </is>
      </c>
      <c r="D152" s="20" t="inlineStr">
        <is>
          <t>NEW</t>
        </is>
      </c>
      <c r="E152" s="21" t="inlineStr"/>
      <c r="F152" s="20" t="inlineStr"/>
      <c r="G152" s="21" t="inlineStr"/>
      <c r="H152" s="20" t="inlineStr"/>
      <c r="I152" s="22" t="inlineStr">
        <is>
          <t>Celso Araujo</t>
        </is>
      </c>
      <c r="J152" s="22" t="inlineStr">
        <is>
          <t>Gerente de Recuperação de Crédito</t>
        </is>
      </c>
      <c r="K152" s="22" t="inlineStr">
        <is>
          <t>(11) 3138-0500</t>
        </is>
      </c>
      <c r="L152" s="22" t="inlineStr"/>
      <c r="M152" s="22" t="inlineStr"/>
      <c r="N152" s="22" t="inlineStr">
        <is>
          <t>celso.araujo@bancodaycoval.com.br</t>
        </is>
      </c>
      <c r="O152" s="22" t="inlineStr">
        <is>
          <t>verified</t>
        </is>
      </c>
      <c r="P152" s="22" t="inlineStr">
        <is>
          <t>Andreia Matiel</t>
        </is>
      </c>
      <c r="Q152" s="22" t="inlineStr">
        <is>
          <t>Advogada Recuperação de Crédito Empresas</t>
        </is>
      </c>
      <c r="R152" s="22" t="inlineStr"/>
      <c r="S152" s="22" t="inlineStr">
        <is>
          <t>andreia.matiel@daycoval.com.br</t>
        </is>
      </c>
      <c r="T152" s="22" t="inlineStr">
        <is>
          <t>DM: DM verified email; BACKUP: backup verified email</t>
        </is>
      </c>
      <c r="U152" s="24" t="n">
        <v>1012247.65</v>
      </c>
      <c r="V152" s="25" t="inlineStr">
        <is>
          <t>B</t>
        </is>
      </c>
      <c r="W152" s="26" t="inlineStr"/>
      <c r="X152" s="27" t="inlineStr"/>
      <c r="Y152" s="27" t="inlineStr"/>
      <c r="Z152" s="26">
        <f>IF(W152&lt;&gt;"",W152,IFERROR(VLOOKUP(V152,Assumptions!$A$8:$F$12,2,FALSE),0))*Assumptions!$B$5</f>
        <v/>
      </c>
      <c r="AA152" s="28">
        <f>IF(V152="A",MAX(1,IF(X152&lt;&gt;"",X152,IFERROR(VLOOKUP(V152,Assumptions!$A$8:$F$12,3,FALSE),3))+IF(Y152&lt;&gt;"",Y152,IFERROR(VLOOKUP(V152,Assumptions!$A$8:$F$12,4,FALSE),8))/2-MAX(0,IF(AS152="",0,YEAR(TODAY())-AS152)-IFERROR(VLOOKUP(V152,Assumptions!$A$8:$F$12,5,FALSE),1.5))),IFERROR(VLOOKUP(V152,Assumptions!$A$8:$F$12,5,FALSE),2.5)+IF(X152&lt;&gt;"",X152,IFERROR(VLOOKUP(V152,Assumptions!$A$8:$F$12,3,FALSE),3))+IF(Y152&lt;&gt;"",Y152,IFERROR(VLOOKUP(V152,Assumptions!$A$8:$F$12,4,FALSE),8))/2)</f>
        <v/>
      </c>
      <c r="AB152" s="24">
        <f>U152*Z152/(1+Assumptions!$B$3)^AA152</f>
        <v/>
      </c>
      <c r="AC152" s="27">
        <f>IF(U152=0,"",ROUND(AB152/U152*100,1))</f>
        <v/>
      </c>
      <c r="AD152" s="29">
        <f>AB152*Assumptions!$B$4</f>
        <v/>
      </c>
      <c r="AE152" s="27">
        <f>IF(U152=0,"",ROUND(AD152/U152*100,1))</f>
        <v/>
      </c>
      <c r="AF152" s="29">
        <f>AB152-AD152</f>
        <v/>
      </c>
      <c r="AG152" s="27">
        <f>IF(U152=0,"",ROUND((AB152-AD152)/U152*100,1))</f>
        <v/>
      </c>
      <c r="AH152" s="30" t="inlineStr">
        <is>
          <t>OK — totals reconciled</t>
        </is>
      </c>
      <c r="AI152" s="31" t="inlineStr">
        <is>
          <t>https://ajruiz.com.br/sites/default/files/public/arquivos-processos/2026-06/alto_uruguai_qgc_junho.2026.pdf</t>
        </is>
      </c>
      <c r="AJ152" s="30" t="inlineStr">
        <is>
          <t>p1 r8</t>
        </is>
      </c>
      <c r="AK152" s="30" t="inlineStr">
        <is>
          <t>p1: R$ 1.012.247,65</t>
        </is>
      </c>
      <c r="AL152" s="30" t="inlineStr">
        <is>
          <t>Unclassified list</t>
        </is>
      </c>
      <c r="AM152" s="30" t="inlineStr"/>
      <c r="AN152" s="30" t="inlineStr">
        <is>
          <t>NONE FOUND</t>
        </is>
      </c>
      <c r="AO152" s="32" t="inlineStr">
        <is>
          <t>5012743-51.2023.8.24.0019</t>
        </is>
      </c>
      <c r="AP152" s="32" t="inlineStr">
        <is>
          <t>TJSC</t>
        </is>
      </c>
      <c r="AQ152" s="32" t="inlineStr">
        <is>
          <t>Recuperação judicial</t>
        </is>
      </c>
      <c r="AR152" s="32" t="inlineStr">
        <is>
          <t>DataJud: no closure/falência movement</t>
        </is>
      </c>
      <c r="AS152" s="32" t="n">
        <v>2023</v>
      </c>
      <c r="AT152" s="32" t="inlineStr">
        <is>
          <t>live case, no plan document yet</t>
        </is>
      </c>
      <c r="AU152" s="32" t="inlineStr"/>
      <c r="AV152" s="32" t="inlineStr">
        <is>
          <t>printed on the list (read twice)</t>
        </is>
      </c>
      <c r="AW152" s="32" t="inlineStr"/>
      <c r="AX152" s="32" t="inlineStr">
        <is>
          <t>SAO PAULO</t>
        </is>
      </c>
      <c r="AY152" s="32" t="inlineStr">
        <is>
          <t>SP</t>
        </is>
      </c>
      <c r="AZ152" s="32" t="inlineStr">
        <is>
          <t>Bancos múltiplos, com carteira comercial</t>
        </is>
      </c>
      <c r="BA152" s="32" t="inlineStr">
        <is>
          <t>não ME/EPP</t>
        </is>
      </c>
      <c r="BB152" s="33" t="n">
        <v>6907260000</v>
      </c>
      <c r="BC152" s="32" t="inlineStr">
        <is>
          <t>LARGE CORP</t>
        </is>
      </c>
      <c r="BD152" s="32" t="inlineStr">
        <is>
          <t>62232889</t>
        </is>
      </c>
      <c r="BE152" s="32" t="n">
        <v>1</v>
      </c>
      <c r="BF152" s="32" t="inlineStr">
        <is>
          <t>financial by name</t>
        </is>
      </c>
    </row>
    <row r="153">
      <c r="A153" s="17" t="inlineStr">
        <is>
          <t>BANCO C6 S.A.</t>
        </is>
      </c>
      <c r="B153" s="18" t="n">
        <v>1009368.3</v>
      </c>
      <c r="C153" s="19" t="inlineStr">
        <is>
          <t>Grupo Arruda (ARRUDA &amp; MELO REPRESENTACAO DE ALIMENTOS E BEBIDAS LTDA, ARRUDA &amp; MELO COMERCIO E DISTRIBUICAO DE ALIMENTOS E BEBIDAS LTDA, ARRUDA &amp; MELO COMERCIO E DISTRIBUICAO DE ALIMENTOS E BEBIDAS DA BAHIA LTDA)</t>
        </is>
      </c>
      <c r="D153" s="20" t="inlineStr">
        <is>
          <t>NEW</t>
        </is>
      </c>
      <c r="E153" s="21" t="inlineStr"/>
      <c r="F153" s="20" t="inlineStr"/>
      <c r="G153" s="21" t="inlineStr"/>
      <c r="H153" s="20" t="inlineStr"/>
      <c r="I153" s="22" t="inlineStr">
        <is>
          <t>Camilla Moriki</t>
        </is>
      </c>
      <c r="J153" s="22" t="inlineStr">
        <is>
          <t>Gerente de Recuperação de Crédito | Reestruturação - Atacado</t>
        </is>
      </c>
      <c r="K153" s="22" t="inlineStr">
        <is>
          <t>(11) 2832-6000</t>
        </is>
      </c>
      <c r="L153" s="22" t="inlineStr"/>
      <c r="M153" s="22" t="inlineStr"/>
      <c r="N153" s="22" t="inlineStr">
        <is>
          <t>camilla.moriki@c6bank.com</t>
        </is>
      </c>
      <c r="O153" s="22" t="inlineStr">
        <is>
          <t>verified</t>
        </is>
      </c>
      <c r="P153" s="22" t="inlineStr">
        <is>
          <t>Kevin Santana</t>
        </is>
      </c>
      <c r="Q153" s="22" t="inlineStr">
        <is>
          <t>Gerente de Estratégia de Recuperação de Crédito</t>
        </is>
      </c>
      <c r="R153" s="22" t="inlineStr"/>
      <c r="S153" s="22" t="inlineStr">
        <is>
          <t>kevin.santana@c6bank.com</t>
        </is>
      </c>
      <c r="T153" s="22" t="inlineStr">
        <is>
          <t>DM: DM verified email (Atacado desk); BACKUP: backup verified email</t>
        </is>
      </c>
      <c r="U153" s="24" t="n">
        <v>1009368.3</v>
      </c>
      <c r="V153" s="25" t="inlineStr">
        <is>
          <t>B</t>
        </is>
      </c>
      <c r="W153" s="26" t="inlineStr"/>
      <c r="X153" s="27" t="inlineStr"/>
      <c r="Y153" s="27" t="inlineStr"/>
      <c r="Z153" s="26">
        <f>IF(W153&lt;&gt;"",W153,IFERROR(VLOOKUP(V153,Assumptions!$A$8:$F$12,2,FALSE),0))*Assumptions!$B$5</f>
        <v/>
      </c>
      <c r="AA153" s="28">
        <f>IF(V153="A",MAX(1,IF(X153&lt;&gt;"",X153,IFERROR(VLOOKUP(V153,Assumptions!$A$8:$F$12,3,FALSE),3))+IF(Y153&lt;&gt;"",Y153,IFERROR(VLOOKUP(V153,Assumptions!$A$8:$F$12,4,FALSE),8))/2-MAX(0,IF(AS153="",0,YEAR(TODAY())-AS153)-IFERROR(VLOOKUP(V153,Assumptions!$A$8:$F$12,5,FALSE),1.5))),IFERROR(VLOOKUP(V153,Assumptions!$A$8:$F$12,5,FALSE),2.5)+IF(X153&lt;&gt;"",X153,IFERROR(VLOOKUP(V153,Assumptions!$A$8:$F$12,3,FALSE),3))+IF(Y153&lt;&gt;"",Y153,IFERROR(VLOOKUP(V153,Assumptions!$A$8:$F$12,4,FALSE),8))/2)</f>
        <v/>
      </c>
      <c r="AB153" s="24">
        <f>U153*Z153/(1+Assumptions!$B$3)^AA153</f>
        <v/>
      </c>
      <c r="AC153" s="27">
        <f>IF(U153=0,"",ROUND(AB153/U153*100,1))</f>
        <v/>
      </c>
      <c r="AD153" s="29">
        <f>AB153*Assumptions!$B$4</f>
        <v/>
      </c>
      <c r="AE153" s="27">
        <f>IF(U153=0,"",ROUND(AD153/U153*100,1))</f>
        <v/>
      </c>
      <c r="AF153" s="29">
        <f>AB153-AD153</f>
        <v/>
      </c>
      <c r="AG153" s="27">
        <f>IF(U153=0,"",ROUND((AB153-AD153)/U153*100,1))</f>
        <v/>
      </c>
      <c r="AH153" s="30" t="inlineStr">
        <is>
          <t>OK — totals reconciled</t>
        </is>
      </c>
      <c r="AI153" s="31" t="inlineStr">
        <is>
          <t>https://diligence.adm.br/wp-content/uploads/2025/06/Edital-1a-Lista-de-Credores.pdf</t>
        </is>
      </c>
      <c r="AJ153" s="30" t="inlineStr">
        <is>
          <t>p5 r65</t>
        </is>
      </c>
      <c r="AK153" s="30" t="inlineStr">
        <is>
          <t>p5: R$ 1.009.368,30</t>
        </is>
      </c>
      <c r="AL153" s="30" t="inlineStr">
        <is>
          <t>Debtor list (art. 51)</t>
        </is>
      </c>
      <c r="AM153" s="30" t="inlineStr">
        <is>
          <t>2025-06-10</t>
        </is>
      </c>
      <c r="AN153" s="30" t="inlineStr">
        <is>
          <t>NONE FOUND</t>
        </is>
      </c>
      <c r="AO153" s="32" t="inlineStr">
        <is>
          <t>0008526-45.2025.8.17.2001</t>
        </is>
      </c>
      <c r="AP153" s="32" t="inlineStr">
        <is>
          <t>TJPE</t>
        </is>
      </c>
      <c r="AQ153" s="32" t="inlineStr">
        <is>
          <t>Recuperação judicial</t>
        </is>
      </c>
      <c r="AR153" s="32" t="inlineStr">
        <is>
          <t>DataJud: no closure/falência movement</t>
        </is>
      </c>
      <c r="AS153" s="32" t="n">
        <v>2025</v>
      </c>
      <c r="AT153" s="32" t="inlineStr">
        <is>
          <t>live case, no plan document yet</t>
        </is>
      </c>
      <c r="AU153" s="32" t="inlineStr"/>
      <c r="AV153" s="32" t="inlineStr">
        <is>
          <t>printed on the list (read twice)</t>
        </is>
      </c>
      <c r="AW153" s="32" t="inlineStr"/>
      <c r="AX153" s="32" t="inlineStr">
        <is>
          <t>SAO PAULO</t>
        </is>
      </c>
      <c r="AY153" s="32" t="inlineStr">
        <is>
          <t>SP</t>
        </is>
      </c>
      <c r="AZ153" s="32" t="inlineStr">
        <is>
          <t>Bancos múltiplos, com carteira comercial</t>
        </is>
      </c>
      <c r="BA153" s="32" t="inlineStr">
        <is>
          <t>não ME/EPP</t>
        </is>
      </c>
      <c r="BB153" s="33" t="n">
        <v>1131957000</v>
      </c>
      <c r="BC153" s="32" t="inlineStr">
        <is>
          <t>LARGE CORP</t>
        </is>
      </c>
      <c r="BD153" s="32" t="inlineStr">
        <is>
          <t>31872495</t>
        </is>
      </c>
      <c r="BE153" s="32" t="n">
        <v>1</v>
      </c>
      <c r="BF153" s="32" t="inlineStr">
        <is>
          <t>financial by name</t>
        </is>
      </c>
    </row>
    <row r="154">
      <c r="A154" s="17" t="inlineStr">
        <is>
          <t>Banco Industrial Do Brasil S.A.</t>
        </is>
      </c>
      <c r="B154" s="18" t="n">
        <v>1003333.32</v>
      </c>
      <c r="C154" s="19" t="inlineStr">
        <is>
          <t>GRUPO DP4</t>
        </is>
      </c>
      <c r="D154" s="20" t="inlineStr">
        <is>
          <t>NEW</t>
        </is>
      </c>
      <c r="E154" s="21" t="inlineStr"/>
      <c r="F154" s="20" t="inlineStr"/>
      <c r="G154" s="21" t="inlineStr"/>
      <c r="H154" s="20" t="inlineStr"/>
      <c r="I154" s="22" t="inlineStr">
        <is>
          <t>Eduardo Fernandes</t>
        </is>
      </c>
      <c r="J154" s="22" t="inlineStr">
        <is>
          <t>Gerente de Recuperação de Crédito</t>
        </is>
      </c>
      <c r="K154" s="22" t="inlineStr"/>
      <c r="L154" s="22" t="inlineStr"/>
      <c r="M154" s="22" t="inlineStr"/>
      <c r="N154" s="22" t="inlineStr">
        <is>
          <t>eduardo.fernandes@bancoindustrial.com.br</t>
        </is>
      </c>
      <c r="O154" s="22" t="inlineStr">
        <is>
          <t>verified</t>
        </is>
      </c>
      <c r="P154" s="22" t="inlineStr"/>
      <c r="Q154" s="22" t="inlineStr"/>
      <c r="R154" s="22" t="inlineStr"/>
      <c r="S154" s="22" t="inlineStr"/>
      <c r="T154" s="22" t="inlineStr">
        <is>
          <t>DM: DM</t>
        </is>
      </c>
      <c r="U154" s="24" t="n">
        <v>1003333.32</v>
      </c>
      <c r="V154" s="25" t="inlineStr">
        <is>
          <t>B</t>
        </is>
      </c>
      <c r="W154" s="26" t="inlineStr"/>
      <c r="X154" s="27" t="inlineStr"/>
      <c r="Y154" s="27" t="inlineStr"/>
      <c r="Z154" s="26">
        <f>IF(W154&lt;&gt;"",W154,IFERROR(VLOOKUP(V154,Assumptions!$A$8:$F$12,2,FALSE),0))*Assumptions!$B$5</f>
        <v/>
      </c>
      <c r="AA154" s="28">
        <f>IF(V154="A",MAX(1,IF(X154&lt;&gt;"",X154,IFERROR(VLOOKUP(V154,Assumptions!$A$8:$F$12,3,FALSE),3))+IF(Y154&lt;&gt;"",Y154,IFERROR(VLOOKUP(V154,Assumptions!$A$8:$F$12,4,FALSE),8))/2-MAX(0,IF(AS154="",0,YEAR(TODAY())-AS154)-IFERROR(VLOOKUP(V154,Assumptions!$A$8:$F$12,5,FALSE),1.5))),IFERROR(VLOOKUP(V154,Assumptions!$A$8:$F$12,5,FALSE),2.5)+IF(X154&lt;&gt;"",X154,IFERROR(VLOOKUP(V154,Assumptions!$A$8:$F$12,3,FALSE),3))+IF(Y154&lt;&gt;"",Y154,IFERROR(VLOOKUP(V154,Assumptions!$A$8:$F$12,4,FALSE),8))/2)</f>
        <v/>
      </c>
      <c r="AB154" s="24">
        <f>U154*Z154/(1+Assumptions!$B$3)^AA154</f>
        <v/>
      </c>
      <c r="AC154" s="27">
        <f>IF(U154=0,"",ROUND(AB154/U154*100,1))</f>
        <v/>
      </c>
      <c r="AD154" s="29">
        <f>AB154*Assumptions!$B$4</f>
        <v/>
      </c>
      <c r="AE154" s="27">
        <f>IF(U154=0,"",ROUND(AD154/U154*100,1))</f>
        <v/>
      </c>
      <c r="AF154" s="29">
        <f>AB154-AD154</f>
        <v/>
      </c>
      <c r="AG154" s="27">
        <f>IF(U154=0,"",ROUND((AB154-AD154)/U154*100,1))</f>
        <v/>
      </c>
      <c r="AH154" s="35" t="inlineStr">
        <is>
          <t>PARTIAL — class III reconciled, other classes not</t>
        </is>
      </c>
      <c r="AI154" s="31" t="inlineStr">
        <is>
          <t>https://marquesadmjudicial.com.br/sgc/download.php?file=files/processo_documento/processo_documento15293208032024_1_.pdf&amp;nome=Relação Nominal de Credores da AJ-Sintética</t>
        </is>
      </c>
      <c r="AJ154" s="30" t="inlineStr">
        <is>
          <t>p21 r3</t>
        </is>
      </c>
      <c r="AK154" s="30" t="inlineStr">
        <is>
          <t>p21: R$ 1.003.333,32</t>
        </is>
      </c>
      <c r="AL154" s="30" t="inlineStr">
        <is>
          <t>AJ list (art. 7 §2)</t>
        </is>
      </c>
      <c r="AM154" s="30" t="inlineStr">
        <is>
          <t>2023-03-02</t>
        </is>
      </c>
      <c r="AN154" s="30" t="inlineStr">
        <is>
          <t>NONE FOUND</t>
        </is>
      </c>
      <c r="AO154" s="32" t="inlineStr">
        <is>
          <t>0005010-98.2023.8.16.0001</t>
        </is>
      </c>
      <c r="AP154" s="32" t="inlineStr">
        <is>
          <t>TJPR</t>
        </is>
      </c>
      <c r="AQ154" s="32" t="inlineStr">
        <is>
          <t>Recuperação judicial</t>
        </is>
      </c>
      <c r="AR154" s="32" t="inlineStr">
        <is>
          <t>DataJud: no closure/falência movement</t>
        </is>
      </c>
      <c r="AS154" s="32" t="n">
        <v>2023</v>
      </c>
      <c r="AT154" s="32" t="inlineStr">
        <is>
          <t>live case, no plan document yet</t>
        </is>
      </c>
      <c r="AU154" s="32" t="inlineStr"/>
      <c r="AV154" s="32" t="inlineStr">
        <is>
          <t>printed on the list (read twice)</t>
        </is>
      </c>
      <c r="AW154" s="32" t="inlineStr"/>
      <c r="AX154" s="32" t="inlineStr"/>
      <c r="AY154" s="32" t="inlineStr"/>
      <c r="AZ154" s="32" t="inlineStr"/>
      <c r="BA154" s="32" t="inlineStr"/>
      <c r="BB154" s="33" t="inlineStr"/>
      <c r="BC154" s="32" t="inlineStr">
        <is>
          <t>UNKNOWN</t>
        </is>
      </c>
      <c r="BD154" s="32" t="inlineStr">
        <is>
          <t>31895683</t>
        </is>
      </c>
      <c r="BE154" s="32" t="n">
        <v>1</v>
      </c>
      <c r="BF154" s="32" t="inlineStr">
        <is>
          <t>financial by name class III reconciled (doc partial) no RFB record</t>
        </is>
      </c>
    </row>
    <row r="155">
      <c r="A155" s="17" t="inlineStr">
        <is>
          <t>SICOOB ADMINISTRADORA DE CONSORCIOS LTDA</t>
        </is>
      </c>
      <c r="B155" s="18" t="n">
        <v>1000149.31</v>
      </c>
      <c r="C155" s="19" t="inlineStr">
        <is>
          <t>FLAVOUR MIX IND. E REP. ALIM. E INGR. QUÍMICOS LTDA.</t>
        </is>
      </c>
      <c r="D155" s="20" t="inlineStr">
        <is>
          <t>NEW</t>
        </is>
      </c>
      <c r="E155" s="21" t="inlineStr"/>
      <c r="F155" s="20" t="inlineStr"/>
      <c r="G155" s="21" t="inlineStr"/>
      <c r="H155" s="20" t="inlineStr"/>
      <c r="I155" s="22" t="inlineStr">
        <is>
          <t>Itamar Filho</t>
        </is>
      </c>
      <c r="J155" s="22" t="inlineStr">
        <is>
          <t>Gerente Comercial de Consórcios e Cobrança Bancária</t>
        </is>
      </c>
      <c r="K155" s="22" t="inlineStr"/>
      <c r="L155" s="22" t="inlineStr"/>
      <c r="M155" s="22" t="inlineStr"/>
      <c r="N155" s="22" t="inlineStr">
        <is>
          <t>itamar.filho@sicoob.com.br</t>
        </is>
      </c>
      <c r="O155" s="22" t="inlineStr">
        <is>
          <t>verified</t>
        </is>
      </c>
      <c r="P155" s="22" t="inlineStr">
        <is>
          <t>Laiane Augusta</t>
        </is>
      </c>
      <c r="Q155" s="22" t="inlineStr">
        <is>
          <t>Assistente de Operações no Sicoob Consórcios</t>
        </is>
      </c>
      <c r="R155" s="22" t="inlineStr"/>
      <c r="S155" s="22" t="inlineStr">
        <is>
          <t>laiane.augusta@sicoob.com.br</t>
        </is>
      </c>
      <c r="T155" s="22" t="inlineStr">
        <is>
          <t>DM: DM verified email; BACKUP: backup extrapolated email; backup email is pattern-guessed</t>
        </is>
      </c>
      <c r="U155" s="24" t="n">
        <v>1000149.31</v>
      </c>
      <c r="V155" s="25" t="inlineStr">
        <is>
          <t>B</t>
        </is>
      </c>
      <c r="W155" s="26" t="inlineStr"/>
      <c r="X155" s="27" t="inlineStr"/>
      <c r="Y155" s="27" t="inlineStr"/>
      <c r="Z155" s="26">
        <f>IF(W155&lt;&gt;"",W155,IFERROR(VLOOKUP(V155,Assumptions!$A$8:$F$12,2,FALSE),0))*Assumptions!$B$5</f>
        <v/>
      </c>
      <c r="AA155" s="28">
        <f>IF(V155="A",MAX(1,IF(X155&lt;&gt;"",X155,IFERROR(VLOOKUP(V155,Assumptions!$A$8:$F$12,3,FALSE),3))+IF(Y155&lt;&gt;"",Y155,IFERROR(VLOOKUP(V155,Assumptions!$A$8:$F$12,4,FALSE),8))/2-MAX(0,IF(AS155="",0,YEAR(TODAY())-AS155)-IFERROR(VLOOKUP(V155,Assumptions!$A$8:$F$12,5,FALSE),1.5))),IFERROR(VLOOKUP(V155,Assumptions!$A$8:$F$12,5,FALSE),2.5)+IF(X155&lt;&gt;"",X155,IFERROR(VLOOKUP(V155,Assumptions!$A$8:$F$12,3,FALSE),3))+IF(Y155&lt;&gt;"",Y155,IFERROR(VLOOKUP(V155,Assumptions!$A$8:$F$12,4,FALSE),8))/2)</f>
        <v/>
      </c>
      <c r="AB155" s="24">
        <f>U155*Z155/(1+Assumptions!$B$3)^AA155</f>
        <v/>
      </c>
      <c r="AC155" s="27">
        <f>IF(U155=0,"",ROUND(AB155/U155*100,1))</f>
        <v/>
      </c>
      <c r="AD155" s="29">
        <f>AB155*Assumptions!$B$4</f>
        <v/>
      </c>
      <c r="AE155" s="27">
        <f>IF(U155=0,"",ROUND(AD155/U155*100,1))</f>
        <v/>
      </c>
      <c r="AF155" s="29">
        <f>AB155-AD155</f>
        <v/>
      </c>
      <c r="AG155" s="27">
        <f>IF(U155=0,"",ROUND((AB155-AD155)/U155*100,1))</f>
        <v/>
      </c>
      <c r="AH155" s="34" t="inlineStr">
        <is>
          <t>NO TOTALS — list prints none; check page</t>
        </is>
      </c>
      <c r="AI155" s="31" t="inlineStr">
        <is>
          <t>https://ativosajce.com.br/admin/download.php?file=files/processo_documento/processo_documento13422625032025_1_.pdf&amp;nome=Relação de Credores - Art. 52º § 1º, da Lei nº 11.101/2005 - 25/02/2025</t>
        </is>
      </c>
      <c r="AJ155" s="30" t="inlineStr">
        <is>
          <t>p5 r3; p5 r4; p5 r5; p5 r6; p5 r7; p5 r8; p5 r9; p5 r10; p5 r11; p5 r12; p5 r13; p5 r14; p5 r15; p5 r16; p5 r17; p5 r18; p5 r19; p5 r20; p5 r21; p5 r22</t>
        </is>
      </c>
      <c r="AK155" s="30" t="inlineStr">
        <is>
          <t>[rows shown ≠ face] p5: R$ 5.049,41; p5: R$ 5.099,90; p5: R$ 5.099,90; p5: R$ 5.099,90; p5: R$ 5.099,90; p5: R$ 5.099,90; p5: R$ 5.099,90; p5: R$ 5.099,90; p5: R$ 5.099,90; p5: R$ 5.099,90; p5: R$ 5.099,90; p5: R$ 5.099,90; p5: R$ 5.099,90; p5: R$ 5.099,90; p5: R$ 5.099,90; p5: R$ 5.099,90; p5: R$ 5.099,90; p5: R$ 5.099,90; p5: R$ 5.099,90; p5: R$ 990.000,00</t>
        </is>
      </c>
      <c r="AL155" s="30" t="inlineStr">
        <is>
          <t>Unclassified list</t>
        </is>
      </c>
      <c r="AM155" s="30" t="inlineStr">
        <is>
          <t>2025-02-28</t>
        </is>
      </c>
      <c r="AN155" s="30" t="inlineStr">
        <is>
          <t>NONE FOUND</t>
        </is>
      </c>
      <c r="AO155" s="32" t="inlineStr">
        <is>
          <t>1000119-75.2025.8.26.0354</t>
        </is>
      </c>
      <c r="AP155" s="32" t="inlineStr">
        <is>
          <t>TJSP</t>
        </is>
      </c>
      <c r="AQ155" s="32" t="inlineStr">
        <is>
          <t>Recuperação judicial</t>
        </is>
      </c>
      <c r="AR155" s="32" t="inlineStr">
        <is>
          <t>DataJud: no closure/falência movement</t>
        </is>
      </c>
      <c r="AS155" s="32" t="n">
        <v>2025</v>
      </c>
      <c r="AT155" s="32" t="inlineStr">
        <is>
          <t>live case, no plan document yet; case no. from the portal record, not printed on the list</t>
        </is>
      </c>
      <c r="AU155" s="32" t="inlineStr">
        <is>
          <t>09.357.504/0001-38</t>
        </is>
      </c>
      <c r="AV155" s="32" t="inlineStr">
        <is>
          <t>printed on the list (read twice)</t>
        </is>
      </c>
      <c r="AW155" s="32" t="inlineStr"/>
      <c r="AX155" s="32" t="inlineStr"/>
      <c r="AY155" s="32" t="inlineStr"/>
      <c r="AZ155" s="32" t="inlineStr"/>
      <c r="BA155" s="32" t="inlineStr"/>
      <c r="BB155" s="33" t="inlineStr"/>
      <c r="BC155" s="32" t="inlineStr">
        <is>
          <t>UNKNOWN</t>
        </is>
      </c>
      <c r="BD155" s="32" t="inlineStr">
        <is>
          <t>16551061</t>
        </is>
      </c>
      <c r="BE155" s="32" t="n">
        <v>3</v>
      </c>
      <c r="BF155" s="32" t="inlineStr">
        <is>
          <t>financial by name list prints no totals no RFB record</t>
        </is>
      </c>
    </row>
    <row r="156">
      <c r="A156" s="17" t="inlineStr">
        <is>
          <t>BANCO SAFRA S A</t>
        </is>
      </c>
      <c r="B156" s="18" t="n">
        <v>997900.2</v>
      </c>
      <c r="C156" s="19" t="inlineStr">
        <is>
          <t>Grupo Conduscabos</t>
        </is>
      </c>
      <c r="D156" s="20" t="inlineStr">
        <is>
          <t>NEW</t>
        </is>
      </c>
      <c r="E156" s="21" t="inlineStr"/>
      <c r="F156" s="20" t="inlineStr"/>
      <c r="G156" s="21" t="inlineStr"/>
      <c r="H156" s="20" t="inlineStr"/>
      <c r="I156" s="22" t="inlineStr">
        <is>
          <t>Vanessa Biotti</t>
        </is>
      </c>
      <c r="J156" s="22" t="inlineStr">
        <is>
          <t>Gerente de Recuperação de Crédito</t>
        </is>
      </c>
      <c r="K156" s="22" t="inlineStr">
        <is>
          <t>(11) 3175-7575</t>
        </is>
      </c>
      <c r="L156" s="22" t="inlineStr"/>
      <c r="M156" s="22" t="inlineStr"/>
      <c r="N156" s="22" t="inlineStr">
        <is>
          <t>vanessa.biotti@safra.com.br</t>
        </is>
      </c>
      <c r="O156" s="22" t="inlineStr">
        <is>
          <t>verified</t>
        </is>
      </c>
      <c r="P156" s="22" t="inlineStr">
        <is>
          <t>Rodrigo Anjos</t>
        </is>
      </c>
      <c r="Q156" s="22" t="inlineStr">
        <is>
          <t>Advogado Sênior - Jurídico Contencioso - Recuperação de Crédito - NPL</t>
        </is>
      </c>
      <c r="R156" s="22" t="inlineStr"/>
      <c r="S156" s="22" t="inlineStr">
        <is>
          <t>rodrigo.anjos@safra.com.br</t>
        </is>
      </c>
      <c r="T156" s="22" t="inlineStr">
        <is>
          <t>DM: DM verified email; BACKUP: backup verified email (NPL legal)</t>
        </is>
      </c>
      <c r="U156" s="24" t="n">
        <v>997900.2</v>
      </c>
      <c r="V156" s="25" t="inlineStr">
        <is>
          <t>B</t>
        </is>
      </c>
      <c r="W156" s="26" t="inlineStr"/>
      <c r="X156" s="27" t="inlineStr"/>
      <c r="Y156" s="27" t="inlineStr"/>
      <c r="Z156" s="26">
        <f>IF(W156&lt;&gt;"",W156,IFERROR(VLOOKUP(V156,Assumptions!$A$8:$F$12,2,FALSE),0))*Assumptions!$B$5</f>
        <v/>
      </c>
      <c r="AA156" s="28">
        <f>IF(V156="A",MAX(1,IF(X156&lt;&gt;"",X156,IFERROR(VLOOKUP(V156,Assumptions!$A$8:$F$12,3,FALSE),3))+IF(Y156&lt;&gt;"",Y156,IFERROR(VLOOKUP(V156,Assumptions!$A$8:$F$12,4,FALSE),8))/2-MAX(0,IF(AS156="",0,YEAR(TODAY())-AS156)-IFERROR(VLOOKUP(V156,Assumptions!$A$8:$F$12,5,FALSE),1.5))),IFERROR(VLOOKUP(V156,Assumptions!$A$8:$F$12,5,FALSE),2.5)+IF(X156&lt;&gt;"",X156,IFERROR(VLOOKUP(V156,Assumptions!$A$8:$F$12,3,FALSE),3))+IF(Y156&lt;&gt;"",Y156,IFERROR(VLOOKUP(V156,Assumptions!$A$8:$F$12,4,FALSE),8))/2)</f>
        <v/>
      </c>
      <c r="AB156" s="24">
        <f>U156*Z156/(1+Assumptions!$B$3)^AA156</f>
        <v/>
      </c>
      <c r="AC156" s="27">
        <f>IF(U156=0,"",ROUND(AB156/U156*100,1))</f>
        <v/>
      </c>
      <c r="AD156" s="29">
        <f>AB156*Assumptions!$B$4</f>
        <v/>
      </c>
      <c r="AE156" s="27">
        <f>IF(U156=0,"",ROUND(AD156/U156*100,1))</f>
        <v/>
      </c>
      <c r="AF156" s="29">
        <f>AB156-AD156</f>
        <v/>
      </c>
      <c r="AG156" s="27">
        <f>IF(U156=0,"",ROUND((AB156-AD156)/U156*100,1))</f>
        <v/>
      </c>
      <c r="AH156" s="34" t="inlineStr">
        <is>
          <t>NO TOTALS — list prints none; check page</t>
        </is>
      </c>
      <c r="AI156" s="31" t="inlineStr">
        <is>
          <t>https://assistjud.com.br/wp-content/uploads/elementor/forms/65098c80a5824.pdf</t>
        </is>
      </c>
      <c r="AJ156" s="30" t="inlineStr">
        <is>
          <t>p5 r12; p17 r6</t>
        </is>
      </c>
      <c r="AK156" s="30" t="inlineStr">
        <is>
          <t>p5: R$ 796.286,94; p17: R$ 201.613,26</t>
        </is>
      </c>
      <c r="AL156" s="30" t="inlineStr">
        <is>
          <t>AJ list (art. 7 §2)</t>
        </is>
      </c>
      <c r="AM156" s="30" t="inlineStr">
        <is>
          <t>2023-09-18</t>
        </is>
      </c>
      <c r="AN156" s="30" t="inlineStr">
        <is>
          <t>NONE FOUND</t>
        </is>
      </c>
      <c r="AO156" s="32" t="inlineStr">
        <is>
          <t>8005129-09.2023.8.05.0039</t>
        </is>
      </c>
      <c r="AP156" s="32" t="inlineStr">
        <is>
          <t>TJBA</t>
        </is>
      </c>
      <c r="AQ156" s="32" t="inlineStr">
        <is>
          <t>Recuperação judicial</t>
        </is>
      </c>
      <c r="AR156" s="32" t="inlineStr">
        <is>
          <t>DataJud: no closure/falência movement</t>
        </is>
      </c>
      <c r="AS156" s="32" t="n">
        <v>2023</v>
      </c>
      <c r="AT156" s="32" t="inlineStr">
        <is>
          <t>live case, no plan document yet</t>
        </is>
      </c>
      <c r="AU156" s="32" t="inlineStr"/>
      <c r="AV156" s="32" t="inlineStr">
        <is>
          <t>printed on the list (read twice)</t>
        </is>
      </c>
      <c r="AW156" s="32" t="inlineStr"/>
      <c r="AX156" s="32" t="inlineStr">
        <is>
          <t>SAO PAULO</t>
        </is>
      </c>
      <c r="AY156" s="32" t="inlineStr">
        <is>
          <t>SP</t>
        </is>
      </c>
      <c r="AZ156" s="32" t="inlineStr">
        <is>
          <t>Bancos múltiplos, com carteira comercial</t>
        </is>
      </c>
      <c r="BA156" s="32" t="inlineStr">
        <is>
          <t>não ME/EPP</t>
        </is>
      </c>
      <c r="BB156" s="33" t="n">
        <v>13924903000</v>
      </c>
      <c r="BC156" s="32" t="inlineStr">
        <is>
          <t>LARGE CORP</t>
        </is>
      </c>
      <c r="BD156" s="32" t="inlineStr">
        <is>
          <t>58160789</t>
        </is>
      </c>
      <c r="BE156" s="32" t="n">
        <v>2</v>
      </c>
      <c r="BF156" s="32" t="inlineStr">
        <is>
          <t>financial by name list prints no totals</t>
        </is>
      </c>
    </row>
    <row r="157">
      <c r="A157" s="17" t="inlineStr">
        <is>
          <t>BANCO ABC BRASIL S.A.</t>
        </is>
      </c>
      <c r="B157" s="18" t="n">
        <v>991010.33</v>
      </c>
      <c r="C157" s="19" t="inlineStr">
        <is>
          <t>FLAVOUR MIX IND. E REP. ALIM. E INGR. QUÍMICOS LTDA.</t>
        </is>
      </c>
      <c r="D157" s="20" t="inlineStr">
        <is>
          <t>NEW</t>
        </is>
      </c>
      <c r="E157" s="21" t="inlineStr"/>
      <c r="F157" s="20" t="inlineStr"/>
      <c r="G157" s="21" t="inlineStr"/>
      <c r="H157" s="20" t="inlineStr"/>
      <c r="I157" s="22" t="inlineStr">
        <is>
          <t>Luciano Makino</t>
        </is>
      </c>
      <c r="J157" s="22" t="inlineStr">
        <is>
          <t>Especialista de Recuperação de Crédito</t>
        </is>
      </c>
      <c r="K157" s="22" t="inlineStr">
        <is>
          <t>(11) 3170-2000</t>
        </is>
      </c>
      <c r="L157" s="22" t="inlineStr"/>
      <c r="M157" s="22" t="inlineStr"/>
      <c r="N157" s="22" t="inlineStr">
        <is>
          <t>luciano.makino@abcbrasil.com.br</t>
        </is>
      </c>
      <c r="O157" s="22" t="inlineStr">
        <is>
          <t>verified</t>
        </is>
      </c>
      <c r="P157" s="22" t="inlineStr">
        <is>
          <t>Marilia Neves</t>
        </is>
      </c>
      <c r="Q157" s="22" t="inlineStr">
        <is>
          <t>Advogado Especialista em Recuperação de Crédito</t>
        </is>
      </c>
      <c r="R157" s="22" t="inlineStr"/>
      <c r="S157" s="22" t="inlineStr">
        <is>
          <t>marilia.neves@abcbrasil.com.br</t>
        </is>
      </c>
      <c r="T157" s="22" t="inlineStr">
        <is>
          <t>DM: DM verified email; BACKUP: backup verified email</t>
        </is>
      </c>
      <c r="U157" s="24" t="n">
        <v>991010.33</v>
      </c>
      <c r="V157" s="25" t="inlineStr">
        <is>
          <t>B</t>
        </is>
      </c>
      <c r="W157" s="26" t="inlineStr"/>
      <c r="X157" s="27" t="inlineStr"/>
      <c r="Y157" s="27" t="inlineStr"/>
      <c r="Z157" s="26">
        <f>IF(W157&lt;&gt;"",W157,IFERROR(VLOOKUP(V157,Assumptions!$A$8:$F$12,2,FALSE),0))*Assumptions!$B$5</f>
        <v/>
      </c>
      <c r="AA157" s="28">
        <f>IF(V157="A",MAX(1,IF(X157&lt;&gt;"",X157,IFERROR(VLOOKUP(V157,Assumptions!$A$8:$F$12,3,FALSE),3))+IF(Y157&lt;&gt;"",Y157,IFERROR(VLOOKUP(V157,Assumptions!$A$8:$F$12,4,FALSE),8))/2-MAX(0,IF(AS157="",0,YEAR(TODAY())-AS157)-IFERROR(VLOOKUP(V157,Assumptions!$A$8:$F$12,5,FALSE),1.5))),IFERROR(VLOOKUP(V157,Assumptions!$A$8:$F$12,5,FALSE),2.5)+IF(X157&lt;&gt;"",X157,IFERROR(VLOOKUP(V157,Assumptions!$A$8:$F$12,3,FALSE),3))+IF(Y157&lt;&gt;"",Y157,IFERROR(VLOOKUP(V157,Assumptions!$A$8:$F$12,4,FALSE),8))/2)</f>
        <v/>
      </c>
      <c r="AB157" s="24">
        <f>U157*Z157/(1+Assumptions!$B$3)^AA157</f>
        <v/>
      </c>
      <c r="AC157" s="27">
        <f>IF(U157=0,"",ROUND(AB157/U157*100,1))</f>
        <v/>
      </c>
      <c r="AD157" s="29">
        <f>AB157*Assumptions!$B$4</f>
        <v/>
      </c>
      <c r="AE157" s="27">
        <f>IF(U157=0,"",ROUND(AD157/U157*100,1))</f>
        <v/>
      </c>
      <c r="AF157" s="29">
        <f>AB157-AD157</f>
        <v/>
      </c>
      <c r="AG157" s="27">
        <f>IF(U157=0,"",ROUND((AB157-AD157)/U157*100,1))</f>
        <v/>
      </c>
      <c r="AH157" s="34" t="inlineStr">
        <is>
          <t>NO TOTALS — list prints none; check page</t>
        </is>
      </c>
      <c r="AI157" s="31" t="inlineStr">
        <is>
          <t>https://ativosajce.com.br/admin/download.php?file=files/processo_documento/processo_documento13422625032025_1_.pdf&amp;nome=Relação de Credores - Art. 52º § 1º, da Lei nº 11.101/2005 - 25/02/2025</t>
        </is>
      </c>
      <c r="AJ157" s="30" t="inlineStr">
        <is>
          <t>p3 r15</t>
        </is>
      </c>
      <c r="AK157" s="30" t="inlineStr">
        <is>
          <t>p3: R$ 991.010,33</t>
        </is>
      </c>
      <c r="AL157" s="30" t="inlineStr">
        <is>
          <t>Unclassified list</t>
        </is>
      </c>
      <c r="AM157" s="30" t="inlineStr">
        <is>
          <t>2025-02-28</t>
        </is>
      </c>
      <c r="AN157" s="30" t="inlineStr">
        <is>
          <t>NONE FOUND</t>
        </is>
      </c>
      <c r="AO157" s="32" t="inlineStr">
        <is>
          <t>1000119-75.2025.8.26.0354</t>
        </is>
      </c>
      <c r="AP157" s="32" t="inlineStr">
        <is>
          <t>TJSP</t>
        </is>
      </c>
      <c r="AQ157" s="32" t="inlineStr">
        <is>
          <t>Recuperação judicial</t>
        </is>
      </c>
      <c r="AR157" s="32" t="inlineStr">
        <is>
          <t>DataJud: no closure/falência movement</t>
        </is>
      </c>
      <c r="AS157" s="32" t="n">
        <v>2025</v>
      </c>
      <c r="AT157" s="32" t="inlineStr">
        <is>
          <t>live case, no plan document yet; case no. from the portal record, not printed on the list</t>
        </is>
      </c>
      <c r="AU157" s="32" t="inlineStr">
        <is>
          <t>09.357.504/0001-38</t>
        </is>
      </c>
      <c r="AV157" s="32" t="inlineStr">
        <is>
          <t>printed on the list (read twice)</t>
        </is>
      </c>
      <c r="AW157" s="32" t="inlineStr"/>
      <c r="AX157" s="32" t="inlineStr">
        <is>
          <t>SAO PAULO</t>
        </is>
      </c>
      <c r="AY157" s="32" t="inlineStr">
        <is>
          <t>SP</t>
        </is>
      </c>
      <c r="AZ157" s="32" t="inlineStr">
        <is>
          <t>Bancos múltiplos, com carteira comercial</t>
        </is>
      </c>
      <c r="BA157" s="32" t="inlineStr">
        <is>
          <t>não ME/EPP</t>
        </is>
      </c>
      <c r="BB157" s="33" t="n">
        <v>6012662300</v>
      </c>
      <c r="BC157" s="32" t="inlineStr">
        <is>
          <t>LARGE CORP</t>
        </is>
      </c>
      <c r="BD157" s="32" t="inlineStr">
        <is>
          <t>28195667</t>
        </is>
      </c>
      <c r="BE157" s="32" t="n">
        <v>1</v>
      </c>
      <c r="BF157" s="32" t="inlineStr">
        <is>
          <t>financial by name list prints no totals</t>
        </is>
      </c>
    </row>
    <row r="158">
      <c r="A158" s="17" t="inlineStr">
        <is>
          <t>Brasfor Fundo De Investimento Em Direitos Creditorios Multisetorial</t>
        </is>
      </c>
      <c r="B158" s="18" t="n">
        <v>980674</v>
      </c>
      <c r="C158" s="19" t="inlineStr">
        <is>
          <t>Grupo Agromeal</t>
        </is>
      </c>
      <c r="D158" s="20" t="inlineStr">
        <is>
          <t>NEW</t>
        </is>
      </c>
      <c r="E158" s="21" t="inlineStr"/>
      <c r="F158" s="20" t="inlineStr"/>
      <c r="G158" s="21" t="inlineStr"/>
      <c r="H158" s="20" t="inlineStr"/>
      <c r="I158" s="22" t="inlineStr">
        <is>
          <t>Madalena Moraes</t>
        </is>
      </c>
      <c r="J158" s="22" t="inlineStr">
        <is>
          <t>Head de Crédito</t>
        </is>
      </c>
      <c r="K158" s="22" t="inlineStr"/>
      <c r="L158" s="22" t="inlineStr"/>
      <c r="M158" s="22" t="inlineStr"/>
      <c r="N158" s="22" t="inlineStr">
        <is>
          <t>madalena@grupobrasfor.com.br</t>
        </is>
      </c>
      <c r="O158" s="22" t="inlineStr">
        <is>
          <t>verified</t>
        </is>
      </c>
      <c r="P158" s="22" t="inlineStr">
        <is>
          <t>Juliano Pereira</t>
        </is>
      </c>
      <c r="Q158" s="22" t="inlineStr">
        <is>
          <t>Supervisor de Crédito</t>
        </is>
      </c>
      <c r="R158" s="22" t="inlineStr"/>
      <c r="S158" s="22" t="inlineStr">
        <is>
          <t>juliano@grupobrasfor.com.br</t>
        </is>
      </c>
      <c r="T158" s="22" t="inlineStr">
        <is>
          <t>DM: DM verified email; VERIFY org: Grupo Brasfor (originator/sponsor of Brasfor FIDC Multisetorial?); Grupo Brasfor Head de Crédito; org match to FIDC to verify; BACKUP: backup verified email</t>
        </is>
      </c>
      <c r="U158" s="24" t="n">
        <v>980674</v>
      </c>
      <c r="V158" s="25" t="inlineStr">
        <is>
          <t>B</t>
        </is>
      </c>
      <c r="W158" s="26" t="inlineStr"/>
      <c r="X158" s="27" t="inlineStr"/>
      <c r="Y158" s="27" t="inlineStr"/>
      <c r="Z158" s="26">
        <f>IF(W158&lt;&gt;"",W158,IFERROR(VLOOKUP(V158,Assumptions!$A$8:$F$12,2,FALSE),0))*Assumptions!$B$5</f>
        <v/>
      </c>
      <c r="AA158" s="28">
        <f>IF(V158="A",MAX(1,IF(X158&lt;&gt;"",X158,IFERROR(VLOOKUP(V158,Assumptions!$A$8:$F$12,3,FALSE),3))+IF(Y158&lt;&gt;"",Y158,IFERROR(VLOOKUP(V158,Assumptions!$A$8:$F$12,4,FALSE),8))/2-MAX(0,IF(AS158="",0,YEAR(TODAY())-AS158)-IFERROR(VLOOKUP(V158,Assumptions!$A$8:$F$12,5,FALSE),1.5))),IFERROR(VLOOKUP(V158,Assumptions!$A$8:$F$12,5,FALSE),2.5)+IF(X158&lt;&gt;"",X158,IFERROR(VLOOKUP(V158,Assumptions!$A$8:$F$12,3,FALSE),3))+IF(Y158&lt;&gt;"",Y158,IFERROR(VLOOKUP(V158,Assumptions!$A$8:$F$12,4,FALSE),8))/2)</f>
        <v/>
      </c>
      <c r="AB158" s="24">
        <f>U158*Z158/(1+Assumptions!$B$3)^AA158</f>
        <v/>
      </c>
      <c r="AC158" s="27">
        <f>IF(U158=0,"",ROUND(AB158/U158*100,1))</f>
        <v/>
      </c>
      <c r="AD158" s="29">
        <f>AB158*Assumptions!$B$4</f>
        <v/>
      </c>
      <c r="AE158" s="27">
        <f>IF(U158=0,"",ROUND(AD158/U158*100,1))</f>
        <v/>
      </c>
      <c r="AF158" s="29">
        <f>AB158-AD158</f>
        <v/>
      </c>
      <c r="AG158" s="27">
        <f>IF(U158=0,"",ROUND((AB158-AD158)/U158*100,1))</f>
        <v/>
      </c>
      <c r="AH158" s="35" t="inlineStr">
        <is>
          <t>PARTIAL — class III reconciled, other classes not</t>
        </is>
      </c>
      <c r="AI158" s="31" t="inlineStr">
        <is>
          <t>https://marquesadmjudicial.com.br/sgc/download.php?file=files/processo_documento/processo_documento17040729052024_1_.pdf&amp;nome=Relação Nominal de Credores AJ-Sintética</t>
        </is>
      </c>
      <c r="AJ158" s="30" t="inlineStr">
        <is>
          <t>p10 r10</t>
        </is>
      </c>
      <c r="AK158" s="30" t="inlineStr">
        <is>
          <t>p10: R$ 980.674,00</t>
        </is>
      </c>
      <c r="AL158" s="30" t="inlineStr">
        <is>
          <t>AJ list (art. 7 §2)</t>
        </is>
      </c>
      <c r="AM158" s="30" t="inlineStr">
        <is>
          <t>2024-05-27</t>
        </is>
      </c>
      <c r="AN158" s="30" t="inlineStr">
        <is>
          <t>NONE FOUND</t>
        </is>
      </c>
      <c r="AO158" s="32" t="inlineStr">
        <is>
          <t>0003971-03.2023.8.16.0119</t>
        </is>
      </c>
      <c r="AP158" s="32" t="inlineStr">
        <is>
          <t>TJPR</t>
        </is>
      </c>
      <c r="AQ158" s="32" t="inlineStr">
        <is>
          <t>Recuperação judicial</t>
        </is>
      </c>
      <c r="AR158" s="32" t="inlineStr">
        <is>
          <t>DataJud: no closure/falência movement</t>
        </is>
      </c>
      <c r="AS158" s="32" t="n">
        <v>2023</v>
      </c>
      <c r="AT158" s="32" t="inlineStr">
        <is>
          <t>live case, no plan document yet</t>
        </is>
      </c>
      <c r="AU158" s="32" t="inlineStr">
        <is>
          <t>11.624.776/0001-07</t>
        </is>
      </c>
      <c r="AV158" s="32" t="inlineStr">
        <is>
          <t>printed on the list (read twice)</t>
        </is>
      </c>
      <c r="AW158" s="32" t="inlineStr"/>
      <c r="AX158" s="32" t="inlineStr"/>
      <c r="AY158" s="32" t="inlineStr"/>
      <c r="AZ158" s="32" t="inlineStr"/>
      <c r="BA158" s="32" t="inlineStr"/>
      <c r="BB158" s="33" t="inlineStr"/>
      <c r="BC158" s="32" t="inlineStr">
        <is>
          <t>UNKNOWN</t>
        </is>
      </c>
      <c r="BD158" s="32" t="inlineStr">
        <is>
          <t>18862277</t>
        </is>
      </c>
      <c r="BE158" s="32" t="n">
        <v>1</v>
      </c>
      <c r="BF158" s="32" t="inlineStr">
        <is>
          <t>financial by name class III reconciled (doc partial) no RFB record</t>
        </is>
      </c>
    </row>
    <row r="159">
      <c r="A159" s="17" t="inlineStr">
        <is>
          <t>BANCO BRADESCO S.A.</t>
        </is>
      </c>
      <c r="B159" s="18" t="n">
        <v>947813.16</v>
      </c>
      <c r="C159" s="37" t="inlineStr">
        <is>
          <t>(debtor not identified — see proof)</t>
        </is>
      </c>
      <c r="D159" s="20" t="inlineStr">
        <is>
          <t>NEW</t>
        </is>
      </c>
      <c r="E159" s="21" t="inlineStr"/>
      <c r="F159" s="20" t="inlineStr"/>
      <c r="G159" s="21" t="inlineStr"/>
      <c r="H159" s="20" t="inlineStr"/>
      <c r="I159" s="22" t="inlineStr">
        <is>
          <t>Marcela Martins</t>
        </is>
      </c>
      <c r="J159" s="22" t="inlineStr">
        <is>
          <t>Superintendente de Recuperação de Crédito - Canais e Operações</t>
        </is>
      </c>
      <c r="K159" s="22" t="inlineStr">
        <is>
          <t>(11) 3684-5122</t>
        </is>
      </c>
      <c r="L159" s="22" t="inlineStr"/>
      <c r="M159" s="22" t="inlineStr"/>
      <c r="N159" s="22" t="inlineStr"/>
      <c r="O159" s="22" t="inlineStr"/>
      <c r="P159" s="22" t="inlineStr">
        <is>
          <t>Luis S</t>
        </is>
      </c>
      <c r="Q159" s="22" t="inlineStr">
        <is>
          <t>DRC - Departamento de Recuperação de Crédito - Gerente de Reestruturação de Crédito</t>
        </is>
      </c>
      <c r="R159" s="22" t="inlineStr"/>
      <c r="S159" s="22" t="inlineStr">
        <is>
          <t>sl@bradesco.com.br</t>
        </is>
      </c>
      <c r="T159" s="22" t="inlineStr">
        <is>
          <t>DM: DM; no work email in Apollo for DM; BACKUP: backup</t>
        </is>
      </c>
      <c r="U159" s="24" t="n">
        <v>947813.16</v>
      </c>
      <c r="V159" s="25" t="inlineStr">
        <is>
          <t>B</t>
        </is>
      </c>
      <c r="W159" s="26" t="inlineStr"/>
      <c r="X159" s="27" t="inlineStr"/>
      <c r="Y159" s="27" t="inlineStr"/>
      <c r="Z159" s="26">
        <f>IF(W159&lt;&gt;"",W159,IFERROR(VLOOKUP(V159,Assumptions!$A$8:$F$12,2,FALSE),0))*Assumptions!$B$5</f>
        <v/>
      </c>
      <c r="AA159" s="28">
        <f>IF(V159="A",MAX(1,IF(X159&lt;&gt;"",X159,IFERROR(VLOOKUP(V159,Assumptions!$A$8:$F$12,3,FALSE),3))+IF(Y159&lt;&gt;"",Y159,IFERROR(VLOOKUP(V159,Assumptions!$A$8:$F$12,4,FALSE),8))/2-MAX(0,IF(AS159="",0,YEAR(TODAY())-AS159)-IFERROR(VLOOKUP(V159,Assumptions!$A$8:$F$12,5,FALSE),1.5))),IFERROR(VLOOKUP(V159,Assumptions!$A$8:$F$12,5,FALSE),2.5)+IF(X159&lt;&gt;"",X159,IFERROR(VLOOKUP(V159,Assumptions!$A$8:$F$12,3,FALSE),3))+IF(Y159&lt;&gt;"",Y159,IFERROR(VLOOKUP(V159,Assumptions!$A$8:$F$12,4,FALSE),8))/2)</f>
        <v/>
      </c>
      <c r="AB159" s="24">
        <f>U159*Z159/(1+Assumptions!$B$3)^AA159</f>
        <v/>
      </c>
      <c r="AC159" s="27">
        <f>IF(U159=0,"",ROUND(AB159/U159*100,1))</f>
        <v/>
      </c>
      <c r="AD159" s="29">
        <f>AB159*Assumptions!$B$4</f>
        <v/>
      </c>
      <c r="AE159" s="27">
        <f>IF(U159=0,"",ROUND(AD159/U159*100,1))</f>
        <v/>
      </c>
      <c r="AF159" s="29">
        <f>AB159-AD159</f>
        <v/>
      </c>
      <c r="AG159" s="27">
        <f>IF(U159=0,"",ROUND((AB159-AD159)/U159*100,1))</f>
        <v/>
      </c>
      <c r="AH159" s="34" t="inlineStr">
        <is>
          <t>NO TOTALS — list prints none; check page</t>
        </is>
      </c>
      <c r="AI159" s="31" t="inlineStr">
        <is>
          <t>https://scalzilliaj.com.br/sgc/download.php?file=files/processo_documento/processo_documento15180810062026_1_.pdf&amp;nome=10 - Relação de credores do art. 7º, §2º, da Lei 11.101/2005</t>
        </is>
      </c>
      <c r="AJ159" s="30" t="inlineStr">
        <is>
          <t>p2 r26</t>
        </is>
      </c>
      <c r="AK159" s="30" t="inlineStr">
        <is>
          <t>p2: R$ 947.813,16</t>
        </is>
      </c>
      <c r="AL159" s="30" t="inlineStr">
        <is>
          <t>AJ list (art. 7 §2)</t>
        </is>
      </c>
      <c r="AM159" s="30" t="inlineStr"/>
      <c r="AN159" s="30" t="inlineStr">
        <is>
          <t>NONE FOUND</t>
        </is>
      </c>
      <c r="AO159" s="32" t="inlineStr">
        <is>
          <t>5009529-81.2025.8.24.0019</t>
        </is>
      </c>
      <c r="AP159" s="32" t="inlineStr">
        <is>
          <t>TJSC</t>
        </is>
      </c>
      <c r="AQ159" s="32" t="inlineStr"/>
      <c r="AR159" s="32" t="inlineStr">
        <is>
          <t>not in DataJud</t>
        </is>
      </c>
      <c r="AS159" s="32" t="n">
        <v>2025</v>
      </c>
      <c r="AT159" s="32" t="inlineStr">
        <is>
          <t>live case, no plan document yet; case no. from the portal record, not printed on the list</t>
        </is>
      </c>
      <c r="AU159" s="32" t="inlineStr"/>
      <c r="AV159" s="32" t="inlineStr">
        <is>
          <t>not identified</t>
        </is>
      </c>
      <c r="AW159" s="32" t="inlineStr"/>
      <c r="AX159" s="32" t="inlineStr">
        <is>
          <t>OSASCO</t>
        </is>
      </c>
      <c r="AY159" s="32" t="inlineStr">
        <is>
          <t>SP</t>
        </is>
      </c>
      <c r="AZ159" s="32" t="inlineStr">
        <is>
          <t>Bancos múltiplos, com carteira comercial</t>
        </is>
      </c>
      <c r="BA159" s="32" t="inlineStr">
        <is>
          <t>não ME/EPP</t>
        </is>
      </c>
      <c r="BB159" s="33" t="n">
        <v>93770000000</v>
      </c>
      <c r="BC159" s="32" t="inlineStr">
        <is>
          <t>LARGE CORP</t>
        </is>
      </c>
      <c r="BD159" s="32" t="inlineStr">
        <is>
          <t>60746948</t>
        </is>
      </c>
      <c r="BE159" s="32" t="n">
        <v>1</v>
      </c>
      <c r="BF159" s="32" t="inlineStr">
        <is>
          <t>financial by name list prints no totals</t>
        </is>
      </c>
    </row>
    <row r="160">
      <c r="A160" s="17" t="inlineStr">
        <is>
          <t>BANCO ITAUCARD S.A.</t>
        </is>
      </c>
      <c r="B160" s="18" t="n">
        <v>4133710.37</v>
      </c>
      <c r="C160" s="19" t="inlineStr">
        <is>
          <t>GRUPO 3E</t>
        </is>
      </c>
      <c r="D160" s="20" t="inlineStr">
        <is>
          <t>NEW</t>
        </is>
      </c>
      <c r="E160" s="21" t="inlineStr"/>
      <c r="F160" s="20" t="inlineStr"/>
      <c r="G160" s="21" t="inlineStr"/>
      <c r="H160" s="20" t="inlineStr"/>
      <c r="I160" s="22" t="inlineStr">
        <is>
          <t>RUBENS FOGLI NETTO</t>
        </is>
      </c>
      <c r="J160" s="23" t="inlineStr">
        <is>
          <t>Presidente (RFB partner)</t>
        </is>
      </c>
      <c r="K160" s="22" t="inlineStr">
        <is>
          <t>(11) 3003-4828</t>
        </is>
      </c>
      <c r="L160" s="22" t="inlineStr"/>
      <c r="M160" s="22" t="inlineStr"/>
      <c r="N160" s="22" t="inlineStr"/>
      <c r="O160" s="22" t="inlineStr"/>
      <c r="P160" s="22" t="inlineStr">
        <is>
          <t>ALBANO MANOEL ALMEIDA</t>
        </is>
      </c>
      <c r="Q160" s="22" t="inlineStr">
        <is>
          <t>Diretor (RFB partner)</t>
        </is>
      </c>
      <c r="R160" s="22" t="inlineStr"/>
      <c r="S160" s="22" t="inlineStr"/>
      <c r="T160" s="22" t="inlineStr">
        <is>
          <t>DM = registered partner (RFB QSA); no Apollo match</t>
        </is>
      </c>
      <c r="U160" s="24" t="n">
        <v>4133710.37</v>
      </c>
      <c r="V160" s="25" t="inlineStr">
        <is>
          <t>B</t>
        </is>
      </c>
      <c r="W160" s="26" t="n">
        <v>0.12</v>
      </c>
      <c r="X160" s="27" t="n">
        <v>2</v>
      </c>
      <c r="Y160" s="27" t="n">
        <v>13</v>
      </c>
      <c r="Z160" s="26">
        <f>IF(W160&lt;&gt;"",W160,IFERROR(VLOOKUP(V160,Assumptions!$A$8:$F$12,2,FALSE),0))*Assumptions!$B$5</f>
        <v/>
      </c>
      <c r="AA160" s="28">
        <f>IF(V160="A",MAX(1,IF(X160&lt;&gt;"",X160,IFERROR(VLOOKUP(V160,Assumptions!$A$8:$F$12,3,FALSE),3))+IF(Y160&lt;&gt;"",Y160,IFERROR(VLOOKUP(V160,Assumptions!$A$8:$F$12,4,FALSE),8))/2-MAX(0,IF(AS160="",0,YEAR(TODAY())-AS160)-IFERROR(VLOOKUP(V160,Assumptions!$A$8:$F$12,5,FALSE),1.5))),IFERROR(VLOOKUP(V160,Assumptions!$A$8:$F$12,5,FALSE),2.5)+IF(X160&lt;&gt;"",X160,IFERROR(VLOOKUP(V160,Assumptions!$A$8:$F$12,3,FALSE),3))+IF(Y160&lt;&gt;"",Y160,IFERROR(VLOOKUP(V160,Assumptions!$A$8:$F$12,4,FALSE),8))/2)</f>
        <v/>
      </c>
      <c r="AB160" s="24">
        <f>U160*Z160/(1+Assumptions!$B$3)^AA160</f>
        <v/>
      </c>
      <c r="AC160" s="27">
        <f>IF(U160=0,"",ROUND(AB160/U160*100,1))</f>
        <v/>
      </c>
      <c r="AD160" s="29">
        <f>AB160*Assumptions!$B$4</f>
        <v/>
      </c>
      <c r="AE160" s="27">
        <f>IF(U160=0,"",ROUND(AD160/U160*100,1))</f>
        <v/>
      </c>
      <c r="AF160" s="29">
        <f>AB160-AD160</f>
        <v/>
      </c>
      <c r="AG160" s="27">
        <f>IF(U160=0,"",ROUND((AB160-AD160)/U160*100,1))</f>
        <v/>
      </c>
      <c r="AH160" s="34" t="inlineStr">
        <is>
          <t>NO TOTALS — list prints none; check page</t>
        </is>
      </c>
      <c r="AI160" s="31" t="inlineStr">
        <is>
          <t>https://stenius.com.br/wp-content/uploads/2026/06/EDITAL-GRUPO-3E.pdf</t>
        </is>
      </c>
      <c r="AJ160" s="30" t="inlineStr">
        <is>
          <t>p14 r64</t>
        </is>
      </c>
      <c r="AK160" s="30" t="inlineStr">
        <is>
          <t>p14: R$ 4.133.710,37</t>
        </is>
      </c>
      <c r="AL160" s="30" t="inlineStr">
        <is>
          <t>Debtor list (art. 51)</t>
        </is>
      </c>
      <c r="AM160" s="30" t="inlineStr">
        <is>
          <t>2026-06-22</t>
        </is>
      </c>
      <c r="AN160" s="30" t="inlineStr">
        <is>
          <t>PLAN FILED (art. 53), not granted</t>
        </is>
      </c>
      <c r="AO160" s="32" t="inlineStr">
        <is>
          <t>5341375-33.2026.8.09.0049</t>
        </is>
      </c>
      <c r="AP160" s="32" t="inlineStr">
        <is>
          <t>TJGO</t>
        </is>
      </c>
      <c r="AQ160" s="32" t="inlineStr">
        <is>
          <t>Recuperação judicial</t>
        </is>
      </c>
      <c r="AR160" s="32" t="inlineStr">
        <is>
          <t>DataJud: no closure/falência movement</t>
        </is>
      </c>
      <c r="AS160" s="32" t="n">
        <v>2026</v>
      </c>
      <c r="AT160" s="32" t="inlineStr">
        <is>
          <t>plan filed (art. 53), not yet granted</t>
        </is>
      </c>
      <c r="AU160" s="32" t="inlineStr"/>
      <c r="AV160" s="32" t="inlineStr">
        <is>
          <t>printed on the list (read twice)</t>
        </is>
      </c>
      <c r="AW160" s="32" t="inlineStr">
        <is>
          <t>Plano de Recuperação Judicial Grupo 3E v2.0 (Métis), mov. 321, pp.24-25</t>
        </is>
      </c>
      <c r="AX160" s="32" t="inlineStr">
        <is>
          <t>SAO PAULO</t>
        </is>
      </c>
      <c r="AY160" s="32" t="inlineStr">
        <is>
          <t>SP</t>
        </is>
      </c>
      <c r="AZ160" s="32" t="inlineStr">
        <is>
          <t>Bancos múltiplos, sem carteira comercial</t>
        </is>
      </c>
      <c r="BA160" s="32" t="inlineStr">
        <is>
          <t>não ME/EPP</t>
        </is>
      </c>
      <c r="BB160" s="33" t="n">
        <v>50000000</v>
      </c>
      <c r="BC160" s="32" t="inlineStr">
        <is>
          <t>MID-MARKET</t>
        </is>
      </c>
      <c r="BD160" s="32" t="inlineStr">
        <is>
          <t>17192451</t>
        </is>
      </c>
      <c r="BE160" s="32" t="n">
        <v>1</v>
      </c>
      <c r="BF160" s="32" t="inlineStr">
        <is>
          <t>list prints no totals</t>
        </is>
      </c>
    </row>
    <row r="161">
      <c r="A161" s="17" t="inlineStr">
        <is>
          <t>DANIELE MÚLTIPLO FUNDO DE INVESTIMENTO EM DIREITOS CREDITÓRIOS – NÃO PADRONIZADOS</t>
        </is>
      </c>
      <c r="B161" s="18" t="n">
        <v>926408.5</v>
      </c>
      <c r="C161" s="19" t="inlineStr">
        <is>
          <t>Grupo Conduscabos</t>
        </is>
      </c>
      <c r="D161" s="20" t="inlineStr">
        <is>
          <t>NEW</t>
        </is>
      </c>
      <c r="E161" s="21" t="inlineStr"/>
      <c r="F161" s="20" t="inlineStr"/>
      <c r="G161" s="21" t="inlineStr"/>
      <c r="H161" s="20" t="inlineStr"/>
      <c r="I161" s="22" t="inlineStr"/>
      <c r="J161" s="22" t="inlineStr"/>
      <c r="K161" s="22" t="inlineStr"/>
      <c r="L161" s="22" t="inlineStr"/>
      <c r="M161" s="22" t="inlineStr"/>
      <c r="N161" s="22" t="inlineStr"/>
      <c r="O161" s="22" t="inlineStr"/>
      <c r="P161" s="22" t="inlineStr"/>
      <c r="Q161" s="22" t="inlineStr"/>
      <c r="R161" s="22" t="inlineStr"/>
      <c r="S161" s="22" t="inlineStr"/>
      <c r="T161" s="22" t="inlineStr">
        <is>
          <t>no named contact found; NO ROUTE IN: no phone or email on file</t>
        </is>
      </c>
      <c r="U161" s="24" t="n">
        <v>926408.5</v>
      </c>
      <c r="V161" s="25" t="inlineStr">
        <is>
          <t>B</t>
        </is>
      </c>
      <c r="W161" s="26" t="inlineStr"/>
      <c r="X161" s="27" t="inlineStr"/>
      <c r="Y161" s="27" t="inlineStr"/>
      <c r="Z161" s="26">
        <f>IF(W161&lt;&gt;"",W161,IFERROR(VLOOKUP(V161,Assumptions!$A$8:$F$12,2,FALSE),0))*Assumptions!$B$5</f>
        <v/>
      </c>
      <c r="AA161" s="28">
        <f>IF(V161="A",MAX(1,IF(X161&lt;&gt;"",X161,IFERROR(VLOOKUP(V161,Assumptions!$A$8:$F$12,3,FALSE),3))+IF(Y161&lt;&gt;"",Y161,IFERROR(VLOOKUP(V161,Assumptions!$A$8:$F$12,4,FALSE),8))/2-MAX(0,IF(AS161="",0,YEAR(TODAY())-AS161)-IFERROR(VLOOKUP(V161,Assumptions!$A$8:$F$12,5,FALSE),1.5))),IFERROR(VLOOKUP(V161,Assumptions!$A$8:$F$12,5,FALSE),2.5)+IF(X161&lt;&gt;"",X161,IFERROR(VLOOKUP(V161,Assumptions!$A$8:$F$12,3,FALSE),3))+IF(Y161&lt;&gt;"",Y161,IFERROR(VLOOKUP(V161,Assumptions!$A$8:$F$12,4,FALSE),8))/2)</f>
        <v/>
      </c>
      <c r="AB161" s="24">
        <f>U161*Z161/(1+Assumptions!$B$3)^AA161</f>
        <v/>
      </c>
      <c r="AC161" s="27">
        <f>IF(U161=0,"",ROUND(AB161/U161*100,1))</f>
        <v/>
      </c>
      <c r="AD161" s="29">
        <f>AB161*Assumptions!$B$4</f>
        <v/>
      </c>
      <c r="AE161" s="27">
        <f>IF(U161=0,"",ROUND(AD161/U161*100,1))</f>
        <v/>
      </c>
      <c r="AF161" s="29">
        <f>AB161-AD161</f>
        <v/>
      </c>
      <c r="AG161" s="27">
        <f>IF(U161=0,"",ROUND((AB161-AD161)/U161*100,1))</f>
        <v/>
      </c>
      <c r="AH161" s="34" t="inlineStr">
        <is>
          <t>NO TOTALS — list prints none; check page</t>
        </is>
      </c>
      <c r="AI161" s="31" t="inlineStr">
        <is>
          <t>https://assistjud.com.br/wp-content/uploads/elementor/forms/65098c80a5824.pdf</t>
        </is>
      </c>
      <c r="AJ161" s="30" t="inlineStr">
        <is>
          <t>p7 r1</t>
        </is>
      </c>
      <c r="AK161" s="30" t="inlineStr">
        <is>
          <t>p7: R$ 926.408,50</t>
        </is>
      </c>
      <c r="AL161" s="30" t="inlineStr">
        <is>
          <t>AJ list (art. 7 §2)</t>
        </is>
      </c>
      <c r="AM161" s="30" t="inlineStr">
        <is>
          <t>2023-09-18</t>
        </is>
      </c>
      <c r="AN161" s="30" t="inlineStr">
        <is>
          <t>NONE FOUND</t>
        </is>
      </c>
      <c r="AO161" s="32" t="inlineStr">
        <is>
          <t>8005129-09.2023.8.05.0039</t>
        </is>
      </c>
      <c r="AP161" s="32" t="inlineStr">
        <is>
          <t>TJBA</t>
        </is>
      </c>
      <c r="AQ161" s="32" t="inlineStr">
        <is>
          <t>Recuperação judicial</t>
        </is>
      </c>
      <c r="AR161" s="32" t="inlineStr">
        <is>
          <t>DataJud: no closure/falência movement</t>
        </is>
      </c>
      <c r="AS161" s="32" t="n">
        <v>2023</v>
      </c>
      <c r="AT161" s="32" t="inlineStr">
        <is>
          <t>live case, no plan document yet</t>
        </is>
      </c>
      <c r="AU161" s="32" t="inlineStr"/>
      <c r="AV161" s="32" t="inlineStr">
        <is>
          <t>printed on the list (read twice)</t>
        </is>
      </c>
      <c r="AW161" s="32" t="inlineStr"/>
      <c r="AX161" s="32" t="inlineStr"/>
      <c r="AY161" s="32" t="inlineStr"/>
      <c r="AZ161" s="32" t="inlineStr"/>
      <c r="BA161" s="32" t="inlineStr"/>
      <c r="BB161" s="33" t="inlineStr"/>
      <c r="BC161" s="32" t="inlineStr">
        <is>
          <t>UNKNOWN</t>
        </is>
      </c>
      <c r="BD161" s="32" t="inlineStr">
        <is>
          <t>09414255</t>
        </is>
      </c>
      <c r="BE161" s="32" t="n">
        <v>1</v>
      </c>
      <c r="BF161" s="32" t="inlineStr">
        <is>
          <t>financial by name list prints no totals no RFB record no route in</t>
        </is>
      </c>
    </row>
    <row r="162">
      <c r="A162" s="17" t="inlineStr">
        <is>
          <t>BANCO SAFRA S A</t>
        </is>
      </c>
      <c r="B162" s="18" t="n">
        <v>3576397.17</v>
      </c>
      <c r="C162" s="19" t="inlineStr">
        <is>
          <t>FORMAPLAN FORMAS PLANEJADAS INDÚSTRIA E COMÉRCIO LTDA</t>
        </is>
      </c>
      <c r="D162" s="20" t="inlineStr">
        <is>
          <t>NEW</t>
        </is>
      </c>
      <c r="E162" s="21" t="inlineStr"/>
      <c r="F162" s="20" t="inlineStr"/>
      <c r="G162" s="21" t="inlineStr"/>
      <c r="H162" s="20" t="inlineStr"/>
      <c r="I162" s="22" t="inlineStr">
        <is>
          <t>Vanessa Biotti</t>
        </is>
      </c>
      <c r="J162" s="22" t="inlineStr">
        <is>
          <t>Gerente de Recuperação de Crédito</t>
        </is>
      </c>
      <c r="K162" s="22" t="inlineStr">
        <is>
          <t>(11) 3175-7575</t>
        </is>
      </c>
      <c r="L162" s="22" t="inlineStr"/>
      <c r="M162" s="22" t="inlineStr"/>
      <c r="N162" s="22" t="inlineStr">
        <is>
          <t>vanessa.biotti@safra.com.br</t>
        </is>
      </c>
      <c r="O162" s="22" t="inlineStr">
        <is>
          <t>verified</t>
        </is>
      </c>
      <c r="P162" s="22" t="inlineStr">
        <is>
          <t>Rodrigo Anjos</t>
        </is>
      </c>
      <c r="Q162" s="22" t="inlineStr">
        <is>
          <t>Advogado Sênior - Jurídico Contencioso - Recuperação de Crédito - NPL</t>
        </is>
      </c>
      <c r="R162" s="22" t="inlineStr"/>
      <c r="S162" s="22" t="inlineStr">
        <is>
          <t>rodrigo.anjos@safra.com.br</t>
        </is>
      </c>
      <c r="T162" s="22" t="inlineStr">
        <is>
          <t>DM: DM verified email; BACKUP: backup verified email (NPL legal)</t>
        </is>
      </c>
      <c r="U162" s="24" t="n">
        <v>3576397.17</v>
      </c>
      <c r="V162" s="39" t="inlineStr">
        <is>
          <t>C</t>
        </is>
      </c>
      <c r="W162" s="26" t="inlineStr"/>
      <c r="X162" s="27" t="inlineStr"/>
      <c r="Y162" s="27" t="inlineStr"/>
      <c r="Z162" s="26">
        <f>IF(W162&lt;&gt;"",W162,IFERROR(VLOOKUP(V162,Assumptions!$A$8:$F$12,2,FALSE),0))*Assumptions!$B$5</f>
        <v/>
      </c>
      <c r="AA162" s="28">
        <f>IF(V162="A",MAX(1,IF(X162&lt;&gt;"",X162,IFERROR(VLOOKUP(V162,Assumptions!$A$8:$F$12,3,FALSE),3))+IF(Y162&lt;&gt;"",Y162,IFERROR(VLOOKUP(V162,Assumptions!$A$8:$F$12,4,FALSE),8))/2-MAX(0,IF(AS162="",0,YEAR(TODAY())-AS162)-IFERROR(VLOOKUP(V162,Assumptions!$A$8:$F$12,5,FALSE),1.5))),IFERROR(VLOOKUP(V162,Assumptions!$A$8:$F$12,5,FALSE),2.5)+IF(X162&lt;&gt;"",X162,IFERROR(VLOOKUP(V162,Assumptions!$A$8:$F$12,3,FALSE),3))+IF(Y162&lt;&gt;"",Y162,IFERROR(VLOOKUP(V162,Assumptions!$A$8:$F$12,4,FALSE),8))/2)</f>
        <v/>
      </c>
      <c r="AB162" s="24">
        <f>U162*Z162/(1+Assumptions!$B$3)^AA162</f>
        <v/>
      </c>
      <c r="AC162" s="27">
        <f>IF(U162=0,"",ROUND(AB162/U162*100,1))</f>
        <v/>
      </c>
      <c r="AD162" s="29">
        <f>AB162*Assumptions!$B$4</f>
        <v/>
      </c>
      <c r="AE162" s="27">
        <f>IF(U162=0,"",ROUND(AD162/U162*100,1))</f>
        <v/>
      </c>
      <c r="AF162" s="29">
        <f>AB162-AD162</f>
        <v/>
      </c>
      <c r="AG162" s="27">
        <f>IF(U162=0,"",ROUND((AB162-AD162)/U162*100,1))</f>
        <v/>
      </c>
      <c r="AH162" s="35" t="inlineStr">
        <is>
          <t>PARTIAL — class III reconciled, other classes not</t>
        </is>
      </c>
      <c r="AI162" s="31" t="inlineStr">
        <is>
          <t>https://marquesadmjudicial.com.br/sgc/download.php?file=files/processo_documento/processo_documento15232121112024_1_.pdf&amp;nome=Relação de Credores</t>
        </is>
      </c>
      <c r="AJ162" s="30" t="inlineStr">
        <is>
          <t>p13 r9</t>
        </is>
      </c>
      <c r="AK162" s="30" t="inlineStr">
        <is>
          <t>p13: R$ 3.576.397,17</t>
        </is>
      </c>
      <c r="AL162" s="30" t="inlineStr">
        <is>
          <t>AJ list (art. 7 §2)</t>
        </is>
      </c>
      <c r="AM162" s="30" t="inlineStr">
        <is>
          <t>2021-01-22</t>
        </is>
      </c>
      <c r="AN162" s="30" t="inlineStr">
        <is>
          <t>NONE FOUND</t>
        </is>
      </c>
      <c r="AO162" s="32" t="inlineStr">
        <is>
          <t>0000410-68.2021.8.16.0174</t>
        </is>
      </c>
      <c r="AP162" s="32" t="inlineStr">
        <is>
          <t>TJPR</t>
        </is>
      </c>
      <c r="AQ162" s="32" t="inlineStr">
        <is>
          <t>Recuperação judicial</t>
        </is>
      </c>
      <c r="AR162" s="32" t="inlineStr">
        <is>
          <t>DataJud: no closure/falência movement</t>
        </is>
      </c>
      <c r="AS162" s="32" t="n">
        <v>2021</v>
      </c>
      <c r="AT162" s="32" t="inlineStr">
        <is>
          <t>5y since filing; plan not in our documents</t>
        </is>
      </c>
      <c r="AU162" s="32" t="inlineStr">
        <is>
          <t>00.262.371/0001-41</t>
        </is>
      </c>
      <c r="AV162" s="32" t="inlineStr">
        <is>
          <t>printed on the list (read twice)</t>
        </is>
      </c>
      <c r="AW162" s="32" t="inlineStr"/>
      <c r="AX162" s="32" t="inlineStr">
        <is>
          <t>SAO PAULO</t>
        </is>
      </c>
      <c r="AY162" s="32" t="inlineStr">
        <is>
          <t>SP</t>
        </is>
      </c>
      <c r="AZ162" s="32" t="inlineStr">
        <is>
          <t>Bancos múltiplos, com carteira comercial</t>
        </is>
      </c>
      <c r="BA162" s="32" t="inlineStr">
        <is>
          <t>não ME/EPP</t>
        </is>
      </c>
      <c r="BB162" s="33" t="n">
        <v>13924903000</v>
      </c>
      <c r="BC162" s="32" t="inlineStr">
        <is>
          <t>LARGE CORP</t>
        </is>
      </c>
      <c r="BD162" s="32" t="inlineStr">
        <is>
          <t>58160789</t>
        </is>
      </c>
      <c r="BE162" s="32" t="n">
        <v>1</v>
      </c>
      <c r="BF162" s="32" t="inlineStr">
        <is>
          <t>financial by name class III reconciled (doc partial)</t>
        </is>
      </c>
    </row>
    <row r="163">
      <c r="A163" s="17" t="inlineStr">
        <is>
          <t>BANCO FIBRA SA</t>
        </is>
      </c>
      <c r="B163" s="18" t="n">
        <v>912282.02</v>
      </c>
      <c r="C163" s="19" t="inlineStr">
        <is>
          <t>Grupo Rech</t>
        </is>
      </c>
      <c r="D163" s="20" t="inlineStr">
        <is>
          <t>NEW</t>
        </is>
      </c>
      <c r="E163" s="21" t="inlineStr"/>
      <c r="F163" s="20" t="inlineStr"/>
      <c r="G163" s="21" t="inlineStr"/>
      <c r="H163" s="20" t="inlineStr"/>
      <c r="I163" s="22" t="inlineStr">
        <is>
          <t>Carlota Schwarz</t>
        </is>
      </c>
      <c r="J163" s="22" t="inlineStr">
        <is>
          <t>Superintendente de Reestruturação de Crédito</t>
        </is>
      </c>
      <c r="K163" s="22" t="inlineStr">
        <is>
          <t>(11) 3847-6943</t>
        </is>
      </c>
      <c r="L163" s="22" t="inlineStr"/>
      <c r="M163" s="22" t="inlineStr"/>
      <c r="N163" s="22" t="inlineStr">
        <is>
          <t>carlota.schwarz@bancofibra.com.br</t>
        </is>
      </c>
      <c r="O163" s="22" t="inlineStr">
        <is>
          <t>verified</t>
        </is>
      </c>
      <c r="P163" s="22" t="inlineStr">
        <is>
          <t>Augusto Cardoso</t>
        </is>
      </c>
      <c r="Q163" s="22" t="inlineStr">
        <is>
          <t>Gerente de Recuperação de Crédito e Cobrança</t>
        </is>
      </c>
      <c r="R163" s="22" t="inlineStr"/>
      <c r="S163" s="22" t="inlineStr">
        <is>
          <t>acardoso@bancofibra.com.br</t>
        </is>
      </c>
      <c r="T163" s="22" t="inlineStr">
        <is>
          <t>DM: DM; BACKUP: backup</t>
        </is>
      </c>
      <c r="U163" s="24" t="n">
        <v>912282.02</v>
      </c>
      <c r="V163" s="25" t="inlineStr">
        <is>
          <t>B</t>
        </is>
      </c>
      <c r="W163" s="26" t="inlineStr"/>
      <c r="X163" s="27" t="inlineStr"/>
      <c r="Y163" s="27" t="inlineStr"/>
      <c r="Z163" s="26">
        <f>IF(W163&lt;&gt;"",W163,IFERROR(VLOOKUP(V163,Assumptions!$A$8:$F$12,2,FALSE),0))*Assumptions!$B$5</f>
        <v/>
      </c>
      <c r="AA163" s="28">
        <f>IF(V163="A",MAX(1,IF(X163&lt;&gt;"",X163,IFERROR(VLOOKUP(V163,Assumptions!$A$8:$F$12,3,FALSE),3))+IF(Y163&lt;&gt;"",Y163,IFERROR(VLOOKUP(V163,Assumptions!$A$8:$F$12,4,FALSE),8))/2-MAX(0,IF(AS163="",0,YEAR(TODAY())-AS163)-IFERROR(VLOOKUP(V163,Assumptions!$A$8:$F$12,5,FALSE),1.5))),IFERROR(VLOOKUP(V163,Assumptions!$A$8:$F$12,5,FALSE),2.5)+IF(X163&lt;&gt;"",X163,IFERROR(VLOOKUP(V163,Assumptions!$A$8:$F$12,3,FALSE),3))+IF(Y163&lt;&gt;"",Y163,IFERROR(VLOOKUP(V163,Assumptions!$A$8:$F$12,4,FALSE),8))/2)</f>
        <v/>
      </c>
      <c r="AB163" s="24">
        <f>U163*Z163/(1+Assumptions!$B$3)^AA163</f>
        <v/>
      </c>
      <c r="AC163" s="27">
        <f>IF(U163=0,"",ROUND(AB163/U163*100,1))</f>
        <v/>
      </c>
      <c r="AD163" s="29">
        <f>AB163*Assumptions!$B$4</f>
        <v/>
      </c>
      <c r="AE163" s="27">
        <f>IF(U163=0,"",ROUND(AD163/U163*100,1))</f>
        <v/>
      </c>
      <c r="AF163" s="29">
        <f>AB163-AD163</f>
        <v/>
      </c>
      <c r="AG163" s="27">
        <f>IF(U163=0,"",ROUND((AB163-AD163)/U163*100,1))</f>
        <v/>
      </c>
      <c r="AH163" s="36" t="inlineStr">
        <is>
          <t>CHECK — source is not a statutory creditor list</t>
        </is>
      </c>
      <c r="AI163" s="31" t="inlineStr">
        <is>
          <t>https://credibilita.com.br/wp-content/uploads/2025/09/Relacao-Credores-29.04.2026.pdf</t>
        </is>
      </c>
      <c r="AJ163" s="30" t="inlineStr">
        <is>
          <t>p1 r11</t>
        </is>
      </c>
      <c r="AK163" s="30" t="inlineStr">
        <is>
          <t>p1: R$ 912.282,02</t>
        </is>
      </c>
      <c r="AL163" s="30" t="inlineStr">
        <is>
          <t>Quorum list — NOT an art. 7/51 list</t>
        </is>
      </c>
      <c r="AM163" s="30" t="inlineStr"/>
      <c r="AN163" s="30" t="inlineStr">
        <is>
          <t>NONE FOUND</t>
        </is>
      </c>
      <c r="AO163" s="32" t="inlineStr">
        <is>
          <t>5057720-48.2025.8.24.0023</t>
        </is>
      </c>
      <c r="AP163" s="32" t="inlineStr">
        <is>
          <t>TJSC</t>
        </is>
      </c>
      <c r="AQ163" s="32" t="inlineStr"/>
      <c r="AR163" s="32" t="inlineStr">
        <is>
          <t>not in DataJud</t>
        </is>
      </c>
      <c r="AS163" s="32" t="n">
        <v>2025</v>
      </c>
      <c r="AT163" s="32" t="inlineStr">
        <is>
          <t>live case, no plan document yet; case no. from the portal record, not printed on the list</t>
        </is>
      </c>
      <c r="AU163" s="32" t="inlineStr"/>
      <c r="AV163" s="32" t="inlineStr">
        <is>
          <t>portal page title / URL — not printed on the list</t>
        </is>
      </c>
      <c r="AW163" s="32" t="inlineStr"/>
      <c r="AX163" s="32" t="inlineStr">
        <is>
          <t>SAO PAULO</t>
        </is>
      </c>
      <c r="AY163" s="32" t="inlineStr">
        <is>
          <t>SP</t>
        </is>
      </c>
      <c r="AZ163" s="32" t="inlineStr">
        <is>
          <t>Bancos múltiplos, com carteira comercial</t>
        </is>
      </c>
      <c r="BA163" s="32" t="inlineStr">
        <is>
          <t>não ME/EPP</t>
        </is>
      </c>
      <c r="BB163" s="33" t="n">
        <v>1207776000</v>
      </c>
      <c r="BC163" s="32" t="inlineStr">
        <is>
          <t>LARGE CORP</t>
        </is>
      </c>
      <c r="BD163" s="32" t="inlineStr">
        <is>
          <t>58616418</t>
        </is>
      </c>
      <c r="BE163" s="32" t="n">
        <v>1</v>
      </c>
      <c r="BF163" s="32" t="inlineStr">
        <is>
          <t>list prints no totals case no. corrected by reader</t>
        </is>
      </c>
    </row>
    <row r="164">
      <c r="A164" s="17" t="inlineStr">
        <is>
          <t>BANCO BRADESCO S.A.</t>
        </is>
      </c>
      <c r="B164" s="18" t="n">
        <v>895288.95</v>
      </c>
      <c r="C164" s="19" t="inlineStr">
        <is>
          <t>JA SANTOS IMPORTACAO E EXPORTACAO DE FERRAMENTAS LTDA</t>
        </is>
      </c>
      <c r="D164" s="20" t="inlineStr">
        <is>
          <t>NEW</t>
        </is>
      </c>
      <c r="E164" s="21" t="inlineStr"/>
      <c r="F164" s="20" t="inlineStr"/>
      <c r="G164" s="21" t="inlineStr"/>
      <c r="H164" s="20" t="inlineStr"/>
      <c r="I164" s="22" t="inlineStr">
        <is>
          <t>Marcela Martins</t>
        </is>
      </c>
      <c r="J164" s="22" t="inlineStr">
        <is>
          <t>Superintendente de Recuperação de Crédito - Canais e Operações</t>
        </is>
      </c>
      <c r="K164" s="22" t="inlineStr">
        <is>
          <t>(11) 3684-5122</t>
        </is>
      </c>
      <c r="L164" s="22" t="inlineStr"/>
      <c r="M164" s="22" t="inlineStr"/>
      <c r="N164" s="22" t="inlineStr"/>
      <c r="O164" s="22" t="inlineStr"/>
      <c r="P164" s="22" t="inlineStr">
        <is>
          <t>Luis S</t>
        </is>
      </c>
      <c r="Q164" s="22" t="inlineStr">
        <is>
          <t>DRC - Departamento de Recuperação de Crédito - Gerente de Reestruturação de Crédito</t>
        </is>
      </c>
      <c r="R164" s="22" t="inlineStr"/>
      <c r="S164" s="22" t="inlineStr">
        <is>
          <t>sl@bradesco.com.br</t>
        </is>
      </c>
      <c r="T164" s="22" t="inlineStr">
        <is>
          <t>DM: DM; no work email in Apollo for DM; BACKUP: backup</t>
        </is>
      </c>
      <c r="U164" s="24" t="n">
        <v>895288.95</v>
      </c>
      <c r="V164" s="25" t="inlineStr">
        <is>
          <t>B</t>
        </is>
      </c>
      <c r="W164" s="26" t="inlineStr"/>
      <c r="X164" s="27" t="inlineStr"/>
      <c r="Y164" s="27" t="inlineStr"/>
      <c r="Z164" s="26">
        <f>IF(W164&lt;&gt;"",W164,IFERROR(VLOOKUP(V164,Assumptions!$A$8:$F$12,2,FALSE),0))*Assumptions!$B$5</f>
        <v/>
      </c>
      <c r="AA164" s="28">
        <f>IF(V164="A",MAX(1,IF(X164&lt;&gt;"",X164,IFERROR(VLOOKUP(V164,Assumptions!$A$8:$F$12,3,FALSE),3))+IF(Y164&lt;&gt;"",Y164,IFERROR(VLOOKUP(V164,Assumptions!$A$8:$F$12,4,FALSE),8))/2-MAX(0,IF(AS164="",0,YEAR(TODAY())-AS164)-IFERROR(VLOOKUP(V164,Assumptions!$A$8:$F$12,5,FALSE),1.5))),IFERROR(VLOOKUP(V164,Assumptions!$A$8:$F$12,5,FALSE),2.5)+IF(X164&lt;&gt;"",X164,IFERROR(VLOOKUP(V164,Assumptions!$A$8:$F$12,3,FALSE),3))+IF(Y164&lt;&gt;"",Y164,IFERROR(VLOOKUP(V164,Assumptions!$A$8:$F$12,4,FALSE),8))/2)</f>
        <v/>
      </c>
      <c r="AB164" s="24">
        <f>U164*Z164/(1+Assumptions!$B$3)^AA164</f>
        <v/>
      </c>
      <c r="AC164" s="27">
        <f>IF(U164=0,"",ROUND(AB164/U164*100,1))</f>
        <v/>
      </c>
      <c r="AD164" s="29">
        <f>AB164*Assumptions!$B$4</f>
        <v/>
      </c>
      <c r="AE164" s="27">
        <f>IF(U164=0,"",ROUND(AD164/U164*100,1))</f>
        <v/>
      </c>
      <c r="AF164" s="29">
        <f>AB164-AD164</f>
        <v/>
      </c>
      <c r="AG164" s="27">
        <f>IF(U164=0,"",ROUND((AB164-AD164)/U164*100,1))</f>
        <v/>
      </c>
      <c r="AH164" s="30" t="inlineStr">
        <is>
          <t>OK — totals reconciled</t>
        </is>
      </c>
      <c r="AI164" s="31" t="inlineStr">
        <is>
          <t>https://vivanteaj.com.br/wp-content/uploads/2024/11/1a-lista-de-credores-JA-Santos.pdf</t>
        </is>
      </c>
      <c r="AJ164" s="30" t="inlineStr">
        <is>
          <t>p1 r5; p1 r6</t>
        </is>
      </c>
      <c r="AK164" s="30" t="inlineStr">
        <is>
          <t>p1: R$ 300.000,00; p1: R$ 595.288,95</t>
        </is>
      </c>
      <c r="AL164" s="30" t="inlineStr">
        <is>
          <t>Unclassified list</t>
        </is>
      </c>
      <c r="AM164" s="30" t="inlineStr">
        <is>
          <t>2022-11-02</t>
        </is>
      </c>
      <c r="AN164" s="30" t="inlineStr">
        <is>
          <t>PLAN FILED (art. 53), not granted</t>
        </is>
      </c>
      <c r="AO164" s="32" t="inlineStr">
        <is>
          <t>1018313-46.2024.8.26.0100</t>
        </is>
      </c>
      <c r="AP164" s="32" t="inlineStr">
        <is>
          <t>TJSP</t>
        </is>
      </c>
      <c r="AQ164" s="32" t="inlineStr">
        <is>
          <t>Recuperação judicial</t>
        </is>
      </c>
      <c r="AR164" s="32" t="inlineStr">
        <is>
          <t>DataJud: no closure/falência movement</t>
        </is>
      </c>
      <c r="AS164" s="32" t="n">
        <v>2024</v>
      </c>
      <c r="AT164" s="32" t="inlineStr">
        <is>
          <t>plan filed (art. 53), not yet granted; case no. from the portal record, not printed on the list</t>
        </is>
      </c>
      <c r="AU164" s="32" t="inlineStr">
        <is>
          <t>15.408.785/0001-03</t>
        </is>
      </c>
      <c r="AV164" s="32" t="inlineStr">
        <is>
          <t>printed on the list (read twice)</t>
        </is>
      </c>
      <c r="AW164" s="32" t="inlineStr"/>
      <c r="AX164" s="32" t="inlineStr">
        <is>
          <t>OSASCO</t>
        </is>
      </c>
      <c r="AY164" s="32" t="inlineStr">
        <is>
          <t>SP</t>
        </is>
      </c>
      <c r="AZ164" s="32" t="inlineStr">
        <is>
          <t>Bancos múltiplos, com carteira comercial</t>
        </is>
      </c>
      <c r="BA164" s="32" t="inlineStr">
        <is>
          <t>não ME/EPP</t>
        </is>
      </c>
      <c r="BB164" s="33" t="n">
        <v>93770000000</v>
      </c>
      <c r="BC164" s="32" t="inlineStr">
        <is>
          <t>LARGE CORP</t>
        </is>
      </c>
      <c r="BD164" s="32" t="inlineStr">
        <is>
          <t>60746948</t>
        </is>
      </c>
      <c r="BE164" s="32" t="n">
        <v>2</v>
      </c>
      <c r="BF164" s="32" t="inlineStr"/>
    </row>
    <row r="165">
      <c r="A165" s="17" t="inlineStr">
        <is>
          <t>COOPERATIVA DE CRÉD ITO UNICRED EVOLUÇÃO LTDA</t>
        </is>
      </c>
      <c r="B165" s="18" t="n">
        <v>890473.2</v>
      </c>
      <c r="C165" s="19" t="inlineStr">
        <is>
          <t>GRUPO DIAGSON</t>
        </is>
      </c>
      <c r="D165" s="20" t="inlineStr">
        <is>
          <t>NEW</t>
        </is>
      </c>
      <c r="E165" s="21" t="inlineStr"/>
      <c r="F165" s="20" t="inlineStr"/>
      <c r="G165" s="21" t="inlineStr"/>
      <c r="H165" s="20" t="inlineStr"/>
      <c r="I165" s="22" t="inlineStr">
        <is>
          <t>Wender Marra</t>
        </is>
      </c>
      <c r="J165" s="22" t="inlineStr">
        <is>
          <t>Coordenador de Recuperação de Crédito</t>
        </is>
      </c>
      <c r="K165" s="22" t="inlineStr"/>
      <c r="L165" s="22" t="inlineStr"/>
      <c r="M165" s="22" t="inlineStr"/>
      <c r="N165" s="22" t="inlineStr">
        <is>
          <t>wender.marra@unicred.com.br</t>
        </is>
      </c>
      <c r="O165" s="22" t="inlineStr">
        <is>
          <t>verified</t>
        </is>
      </c>
      <c r="P165" s="22" t="inlineStr">
        <is>
          <t>Jardel Lacerda</t>
        </is>
      </c>
      <c r="Q165" s="22" t="inlineStr">
        <is>
          <t>Legal Manager</t>
        </is>
      </c>
      <c r="R165" s="22" t="inlineStr"/>
      <c r="S165" s="22" t="inlineStr"/>
      <c r="T165" s="22" t="inlineStr">
        <is>
          <t>DM: DM verified email; BACKUP: backup email unavailable</t>
        </is>
      </c>
      <c r="U165" s="24" t="n">
        <v>890473.2</v>
      </c>
      <c r="V165" s="25" t="inlineStr">
        <is>
          <t>B</t>
        </is>
      </c>
      <c r="W165" s="26" t="inlineStr"/>
      <c r="X165" s="27" t="inlineStr"/>
      <c r="Y165" s="27" t="inlineStr"/>
      <c r="Z165" s="26">
        <f>IF(W165&lt;&gt;"",W165,IFERROR(VLOOKUP(V165,Assumptions!$A$8:$F$12,2,FALSE),0))*Assumptions!$B$5</f>
        <v/>
      </c>
      <c r="AA165" s="28">
        <f>IF(V165="A",MAX(1,IF(X165&lt;&gt;"",X165,IFERROR(VLOOKUP(V165,Assumptions!$A$8:$F$12,3,FALSE),3))+IF(Y165&lt;&gt;"",Y165,IFERROR(VLOOKUP(V165,Assumptions!$A$8:$F$12,4,FALSE),8))/2-MAX(0,IF(AS165="",0,YEAR(TODAY())-AS165)-IFERROR(VLOOKUP(V165,Assumptions!$A$8:$F$12,5,FALSE),1.5))),IFERROR(VLOOKUP(V165,Assumptions!$A$8:$F$12,5,FALSE),2.5)+IF(X165&lt;&gt;"",X165,IFERROR(VLOOKUP(V165,Assumptions!$A$8:$F$12,3,FALSE),3))+IF(Y165&lt;&gt;"",Y165,IFERROR(VLOOKUP(V165,Assumptions!$A$8:$F$12,4,FALSE),8))/2)</f>
        <v/>
      </c>
      <c r="AB165" s="24">
        <f>U165*Z165/(1+Assumptions!$B$3)^AA165</f>
        <v/>
      </c>
      <c r="AC165" s="27">
        <f>IF(U165=0,"",ROUND(AB165/U165*100,1))</f>
        <v/>
      </c>
      <c r="AD165" s="29">
        <f>AB165*Assumptions!$B$4</f>
        <v/>
      </c>
      <c r="AE165" s="27">
        <f>IF(U165=0,"",ROUND(AD165/U165*100,1))</f>
        <v/>
      </c>
      <c r="AF165" s="29">
        <f>AB165-AD165</f>
        <v/>
      </c>
      <c r="AG165" s="27">
        <f>IF(U165=0,"",ROUND((AB165-AD165)/U165*100,1))</f>
        <v/>
      </c>
      <c r="AH165" s="35" t="inlineStr">
        <is>
          <t>PARTIAL — class III reconciled, other classes not</t>
        </is>
      </c>
      <c r="AI165" s="31" t="inlineStr">
        <is>
          <t>https://lrflideres.com.br/wp-content/plugins/download-attachments/includes/download.php?id=7418</t>
        </is>
      </c>
      <c r="AJ165" s="30" t="inlineStr">
        <is>
          <t>p2 r50</t>
        </is>
      </c>
      <c r="AK165" s="30" t="inlineStr">
        <is>
          <t>p2: R$ 890.473,20</t>
        </is>
      </c>
      <c r="AL165" s="30" t="inlineStr">
        <is>
          <t>Debtor list (art. 51)</t>
        </is>
      </c>
      <c r="AM165" s="30" t="inlineStr">
        <is>
          <t>2026-07-28</t>
        </is>
      </c>
      <c r="AN165" s="30" t="inlineStr">
        <is>
          <t>NONE FOUND</t>
        </is>
      </c>
      <c r="AO165" s="32" t="inlineStr">
        <is>
          <t>0822279-56.2026.8.15.2001</t>
        </is>
      </c>
      <c r="AP165" s="32" t="inlineStr">
        <is>
          <t>TJPB</t>
        </is>
      </c>
      <c r="AQ165" s="32" t="inlineStr">
        <is>
          <t>Recuperação judicial</t>
        </is>
      </c>
      <c r="AR165" s="32" t="inlineStr">
        <is>
          <t>DataJud: no closure/falência movement</t>
        </is>
      </c>
      <c r="AS165" s="32" t="n">
        <v>2026</v>
      </c>
      <c r="AT165" s="32" t="inlineStr">
        <is>
          <t>live case, no plan document yet</t>
        </is>
      </c>
      <c r="AU165" s="32" t="inlineStr">
        <is>
          <t>00.149.703/0001-86</t>
        </is>
      </c>
      <c r="AV165" s="32" t="inlineStr">
        <is>
          <t>printed on the list (read twice)</t>
        </is>
      </c>
      <c r="AW165" s="32" t="inlineStr"/>
      <c r="AX165" s="32" t="inlineStr"/>
      <c r="AY165" s="32" t="inlineStr"/>
      <c r="AZ165" s="32" t="inlineStr"/>
      <c r="BA165" s="32" t="inlineStr"/>
      <c r="BB165" s="33" t="inlineStr"/>
      <c r="BC165" s="32" t="inlineStr">
        <is>
          <t>UNKNOWN</t>
        </is>
      </c>
      <c r="BD165" s="32" t="inlineStr">
        <is>
          <t>01727929</t>
        </is>
      </c>
      <c r="BE165" s="32" t="n">
        <v>1</v>
      </c>
      <c r="BF165" s="32" t="inlineStr">
        <is>
          <t>financial by name class III reconciled (doc partial) no RFB record</t>
        </is>
      </c>
    </row>
    <row r="166">
      <c r="A166" s="17" t="inlineStr">
        <is>
          <t>VP FOMENTO COMERCIAL LTDA</t>
        </is>
      </c>
      <c r="B166" s="18" t="n">
        <v>886711.5699999999</v>
      </c>
      <c r="C166" s="19" t="inlineStr">
        <is>
          <t>GRUPO DIVINA</t>
        </is>
      </c>
      <c r="D166" s="20" t="inlineStr">
        <is>
          <t>NEW</t>
        </is>
      </c>
      <c r="E166" s="21" t="inlineStr"/>
      <c r="F166" s="20" t="inlineStr"/>
      <c r="G166" s="21" t="inlineStr"/>
      <c r="H166" s="20" t="inlineStr"/>
      <c r="I166" s="22" t="inlineStr"/>
      <c r="J166" s="22" t="inlineStr"/>
      <c r="K166" s="22" t="inlineStr"/>
      <c r="L166" s="22" t="inlineStr"/>
      <c r="M166" s="22" t="inlineStr"/>
      <c r="N166" s="22" t="inlineStr"/>
      <c r="O166" s="22" t="inlineStr"/>
      <c r="P166" s="22" t="inlineStr"/>
      <c r="Q166" s="22" t="inlineStr"/>
      <c r="R166" s="22" t="inlineStr"/>
      <c r="S166" s="22" t="inlineStr"/>
      <c r="T166" s="22" t="inlineStr">
        <is>
          <t>no named contact found; NO ROUTE IN: no phone or email on file</t>
        </is>
      </c>
      <c r="U166" s="24" t="n">
        <v>886711.5699999999</v>
      </c>
      <c r="V166" s="25" t="inlineStr">
        <is>
          <t>B</t>
        </is>
      </c>
      <c r="W166" s="26" t="inlineStr"/>
      <c r="X166" s="27" t="inlineStr"/>
      <c r="Y166" s="27" t="inlineStr"/>
      <c r="Z166" s="26">
        <f>IF(W166&lt;&gt;"",W166,IFERROR(VLOOKUP(V166,Assumptions!$A$8:$F$12,2,FALSE),0))*Assumptions!$B$5</f>
        <v/>
      </c>
      <c r="AA166" s="28">
        <f>IF(V166="A",MAX(1,IF(X166&lt;&gt;"",X166,IFERROR(VLOOKUP(V166,Assumptions!$A$8:$F$12,3,FALSE),3))+IF(Y166&lt;&gt;"",Y166,IFERROR(VLOOKUP(V166,Assumptions!$A$8:$F$12,4,FALSE),8))/2-MAX(0,IF(AS166="",0,YEAR(TODAY())-AS166)-IFERROR(VLOOKUP(V166,Assumptions!$A$8:$F$12,5,FALSE),1.5))),IFERROR(VLOOKUP(V166,Assumptions!$A$8:$F$12,5,FALSE),2.5)+IF(X166&lt;&gt;"",X166,IFERROR(VLOOKUP(V166,Assumptions!$A$8:$F$12,3,FALSE),3))+IF(Y166&lt;&gt;"",Y166,IFERROR(VLOOKUP(V166,Assumptions!$A$8:$F$12,4,FALSE),8))/2)</f>
        <v/>
      </c>
      <c r="AB166" s="24">
        <f>U166*Z166/(1+Assumptions!$B$3)^AA166</f>
        <v/>
      </c>
      <c r="AC166" s="27">
        <f>IF(U166=0,"",ROUND(AB166/U166*100,1))</f>
        <v/>
      </c>
      <c r="AD166" s="29">
        <f>AB166*Assumptions!$B$4</f>
        <v/>
      </c>
      <c r="AE166" s="27">
        <f>IF(U166=0,"",ROUND(AD166/U166*100,1))</f>
        <v/>
      </c>
      <c r="AF166" s="29">
        <f>AB166-AD166</f>
        <v/>
      </c>
      <c r="AG166" s="27">
        <f>IF(U166=0,"",ROUND((AB166-AD166)/U166*100,1))</f>
        <v/>
      </c>
      <c r="AH166" s="35" t="inlineStr">
        <is>
          <t>PARTIAL — class III reconciled, other classes not</t>
        </is>
      </c>
      <c r="AI166" s="31" t="inlineStr">
        <is>
          <t>https://lrflideres.com.br/wp-content/plugins/download-attachments/includes/download.php?id=6252</t>
        </is>
      </c>
      <c r="AJ166" s="30" t="inlineStr">
        <is>
          <t>p3 r8</t>
        </is>
      </c>
      <c r="AK166" s="30" t="inlineStr">
        <is>
          <t>p3: R$ 886.711,57</t>
        </is>
      </c>
      <c r="AL166" s="30" t="inlineStr">
        <is>
          <t>AJ list (art. 7 §2)</t>
        </is>
      </c>
      <c r="AM166" s="30" t="inlineStr">
        <is>
          <t>2024-11-27</t>
        </is>
      </c>
      <c r="AN166" s="30" t="inlineStr">
        <is>
          <t>NONE FOUND</t>
        </is>
      </c>
      <c r="AO166" s="32" t="inlineStr">
        <is>
          <t>0000721-61.2024.8.17.2620</t>
        </is>
      </c>
      <c r="AP166" s="32" t="inlineStr">
        <is>
          <t>TJPE</t>
        </is>
      </c>
      <c r="AQ166" s="32" t="inlineStr">
        <is>
          <t>Recuperação judicial</t>
        </is>
      </c>
      <c r="AR166" s="32" t="inlineStr">
        <is>
          <t>DataJud: no closure/falência movement</t>
        </is>
      </c>
      <c r="AS166" s="32" t="n">
        <v>2024</v>
      </c>
      <c r="AT166" s="32" t="inlineStr">
        <is>
          <t>live case, no plan document yet</t>
        </is>
      </c>
      <c r="AU166" s="32" t="inlineStr">
        <is>
          <t>08.785.522/0001-58</t>
        </is>
      </c>
      <c r="AV166" s="32" t="inlineStr">
        <is>
          <t>printed on the list (read twice)</t>
        </is>
      </c>
      <c r="AW166" s="32" t="inlineStr"/>
      <c r="AX166" s="32" t="inlineStr"/>
      <c r="AY166" s="32" t="inlineStr"/>
      <c r="AZ166" s="32" t="inlineStr"/>
      <c r="BA166" s="32" t="inlineStr"/>
      <c r="BB166" s="33" t="inlineStr"/>
      <c r="BC166" s="32" t="inlineStr">
        <is>
          <t>UNKNOWN</t>
        </is>
      </c>
      <c r="BD166" s="32" t="inlineStr">
        <is>
          <t>34126828</t>
        </is>
      </c>
      <c r="BE166" s="32" t="n">
        <v>1</v>
      </c>
      <c r="BF166" s="32" t="inlineStr">
        <is>
          <t>financial by name class III reconciled (doc partial) no RFB record no route in</t>
        </is>
      </c>
    </row>
    <row r="167">
      <c r="A167" s="17" t="inlineStr">
        <is>
          <t>CONFIANÇA FUNDO DE INVESTIMENTO EM DIREITOS CREDITÓRI</t>
        </is>
      </c>
      <c r="B167" s="18" t="n">
        <v>858338.78</v>
      </c>
      <c r="C167" s="19" t="inlineStr">
        <is>
          <t>GRUPO DIVINA</t>
        </is>
      </c>
      <c r="D167" s="20" t="inlineStr">
        <is>
          <t>NEW</t>
        </is>
      </c>
      <c r="E167" s="21" t="inlineStr"/>
      <c r="F167" s="20" t="inlineStr"/>
      <c r="G167" s="21" t="inlineStr"/>
      <c r="H167" s="20" t="inlineStr"/>
      <c r="I167" s="22" t="inlineStr">
        <is>
          <t>Ana Costa</t>
        </is>
      </c>
      <c r="J167" s="22" t="inlineStr">
        <is>
          <t>Coordenadora de Recuperação de Crédito</t>
        </is>
      </c>
      <c r="K167" s="22" t="inlineStr"/>
      <c r="L167" s="22" t="inlineStr"/>
      <c r="M167" s="22" t="inlineStr"/>
      <c r="N167" s="22" t="inlineStr">
        <is>
          <t>anacosta@confiancafidc.com.br</t>
        </is>
      </c>
      <c r="O167" s="22" t="inlineStr">
        <is>
          <t>verified</t>
        </is>
      </c>
      <c r="P167" s="22" t="inlineStr">
        <is>
          <t>Carlos Eduardo</t>
        </is>
      </c>
      <c r="Q167" s="22" t="inlineStr">
        <is>
          <t>Supervisor de Crédito</t>
        </is>
      </c>
      <c r="R167" s="22" t="inlineStr"/>
      <c r="S167" s="22" t="inlineStr">
        <is>
          <t>carloseduardo@confiancafidc.com.br</t>
        </is>
      </c>
      <c r="T167" s="22" t="inlineStr">
        <is>
          <t>DM: DM; BACKUP: backup</t>
        </is>
      </c>
      <c r="U167" s="24" t="n">
        <v>858338.78</v>
      </c>
      <c r="V167" s="25" t="inlineStr">
        <is>
          <t>B</t>
        </is>
      </c>
      <c r="W167" s="26" t="inlineStr"/>
      <c r="X167" s="27" t="inlineStr"/>
      <c r="Y167" s="27" t="inlineStr"/>
      <c r="Z167" s="26">
        <f>IF(W167&lt;&gt;"",W167,IFERROR(VLOOKUP(V167,Assumptions!$A$8:$F$12,2,FALSE),0))*Assumptions!$B$5</f>
        <v/>
      </c>
      <c r="AA167" s="28">
        <f>IF(V167="A",MAX(1,IF(X167&lt;&gt;"",X167,IFERROR(VLOOKUP(V167,Assumptions!$A$8:$F$12,3,FALSE),3))+IF(Y167&lt;&gt;"",Y167,IFERROR(VLOOKUP(V167,Assumptions!$A$8:$F$12,4,FALSE),8))/2-MAX(0,IF(AS167="",0,YEAR(TODAY())-AS167)-IFERROR(VLOOKUP(V167,Assumptions!$A$8:$F$12,5,FALSE),1.5))),IFERROR(VLOOKUP(V167,Assumptions!$A$8:$F$12,5,FALSE),2.5)+IF(X167&lt;&gt;"",X167,IFERROR(VLOOKUP(V167,Assumptions!$A$8:$F$12,3,FALSE),3))+IF(Y167&lt;&gt;"",Y167,IFERROR(VLOOKUP(V167,Assumptions!$A$8:$F$12,4,FALSE),8))/2)</f>
        <v/>
      </c>
      <c r="AB167" s="24">
        <f>U167*Z167/(1+Assumptions!$B$3)^AA167</f>
        <v/>
      </c>
      <c r="AC167" s="27">
        <f>IF(U167=0,"",ROUND(AB167/U167*100,1))</f>
        <v/>
      </c>
      <c r="AD167" s="29">
        <f>AB167*Assumptions!$B$4</f>
        <v/>
      </c>
      <c r="AE167" s="27">
        <f>IF(U167=0,"",ROUND(AD167/U167*100,1))</f>
        <v/>
      </c>
      <c r="AF167" s="29">
        <f>AB167-AD167</f>
        <v/>
      </c>
      <c r="AG167" s="27">
        <f>IF(U167=0,"",ROUND((AB167-AD167)/U167*100,1))</f>
        <v/>
      </c>
      <c r="AH167" s="35" t="inlineStr">
        <is>
          <t>PARTIAL — class III reconciled, other classes not</t>
        </is>
      </c>
      <c r="AI167" s="31" t="inlineStr">
        <is>
          <t>https://lrflideres.com.br/wp-content/plugins/download-attachments/includes/download.php?id=6252</t>
        </is>
      </c>
      <c r="AJ167" s="30" t="inlineStr">
        <is>
          <t>p2 r29</t>
        </is>
      </c>
      <c r="AK167" s="30" t="inlineStr">
        <is>
          <t>p2: R$ 858.338,78</t>
        </is>
      </c>
      <c r="AL167" s="30" t="inlineStr">
        <is>
          <t>AJ list (art. 7 §2)</t>
        </is>
      </c>
      <c r="AM167" s="30" t="inlineStr">
        <is>
          <t>2024-11-27</t>
        </is>
      </c>
      <c r="AN167" s="30" t="inlineStr">
        <is>
          <t>NONE FOUND</t>
        </is>
      </c>
      <c r="AO167" s="32" t="inlineStr">
        <is>
          <t>0000721-61.2024.8.17.2620</t>
        </is>
      </c>
      <c r="AP167" s="32" t="inlineStr">
        <is>
          <t>TJPE</t>
        </is>
      </c>
      <c r="AQ167" s="32" t="inlineStr">
        <is>
          <t>Recuperação judicial</t>
        </is>
      </c>
      <c r="AR167" s="32" t="inlineStr">
        <is>
          <t>DataJud: no closure/falência movement</t>
        </is>
      </c>
      <c r="AS167" s="32" t="n">
        <v>2024</v>
      </c>
      <c r="AT167" s="32" t="inlineStr">
        <is>
          <t>live case, no plan document yet</t>
        </is>
      </c>
      <c r="AU167" s="32" t="inlineStr">
        <is>
          <t>08.785.522/0001-58</t>
        </is>
      </c>
      <c r="AV167" s="32" t="inlineStr">
        <is>
          <t>printed on the list (read twice)</t>
        </is>
      </c>
      <c r="AW167" s="32" t="inlineStr"/>
      <c r="AX167" s="32" t="inlineStr"/>
      <c r="AY167" s="32" t="inlineStr"/>
      <c r="AZ167" s="32" t="inlineStr"/>
      <c r="BA167" s="32" t="inlineStr"/>
      <c r="BB167" s="33" t="inlineStr"/>
      <c r="BC167" s="32" t="inlineStr">
        <is>
          <t>UNKNOWN</t>
        </is>
      </c>
      <c r="BD167" s="32" t="inlineStr">
        <is>
          <t>31658884</t>
        </is>
      </c>
      <c r="BE167" s="32" t="n">
        <v>1</v>
      </c>
      <c r="BF167" s="32" t="inlineStr">
        <is>
          <t>financial by name class III reconciled (doc partial) no RFB record</t>
        </is>
      </c>
    </row>
    <row r="168">
      <c r="A168" s="17" t="inlineStr">
        <is>
          <t>BANCO BRADESCO S.A.</t>
        </is>
      </c>
      <c r="B168" s="18" t="n">
        <v>846434.97</v>
      </c>
      <c r="C168" s="19" t="inlineStr">
        <is>
          <t>CARAVAGGIO CONSTRUTORA LTDA</t>
        </is>
      </c>
      <c r="D168" s="20" t="inlineStr">
        <is>
          <t>NEW</t>
        </is>
      </c>
      <c r="E168" s="21" t="inlineStr"/>
      <c r="F168" s="20" t="inlineStr"/>
      <c r="G168" s="21" t="inlineStr"/>
      <c r="H168" s="20" t="inlineStr"/>
      <c r="I168" s="22" t="inlineStr">
        <is>
          <t>Marcela Martins</t>
        </is>
      </c>
      <c r="J168" s="22" t="inlineStr">
        <is>
          <t>Superintendente de Recuperação de Crédito - Canais e Operações</t>
        </is>
      </c>
      <c r="K168" s="22" t="inlineStr">
        <is>
          <t>(11) 3684-5122</t>
        </is>
      </c>
      <c r="L168" s="22" t="inlineStr"/>
      <c r="M168" s="22" t="inlineStr"/>
      <c r="N168" s="22" t="inlineStr"/>
      <c r="O168" s="22" t="inlineStr"/>
      <c r="P168" s="22" t="inlineStr">
        <is>
          <t>Luis S</t>
        </is>
      </c>
      <c r="Q168" s="22" t="inlineStr">
        <is>
          <t>DRC - Departamento de Recuperação de Crédito - Gerente de Reestruturação de Crédito</t>
        </is>
      </c>
      <c r="R168" s="22" t="inlineStr"/>
      <c r="S168" s="22" t="inlineStr">
        <is>
          <t>sl@bradesco.com.br</t>
        </is>
      </c>
      <c r="T168" s="22" t="inlineStr">
        <is>
          <t>DM: DM; no work email in Apollo for DM; BACKUP: backup</t>
        </is>
      </c>
      <c r="U168" s="24" t="n">
        <v>846434.97</v>
      </c>
      <c r="V168" s="25" t="inlineStr">
        <is>
          <t>B</t>
        </is>
      </c>
      <c r="W168" s="26" t="inlineStr"/>
      <c r="X168" s="27" t="inlineStr"/>
      <c r="Y168" s="27" t="inlineStr"/>
      <c r="Z168" s="26">
        <f>IF(W168&lt;&gt;"",W168,IFERROR(VLOOKUP(V168,Assumptions!$A$8:$F$12,2,FALSE),0))*Assumptions!$B$5</f>
        <v/>
      </c>
      <c r="AA168" s="28">
        <f>IF(V168="A",MAX(1,IF(X168&lt;&gt;"",X168,IFERROR(VLOOKUP(V168,Assumptions!$A$8:$F$12,3,FALSE),3))+IF(Y168&lt;&gt;"",Y168,IFERROR(VLOOKUP(V168,Assumptions!$A$8:$F$12,4,FALSE),8))/2-MAX(0,IF(AS168="",0,YEAR(TODAY())-AS168)-IFERROR(VLOOKUP(V168,Assumptions!$A$8:$F$12,5,FALSE),1.5))),IFERROR(VLOOKUP(V168,Assumptions!$A$8:$F$12,5,FALSE),2.5)+IF(X168&lt;&gt;"",X168,IFERROR(VLOOKUP(V168,Assumptions!$A$8:$F$12,3,FALSE),3))+IF(Y168&lt;&gt;"",Y168,IFERROR(VLOOKUP(V168,Assumptions!$A$8:$F$12,4,FALSE),8))/2)</f>
        <v/>
      </c>
      <c r="AB168" s="24">
        <f>U168*Z168/(1+Assumptions!$B$3)^AA168</f>
        <v/>
      </c>
      <c r="AC168" s="27">
        <f>IF(U168=0,"",ROUND(AB168/U168*100,1))</f>
        <v/>
      </c>
      <c r="AD168" s="29">
        <f>AB168*Assumptions!$B$4</f>
        <v/>
      </c>
      <c r="AE168" s="27">
        <f>IF(U168=0,"",ROUND(AD168/U168*100,1))</f>
        <v/>
      </c>
      <c r="AF168" s="29">
        <f>AB168-AD168</f>
        <v/>
      </c>
      <c r="AG168" s="27">
        <f>IF(U168=0,"",ROUND((AB168-AD168)/U168*100,1))</f>
        <v/>
      </c>
      <c r="AH168" s="34" t="inlineStr">
        <is>
          <t>NO TOTALS — list prints none; check page</t>
        </is>
      </c>
      <c r="AI168" s="31" t="inlineStr">
        <is>
          <t>https://marquesadmjudicial.com.br/sgc/download.php?file=files/processo_documento/processo_documento16562707032024_1_.pdf&amp;nome=2º Edital-Relação de Credores do art. 7, §2 da LREF e do Plano de Recuperação Judicial</t>
        </is>
      </c>
      <c r="AJ168" s="30" t="inlineStr">
        <is>
          <t>p1 r40</t>
        </is>
      </c>
      <c r="AK168" s="30" t="inlineStr">
        <is>
          <t>p1: R$ 846.434,97</t>
        </is>
      </c>
      <c r="AL168" s="30" t="inlineStr">
        <is>
          <t>AJ list (art. 7 §2)</t>
        </is>
      </c>
      <c r="AM168" s="30" t="inlineStr">
        <is>
          <t>2022-11-17</t>
        </is>
      </c>
      <c r="AN168" s="30" t="inlineStr">
        <is>
          <t>NONE FOUND</t>
        </is>
      </c>
      <c r="AO168" s="32" t="inlineStr">
        <is>
          <t>0037411-27.2022.8.16.0021</t>
        </is>
      </c>
      <c r="AP168" s="32" t="inlineStr">
        <is>
          <t>TJPR</t>
        </is>
      </c>
      <c r="AQ168" s="32" t="inlineStr">
        <is>
          <t>Recuperação judicial</t>
        </is>
      </c>
      <c r="AR168" s="32" t="inlineStr">
        <is>
          <t>DataJud: no closure/falência movement</t>
        </is>
      </c>
      <c r="AS168" s="32" t="n">
        <v>2022</v>
      </c>
      <c r="AT168" s="32" t="inlineStr">
        <is>
          <t>live case, no plan document yet</t>
        </is>
      </c>
      <c r="AU168" s="32" t="inlineStr">
        <is>
          <t>04.929.130/0001-64</t>
        </is>
      </c>
      <c r="AV168" s="32" t="inlineStr">
        <is>
          <t>printed on the list (read twice)</t>
        </is>
      </c>
      <c r="AW168" s="32" t="inlineStr"/>
      <c r="AX168" s="32" t="inlineStr">
        <is>
          <t>OSASCO</t>
        </is>
      </c>
      <c r="AY168" s="32" t="inlineStr">
        <is>
          <t>SP</t>
        </is>
      </c>
      <c r="AZ168" s="32" t="inlineStr">
        <is>
          <t>Bancos múltiplos, com carteira comercial</t>
        </is>
      </c>
      <c r="BA168" s="32" t="inlineStr">
        <is>
          <t>não ME/EPP</t>
        </is>
      </c>
      <c r="BB168" s="33" t="n">
        <v>93770000000</v>
      </c>
      <c r="BC168" s="32" t="inlineStr">
        <is>
          <t>LARGE CORP</t>
        </is>
      </c>
      <c r="BD168" s="32" t="inlineStr">
        <is>
          <t>60746948</t>
        </is>
      </c>
      <c r="BE168" s="32" t="n">
        <v>1</v>
      </c>
      <c r="BF168" s="32" t="inlineStr">
        <is>
          <t>financial by name list prints no totals</t>
        </is>
      </c>
    </row>
    <row r="169">
      <c r="A169" s="17" t="inlineStr">
        <is>
          <t>BANCO BRADESCO S.A.</t>
        </is>
      </c>
      <c r="B169" s="18" t="n">
        <v>840000</v>
      </c>
      <c r="C169" s="19" t="inlineStr">
        <is>
          <t>VENEZA SERVIÇOS ADMINISTRATIVOS LTDA.</t>
        </is>
      </c>
      <c r="D169" s="20" t="inlineStr">
        <is>
          <t>NEW</t>
        </is>
      </c>
      <c r="E169" s="21" t="inlineStr"/>
      <c r="F169" s="20" t="inlineStr"/>
      <c r="G169" s="21" t="inlineStr"/>
      <c r="H169" s="20" t="inlineStr"/>
      <c r="I169" s="22" t="inlineStr">
        <is>
          <t>Marcela Martins</t>
        </is>
      </c>
      <c r="J169" s="22" t="inlineStr">
        <is>
          <t>Superintendente de Recuperação de Crédito - Canais e Operações</t>
        </is>
      </c>
      <c r="K169" s="22" t="inlineStr">
        <is>
          <t>(11) 3684-5122</t>
        </is>
      </c>
      <c r="L169" s="22" t="inlineStr"/>
      <c r="M169" s="22" t="inlineStr"/>
      <c r="N169" s="22" t="inlineStr"/>
      <c r="O169" s="22" t="inlineStr"/>
      <c r="P169" s="22" t="inlineStr">
        <is>
          <t>Luis S</t>
        </is>
      </c>
      <c r="Q169" s="22" t="inlineStr">
        <is>
          <t>DRC - Departamento de Recuperação de Crédito - Gerente de Reestruturação de Crédito</t>
        </is>
      </c>
      <c r="R169" s="22" t="inlineStr"/>
      <c r="S169" s="22" t="inlineStr">
        <is>
          <t>sl@bradesco.com.br</t>
        </is>
      </c>
      <c r="T169" s="22" t="inlineStr">
        <is>
          <t>DM: DM; no work email in Apollo for DM; BACKUP: backup</t>
        </is>
      </c>
      <c r="U169" s="24" t="n">
        <v>840000</v>
      </c>
      <c r="V169" s="25" t="inlineStr">
        <is>
          <t>B</t>
        </is>
      </c>
      <c r="W169" s="26" t="inlineStr"/>
      <c r="X169" s="27" t="inlineStr"/>
      <c r="Y169" s="27" t="inlineStr"/>
      <c r="Z169" s="26">
        <f>IF(W169&lt;&gt;"",W169,IFERROR(VLOOKUP(V169,Assumptions!$A$8:$F$12,2,FALSE),0))*Assumptions!$B$5</f>
        <v/>
      </c>
      <c r="AA169" s="28">
        <f>IF(V169="A",MAX(1,IF(X169&lt;&gt;"",X169,IFERROR(VLOOKUP(V169,Assumptions!$A$8:$F$12,3,FALSE),3))+IF(Y169&lt;&gt;"",Y169,IFERROR(VLOOKUP(V169,Assumptions!$A$8:$F$12,4,FALSE),8))/2-MAX(0,IF(AS169="",0,YEAR(TODAY())-AS169)-IFERROR(VLOOKUP(V169,Assumptions!$A$8:$F$12,5,FALSE),1.5))),IFERROR(VLOOKUP(V169,Assumptions!$A$8:$F$12,5,FALSE),2.5)+IF(X169&lt;&gt;"",X169,IFERROR(VLOOKUP(V169,Assumptions!$A$8:$F$12,3,FALSE),3))+IF(Y169&lt;&gt;"",Y169,IFERROR(VLOOKUP(V169,Assumptions!$A$8:$F$12,4,FALSE),8))/2)</f>
        <v/>
      </c>
      <c r="AB169" s="24">
        <f>U169*Z169/(1+Assumptions!$B$3)^AA169</f>
        <v/>
      </c>
      <c r="AC169" s="27">
        <f>IF(U169=0,"",ROUND(AB169/U169*100,1))</f>
        <v/>
      </c>
      <c r="AD169" s="29">
        <f>AB169*Assumptions!$B$4</f>
        <v/>
      </c>
      <c r="AE169" s="27">
        <f>IF(U169=0,"",ROUND(AD169/U169*100,1))</f>
        <v/>
      </c>
      <c r="AF169" s="29">
        <f>AB169-AD169</f>
        <v/>
      </c>
      <c r="AG169" s="27">
        <f>IF(U169=0,"",ROUND((AB169-AD169)/U169*100,1))</f>
        <v/>
      </c>
      <c r="AH169" s="30" t="inlineStr">
        <is>
          <t>OK — totals reconciled</t>
        </is>
      </c>
      <c r="AI169" s="31" t="inlineStr">
        <is>
          <t>https://bugarimecoelho.com.br/ws/media-library/b6b7ea42b9fa2afe30bc728fe00cd5c6/07---edital-do-processamento-da-recuperacao-judicial.pdf</t>
        </is>
      </c>
      <c r="AJ169" s="30" t="inlineStr">
        <is>
          <t>p16 r4</t>
        </is>
      </c>
      <c r="AK169" s="30" t="inlineStr">
        <is>
          <t>p16: R$ 840.000,00</t>
        </is>
      </c>
      <c r="AL169" s="30" t="inlineStr">
        <is>
          <t>Unclassified list</t>
        </is>
      </c>
      <c r="AM169" s="30" t="inlineStr">
        <is>
          <t>2026-07-09</t>
        </is>
      </c>
      <c r="AN169" s="30" t="inlineStr">
        <is>
          <t>NONE FOUND</t>
        </is>
      </c>
      <c r="AO169" s="32" t="inlineStr">
        <is>
          <t>3000117-40.2025.8.06.0512</t>
        </is>
      </c>
      <c r="AP169" s="32" t="inlineStr">
        <is>
          <t>TJCE</t>
        </is>
      </c>
      <c r="AQ169" s="32" t="inlineStr">
        <is>
          <t>Recuperação judicial</t>
        </is>
      </c>
      <c r="AR169" s="32" t="inlineStr">
        <is>
          <t>DataJud: no closure/falência movement</t>
        </is>
      </c>
      <c r="AS169" s="32" t="n">
        <v>2025</v>
      </c>
      <c r="AT169" s="32" t="inlineStr">
        <is>
          <t>live case, no plan document yet</t>
        </is>
      </c>
      <c r="AU169" s="32" t="inlineStr">
        <is>
          <t>11.399.787/0001-22</t>
        </is>
      </c>
      <c r="AV169" s="32" t="inlineStr">
        <is>
          <t>printed on the list (read twice)</t>
        </is>
      </c>
      <c r="AW169" s="32" t="inlineStr"/>
      <c r="AX169" s="32" t="inlineStr">
        <is>
          <t>OSASCO</t>
        </is>
      </c>
      <c r="AY169" s="32" t="inlineStr">
        <is>
          <t>SP</t>
        </is>
      </c>
      <c r="AZ169" s="32" t="inlineStr">
        <is>
          <t>Bancos múltiplos, com carteira comercial</t>
        </is>
      </c>
      <c r="BA169" s="32" t="inlineStr">
        <is>
          <t>não ME/EPP</t>
        </is>
      </c>
      <c r="BB169" s="33" t="n">
        <v>93770000000</v>
      </c>
      <c r="BC169" s="32" t="inlineStr">
        <is>
          <t>LARGE CORP</t>
        </is>
      </c>
      <c r="BD169" s="32" t="inlineStr">
        <is>
          <t>60746948</t>
        </is>
      </c>
      <c r="BE169" s="32" t="n">
        <v>1</v>
      </c>
      <c r="BF169" s="32" t="inlineStr">
        <is>
          <t>financial by name</t>
        </is>
      </c>
    </row>
    <row r="170">
      <c r="A170" s="17" t="inlineStr">
        <is>
          <t>BANCO SANTANDER (BRASIL) S.A.</t>
        </is>
      </c>
      <c r="B170" s="18" t="n">
        <v>832680.36</v>
      </c>
      <c r="C170" s="19" t="inlineStr">
        <is>
          <t>VENEZA SERVIÇOS ADMINISTRATIVOS LTDA.</t>
        </is>
      </c>
      <c r="D170" s="20" t="inlineStr">
        <is>
          <t>NEW</t>
        </is>
      </c>
      <c r="E170" s="21" t="inlineStr"/>
      <c r="F170" s="20" t="inlineStr"/>
      <c r="G170" s="21" t="inlineStr"/>
      <c r="H170" s="20" t="inlineStr"/>
      <c r="I170" s="22" t="inlineStr">
        <is>
          <t>Igor Puertas</t>
        </is>
      </c>
      <c r="J170" s="22" t="inlineStr">
        <is>
          <t>Distressed Assets | NPL</t>
        </is>
      </c>
      <c r="K170" s="22" t="inlineStr">
        <is>
          <t>(11) 4004-3535</t>
        </is>
      </c>
      <c r="L170" s="22" t="inlineStr"/>
      <c r="M170" s="22" t="inlineStr"/>
      <c r="N170" s="22" t="inlineStr">
        <is>
          <t>igor.puertas@santander.com.br</t>
        </is>
      </c>
      <c r="O170" s="22" t="inlineStr">
        <is>
          <t>verified</t>
        </is>
      </c>
      <c r="P170" s="22" t="inlineStr">
        <is>
          <t>Antonio Junior</t>
        </is>
      </c>
      <c r="Q170" s="22" t="inlineStr">
        <is>
          <t>Superintendente Recuperação de Crédito</t>
        </is>
      </c>
      <c r="R170" s="22" t="inlineStr"/>
      <c r="S170" s="22" t="inlineStr">
        <is>
          <t>antonio.pequeno.junior@santander.com.br</t>
        </is>
      </c>
      <c r="T170" s="22" t="inlineStr">
        <is>
          <t>DM: DM; BACKUP: backup</t>
        </is>
      </c>
      <c r="U170" s="24" t="n">
        <v>832680.36</v>
      </c>
      <c r="V170" s="25" t="inlineStr">
        <is>
          <t>B</t>
        </is>
      </c>
      <c r="W170" s="26" t="inlineStr"/>
      <c r="X170" s="27" t="inlineStr"/>
      <c r="Y170" s="27" t="inlineStr"/>
      <c r="Z170" s="26">
        <f>IF(W170&lt;&gt;"",W170,IFERROR(VLOOKUP(V170,Assumptions!$A$8:$F$12,2,FALSE),0))*Assumptions!$B$5</f>
        <v/>
      </c>
      <c r="AA170" s="28">
        <f>IF(V170="A",MAX(1,IF(X170&lt;&gt;"",X170,IFERROR(VLOOKUP(V170,Assumptions!$A$8:$F$12,3,FALSE),3))+IF(Y170&lt;&gt;"",Y170,IFERROR(VLOOKUP(V170,Assumptions!$A$8:$F$12,4,FALSE),8))/2-MAX(0,IF(AS170="",0,YEAR(TODAY())-AS170)-IFERROR(VLOOKUP(V170,Assumptions!$A$8:$F$12,5,FALSE),1.5))),IFERROR(VLOOKUP(V170,Assumptions!$A$8:$F$12,5,FALSE),2.5)+IF(X170&lt;&gt;"",X170,IFERROR(VLOOKUP(V170,Assumptions!$A$8:$F$12,3,FALSE),3))+IF(Y170&lt;&gt;"",Y170,IFERROR(VLOOKUP(V170,Assumptions!$A$8:$F$12,4,FALSE),8))/2)</f>
        <v/>
      </c>
      <c r="AB170" s="24">
        <f>U170*Z170/(1+Assumptions!$B$3)^AA170</f>
        <v/>
      </c>
      <c r="AC170" s="27">
        <f>IF(U170=0,"",ROUND(AB170/U170*100,1))</f>
        <v/>
      </c>
      <c r="AD170" s="29">
        <f>AB170*Assumptions!$B$4</f>
        <v/>
      </c>
      <c r="AE170" s="27">
        <f>IF(U170=0,"",ROUND(AD170/U170*100,1))</f>
        <v/>
      </c>
      <c r="AF170" s="29">
        <f>AB170-AD170</f>
        <v/>
      </c>
      <c r="AG170" s="27">
        <f>IF(U170=0,"",ROUND((AB170-AD170)/U170*100,1))</f>
        <v/>
      </c>
      <c r="AH170" s="30" t="inlineStr">
        <is>
          <t>OK — totals reconciled</t>
        </is>
      </c>
      <c r="AI170" s="31" t="inlineStr">
        <is>
          <t>https://bugarimecoelho.com.br/ws/media-library/b6b7ea42b9fa2afe30bc728fe00cd5c6/07---edital-do-processamento-da-recuperacao-judicial.pdf</t>
        </is>
      </c>
      <c r="AJ170" s="30" t="inlineStr">
        <is>
          <t>p16 r20</t>
        </is>
      </c>
      <c r="AK170" s="30" t="inlineStr">
        <is>
          <t>p16: R$ 832.680,36</t>
        </is>
      </c>
      <c r="AL170" s="30" t="inlineStr">
        <is>
          <t>Unclassified list</t>
        </is>
      </c>
      <c r="AM170" s="30" t="inlineStr">
        <is>
          <t>2026-07-09</t>
        </is>
      </c>
      <c r="AN170" s="30" t="inlineStr">
        <is>
          <t>NONE FOUND</t>
        </is>
      </c>
      <c r="AO170" s="32" t="inlineStr">
        <is>
          <t>3000117-40.2025.8.06.0512</t>
        </is>
      </c>
      <c r="AP170" s="32" t="inlineStr">
        <is>
          <t>TJCE</t>
        </is>
      </c>
      <c r="AQ170" s="32" t="inlineStr">
        <is>
          <t>Recuperação judicial</t>
        </is>
      </c>
      <c r="AR170" s="32" t="inlineStr">
        <is>
          <t>DataJud: no closure/falência movement</t>
        </is>
      </c>
      <c r="AS170" s="32" t="n">
        <v>2025</v>
      </c>
      <c r="AT170" s="32" t="inlineStr">
        <is>
          <t>live case, no plan document yet</t>
        </is>
      </c>
      <c r="AU170" s="32" t="inlineStr">
        <is>
          <t>11.399.787/0001-22</t>
        </is>
      </c>
      <c r="AV170" s="32" t="inlineStr">
        <is>
          <t>printed on the list (read twice)</t>
        </is>
      </c>
      <c r="AW170" s="32" t="inlineStr"/>
      <c r="AX170" s="32" t="inlineStr">
        <is>
          <t>SAO PAULO</t>
        </is>
      </c>
      <c r="AY170" s="32" t="inlineStr">
        <is>
          <t>SP</t>
        </is>
      </c>
      <c r="AZ170" s="32" t="inlineStr">
        <is>
          <t>Bancos múltiplos, com carteira comercial</t>
        </is>
      </c>
      <c r="BA170" s="32" t="inlineStr">
        <is>
          <t>não ME/EPP</t>
        </is>
      </c>
      <c r="BB170" s="33" t="n">
        <v>65000000000</v>
      </c>
      <c r="BC170" s="32" t="inlineStr">
        <is>
          <t>LARGE CORP</t>
        </is>
      </c>
      <c r="BD170" s="32" t="inlineStr">
        <is>
          <t>90400888</t>
        </is>
      </c>
      <c r="BE170" s="32" t="n">
        <v>1</v>
      </c>
      <c r="BF170" s="32" t="inlineStr">
        <is>
          <t>financial by name</t>
        </is>
      </c>
    </row>
    <row r="171">
      <c r="A171" s="17" t="inlineStr">
        <is>
          <t>BANCO DAYCOVAL S.A.</t>
        </is>
      </c>
      <c r="B171" s="18" t="n">
        <v>809807.28</v>
      </c>
      <c r="C171" s="19" t="inlineStr">
        <is>
          <t>FRIGORÍFICO ALFA INDÚSTRIA E COMÉRCIO DE CARNES E DERIVADOS LTDA e CTX LOGÍSTICA, TRANSPORTE E LOCAÇÕES LTDA</t>
        </is>
      </c>
      <c r="D171" s="20" t="inlineStr">
        <is>
          <t>NEW</t>
        </is>
      </c>
      <c r="E171" s="21" t="inlineStr"/>
      <c r="F171" s="20" t="inlineStr"/>
      <c r="G171" s="21" t="inlineStr"/>
      <c r="H171" s="20" t="inlineStr"/>
      <c r="I171" s="22" t="inlineStr">
        <is>
          <t>Celso Araujo</t>
        </is>
      </c>
      <c r="J171" s="22" t="inlineStr">
        <is>
          <t>Gerente de Recuperação de Crédito</t>
        </is>
      </c>
      <c r="K171" s="22" t="inlineStr">
        <is>
          <t>(11) 3138-0500</t>
        </is>
      </c>
      <c r="L171" s="22" t="inlineStr"/>
      <c r="M171" s="22" t="inlineStr"/>
      <c r="N171" s="22" t="inlineStr">
        <is>
          <t>celso.araujo@bancodaycoval.com.br</t>
        </is>
      </c>
      <c r="O171" s="22" t="inlineStr">
        <is>
          <t>verified</t>
        </is>
      </c>
      <c r="P171" s="22" t="inlineStr">
        <is>
          <t>Andreia Matiel</t>
        </is>
      </c>
      <c r="Q171" s="22" t="inlineStr">
        <is>
          <t>Advogada Recuperação de Crédito Empresas</t>
        </is>
      </c>
      <c r="R171" s="22" t="inlineStr"/>
      <c r="S171" s="22" t="inlineStr">
        <is>
          <t>andreia.matiel@daycoval.com.br</t>
        </is>
      </c>
      <c r="T171" s="22" t="inlineStr">
        <is>
          <t>DM: DM verified email; BACKUP: backup verified email</t>
        </is>
      </c>
      <c r="U171" s="24" t="n">
        <v>809807.28</v>
      </c>
      <c r="V171" s="25" t="inlineStr">
        <is>
          <t>B</t>
        </is>
      </c>
      <c r="W171" s="26" t="inlineStr"/>
      <c r="X171" s="27" t="inlineStr"/>
      <c r="Y171" s="27" t="inlineStr"/>
      <c r="Z171" s="26">
        <f>IF(W171&lt;&gt;"",W171,IFERROR(VLOOKUP(V171,Assumptions!$A$8:$F$12,2,FALSE),0))*Assumptions!$B$5</f>
        <v/>
      </c>
      <c r="AA171" s="28">
        <f>IF(V171="A",MAX(1,IF(X171&lt;&gt;"",X171,IFERROR(VLOOKUP(V171,Assumptions!$A$8:$F$12,3,FALSE),3))+IF(Y171&lt;&gt;"",Y171,IFERROR(VLOOKUP(V171,Assumptions!$A$8:$F$12,4,FALSE),8))/2-MAX(0,IF(AS171="",0,YEAR(TODAY())-AS171)-IFERROR(VLOOKUP(V171,Assumptions!$A$8:$F$12,5,FALSE),1.5))),IFERROR(VLOOKUP(V171,Assumptions!$A$8:$F$12,5,FALSE),2.5)+IF(X171&lt;&gt;"",X171,IFERROR(VLOOKUP(V171,Assumptions!$A$8:$F$12,3,FALSE),3))+IF(Y171&lt;&gt;"",Y171,IFERROR(VLOOKUP(V171,Assumptions!$A$8:$F$12,4,FALSE),8))/2)</f>
        <v/>
      </c>
      <c r="AB171" s="24">
        <f>U171*Z171/(1+Assumptions!$B$3)^AA171</f>
        <v/>
      </c>
      <c r="AC171" s="27">
        <f>IF(U171=0,"",ROUND(AB171/U171*100,1))</f>
        <v/>
      </c>
      <c r="AD171" s="29">
        <f>AB171*Assumptions!$B$4</f>
        <v/>
      </c>
      <c r="AE171" s="27">
        <f>IF(U171=0,"",ROUND(AD171/U171*100,1))</f>
        <v/>
      </c>
      <c r="AF171" s="29">
        <f>AB171-AD171</f>
        <v/>
      </c>
      <c r="AG171" s="27">
        <f>IF(U171=0,"",ROUND((AB171-AD171)/U171*100,1))</f>
        <v/>
      </c>
      <c r="AH171" s="30" t="inlineStr">
        <is>
          <t>OK — totals reconciled</t>
        </is>
      </c>
      <c r="AI171" s="31" t="inlineStr">
        <is>
          <t>https://vtladm.com.br/wp-content/uploads/2024/04/09-–-EDITAL-DE-CONVOCACAO-DE-CREDORES-–-Frigorifico-Alfa-Industria-e-Comercio-de-Carnes-e-Derivados-Ltda.-e-Ctx-Logistica-Transporte-E-Locacoes-Ltda.pdf</t>
        </is>
      </c>
      <c r="AJ171" s="30" t="inlineStr">
        <is>
          <t>p1 r14</t>
        </is>
      </c>
      <c r="AK171" s="30" t="inlineStr">
        <is>
          <t>p1: R$ 809.807,28</t>
        </is>
      </c>
      <c r="AL171" s="30" t="inlineStr">
        <is>
          <t>AJ list (art. 7 §2)</t>
        </is>
      </c>
      <c r="AM171" s="30" t="inlineStr"/>
      <c r="AN171" s="30" t="inlineStr">
        <is>
          <t>NONE FOUND</t>
        </is>
      </c>
      <c r="AO171" s="32" t="inlineStr">
        <is>
          <t>1009827-02.2024.8.26.0576</t>
        </is>
      </c>
      <c r="AP171" s="32" t="inlineStr">
        <is>
          <t>TJSP</t>
        </is>
      </c>
      <c r="AQ171" s="32" t="inlineStr">
        <is>
          <t>Recuperação judicial</t>
        </is>
      </c>
      <c r="AR171" s="32" t="inlineStr">
        <is>
          <t>DataJud: no closure/falência movement</t>
        </is>
      </c>
      <c r="AS171" s="32" t="n">
        <v>2024</v>
      </c>
      <c r="AT171" s="32" t="inlineStr">
        <is>
          <t>live case, no plan document yet; case no. from the portal record, not printed on the list</t>
        </is>
      </c>
      <c r="AU171" s="32" t="inlineStr">
        <is>
          <t>00.975.846/0001-47</t>
        </is>
      </c>
      <c r="AV171" s="32" t="inlineStr">
        <is>
          <t>printed on the list (read twice)</t>
        </is>
      </c>
      <c r="AW171" s="32" t="inlineStr"/>
      <c r="AX171" s="32" t="inlineStr">
        <is>
          <t>SAO PAULO</t>
        </is>
      </c>
      <c r="AY171" s="32" t="inlineStr">
        <is>
          <t>SP</t>
        </is>
      </c>
      <c r="AZ171" s="32" t="inlineStr">
        <is>
          <t>Bancos múltiplos, com carteira comercial</t>
        </is>
      </c>
      <c r="BA171" s="32" t="inlineStr">
        <is>
          <t>não ME/EPP</t>
        </is>
      </c>
      <c r="BB171" s="33" t="n">
        <v>6907260000</v>
      </c>
      <c r="BC171" s="32" t="inlineStr">
        <is>
          <t>LARGE CORP</t>
        </is>
      </c>
      <c r="BD171" s="32" t="inlineStr">
        <is>
          <t>62232889</t>
        </is>
      </c>
      <c r="BE171" s="32" t="n">
        <v>1</v>
      </c>
      <c r="BF171" s="32" t="inlineStr">
        <is>
          <t>financial by name</t>
        </is>
      </c>
    </row>
    <row r="172">
      <c r="A172" s="17" t="inlineStr">
        <is>
          <t>Banco Industrial do Brasil S.A.</t>
        </is>
      </c>
      <c r="B172" s="18" t="n">
        <v>3523132.32</v>
      </c>
      <c r="C172" s="19" t="inlineStr">
        <is>
          <t>GRUPO 3E</t>
        </is>
      </c>
      <c r="D172" s="20" t="inlineStr">
        <is>
          <t>NEW</t>
        </is>
      </c>
      <c r="E172" s="21" t="inlineStr"/>
      <c r="F172" s="20" t="inlineStr"/>
      <c r="G172" s="21" t="inlineStr"/>
      <c r="H172" s="20" t="inlineStr"/>
      <c r="I172" s="22" t="inlineStr">
        <is>
          <t>Eduardo Fernandes</t>
        </is>
      </c>
      <c r="J172" s="22" t="inlineStr">
        <is>
          <t>Gerente de Recuperação de Crédito</t>
        </is>
      </c>
      <c r="K172" s="22" t="inlineStr"/>
      <c r="L172" s="22" t="inlineStr"/>
      <c r="M172" s="22" t="inlineStr"/>
      <c r="N172" s="22" t="inlineStr">
        <is>
          <t>eduardo.fernandes@bancoindustrial.com.br</t>
        </is>
      </c>
      <c r="O172" s="22" t="inlineStr">
        <is>
          <t>verified</t>
        </is>
      </c>
      <c r="P172" s="22" t="inlineStr"/>
      <c r="Q172" s="22" t="inlineStr"/>
      <c r="R172" s="22" t="inlineStr"/>
      <c r="S172" s="22" t="inlineStr"/>
      <c r="T172" s="22" t="inlineStr">
        <is>
          <t>DM: DM</t>
        </is>
      </c>
      <c r="U172" s="24" t="n">
        <v>3523132.32</v>
      </c>
      <c r="V172" s="25" t="inlineStr">
        <is>
          <t>B</t>
        </is>
      </c>
      <c r="W172" s="26" t="n">
        <v>0.12</v>
      </c>
      <c r="X172" s="27" t="n">
        <v>2</v>
      </c>
      <c r="Y172" s="27" t="n">
        <v>13</v>
      </c>
      <c r="Z172" s="26">
        <f>IF(W172&lt;&gt;"",W172,IFERROR(VLOOKUP(V172,Assumptions!$A$8:$F$12,2,FALSE),0))*Assumptions!$B$5</f>
        <v/>
      </c>
      <c r="AA172" s="28">
        <f>IF(V172="A",MAX(1,IF(X172&lt;&gt;"",X172,IFERROR(VLOOKUP(V172,Assumptions!$A$8:$F$12,3,FALSE),3))+IF(Y172&lt;&gt;"",Y172,IFERROR(VLOOKUP(V172,Assumptions!$A$8:$F$12,4,FALSE),8))/2-MAX(0,IF(AS172="",0,YEAR(TODAY())-AS172)-IFERROR(VLOOKUP(V172,Assumptions!$A$8:$F$12,5,FALSE),1.5))),IFERROR(VLOOKUP(V172,Assumptions!$A$8:$F$12,5,FALSE),2.5)+IF(X172&lt;&gt;"",X172,IFERROR(VLOOKUP(V172,Assumptions!$A$8:$F$12,3,FALSE),3))+IF(Y172&lt;&gt;"",Y172,IFERROR(VLOOKUP(V172,Assumptions!$A$8:$F$12,4,FALSE),8))/2)</f>
        <v/>
      </c>
      <c r="AB172" s="24">
        <f>U172*Z172/(1+Assumptions!$B$3)^AA172</f>
        <v/>
      </c>
      <c r="AC172" s="27">
        <f>IF(U172=0,"",ROUND(AB172/U172*100,1))</f>
        <v/>
      </c>
      <c r="AD172" s="29">
        <f>AB172*Assumptions!$B$4</f>
        <v/>
      </c>
      <c r="AE172" s="27">
        <f>IF(U172=0,"",ROUND(AD172/U172*100,1))</f>
        <v/>
      </c>
      <c r="AF172" s="29">
        <f>AB172-AD172</f>
        <v/>
      </c>
      <c r="AG172" s="27">
        <f>IF(U172=0,"",ROUND((AB172-AD172)/U172*100,1))</f>
        <v/>
      </c>
      <c r="AH172" s="34" t="inlineStr">
        <is>
          <t>NO TOTALS — list prints none; check page</t>
        </is>
      </c>
      <c r="AI172" s="31" t="inlineStr">
        <is>
          <t>https://stenius.com.br/wp-content/uploads/2026/06/EDITAL-GRUPO-3E.pdf</t>
        </is>
      </c>
      <c r="AJ172" s="30" t="inlineStr">
        <is>
          <t>p10 r36</t>
        </is>
      </c>
      <c r="AK172" s="30" t="inlineStr">
        <is>
          <t>p10: R$ 3.523.132,32</t>
        </is>
      </c>
      <c r="AL172" s="30" t="inlineStr">
        <is>
          <t>Debtor list (art. 51)</t>
        </is>
      </c>
      <c r="AM172" s="30" t="inlineStr">
        <is>
          <t>2026-06-22</t>
        </is>
      </c>
      <c r="AN172" s="30" t="inlineStr">
        <is>
          <t>PLAN FILED (art. 53), not granted</t>
        </is>
      </c>
      <c r="AO172" s="32" t="inlineStr">
        <is>
          <t>5341375-33.2026.8.09.0049</t>
        </is>
      </c>
      <c r="AP172" s="32" t="inlineStr">
        <is>
          <t>TJGO</t>
        </is>
      </c>
      <c r="AQ172" s="32" t="inlineStr">
        <is>
          <t>Recuperação judicial</t>
        </is>
      </c>
      <c r="AR172" s="32" t="inlineStr">
        <is>
          <t>DataJud: no closure/falência movement</t>
        </is>
      </c>
      <c r="AS172" s="32" t="n">
        <v>2026</v>
      </c>
      <c r="AT172" s="32" t="inlineStr">
        <is>
          <t>plan filed (art. 53), not yet granted</t>
        </is>
      </c>
      <c r="AU172" s="32" t="inlineStr"/>
      <c r="AV172" s="32" t="inlineStr">
        <is>
          <t>printed on the list (read twice)</t>
        </is>
      </c>
      <c r="AW172" s="32" t="inlineStr">
        <is>
          <t>Plano de Recuperação Judicial Grupo 3E v2.0 (Métis), mov. 321, pp.24-25</t>
        </is>
      </c>
      <c r="AX172" s="32" t="inlineStr"/>
      <c r="AY172" s="32" t="inlineStr"/>
      <c r="AZ172" s="32" t="inlineStr"/>
      <c r="BA172" s="32" t="inlineStr"/>
      <c r="BB172" s="33" t="inlineStr"/>
      <c r="BC172" s="32" t="inlineStr">
        <is>
          <t>UNKNOWN</t>
        </is>
      </c>
      <c r="BD172" s="32" t="inlineStr">
        <is>
          <t>31895683</t>
        </is>
      </c>
      <c r="BE172" s="32" t="n">
        <v>1</v>
      </c>
      <c r="BF172" s="32" t="inlineStr">
        <is>
          <t>financial by name list prints no totals no RFB record</t>
        </is>
      </c>
    </row>
    <row r="173">
      <c r="A173" s="17" t="inlineStr">
        <is>
          <t>BANCO ABC BRASIL S.A.</t>
        </is>
      </c>
      <c r="B173" s="18" t="n">
        <v>801043.63</v>
      </c>
      <c r="C173" s="19" t="inlineStr">
        <is>
          <t>GRUPO DP4</t>
        </is>
      </c>
      <c r="D173" s="20" t="inlineStr">
        <is>
          <t>NEW</t>
        </is>
      </c>
      <c r="E173" s="21" t="inlineStr"/>
      <c r="F173" s="20" t="inlineStr"/>
      <c r="G173" s="21" t="inlineStr"/>
      <c r="H173" s="20" t="inlineStr"/>
      <c r="I173" s="22" t="inlineStr">
        <is>
          <t>Luciano Makino</t>
        </is>
      </c>
      <c r="J173" s="22" t="inlineStr">
        <is>
          <t>Especialista de Recuperação de Crédito</t>
        </is>
      </c>
      <c r="K173" s="22" t="inlineStr">
        <is>
          <t>(11) 3170-2000</t>
        </is>
      </c>
      <c r="L173" s="22" t="inlineStr"/>
      <c r="M173" s="22" t="inlineStr"/>
      <c r="N173" s="22" t="inlineStr">
        <is>
          <t>luciano.makino@abcbrasil.com.br</t>
        </is>
      </c>
      <c r="O173" s="22" t="inlineStr">
        <is>
          <t>verified</t>
        </is>
      </c>
      <c r="P173" s="22" t="inlineStr">
        <is>
          <t>Marilia Neves</t>
        </is>
      </c>
      <c r="Q173" s="22" t="inlineStr">
        <is>
          <t>Advogado Especialista em Recuperação de Crédito</t>
        </is>
      </c>
      <c r="R173" s="22" t="inlineStr"/>
      <c r="S173" s="22" t="inlineStr">
        <is>
          <t>marilia.neves@abcbrasil.com.br</t>
        </is>
      </c>
      <c r="T173" s="22" t="inlineStr">
        <is>
          <t>DM: DM verified email; BACKUP: backup verified email</t>
        </is>
      </c>
      <c r="U173" s="24" t="n">
        <v>801043.63</v>
      </c>
      <c r="V173" s="25" t="inlineStr">
        <is>
          <t>B</t>
        </is>
      </c>
      <c r="W173" s="26" t="inlineStr"/>
      <c r="X173" s="27" t="inlineStr"/>
      <c r="Y173" s="27" t="inlineStr"/>
      <c r="Z173" s="26">
        <f>IF(W173&lt;&gt;"",W173,IFERROR(VLOOKUP(V173,Assumptions!$A$8:$F$12,2,FALSE),0))*Assumptions!$B$5</f>
        <v/>
      </c>
      <c r="AA173" s="28">
        <f>IF(V173="A",MAX(1,IF(X173&lt;&gt;"",X173,IFERROR(VLOOKUP(V173,Assumptions!$A$8:$F$12,3,FALSE),3))+IF(Y173&lt;&gt;"",Y173,IFERROR(VLOOKUP(V173,Assumptions!$A$8:$F$12,4,FALSE),8))/2-MAX(0,IF(AS173="",0,YEAR(TODAY())-AS173)-IFERROR(VLOOKUP(V173,Assumptions!$A$8:$F$12,5,FALSE),1.5))),IFERROR(VLOOKUP(V173,Assumptions!$A$8:$F$12,5,FALSE),2.5)+IF(X173&lt;&gt;"",X173,IFERROR(VLOOKUP(V173,Assumptions!$A$8:$F$12,3,FALSE),3))+IF(Y173&lt;&gt;"",Y173,IFERROR(VLOOKUP(V173,Assumptions!$A$8:$F$12,4,FALSE),8))/2)</f>
        <v/>
      </c>
      <c r="AB173" s="24">
        <f>U173*Z173/(1+Assumptions!$B$3)^AA173</f>
        <v/>
      </c>
      <c r="AC173" s="27">
        <f>IF(U173=0,"",ROUND(AB173/U173*100,1))</f>
        <v/>
      </c>
      <c r="AD173" s="29">
        <f>AB173*Assumptions!$B$4</f>
        <v/>
      </c>
      <c r="AE173" s="27">
        <f>IF(U173=0,"",ROUND(AD173/U173*100,1))</f>
        <v/>
      </c>
      <c r="AF173" s="29">
        <f>AB173-AD173</f>
        <v/>
      </c>
      <c r="AG173" s="27">
        <f>IF(U173=0,"",ROUND((AB173-AD173)/U173*100,1))</f>
        <v/>
      </c>
      <c r="AH173" s="35" t="inlineStr">
        <is>
          <t>PARTIAL — class III reconciled, other classes not</t>
        </is>
      </c>
      <c r="AI173" s="31" t="inlineStr">
        <is>
          <t>https://marquesadmjudicial.com.br/sgc/download.php?file=files/processo_documento/processo_documento15293208032024_1_.pdf&amp;nome=Relação Nominal de Credores da AJ-Sintética</t>
        </is>
      </c>
      <c r="AJ173" s="30" t="inlineStr">
        <is>
          <t>p20 r5</t>
        </is>
      </c>
      <c r="AK173" s="30" t="inlineStr">
        <is>
          <t>p20: R$ 801.043,63</t>
        </is>
      </c>
      <c r="AL173" s="30" t="inlineStr">
        <is>
          <t>AJ list (art. 7 §2)</t>
        </is>
      </c>
      <c r="AM173" s="30" t="inlineStr">
        <is>
          <t>2023-03-02</t>
        </is>
      </c>
      <c r="AN173" s="30" t="inlineStr">
        <is>
          <t>NONE FOUND</t>
        </is>
      </c>
      <c r="AO173" s="32" t="inlineStr">
        <is>
          <t>0005010-98.2023.8.16.0001</t>
        </is>
      </c>
      <c r="AP173" s="32" t="inlineStr">
        <is>
          <t>TJPR</t>
        </is>
      </c>
      <c r="AQ173" s="32" t="inlineStr">
        <is>
          <t>Recuperação judicial</t>
        </is>
      </c>
      <c r="AR173" s="32" t="inlineStr">
        <is>
          <t>DataJud: no closure/falência movement</t>
        </is>
      </c>
      <c r="AS173" s="32" t="n">
        <v>2023</v>
      </c>
      <c r="AT173" s="32" t="inlineStr">
        <is>
          <t>live case, no plan document yet</t>
        </is>
      </c>
      <c r="AU173" s="32" t="inlineStr"/>
      <c r="AV173" s="32" t="inlineStr">
        <is>
          <t>printed on the list (read twice)</t>
        </is>
      </c>
      <c r="AW173" s="32" t="inlineStr"/>
      <c r="AX173" s="32" t="inlineStr">
        <is>
          <t>SAO PAULO</t>
        </is>
      </c>
      <c r="AY173" s="32" t="inlineStr">
        <is>
          <t>SP</t>
        </is>
      </c>
      <c r="AZ173" s="32" t="inlineStr">
        <is>
          <t>Bancos múltiplos, com carteira comercial</t>
        </is>
      </c>
      <c r="BA173" s="32" t="inlineStr">
        <is>
          <t>não ME/EPP</t>
        </is>
      </c>
      <c r="BB173" s="33" t="n">
        <v>6012662300</v>
      </c>
      <c r="BC173" s="32" t="inlineStr">
        <is>
          <t>LARGE CORP</t>
        </is>
      </c>
      <c r="BD173" s="32" t="inlineStr">
        <is>
          <t>28195667</t>
        </is>
      </c>
      <c r="BE173" s="32" t="n">
        <v>1</v>
      </c>
      <c r="BF173" s="32" t="inlineStr">
        <is>
          <t>financial by name class III reconciled (doc partial)</t>
        </is>
      </c>
    </row>
    <row r="174">
      <c r="A174" s="17" t="inlineStr">
        <is>
          <t>ITAU UNIBANCO S.A.</t>
        </is>
      </c>
      <c r="B174" s="18" t="n">
        <v>796319.5699999999</v>
      </c>
      <c r="C174" s="19" t="inlineStr">
        <is>
          <t>GRUPO IMOBI</t>
        </is>
      </c>
      <c r="D174" s="20" t="inlineStr">
        <is>
          <t>NEW</t>
        </is>
      </c>
      <c r="E174" s="21" t="inlineStr"/>
      <c r="F174" s="20" t="inlineStr"/>
      <c r="G174" s="21" t="inlineStr"/>
      <c r="H174" s="20" t="inlineStr"/>
      <c r="I174" s="22" t="inlineStr">
        <is>
          <t>Murilo Gigliucci</t>
        </is>
      </c>
      <c r="J174" s="22" t="inlineStr">
        <is>
          <t>Superintendente de Reestruturação de Crédito</t>
        </is>
      </c>
      <c r="K174" s="22" t="inlineStr">
        <is>
          <t>(11) 3003-4828</t>
        </is>
      </c>
      <c r="L174" s="22" t="inlineStr"/>
      <c r="M174" s="22" t="inlineStr"/>
      <c r="N174" s="22" t="inlineStr">
        <is>
          <t>murilo.gigliucci@itau-unibanco.com.br</t>
        </is>
      </c>
      <c r="O174" s="22" t="inlineStr">
        <is>
          <t>verified</t>
        </is>
      </c>
      <c r="P174" s="22" t="inlineStr">
        <is>
          <t>Pedro Ornellas</t>
        </is>
      </c>
      <c r="Q174" s="22" t="inlineStr">
        <is>
          <t>Superintendente de Recuperação de Crédito</t>
        </is>
      </c>
      <c r="R174" s="22" t="inlineStr"/>
      <c r="S174" s="22" t="inlineStr">
        <is>
          <t>pedro.ornellas-geronimo@itau-unibanco.com.br</t>
        </is>
      </c>
      <c r="T174" s="22" t="inlineStr">
        <is>
          <t>DM: DM verified email; BACKUP: backup verified email</t>
        </is>
      </c>
      <c r="U174" s="24" t="n">
        <v>796319.5699999999</v>
      </c>
      <c r="V174" s="25" t="inlineStr">
        <is>
          <t>B</t>
        </is>
      </c>
      <c r="W174" s="26" t="inlineStr"/>
      <c r="X174" s="27" t="inlineStr"/>
      <c r="Y174" s="27" t="inlineStr"/>
      <c r="Z174" s="26">
        <f>IF(W174&lt;&gt;"",W174,IFERROR(VLOOKUP(V174,Assumptions!$A$8:$F$12,2,FALSE),0))*Assumptions!$B$5</f>
        <v/>
      </c>
      <c r="AA174" s="28">
        <f>IF(V174="A",MAX(1,IF(X174&lt;&gt;"",X174,IFERROR(VLOOKUP(V174,Assumptions!$A$8:$F$12,3,FALSE),3))+IF(Y174&lt;&gt;"",Y174,IFERROR(VLOOKUP(V174,Assumptions!$A$8:$F$12,4,FALSE),8))/2-MAX(0,IF(AS174="",0,YEAR(TODAY())-AS174)-IFERROR(VLOOKUP(V174,Assumptions!$A$8:$F$12,5,FALSE),1.5))),IFERROR(VLOOKUP(V174,Assumptions!$A$8:$F$12,5,FALSE),2.5)+IF(X174&lt;&gt;"",X174,IFERROR(VLOOKUP(V174,Assumptions!$A$8:$F$12,3,FALSE),3))+IF(Y174&lt;&gt;"",Y174,IFERROR(VLOOKUP(V174,Assumptions!$A$8:$F$12,4,FALSE),8))/2)</f>
        <v/>
      </c>
      <c r="AB174" s="24">
        <f>U174*Z174/(1+Assumptions!$B$3)^AA174</f>
        <v/>
      </c>
      <c r="AC174" s="27">
        <f>IF(U174=0,"",ROUND(AB174/U174*100,1))</f>
        <v/>
      </c>
      <c r="AD174" s="29">
        <f>AB174*Assumptions!$B$4</f>
        <v/>
      </c>
      <c r="AE174" s="27">
        <f>IF(U174=0,"",ROUND(AD174/U174*100,1))</f>
        <v/>
      </c>
      <c r="AF174" s="29">
        <f>AB174-AD174</f>
        <v/>
      </c>
      <c r="AG174" s="27">
        <f>IF(U174=0,"",ROUND((AB174-AD174)/U174*100,1))</f>
        <v/>
      </c>
      <c r="AH174" s="30" t="inlineStr">
        <is>
          <t>OK — totals reconciled</t>
        </is>
      </c>
      <c r="AI174" s="31" t="inlineStr">
        <is>
          <t>https://lrflideres.com.br/wp-content/plugins/download-attachments/includes/download.php?id=6273</t>
        </is>
      </c>
      <c r="AJ174" s="30" t="inlineStr">
        <is>
          <t>p5 r2</t>
        </is>
      </c>
      <c r="AK174" s="30" t="inlineStr">
        <is>
          <t>p5: R$ 796.319,57</t>
        </is>
      </c>
      <c r="AL174" s="30" t="inlineStr">
        <is>
          <t>AJ list (art. 7 §2)</t>
        </is>
      </c>
      <c r="AM174" s="30" t="inlineStr">
        <is>
          <t>2024-11-14</t>
        </is>
      </c>
      <c r="AN174" s="30" t="inlineStr">
        <is>
          <t>NONE FOUND</t>
        </is>
      </c>
      <c r="AO174" s="32" t="inlineStr">
        <is>
          <t>0074500-63.2024.8.17.2001</t>
        </is>
      </c>
      <c r="AP174" s="32" t="inlineStr">
        <is>
          <t>TJPE</t>
        </is>
      </c>
      <c r="AQ174" s="32" t="inlineStr">
        <is>
          <t>Recuperação judicial</t>
        </is>
      </c>
      <c r="AR174" s="32" t="inlineStr">
        <is>
          <t>DataJud: no closure/falência movement</t>
        </is>
      </c>
      <c r="AS174" s="32" t="n">
        <v>2024</v>
      </c>
      <c r="AT174" s="32" t="inlineStr">
        <is>
          <t>live case, no plan document yet</t>
        </is>
      </c>
      <c r="AU174" s="32" t="inlineStr">
        <is>
          <t>02.284.048/0001-02</t>
        </is>
      </c>
      <c r="AV174" s="32" t="inlineStr">
        <is>
          <t>printed on the list (read twice)</t>
        </is>
      </c>
      <c r="AW174" s="32" t="inlineStr"/>
      <c r="AX174" s="32" t="inlineStr">
        <is>
          <t>SAO PAULO</t>
        </is>
      </c>
      <c r="AY174" s="32" t="inlineStr">
        <is>
          <t>SP</t>
        </is>
      </c>
      <c r="AZ174" s="32" t="inlineStr">
        <is>
          <t>Bancos comerciais</t>
        </is>
      </c>
      <c r="BA174" s="32" t="inlineStr">
        <is>
          <t>não ME/EPP</t>
        </is>
      </c>
      <c r="BB174" s="33" t="n">
        <v>76200000000</v>
      </c>
      <c r="BC174" s="32" t="inlineStr">
        <is>
          <t>LARGE CORP</t>
        </is>
      </c>
      <c r="BD174" s="32" t="inlineStr">
        <is>
          <t>60701190</t>
        </is>
      </c>
      <c r="BE174" s="32" t="n">
        <v>1</v>
      </c>
      <c r="BF174" s="32" t="inlineStr">
        <is>
          <t>financial by name</t>
        </is>
      </c>
    </row>
    <row r="175">
      <c r="A175" s="17" t="inlineStr">
        <is>
          <t>BFC FUNDO DE INVESTIMENTO EM DIREITOS CREDITORIOS</t>
        </is>
      </c>
      <c r="B175" s="18" t="n">
        <v>783839.34</v>
      </c>
      <c r="C175" s="19" t="inlineStr">
        <is>
          <t>Grupo Conduscabos</t>
        </is>
      </c>
      <c r="D175" s="20" t="inlineStr">
        <is>
          <t>NEW</t>
        </is>
      </c>
      <c r="E175" s="21" t="inlineStr"/>
      <c r="F175" s="20" t="inlineStr"/>
      <c r="G175" s="21" t="inlineStr"/>
      <c r="H175" s="20" t="inlineStr"/>
      <c r="I175" s="22" t="inlineStr"/>
      <c r="J175" s="22" t="inlineStr"/>
      <c r="K175" s="22" t="inlineStr">
        <is>
          <t>(11) 2827-3500</t>
        </is>
      </c>
      <c r="L175" s="22" t="inlineStr"/>
      <c r="M175" s="22" t="inlineStr"/>
      <c r="N175" s="22" t="inlineStr"/>
      <c r="O175" s="22" t="inlineStr"/>
      <c r="P175" s="22" t="inlineStr"/>
      <c r="Q175" s="22" t="inlineStr"/>
      <c r="R175" s="22" t="inlineStr"/>
      <c r="S175" s="22" t="inlineStr"/>
      <c r="T175" s="22" t="inlineStr">
        <is>
          <t>no named contact found</t>
        </is>
      </c>
      <c r="U175" s="24" t="n">
        <v>783839.34</v>
      </c>
      <c r="V175" s="25" t="inlineStr">
        <is>
          <t>B</t>
        </is>
      </c>
      <c r="W175" s="26" t="inlineStr"/>
      <c r="X175" s="27" t="inlineStr"/>
      <c r="Y175" s="27" t="inlineStr"/>
      <c r="Z175" s="26">
        <f>IF(W175&lt;&gt;"",W175,IFERROR(VLOOKUP(V175,Assumptions!$A$8:$F$12,2,FALSE),0))*Assumptions!$B$5</f>
        <v/>
      </c>
      <c r="AA175" s="28">
        <f>IF(V175="A",MAX(1,IF(X175&lt;&gt;"",X175,IFERROR(VLOOKUP(V175,Assumptions!$A$8:$F$12,3,FALSE),3))+IF(Y175&lt;&gt;"",Y175,IFERROR(VLOOKUP(V175,Assumptions!$A$8:$F$12,4,FALSE),8))/2-MAX(0,IF(AS175="",0,YEAR(TODAY())-AS175)-IFERROR(VLOOKUP(V175,Assumptions!$A$8:$F$12,5,FALSE),1.5))),IFERROR(VLOOKUP(V175,Assumptions!$A$8:$F$12,5,FALSE),2.5)+IF(X175&lt;&gt;"",X175,IFERROR(VLOOKUP(V175,Assumptions!$A$8:$F$12,3,FALSE),3))+IF(Y175&lt;&gt;"",Y175,IFERROR(VLOOKUP(V175,Assumptions!$A$8:$F$12,4,FALSE),8))/2)</f>
        <v/>
      </c>
      <c r="AB175" s="24">
        <f>U175*Z175/(1+Assumptions!$B$3)^AA175</f>
        <v/>
      </c>
      <c r="AC175" s="27">
        <f>IF(U175=0,"",ROUND(AB175/U175*100,1))</f>
        <v/>
      </c>
      <c r="AD175" s="29">
        <f>AB175*Assumptions!$B$4</f>
        <v/>
      </c>
      <c r="AE175" s="27">
        <f>IF(U175=0,"",ROUND(AD175/U175*100,1))</f>
        <v/>
      </c>
      <c r="AF175" s="29">
        <f>AB175-AD175</f>
        <v/>
      </c>
      <c r="AG175" s="27">
        <f>IF(U175=0,"",ROUND((AB175-AD175)/U175*100,1))</f>
        <v/>
      </c>
      <c r="AH175" s="34" t="inlineStr">
        <is>
          <t>NO TOTALS — list prints none; check page</t>
        </is>
      </c>
      <c r="AI175" s="31" t="inlineStr">
        <is>
          <t>https://assistjud.com.br/wp-content/uploads/elementor/forms/65098c80a5824.pdf</t>
        </is>
      </c>
      <c r="AJ175" s="30" t="inlineStr">
        <is>
          <t>p5 r14</t>
        </is>
      </c>
      <c r="AK175" s="30" t="inlineStr">
        <is>
          <t>p5: R$ 783.839,34</t>
        </is>
      </c>
      <c r="AL175" s="30" t="inlineStr">
        <is>
          <t>AJ list (art. 7 §2)</t>
        </is>
      </c>
      <c r="AM175" s="30" t="inlineStr">
        <is>
          <t>2023-09-18</t>
        </is>
      </c>
      <c r="AN175" s="30" t="inlineStr">
        <is>
          <t>NONE FOUND</t>
        </is>
      </c>
      <c r="AO175" s="32" t="inlineStr">
        <is>
          <t>8005129-09.2023.8.05.0039</t>
        </is>
      </c>
      <c r="AP175" s="32" t="inlineStr">
        <is>
          <t>TJBA</t>
        </is>
      </c>
      <c r="AQ175" s="32" t="inlineStr">
        <is>
          <t>Recuperação judicial</t>
        </is>
      </c>
      <c r="AR175" s="32" t="inlineStr">
        <is>
          <t>DataJud: no closure/falência movement</t>
        </is>
      </c>
      <c r="AS175" s="32" t="n">
        <v>2023</v>
      </c>
      <c r="AT175" s="32" t="inlineStr">
        <is>
          <t>live case, no plan document yet</t>
        </is>
      </c>
      <c r="AU175" s="32" t="inlineStr"/>
      <c r="AV175" s="32" t="inlineStr">
        <is>
          <t>printed on the list (read twice)</t>
        </is>
      </c>
      <c r="AW175" s="32" t="inlineStr"/>
      <c r="AX175" s="32" t="inlineStr">
        <is>
          <t>SAO PAULO</t>
        </is>
      </c>
      <c r="AY175" s="32" t="inlineStr">
        <is>
          <t>SP</t>
        </is>
      </c>
      <c r="AZ175" s="32" t="inlineStr">
        <is>
          <t>Fundos de investimento, exceto previdenciários e imobiliários</t>
        </is>
      </c>
      <c r="BA175" s="32" t="inlineStr">
        <is>
          <t>não ME/EPP</t>
        </is>
      </c>
      <c r="BB175" s="33" t="inlineStr"/>
      <c r="BC175" s="32" t="inlineStr">
        <is>
          <t>UNKNOWN</t>
        </is>
      </c>
      <c r="BD175" s="32" t="inlineStr">
        <is>
          <t>11507489</t>
        </is>
      </c>
      <c r="BE175" s="32" t="n">
        <v>1</v>
      </c>
      <c r="BF175" s="32" t="inlineStr">
        <is>
          <t>list prints no totals</t>
        </is>
      </c>
    </row>
    <row r="176">
      <c r="A176" s="17" t="inlineStr">
        <is>
          <t>BANCO SANTANDER (BRASIL) S.A.</t>
        </is>
      </c>
      <c r="B176" s="18" t="n">
        <v>3015539.04</v>
      </c>
      <c r="C176" s="19" t="inlineStr">
        <is>
          <t>CONSTRUTORA ANDRADE GUEDES LTDA</t>
        </is>
      </c>
      <c r="D176" s="20" t="inlineStr">
        <is>
          <t>NEW</t>
        </is>
      </c>
      <c r="E176" s="21" t="inlineStr"/>
      <c r="F176" s="20" t="inlineStr"/>
      <c r="G176" s="21" t="inlineStr"/>
      <c r="H176" s="20" t="inlineStr"/>
      <c r="I176" s="22" t="inlineStr">
        <is>
          <t>Igor Puertas</t>
        </is>
      </c>
      <c r="J176" s="22" t="inlineStr">
        <is>
          <t>Distressed Assets | NPL</t>
        </is>
      </c>
      <c r="K176" s="22" t="inlineStr">
        <is>
          <t>(11) 4004-3535</t>
        </is>
      </c>
      <c r="L176" s="22" t="inlineStr"/>
      <c r="M176" s="22" t="inlineStr"/>
      <c r="N176" s="22" t="inlineStr">
        <is>
          <t>igor.puertas@santander.com.br</t>
        </is>
      </c>
      <c r="O176" s="22" t="inlineStr">
        <is>
          <t>verified</t>
        </is>
      </c>
      <c r="P176" s="22" t="inlineStr">
        <is>
          <t>Antonio Junior</t>
        </is>
      </c>
      <c r="Q176" s="22" t="inlineStr">
        <is>
          <t>Superintendente Recuperação de Crédito</t>
        </is>
      </c>
      <c r="R176" s="22" t="inlineStr"/>
      <c r="S176" s="22" t="inlineStr">
        <is>
          <t>antonio.pequeno.junior@santander.com.br</t>
        </is>
      </c>
      <c r="T176" s="22" t="inlineStr">
        <is>
          <t>DM: DM; BACKUP: backup</t>
        </is>
      </c>
      <c r="U176" s="24" t="n">
        <v>3015539.04</v>
      </c>
      <c r="V176" s="39" t="inlineStr">
        <is>
          <t>C</t>
        </is>
      </c>
      <c r="W176" s="26" t="inlineStr"/>
      <c r="X176" s="27" t="inlineStr"/>
      <c r="Y176" s="27" t="inlineStr"/>
      <c r="Z176" s="26">
        <f>IF(W176&lt;&gt;"",W176,IFERROR(VLOOKUP(V176,Assumptions!$A$8:$F$12,2,FALSE),0))*Assumptions!$B$5</f>
        <v/>
      </c>
      <c r="AA176" s="28">
        <f>IF(V176="A",MAX(1,IF(X176&lt;&gt;"",X176,IFERROR(VLOOKUP(V176,Assumptions!$A$8:$F$12,3,FALSE),3))+IF(Y176&lt;&gt;"",Y176,IFERROR(VLOOKUP(V176,Assumptions!$A$8:$F$12,4,FALSE),8))/2-MAX(0,IF(AS176="",0,YEAR(TODAY())-AS176)-IFERROR(VLOOKUP(V176,Assumptions!$A$8:$F$12,5,FALSE),1.5))),IFERROR(VLOOKUP(V176,Assumptions!$A$8:$F$12,5,FALSE),2.5)+IF(X176&lt;&gt;"",X176,IFERROR(VLOOKUP(V176,Assumptions!$A$8:$F$12,3,FALSE),3))+IF(Y176&lt;&gt;"",Y176,IFERROR(VLOOKUP(V176,Assumptions!$A$8:$F$12,4,FALSE),8))/2)</f>
        <v/>
      </c>
      <c r="AB176" s="24">
        <f>U176*Z176/(1+Assumptions!$B$3)^AA176</f>
        <v/>
      </c>
      <c r="AC176" s="27">
        <f>IF(U176=0,"",ROUND(AB176/U176*100,1))</f>
        <v/>
      </c>
      <c r="AD176" s="29">
        <f>AB176*Assumptions!$B$4</f>
        <v/>
      </c>
      <c r="AE176" s="27">
        <f>IF(U176=0,"",ROUND(AD176/U176*100,1))</f>
        <v/>
      </c>
      <c r="AF176" s="29">
        <f>AB176-AD176</f>
        <v/>
      </c>
      <c r="AG176" s="27">
        <f>IF(U176=0,"",ROUND((AB176-AD176)/U176*100,1))</f>
        <v/>
      </c>
      <c r="AH176" s="34" t="inlineStr">
        <is>
          <t>NO TOTALS — list prints none; check page</t>
        </is>
      </c>
      <c r="AI176" s="31" t="inlineStr">
        <is>
          <t>https://diligence.adm.br/wp-content/plugins/download-attachments/includes/download.php?id=4599</t>
        </is>
      </c>
      <c r="AJ176" s="30" t="inlineStr">
        <is>
          <t>p10 r8</t>
        </is>
      </c>
      <c r="AK176" s="30" t="inlineStr">
        <is>
          <t>p10: R$ 3.015.539,04</t>
        </is>
      </c>
      <c r="AL176" s="30" t="inlineStr">
        <is>
          <t>AJ list (art. 7 §2)</t>
        </is>
      </c>
      <c r="AM176" s="30" t="inlineStr">
        <is>
          <t>2024-06-25</t>
        </is>
      </c>
      <c r="AN176" s="30" t="inlineStr">
        <is>
          <t>NONE FOUND</t>
        </is>
      </c>
      <c r="AO176" s="32" t="inlineStr">
        <is>
          <t>0000880-57.2020.8.17.2001</t>
        </is>
      </c>
      <c r="AP176" s="32" t="inlineStr">
        <is>
          <t>TJPE</t>
        </is>
      </c>
      <c r="AQ176" s="32" t="inlineStr">
        <is>
          <t>Recuperação judicial</t>
        </is>
      </c>
      <c r="AR176" s="32" t="inlineStr">
        <is>
          <t>DataJud: no closure/falência movement</t>
        </is>
      </c>
      <c r="AS176" s="32" t="n">
        <v>2020</v>
      </c>
      <c r="AT176" s="32" t="inlineStr">
        <is>
          <t>6y since filing; plan not in our documents</t>
        </is>
      </c>
      <c r="AU176" s="32" t="inlineStr">
        <is>
          <t>08.073.264/0001-87</t>
        </is>
      </c>
      <c r="AV176" s="32" t="inlineStr">
        <is>
          <t>printed on the list (read twice)</t>
        </is>
      </c>
      <c r="AW176" s="32" t="inlineStr"/>
      <c r="AX176" s="32" t="inlineStr">
        <is>
          <t>SAO PAULO</t>
        </is>
      </c>
      <c r="AY176" s="32" t="inlineStr">
        <is>
          <t>SP</t>
        </is>
      </c>
      <c r="AZ176" s="32" t="inlineStr">
        <is>
          <t>Bancos múltiplos, com carteira comercial</t>
        </is>
      </c>
      <c r="BA176" s="32" t="inlineStr">
        <is>
          <t>não ME/EPP</t>
        </is>
      </c>
      <c r="BB176" s="33" t="n">
        <v>65000000000</v>
      </c>
      <c r="BC176" s="32" t="inlineStr">
        <is>
          <t>LARGE CORP</t>
        </is>
      </c>
      <c r="BD176" s="32" t="inlineStr">
        <is>
          <t>90400888</t>
        </is>
      </c>
      <c r="BE176" s="32" t="n">
        <v>1</v>
      </c>
      <c r="BF176" s="32" t="inlineStr">
        <is>
          <t>ALT_VALUE:R$15.539,04 ALT_VALUE:R$3.000.000,00 financial by name list prints no totals</t>
        </is>
      </c>
    </row>
    <row r="177">
      <c r="A177" s="17" t="inlineStr">
        <is>
          <t>BANCO SANTANDER (BRASIL) S.A.</t>
        </is>
      </c>
      <c r="B177" s="18" t="n">
        <v>5449019.47</v>
      </c>
      <c r="C177" s="19" t="inlineStr">
        <is>
          <t>Mannes</t>
        </is>
      </c>
      <c r="D177" s="20" t="inlineStr">
        <is>
          <t>NEW</t>
        </is>
      </c>
      <c r="E177" s="21" t="inlineStr"/>
      <c r="F177" s="20" t="inlineStr"/>
      <c r="G177" s="21" t="inlineStr"/>
      <c r="H177" s="20" t="inlineStr"/>
      <c r="I177" s="22" t="inlineStr">
        <is>
          <t>Igor Puertas</t>
        </is>
      </c>
      <c r="J177" s="22" t="inlineStr">
        <is>
          <t>Distressed Assets | NPL</t>
        </is>
      </c>
      <c r="K177" s="22" t="inlineStr">
        <is>
          <t>(11) 4004-3535</t>
        </is>
      </c>
      <c r="L177" s="22" t="inlineStr"/>
      <c r="M177" s="22" t="inlineStr"/>
      <c r="N177" s="22" t="inlineStr">
        <is>
          <t>igor.puertas@santander.com.br</t>
        </is>
      </c>
      <c r="O177" s="22" t="inlineStr">
        <is>
          <t>verified</t>
        </is>
      </c>
      <c r="P177" s="22" t="inlineStr">
        <is>
          <t>Antonio Junior</t>
        </is>
      </c>
      <c r="Q177" s="22" t="inlineStr">
        <is>
          <t>Superintendente Recuperação de Crédito</t>
        </is>
      </c>
      <c r="R177" s="22" t="inlineStr"/>
      <c r="S177" s="22" t="inlineStr">
        <is>
          <t>antonio.pequeno.junior@santander.com.br</t>
        </is>
      </c>
      <c r="T177" s="22" t="inlineStr">
        <is>
          <t>DM: DM; BACKUP: backup</t>
        </is>
      </c>
      <c r="U177" s="24" t="n">
        <v>5449019.47</v>
      </c>
      <c r="V177" s="40" t="inlineStr">
        <is>
          <t>D</t>
        </is>
      </c>
      <c r="W177" s="26" t="inlineStr"/>
      <c r="X177" s="27" t="inlineStr"/>
      <c r="Y177" s="27" t="inlineStr"/>
      <c r="Z177" s="26">
        <f>IF(W177&lt;&gt;"",W177,IFERROR(VLOOKUP(V177,Assumptions!$A$8:$F$12,2,FALSE),0))*Assumptions!$B$5</f>
        <v/>
      </c>
      <c r="AA177" s="28">
        <f>IF(V177="A",MAX(1,IF(X177&lt;&gt;"",X177,IFERROR(VLOOKUP(V177,Assumptions!$A$8:$F$12,3,FALSE),3))+IF(Y177&lt;&gt;"",Y177,IFERROR(VLOOKUP(V177,Assumptions!$A$8:$F$12,4,FALSE),8))/2-MAX(0,IF(AS177="",0,YEAR(TODAY())-AS177)-IFERROR(VLOOKUP(V177,Assumptions!$A$8:$F$12,5,FALSE),1.5))),IFERROR(VLOOKUP(V177,Assumptions!$A$8:$F$12,5,FALSE),2.5)+IF(X177&lt;&gt;"",X177,IFERROR(VLOOKUP(V177,Assumptions!$A$8:$F$12,3,FALSE),3))+IF(Y177&lt;&gt;"",Y177,IFERROR(VLOOKUP(V177,Assumptions!$A$8:$F$12,4,FALSE),8))/2)</f>
        <v/>
      </c>
      <c r="AB177" s="24">
        <f>U177*Z177/(1+Assumptions!$B$3)^AA177</f>
        <v/>
      </c>
      <c r="AC177" s="27">
        <f>IF(U177=0,"",ROUND(AB177/U177*100,1))</f>
        <v/>
      </c>
      <c r="AD177" s="29">
        <f>AB177*Assumptions!$B$4</f>
        <v/>
      </c>
      <c r="AE177" s="27">
        <f>IF(U177=0,"",ROUND(AD177/U177*100,1))</f>
        <v/>
      </c>
      <c r="AF177" s="29">
        <f>AB177-AD177</f>
        <v/>
      </c>
      <c r="AG177" s="27">
        <f>IF(U177=0,"",ROUND((AB177-AD177)/U177*100,1))</f>
        <v/>
      </c>
      <c r="AH177" s="36" t="inlineStr">
        <is>
          <t>CHECK — source is not a statutory creditor list</t>
        </is>
      </c>
      <c r="AI177" s="31" t="inlineStr">
        <is>
          <t>https://administradorajudicialgs.com.br/wp-content/uploads/2024/12/relacao-de-credores-da-falida.pdf</t>
        </is>
      </c>
      <c r="AJ177" s="30" t="inlineStr">
        <is>
          <t>p13 r9</t>
        </is>
      </c>
      <c r="AK177" s="30" t="inlineStr">
        <is>
          <t>p13: R$ 5.449.019,47</t>
        </is>
      </c>
      <c r="AL177" s="30" t="inlineStr">
        <is>
          <t>Other filing — NOT an art. 7/51 list</t>
        </is>
      </c>
      <c r="AM177" s="30" t="inlineStr">
        <is>
          <t>2025-03-25</t>
        </is>
      </c>
      <c r="AN177" s="30" t="inlineStr">
        <is>
          <t>NONE FOUND</t>
        </is>
      </c>
      <c r="AO177" s="32" t="inlineStr">
        <is>
          <t>0005010-50.2013.8.24.0026</t>
        </is>
      </c>
      <c r="AP177" s="32" t="inlineStr">
        <is>
          <t>TJSC</t>
        </is>
      </c>
      <c r="AQ177" s="32" t="inlineStr">
        <is>
          <t>Falência</t>
        </is>
      </c>
      <c r="AR177" s="32" t="inlineStr">
        <is>
          <t>not in DataJud</t>
        </is>
      </c>
      <c r="AS177" s="32" t="n">
        <v>2013</v>
      </c>
      <c r="AT177" s="32" t="inlineStr">
        <is>
          <t>falência proceeding (list/name says falida)</t>
        </is>
      </c>
      <c r="AU177" s="32" t="inlineStr"/>
      <c r="AV177" s="32" t="inlineStr">
        <is>
          <t>printed on the list (read twice)</t>
        </is>
      </c>
      <c r="AW177" s="32" t="inlineStr"/>
      <c r="AX177" s="32" t="inlineStr">
        <is>
          <t>SAO PAULO</t>
        </is>
      </c>
      <c r="AY177" s="32" t="inlineStr">
        <is>
          <t>SP</t>
        </is>
      </c>
      <c r="AZ177" s="32" t="inlineStr">
        <is>
          <t>Bancos múltiplos, com carteira comercial</t>
        </is>
      </c>
      <c r="BA177" s="32" t="inlineStr">
        <is>
          <t>não ME/EPP</t>
        </is>
      </c>
      <c r="BB177" s="33" t="n">
        <v>65000000000</v>
      </c>
      <c r="BC177" s="32" t="inlineStr">
        <is>
          <t>LARGE CORP</t>
        </is>
      </c>
      <c r="BD177" s="32" t="inlineStr">
        <is>
          <t>90400888</t>
        </is>
      </c>
      <c r="BE177" s="32" t="n">
        <v>1</v>
      </c>
      <c r="BF177" s="32" t="inlineStr">
        <is>
          <t>financial by name list prints no totals case no. corrected by reader</t>
        </is>
      </c>
    </row>
    <row r="178">
      <c r="A178" s="17" t="inlineStr">
        <is>
          <t>NOVA S.R.M. ADMINISTRACAO DE RECURSOS E FINANCAS S/A</t>
        </is>
      </c>
      <c r="B178" s="18" t="n">
        <v>758973.08</v>
      </c>
      <c r="C178" s="19" t="inlineStr">
        <is>
          <t>GRUPO DP4</t>
        </is>
      </c>
      <c r="D178" s="20" t="inlineStr">
        <is>
          <t>NEW</t>
        </is>
      </c>
      <c r="E178" s="21" t="inlineStr"/>
      <c r="F178" s="20" t="inlineStr"/>
      <c r="G178" s="21" t="inlineStr"/>
      <c r="H178" s="20" t="inlineStr"/>
      <c r="I178" s="22" t="inlineStr">
        <is>
          <t>AQUILES FELDMAN</t>
        </is>
      </c>
      <c r="J178" s="23" t="inlineStr">
        <is>
          <t>Diretor (RFB partner)</t>
        </is>
      </c>
      <c r="K178" s="22" t="inlineStr">
        <is>
          <t>(11) 3334-2100</t>
        </is>
      </c>
      <c r="L178" s="22" t="inlineStr">
        <is>
          <t>(11) 3334-2151</t>
        </is>
      </c>
      <c r="M178" s="22" t="inlineStr"/>
      <c r="N178" s="22" t="inlineStr"/>
      <c r="O178" s="22" t="inlineStr"/>
      <c r="P178" s="22" t="inlineStr">
        <is>
          <t>EDUARDO VIEIRA DE SIQUEIRA</t>
        </is>
      </c>
      <c r="Q178" s="22" t="inlineStr">
        <is>
          <t>Diretor (RFB partner)</t>
        </is>
      </c>
      <c r="R178" s="22" t="inlineStr"/>
      <c r="S178" s="22" t="inlineStr"/>
      <c r="T178" s="22" t="inlineStr">
        <is>
          <t>DM = registered partner (RFB QSA); no Apollo match</t>
        </is>
      </c>
      <c r="U178" s="24" t="n">
        <v>758973.08</v>
      </c>
      <c r="V178" s="25" t="inlineStr">
        <is>
          <t>B</t>
        </is>
      </c>
      <c r="W178" s="26" t="inlineStr"/>
      <c r="X178" s="27" t="inlineStr"/>
      <c r="Y178" s="27" t="inlineStr"/>
      <c r="Z178" s="26">
        <f>IF(W178&lt;&gt;"",W178,IFERROR(VLOOKUP(V178,Assumptions!$A$8:$F$12,2,FALSE),0))*Assumptions!$B$5</f>
        <v/>
      </c>
      <c r="AA178" s="28">
        <f>IF(V178="A",MAX(1,IF(X178&lt;&gt;"",X178,IFERROR(VLOOKUP(V178,Assumptions!$A$8:$F$12,3,FALSE),3))+IF(Y178&lt;&gt;"",Y178,IFERROR(VLOOKUP(V178,Assumptions!$A$8:$F$12,4,FALSE),8))/2-MAX(0,IF(AS178="",0,YEAR(TODAY())-AS178)-IFERROR(VLOOKUP(V178,Assumptions!$A$8:$F$12,5,FALSE),1.5))),IFERROR(VLOOKUP(V178,Assumptions!$A$8:$F$12,5,FALSE),2.5)+IF(X178&lt;&gt;"",X178,IFERROR(VLOOKUP(V178,Assumptions!$A$8:$F$12,3,FALSE),3))+IF(Y178&lt;&gt;"",Y178,IFERROR(VLOOKUP(V178,Assumptions!$A$8:$F$12,4,FALSE),8))/2)</f>
        <v/>
      </c>
      <c r="AB178" s="24">
        <f>U178*Z178/(1+Assumptions!$B$3)^AA178</f>
        <v/>
      </c>
      <c r="AC178" s="27">
        <f>IF(U178=0,"",ROUND(AB178/U178*100,1))</f>
        <v/>
      </c>
      <c r="AD178" s="29">
        <f>AB178*Assumptions!$B$4</f>
        <v/>
      </c>
      <c r="AE178" s="27">
        <f>IF(U178=0,"",ROUND(AD178/U178*100,1))</f>
        <v/>
      </c>
      <c r="AF178" s="29">
        <f>AB178-AD178</f>
        <v/>
      </c>
      <c r="AG178" s="27">
        <f>IF(U178=0,"",ROUND((AB178-AD178)/U178*100,1))</f>
        <v/>
      </c>
      <c r="AH178" s="35" t="inlineStr">
        <is>
          <t>PARTIAL — class III reconciled, other classes not</t>
        </is>
      </c>
      <c r="AI178" s="31" t="inlineStr">
        <is>
          <t>https://marquesadmjudicial.com.br/sgc/download.php?file=files/processo_documento/processo_documento15293208032024_1_.pdf&amp;nome=Relação Nominal de Credores da AJ-Sintética</t>
        </is>
      </c>
      <c r="AJ178" s="30" t="inlineStr">
        <is>
          <t>p29 r12</t>
        </is>
      </c>
      <c r="AK178" s="30" t="inlineStr">
        <is>
          <t>p29: R$ 758.973,08</t>
        </is>
      </c>
      <c r="AL178" s="30" t="inlineStr">
        <is>
          <t>AJ list (art. 7 §2)</t>
        </is>
      </c>
      <c r="AM178" s="30" t="inlineStr">
        <is>
          <t>2023-03-02</t>
        </is>
      </c>
      <c r="AN178" s="30" t="inlineStr">
        <is>
          <t>NONE FOUND</t>
        </is>
      </c>
      <c r="AO178" s="32" t="inlineStr">
        <is>
          <t>0005010-98.2023.8.16.0001</t>
        </is>
      </c>
      <c r="AP178" s="32" t="inlineStr">
        <is>
          <t>TJPR</t>
        </is>
      </c>
      <c r="AQ178" s="32" t="inlineStr">
        <is>
          <t>Recuperação judicial</t>
        </is>
      </c>
      <c r="AR178" s="32" t="inlineStr">
        <is>
          <t>DataJud: no closure/falência movement</t>
        </is>
      </c>
      <c r="AS178" s="32" t="n">
        <v>2023</v>
      </c>
      <c r="AT178" s="32" t="inlineStr">
        <is>
          <t>live case, no plan document yet</t>
        </is>
      </c>
      <c r="AU178" s="32" t="inlineStr"/>
      <c r="AV178" s="32" t="inlineStr">
        <is>
          <t>printed on the list (read twice)</t>
        </is>
      </c>
      <c r="AW178" s="32" t="inlineStr"/>
      <c r="AX178" s="32" t="inlineStr">
        <is>
          <t>SAO PAULO</t>
        </is>
      </c>
      <c r="AY178" s="32" t="inlineStr">
        <is>
          <t>SP</t>
        </is>
      </c>
      <c r="AZ178" s="32" t="inlineStr">
        <is>
          <t>Atividades de administração de fundos por contrato ou comissão</t>
        </is>
      </c>
      <c r="BA178" s="32" t="inlineStr">
        <is>
          <t>não ME/EPP</t>
        </is>
      </c>
      <c r="BB178" s="33" t="n">
        <v>12006000</v>
      </c>
      <c r="BC178" s="32" t="inlineStr">
        <is>
          <t>MID-MARKET</t>
        </is>
      </c>
      <c r="BD178" s="32" t="inlineStr">
        <is>
          <t>11504852</t>
        </is>
      </c>
      <c r="BE178" s="32" t="n">
        <v>1</v>
      </c>
      <c r="BF178" s="32" t="inlineStr">
        <is>
          <t>class III reconciled (doc partial)</t>
        </is>
      </c>
    </row>
    <row r="179">
      <c r="A179" s="17" t="inlineStr">
        <is>
          <t>ASIA FIDC</t>
        </is>
      </c>
      <c r="B179" s="18" t="n">
        <v>758759.36</v>
      </c>
      <c r="C179" s="19" t="inlineStr">
        <is>
          <t>Grupo Conduscabos</t>
        </is>
      </c>
      <c r="D179" s="20" t="inlineStr">
        <is>
          <t>NEW</t>
        </is>
      </c>
      <c r="E179" s="21" t="inlineStr"/>
      <c r="F179" s="20" t="inlineStr"/>
      <c r="G179" s="21" t="inlineStr"/>
      <c r="H179" s="20" t="inlineStr"/>
      <c r="I179" s="22" t="inlineStr"/>
      <c r="J179" s="22" t="inlineStr"/>
      <c r="K179" s="22" t="inlineStr"/>
      <c r="L179" s="22" t="inlineStr"/>
      <c r="M179" s="22" t="inlineStr"/>
      <c r="N179" s="22" t="inlineStr"/>
      <c r="O179" s="22" t="inlineStr"/>
      <c r="P179" s="22" t="inlineStr"/>
      <c r="Q179" s="22" t="inlineStr"/>
      <c r="R179" s="22" t="inlineStr"/>
      <c r="S179" s="22" t="inlineStr"/>
      <c r="T179" s="22" t="inlineStr">
        <is>
          <t>no named contact found; NO ROUTE IN: no phone or email on file</t>
        </is>
      </c>
      <c r="U179" s="24" t="n">
        <v>758759.36</v>
      </c>
      <c r="V179" s="25" t="inlineStr">
        <is>
          <t>B</t>
        </is>
      </c>
      <c r="W179" s="26" t="inlineStr"/>
      <c r="X179" s="27" t="inlineStr"/>
      <c r="Y179" s="27" t="inlineStr"/>
      <c r="Z179" s="26">
        <f>IF(W179&lt;&gt;"",W179,IFERROR(VLOOKUP(V179,Assumptions!$A$8:$F$12,2,FALSE),0))*Assumptions!$B$5</f>
        <v/>
      </c>
      <c r="AA179" s="28">
        <f>IF(V179="A",MAX(1,IF(X179&lt;&gt;"",X179,IFERROR(VLOOKUP(V179,Assumptions!$A$8:$F$12,3,FALSE),3))+IF(Y179&lt;&gt;"",Y179,IFERROR(VLOOKUP(V179,Assumptions!$A$8:$F$12,4,FALSE),8))/2-MAX(0,IF(AS179="",0,YEAR(TODAY())-AS179)-IFERROR(VLOOKUP(V179,Assumptions!$A$8:$F$12,5,FALSE),1.5))),IFERROR(VLOOKUP(V179,Assumptions!$A$8:$F$12,5,FALSE),2.5)+IF(X179&lt;&gt;"",X179,IFERROR(VLOOKUP(V179,Assumptions!$A$8:$F$12,3,FALSE),3))+IF(Y179&lt;&gt;"",Y179,IFERROR(VLOOKUP(V179,Assumptions!$A$8:$F$12,4,FALSE),8))/2)</f>
        <v/>
      </c>
      <c r="AB179" s="24">
        <f>U179*Z179/(1+Assumptions!$B$3)^AA179</f>
        <v/>
      </c>
      <c r="AC179" s="27">
        <f>IF(U179=0,"",ROUND(AB179/U179*100,1))</f>
        <v/>
      </c>
      <c r="AD179" s="29">
        <f>AB179*Assumptions!$B$4</f>
        <v/>
      </c>
      <c r="AE179" s="27">
        <f>IF(U179=0,"",ROUND(AD179/U179*100,1))</f>
        <v/>
      </c>
      <c r="AF179" s="29">
        <f>AB179-AD179</f>
        <v/>
      </c>
      <c r="AG179" s="27">
        <f>IF(U179=0,"",ROUND((AB179-AD179)/U179*100,1))</f>
        <v/>
      </c>
      <c r="AH179" s="34" t="inlineStr">
        <is>
          <t>NO TOTALS — list prints none; check page</t>
        </is>
      </c>
      <c r="AI179" s="31" t="inlineStr">
        <is>
          <t>https://assistjud.com.br/wp-content/uploads/elementor/forms/65098c80a5824.pdf</t>
        </is>
      </c>
      <c r="AJ179" s="30" t="inlineStr">
        <is>
          <t>p5 r5</t>
        </is>
      </c>
      <c r="AK179" s="30" t="inlineStr">
        <is>
          <t>p5: R$ 758.759,36</t>
        </is>
      </c>
      <c r="AL179" s="30" t="inlineStr">
        <is>
          <t>AJ list (art. 7 §2)</t>
        </is>
      </c>
      <c r="AM179" s="30" t="inlineStr">
        <is>
          <t>2023-09-18</t>
        </is>
      </c>
      <c r="AN179" s="30" t="inlineStr">
        <is>
          <t>NONE FOUND</t>
        </is>
      </c>
      <c r="AO179" s="32" t="inlineStr">
        <is>
          <t>8005129-09.2023.8.05.0039</t>
        </is>
      </c>
      <c r="AP179" s="32" t="inlineStr">
        <is>
          <t>TJBA</t>
        </is>
      </c>
      <c r="AQ179" s="32" t="inlineStr">
        <is>
          <t>Recuperação judicial</t>
        </is>
      </c>
      <c r="AR179" s="32" t="inlineStr">
        <is>
          <t>DataJud: no closure/falência movement</t>
        </is>
      </c>
      <c r="AS179" s="32" t="n">
        <v>2023</v>
      </c>
      <c r="AT179" s="32" t="inlineStr">
        <is>
          <t>live case, no plan document yet</t>
        </is>
      </c>
      <c r="AU179" s="32" t="inlineStr"/>
      <c r="AV179" s="32" t="inlineStr">
        <is>
          <t>printed on the list (read twice)</t>
        </is>
      </c>
      <c r="AW179" s="32" t="inlineStr"/>
      <c r="AX179" s="32" t="inlineStr"/>
      <c r="AY179" s="32" t="inlineStr"/>
      <c r="AZ179" s="32" t="inlineStr"/>
      <c r="BA179" s="32" t="inlineStr"/>
      <c r="BB179" s="33" t="inlineStr"/>
      <c r="BC179" s="32" t="inlineStr">
        <is>
          <t>UNKNOWN</t>
        </is>
      </c>
      <c r="BD179" s="32" t="inlineStr">
        <is>
          <t>09172117</t>
        </is>
      </c>
      <c r="BE179" s="32" t="n">
        <v>1</v>
      </c>
      <c r="BF179" s="32" t="inlineStr">
        <is>
          <t>financial by name list prints no totals no RFB record no route in</t>
        </is>
      </c>
    </row>
    <row r="180">
      <c r="A180" s="17" t="inlineStr">
        <is>
          <t>Mr Fundo De Investimento Em Direitos Creditorios</t>
        </is>
      </c>
      <c r="B180" s="18" t="n">
        <v>750053.4</v>
      </c>
      <c r="C180" s="19" t="inlineStr">
        <is>
          <t>Grupo Agromeal</t>
        </is>
      </c>
      <c r="D180" s="20" t="inlineStr">
        <is>
          <t>NEW</t>
        </is>
      </c>
      <c r="E180" s="21" t="inlineStr"/>
      <c r="F180" s="20" t="inlineStr"/>
      <c r="G180" s="21" t="inlineStr"/>
      <c r="H180" s="20" t="inlineStr"/>
      <c r="I180" s="22" t="inlineStr">
        <is>
          <t>Juliana Rodrigues</t>
        </is>
      </c>
      <c r="J180" s="22" t="inlineStr">
        <is>
          <t>Gerente de Crédito e Cobrança</t>
        </is>
      </c>
      <c r="K180" s="22" t="inlineStr"/>
      <c r="L180" s="22" t="inlineStr"/>
      <c r="M180" s="22" t="inlineStr"/>
      <c r="N180" s="22" t="inlineStr">
        <is>
          <t>juliana.rodrigues@mrfidc.com.br</t>
        </is>
      </c>
      <c r="O180" s="22" t="inlineStr">
        <is>
          <t>verified</t>
        </is>
      </c>
      <c r="P180" s="22" t="inlineStr">
        <is>
          <t>Gustavo Abud</t>
        </is>
      </c>
      <c r="Q180" s="22" t="inlineStr">
        <is>
          <t>Coordenador de Cobrança Jr</t>
        </is>
      </c>
      <c r="R180" s="22" t="inlineStr"/>
      <c r="S180" s="22" t="inlineStr">
        <is>
          <t>gustavo.abud@mrfidc.com.br</t>
        </is>
      </c>
      <c r="T180" s="22" t="inlineStr">
        <is>
          <t>DM: DM verified email; VERIFY org: MR FIDC (generic name); BACKUP: backup verified email</t>
        </is>
      </c>
      <c r="U180" s="24" t="n">
        <v>750053.4</v>
      </c>
      <c r="V180" s="25" t="inlineStr">
        <is>
          <t>B</t>
        </is>
      </c>
      <c r="W180" s="26" t="inlineStr"/>
      <c r="X180" s="27" t="inlineStr"/>
      <c r="Y180" s="27" t="inlineStr"/>
      <c r="Z180" s="26">
        <f>IF(W180&lt;&gt;"",W180,IFERROR(VLOOKUP(V180,Assumptions!$A$8:$F$12,2,FALSE),0))*Assumptions!$B$5</f>
        <v/>
      </c>
      <c r="AA180" s="28">
        <f>IF(V180="A",MAX(1,IF(X180&lt;&gt;"",X180,IFERROR(VLOOKUP(V180,Assumptions!$A$8:$F$12,3,FALSE),3))+IF(Y180&lt;&gt;"",Y180,IFERROR(VLOOKUP(V180,Assumptions!$A$8:$F$12,4,FALSE),8))/2-MAX(0,IF(AS180="",0,YEAR(TODAY())-AS180)-IFERROR(VLOOKUP(V180,Assumptions!$A$8:$F$12,5,FALSE),1.5))),IFERROR(VLOOKUP(V180,Assumptions!$A$8:$F$12,5,FALSE),2.5)+IF(X180&lt;&gt;"",X180,IFERROR(VLOOKUP(V180,Assumptions!$A$8:$F$12,3,FALSE),3))+IF(Y180&lt;&gt;"",Y180,IFERROR(VLOOKUP(V180,Assumptions!$A$8:$F$12,4,FALSE),8))/2)</f>
        <v/>
      </c>
      <c r="AB180" s="24">
        <f>U180*Z180/(1+Assumptions!$B$3)^AA180</f>
        <v/>
      </c>
      <c r="AC180" s="27">
        <f>IF(U180=0,"",ROUND(AB180/U180*100,1))</f>
        <v/>
      </c>
      <c r="AD180" s="29">
        <f>AB180*Assumptions!$B$4</f>
        <v/>
      </c>
      <c r="AE180" s="27">
        <f>IF(U180=0,"",ROUND(AD180/U180*100,1))</f>
        <v/>
      </c>
      <c r="AF180" s="29">
        <f>AB180-AD180</f>
        <v/>
      </c>
      <c r="AG180" s="27">
        <f>IF(U180=0,"",ROUND((AB180-AD180)/U180*100,1))</f>
        <v/>
      </c>
      <c r="AH180" s="35" t="inlineStr">
        <is>
          <t>PARTIAL — class III reconciled, other classes not</t>
        </is>
      </c>
      <c r="AI180" s="31" t="inlineStr">
        <is>
          <t>https://marquesadmjudicial.com.br/sgc/download.php?file=files/processo_documento/processo_documento17040729052024_1_.pdf&amp;nome=Relação Nominal de Credores AJ-Sintética</t>
        </is>
      </c>
      <c r="AJ180" s="30" t="inlineStr">
        <is>
          <t>p12 r8</t>
        </is>
      </c>
      <c r="AK180" s="30" t="inlineStr">
        <is>
          <t>p12: R$ 750.053,40</t>
        </is>
      </c>
      <c r="AL180" s="30" t="inlineStr">
        <is>
          <t>AJ list (art. 7 §2)</t>
        </is>
      </c>
      <c r="AM180" s="30" t="inlineStr">
        <is>
          <t>2024-05-27</t>
        </is>
      </c>
      <c r="AN180" s="30" t="inlineStr">
        <is>
          <t>NONE FOUND</t>
        </is>
      </c>
      <c r="AO180" s="32" t="inlineStr">
        <is>
          <t>0003971-03.2023.8.16.0119</t>
        </is>
      </c>
      <c r="AP180" s="32" t="inlineStr">
        <is>
          <t>TJPR</t>
        </is>
      </c>
      <c r="AQ180" s="32" t="inlineStr">
        <is>
          <t>Recuperação judicial</t>
        </is>
      </c>
      <c r="AR180" s="32" t="inlineStr">
        <is>
          <t>DataJud: no closure/falência movement</t>
        </is>
      </c>
      <c r="AS180" s="32" t="n">
        <v>2023</v>
      </c>
      <c r="AT180" s="32" t="inlineStr">
        <is>
          <t>live case, no plan document yet</t>
        </is>
      </c>
      <c r="AU180" s="32" t="inlineStr">
        <is>
          <t>11.624.776/0001-07</t>
        </is>
      </c>
      <c r="AV180" s="32" t="inlineStr">
        <is>
          <t>printed on the list (read twice)</t>
        </is>
      </c>
      <c r="AW180" s="32" t="inlineStr"/>
      <c r="AX180" s="32" t="inlineStr"/>
      <c r="AY180" s="32" t="inlineStr"/>
      <c r="AZ180" s="32" t="inlineStr"/>
      <c r="BA180" s="32" t="inlineStr"/>
      <c r="BB180" s="33" t="inlineStr"/>
      <c r="BC180" s="32" t="inlineStr">
        <is>
          <t>UNKNOWN</t>
        </is>
      </c>
      <c r="BD180" s="32" t="inlineStr">
        <is>
          <t>22175405</t>
        </is>
      </c>
      <c r="BE180" s="32" t="n">
        <v>1</v>
      </c>
      <c r="BF180" s="32" t="inlineStr">
        <is>
          <t>financial by name class III reconciled (doc partial) no RFB record</t>
        </is>
      </c>
    </row>
    <row r="181">
      <c r="A181" s="17" t="inlineStr">
        <is>
          <t>COOPERATIVA DE CREDITO MAXI ALFA DE LIVRE ADMISSAO DE ASSOCIADOS - SICOOB MAXICREDITO</t>
        </is>
      </c>
      <c r="B181" s="18" t="n">
        <v>722007.6800000001</v>
      </c>
      <c r="C181" s="19" t="inlineStr">
        <is>
          <t>Alto Uruguai Indústria e Comércio de Óleos Ltda</t>
        </is>
      </c>
      <c r="D181" s="20" t="inlineStr">
        <is>
          <t>NEW</t>
        </is>
      </c>
      <c r="E181" s="21" t="inlineStr"/>
      <c r="F181" s="20" t="inlineStr"/>
      <c r="G181" s="21" t="inlineStr"/>
      <c r="H181" s="20" t="inlineStr"/>
      <c r="I181" s="22" t="inlineStr">
        <is>
          <t>Ana Masetti</t>
        </is>
      </c>
      <c r="J181" s="22" t="inlineStr">
        <is>
          <t>Coordenador de Cobranca e Recuperacao de Crédito</t>
        </is>
      </c>
      <c r="K181" s="22" t="inlineStr"/>
      <c r="L181" s="22" t="inlineStr"/>
      <c r="M181" s="22" t="inlineStr"/>
      <c r="N181" s="22" t="inlineStr">
        <is>
          <t>ana.masetti@maxicredito.coop.br</t>
        </is>
      </c>
      <c r="O181" s="22" t="inlineStr">
        <is>
          <t>verified</t>
        </is>
      </c>
      <c r="P181" s="22" t="inlineStr">
        <is>
          <t>Luiz Piva</t>
        </is>
      </c>
      <c r="Q181" s="22" t="inlineStr">
        <is>
          <t>Gerente de Estratégia de Crédito</t>
        </is>
      </c>
      <c r="R181" s="22" t="inlineStr"/>
      <c r="S181" s="22" t="inlineStr">
        <is>
          <t>luiz.piva@maxicredito.coop.br</t>
        </is>
      </c>
      <c r="T181" s="22" t="inlineStr">
        <is>
          <t>DM: DM verified email; BACKUP: backup extrapolated email; backup email is pattern-guessed</t>
        </is>
      </c>
      <c r="U181" s="24" t="n">
        <v>722007.6800000001</v>
      </c>
      <c r="V181" s="25" t="inlineStr">
        <is>
          <t>B</t>
        </is>
      </c>
      <c r="W181" s="26" t="inlineStr"/>
      <c r="X181" s="27" t="inlineStr"/>
      <c r="Y181" s="27" t="inlineStr"/>
      <c r="Z181" s="26">
        <f>IF(W181&lt;&gt;"",W181,IFERROR(VLOOKUP(V181,Assumptions!$A$8:$F$12,2,FALSE),0))*Assumptions!$B$5</f>
        <v/>
      </c>
      <c r="AA181" s="28">
        <f>IF(V181="A",MAX(1,IF(X181&lt;&gt;"",X181,IFERROR(VLOOKUP(V181,Assumptions!$A$8:$F$12,3,FALSE),3))+IF(Y181&lt;&gt;"",Y181,IFERROR(VLOOKUP(V181,Assumptions!$A$8:$F$12,4,FALSE),8))/2-MAX(0,IF(AS181="",0,YEAR(TODAY())-AS181)-IFERROR(VLOOKUP(V181,Assumptions!$A$8:$F$12,5,FALSE),1.5))),IFERROR(VLOOKUP(V181,Assumptions!$A$8:$F$12,5,FALSE),2.5)+IF(X181&lt;&gt;"",X181,IFERROR(VLOOKUP(V181,Assumptions!$A$8:$F$12,3,FALSE),3))+IF(Y181&lt;&gt;"",Y181,IFERROR(VLOOKUP(V181,Assumptions!$A$8:$F$12,4,FALSE),8))/2)</f>
        <v/>
      </c>
      <c r="AB181" s="24">
        <f>U181*Z181/(1+Assumptions!$B$3)^AA181</f>
        <v/>
      </c>
      <c r="AC181" s="27">
        <f>IF(U181=0,"",ROUND(AB181/U181*100,1))</f>
        <v/>
      </c>
      <c r="AD181" s="29">
        <f>AB181*Assumptions!$B$4</f>
        <v/>
      </c>
      <c r="AE181" s="27">
        <f>IF(U181=0,"",ROUND(AD181/U181*100,1))</f>
        <v/>
      </c>
      <c r="AF181" s="29">
        <f>AB181-AD181</f>
        <v/>
      </c>
      <c r="AG181" s="27">
        <f>IF(U181=0,"",ROUND((AB181-AD181)/U181*100,1))</f>
        <v/>
      </c>
      <c r="AH181" s="30" t="inlineStr">
        <is>
          <t>OK — totals reconciled</t>
        </is>
      </c>
      <c r="AI181" s="31" t="inlineStr">
        <is>
          <t>https://ajruiz.com.br/sites/default/files/public/arquivos-processos/2026-06/alto_uruguai_qgc_junho.2026.pdf</t>
        </is>
      </c>
      <c r="AJ181" s="30" t="inlineStr">
        <is>
          <t>p1 r19</t>
        </is>
      </c>
      <c r="AK181" s="30" t="inlineStr">
        <is>
          <t>p1: R$ 722.007,68</t>
        </is>
      </c>
      <c r="AL181" s="30" t="inlineStr">
        <is>
          <t>Unclassified list</t>
        </is>
      </c>
      <c r="AM181" s="30" t="inlineStr"/>
      <c r="AN181" s="30" t="inlineStr">
        <is>
          <t>NONE FOUND</t>
        </is>
      </c>
      <c r="AO181" s="32" t="inlineStr">
        <is>
          <t>5012743-51.2023.8.24.0019</t>
        </is>
      </c>
      <c r="AP181" s="32" t="inlineStr">
        <is>
          <t>TJSC</t>
        </is>
      </c>
      <c r="AQ181" s="32" t="inlineStr">
        <is>
          <t>Recuperação judicial</t>
        </is>
      </c>
      <c r="AR181" s="32" t="inlineStr">
        <is>
          <t>DataJud: no closure/falência movement</t>
        </is>
      </c>
      <c r="AS181" s="32" t="n">
        <v>2023</v>
      </c>
      <c r="AT181" s="32" t="inlineStr">
        <is>
          <t>live case, no plan document yet</t>
        </is>
      </c>
      <c r="AU181" s="32" t="inlineStr"/>
      <c r="AV181" s="32" t="inlineStr">
        <is>
          <t>printed on the list (read twice)</t>
        </is>
      </c>
      <c r="AW181" s="32" t="inlineStr"/>
      <c r="AX181" s="32" t="inlineStr"/>
      <c r="AY181" s="32" t="inlineStr"/>
      <c r="AZ181" s="32" t="inlineStr"/>
      <c r="BA181" s="32" t="inlineStr"/>
      <c r="BB181" s="33" t="inlineStr"/>
      <c r="BC181" s="32" t="inlineStr">
        <is>
          <t>UNKNOWN</t>
        </is>
      </c>
      <c r="BD181" s="32" t="inlineStr">
        <is>
          <t>78825270</t>
        </is>
      </c>
      <c r="BE181" s="32" t="n">
        <v>1</v>
      </c>
      <c r="BF181" s="32" t="inlineStr">
        <is>
          <t>financial by name no RFB record</t>
        </is>
      </c>
    </row>
    <row r="182">
      <c r="A182" s="17" t="inlineStr">
        <is>
          <t>BANCO SANTANDER (BRASIL) S.A.</t>
        </is>
      </c>
      <c r="B182" s="18" t="n">
        <v>720900.58</v>
      </c>
      <c r="C182" s="19" t="inlineStr">
        <is>
          <t>Grupo Agromeal</t>
        </is>
      </c>
      <c r="D182" s="20" t="inlineStr">
        <is>
          <t>NEW</t>
        </is>
      </c>
      <c r="E182" s="21" t="inlineStr"/>
      <c r="F182" s="20" t="inlineStr"/>
      <c r="G182" s="21" t="inlineStr"/>
      <c r="H182" s="20" t="inlineStr"/>
      <c r="I182" s="22" t="inlineStr">
        <is>
          <t>Igor Puertas</t>
        </is>
      </c>
      <c r="J182" s="22" t="inlineStr">
        <is>
          <t>Distressed Assets | NPL</t>
        </is>
      </c>
      <c r="K182" s="22" t="inlineStr">
        <is>
          <t>(11) 4004-3535</t>
        </is>
      </c>
      <c r="L182" s="22" t="inlineStr"/>
      <c r="M182" s="22" t="inlineStr"/>
      <c r="N182" s="22" t="inlineStr">
        <is>
          <t>igor.puertas@santander.com.br</t>
        </is>
      </c>
      <c r="O182" s="22" t="inlineStr">
        <is>
          <t>verified</t>
        </is>
      </c>
      <c r="P182" s="22" t="inlineStr">
        <is>
          <t>Antonio Junior</t>
        </is>
      </c>
      <c r="Q182" s="22" t="inlineStr">
        <is>
          <t>Superintendente Recuperação de Crédito</t>
        </is>
      </c>
      <c r="R182" s="22" t="inlineStr"/>
      <c r="S182" s="22" t="inlineStr">
        <is>
          <t>antonio.pequeno.junior@santander.com.br</t>
        </is>
      </c>
      <c r="T182" s="22" t="inlineStr">
        <is>
          <t>DM: DM; BACKUP: backup</t>
        </is>
      </c>
      <c r="U182" s="24" t="n">
        <v>720900.58</v>
      </c>
      <c r="V182" s="25" t="inlineStr">
        <is>
          <t>B</t>
        </is>
      </c>
      <c r="W182" s="26" t="inlineStr"/>
      <c r="X182" s="27" t="inlineStr"/>
      <c r="Y182" s="27" t="inlineStr"/>
      <c r="Z182" s="26">
        <f>IF(W182&lt;&gt;"",W182,IFERROR(VLOOKUP(V182,Assumptions!$A$8:$F$12,2,FALSE),0))*Assumptions!$B$5</f>
        <v/>
      </c>
      <c r="AA182" s="28">
        <f>IF(V182="A",MAX(1,IF(X182&lt;&gt;"",X182,IFERROR(VLOOKUP(V182,Assumptions!$A$8:$F$12,3,FALSE),3))+IF(Y182&lt;&gt;"",Y182,IFERROR(VLOOKUP(V182,Assumptions!$A$8:$F$12,4,FALSE),8))/2-MAX(0,IF(AS182="",0,YEAR(TODAY())-AS182)-IFERROR(VLOOKUP(V182,Assumptions!$A$8:$F$12,5,FALSE),1.5))),IFERROR(VLOOKUP(V182,Assumptions!$A$8:$F$12,5,FALSE),2.5)+IF(X182&lt;&gt;"",X182,IFERROR(VLOOKUP(V182,Assumptions!$A$8:$F$12,3,FALSE),3))+IF(Y182&lt;&gt;"",Y182,IFERROR(VLOOKUP(V182,Assumptions!$A$8:$F$12,4,FALSE),8))/2)</f>
        <v/>
      </c>
      <c r="AB182" s="24">
        <f>U182*Z182/(1+Assumptions!$B$3)^AA182</f>
        <v/>
      </c>
      <c r="AC182" s="27">
        <f>IF(U182=0,"",ROUND(AB182/U182*100,1))</f>
        <v/>
      </c>
      <c r="AD182" s="29">
        <f>AB182*Assumptions!$B$4</f>
        <v/>
      </c>
      <c r="AE182" s="27">
        <f>IF(U182=0,"",ROUND(AD182/U182*100,1))</f>
        <v/>
      </c>
      <c r="AF182" s="29">
        <f>AB182-AD182</f>
        <v/>
      </c>
      <c r="AG182" s="27">
        <f>IF(U182=0,"",ROUND((AB182-AD182)/U182*100,1))</f>
        <v/>
      </c>
      <c r="AH182" s="35" t="inlineStr">
        <is>
          <t>PARTIAL — class III reconciled, other classes not</t>
        </is>
      </c>
      <c r="AI182" s="31" t="inlineStr">
        <is>
          <t>https://marquesadmjudicial.com.br/sgc/download.php?file=files/processo_documento/processo_documento17040729052024_1_.pdf&amp;nome=Relação Nominal de Credores AJ-Sintética</t>
        </is>
      </c>
      <c r="AJ182" s="30" t="inlineStr">
        <is>
          <t>p10 r6</t>
        </is>
      </c>
      <c r="AK182" s="30" t="inlineStr">
        <is>
          <t>p10: R$ 720.900,58</t>
        </is>
      </c>
      <c r="AL182" s="30" t="inlineStr">
        <is>
          <t>AJ list (art. 7 §2)</t>
        </is>
      </c>
      <c r="AM182" s="30" t="inlineStr">
        <is>
          <t>2024-05-27</t>
        </is>
      </c>
      <c r="AN182" s="30" t="inlineStr">
        <is>
          <t>NONE FOUND</t>
        </is>
      </c>
      <c r="AO182" s="32" t="inlineStr">
        <is>
          <t>0003971-03.2023.8.16.0119</t>
        </is>
      </c>
      <c r="AP182" s="32" t="inlineStr">
        <is>
          <t>TJPR</t>
        </is>
      </c>
      <c r="AQ182" s="32" t="inlineStr">
        <is>
          <t>Recuperação judicial</t>
        </is>
      </c>
      <c r="AR182" s="32" t="inlineStr">
        <is>
          <t>DataJud: no closure/falência movement</t>
        </is>
      </c>
      <c r="AS182" s="32" t="n">
        <v>2023</v>
      </c>
      <c r="AT182" s="32" t="inlineStr">
        <is>
          <t>live case, no plan document yet</t>
        </is>
      </c>
      <c r="AU182" s="32" t="inlineStr">
        <is>
          <t>11.624.776/0001-07</t>
        </is>
      </c>
      <c r="AV182" s="32" t="inlineStr">
        <is>
          <t>printed on the list (read twice)</t>
        </is>
      </c>
      <c r="AW182" s="32" t="inlineStr"/>
      <c r="AX182" s="32" t="inlineStr">
        <is>
          <t>SAO PAULO</t>
        </is>
      </c>
      <c r="AY182" s="32" t="inlineStr">
        <is>
          <t>SP</t>
        </is>
      </c>
      <c r="AZ182" s="32" t="inlineStr">
        <is>
          <t>Bancos múltiplos, com carteira comercial</t>
        </is>
      </c>
      <c r="BA182" s="32" t="inlineStr">
        <is>
          <t>não ME/EPP</t>
        </is>
      </c>
      <c r="BB182" s="33" t="n">
        <v>65000000000</v>
      </c>
      <c r="BC182" s="32" t="inlineStr">
        <is>
          <t>LARGE CORP</t>
        </is>
      </c>
      <c r="BD182" s="32" t="inlineStr">
        <is>
          <t>90400888</t>
        </is>
      </c>
      <c r="BE182" s="32" t="n">
        <v>1</v>
      </c>
      <c r="BF182" s="32" t="inlineStr">
        <is>
          <t>financial by name class III reconciled (doc partial)</t>
        </is>
      </c>
    </row>
    <row r="183">
      <c r="A183" s="17" t="inlineStr">
        <is>
          <t>CNP Consorcio S.A. Administradora De Consorcios</t>
        </is>
      </c>
      <c r="B183" s="18" t="n">
        <v>713320.8199999999</v>
      </c>
      <c r="C183" s="19" t="inlineStr">
        <is>
          <t>GRUPO DP4</t>
        </is>
      </c>
      <c r="D183" s="20" t="inlineStr">
        <is>
          <t>NEW</t>
        </is>
      </c>
      <c r="E183" s="21" t="inlineStr"/>
      <c r="F183" s="20" t="inlineStr"/>
      <c r="G183" s="21" t="inlineStr"/>
      <c r="H183" s="20" t="inlineStr"/>
      <c r="I183" s="22" t="inlineStr">
        <is>
          <t>Mariana Starling</t>
        </is>
      </c>
      <c r="J183" s="22" t="inlineStr">
        <is>
          <t>Operations</t>
        </is>
      </c>
      <c r="K183" s="22" t="inlineStr"/>
      <c r="L183" s="22" t="inlineStr"/>
      <c r="M183" s="22" t="inlineStr"/>
      <c r="N183" s="22" t="inlineStr">
        <is>
          <t>mariana.cordeiro@cnpseguradora.com.br</t>
        </is>
      </c>
      <c r="O183" s="22" t="inlineStr">
        <is>
          <t>verified</t>
        </is>
      </c>
      <c r="P183" s="22" t="inlineStr"/>
      <c r="Q183" s="22" t="inlineStr"/>
      <c r="R183" s="22" t="inlineStr"/>
      <c r="S183" s="22" t="inlineStr"/>
      <c r="T183" s="22" t="inlineStr">
        <is>
          <t>DM is not a finance role (Operations); DM: DM; VERIFY org: CNP Seguradora (consórcio arm)</t>
        </is>
      </c>
      <c r="U183" s="24" t="n">
        <v>713320.8199999999</v>
      </c>
      <c r="V183" s="25" t="inlineStr">
        <is>
          <t>B</t>
        </is>
      </c>
      <c r="W183" s="26" t="inlineStr"/>
      <c r="X183" s="27" t="inlineStr"/>
      <c r="Y183" s="27" t="inlineStr"/>
      <c r="Z183" s="26">
        <f>IF(W183&lt;&gt;"",W183,IFERROR(VLOOKUP(V183,Assumptions!$A$8:$F$12,2,FALSE),0))*Assumptions!$B$5</f>
        <v/>
      </c>
      <c r="AA183" s="28">
        <f>IF(V183="A",MAX(1,IF(X183&lt;&gt;"",X183,IFERROR(VLOOKUP(V183,Assumptions!$A$8:$F$12,3,FALSE),3))+IF(Y183&lt;&gt;"",Y183,IFERROR(VLOOKUP(V183,Assumptions!$A$8:$F$12,4,FALSE),8))/2-MAX(0,IF(AS183="",0,YEAR(TODAY())-AS183)-IFERROR(VLOOKUP(V183,Assumptions!$A$8:$F$12,5,FALSE),1.5))),IFERROR(VLOOKUP(V183,Assumptions!$A$8:$F$12,5,FALSE),2.5)+IF(X183&lt;&gt;"",X183,IFERROR(VLOOKUP(V183,Assumptions!$A$8:$F$12,3,FALSE),3))+IF(Y183&lt;&gt;"",Y183,IFERROR(VLOOKUP(V183,Assumptions!$A$8:$F$12,4,FALSE),8))/2)</f>
        <v/>
      </c>
      <c r="AB183" s="24">
        <f>U183*Z183/(1+Assumptions!$B$3)^AA183</f>
        <v/>
      </c>
      <c r="AC183" s="27">
        <f>IF(U183=0,"",ROUND(AB183/U183*100,1))</f>
        <v/>
      </c>
      <c r="AD183" s="29">
        <f>AB183*Assumptions!$B$4</f>
        <v/>
      </c>
      <c r="AE183" s="27">
        <f>IF(U183=0,"",ROUND(AD183/U183*100,1))</f>
        <v/>
      </c>
      <c r="AF183" s="29">
        <f>AB183-AD183</f>
        <v/>
      </c>
      <c r="AG183" s="27">
        <f>IF(U183=0,"",ROUND((AB183-AD183)/U183*100,1))</f>
        <v/>
      </c>
      <c r="AH183" s="35" t="inlineStr">
        <is>
          <t>PARTIAL — class III reconciled, other classes not</t>
        </is>
      </c>
      <c r="AI183" s="31" t="inlineStr">
        <is>
          <t>https://marquesadmjudicial.com.br/sgc/download.php?file=files/processo_documento/processo_documento15293208032024_1_.pdf&amp;nome=Relação Nominal de Credores da AJ-Sintética</t>
        </is>
      </c>
      <c r="AJ183" s="30" t="inlineStr">
        <is>
          <t>p23 r8</t>
        </is>
      </c>
      <c r="AK183" s="30" t="inlineStr">
        <is>
          <t>p23: R$ 713.320,82</t>
        </is>
      </c>
      <c r="AL183" s="30" t="inlineStr">
        <is>
          <t>AJ list (art. 7 §2)</t>
        </is>
      </c>
      <c r="AM183" s="30" t="inlineStr">
        <is>
          <t>2023-03-02</t>
        </is>
      </c>
      <c r="AN183" s="30" t="inlineStr">
        <is>
          <t>NONE FOUND</t>
        </is>
      </c>
      <c r="AO183" s="32" t="inlineStr">
        <is>
          <t>0005010-98.2023.8.16.0001</t>
        </is>
      </c>
      <c r="AP183" s="32" t="inlineStr">
        <is>
          <t>TJPR</t>
        </is>
      </c>
      <c r="AQ183" s="32" t="inlineStr">
        <is>
          <t>Recuperação judicial</t>
        </is>
      </c>
      <c r="AR183" s="32" t="inlineStr">
        <is>
          <t>DataJud: no closure/falência movement</t>
        </is>
      </c>
      <c r="AS183" s="32" t="n">
        <v>2023</v>
      </c>
      <c r="AT183" s="32" t="inlineStr">
        <is>
          <t>live case, no plan document yet</t>
        </is>
      </c>
      <c r="AU183" s="32" t="inlineStr"/>
      <c r="AV183" s="32" t="inlineStr">
        <is>
          <t>printed on the list (read twice)</t>
        </is>
      </c>
      <c r="AW183" s="32" t="inlineStr"/>
      <c r="AX183" s="32" t="inlineStr"/>
      <c r="AY183" s="32" t="inlineStr"/>
      <c r="AZ183" s="32" t="inlineStr"/>
      <c r="BA183" s="32" t="inlineStr"/>
      <c r="BB183" s="33" t="inlineStr"/>
      <c r="BC183" s="32" t="inlineStr">
        <is>
          <t>UNKNOWN</t>
        </is>
      </c>
      <c r="BD183" s="32" t="inlineStr">
        <is>
          <t>05349595</t>
        </is>
      </c>
      <c r="BE183" s="32" t="n">
        <v>1</v>
      </c>
      <c r="BF183" s="32" t="inlineStr">
        <is>
          <t>financial by name class III reconciled (doc partial) no RFB record</t>
        </is>
      </c>
    </row>
    <row r="184">
      <c r="A184" s="17" t="inlineStr">
        <is>
          <t>ALFA FUNDO DE INVET EM DIREITOS CREDITORIOS MULTISSETOR</t>
        </is>
      </c>
      <c r="B184" s="18" t="n">
        <v>713186.5</v>
      </c>
      <c r="C184" s="19" t="inlineStr">
        <is>
          <t>GRUPO DIVINA</t>
        </is>
      </c>
      <c r="D184" s="20" t="inlineStr">
        <is>
          <t>NEW</t>
        </is>
      </c>
      <c r="E184" s="21" t="inlineStr"/>
      <c r="F184" s="20" t="inlineStr"/>
      <c r="G184" s="21" t="inlineStr"/>
      <c r="H184" s="20" t="inlineStr"/>
      <c r="I184" s="22" t="inlineStr"/>
      <c r="J184" s="22" t="inlineStr"/>
      <c r="K184" s="22" t="inlineStr"/>
      <c r="L184" s="22" t="inlineStr"/>
      <c r="M184" s="22" t="inlineStr"/>
      <c r="N184" s="22" t="inlineStr"/>
      <c r="O184" s="22" t="inlineStr"/>
      <c r="P184" s="22" t="inlineStr"/>
      <c r="Q184" s="22" t="inlineStr"/>
      <c r="R184" s="22" t="inlineStr"/>
      <c r="S184" s="22" t="inlineStr"/>
      <c r="T184" s="22" t="inlineStr">
        <is>
          <t>no named contact found; NO ROUTE IN: no phone or email on file</t>
        </is>
      </c>
      <c r="U184" s="24" t="n">
        <v>713186.5</v>
      </c>
      <c r="V184" s="25" t="inlineStr">
        <is>
          <t>B</t>
        </is>
      </c>
      <c r="W184" s="26" t="inlineStr"/>
      <c r="X184" s="27" t="inlineStr"/>
      <c r="Y184" s="27" t="inlineStr"/>
      <c r="Z184" s="26">
        <f>IF(W184&lt;&gt;"",W184,IFERROR(VLOOKUP(V184,Assumptions!$A$8:$F$12,2,FALSE),0))*Assumptions!$B$5</f>
        <v/>
      </c>
      <c r="AA184" s="28">
        <f>IF(V184="A",MAX(1,IF(X184&lt;&gt;"",X184,IFERROR(VLOOKUP(V184,Assumptions!$A$8:$F$12,3,FALSE),3))+IF(Y184&lt;&gt;"",Y184,IFERROR(VLOOKUP(V184,Assumptions!$A$8:$F$12,4,FALSE),8))/2-MAX(0,IF(AS184="",0,YEAR(TODAY())-AS184)-IFERROR(VLOOKUP(V184,Assumptions!$A$8:$F$12,5,FALSE),1.5))),IFERROR(VLOOKUP(V184,Assumptions!$A$8:$F$12,5,FALSE),2.5)+IF(X184&lt;&gt;"",X184,IFERROR(VLOOKUP(V184,Assumptions!$A$8:$F$12,3,FALSE),3))+IF(Y184&lt;&gt;"",Y184,IFERROR(VLOOKUP(V184,Assumptions!$A$8:$F$12,4,FALSE),8))/2)</f>
        <v/>
      </c>
      <c r="AB184" s="24">
        <f>U184*Z184/(1+Assumptions!$B$3)^AA184</f>
        <v/>
      </c>
      <c r="AC184" s="27">
        <f>IF(U184=0,"",ROUND(AB184/U184*100,1))</f>
        <v/>
      </c>
      <c r="AD184" s="29">
        <f>AB184*Assumptions!$B$4</f>
        <v/>
      </c>
      <c r="AE184" s="27">
        <f>IF(U184=0,"",ROUND(AD184/U184*100,1))</f>
        <v/>
      </c>
      <c r="AF184" s="29">
        <f>AB184-AD184</f>
        <v/>
      </c>
      <c r="AG184" s="27">
        <f>IF(U184=0,"",ROUND((AB184-AD184)/U184*100,1))</f>
        <v/>
      </c>
      <c r="AH184" s="35" t="inlineStr">
        <is>
          <t>PARTIAL — class III reconciled, other classes not</t>
        </is>
      </c>
      <c r="AI184" s="31" t="inlineStr">
        <is>
          <t>https://lrflideres.com.br/wp-content/plugins/download-attachments/includes/download.php?id=6252</t>
        </is>
      </c>
      <c r="AJ184" s="30" t="inlineStr">
        <is>
          <t>p2 r5</t>
        </is>
      </c>
      <c r="AK184" s="30" t="inlineStr">
        <is>
          <t>p2: R$ 713.186,50</t>
        </is>
      </c>
      <c r="AL184" s="30" t="inlineStr">
        <is>
          <t>AJ list (art. 7 §2)</t>
        </is>
      </c>
      <c r="AM184" s="30" t="inlineStr">
        <is>
          <t>2024-11-27</t>
        </is>
      </c>
      <c r="AN184" s="30" t="inlineStr">
        <is>
          <t>NONE FOUND</t>
        </is>
      </c>
      <c r="AO184" s="32" t="inlineStr">
        <is>
          <t>0000721-61.2024.8.17.2620</t>
        </is>
      </c>
      <c r="AP184" s="32" t="inlineStr">
        <is>
          <t>TJPE</t>
        </is>
      </c>
      <c r="AQ184" s="32" t="inlineStr">
        <is>
          <t>Recuperação judicial</t>
        </is>
      </c>
      <c r="AR184" s="32" t="inlineStr">
        <is>
          <t>DataJud: no closure/falência movement</t>
        </is>
      </c>
      <c r="AS184" s="32" t="n">
        <v>2024</v>
      </c>
      <c r="AT184" s="32" t="inlineStr">
        <is>
          <t>live case, no plan document yet</t>
        </is>
      </c>
      <c r="AU184" s="32" t="inlineStr">
        <is>
          <t>08.785.522/0001-58</t>
        </is>
      </c>
      <c r="AV184" s="32" t="inlineStr">
        <is>
          <t>printed on the list (read twice)</t>
        </is>
      </c>
      <c r="AW184" s="32" t="inlineStr"/>
      <c r="AX184" s="32" t="inlineStr"/>
      <c r="AY184" s="32" t="inlineStr"/>
      <c r="AZ184" s="32" t="inlineStr"/>
      <c r="BA184" s="32" t="inlineStr"/>
      <c r="BB184" s="33" t="inlineStr"/>
      <c r="BC184" s="32" t="inlineStr">
        <is>
          <t>UNKNOWN</t>
        </is>
      </c>
      <c r="BD184" s="32" t="inlineStr">
        <is>
          <t>11261368</t>
        </is>
      </c>
      <c r="BE184" s="32" t="n">
        <v>1</v>
      </c>
      <c r="BF184" s="32" t="inlineStr">
        <is>
          <t>financial by name class III reconciled (doc partial) no RFB record no route in</t>
        </is>
      </c>
    </row>
    <row r="185">
      <c r="A185" s="17" t="inlineStr">
        <is>
          <t>BANCO BRADESCO S.A.</t>
        </is>
      </c>
      <c r="B185" s="18" t="n">
        <v>710562.74</v>
      </c>
      <c r="C185" s="19" t="inlineStr">
        <is>
          <t>Grupo Battisti</t>
        </is>
      </c>
      <c r="D185" s="20" t="inlineStr">
        <is>
          <t>NEW</t>
        </is>
      </c>
      <c r="E185" s="21" t="inlineStr"/>
      <c r="F185" s="20" t="inlineStr"/>
      <c r="G185" s="21" t="inlineStr"/>
      <c r="H185" s="20" t="inlineStr"/>
      <c r="I185" s="22" t="inlineStr">
        <is>
          <t>Marcela Martins</t>
        </is>
      </c>
      <c r="J185" s="22" t="inlineStr">
        <is>
          <t>Superintendente de Recuperação de Crédito - Canais e Operações</t>
        </is>
      </c>
      <c r="K185" s="22" t="inlineStr">
        <is>
          <t>(11) 3684-5122</t>
        </is>
      </c>
      <c r="L185" s="22" t="inlineStr"/>
      <c r="M185" s="22" t="inlineStr"/>
      <c r="N185" s="22" t="inlineStr"/>
      <c r="O185" s="22" t="inlineStr"/>
      <c r="P185" s="22" t="inlineStr">
        <is>
          <t>Luis S</t>
        </is>
      </c>
      <c r="Q185" s="22" t="inlineStr">
        <is>
          <t>DRC - Departamento de Recuperação de Crédito - Gerente de Reestruturação de Crédito</t>
        </is>
      </c>
      <c r="R185" s="22" t="inlineStr"/>
      <c r="S185" s="22" t="inlineStr">
        <is>
          <t>sl@bradesco.com.br</t>
        </is>
      </c>
      <c r="T185" s="22" t="inlineStr">
        <is>
          <t>DM: DM; no work email in Apollo for DM; BACKUP: backup</t>
        </is>
      </c>
      <c r="U185" s="24" t="n">
        <v>710562.74</v>
      </c>
      <c r="V185" s="25" t="inlineStr">
        <is>
          <t>B</t>
        </is>
      </c>
      <c r="W185" s="26" t="inlineStr"/>
      <c r="X185" s="27" t="inlineStr"/>
      <c r="Y185" s="27" t="inlineStr"/>
      <c r="Z185" s="26">
        <f>IF(W185&lt;&gt;"",W185,IFERROR(VLOOKUP(V185,Assumptions!$A$8:$F$12,2,FALSE),0))*Assumptions!$B$5</f>
        <v/>
      </c>
      <c r="AA185" s="28">
        <f>IF(V185="A",MAX(1,IF(X185&lt;&gt;"",X185,IFERROR(VLOOKUP(V185,Assumptions!$A$8:$F$12,3,FALSE),3))+IF(Y185&lt;&gt;"",Y185,IFERROR(VLOOKUP(V185,Assumptions!$A$8:$F$12,4,FALSE),8))/2-MAX(0,IF(AS185="",0,YEAR(TODAY())-AS185)-IFERROR(VLOOKUP(V185,Assumptions!$A$8:$F$12,5,FALSE),1.5))),IFERROR(VLOOKUP(V185,Assumptions!$A$8:$F$12,5,FALSE),2.5)+IF(X185&lt;&gt;"",X185,IFERROR(VLOOKUP(V185,Assumptions!$A$8:$F$12,3,FALSE),3))+IF(Y185&lt;&gt;"",Y185,IFERROR(VLOOKUP(V185,Assumptions!$A$8:$F$12,4,FALSE),8))/2)</f>
        <v/>
      </c>
      <c r="AB185" s="24">
        <f>U185*Z185/(1+Assumptions!$B$3)^AA185</f>
        <v/>
      </c>
      <c r="AC185" s="27">
        <f>IF(U185=0,"",ROUND(AB185/U185*100,1))</f>
        <v/>
      </c>
      <c r="AD185" s="29">
        <f>AB185*Assumptions!$B$4</f>
        <v/>
      </c>
      <c r="AE185" s="27">
        <f>IF(U185=0,"",ROUND(AD185/U185*100,1))</f>
        <v/>
      </c>
      <c r="AF185" s="29">
        <f>AB185-AD185</f>
        <v/>
      </c>
      <c r="AG185" s="27">
        <f>IF(U185=0,"",ROUND((AB185-AD185)/U185*100,1))</f>
        <v/>
      </c>
      <c r="AH185" s="34" t="inlineStr">
        <is>
          <t>NO TOTALS — list prints none; check page</t>
        </is>
      </c>
      <c r="AI185" s="31" t="inlineStr">
        <is>
          <t>https://marquesadmjudicial.com.br/sgc/download.php?file=files/processo_documento/processo_documento10074612042024_1_.pdf&amp;nome=2º Edital-Relação de Credores AJ e PRJ</t>
        </is>
      </c>
      <c r="AJ185" s="30" t="inlineStr">
        <is>
          <t>p1 r26</t>
        </is>
      </c>
      <c r="AK185" s="30" t="inlineStr">
        <is>
          <t>p1: R$ 710.562,74</t>
        </is>
      </c>
      <c r="AL185" s="30" t="inlineStr">
        <is>
          <t>AJ list (art. 7 §2)</t>
        </is>
      </c>
      <c r="AM185" s="30" t="inlineStr">
        <is>
          <t>2024-01-12</t>
        </is>
      </c>
      <c r="AN185" s="30" t="inlineStr">
        <is>
          <t>NONE FOUND</t>
        </is>
      </c>
      <c r="AO185" s="32" t="inlineStr">
        <is>
          <t>0000357-17.2024.8.16.0131</t>
        </is>
      </c>
      <c r="AP185" s="32" t="inlineStr">
        <is>
          <t>TJPR</t>
        </is>
      </c>
      <c r="AQ185" s="32" t="inlineStr">
        <is>
          <t>Recuperação judicial</t>
        </is>
      </c>
      <c r="AR185" s="32" t="inlineStr">
        <is>
          <t>DataJud: no closure/falência movement</t>
        </is>
      </c>
      <c r="AS185" s="32" t="n">
        <v>2024</v>
      </c>
      <c r="AT185" s="32" t="inlineStr">
        <is>
          <t>live case, no plan document yet</t>
        </is>
      </c>
      <c r="AU185" s="32" t="inlineStr">
        <is>
          <t>12.433.661/0001-90</t>
        </is>
      </c>
      <c r="AV185" s="32" t="inlineStr">
        <is>
          <t>printed on the list (read twice)</t>
        </is>
      </c>
      <c r="AW185" s="32" t="inlineStr"/>
      <c r="AX185" s="32" t="inlineStr">
        <is>
          <t>OSASCO</t>
        </is>
      </c>
      <c r="AY185" s="32" t="inlineStr">
        <is>
          <t>SP</t>
        </is>
      </c>
      <c r="AZ185" s="32" t="inlineStr">
        <is>
          <t>Bancos múltiplos, com carteira comercial</t>
        </is>
      </c>
      <c r="BA185" s="32" t="inlineStr">
        <is>
          <t>não ME/EPP</t>
        </is>
      </c>
      <c r="BB185" s="33" t="n">
        <v>93770000000</v>
      </c>
      <c r="BC185" s="32" t="inlineStr">
        <is>
          <t>LARGE CORP</t>
        </is>
      </c>
      <c r="BD185" s="32" t="inlineStr">
        <is>
          <t>60746948</t>
        </is>
      </c>
      <c r="BE185" s="32" t="n">
        <v>1</v>
      </c>
      <c r="BF185" s="32" t="inlineStr">
        <is>
          <t>financial by name list prints no totals</t>
        </is>
      </c>
    </row>
    <row r="186">
      <c r="A186" s="17" t="inlineStr">
        <is>
          <t>COOPERATIVA DE CREDITO UNICRED DESBRAVADORA LTDA - UNICRED DESBRAVADORA</t>
        </is>
      </c>
      <c r="B186" s="18" t="n">
        <v>706911.1800000001</v>
      </c>
      <c r="C186" s="19" t="inlineStr">
        <is>
          <t>AZEPLAST INDÚSTRIA E COMÉRCIO LTDA</t>
        </is>
      </c>
      <c r="D186" s="20" t="inlineStr">
        <is>
          <t>NEW</t>
        </is>
      </c>
      <c r="E186" s="21" t="inlineStr"/>
      <c r="F186" s="20" t="inlineStr"/>
      <c r="G186" s="21" t="inlineStr"/>
      <c r="H186" s="20" t="inlineStr"/>
      <c r="I186" s="22" t="inlineStr">
        <is>
          <t>Mileide Medeiros</t>
        </is>
      </c>
      <c r="J186" s="22" t="inlineStr">
        <is>
          <t>Gerente de Negócios na Unicred Desbravadora</t>
        </is>
      </c>
      <c r="K186" s="22" t="inlineStr"/>
      <c r="L186" s="22" t="inlineStr"/>
      <c r="M186" s="22" t="inlineStr"/>
      <c r="N186" s="22" t="inlineStr">
        <is>
          <t>mileide.klitzke@unicred.com.br</t>
        </is>
      </c>
      <c r="O186" s="22" t="inlineStr">
        <is>
          <t>verified</t>
        </is>
      </c>
      <c r="P186" s="22" t="inlineStr">
        <is>
          <t>Volnei Borsatto</t>
        </is>
      </c>
      <c r="Q186" s="22" t="inlineStr">
        <is>
          <t>Gerente Agencia Unicred Desbravadora</t>
        </is>
      </c>
      <c r="R186" s="22" t="inlineStr"/>
      <c r="S186" s="22" t="inlineStr">
        <is>
          <t>volnei.borsatto@unicred.com.br</t>
        </is>
      </c>
      <c r="T186" s="22" t="inlineStr">
        <is>
          <t>DM: DM verified email; VERIFY org: Unicred - Núcleo Conexão; BACKUP: backup extrapolated email; backup email is pattern-guessed</t>
        </is>
      </c>
      <c r="U186" s="24" t="n">
        <v>706911.1800000001</v>
      </c>
      <c r="V186" s="25" t="inlineStr">
        <is>
          <t>B</t>
        </is>
      </c>
      <c r="W186" s="26" t="inlineStr"/>
      <c r="X186" s="27" t="inlineStr"/>
      <c r="Y186" s="27" t="inlineStr"/>
      <c r="Z186" s="26">
        <f>IF(W186&lt;&gt;"",W186,IFERROR(VLOOKUP(V186,Assumptions!$A$8:$F$12,2,FALSE),0))*Assumptions!$B$5</f>
        <v/>
      </c>
      <c r="AA186" s="28">
        <f>IF(V186="A",MAX(1,IF(X186&lt;&gt;"",X186,IFERROR(VLOOKUP(V186,Assumptions!$A$8:$F$12,3,FALSE),3))+IF(Y186&lt;&gt;"",Y186,IFERROR(VLOOKUP(V186,Assumptions!$A$8:$F$12,4,FALSE),8))/2-MAX(0,IF(AS186="",0,YEAR(TODAY())-AS186)-IFERROR(VLOOKUP(V186,Assumptions!$A$8:$F$12,5,FALSE),1.5))),IFERROR(VLOOKUP(V186,Assumptions!$A$8:$F$12,5,FALSE),2.5)+IF(X186&lt;&gt;"",X186,IFERROR(VLOOKUP(V186,Assumptions!$A$8:$F$12,3,FALSE),3))+IF(Y186&lt;&gt;"",Y186,IFERROR(VLOOKUP(V186,Assumptions!$A$8:$F$12,4,FALSE),8))/2)</f>
        <v/>
      </c>
      <c r="AB186" s="24">
        <f>U186*Z186/(1+Assumptions!$B$3)^AA186</f>
        <v/>
      </c>
      <c r="AC186" s="27">
        <f>IF(U186=0,"",ROUND(AB186/U186*100,1))</f>
        <v/>
      </c>
      <c r="AD186" s="29">
        <f>AB186*Assumptions!$B$4</f>
        <v/>
      </c>
      <c r="AE186" s="27">
        <f>IF(U186=0,"",ROUND(AD186/U186*100,1))</f>
        <v/>
      </c>
      <c r="AF186" s="29">
        <f>AB186-AD186</f>
        <v/>
      </c>
      <c r="AG186" s="27">
        <f>IF(U186=0,"",ROUND((AB186-AD186)/U186*100,1))</f>
        <v/>
      </c>
      <c r="AH186" s="35" t="inlineStr">
        <is>
          <t>PARTIAL — class III reconciled, other classes not</t>
        </is>
      </c>
      <c r="AI186" s="31" t="inlineStr">
        <is>
          <t>https://ajruiz.com.br/sites/default/files/public/arquivos-processos/2026-08/qgc_azeplast_julho_2026.pdf</t>
        </is>
      </c>
      <c r="AJ186" s="30" t="inlineStr">
        <is>
          <t>p1 r17</t>
        </is>
      </c>
      <c r="AK186" s="30" t="inlineStr">
        <is>
          <t>p1: R$ 706.911,18</t>
        </is>
      </c>
      <c r="AL186" s="30" t="inlineStr">
        <is>
          <t>QGC (art. 18)</t>
        </is>
      </c>
      <c r="AM186" s="30" t="inlineStr"/>
      <c r="AN186" s="30" t="inlineStr">
        <is>
          <t>NONE FOUND</t>
        </is>
      </c>
      <c r="AO186" s="32" t="inlineStr">
        <is>
          <t>5008793-34.2023.8.24.0019</t>
        </is>
      </c>
      <c r="AP186" s="32" t="inlineStr">
        <is>
          <t>TJSC</t>
        </is>
      </c>
      <c r="AQ186" s="32" t="inlineStr">
        <is>
          <t>Recuperação judicial</t>
        </is>
      </c>
      <c r="AR186" s="32" t="inlineStr">
        <is>
          <t>DataJud: no closure/falência movement</t>
        </is>
      </c>
      <c r="AS186" s="32" t="n">
        <v>2023</v>
      </c>
      <c r="AT186" s="32" t="inlineStr">
        <is>
          <t>live case, no plan document yet</t>
        </is>
      </c>
      <c r="AU186" s="32" t="inlineStr"/>
      <c r="AV186" s="32" t="inlineStr">
        <is>
          <t>printed on the list (read twice)</t>
        </is>
      </c>
      <c r="AW186" s="32" t="inlineStr"/>
      <c r="AX186" s="32" t="inlineStr"/>
      <c r="AY186" s="32" t="inlineStr"/>
      <c r="AZ186" s="32" t="inlineStr"/>
      <c r="BA186" s="32" t="inlineStr"/>
      <c r="BB186" s="33" t="inlineStr"/>
      <c r="BC186" s="32" t="inlineStr">
        <is>
          <t>UNKNOWN</t>
        </is>
      </c>
      <c r="BD186" s="32" t="inlineStr">
        <is>
          <t>01039011</t>
        </is>
      </c>
      <c r="BE186" s="32" t="n">
        <v>1</v>
      </c>
      <c r="BF186" s="32" t="inlineStr">
        <is>
          <t>financial by name class III reconciled (doc partial) no RFB record</t>
        </is>
      </c>
    </row>
    <row r="187">
      <c r="A187" s="17" t="inlineStr">
        <is>
          <t>PERSONAL FIF - CLASSE DE INVESTIMENTO MULTIMERCADO - RESP LIMITADA</t>
        </is>
      </c>
      <c r="B187" s="18" t="n">
        <v>705997.79</v>
      </c>
      <c r="C187" s="19" t="inlineStr">
        <is>
          <t>Grupo Rech</t>
        </is>
      </c>
      <c r="D187" s="20" t="inlineStr">
        <is>
          <t>NEW</t>
        </is>
      </c>
      <c r="E187" s="21" t="inlineStr"/>
      <c r="F187" s="20" t="inlineStr"/>
      <c r="G187" s="21" t="inlineStr"/>
      <c r="H187" s="20" t="inlineStr"/>
      <c r="I187" s="22" t="inlineStr"/>
      <c r="J187" s="22" t="inlineStr"/>
      <c r="K187" s="22" t="inlineStr">
        <is>
          <t>(11) 3684-5122</t>
        </is>
      </c>
      <c r="L187" s="22" t="inlineStr"/>
      <c r="M187" s="22" t="inlineStr"/>
      <c r="N187" s="22" t="inlineStr"/>
      <c r="O187" s="22" t="inlineStr"/>
      <c r="P187" s="22" t="inlineStr"/>
      <c r="Q187" s="22" t="inlineStr"/>
      <c r="R187" s="22" t="inlineStr"/>
      <c r="S187" s="22" t="inlineStr"/>
      <c r="T187" s="22" t="inlineStr">
        <is>
          <t>no named contact found</t>
        </is>
      </c>
      <c r="U187" s="24" t="n">
        <v>705997.79</v>
      </c>
      <c r="V187" s="25" t="inlineStr">
        <is>
          <t>B</t>
        </is>
      </c>
      <c r="W187" s="26" t="inlineStr"/>
      <c r="X187" s="27" t="inlineStr"/>
      <c r="Y187" s="27" t="inlineStr"/>
      <c r="Z187" s="26">
        <f>IF(W187&lt;&gt;"",W187,IFERROR(VLOOKUP(V187,Assumptions!$A$8:$F$12,2,FALSE),0))*Assumptions!$B$5</f>
        <v/>
      </c>
      <c r="AA187" s="28">
        <f>IF(V187="A",MAX(1,IF(X187&lt;&gt;"",X187,IFERROR(VLOOKUP(V187,Assumptions!$A$8:$F$12,3,FALSE),3))+IF(Y187&lt;&gt;"",Y187,IFERROR(VLOOKUP(V187,Assumptions!$A$8:$F$12,4,FALSE),8))/2-MAX(0,IF(AS187="",0,YEAR(TODAY())-AS187)-IFERROR(VLOOKUP(V187,Assumptions!$A$8:$F$12,5,FALSE),1.5))),IFERROR(VLOOKUP(V187,Assumptions!$A$8:$F$12,5,FALSE),2.5)+IF(X187&lt;&gt;"",X187,IFERROR(VLOOKUP(V187,Assumptions!$A$8:$F$12,3,FALSE),3))+IF(Y187&lt;&gt;"",Y187,IFERROR(VLOOKUP(V187,Assumptions!$A$8:$F$12,4,FALSE),8))/2)</f>
        <v/>
      </c>
      <c r="AB187" s="24">
        <f>U187*Z187/(1+Assumptions!$B$3)^AA187</f>
        <v/>
      </c>
      <c r="AC187" s="27">
        <f>IF(U187=0,"",ROUND(AB187/U187*100,1))</f>
        <v/>
      </c>
      <c r="AD187" s="29">
        <f>AB187*Assumptions!$B$4</f>
        <v/>
      </c>
      <c r="AE187" s="27">
        <f>IF(U187=0,"",ROUND(AD187/U187*100,1))</f>
        <v/>
      </c>
      <c r="AF187" s="29">
        <f>AB187-AD187</f>
        <v/>
      </c>
      <c r="AG187" s="27">
        <f>IF(U187=0,"",ROUND((AB187-AD187)/U187*100,1))</f>
        <v/>
      </c>
      <c r="AH187" s="36" t="inlineStr">
        <is>
          <t>CHECK — source is not a statutory creditor list</t>
        </is>
      </c>
      <c r="AI187" s="31" t="inlineStr">
        <is>
          <t>https://credibilita.com.br/wp-content/uploads/2025/09/Relacao-Credores-29.04.2026.pdf</t>
        </is>
      </c>
      <c r="AJ187" s="30" t="inlineStr">
        <is>
          <t>p2 r7</t>
        </is>
      </c>
      <c r="AK187" s="30" t="inlineStr">
        <is>
          <t>p2: R$ 705.997,79</t>
        </is>
      </c>
      <c r="AL187" s="30" t="inlineStr">
        <is>
          <t>Quorum list — NOT an art. 7/51 list</t>
        </is>
      </c>
      <c r="AM187" s="30" t="inlineStr"/>
      <c r="AN187" s="30" t="inlineStr">
        <is>
          <t>NONE FOUND</t>
        </is>
      </c>
      <c r="AO187" s="32" t="inlineStr">
        <is>
          <t>5057720-48.2025.8.24.0023</t>
        </is>
      </c>
      <c r="AP187" s="32" t="inlineStr">
        <is>
          <t>TJSC</t>
        </is>
      </c>
      <c r="AQ187" s="32" t="inlineStr"/>
      <c r="AR187" s="32" t="inlineStr">
        <is>
          <t>not in DataJud</t>
        </is>
      </c>
      <c r="AS187" s="32" t="n">
        <v>2025</v>
      </c>
      <c r="AT187" s="32" t="inlineStr">
        <is>
          <t>live case, no plan document yet; case no. from the portal record, not printed on the list</t>
        </is>
      </c>
      <c r="AU187" s="32" t="inlineStr"/>
      <c r="AV187" s="32" t="inlineStr">
        <is>
          <t>portal page title / URL — not printed on the list</t>
        </is>
      </c>
      <c r="AW187" s="32" t="inlineStr"/>
      <c r="AX187" s="32" t="inlineStr">
        <is>
          <t>OSASCO</t>
        </is>
      </c>
      <c r="AY187" s="32" t="inlineStr">
        <is>
          <t>SP</t>
        </is>
      </c>
      <c r="AZ187" s="32" t="inlineStr">
        <is>
          <t>Fundos de investimento, exceto previdenciários e imobiliários</t>
        </is>
      </c>
      <c r="BA187" s="32" t="inlineStr">
        <is>
          <t>não ME/EPP</t>
        </is>
      </c>
      <c r="BB187" s="33" t="inlineStr"/>
      <c r="BC187" s="32" t="inlineStr">
        <is>
          <t>UNKNOWN</t>
        </is>
      </c>
      <c r="BD187" s="32" t="inlineStr">
        <is>
          <t>03303563</t>
        </is>
      </c>
      <c r="BE187" s="32" t="n">
        <v>1</v>
      </c>
      <c r="BF187" s="32" t="inlineStr">
        <is>
          <t>list prints no totals case no. corrected by reader</t>
        </is>
      </c>
    </row>
    <row r="188">
      <c r="A188" s="17" t="inlineStr">
        <is>
          <t>SCANIA BANCO S.A.</t>
        </is>
      </c>
      <c r="B188" s="18" t="n">
        <v>705235.65</v>
      </c>
      <c r="C188" s="19" t="inlineStr">
        <is>
          <t>Grupo Agromeal</t>
        </is>
      </c>
      <c r="D188" s="20" t="inlineStr">
        <is>
          <t>NEW</t>
        </is>
      </c>
      <c r="E188" s="21" t="inlineStr"/>
      <c r="F188" s="20" t="inlineStr"/>
      <c r="G188" s="21" t="inlineStr"/>
      <c r="H188" s="20" t="inlineStr"/>
      <c r="I188" s="22" t="inlineStr">
        <is>
          <t>Anilton Marchetti</t>
        </is>
      </c>
      <c r="J188" s="22" t="inlineStr">
        <is>
          <t>Gerente Regional Scania Banco</t>
        </is>
      </c>
      <c r="K188" s="22" t="inlineStr">
        <is>
          <t>(11) 3214-0820</t>
        </is>
      </c>
      <c r="L188" s="22" t="inlineStr"/>
      <c r="M188" s="22" t="inlineStr"/>
      <c r="N188" s="22" t="inlineStr">
        <is>
          <t>anilton.marchetti@scania.com</t>
        </is>
      </c>
      <c r="O188" s="22" t="inlineStr">
        <is>
          <t>verified</t>
        </is>
      </c>
      <c r="P188" s="22" t="inlineStr">
        <is>
          <t>Vanessa Calegari</t>
        </is>
      </c>
      <c r="Q188" s="22" t="inlineStr">
        <is>
          <t>Analista Financeiro Sênior/Scania Banco S/A</t>
        </is>
      </c>
      <c r="R188" s="22" t="inlineStr"/>
      <c r="S188" s="22" t="inlineStr">
        <is>
          <t>vanessa.calegari@scania.com</t>
        </is>
      </c>
      <c r="T188" s="22" t="inlineStr">
        <is>
          <t>DM: DM; VERIFY org: Scania Group (Scania Banco staff listed under group); no recovery desk visible; BACKUP: backup</t>
        </is>
      </c>
      <c r="U188" s="24" t="n">
        <v>705235.65</v>
      </c>
      <c r="V188" s="25" t="inlineStr">
        <is>
          <t>B</t>
        </is>
      </c>
      <c r="W188" s="26" t="inlineStr"/>
      <c r="X188" s="27" t="inlineStr"/>
      <c r="Y188" s="27" t="inlineStr"/>
      <c r="Z188" s="26">
        <f>IF(W188&lt;&gt;"",W188,IFERROR(VLOOKUP(V188,Assumptions!$A$8:$F$12,2,FALSE),0))*Assumptions!$B$5</f>
        <v/>
      </c>
      <c r="AA188" s="28">
        <f>IF(V188="A",MAX(1,IF(X188&lt;&gt;"",X188,IFERROR(VLOOKUP(V188,Assumptions!$A$8:$F$12,3,FALSE),3))+IF(Y188&lt;&gt;"",Y188,IFERROR(VLOOKUP(V188,Assumptions!$A$8:$F$12,4,FALSE),8))/2-MAX(0,IF(AS188="",0,YEAR(TODAY())-AS188)-IFERROR(VLOOKUP(V188,Assumptions!$A$8:$F$12,5,FALSE),1.5))),IFERROR(VLOOKUP(V188,Assumptions!$A$8:$F$12,5,FALSE),2.5)+IF(X188&lt;&gt;"",X188,IFERROR(VLOOKUP(V188,Assumptions!$A$8:$F$12,3,FALSE),3))+IF(Y188&lt;&gt;"",Y188,IFERROR(VLOOKUP(V188,Assumptions!$A$8:$F$12,4,FALSE),8))/2)</f>
        <v/>
      </c>
      <c r="AB188" s="24">
        <f>U188*Z188/(1+Assumptions!$B$3)^AA188</f>
        <v/>
      </c>
      <c r="AC188" s="27">
        <f>IF(U188=0,"",ROUND(AB188/U188*100,1))</f>
        <v/>
      </c>
      <c r="AD188" s="29">
        <f>AB188*Assumptions!$B$4</f>
        <v/>
      </c>
      <c r="AE188" s="27">
        <f>IF(U188=0,"",ROUND(AD188/U188*100,1))</f>
        <v/>
      </c>
      <c r="AF188" s="29">
        <f>AB188-AD188</f>
        <v/>
      </c>
      <c r="AG188" s="27">
        <f>IF(U188=0,"",ROUND((AB188-AD188)/U188*100,1))</f>
        <v/>
      </c>
      <c r="AH188" s="35" t="inlineStr">
        <is>
          <t>PARTIAL — class III reconciled, other classes not</t>
        </is>
      </c>
      <c r="AI188" s="31" t="inlineStr">
        <is>
          <t>https://marquesadmjudicial.com.br/sgc/download.php?file=files/processo_documento/processo_documento17040729052024_1_.pdf&amp;nome=Relação Nominal de Credores AJ-Sintética</t>
        </is>
      </c>
      <c r="AJ188" s="30" t="inlineStr">
        <is>
          <t>p12 r18</t>
        </is>
      </c>
      <c r="AK188" s="30" t="inlineStr">
        <is>
          <t>p12: R$ 705.235,65</t>
        </is>
      </c>
      <c r="AL188" s="30" t="inlineStr">
        <is>
          <t>AJ list (art. 7 §2)</t>
        </is>
      </c>
      <c r="AM188" s="30" t="inlineStr">
        <is>
          <t>2024-05-27</t>
        </is>
      </c>
      <c r="AN188" s="30" t="inlineStr">
        <is>
          <t>NONE FOUND</t>
        </is>
      </c>
      <c r="AO188" s="32" t="inlineStr">
        <is>
          <t>0003971-03.2023.8.16.0119</t>
        </is>
      </c>
      <c r="AP188" s="32" t="inlineStr">
        <is>
          <t>TJPR</t>
        </is>
      </c>
      <c r="AQ188" s="32" t="inlineStr">
        <is>
          <t>Recuperação judicial</t>
        </is>
      </c>
      <c r="AR188" s="32" t="inlineStr">
        <is>
          <t>DataJud: no closure/falência movement</t>
        </is>
      </c>
      <c r="AS188" s="32" t="n">
        <v>2023</v>
      </c>
      <c r="AT188" s="32" t="inlineStr">
        <is>
          <t>live case, no plan document yet</t>
        </is>
      </c>
      <c r="AU188" s="32" t="inlineStr">
        <is>
          <t>11.624.776/0001-07</t>
        </is>
      </c>
      <c r="AV188" s="32" t="inlineStr">
        <is>
          <t>printed on the list (read twice)</t>
        </is>
      </c>
      <c r="AW188" s="32" t="inlineStr"/>
      <c r="AX188" s="32" t="inlineStr">
        <is>
          <t>SAO BERNARDO DO CAMPO</t>
        </is>
      </c>
      <c r="AY188" s="32" t="inlineStr">
        <is>
          <t>SP</t>
        </is>
      </c>
      <c r="AZ188" s="32" t="inlineStr">
        <is>
          <t>Bancos múltiplos, sem carteira comercial</t>
        </is>
      </c>
      <c r="BA188" s="32" t="inlineStr">
        <is>
          <t>não ME/EPP</t>
        </is>
      </c>
      <c r="BB188" s="33" t="n">
        <v>710000000</v>
      </c>
      <c r="BC188" s="32" t="inlineStr">
        <is>
          <t>LARGE CORP</t>
        </is>
      </c>
      <c r="BD188" s="32" t="inlineStr">
        <is>
          <t>11417016</t>
        </is>
      </c>
      <c r="BE188" s="32" t="n">
        <v>1</v>
      </c>
      <c r="BF188" s="32" t="inlineStr">
        <is>
          <t>financial by name class III reconciled (doc partial)</t>
        </is>
      </c>
    </row>
    <row r="189">
      <c r="A189" s="17" t="inlineStr">
        <is>
          <t>COOPERATIVA DE CREDITO UNICRED VALE LTDA UNICRED VALE</t>
        </is>
      </c>
      <c r="B189" s="18" t="n">
        <v>2753771.14</v>
      </c>
      <c r="C189" s="19" t="inlineStr">
        <is>
          <t>BLUTRAFOS BLUMENAU TRANSFORMADORES LTDA</t>
        </is>
      </c>
      <c r="D189" s="20" t="inlineStr">
        <is>
          <t>NEW</t>
        </is>
      </c>
      <c r="E189" s="21" t="inlineStr"/>
      <c r="F189" s="20" t="inlineStr"/>
      <c r="G189" s="21" t="inlineStr"/>
      <c r="H189" s="20" t="inlineStr"/>
      <c r="I189" s="22" t="inlineStr">
        <is>
          <t>Luciano Sato</t>
        </is>
      </c>
      <c r="J189" s="22" t="inlineStr">
        <is>
          <t>Gerente de Agência | Unicred Vale</t>
        </is>
      </c>
      <c r="K189" s="22" t="inlineStr">
        <is>
          <t>(47) 3039-0202</t>
        </is>
      </c>
      <c r="L189" s="22" t="inlineStr">
        <is>
          <t>(47) 3039-0159</t>
        </is>
      </c>
      <c r="M189" s="22" t="inlineStr"/>
      <c r="N189" s="22" t="inlineStr">
        <is>
          <t>luciano.sato@unicred.com.br</t>
        </is>
      </c>
      <c r="O189" s="22" t="inlineStr">
        <is>
          <t>verified</t>
        </is>
      </c>
      <c r="P189" s="22" t="inlineStr">
        <is>
          <t>WALMORE PEREIRA DE SIQUEIRA JUNIOR</t>
        </is>
      </c>
      <c r="Q189" s="22" t="inlineStr">
        <is>
          <t>Presidente (RFB partner)</t>
        </is>
      </c>
      <c r="R189" s="22" t="inlineStr"/>
      <c r="S189" s="22" t="inlineStr"/>
      <c r="T189" s="22" t="inlineStr">
        <is>
          <t>DM: DM verified email; VERIFY org: Unicred - Núcleo Conexão</t>
        </is>
      </c>
      <c r="U189" s="24" t="n">
        <v>2753771.14</v>
      </c>
      <c r="V189" s="39" t="inlineStr">
        <is>
          <t>C</t>
        </is>
      </c>
      <c r="W189" s="26" t="inlineStr"/>
      <c r="X189" s="27" t="inlineStr"/>
      <c r="Y189" s="27" t="inlineStr"/>
      <c r="Z189" s="26">
        <f>IF(W189&lt;&gt;"",W189,IFERROR(VLOOKUP(V189,Assumptions!$A$8:$F$12,2,FALSE),0))*Assumptions!$B$5</f>
        <v/>
      </c>
      <c r="AA189" s="28">
        <f>IF(V189="A",MAX(1,IF(X189&lt;&gt;"",X189,IFERROR(VLOOKUP(V189,Assumptions!$A$8:$F$12,3,FALSE),3))+IF(Y189&lt;&gt;"",Y189,IFERROR(VLOOKUP(V189,Assumptions!$A$8:$F$12,4,FALSE),8))/2-MAX(0,IF(AS189="",0,YEAR(TODAY())-AS189)-IFERROR(VLOOKUP(V189,Assumptions!$A$8:$F$12,5,FALSE),1.5))),IFERROR(VLOOKUP(V189,Assumptions!$A$8:$F$12,5,FALSE),2.5)+IF(X189&lt;&gt;"",X189,IFERROR(VLOOKUP(V189,Assumptions!$A$8:$F$12,3,FALSE),3))+IF(Y189&lt;&gt;"",Y189,IFERROR(VLOOKUP(V189,Assumptions!$A$8:$F$12,4,FALSE),8))/2)</f>
        <v/>
      </c>
      <c r="AB189" s="24">
        <f>U189*Z189/(1+Assumptions!$B$3)^AA189</f>
        <v/>
      </c>
      <c r="AC189" s="27">
        <f>IF(U189=0,"",ROUND(AB189/U189*100,1))</f>
        <v/>
      </c>
      <c r="AD189" s="29">
        <f>AB189*Assumptions!$B$4</f>
        <v/>
      </c>
      <c r="AE189" s="27">
        <f>IF(U189=0,"",ROUND(AD189/U189*100,1))</f>
        <v/>
      </c>
      <c r="AF189" s="29">
        <f>AB189-AD189</f>
        <v/>
      </c>
      <c r="AG189" s="27">
        <f>IF(U189=0,"",ROUND((AB189-AD189)/U189*100,1))</f>
        <v/>
      </c>
      <c r="AH189" s="30" t="inlineStr">
        <is>
          <t>OK — totals reconciled</t>
        </is>
      </c>
      <c r="AI189" s="31" t="inlineStr">
        <is>
          <t>https://administradorajudicialgs.com.br/wp-content/uploads/2023/08/advogados-sgrott-doc-22-relacao-de-credores-do-administrador-judicial-classe-iii-05-02-14.pdf</t>
        </is>
      </c>
      <c r="AJ189" s="30" t="inlineStr">
        <is>
          <t>p1 r59</t>
        </is>
      </c>
      <c r="AK189" s="30" t="inlineStr">
        <is>
          <t>p1: R$ 2.753.771,14</t>
        </is>
      </c>
      <c r="AL189" s="30" t="inlineStr">
        <is>
          <t>Unclassified list</t>
        </is>
      </c>
      <c r="AM189" s="30" t="inlineStr"/>
      <c r="AN189" s="30" t="inlineStr">
        <is>
          <t>NONE FOUND</t>
        </is>
      </c>
      <c r="AO189" s="32" t="inlineStr">
        <is>
          <t>0022845-08.2013.8.24.0008</t>
        </is>
      </c>
      <c r="AP189" s="32" t="inlineStr">
        <is>
          <t>TJSC</t>
        </is>
      </c>
      <c r="AQ189" s="32" t="inlineStr"/>
      <c r="AR189" s="32" t="inlineStr">
        <is>
          <t>not in DataJud</t>
        </is>
      </c>
      <c r="AS189" s="32" t="n">
        <v>2013</v>
      </c>
      <c r="AT189" s="32" t="inlineStr">
        <is>
          <t>13y since filing; plan not in our documents; case no. from the portal record, not printed on the list</t>
        </is>
      </c>
      <c r="AU189" s="32" t="inlineStr"/>
      <c r="AV189" s="32" t="inlineStr">
        <is>
          <t>portal page title / URL — not printed on the list</t>
        </is>
      </c>
      <c r="AW189" s="32" t="inlineStr"/>
      <c r="AX189" s="32" t="inlineStr">
        <is>
          <t>BLUMENAU</t>
        </is>
      </c>
      <c r="AY189" s="32" t="inlineStr">
        <is>
          <t>SC</t>
        </is>
      </c>
      <c r="AZ189" s="32" t="inlineStr">
        <is>
          <t>Cooperativas de crédito mútuo</t>
        </is>
      </c>
      <c r="BA189" s="32" t="inlineStr">
        <is>
          <t>não ME/EPP</t>
        </is>
      </c>
      <c r="BB189" s="33" t="inlineStr"/>
      <c r="BC189" s="32" t="inlineStr">
        <is>
          <t>UNKNOWN</t>
        </is>
      </c>
      <c r="BD189" s="32" t="inlineStr">
        <is>
          <t>73443863</t>
        </is>
      </c>
      <c r="BE189" s="32" t="n">
        <v>1</v>
      </c>
      <c r="BF189" s="32" t="inlineStr"/>
    </row>
    <row r="190">
      <c r="A190" s="17" t="inlineStr">
        <is>
          <t>VALOREM SOLUCOES FINANCEIRAS S.A.</t>
        </is>
      </c>
      <c r="B190" s="18" t="n">
        <v>2727260.07</v>
      </c>
      <c r="C190" s="19" t="inlineStr">
        <is>
          <t>VECTOR INDÚSTRIA DE PRODUTOS METALÚRGICOS LTDA.</t>
        </is>
      </c>
      <c r="D190" s="20" t="inlineStr">
        <is>
          <t>NEW</t>
        </is>
      </c>
      <c r="E190" s="21" t="inlineStr"/>
      <c r="F190" s="20" t="inlineStr"/>
      <c r="G190" s="21" t="inlineStr"/>
      <c r="H190" s="20" t="inlineStr"/>
      <c r="I190" s="22" t="inlineStr">
        <is>
          <t>Sinara Martins</t>
        </is>
      </c>
      <c r="J190" s="22" t="inlineStr">
        <is>
          <t>Collections Manager</t>
        </is>
      </c>
      <c r="K190" s="22" t="inlineStr">
        <is>
          <t>(47) 3461-2600</t>
        </is>
      </c>
      <c r="L190" s="22" t="inlineStr"/>
      <c r="M190" s="22" t="inlineStr"/>
      <c r="N190" s="22" t="inlineStr">
        <is>
          <t>sinara.martins@valorem.com.br</t>
        </is>
      </c>
      <c r="O190" s="22" t="inlineStr">
        <is>
          <t>verified</t>
        </is>
      </c>
      <c r="P190" s="22" t="inlineStr">
        <is>
          <t>Paulo Tavares</t>
        </is>
      </c>
      <c r="Q190" s="22" t="inlineStr">
        <is>
          <t>Legal Coordinator</t>
        </is>
      </c>
      <c r="R190" s="22" t="inlineStr"/>
      <c r="S190" s="22" t="inlineStr">
        <is>
          <t>paulo.tavares@valorem.com.br</t>
        </is>
      </c>
      <c r="T190" s="22" t="inlineStr">
        <is>
          <t>DM: DM; BACKUP: backup</t>
        </is>
      </c>
      <c r="U190" s="24" t="n">
        <v>2727260.07</v>
      </c>
      <c r="V190" s="39" t="inlineStr">
        <is>
          <t>C</t>
        </is>
      </c>
      <c r="W190" s="26" t="inlineStr"/>
      <c r="X190" s="27" t="inlineStr"/>
      <c r="Y190" s="27" t="inlineStr"/>
      <c r="Z190" s="26">
        <f>IF(W190&lt;&gt;"",W190,IFERROR(VLOOKUP(V190,Assumptions!$A$8:$F$12,2,FALSE),0))*Assumptions!$B$5</f>
        <v/>
      </c>
      <c r="AA190" s="28">
        <f>IF(V190="A",MAX(1,IF(X190&lt;&gt;"",X190,IFERROR(VLOOKUP(V190,Assumptions!$A$8:$F$12,3,FALSE),3))+IF(Y190&lt;&gt;"",Y190,IFERROR(VLOOKUP(V190,Assumptions!$A$8:$F$12,4,FALSE),8))/2-MAX(0,IF(AS190="",0,YEAR(TODAY())-AS190)-IFERROR(VLOOKUP(V190,Assumptions!$A$8:$F$12,5,FALSE),1.5))),IFERROR(VLOOKUP(V190,Assumptions!$A$8:$F$12,5,FALSE),2.5)+IF(X190&lt;&gt;"",X190,IFERROR(VLOOKUP(V190,Assumptions!$A$8:$F$12,3,FALSE),3))+IF(Y190&lt;&gt;"",Y190,IFERROR(VLOOKUP(V190,Assumptions!$A$8:$F$12,4,FALSE),8))/2)</f>
        <v/>
      </c>
      <c r="AB190" s="24">
        <f>U190*Z190/(1+Assumptions!$B$3)^AA190</f>
        <v/>
      </c>
      <c r="AC190" s="27">
        <f>IF(U190=0,"",ROUND(AB190/U190*100,1))</f>
        <v/>
      </c>
      <c r="AD190" s="29">
        <f>AB190*Assumptions!$B$4</f>
        <v/>
      </c>
      <c r="AE190" s="27">
        <f>IF(U190=0,"",ROUND(AD190/U190*100,1))</f>
        <v/>
      </c>
      <c r="AF190" s="29">
        <f>AB190-AD190</f>
        <v/>
      </c>
      <c r="AG190" s="27">
        <f>IF(U190=0,"",ROUND((AB190-AD190)/U190*100,1))</f>
        <v/>
      </c>
      <c r="AH190" s="34" t="inlineStr">
        <is>
          <t>NO TOTALS — list prints none; check page</t>
        </is>
      </c>
      <c r="AI190" s="31" t="inlineStr">
        <is>
          <t>https://scalzilliaj.com.br/sgc/download.php?file=files/processo_documento/processo_documento15513401112022_1_.pdf&amp;nome=15 - Edital do art. 7º, §2º (segunda lista de credores) e do art. 53 da Lei 11.101/2005 (recebimento do plano)</t>
        </is>
      </c>
      <c r="AJ190" s="30" t="inlineStr">
        <is>
          <t>p10 r27</t>
        </is>
      </c>
      <c r="AK190" s="30" t="inlineStr">
        <is>
          <t>p10: R$ 2.727.260,07</t>
        </is>
      </c>
      <c r="AL190" s="30" t="inlineStr">
        <is>
          <t>AJ list (art. 7 §2)</t>
        </is>
      </c>
      <c r="AM190" s="30" t="inlineStr">
        <is>
          <t>2022-11-01</t>
        </is>
      </c>
      <c r="AN190" s="30" t="inlineStr">
        <is>
          <t>NONE FOUND</t>
        </is>
      </c>
      <c r="AO190" s="32" t="inlineStr">
        <is>
          <t>5014104-85.2021.8.21.0010</t>
        </is>
      </c>
      <c r="AP190" s="32" t="inlineStr">
        <is>
          <t>TJRS</t>
        </is>
      </c>
      <c r="AQ190" s="32" t="inlineStr">
        <is>
          <t>Recuperação judicial</t>
        </is>
      </c>
      <c r="AR190" s="32" t="inlineStr">
        <is>
          <t>DataJud: no closure/falência movement</t>
        </is>
      </c>
      <c r="AS190" s="32" t="n">
        <v>2021</v>
      </c>
      <c r="AT190" s="32" t="inlineStr">
        <is>
          <t>5y since filing; plan not in our documents</t>
        </is>
      </c>
      <c r="AU190" s="32" t="inlineStr">
        <is>
          <t>03.018.339/0001-03</t>
        </is>
      </c>
      <c r="AV190" s="32" t="inlineStr">
        <is>
          <t>printed on the list (read twice)</t>
        </is>
      </c>
      <c r="AW190" s="32" t="inlineStr"/>
      <c r="AX190" s="32" t="inlineStr">
        <is>
          <t>JOINVILLE</t>
        </is>
      </c>
      <c r="AY190" s="32" t="inlineStr">
        <is>
          <t>SC</t>
        </is>
      </c>
      <c r="AZ190" s="32" t="inlineStr">
        <is>
          <t>Securitização de créditos</t>
        </is>
      </c>
      <c r="BA190" s="32" t="inlineStr">
        <is>
          <t>não ME/EPP</t>
        </is>
      </c>
      <c r="BB190" s="33" t="n">
        <v>3326000</v>
      </c>
      <c r="BC190" s="32" t="inlineStr">
        <is>
          <t>MID-MARKET</t>
        </is>
      </c>
      <c r="BD190" s="32" t="inlineStr">
        <is>
          <t>18488755</t>
        </is>
      </c>
      <c r="BE190" s="32" t="n">
        <v>1</v>
      </c>
      <c r="BF190" s="32" t="inlineStr">
        <is>
          <t>list prints no totals</t>
        </is>
      </c>
    </row>
    <row r="191">
      <c r="A191" s="17" t="inlineStr">
        <is>
          <t>BANCO BRADESCO S.A.</t>
        </is>
      </c>
      <c r="B191" s="18" t="n">
        <v>689839.74</v>
      </c>
      <c r="C191" s="19" t="inlineStr">
        <is>
          <t>Grupo GE (Condomínio Agropecuário GE)</t>
        </is>
      </c>
      <c r="D191" s="20" t="inlineStr">
        <is>
          <t>NEW</t>
        </is>
      </c>
      <c r="E191" s="21" t="inlineStr"/>
      <c r="F191" s="20" t="inlineStr"/>
      <c r="G191" s="21" t="inlineStr"/>
      <c r="H191" s="20" t="inlineStr"/>
      <c r="I191" s="22" t="inlineStr">
        <is>
          <t>Marcela Martins</t>
        </is>
      </c>
      <c r="J191" s="22" t="inlineStr">
        <is>
          <t>Superintendente de Recuperação de Crédito - Canais e Operações</t>
        </is>
      </c>
      <c r="K191" s="22" t="inlineStr">
        <is>
          <t>(11) 3684-5122</t>
        </is>
      </c>
      <c r="L191" s="22" t="inlineStr"/>
      <c r="M191" s="22" t="inlineStr"/>
      <c r="N191" s="22" t="inlineStr"/>
      <c r="O191" s="22" t="inlineStr"/>
      <c r="P191" s="22" t="inlineStr">
        <is>
          <t>Luis S</t>
        </is>
      </c>
      <c r="Q191" s="22" t="inlineStr">
        <is>
          <t>DRC - Departamento de Recuperação de Crédito - Gerente de Reestruturação de Crédito</t>
        </is>
      </c>
      <c r="R191" s="22" t="inlineStr"/>
      <c r="S191" s="22" t="inlineStr">
        <is>
          <t>sl@bradesco.com.br</t>
        </is>
      </c>
      <c r="T191" s="22" t="inlineStr">
        <is>
          <t>DM: DM; no work email in Apollo for DM; BACKUP: backup</t>
        </is>
      </c>
      <c r="U191" s="24" t="n">
        <v>689839.74</v>
      </c>
      <c r="V191" s="25" t="inlineStr">
        <is>
          <t>B</t>
        </is>
      </c>
      <c r="W191" s="26" t="inlineStr"/>
      <c r="X191" s="27" t="inlineStr"/>
      <c r="Y191" s="27" t="inlineStr"/>
      <c r="Z191" s="26">
        <f>IF(W191&lt;&gt;"",W191,IFERROR(VLOOKUP(V191,Assumptions!$A$8:$F$12,2,FALSE),0))*Assumptions!$B$5</f>
        <v/>
      </c>
      <c r="AA191" s="28">
        <f>IF(V191="A",MAX(1,IF(X191&lt;&gt;"",X191,IFERROR(VLOOKUP(V191,Assumptions!$A$8:$F$12,3,FALSE),3))+IF(Y191&lt;&gt;"",Y191,IFERROR(VLOOKUP(V191,Assumptions!$A$8:$F$12,4,FALSE),8))/2-MAX(0,IF(AS191="",0,YEAR(TODAY())-AS191)-IFERROR(VLOOKUP(V191,Assumptions!$A$8:$F$12,5,FALSE),1.5))),IFERROR(VLOOKUP(V191,Assumptions!$A$8:$F$12,5,FALSE),2.5)+IF(X191&lt;&gt;"",X191,IFERROR(VLOOKUP(V191,Assumptions!$A$8:$F$12,3,FALSE),3))+IF(Y191&lt;&gt;"",Y191,IFERROR(VLOOKUP(V191,Assumptions!$A$8:$F$12,4,FALSE),8))/2)</f>
        <v/>
      </c>
      <c r="AB191" s="24">
        <f>U191*Z191/(1+Assumptions!$B$3)^AA191</f>
        <v/>
      </c>
      <c r="AC191" s="27">
        <f>IF(U191=0,"",ROUND(AB191/U191*100,1))</f>
        <v/>
      </c>
      <c r="AD191" s="29">
        <f>AB191*Assumptions!$B$4</f>
        <v/>
      </c>
      <c r="AE191" s="27">
        <f>IF(U191=0,"",ROUND(AD191/U191*100,1))</f>
        <v/>
      </c>
      <c r="AF191" s="29">
        <f>AB191-AD191</f>
        <v/>
      </c>
      <c r="AG191" s="27">
        <f>IF(U191=0,"",ROUND((AB191-AD191)/U191*100,1))</f>
        <v/>
      </c>
      <c r="AH191" s="34" t="inlineStr">
        <is>
          <t>NO TOTALS — list prints none; check page</t>
        </is>
      </c>
      <c r="AI191" s="31" t="inlineStr">
        <is>
          <t>https://stenius.com.br/wp-content/uploads/2026/07/EDITAL-1-RELACAO-DE-CREDORES-GRUPO-GE.pdf</t>
        </is>
      </c>
      <c r="AJ191" s="30" t="inlineStr">
        <is>
          <t>p5 r8; p5 r9</t>
        </is>
      </c>
      <c r="AK191" s="30" t="inlineStr">
        <is>
          <t>p5: R$ 60.982,56; p5: R$ 628.857,18</t>
        </is>
      </c>
      <c r="AL191" s="30" t="inlineStr">
        <is>
          <t>Debtor list (art. 51)</t>
        </is>
      </c>
      <c r="AM191" s="30" t="inlineStr">
        <is>
          <t>2026-07-01</t>
        </is>
      </c>
      <c r="AN191" s="30" t="inlineStr">
        <is>
          <t>NONE FOUND</t>
        </is>
      </c>
      <c r="AO191" s="32" t="inlineStr">
        <is>
          <t>5164979-18.2026.8.09.0110</t>
        </is>
      </c>
      <c r="AP191" s="32" t="inlineStr">
        <is>
          <t>TJGO</t>
        </is>
      </c>
      <c r="AQ191" s="32" t="inlineStr">
        <is>
          <t>Recuperação judicial</t>
        </is>
      </c>
      <c r="AR191" s="32" t="inlineStr">
        <is>
          <t>DataJud: no closure/falência movement</t>
        </is>
      </c>
      <c r="AS191" s="32" t="n">
        <v>2026</v>
      </c>
      <c r="AT191" s="32" t="inlineStr">
        <is>
          <t>live case, no plan document yet</t>
        </is>
      </c>
      <c r="AU191" s="32" t="inlineStr"/>
      <c r="AV191" s="32" t="inlineStr">
        <is>
          <t>printed on the list (read twice)</t>
        </is>
      </c>
      <c r="AW191" s="32" t="inlineStr"/>
      <c r="AX191" s="32" t="inlineStr">
        <is>
          <t>OSASCO</t>
        </is>
      </c>
      <c r="AY191" s="32" t="inlineStr">
        <is>
          <t>SP</t>
        </is>
      </c>
      <c r="AZ191" s="32" t="inlineStr">
        <is>
          <t>Bancos múltiplos, com carteira comercial</t>
        </is>
      </c>
      <c r="BA191" s="32" t="inlineStr">
        <is>
          <t>não ME/EPP</t>
        </is>
      </c>
      <c r="BB191" s="33" t="n">
        <v>93770000000</v>
      </c>
      <c r="BC191" s="32" t="inlineStr">
        <is>
          <t>LARGE CORP</t>
        </is>
      </c>
      <c r="BD191" s="32" t="inlineStr">
        <is>
          <t>60746948</t>
        </is>
      </c>
      <c r="BE191" s="32" t="n">
        <v>2</v>
      </c>
      <c r="BF191" s="32" t="inlineStr">
        <is>
          <t>financial by name list prints no totals</t>
        </is>
      </c>
    </row>
    <row r="192">
      <c r="A192" s="17" t="inlineStr">
        <is>
          <t>Fundo de Investimento em Direitos Creditórios Sabia Capital Credit</t>
        </is>
      </c>
      <c r="B192" s="18" t="n">
        <v>689134.29</v>
      </c>
      <c r="C192" s="19" t="inlineStr">
        <is>
          <t>GRUPO D&amp;D</t>
        </is>
      </c>
      <c r="D192" s="20" t="inlineStr">
        <is>
          <t>NEW</t>
        </is>
      </c>
      <c r="E192" s="21" t="inlineStr"/>
      <c r="F192" s="20" t="inlineStr"/>
      <c r="G192" s="21" t="inlineStr"/>
      <c r="H192" s="20" t="inlineStr"/>
      <c r="I192" s="22" t="inlineStr"/>
      <c r="J192" s="22" t="inlineStr"/>
      <c r="K192" s="22" t="inlineStr"/>
      <c r="L192" s="22" t="inlineStr"/>
      <c r="M192" s="22" t="inlineStr"/>
      <c r="N192" s="22" t="inlineStr"/>
      <c r="O192" s="22" t="inlineStr"/>
      <c r="P192" s="22" t="inlineStr"/>
      <c r="Q192" s="22" t="inlineStr"/>
      <c r="R192" s="22" t="inlineStr"/>
      <c r="S192" s="22" t="inlineStr"/>
      <c r="T192" s="22" t="inlineStr">
        <is>
          <t>no named contact found; NO ROUTE IN: no phone or email on file</t>
        </is>
      </c>
      <c r="U192" s="24" t="n">
        <v>689134.29</v>
      </c>
      <c r="V192" s="25" t="inlineStr">
        <is>
          <t>B</t>
        </is>
      </c>
      <c r="W192" s="26" t="inlineStr"/>
      <c r="X192" s="27" t="inlineStr"/>
      <c r="Y192" s="27" t="inlineStr"/>
      <c r="Z192" s="26">
        <f>IF(W192&lt;&gt;"",W192,IFERROR(VLOOKUP(V192,Assumptions!$A$8:$F$12,2,FALSE),0))*Assumptions!$B$5</f>
        <v/>
      </c>
      <c r="AA192" s="28">
        <f>IF(V192="A",MAX(1,IF(X192&lt;&gt;"",X192,IFERROR(VLOOKUP(V192,Assumptions!$A$8:$F$12,3,FALSE),3))+IF(Y192&lt;&gt;"",Y192,IFERROR(VLOOKUP(V192,Assumptions!$A$8:$F$12,4,FALSE),8))/2-MAX(0,IF(AS192="",0,YEAR(TODAY())-AS192)-IFERROR(VLOOKUP(V192,Assumptions!$A$8:$F$12,5,FALSE),1.5))),IFERROR(VLOOKUP(V192,Assumptions!$A$8:$F$12,5,FALSE),2.5)+IF(X192&lt;&gt;"",X192,IFERROR(VLOOKUP(V192,Assumptions!$A$8:$F$12,3,FALSE),3))+IF(Y192&lt;&gt;"",Y192,IFERROR(VLOOKUP(V192,Assumptions!$A$8:$F$12,4,FALSE),8))/2)</f>
        <v/>
      </c>
      <c r="AB192" s="24">
        <f>U192*Z192/(1+Assumptions!$B$3)^AA192</f>
        <v/>
      </c>
      <c r="AC192" s="27">
        <f>IF(U192=0,"",ROUND(AB192/U192*100,1))</f>
        <v/>
      </c>
      <c r="AD192" s="29">
        <f>AB192*Assumptions!$B$4</f>
        <v/>
      </c>
      <c r="AE192" s="27">
        <f>IF(U192=0,"",ROUND(AD192/U192*100,1))</f>
        <v/>
      </c>
      <c r="AF192" s="29">
        <f>AB192-AD192</f>
        <v/>
      </c>
      <c r="AG192" s="27">
        <f>IF(U192=0,"",ROUND((AB192-AD192)/U192*100,1))</f>
        <v/>
      </c>
      <c r="AH192" s="35" t="inlineStr">
        <is>
          <t>PARTIAL — class III reconciled, other classes not</t>
        </is>
      </c>
      <c r="AI192" s="31" t="inlineStr">
        <is>
          <t>https://marquesadmjudicial.com.br/sgc/download.php?file=files/processo_documento/processo_documento20014127022025_1_.pdf&amp;nome=Relação Nominal de Credores</t>
        </is>
      </c>
      <c r="AJ192" s="30" t="inlineStr">
        <is>
          <t>p4 r17</t>
        </is>
      </c>
      <c r="AK192" s="30" t="inlineStr">
        <is>
          <t>p4: R$ 689.134,29</t>
        </is>
      </c>
      <c r="AL192" s="30" t="inlineStr">
        <is>
          <t>AJ list (art. 7 §2)</t>
        </is>
      </c>
      <c r="AM192" s="30" t="inlineStr">
        <is>
          <t>2024-11-08</t>
        </is>
      </c>
      <c r="AN192" s="30" t="inlineStr">
        <is>
          <t>NONE FOUND</t>
        </is>
      </c>
      <c r="AO192" s="32" t="inlineStr">
        <is>
          <t>0001943-40.2024.8.16.0115</t>
        </is>
      </c>
      <c r="AP192" s="32" t="inlineStr">
        <is>
          <t>TJPR</t>
        </is>
      </c>
      <c r="AQ192" s="32" t="inlineStr">
        <is>
          <t>Recuperação judicial</t>
        </is>
      </c>
      <c r="AR192" s="32" t="inlineStr">
        <is>
          <t>DataJud: no closure/falência movement</t>
        </is>
      </c>
      <c r="AS192" s="32" t="n">
        <v>2024</v>
      </c>
      <c r="AT192" s="32" t="inlineStr">
        <is>
          <t>live case, no plan document yet</t>
        </is>
      </c>
      <c r="AU192" s="32" t="inlineStr"/>
      <c r="AV192" s="32" t="inlineStr">
        <is>
          <t>printed on the list (read twice)</t>
        </is>
      </c>
      <c r="AW192" s="32" t="inlineStr"/>
      <c r="AX192" s="32" t="inlineStr"/>
      <c r="AY192" s="32" t="inlineStr"/>
      <c r="AZ192" s="32" t="inlineStr"/>
      <c r="BA192" s="32" t="inlineStr"/>
      <c r="BB192" s="33" t="inlineStr"/>
      <c r="BC192" s="32" t="inlineStr">
        <is>
          <t>UNKNOWN</t>
        </is>
      </c>
      <c r="BD192" s="32" t="inlineStr">
        <is>
          <t>29957532</t>
        </is>
      </c>
      <c r="BE192" s="32" t="n">
        <v>1</v>
      </c>
      <c r="BF192" s="32" t="inlineStr">
        <is>
          <t>financial by name class III reconciled (doc partial) no RFB record no route in</t>
        </is>
      </c>
    </row>
    <row r="193">
      <c r="A193" s="17" t="inlineStr">
        <is>
          <t>BANCO FIBRA SA</t>
        </is>
      </c>
      <c r="B193" s="18" t="n">
        <v>4760530.36</v>
      </c>
      <c r="C193" s="19" t="inlineStr">
        <is>
          <t>Mannes</t>
        </is>
      </c>
      <c r="D193" s="20" t="inlineStr">
        <is>
          <t>NEW</t>
        </is>
      </c>
      <c r="E193" s="21" t="inlineStr"/>
      <c r="F193" s="20" t="inlineStr"/>
      <c r="G193" s="21" t="inlineStr"/>
      <c r="H193" s="20" t="inlineStr"/>
      <c r="I193" s="22" t="inlineStr">
        <is>
          <t>Carlota Schwarz</t>
        </is>
      </c>
      <c r="J193" s="22" t="inlineStr">
        <is>
          <t>Superintendente de Reestruturação de Crédito</t>
        </is>
      </c>
      <c r="K193" s="22" t="inlineStr">
        <is>
          <t>(11) 3847-6943</t>
        </is>
      </c>
      <c r="L193" s="22" t="inlineStr"/>
      <c r="M193" s="22" t="inlineStr"/>
      <c r="N193" s="22" t="inlineStr">
        <is>
          <t>carlota.schwarz@bancofibra.com.br</t>
        </is>
      </c>
      <c r="O193" s="22" t="inlineStr">
        <is>
          <t>verified</t>
        </is>
      </c>
      <c r="P193" s="22" t="inlineStr">
        <is>
          <t>Augusto Cardoso</t>
        </is>
      </c>
      <c r="Q193" s="22" t="inlineStr">
        <is>
          <t>Gerente de Recuperação de Crédito e Cobrança</t>
        </is>
      </c>
      <c r="R193" s="22" t="inlineStr"/>
      <c r="S193" s="22" t="inlineStr">
        <is>
          <t>acardoso@bancofibra.com.br</t>
        </is>
      </c>
      <c r="T193" s="22" t="inlineStr">
        <is>
          <t>DM: DM; BACKUP: backup</t>
        </is>
      </c>
      <c r="U193" s="24" t="n">
        <v>4760530.36</v>
      </c>
      <c r="V193" s="40" t="inlineStr">
        <is>
          <t>D</t>
        </is>
      </c>
      <c r="W193" s="26" t="inlineStr"/>
      <c r="X193" s="27" t="inlineStr"/>
      <c r="Y193" s="27" t="inlineStr"/>
      <c r="Z193" s="26">
        <f>IF(W193&lt;&gt;"",W193,IFERROR(VLOOKUP(V193,Assumptions!$A$8:$F$12,2,FALSE),0))*Assumptions!$B$5</f>
        <v/>
      </c>
      <c r="AA193" s="28">
        <f>IF(V193="A",MAX(1,IF(X193&lt;&gt;"",X193,IFERROR(VLOOKUP(V193,Assumptions!$A$8:$F$12,3,FALSE),3))+IF(Y193&lt;&gt;"",Y193,IFERROR(VLOOKUP(V193,Assumptions!$A$8:$F$12,4,FALSE),8))/2-MAX(0,IF(AS193="",0,YEAR(TODAY())-AS193)-IFERROR(VLOOKUP(V193,Assumptions!$A$8:$F$12,5,FALSE),1.5))),IFERROR(VLOOKUP(V193,Assumptions!$A$8:$F$12,5,FALSE),2.5)+IF(X193&lt;&gt;"",X193,IFERROR(VLOOKUP(V193,Assumptions!$A$8:$F$12,3,FALSE),3))+IF(Y193&lt;&gt;"",Y193,IFERROR(VLOOKUP(V193,Assumptions!$A$8:$F$12,4,FALSE),8))/2)</f>
        <v/>
      </c>
      <c r="AB193" s="24">
        <f>U193*Z193/(1+Assumptions!$B$3)^AA193</f>
        <v/>
      </c>
      <c r="AC193" s="27">
        <f>IF(U193=0,"",ROUND(AB193/U193*100,1))</f>
        <v/>
      </c>
      <c r="AD193" s="29">
        <f>AB193*Assumptions!$B$4</f>
        <v/>
      </c>
      <c r="AE193" s="27">
        <f>IF(U193=0,"",ROUND(AD193/U193*100,1))</f>
        <v/>
      </c>
      <c r="AF193" s="29">
        <f>AB193-AD193</f>
        <v/>
      </c>
      <c r="AG193" s="27">
        <f>IF(U193=0,"",ROUND((AB193-AD193)/U193*100,1))</f>
        <v/>
      </c>
      <c r="AH193" s="36" t="inlineStr">
        <is>
          <t>CHECK — source is not a statutory creditor list</t>
        </is>
      </c>
      <c r="AI193" s="31" t="inlineStr">
        <is>
          <t>https://administradorajudicialgs.com.br/wp-content/uploads/2024/12/relacao-de-credores-da-falida.pdf</t>
        </is>
      </c>
      <c r="AJ193" s="30" t="inlineStr">
        <is>
          <t>p13 r6</t>
        </is>
      </c>
      <c r="AK193" s="30" t="inlineStr">
        <is>
          <t>p13: R$ 4.760.530,36</t>
        </is>
      </c>
      <c r="AL193" s="30" t="inlineStr">
        <is>
          <t>Other filing — NOT an art. 7/51 list</t>
        </is>
      </c>
      <c r="AM193" s="30" t="inlineStr">
        <is>
          <t>2025-03-25</t>
        </is>
      </c>
      <c r="AN193" s="30" t="inlineStr">
        <is>
          <t>NONE FOUND</t>
        </is>
      </c>
      <c r="AO193" s="32" t="inlineStr">
        <is>
          <t>0005010-50.2013.8.24.0026</t>
        </is>
      </c>
      <c r="AP193" s="32" t="inlineStr">
        <is>
          <t>TJSC</t>
        </is>
      </c>
      <c r="AQ193" s="32" t="inlineStr">
        <is>
          <t>Falência</t>
        </is>
      </c>
      <c r="AR193" s="32" t="inlineStr">
        <is>
          <t>not in DataJud</t>
        </is>
      </c>
      <c r="AS193" s="32" t="n">
        <v>2013</v>
      </c>
      <c r="AT193" s="32" t="inlineStr">
        <is>
          <t>falência proceeding (list/name says falida)</t>
        </is>
      </c>
      <c r="AU193" s="32" t="inlineStr"/>
      <c r="AV193" s="32" t="inlineStr">
        <is>
          <t>printed on the list (read twice)</t>
        </is>
      </c>
      <c r="AW193" s="32" t="inlineStr"/>
      <c r="AX193" s="32" t="inlineStr">
        <is>
          <t>SAO PAULO</t>
        </is>
      </c>
      <c r="AY193" s="32" t="inlineStr">
        <is>
          <t>SP</t>
        </is>
      </c>
      <c r="AZ193" s="32" t="inlineStr">
        <is>
          <t>Bancos múltiplos, com carteira comercial</t>
        </is>
      </c>
      <c r="BA193" s="32" t="inlineStr">
        <is>
          <t>não ME/EPP</t>
        </is>
      </c>
      <c r="BB193" s="33" t="n">
        <v>1207776000</v>
      </c>
      <c r="BC193" s="32" t="inlineStr">
        <is>
          <t>LARGE CORP</t>
        </is>
      </c>
      <c r="BD193" s="32" t="inlineStr">
        <is>
          <t>58616418</t>
        </is>
      </c>
      <c r="BE193" s="32" t="n">
        <v>1</v>
      </c>
      <c r="BF193" s="32" t="inlineStr">
        <is>
          <t>financial by name list prints no totals case no. corrected by reader</t>
        </is>
      </c>
    </row>
    <row r="194">
      <c r="A194" s="17" t="inlineStr">
        <is>
          <t>TREVISO FUNDO DE INVESTIMENTO EM DIREITOS CREDITORIOS</t>
        </is>
      </c>
      <c r="B194" s="18" t="n">
        <v>661424.53</v>
      </c>
      <c r="C194" s="19" t="inlineStr">
        <is>
          <t>Grupo Conduscabos</t>
        </is>
      </c>
      <c r="D194" s="20" t="inlineStr">
        <is>
          <t>NEW</t>
        </is>
      </c>
      <c r="E194" s="21" t="inlineStr"/>
      <c r="F194" s="20" t="inlineStr"/>
      <c r="G194" s="21" t="inlineStr"/>
      <c r="H194" s="20" t="inlineStr"/>
      <c r="I194" s="22" t="inlineStr"/>
      <c r="J194" s="22" t="inlineStr"/>
      <c r="K194" s="22" t="inlineStr">
        <is>
          <t>(11) 2827-3500</t>
        </is>
      </c>
      <c r="L194" s="22" t="inlineStr"/>
      <c r="M194" s="22" t="inlineStr"/>
      <c r="N194" s="22" t="inlineStr"/>
      <c r="O194" s="22" t="inlineStr"/>
      <c r="P194" s="22" t="inlineStr"/>
      <c r="Q194" s="22" t="inlineStr"/>
      <c r="R194" s="22" t="inlineStr"/>
      <c r="S194" s="22" t="inlineStr"/>
      <c r="T194" s="22" t="inlineStr">
        <is>
          <t>no named contact found</t>
        </is>
      </c>
      <c r="U194" s="24" t="n">
        <v>661424.53</v>
      </c>
      <c r="V194" s="25" t="inlineStr">
        <is>
          <t>B</t>
        </is>
      </c>
      <c r="W194" s="26" t="inlineStr"/>
      <c r="X194" s="27" t="inlineStr"/>
      <c r="Y194" s="27" t="inlineStr"/>
      <c r="Z194" s="26">
        <f>IF(W194&lt;&gt;"",W194,IFERROR(VLOOKUP(V194,Assumptions!$A$8:$F$12,2,FALSE),0))*Assumptions!$B$5</f>
        <v/>
      </c>
      <c r="AA194" s="28">
        <f>IF(V194="A",MAX(1,IF(X194&lt;&gt;"",X194,IFERROR(VLOOKUP(V194,Assumptions!$A$8:$F$12,3,FALSE),3))+IF(Y194&lt;&gt;"",Y194,IFERROR(VLOOKUP(V194,Assumptions!$A$8:$F$12,4,FALSE),8))/2-MAX(0,IF(AS194="",0,YEAR(TODAY())-AS194)-IFERROR(VLOOKUP(V194,Assumptions!$A$8:$F$12,5,FALSE),1.5))),IFERROR(VLOOKUP(V194,Assumptions!$A$8:$F$12,5,FALSE),2.5)+IF(X194&lt;&gt;"",X194,IFERROR(VLOOKUP(V194,Assumptions!$A$8:$F$12,3,FALSE),3))+IF(Y194&lt;&gt;"",Y194,IFERROR(VLOOKUP(V194,Assumptions!$A$8:$F$12,4,FALSE),8))/2)</f>
        <v/>
      </c>
      <c r="AB194" s="24">
        <f>U194*Z194/(1+Assumptions!$B$3)^AA194</f>
        <v/>
      </c>
      <c r="AC194" s="27">
        <f>IF(U194=0,"",ROUND(AB194/U194*100,1))</f>
        <v/>
      </c>
      <c r="AD194" s="29">
        <f>AB194*Assumptions!$B$4</f>
        <v/>
      </c>
      <c r="AE194" s="27">
        <f>IF(U194=0,"",ROUND(AD194/U194*100,1))</f>
        <v/>
      </c>
      <c r="AF194" s="29">
        <f>AB194-AD194</f>
        <v/>
      </c>
      <c r="AG194" s="27">
        <f>IF(U194=0,"",ROUND((AB194-AD194)/U194*100,1))</f>
        <v/>
      </c>
      <c r="AH194" s="34" t="inlineStr">
        <is>
          <t>NO TOTALS — list prints none; check page</t>
        </is>
      </c>
      <c r="AI194" s="31" t="inlineStr">
        <is>
          <t>https://assistjud.com.br/wp-content/uploads/elementor/forms/65098c80a5824.pdf</t>
        </is>
      </c>
      <c r="AJ194" s="30" t="inlineStr">
        <is>
          <t>p10 r6; p19 r9</t>
        </is>
      </c>
      <c r="AK194" s="30" t="inlineStr">
        <is>
          <t>p10: R$ 156.614,07; p19: R$ 504.810,46</t>
        </is>
      </c>
      <c r="AL194" s="30" t="inlineStr">
        <is>
          <t>AJ list (art. 7 §2)</t>
        </is>
      </c>
      <c r="AM194" s="30" t="inlineStr">
        <is>
          <t>2023-09-18</t>
        </is>
      </c>
      <c r="AN194" s="30" t="inlineStr">
        <is>
          <t>NONE FOUND</t>
        </is>
      </c>
      <c r="AO194" s="32" t="inlineStr">
        <is>
          <t>8005129-09.2023.8.05.0039</t>
        </is>
      </c>
      <c r="AP194" s="32" t="inlineStr">
        <is>
          <t>TJBA</t>
        </is>
      </c>
      <c r="AQ194" s="32" t="inlineStr">
        <is>
          <t>Recuperação judicial</t>
        </is>
      </c>
      <c r="AR194" s="32" t="inlineStr">
        <is>
          <t>DataJud: no closure/falência movement</t>
        </is>
      </c>
      <c r="AS194" s="32" t="n">
        <v>2023</v>
      </c>
      <c r="AT194" s="32" t="inlineStr">
        <is>
          <t>live case, no plan document yet</t>
        </is>
      </c>
      <c r="AU194" s="32" t="inlineStr"/>
      <c r="AV194" s="32" t="inlineStr">
        <is>
          <t>printed on the list (read twice)</t>
        </is>
      </c>
      <c r="AW194" s="32" t="inlineStr"/>
      <c r="AX194" s="32" t="inlineStr">
        <is>
          <t>SAO PAULO</t>
        </is>
      </c>
      <c r="AY194" s="32" t="inlineStr">
        <is>
          <t>SP</t>
        </is>
      </c>
      <c r="AZ194" s="32" t="inlineStr">
        <is>
          <t>Fundos de investimento, exceto previdenciários e imobiliários</t>
        </is>
      </c>
      <c r="BA194" s="32" t="inlineStr">
        <is>
          <t>não ME/EPP</t>
        </is>
      </c>
      <c r="BB194" s="33" t="inlineStr"/>
      <c r="BC194" s="32" t="inlineStr">
        <is>
          <t>UNKNOWN</t>
        </is>
      </c>
      <c r="BD194" s="32" t="inlineStr">
        <is>
          <t>26506898</t>
        </is>
      </c>
      <c r="BE194" s="32" t="n">
        <v>2</v>
      </c>
      <c r="BF194" s="32" t="inlineStr">
        <is>
          <t>list prints no totals</t>
        </is>
      </c>
    </row>
    <row r="195">
      <c r="A195" s="17" t="inlineStr">
        <is>
          <t>INVISTA III FUNDO DE INVESTIMENTO EM DIREITOS CREDITORIOS - RESPONSABILIDADE LIMITADA</t>
        </is>
      </c>
      <c r="B195" s="18" t="n">
        <v>658063</v>
      </c>
      <c r="C195" s="19" t="inlineStr">
        <is>
          <t>Grupo Conduscabos</t>
        </is>
      </c>
      <c r="D195" s="20" t="inlineStr">
        <is>
          <t>NEW</t>
        </is>
      </c>
      <c r="E195" s="21" t="inlineStr"/>
      <c r="F195" s="20" t="inlineStr"/>
      <c r="G195" s="21" t="inlineStr"/>
      <c r="H195" s="20" t="inlineStr"/>
      <c r="I195" s="22" t="inlineStr">
        <is>
          <t>Dayvison Bezerra</t>
        </is>
      </c>
      <c r="J195" s="22" t="inlineStr">
        <is>
          <t>Head of NPL &amp; Structuring</t>
        </is>
      </c>
      <c r="K195" s="22" t="inlineStr">
        <is>
          <t>(41) 3122-7300</t>
        </is>
      </c>
      <c r="L195" s="22" t="inlineStr"/>
      <c r="M195" s="22" t="inlineStr"/>
      <c r="N195" s="22" t="inlineStr">
        <is>
          <t>dayvison.bezerra@invista.com.br</t>
        </is>
      </c>
      <c r="O195" s="22" t="inlineStr">
        <is>
          <t>verified</t>
        </is>
      </c>
      <c r="P195" s="22" t="inlineStr">
        <is>
          <t>Keyse Felix</t>
        </is>
      </c>
      <c r="Q195" s="22" t="inlineStr">
        <is>
          <t>Collections Manager</t>
        </is>
      </c>
      <c r="R195" s="22" t="inlineStr"/>
      <c r="S195" s="22" t="inlineStr">
        <is>
          <t>keyse.felix@invista.com.br</t>
        </is>
      </c>
      <c r="T195" s="22" t="inlineStr">
        <is>
          <t>DM: DM; BACKUP: backup</t>
        </is>
      </c>
      <c r="U195" s="24" t="n">
        <v>658063</v>
      </c>
      <c r="V195" s="25" t="inlineStr">
        <is>
          <t>B</t>
        </is>
      </c>
      <c r="W195" s="26" t="inlineStr"/>
      <c r="X195" s="27" t="inlineStr"/>
      <c r="Y195" s="27" t="inlineStr"/>
      <c r="Z195" s="26">
        <f>IF(W195&lt;&gt;"",W195,IFERROR(VLOOKUP(V195,Assumptions!$A$8:$F$12,2,FALSE),0))*Assumptions!$B$5</f>
        <v/>
      </c>
      <c r="AA195" s="28">
        <f>IF(V195="A",MAX(1,IF(X195&lt;&gt;"",X195,IFERROR(VLOOKUP(V195,Assumptions!$A$8:$F$12,3,FALSE),3))+IF(Y195&lt;&gt;"",Y195,IFERROR(VLOOKUP(V195,Assumptions!$A$8:$F$12,4,FALSE),8))/2-MAX(0,IF(AS195="",0,YEAR(TODAY())-AS195)-IFERROR(VLOOKUP(V195,Assumptions!$A$8:$F$12,5,FALSE),1.5))),IFERROR(VLOOKUP(V195,Assumptions!$A$8:$F$12,5,FALSE),2.5)+IF(X195&lt;&gt;"",X195,IFERROR(VLOOKUP(V195,Assumptions!$A$8:$F$12,3,FALSE),3))+IF(Y195&lt;&gt;"",Y195,IFERROR(VLOOKUP(V195,Assumptions!$A$8:$F$12,4,FALSE),8))/2)</f>
        <v/>
      </c>
      <c r="AB195" s="24">
        <f>U195*Z195/(1+Assumptions!$B$3)^AA195</f>
        <v/>
      </c>
      <c r="AC195" s="27">
        <f>IF(U195=0,"",ROUND(AB195/U195*100,1))</f>
        <v/>
      </c>
      <c r="AD195" s="29">
        <f>AB195*Assumptions!$B$4</f>
        <v/>
      </c>
      <c r="AE195" s="27">
        <f>IF(U195=0,"",ROUND(AD195/U195*100,1))</f>
        <v/>
      </c>
      <c r="AF195" s="29">
        <f>AB195-AD195</f>
        <v/>
      </c>
      <c r="AG195" s="27">
        <f>IF(U195=0,"",ROUND((AB195-AD195)/U195*100,1))</f>
        <v/>
      </c>
      <c r="AH195" s="34" t="inlineStr">
        <is>
          <t>NO TOTALS — list prints none; check page</t>
        </is>
      </c>
      <c r="AI195" s="31" t="inlineStr">
        <is>
          <t>https://assistjud.com.br/wp-content/uploads/elementor/forms/65098c80a5824.pdf</t>
        </is>
      </c>
      <c r="AJ195" s="30" t="inlineStr">
        <is>
          <t>p8 r2; p18 r4</t>
        </is>
      </c>
      <c r="AK195" s="30" t="inlineStr">
        <is>
          <t>p8: R$ 195.889,00; p18: R$ 462.174,00</t>
        </is>
      </c>
      <c r="AL195" s="30" t="inlineStr">
        <is>
          <t>AJ list (art. 7 §2)</t>
        </is>
      </c>
      <c r="AM195" s="30" t="inlineStr">
        <is>
          <t>2023-09-18</t>
        </is>
      </c>
      <c r="AN195" s="30" t="inlineStr">
        <is>
          <t>NONE FOUND</t>
        </is>
      </c>
      <c r="AO195" s="32" t="inlineStr">
        <is>
          <t>8005129-09.2023.8.05.0039</t>
        </is>
      </c>
      <c r="AP195" s="32" t="inlineStr">
        <is>
          <t>TJBA</t>
        </is>
      </c>
      <c r="AQ195" s="32" t="inlineStr">
        <is>
          <t>Recuperação judicial</t>
        </is>
      </c>
      <c r="AR195" s="32" t="inlineStr">
        <is>
          <t>DataJud: no closure/falência movement</t>
        </is>
      </c>
      <c r="AS195" s="32" t="n">
        <v>2023</v>
      </c>
      <c r="AT195" s="32" t="inlineStr">
        <is>
          <t>live case, no plan document yet</t>
        </is>
      </c>
      <c r="AU195" s="32" t="inlineStr"/>
      <c r="AV195" s="32" t="inlineStr">
        <is>
          <t>printed on the list (read twice)</t>
        </is>
      </c>
      <c r="AW195" s="32" t="inlineStr"/>
      <c r="AX195" s="32" t="inlineStr">
        <is>
          <t>CURITIBA</t>
        </is>
      </c>
      <c r="AY195" s="32" t="inlineStr">
        <is>
          <t>PR</t>
        </is>
      </c>
      <c r="AZ195" s="32" t="inlineStr">
        <is>
          <t>Fundos de investimento, exceto previdenciários e imobiliários</t>
        </is>
      </c>
      <c r="BA195" s="32" t="inlineStr">
        <is>
          <t>não ME/EPP</t>
        </is>
      </c>
      <c r="BB195" s="33" t="inlineStr"/>
      <c r="BC195" s="32" t="inlineStr">
        <is>
          <t>UNKNOWN</t>
        </is>
      </c>
      <c r="BD195" s="32" t="inlineStr">
        <is>
          <t>26489103</t>
        </is>
      </c>
      <c r="BE195" s="32" t="n">
        <v>2</v>
      </c>
      <c r="BF195" s="32" t="inlineStr">
        <is>
          <t>list prints no totals</t>
        </is>
      </c>
    </row>
    <row r="196">
      <c r="A196" s="17" t="inlineStr">
        <is>
          <t>Banco Industrial do e Brasil S.A.</t>
        </is>
      </c>
      <c r="B196" s="18" t="n">
        <v>2537596.28</v>
      </c>
      <c r="C196" s="19" t="inlineStr">
        <is>
          <t>FORMAPLAN FORMAS PLANEJADAS INDÚSTRIA E COMÉRCIO LTDA</t>
        </is>
      </c>
      <c r="D196" s="20" t="inlineStr">
        <is>
          <t>NEW</t>
        </is>
      </c>
      <c r="E196" s="21" t="inlineStr"/>
      <c r="F196" s="20" t="inlineStr"/>
      <c r="G196" s="21" t="inlineStr"/>
      <c r="H196" s="20" t="inlineStr"/>
      <c r="I196" s="22" t="inlineStr">
        <is>
          <t>Eduardo Fernandes</t>
        </is>
      </c>
      <c r="J196" s="22" t="inlineStr">
        <is>
          <t>Gerente de Recuperação de Crédito</t>
        </is>
      </c>
      <c r="K196" s="22" t="inlineStr"/>
      <c r="L196" s="22" t="inlineStr"/>
      <c r="M196" s="22" t="inlineStr"/>
      <c r="N196" s="22" t="inlineStr">
        <is>
          <t>eduardo.fernandes@bancoindustrial.com.br</t>
        </is>
      </c>
      <c r="O196" s="22" t="inlineStr">
        <is>
          <t>verified</t>
        </is>
      </c>
      <c r="P196" s="22" t="inlineStr"/>
      <c r="Q196" s="22" t="inlineStr"/>
      <c r="R196" s="22" t="inlineStr"/>
      <c r="S196" s="22" t="inlineStr"/>
      <c r="T196" s="22" t="inlineStr">
        <is>
          <t>DM: DM</t>
        </is>
      </c>
      <c r="U196" s="24" t="n">
        <v>2537596.28</v>
      </c>
      <c r="V196" s="39" t="inlineStr">
        <is>
          <t>C</t>
        </is>
      </c>
      <c r="W196" s="26" t="inlineStr"/>
      <c r="X196" s="27" t="inlineStr"/>
      <c r="Y196" s="27" t="inlineStr"/>
      <c r="Z196" s="26">
        <f>IF(W196&lt;&gt;"",W196,IFERROR(VLOOKUP(V196,Assumptions!$A$8:$F$12,2,FALSE),0))*Assumptions!$B$5</f>
        <v/>
      </c>
      <c r="AA196" s="28">
        <f>IF(V196="A",MAX(1,IF(X196&lt;&gt;"",X196,IFERROR(VLOOKUP(V196,Assumptions!$A$8:$F$12,3,FALSE),3))+IF(Y196&lt;&gt;"",Y196,IFERROR(VLOOKUP(V196,Assumptions!$A$8:$F$12,4,FALSE),8))/2-MAX(0,IF(AS196="",0,YEAR(TODAY())-AS196)-IFERROR(VLOOKUP(V196,Assumptions!$A$8:$F$12,5,FALSE),1.5))),IFERROR(VLOOKUP(V196,Assumptions!$A$8:$F$12,5,FALSE),2.5)+IF(X196&lt;&gt;"",X196,IFERROR(VLOOKUP(V196,Assumptions!$A$8:$F$12,3,FALSE),3))+IF(Y196&lt;&gt;"",Y196,IFERROR(VLOOKUP(V196,Assumptions!$A$8:$F$12,4,FALSE),8))/2)</f>
        <v/>
      </c>
      <c r="AB196" s="24">
        <f>U196*Z196/(1+Assumptions!$B$3)^AA196</f>
        <v/>
      </c>
      <c r="AC196" s="27">
        <f>IF(U196=0,"",ROUND(AB196/U196*100,1))</f>
        <v/>
      </c>
      <c r="AD196" s="29">
        <f>AB196*Assumptions!$B$4</f>
        <v/>
      </c>
      <c r="AE196" s="27">
        <f>IF(U196=0,"",ROUND(AD196/U196*100,1))</f>
        <v/>
      </c>
      <c r="AF196" s="29">
        <f>AB196-AD196</f>
        <v/>
      </c>
      <c r="AG196" s="27">
        <f>IF(U196=0,"",ROUND((AB196-AD196)/U196*100,1))</f>
        <v/>
      </c>
      <c r="AH196" s="35" t="inlineStr">
        <is>
          <t>PARTIAL — class III reconciled, other classes not</t>
        </is>
      </c>
      <c r="AI196" s="31" t="inlineStr">
        <is>
          <t>https://marquesadmjudicial.com.br/sgc/download.php?file=files/processo_documento/processo_documento15232121112024_1_.pdf&amp;nome=Relação de Credores</t>
        </is>
      </c>
      <c r="AJ196" s="30" t="inlineStr">
        <is>
          <t>p13 r8</t>
        </is>
      </c>
      <c r="AK196" s="30" t="inlineStr">
        <is>
          <t>p13: R$ 2.537.596,28</t>
        </is>
      </c>
      <c r="AL196" s="30" t="inlineStr">
        <is>
          <t>AJ list (art. 7 §2)</t>
        </is>
      </c>
      <c r="AM196" s="30" t="inlineStr">
        <is>
          <t>2021-01-22</t>
        </is>
      </c>
      <c r="AN196" s="30" t="inlineStr">
        <is>
          <t>NONE FOUND</t>
        </is>
      </c>
      <c r="AO196" s="32" t="inlineStr">
        <is>
          <t>0000410-68.2021.8.16.0174</t>
        </is>
      </c>
      <c r="AP196" s="32" t="inlineStr">
        <is>
          <t>TJPR</t>
        </is>
      </c>
      <c r="AQ196" s="32" t="inlineStr">
        <is>
          <t>Recuperação judicial</t>
        </is>
      </c>
      <c r="AR196" s="32" t="inlineStr">
        <is>
          <t>DataJud: no closure/falência movement</t>
        </is>
      </c>
      <c r="AS196" s="32" t="n">
        <v>2021</v>
      </c>
      <c r="AT196" s="32" t="inlineStr">
        <is>
          <t>5y since filing; plan not in our documents</t>
        </is>
      </c>
      <c r="AU196" s="32" t="inlineStr">
        <is>
          <t>00.262.371/0001-41</t>
        </is>
      </c>
      <c r="AV196" s="32" t="inlineStr">
        <is>
          <t>printed on the list (read twice)</t>
        </is>
      </c>
      <c r="AW196" s="32" t="inlineStr"/>
      <c r="AX196" s="32" t="inlineStr"/>
      <c r="AY196" s="32" t="inlineStr"/>
      <c r="AZ196" s="32" t="inlineStr"/>
      <c r="BA196" s="32" t="inlineStr"/>
      <c r="BB196" s="33" t="inlineStr"/>
      <c r="BC196" s="32" t="inlineStr">
        <is>
          <t>UNKNOWN</t>
        </is>
      </c>
      <c r="BD196" s="32" t="inlineStr">
        <is>
          <t>31895683</t>
        </is>
      </c>
      <c r="BE196" s="32" t="n">
        <v>1</v>
      </c>
      <c r="BF196" s="32" t="inlineStr">
        <is>
          <t>financial by name class III reconciled (doc partial) no RFB record</t>
        </is>
      </c>
    </row>
    <row r="197">
      <c r="A197" s="17" t="inlineStr">
        <is>
          <t>SICOOB TRANSCREDI</t>
        </is>
      </c>
      <c r="B197" s="18" t="n">
        <v>646685.02</v>
      </c>
      <c r="C197" s="37" t="inlineStr">
        <is>
          <t>(debtor not identified — see proof)</t>
        </is>
      </c>
      <c r="D197" s="20" t="inlineStr">
        <is>
          <t>NEW</t>
        </is>
      </c>
      <c r="E197" s="21" t="inlineStr"/>
      <c r="F197" s="20" t="inlineStr"/>
      <c r="G197" s="21" t="inlineStr"/>
      <c r="H197" s="20" t="inlineStr"/>
      <c r="I197" s="22" t="inlineStr"/>
      <c r="J197" s="22" t="inlineStr"/>
      <c r="K197" s="22" t="inlineStr"/>
      <c r="L197" s="22" t="inlineStr"/>
      <c r="M197" s="22" t="inlineStr"/>
      <c r="N197" s="22" t="inlineStr"/>
      <c r="O197" s="22" t="inlineStr"/>
      <c r="P197" s="22" t="inlineStr"/>
      <c r="Q197" s="22" t="inlineStr"/>
      <c r="R197" s="22" t="inlineStr"/>
      <c r="S197" s="22" t="inlineStr"/>
      <c r="T197" s="22" t="inlineStr">
        <is>
          <t>no named contact found; NO ROUTE IN: no phone or email on file</t>
        </is>
      </c>
      <c r="U197" s="24" t="n">
        <v>646685.02</v>
      </c>
      <c r="V197" s="25" t="inlineStr">
        <is>
          <t>B</t>
        </is>
      </c>
      <c r="W197" s="26" t="inlineStr"/>
      <c r="X197" s="27" t="inlineStr"/>
      <c r="Y197" s="27" t="inlineStr"/>
      <c r="Z197" s="26">
        <f>IF(W197&lt;&gt;"",W197,IFERROR(VLOOKUP(V197,Assumptions!$A$8:$F$12,2,FALSE),0))*Assumptions!$B$5</f>
        <v/>
      </c>
      <c r="AA197" s="28">
        <f>IF(V197="A",MAX(1,IF(X197&lt;&gt;"",X197,IFERROR(VLOOKUP(V197,Assumptions!$A$8:$F$12,3,FALSE),3))+IF(Y197&lt;&gt;"",Y197,IFERROR(VLOOKUP(V197,Assumptions!$A$8:$F$12,4,FALSE),8))/2-MAX(0,IF(AS197="",0,YEAR(TODAY())-AS197)-IFERROR(VLOOKUP(V197,Assumptions!$A$8:$F$12,5,FALSE),1.5))),IFERROR(VLOOKUP(V197,Assumptions!$A$8:$F$12,5,FALSE),2.5)+IF(X197&lt;&gt;"",X197,IFERROR(VLOOKUP(V197,Assumptions!$A$8:$F$12,3,FALSE),3))+IF(Y197&lt;&gt;"",Y197,IFERROR(VLOOKUP(V197,Assumptions!$A$8:$F$12,4,FALSE),8))/2)</f>
        <v/>
      </c>
      <c r="AB197" s="24">
        <f>U197*Z197/(1+Assumptions!$B$3)^AA197</f>
        <v/>
      </c>
      <c r="AC197" s="27">
        <f>IF(U197=0,"",ROUND(AB197/U197*100,1))</f>
        <v/>
      </c>
      <c r="AD197" s="29">
        <f>AB197*Assumptions!$B$4</f>
        <v/>
      </c>
      <c r="AE197" s="27">
        <f>IF(U197=0,"",ROUND(AD197/U197*100,1))</f>
        <v/>
      </c>
      <c r="AF197" s="29">
        <f>AB197-AD197</f>
        <v/>
      </c>
      <c r="AG197" s="27">
        <f>IF(U197=0,"",ROUND((AB197-AD197)/U197*100,1))</f>
        <v/>
      </c>
      <c r="AH197" s="34" t="inlineStr">
        <is>
          <t>NO TOTALS — list prints none; check page</t>
        </is>
      </c>
      <c r="AI197" s="31" t="inlineStr">
        <is>
          <t>https://scalzilliaj.com.br/sgc/download.php?file=files/processo_documento/processo_documento15180810062026_1_.pdf&amp;nome=10 - Relação de credores do art. 7º, §2º, da Lei 11.101/2005</t>
        </is>
      </c>
      <c r="AJ197" s="30" t="inlineStr">
        <is>
          <t>p2 r49</t>
        </is>
      </c>
      <c r="AK197" s="30" t="inlineStr">
        <is>
          <t>p2: R$ 646.685,02</t>
        </is>
      </c>
      <c r="AL197" s="30" t="inlineStr">
        <is>
          <t>AJ list (art. 7 §2)</t>
        </is>
      </c>
      <c r="AM197" s="30" t="inlineStr"/>
      <c r="AN197" s="30" t="inlineStr">
        <is>
          <t>NONE FOUND</t>
        </is>
      </c>
      <c r="AO197" s="32" t="inlineStr">
        <is>
          <t>5009529-81.2025.8.24.0019</t>
        </is>
      </c>
      <c r="AP197" s="32" t="inlineStr">
        <is>
          <t>TJSC</t>
        </is>
      </c>
      <c r="AQ197" s="32" t="inlineStr"/>
      <c r="AR197" s="32" t="inlineStr">
        <is>
          <t>not in DataJud</t>
        </is>
      </c>
      <c r="AS197" s="32" t="n">
        <v>2025</v>
      </c>
      <c r="AT197" s="32" t="inlineStr">
        <is>
          <t>live case, no plan document yet; case no. from the portal record, not printed on the list</t>
        </is>
      </c>
      <c r="AU197" s="32" t="inlineStr"/>
      <c r="AV197" s="32" t="inlineStr">
        <is>
          <t>not identified</t>
        </is>
      </c>
      <c r="AW197" s="32" t="inlineStr"/>
      <c r="AX197" s="32" t="inlineStr"/>
      <c r="AY197" s="32" t="inlineStr"/>
      <c r="AZ197" s="32" t="inlineStr"/>
      <c r="BA197" s="32" t="inlineStr"/>
      <c r="BB197" s="33" t="inlineStr"/>
      <c r="BC197" s="32" t="inlineStr">
        <is>
          <t>UNKNOWN</t>
        </is>
      </c>
      <c r="BD197" s="32" t="inlineStr">
        <is>
          <t>04247370</t>
        </is>
      </c>
      <c r="BE197" s="32" t="n">
        <v>1</v>
      </c>
      <c r="BF197" s="32" t="inlineStr">
        <is>
          <t>financial by name list prints no totals no RFB record no route in</t>
        </is>
      </c>
    </row>
    <row r="198">
      <c r="A198" s="17" t="inlineStr">
        <is>
          <t>BANCO BRADESCO S.A.</t>
        </is>
      </c>
      <c r="B198" s="18" t="n">
        <v>640790</v>
      </c>
      <c r="C198" s="19" t="inlineStr">
        <is>
          <t>Grupo Gomiero</t>
        </is>
      </c>
      <c r="D198" s="20" t="inlineStr">
        <is>
          <t>NEW</t>
        </is>
      </c>
      <c r="E198" s="21" t="inlineStr"/>
      <c r="F198" s="20" t="inlineStr"/>
      <c r="G198" s="21" t="inlineStr"/>
      <c r="H198" s="20" t="inlineStr"/>
      <c r="I198" s="22" t="inlineStr">
        <is>
          <t>Marcela Martins</t>
        </is>
      </c>
      <c r="J198" s="22" t="inlineStr">
        <is>
          <t>Superintendente de Recuperação de Crédito - Canais e Operações</t>
        </is>
      </c>
      <c r="K198" s="22" t="inlineStr">
        <is>
          <t>(11) 3684-5122</t>
        </is>
      </c>
      <c r="L198" s="22" t="inlineStr"/>
      <c r="M198" s="22" t="inlineStr"/>
      <c r="N198" s="22" t="inlineStr"/>
      <c r="O198" s="22" t="inlineStr"/>
      <c r="P198" s="22" t="inlineStr">
        <is>
          <t>Luis S</t>
        </is>
      </c>
      <c r="Q198" s="22" t="inlineStr">
        <is>
          <t>DRC - Departamento de Recuperação de Crédito - Gerente de Reestruturação de Crédito</t>
        </is>
      </c>
      <c r="R198" s="22" t="inlineStr"/>
      <c r="S198" s="22" t="inlineStr">
        <is>
          <t>sl@bradesco.com.br</t>
        </is>
      </c>
      <c r="T198" s="22" t="inlineStr">
        <is>
          <t>DM: DM; no work email in Apollo for DM; BACKUP: backup</t>
        </is>
      </c>
      <c r="U198" s="24" t="n">
        <v>640790</v>
      </c>
      <c r="V198" s="25" t="inlineStr">
        <is>
          <t>B</t>
        </is>
      </c>
      <c r="W198" s="26" t="inlineStr"/>
      <c r="X198" s="27" t="inlineStr"/>
      <c r="Y198" s="27" t="inlineStr"/>
      <c r="Z198" s="26">
        <f>IF(W198&lt;&gt;"",W198,IFERROR(VLOOKUP(V198,Assumptions!$A$8:$F$12,2,FALSE),0))*Assumptions!$B$5</f>
        <v/>
      </c>
      <c r="AA198" s="28">
        <f>IF(V198="A",MAX(1,IF(X198&lt;&gt;"",X198,IFERROR(VLOOKUP(V198,Assumptions!$A$8:$F$12,3,FALSE),3))+IF(Y198&lt;&gt;"",Y198,IFERROR(VLOOKUP(V198,Assumptions!$A$8:$F$12,4,FALSE),8))/2-MAX(0,IF(AS198="",0,YEAR(TODAY())-AS198)-IFERROR(VLOOKUP(V198,Assumptions!$A$8:$F$12,5,FALSE),1.5))),IFERROR(VLOOKUP(V198,Assumptions!$A$8:$F$12,5,FALSE),2.5)+IF(X198&lt;&gt;"",X198,IFERROR(VLOOKUP(V198,Assumptions!$A$8:$F$12,3,FALSE),3))+IF(Y198&lt;&gt;"",Y198,IFERROR(VLOOKUP(V198,Assumptions!$A$8:$F$12,4,FALSE),8))/2)</f>
        <v/>
      </c>
      <c r="AB198" s="24">
        <f>U198*Z198/(1+Assumptions!$B$3)^AA198</f>
        <v/>
      </c>
      <c r="AC198" s="27">
        <f>IF(U198=0,"",ROUND(AB198/U198*100,1))</f>
        <v/>
      </c>
      <c r="AD198" s="29">
        <f>AB198*Assumptions!$B$4</f>
        <v/>
      </c>
      <c r="AE198" s="27">
        <f>IF(U198=0,"",ROUND(AD198/U198*100,1))</f>
        <v/>
      </c>
      <c r="AF198" s="29">
        <f>AB198-AD198</f>
        <v/>
      </c>
      <c r="AG198" s="27">
        <f>IF(U198=0,"",ROUND((AB198-AD198)/U198*100,1))</f>
        <v/>
      </c>
      <c r="AH198" s="35" t="inlineStr">
        <is>
          <t>PARTIAL — class III reconciled, other classes not</t>
        </is>
      </c>
      <c r="AI198" s="31" t="inlineStr">
        <is>
          <t>https://marquesadmjudicial.com.br/sgc/download.php?file=files/processo_documento/processo_documento09391327032025_1_.pdf&amp;nome=Relação Nominal de Credores AJ</t>
        </is>
      </c>
      <c r="AJ198" s="30" t="inlineStr">
        <is>
          <t>p4 r5</t>
        </is>
      </c>
      <c r="AK198" s="30" t="inlineStr">
        <is>
          <t>p4: R$ 640.790,00</t>
        </is>
      </c>
      <c r="AL198" s="30" t="inlineStr">
        <is>
          <t>AJ list (art. 7 §2)</t>
        </is>
      </c>
      <c r="AM198" s="30" t="inlineStr">
        <is>
          <t>2025-03-21</t>
        </is>
      </c>
      <c r="AN198" s="30" t="inlineStr">
        <is>
          <t>NONE FOUND</t>
        </is>
      </c>
      <c r="AO198" s="32" t="inlineStr">
        <is>
          <t>0044747-14.2024.8.16.0021</t>
        </is>
      </c>
      <c r="AP198" s="32" t="inlineStr">
        <is>
          <t>TJPR</t>
        </is>
      </c>
      <c r="AQ198" s="32" t="inlineStr">
        <is>
          <t>Recuperação judicial</t>
        </is>
      </c>
      <c r="AR198" s="32" t="inlineStr">
        <is>
          <t>DataJud: no closure/falência movement</t>
        </is>
      </c>
      <c r="AS198" s="32" t="n">
        <v>2024</v>
      </c>
      <c r="AT198" s="32" t="inlineStr">
        <is>
          <t>live case, no plan document yet</t>
        </is>
      </c>
      <c r="AU198" s="32" t="inlineStr">
        <is>
          <t>57.650.709/0001-50</t>
        </is>
      </c>
      <c r="AV198" s="32" t="inlineStr">
        <is>
          <t>printed on the list (read twice)</t>
        </is>
      </c>
      <c r="AW198" s="32" t="inlineStr"/>
      <c r="AX198" s="32" t="inlineStr">
        <is>
          <t>OSASCO</t>
        </is>
      </c>
      <c r="AY198" s="32" t="inlineStr">
        <is>
          <t>SP</t>
        </is>
      </c>
      <c r="AZ198" s="32" t="inlineStr">
        <is>
          <t>Bancos múltiplos, com carteira comercial</t>
        </is>
      </c>
      <c r="BA198" s="32" t="inlineStr">
        <is>
          <t>não ME/EPP</t>
        </is>
      </c>
      <c r="BB198" s="33" t="n">
        <v>93770000000</v>
      </c>
      <c r="BC198" s="32" t="inlineStr">
        <is>
          <t>LARGE CORP</t>
        </is>
      </c>
      <c r="BD198" s="32" t="inlineStr">
        <is>
          <t>60746948</t>
        </is>
      </c>
      <c r="BE198" s="32" t="n">
        <v>1</v>
      </c>
      <c r="BF198" s="32" t="inlineStr">
        <is>
          <t>NAME_MISSING class III reconciled (doc partial)</t>
        </is>
      </c>
    </row>
    <row r="199">
      <c r="A199" s="17" t="inlineStr">
        <is>
          <t>FUNDO DE RECUPERACAO DE ATIVOS FIDC - RESPONSABILIDADE LIMITADA</t>
        </is>
      </c>
      <c r="B199" s="18" t="n">
        <v>4514078.28</v>
      </c>
      <c r="C199" s="19" t="inlineStr">
        <is>
          <t>Mannes</t>
        </is>
      </c>
      <c r="D199" s="20" t="inlineStr">
        <is>
          <t>NEW</t>
        </is>
      </c>
      <c r="E199" s="21" t="inlineStr"/>
      <c r="F199" s="20" t="inlineStr"/>
      <c r="G199" s="21" t="inlineStr"/>
      <c r="H199" s="20" t="inlineStr"/>
      <c r="I199" s="22" t="inlineStr"/>
      <c r="J199" s="22" t="inlineStr"/>
      <c r="K199" s="22" t="inlineStr">
        <is>
          <t>(11) 3509-0600</t>
        </is>
      </c>
      <c r="L199" s="22" t="inlineStr"/>
      <c r="M199" s="22" t="inlineStr"/>
      <c r="N199" s="22" t="inlineStr"/>
      <c r="O199" s="22" t="inlineStr"/>
      <c r="P199" s="22" t="inlineStr"/>
      <c r="Q199" s="22" t="inlineStr"/>
      <c r="R199" s="22" t="inlineStr"/>
      <c r="S199" s="22" t="inlineStr"/>
      <c r="T199" s="22" t="inlineStr">
        <is>
          <t>no named contact found</t>
        </is>
      </c>
      <c r="U199" s="24" t="n">
        <v>4514078.28</v>
      </c>
      <c r="V199" s="40" t="inlineStr">
        <is>
          <t>D</t>
        </is>
      </c>
      <c r="W199" s="26" t="inlineStr"/>
      <c r="X199" s="27" t="inlineStr"/>
      <c r="Y199" s="27" t="inlineStr"/>
      <c r="Z199" s="26">
        <f>IF(W199&lt;&gt;"",W199,IFERROR(VLOOKUP(V199,Assumptions!$A$8:$F$12,2,FALSE),0))*Assumptions!$B$5</f>
        <v/>
      </c>
      <c r="AA199" s="28">
        <f>IF(V199="A",MAX(1,IF(X199&lt;&gt;"",X199,IFERROR(VLOOKUP(V199,Assumptions!$A$8:$F$12,3,FALSE),3))+IF(Y199&lt;&gt;"",Y199,IFERROR(VLOOKUP(V199,Assumptions!$A$8:$F$12,4,FALSE),8))/2-MAX(0,IF(AS199="",0,YEAR(TODAY())-AS199)-IFERROR(VLOOKUP(V199,Assumptions!$A$8:$F$12,5,FALSE),1.5))),IFERROR(VLOOKUP(V199,Assumptions!$A$8:$F$12,5,FALSE),2.5)+IF(X199&lt;&gt;"",X199,IFERROR(VLOOKUP(V199,Assumptions!$A$8:$F$12,3,FALSE),3))+IF(Y199&lt;&gt;"",Y199,IFERROR(VLOOKUP(V199,Assumptions!$A$8:$F$12,4,FALSE),8))/2)</f>
        <v/>
      </c>
      <c r="AB199" s="24">
        <f>U199*Z199/(1+Assumptions!$B$3)^AA199</f>
        <v/>
      </c>
      <c r="AC199" s="27">
        <f>IF(U199=0,"",ROUND(AB199/U199*100,1))</f>
        <v/>
      </c>
      <c r="AD199" s="29">
        <f>AB199*Assumptions!$B$4</f>
        <v/>
      </c>
      <c r="AE199" s="27">
        <f>IF(U199=0,"",ROUND(AD199/U199*100,1))</f>
        <v/>
      </c>
      <c r="AF199" s="29">
        <f>AB199-AD199</f>
        <v/>
      </c>
      <c r="AG199" s="27">
        <f>IF(U199=0,"",ROUND((AB199-AD199)/U199*100,1))</f>
        <v/>
      </c>
      <c r="AH199" s="36" t="inlineStr">
        <is>
          <t>CHECK — source is not a statutory creditor list</t>
        </is>
      </c>
      <c r="AI199" s="31" t="inlineStr">
        <is>
          <t>https://administradorajudicialgs.com.br/wp-content/uploads/2024/12/relacao-de-credores-da-falida.pdf</t>
        </is>
      </c>
      <c r="AJ199" s="30" t="inlineStr">
        <is>
          <t>p14 r57</t>
        </is>
      </c>
      <c r="AK199" s="30" t="inlineStr">
        <is>
          <t>p14: R$ 4.514.078,28</t>
        </is>
      </c>
      <c r="AL199" s="30" t="inlineStr">
        <is>
          <t>Other filing — NOT an art. 7/51 list</t>
        </is>
      </c>
      <c r="AM199" s="30" t="inlineStr">
        <is>
          <t>2025-03-25</t>
        </is>
      </c>
      <c r="AN199" s="30" t="inlineStr">
        <is>
          <t>NONE FOUND</t>
        </is>
      </c>
      <c r="AO199" s="32" t="inlineStr">
        <is>
          <t>0005010-50.2013.8.24.0026</t>
        </is>
      </c>
      <c r="AP199" s="32" t="inlineStr">
        <is>
          <t>TJSC</t>
        </is>
      </c>
      <c r="AQ199" s="32" t="inlineStr">
        <is>
          <t>Falência</t>
        </is>
      </c>
      <c r="AR199" s="32" t="inlineStr">
        <is>
          <t>not in DataJud</t>
        </is>
      </c>
      <c r="AS199" s="32" t="n">
        <v>2013</v>
      </c>
      <c r="AT199" s="32" t="inlineStr">
        <is>
          <t>falência proceeding (list/name says falida)</t>
        </is>
      </c>
      <c r="AU199" s="32" t="inlineStr"/>
      <c r="AV199" s="32" t="inlineStr">
        <is>
          <t>printed on the list (read twice)</t>
        </is>
      </c>
      <c r="AW199" s="32" t="inlineStr"/>
      <c r="AX199" s="32" t="inlineStr">
        <is>
          <t>SAO PAULO</t>
        </is>
      </c>
      <c r="AY199" s="32" t="inlineStr">
        <is>
          <t>SP</t>
        </is>
      </c>
      <c r="AZ199" s="32" t="inlineStr">
        <is>
          <t>Fundos de investimento, exceto previdenciários e imobiliários</t>
        </is>
      </c>
      <c r="BA199" s="32" t="inlineStr">
        <is>
          <t>não ME/EPP</t>
        </is>
      </c>
      <c r="BB199" s="33" t="inlineStr"/>
      <c r="BC199" s="32" t="inlineStr">
        <is>
          <t>UNKNOWN</t>
        </is>
      </c>
      <c r="BD199" s="32" t="inlineStr">
        <is>
          <t>22415372</t>
        </is>
      </c>
      <c r="BE199" s="32" t="n">
        <v>1</v>
      </c>
      <c r="BF199" s="32" t="inlineStr">
        <is>
          <t>list prints no totals case no. corrected by reader</t>
        </is>
      </c>
    </row>
    <row r="200">
      <c r="A200" s="17" t="inlineStr">
        <is>
          <t>ITAU UNIBANCO S.A.</t>
        </is>
      </c>
      <c r="B200" s="18" t="n">
        <v>623697.48</v>
      </c>
      <c r="C200" s="19" t="inlineStr">
        <is>
          <t>GRUPO D&amp;D</t>
        </is>
      </c>
      <c r="D200" s="20" t="inlineStr">
        <is>
          <t>NEW</t>
        </is>
      </c>
      <c r="E200" s="21" t="inlineStr"/>
      <c r="F200" s="20" t="inlineStr"/>
      <c r="G200" s="21" t="inlineStr"/>
      <c r="H200" s="20" t="inlineStr"/>
      <c r="I200" s="22" t="inlineStr">
        <is>
          <t>Murilo Gigliucci</t>
        </is>
      </c>
      <c r="J200" s="22" t="inlineStr">
        <is>
          <t>Superintendente de Reestruturação de Crédito</t>
        </is>
      </c>
      <c r="K200" s="22" t="inlineStr">
        <is>
          <t>(11) 3003-4828</t>
        </is>
      </c>
      <c r="L200" s="22" t="inlineStr"/>
      <c r="M200" s="22" t="inlineStr"/>
      <c r="N200" s="22" t="inlineStr">
        <is>
          <t>murilo.gigliucci@itau-unibanco.com.br</t>
        </is>
      </c>
      <c r="O200" s="22" t="inlineStr">
        <is>
          <t>verified</t>
        </is>
      </c>
      <c r="P200" s="22" t="inlineStr">
        <is>
          <t>Pedro Ornellas</t>
        </is>
      </c>
      <c r="Q200" s="22" t="inlineStr">
        <is>
          <t>Superintendente de Recuperação de Crédito</t>
        </is>
      </c>
      <c r="R200" s="22" t="inlineStr"/>
      <c r="S200" s="22" t="inlineStr">
        <is>
          <t>pedro.ornellas-geronimo@itau-unibanco.com.br</t>
        </is>
      </c>
      <c r="T200" s="22" t="inlineStr">
        <is>
          <t>DM: DM verified email; BACKUP: backup verified email</t>
        </is>
      </c>
      <c r="U200" s="24" t="n">
        <v>623697.48</v>
      </c>
      <c r="V200" s="25" t="inlineStr">
        <is>
          <t>B</t>
        </is>
      </c>
      <c r="W200" s="26" t="inlineStr"/>
      <c r="X200" s="27" t="inlineStr"/>
      <c r="Y200" s="27" t="inlineStr"/>
      <c r="Z200" s="26">
        <f>IF(W200&lt;&gt;"",W200,IFERROR(VLOOKUP(V200,Assumptions!$A$8:$F$12,2,FALSE),0))*Assumptions!$B$5</f>
        <v/>
      </c>
      <c r="AA200" s="28">
        <f>IF(V200="A",MAX(1,IF(X200&lt;&gt;"",X200,IFERROR(VLOOKUP(V200,Assumptions!$A$8:$F$12,3,FALSE),3))+IF(Y200&lt;&gt;"",Y200,IFERROR(VLOOKUP(V200,Assumptions!$A$8:$F$12,4,FALSE),8))/2-MAX(0,IF(AS200="",0,YEAR(TODAY())-AS200)-IFERROR(VLOOKUP(V200,Assumptions!$A$8:$F$12,5,FALSE),1.5))),IFERROR(VLOOKUP(V200,Assumptions!$A$8:$F$12,5,FALSE),2.5)+IF(X200&lt;&gt;"",X200,IFERROR(VLOOKUP(V200,Assumptions!$A$8:$F$12,3,FALSE),3))+IF(Y200&lt;&gt;"",Y200,IFERROR(VLOOKUP(V200,Assumptions!$A$8:$F$12,4,FALSE),8))/2)</f>
        <v/>
      </c>
      <c r="AB200" s="24">
        <f>U200*Z200/(1+Assumptions!$B$3)^AA200</f>
        <v/>
      </c>
      <c r="AC200" s="27">
        <f>IF(U200=0,"",ROUND(AB200/U200*100,1))</f>
        <v/>
      </c>
      <c r="AD200" s="29">
        <f>AB200*Assumptions!$B$4</f>
        <v/>
      </c>
      <c r="AE200" s="27">
        <f>IF(U200=0,"",ROUND(AD200/U200*100,1))</f>
        <v/>
      </c>
      <c r="AF200" s="29">
        <f>AB200-AD200</f>
        <v/>
      </c>
      <c r="AG200" s="27">
        <f>IF(U200=0,"",ROUND((AB200-AD200)/U200*100,1))</f>
        <v/>
      </c>
      <c r="AH200" s="35" t="inlineStr">
        <is>
          <t>PARTIAL — class III reconciled, other classes not</t>
        </is>
      </c>
      <c r="AI200" s="31" t="inlineStr">
        <is>
          <t>https://marquesadmjudicial.com.br/sgc/download.php?file=files/processo_documento/processo_documento20014127022025_1_.pdf&amp;nome=Relação Nominal de Credores</t>
        </is>
      </c>
      <c r="AJ200" s="30" t="inlineStr">
        <is>
          <t>p5 r6</t>
        </is>
      </c>
      <c r="AK200" s="30" t="inlineStr">
        <is>
          <t>p5: R$ 623.697,48</t>
        </is>
      </c>
      <c r="AL200" s="30" t="inlineStr">
        <is>
          <t>AJ list (art. 7 §2)</t>
        </is>
      </c>
      <c r="AM200" s="30" t="inlineStr">
        <is>
          <t>2024-11-08</t>
        </is>
      </c>
      <c r="AN200" s="30" t="inlineStr">
        <is>
          <t>NONE FOUND</t>
        </is>
      </c>
      <c r="AO200" s="32" t="inlineStr">
        <is>
          <t>0001943-40.2024.8.16.0115</t>
        </is>
      </c>
      <c r="AP200" s="32" t="inlineStr">
        <is>
          <t>TJPR</t>
        </is>
      </c>
      <c r="AQ200" s="32" t="inlineStr">
        <is>
          <t>Recuperação judicial</t>
        </is>
      </c>
      <c r="AR200" s="32" t="inlineStr">
        <is>
          <t>DataJud: no closure/falência movement</t>
        </is>
      </c>
      <c r="AS200" s="32" t="n">
        <v>2024</v>
      </c>
      <c r="AT200" s="32" t="inlineStr">
        <is>
          <t>live case, no plan document yet</t>
        </is>
      </c>
      <c r="AU200" s="32" t="inlineStr"/>
      <c r="AV200" s="32" t="inlineStr">
        <is>
          <t>printed on the list (read twice)</t>
        </is>
      </c>
      <c r="AW200" s="32" t="inlineStr"/>
      <c r="AX200" s="32" t="inlineStr">
        <is>
          <t>SAO PAULO</t>
        </is>
      </c>
      <c r="AY200" s="32" t="inlineStr">
        <is>
          <t>SP</t>
        </is>
      </c>
      <c r="AZ200" s="32" t="inlineStr">
        <is>
          <t>Bancos comerciais</t>
        </is>
      </c>
      <c r="BA200" s="32" t="inlineStr">
        <is>
          <t>não ME/EPP</t>
        </is>
      </c>
      <c r="BB200" s="33" t="n">
        <v>76200000000</v>
      </c>
      <c r="BC200" s="32" t="inlineStr">
        <is>
          <t>LARGE CORP</t>
        </is>
      </c>
      <c r="BD200" s="32" t="inlineStr">
        <is>
          <t>60701190</t>
        </is>
      </c>
      <c r="BE200" s="32" t="n">
        <v>1</v>
      </c>
      <c r="BF200" s="32" t="inlineStr">
        <is>
          <t>financial by name class III reconciled (doc partial)</t>
        </is>
      </c>
    </row>
    <row r="201">
      <c r="A201" s="17" t="inlineStr">
        <is>
          <t>ITAU UNIBANCO S.A.</t>
        </is>
      </c>
      <c r="B201" s="18" t="n">
        <v>623067.28</v>
      </c>
      <c r="C201" s="19" t="inlineStr">
        <is>
          <t>TOP TEXTIL EMBALAGENS LTDA</t>
        </is>
      </c>
      <c r="D201" s="20" t="inlineStr">
        <is>
          <t>NEW</t>
        </is>
      </c>
      <c r="E201" s="21" t="inlineStr"/>
      <c r="F201" s="20" t="inlineStr"/>
      <c r="G201" s="21" t="inlineStr"/>
      <c r="H201" s="20" t="inlineStr"/>
      <c r="I201" s="22" t="inlineStr">
        <is>
          <t>Murilo Gigliucci</t>
        </is>
      </c>
      <c r="J201" s="22" t="inlineStr">
        <is>
          <t>Superintendente de Reestruturação de Crédito</t>
        </is>
      </c>
      <c r="K201" s="22" t="inlineStr">
        <is>
          <t>(11) 3003-4828</t>
        </is>
      </c>
      <c r="L201" s="22" t="inlineStr"/>
      <c r="M201" s="22" t="inlineStr"/>
      <c r="N201" s="22" t="inlineStr">
        <is>
          <t>murilo.gigliucci@itau-unibanco.com.br</t>
        </is>
      </c>
      <c r="O201" s="22" t="inlineStr">
        <is>
          <t>verified</t>
        </is>
      </c>
      <c r="P201" s="22" t="inlineStr">
        <is>
          <t>Pedro Ornellas</t>
        </is>
      </c>
      <c r="Q201" s="22" t="inlineStr">
        <is>
          <t>Superintendente de Recuperação de Crédito</t>
        </is>
      </c>
      <c r="R201" s="22" t="inlineStr"/>
      <c r="S201" s="22" t="inlineStr">
        <is>
          <t>pedro.ornellas-geronimo@itau-unibanco.com.br</t>
        </is>
      </c>
      <c r="T201" s="22" t="inlineStr">
        <is>
          <t>DM: DM verified email; BACKUP: backup verified email</t>
        </is>
      </c>
      <c r="U201" s="24" t="n">
        <v>623067.28</v>
      </c>
      <c r="V201" s="25" t="inlineStr">
        <is>
          <t>B</t>
        </is>
      </c>
      <c r="W201" s="26" t="inlineStr"/>
      <c r="X201" s="27" t="inlineStr"/>
      <c r="Y201" s="27" t="inlineStr"/>
      <c r="Z201" s="26">
        <f>IF(W201&lt;&gt;"",W201,IFERROR(VLOOKUP(V201,Assumptions!$A$8:$F$12,2,FALSE),0))*Assumptions!$B$5</f>
        <v/>
      </c>
      <c r="AA201" s="28">
        <f>IF(V201="A",MAX(1,IF(X201&lt;&gt;"",X201,IFERROR(VLOOKUP(V201,Assumptions!$A$8:$F$12,3,FALSE),3))+IF(Y201&lt;&gt;"",Y201,IFERROR(VLOOKUP(V201,Assumptions!$A$8:$F$12,4,FALSE),8))/2-MAX(0,IF(AS201="",0,YEAR(TODAY())-AS201)-IFERROR(VLOOKUP(V201,Assumptions!$A$8:$F$12,5,FALSE),1.5))),IFERROR(VLOOKUP(V201,Assumptions!$A$8:$F$12,5,FALSE),2.5)+IF(X201&lt;&gt;"",X201,IFERROR(VLOOKUP(V201,Assumptions!$A$8:$F$12,3,FALSE),3))+IF(Y201&lt;&gt;"",Y201,IFERROR(VLOOKUP(V201,Assumptions!$A$8:$F$12,4,FALSE),8))/2)</f>
        <v/>
      </c>
      <c r="AB201" s="24">
        <f>U201*Z201/(1+Assumptions!$B$3)^AA201</f>
        <v/>
      </c>
      <c r="AC201" s="27">
        <f>IF(U201=0,"",ROUND(AB201/U201*100,1))</f>
        <v/>
      </c>
      <c r="AD201" s="29">
        <f>AB201*Assumptions!$B$4</f>
        <v/>
      </c>
      <c r="AE201" s="27">
        <f>IF(U201=0,"",ROUND(AD201/U201*100,1))</f>
        <v/>
      </c>
      <c r="AF201" s="29">
        <f>AB201-AD201</f>
        <v/>
      </c>
      <c r="AG201" s="27">
        <f>IF(U201=0,"",ROUND((AB201-AD201)/U201*100,1))</f>
        <v/>
      </c>
      <c r="AH201" s="34" t="inlineStr">
        <is>
          <t>NO TOTALS — list prints none; check page</t>
        </is>
      </c>
      <c r="AI201" s="31" t="inlineStr">
        <is>
          <t>https://cataliseaj.com.br/sgc/download.php?file=files/processo_documento/processo_documento15092204102024_1_.pdf&amp;nome=02. RELAÇÃO DE CREDORES</t>
        </is>
      </c>
      <c r="AJ201" s="30" t="inlineStr">
        <is>
          <t>p2 r14</t>
        </is>
      </c>
      <c r="AK201" s="30" t="inlineStr">
        <is>
          <t>p2: R$ 623.067,28</t>
        </is>
      </c>
      <c r="AL201" s="30" t="inlineStr">
        <is>
          <t>Debtor list (art. 51)</t>
        </is>
      </c>
      <c r="AM201" s="30" t="inlineStr"/>
      <c r="AN201" s="30" t="inlineStr">
        <is>
          <t>NONE FOUND</t>
        </is>
      </c>
      <c r="AO201" s="32" t="inlineStr">
        <is>
          <t>5011460-87.2023.8.24.0020</t>
        </is>
      </c>
      <c r="AP201" s="32" t="inlineStr">
        <is>
          <t>TJSC</t>
        </is>
      </c>
      <c r="AQ201" s="32" t="inlineStr">
        <is>
          <t>Recuperação judicial</t>
        </is>
      </c>
      <c r="AR201" s="32" t="inlineStr">
        <is>
          <t>DataJud: no closure/falência movement</t>
        </is>
      </c>
      <c r="AS201" s="32" t="n">
        <v>2023</v>
      </c>
      <c r="AT201" s="32" t="inlineStr">
        <is>
          <t>live case, no plan document yet; case no. from the portal record, not printed on the list</t>
        </is>
      </c>
      <c r="AU201" s="32" t="inlineStr">
        <is>
          <t>26.588.741/0001-29</t>
        </is>
      </c>
      <c r="AV201" s="32" t="inlineStr">
        <is>
          <t>printed on the list (read twice)</t>
        </is>
      </c>
      <c r="AW201" s="32" t="inlineStr"/>
      <c r="AX201" s="32" t="inlineStr">
        <is>
          <t>SAO PAULO</t>
        </is>
      </c>
      <c r="AY201" s="32" t="inlineStr">
        <is>
          <t>SP</t>
        </is>
      </c>
      <c r="AZ201" s="32" t="inlineStr">
        <is>
          <t>Bancos comerciais</t>
        </is>
      </c>
      <c r="BA201" s="32" t="inlineStr">
        <is>
          <t>não ME/EPP</t>
        </is>
      </c>
      <c r="BB201" s="33" t="n">
        <v>76200000000</v>
      </c>
      <c r="BC201" s="32" t="inlineStr">
        <is>
          <t>LARGE CORP</t>
        </is>
      </c>
      <c r="BD201" s="32" t="inlineStr">
        <is>
          <t>60701190</t>
        </is>
      </c>
      <c r="BE201" s="32" t="n">
        <v>1</v>
      </c>
      <c r="BF201" s="32" t="inlineStr">
        <is>
          <t>list prints no totals</t>
        </is>
      </c>
    </row>
    <row r="202">
      <c r="A202" s="17" t="inlineStr">
        <is>
          <t>ITAU UNIBANCO S.A.</t>
        </is>
      </c>
      <c r="B202" s="18" t="n">
        <v>2433378.27</v>
      </c>
      <c r="C202" s="19" t="inlineStr">
        <is>
          <t>VECTOR INDÚSTRIA DE PRODUTOS METALÚRGICOS LTDA.</t>
        </is>
      </c>
      <c r="D202" s="20" t="inlineStr">
        <is>
          <t>NEW</t>
        </is>
      </c>
      <c r="E202" s="21" t="inlineStr"/>
      <c r="F202" s="20" t="inlineStr"/>
      <c r="G202" s="21" t="inlineStr"/>
      <c r="H202" s="20" t="inlineStr"/>
      <c r="I202" s="22" t="inlineStr">
        <is>
          <t>Murilo Gigliucci</t>
        </is>
      </c>
      <c r="J202" s="22" t="inlineStr">
        <is>
          <t>Superintendente de Reestruturação de Crédito</t>
        </is>
      </c>
      <c r="K202" s="22" t="inlineStr">
        <is>
          <t>(11) 3003-4828</t>
        </is>
      </c>
      <c r="L202" s="22" t="inlineStr"/>
      <c r="M202" s="22" t="inlineStr"/>
      <c r="N202" s="22" t="inlineStr">
        <is>
          <t>murilo.gigliucci@itau-unibanco.com.br</t>
        </is>
      </c>
      <c r="O202" s="22" t="inlineStr">
        <is>
          <t>verified</t>
        </is>
      </c>
      <c r="P202" s="22" t="inlineStr">
        <is>
          <t>Pedro Ornellas</t>
        </is>
      </c>
      <c r="Q202" s="22" t="inlineStr">
        <is>
          <t>Superintendente de Recuperação de Crédito</t>
        </is>
      </c>
      <c r="R202" s="22" t="inlineStr"/>
      <c r="S202" s="22" t="inlineStr">
        <is>
          <t>pedro.ornellas-geronimo@itau-unibanco.com.br</t>
        </is>
      </c>
      <c r="T202" s="22" t="inlineStr">
        <is>
          <t>DM: DM verified email; BACKUP: backup verified email</t>
        </is>
      </c>
      <c r="U202" s="24" t="n">
        <v>2433378.27</v>
      </c>
      <c r="V202" s="39" t="inlineStr">
        <is>
          <t>C</t>
        </is>
      </c>
      <c r="W202" s="26" t="inlineStr"/>
      <c r="X202" s="27" t="inlineStr"/>
      <c r="Y202" s="27" t="inlineStr"/>
      <c r="Z202" s="26">
        <f>IF(W202&lt;&gt;"",W202,IFERROR(VLOOKUP(V202,Assumptions!$A$8:$F$12,2,FALSE),0))*Assumptions!$B$5</f>
        <v/>
      </c>
      <c r="AA202" s="28">
        <f>IF(V202="A",MAX(1,IF(X202&lt;&gt;"",X202,IFERROR(VLOOKUP(V202,Assumptions!$A$8:$F$12,3,FALSE),3))+IF(Y202&lt;&gt;"",Y202,IFERROR(VLOOKUP(V202,Assumptions!$A$8:$F$12,4,FALSE),8))/2-MAX(0,IF(AS202="",0,YEAR(TODAY())-AS202)-IFERROR(VLOOKUP(V202,Assumptions!$A$8:$F$12,5,FALSE),1.5))),IFERROR(VLOOKUP(V202,Assumptions!$A$8:$F$12,5,FALSE),2.5)+IF(X202&lt;&gt;"",X202,IFERROR(VLOOKUP(V202,Assumptions!$A$8:$F$12,3,FALSE),3))+IF(Y202&lt;&gt;"",Y202,IFERROR(VLOOKUP(V202,Assumptions!$A$8:$F$12,4,FALSE),8))/2)</f>
        <v/>
      </c>
      <c r="AB202" s="24">
        <f>U202*Z202/(1+Assumptions!$B$3)^AA202</f>
        <v/>
      </c>
      <c r="AC202" s="27">
        <f>IF(U202=0,"",ROUND(AB202/U202*100,1))</f>
        <v/>
      </c>
      <c r="AD202" s="29">
        <f>AB202*Assumptions!$B$4</f>
        <v/>
      </c>
      <c r="AE202" s="27">
        <f>IF(U202=0,"",ROUND(AD202/U202*100,1))</f>
        <v/>
      </c>
      <c r="AF202" s="29">
        <f>AB202-AD202</f>
        <v/>
      </c>
      <c r="AG202" s="27">
        <f>IF(U202=0,"",ROUND((AB202-AD202)/U202*100,1))</f>
        <v/>
      </c>
      <c r="AH202" s="34" t="inlineStr">
        <is>
          <t>NO TOTALS — list prints none; check page</t>
        </is>
      </c>
      <c r="AI202" s="31" t="inlineStr">
        <is>
          <t>https://scalzilliaj.com.br/sgc/download.php?file=files/processo_documento/processo_documento15513401112022_1_.pdf&amp;nome=15 - Edital do art. 7º, §2º (segunda lista de credores) e do art. 53 da Lei 11.101/2005 (recebimento do plano)</t>
        </is>
      </c>
      <c r="AJ202" s="30" t="inlineStr">
        <is>
          <t>p7 r30</t>
        </is>
      </c>
      <c r="AK202" s="30" t="inlineStr">
        <is>
          <t>p7: R$ 2.433.378,27</t>
        </is>
      </c>
      <c r="AL202" s="30" t="inlineStr">
        <is>
          <t>AJ list (art. 7 §2)</t>
        </is>
      </c>
      <c r="AM202" s="30" t="inlineStr">
        <is>
          <t>2022-11-01</t>
        </is>
      </c>
      <c r="AN202" s="30" t="inlineStr">
        <is>
          <t>NONE FOUND</t>
        </is>
      </c>
      <c r="AO202" s="32" t="inlineStr">
        <is>
          <t>5014104-85.2021.8.21.0010</t>
        </is>
      </c>
      <c r="AP202" s="32" t="inlineStr">
        <is>
          <t>TJRS</t>
        </is>
      </c>
      <c r="AQ202" s="32" t="inlineStr">
        <is>
          <t>Recuperação judicial</t>
        </is>
      </c>
      <c r="AR202" s="32" t="inlineStr">
        <is>
          <t>DataJud: no closure/falência movement</t>
        </is>
      </c>
      <c r="AS202" s="32" t="n">
        <v>2021</v>
      </c>
      <c r="AT202" s="32" t="inlineStr">
        <is>
          <t>5y since filing; plan not in our documents</t>
        </is>
      </c>
      <c r="AU202" s="32" t="inlineStr">
        <is>
          <t>03.018.339/0001-03</t>
        </is>
      </c>
      <c r="AV202" s="32" t="inlineStr">
        <is>
          <t>printed on the list (read twice)</t>
        </is>
      </c>
      <c r="AW202" s="32" t="inlineStr"/>
      <c r="AX202" s="32" t="inlineStr">
        <is>
          <t>SAO PAULO</t>
        </is>
      </c>
      <c r="AY202" s="32" t="inlineStr">
        <is>
          <t>SP</t>
        </is>
      </c>
      <c r="AZ202" s="32" t="inlineStr">
        <is>
          <t>Bancos comerciais</t>
        </is>
      </c>
      <c r="BA202" s="32" t="inlineStr">
        <is>
          <t>não ME/EPP</t>
        </is>
      </c>
      <c r="BB202" s="33" t="n">
        <v>76200000000</v>
      </c>
      <c r="BC202" s="32" t="inlineStr">
        <is>
          <t>LARGE CORP</t>
        </is>
      </c>
      <c r="BD202" s="32" t="inlineStr">
        <is>
          <t>60701190</t>
        </is>
      </c>
      <c r="BE202" s="32" t="n">
        <v>1</v>
      </c>
      <c r="BF202" s="32" t="inlineStr">
        <is>
          <t>financial by name list prints no totals</t>
        </is>
      </c>
    </row>
    <row r="203">
      <c r="A203" s="17" t="inlineStr">
        <is>
          <t>BANCO SAFRA S A</t>
        </is>
      </c>
      <c r="B203" s="18" t="n">
        <v>2385103.18</v>
      </c>
      <c r="C203" s="19" t="inlineStr">
        <is>
          <t>CREDIMÓVEIS NOVOLAR LTDA.</t>
        </is>
      </c>
      <c r="D203" s="20" t="inlineStr">
        <is>
          <t>NEW</t>
        </is>
      </c>
      <c r="E203" s="21" t="inlineStr"/>
      <c r="F203" s="20" t="inlineStr"/>
      <c r="G203" s="21" t="inlineStr"/>
      <c r="H203" s="20" t="inlineStr"/>
      <c r="I203" s="22" t="inlineStr">
        <is>
          <t>Vanessa Biotti</t>
        </is>
      </c>
      <c r="J203" s="22" t="inlineStr">
        <is>
          <t>Gerente de Recuperação de Crédito</t>
        </is>
      </c>
      <c r="K203" s="22" t="inlineStr">
        <is>
          <t>(11) 3175-7575</t>
        </is>
      </c>
      <c r="L203" s="22" t="inlineStr"/>
      <c r="M203" s="22" t="inlineStr"/>
      <c r="N203" s="22" t="inlineStr">
        <is>
          <t>vanessa.biotti@safra.com.br</t>
        </is>
      </c>
      <c r="O203" s="22" t="inlineStr">
        <is>
          <t>verified</t>
        </is>
      </c>
      <c r="P203" s="22" t="inlineStr">
        <is>
          <t>Rodrigo Anjos</t>
        </is>
      </c>
      <c r="Q203" s="22" t="inlineStr">
        <is>
          <t>Advogado Sênior - Jurídico Contencioso - Recuperação de Crédito - NPL</t>
        </is>
      </c>
      <c r="R203" s="22" t="inlineStr"/>
      <c r="S203" s="22" t="inlineStr">
        <is>
          <t>rodrigo.anjos@safra.com.br</t>
        </is>
      </c>
      <c r="T203" s="22" t="inlineStr">
        <is>
          <t>DM: DM verified email; BACKUP: backup verified email (NPL legal)</t>
        </is>
      </c>
      <c r="U203" s="24" t="n">
        <v>2385103.18</v>
      </c>
      <c r="V203" s="39" t="inlineStr">
        <is>
          <t>C</t>
        </is>
      </c>
      <c r="W203" s="26" t="inlineStr"/>
      <c r="X203" s="27" t="inlineStr"/>
      <c r="Y203" s="27" t="inlineStr"/>
      <c r="Z203" s="26">
        <f>IF(W203&lt;&gt;"",W203,IFERROR(VLOOKUP(V203,Assumptions!$A$8:$F$12,2,FALSE),0))*Assumptions!$B$5</f>
        <v/>
      </c>
      <c r="AA203" s="28">
        <f>IF(V203="A",MAX(1,IF(X203&lt;&gt;"",X203,IFERROR(VLOOKUP(V203,Assumptions!$A$8:$F$12,3,FALSE),3))+IF(Y203&lt;&gt;"",Y203,IFERROR(VLOOKUP(V203,Assumptions!$A$8:$F$12,4,FALSE),8))/2-MAX(0,IF(AS203="",0,YEAR(TODAY())-AS203)-IFERROR(VLOOKUP(V203,Assumptions!$A$8:$F$12,5,FALSE),1.5))),IFERROR(VLOOKUP(V203,Assumptions!$A$8:$F$12,5,FALSE),2.5)+IF(X203&lt;&gt;"",X203,IFERROR(VLOOKUP(V203,Assumptions!$A$8:$F$12,3,FALSE),3))+IF(Y203&lt;&gt;"",Y203,IFERROR(VLOOKUP(V203,Assumptions!$A$8:$F$12,4,FALSE),8))/2)</f>
        <v/>
      </c>
      <c r="AB203" s="24">
        <f>U203*Z203/(1+Assumptions!$B$3)^AA203</f>
        <v/>
      </c>
      <c r="AC203" s="27">
        <f>IF(U203=0,"",ROUND(AB203/U203*100,1))</f>
        <v/>
      </c>
      <c r="AD203" s="29">
        <f>AB203*Assumptions!$B$4</f>
        <v/>
      </c>
      <c r="AE203" s="27">
        <f>IF(U203=0,"",ROUND(AD203/U203*100,1))</f>
        <v/>
      </c>
      <c r="AF203" s="29">
        <f>AB203-AD203</f>
        <v/>
      </c>
      <c r="AG203" s="27">
        <f>IF(U203=0,"",ROUND((AB203-AD203)/U203*100,1))</f>
        <v/>
      </c>
      <c r="AH203" s="30" t="inlineStr">
        <is>
          <t>OK — totals reconciled</t>
        </is>
      </c>
      <c r="AI203" s="31" t="inlineStr">
        <is>
          <t>https://recuperacaojudicial.squarespace.com/s/RJ-Credimoveis-QGC-01082025.pdf</t>
        </is>
      </c>
      <c r="AJ203" s="30" t="inlineStr">
        <is>
          <t>p15 r15</t>
        </is>
      </c>
      <c r="AK203" s="30" t="inlineStr">
        <is>
          <t>p15: R$ 2.385.103,18</t>
        </is>
      </c>
      <c r="AL203" s="30" t="inlineStr">
        <is>
          <t>QGC (art. 18)</t>
        </is>
      </c>
      <c r="AM203" s="30" t="inlineStr">
        <is>
          <t>2026-01-28</t>
        </is>
      </c>
      <c r="AN203" s="30" t="inlineStr">
        <is>
          <t>NONE FOUND</t>
        </is>
      </c>
      <c r="AO203" s="32" t="inlineStr">
        <is>
          <t>0007565-40.2020.8.17.2370</t>
        </is>
      </c>
      <c r="AP203" s="32" t="inlineStr">
        <is>
          <t>TJPE</t>
        </is>
      </c>
      <c r="AQ203" s="32" t="inlineStr">
        <is>
          <t>Recuperação judicial</t>
        </is>
      </c>
      <c r="AR203" s="32" t="inlineStr">
        <is>
          <t>DataJud: no closure/falência movement</t>
        </is>
      </c>
      <c r="AS203" s="32" t="n">
        <v>2020</v>
      </c>
      <c r="AT203" s="32" t="inlineStr">
        <is>
          <t>6y since filing; plan not in our documents</t>
        </is>
      </c>
      <c r="AU203" s="32" t="inlineStr">
        <is>
          <t>09.930.165/0001-37</t>
        </is>
      </c>
      <c r="AV203" s="32" t="inlineStr">
        <is>
          <t>printed on the list (read twice)</t>
        </is>
      </c>
      <c r="AW203" s="32" t="inlineStr"/>
      <c r="AX203" s="32" t="inlineStr">
        <is>
          <t>SAO PAULO</t>
        </is>
      </c>
      <c r="AY203" s="32" t="inlineStr">
        <is>
          <t>SP</t>
        </is>
      </c>
      <c r="AZ203" s="32" t="inlineStr">
        <is>
          <t>Bancos múltiplos, com carteira comercial</t>
        </is>
      </c>
      <c r="BA203" s="32" t="inlineStr">
        <is>
          <t>não ME/EPP</t>
        </is>
      </c>
      <c r="BB203" s="33" t="n">
        <v>13924903000</v>
      </c>
      <c r="BC203" s="32" t="inlineStr">
        <is>
          <t>LARGE CORP</t>
        </is>
      </c>
      <c r="BD203" s="32" t="inlineStr">
        <is>
          <t>58160789</t>
        </is>
      </c>
      <c r="BE203" s="32" t="n">
        <v>1</v>
      </c>
      <c r="BF203" s="32" t="inlineStr"/>
    </row>
    <row r="204">
      <c r="A204" s="17" t="inlineStr">
        <is>
          <t>Rnx Fundo De Investimento Em Direitos Creditorios Multissetorial</t>
        </is>
      </c>
      <c r="B204" s="18" t="n">
        <v>606780</v>
      </c>
      <c r="C204" s="19" t="inlineStr">
        <is>
          <t>Grupo Agromeal</t>
        </is>
      </c>
      <c r="D204" s="20" t="inlineStr">
        <is>
          <t>NEW</t>
        </is>
      </c>
      <c r="E204" s="21" t="inlineStr"/>
      <c r="F204" s="20" t="inlineStr"/>
      <c r="G204" s="21" t="inlineStr"/>
      <c r="H204" s="20" t="inlineStr"/>
      <c r="I204" s="22" t="inlineStr">
        <is>
          <t>Tales Haubert</t>
        </is>
      </c>
      <c r="J204" s="22" t="inlineStr">
        <is>
          <t>Gerente de Crédito e Cadastro</t>
        </is>
      </c>
      <c r="K204" s="22" t="inlineStr"/>
      <c r="L204" s="22" t="inlineStr"/>
      <c r="M204" s="22" t="inlineStr"/>
      <c r="N204" s="22" t="inlineStr">
        <is>
          <t>tales@rnxfidc.com.br</t>
        </is>
      </c>
      <c r="O204" s="22" t="inlineStr">
        <is>
          <t>verified</t>
        </is>
      </c>
      <c r="P204" s="22" t="inlineStr">
        <is>
          <t>Jose Vechini</t>
        </is>
      </c>
      <c r="Q204" s="22" t="inlineStr">
        <is>
          <t>Credit Coordinator</t>
        </is>
      </c>
      <c r="R204" s="22" t="inlineStr"/>
      <c r="S204" s="22" t="inlineStr">
        <is>
          <t>jose.vechini@rnxfidc.com.br</t>
        </is>
      </c>
      <c r="T204" s="22" t="inlineStr">
        <is>
          <t>DM: DM; BACKUP: backup</t>
        </is>
      </c>
      <c r="U204" s="24" t="n">
        <v>606780</v>
      </c>
      <c r="V204" s="25" t="inlineStr">
        <is>
          <t>B</t>
        </is>
      </c>
      <c r="W204" s="26" t="inlineStr"/>
      <c r="X204" s="27" t="inlineStr"/>
      <c r="Y204" s="27" t="inlineStr"/>
      <c r="Z204" s="26">
        <f>IF(W204&lt;&gt;"",W204,IFERROR(VLOOKUP(V204,Assumptions!$A$8:$F$12,2,FALSE),0))*Assumptions!$B$5</f>
        <v/>
      </c>
      <c r="AA204" s="28">
        <f>IF(V204="A",MAX(1,IF(X204&lt;&gt;"",X204,IFERROR(VLOOKUP(V204,Assumptions!$A$8:$F$12,3,FALSE),3))+IF(Y204&lt;&gt;"",Y204,IFERROR(VLOOKUP(V204,Assumptions!$A$8:$F$12,4,FALSE),8))/2-MAX(0,IF(AS204="",0,YEAR(TODAY())-AS204)-IFERROR(VLOOKUP(V204,Assumptions!$A$8:$F$12,5,FALSE),1.5))),IFERROR(VLOOKUP(V204,Assumptions!$A$8:$F$12,5,FALSE),2.5)+IF(X204&lt;&gt;"",X204,IFERROR(VLOOKUP(V204,Assumptions!$A$8:$F$12,3,FALSE),3))+IF(Y204&lt;&gt;"",Y204,IFERROR(VLOOKUP(V204,Assumptions!$A$8:$F$12,4,FALSE),8))/2)</f>
        <v/>
      </c>
      <c r="AB204" s="24">
        <f>U204*Z204/(1+Assumptions!$B$3)^AA204</f>
        <v/>
      </c>
      <c r="AC204" s="27">
        <f>IF(U204=0,"",ROUND(AB204/U204*100,1))</f>
        <v/>
      </c>
      <c r="AD204" s="29">
        <f>AB204*Assumptions!$B$4</f>
        <v/>
      </c>
      <c r="AE204" s="27">
        <f>IF(U204=0,"",ROUND(AD204/U204*100,1))</f>
        <v/>
      </c>
      <c r="AF204" s="29">
        <f>AB204-AD204</f>
        <v/>
      </c>
      <c r="AG204" s="27">
        <f>IF(U204=0,"",ROUND((AB204-AD204)/U204*100,1))</f>
        <v/>
      </c>
      <c r="AH204" s="35" t="inlineStr">
        <is>
          <t>PARTIAL — class III reconciled, other classes not</t>
        </is>
      </c>
      <c r="AI204" s="31" t="inlineStr">
        <is>
          <t>https://marquesadmjudicial.com.br/sgc/download.php?file=files/processo_documento/processo_documento17040729052024_1_.pdf&amp;nome=Relação Nominal de Credores AJ-Sintética</t>
        </is>
      </c>
      <c r="AJ204" s="30" t="inlineStr">
        <is>
          <t>p12 r15</t>
        </is>
      </c>
      <c r="AK204" s="30" t="inlineStr">
        <is>
          <t>p12: R$ 606.780,00</t>
        </is>
      </c>
      <c r="AL204" s="30" t="inlineStr">
        <is>
          <t>AJ list (art. 7 §2)</t>
        </is>
      </c>
      <c r="AM204" s="30" t="inlineStr">
        <is>
          <t>2024-05-27</t>
        </is>
      </c>
      <c r="AN204" s="30" t="inlineStr">
        <is>
          <t>NONE FOUND</t>
        </is>
      </c>
      <c r="AO204" s="32" t="inlineStr">
        <is>
          <t>0003971-03.2023.8.16.0119</t>
        </is>
      </c>
      <c r="AP204" s="32" t="inlineStr">
        <is>
          <t>TJPR</t>
        </is>
      </c>
      <c r="AQ204" s="32" t="inlineStr">
        <is>
          <t>Recuperação judicial</t>
        </is>
      </c>
      <c r="AR204" s="32" t="inlineStr">
        <is>
          <t>DataJud: no closure/falência movement</t>
        </is>
      </c>
      <c r="AS204" s="32" t="n">
        <v>2023</v>
      </c>
      <c r="AT204" s="32" t="inlineStr">
        <is>
          <t>live case, no plan document yet</t>
        </is>
      </c>
      <c r="AU204" s="32" t="inlineStr">
        <is>
          <t>11.624.776/0001-07</t>
        </is>
      </c>
      <c r="AV204" s="32" t="inlineStr">
        <is>
          <t>printed on the list (read twice)</t>
        </is>
      </c>
      <c r="AW204" s="32" t="inlineStr"/>
      <c r="AX204" s="32" t="inlineStr"/>
      <c r="AY204" s="32" t="inlineStr"/>
      <c r="AZ204" s="32" t="inlineStr"/>
      <c r="BA204" s="32" t="inlineStr"/>
      <c r="BB204" s="33" t="inlineStr"/>
      <c r="BC204" s="32" t="inlineStr">
        <is>
          <t>UNKNOWN</t>
        </is>
      </c>
      <c r="BD204" s="32" t="inlineStr">
        <is>
          <t>12813212</t>
        </is>
      </c>
      <c r="BE204" s="32" t="n">
        <v>1</v>
      </c>
      <c r="BF204" s="32" t="inlineStr">
        <is>
          <t>financial by name class III reconciled (doc partial) no RFB record</t>
        </is>
      </c>
    </row>
    <row r="205">
      <c r="A205" s="17" t="inlineStr">
        <is>
          <t>BANCO SICOOB</t>
        </is>
      </c>
      <c r="B205" s="18" t="n">
        <v>599165.83</v>
      </c>
      <c r="C205" s="19" t="inlineStr">
        <is>
          <t>Grupo Tendas</t>
        </is>
      </c>
      <c r="D205" s="20" t="inlineStr">
        <is>
          <t>NEW</t>
        </is>
      </c>
      <c r="E205" s="21" t="inlineStr"/>
      <c r="F205" s="20" t="inlineStr"/>
      <c r="G205" s="21" t="inlineStr"/>
      <c r="H205" s="20" t="inlineStr"/>
      <c r="I205" s="22" t="inlineStr">
        <is>
          <t>Lais Quirino</t>
        </is>
      </c>
      <c r="J205" s="22" t="inlineStr">
        <is>
          <t>Recuperação de Crédito</t>
        </is>
      </c>
      <c r="K205" s="22" t="inlineStr"/>
      <c r="L205" s="22" t="inlineStr"/>
      <c r="M205" s="22" t="inlineStr"/>
      <c r="N205" s="22" t="inlineStr"/>
      <c r="O205" s="22" t="inlineStr"/>
      <c r="P205" s="22" t="inlineStr">
        <is>
          <t>Yolanda Maria</t>
        </is>
      </c>
      <c r="Q205" s="22" t="inlineStr">
        <is>
          <t>Recuperação de Crédito</t>
        </is>
      </c>
      <c r="R205" s="22" t="inlineStr"/>
      <c r="S205" s="22" t="inlineStr">
        <is>
          <t>yolanda.maria@sicoob.com.br</t>
        </is>
      </c>
      <c r="T205" s="22" t="inlineStr">
        <is>
          <t>DM: DM; VERIFY org: Apollo org 'Sicoob' (central); Banco Sicoob keyword returned 0; no work email in Apollo for DM; BACKUP: backup; backup email is pattern-guessed</t>
        </is>
      </c>
      <c r="U205" s="24" t="n">
        <v>599165.83</v>
      </c>
      <c r="V205" s="25" t="inlineStr">
        <is>
          <t>B</t>
        </is>
      </c>
      <c r="W205" s="26" t="inlineStr"/>
      <c r="X205" s="27" t="inlineStr"/>
      <c r="Y205" s="27" t="inlineStr"/>
      <c r="Z205" s="26">
        <f>IF(W205&lt;&gt;"",W205,IFERROR(VLOOKUP(V205,Assumptions!$A$8:$F$12,2,FALSE),0))*Assumptions!$B$5</f>
        <v/>
      </c>
      <c r="AA205" s="28">
        <f>IF(V205="A",MAX(1,IF(X205&lt;&gt;"",X205,IFERROR(VLOOKUP(V205,Assumptions!$A$8:$F$12,3,FALSE),3))+IF(Y205&lt;&gt;"",Y205,IFERROR(VLOOKUP(V205,Assumptions!$A$8:$F$12,4,FALSE),8))/2-MAX(0,IF(AS205="",0,YEAR(TODAY())-AS205)-IFERROR(VLOOKUP(V205,Assumptions!$A$8:$F$12,5,FALSE),1.5))),IFERROR(VLOOKUP(V205,Assumptions!$A$8:$F$12,5,FALSE),2.5)+IF(X205&lt;&gt;"",X205,IFERROR(VLOOKUP(V205,Assumptions!$A$8:$F$12,3,FALSE),3))+IF(Y205&lt;&gt;"",Y205,IFERROR(VLOOKUP(V205,Assumptions!$A$8:$F$12,4,FALSE),8))/2)</f>
        <v/>
      </c>
      <c r="AB205" s="24">
        <f>U205*Z205/(1+Assumptions!$B$3)^AA205</f>
        <v/>
      </c>
      <c r="AC205" s="27">
        <f>IF(U205=0,"",ROUND(AB205/U205*100,1))</f>
        <v/>
      </c>
      <c r="AD205" s="29">
        <f>AB205*Assumptions!$B$4</f>
        <v/>
      </c>
      <c r="AE205" s="27">
        <f>IF(U205=0,"",ROUND(AD205/U205*100,1))</f>
        <v/>
      </c>
      <c r="AF205" s="29">
        <f>AB205-AD205</f>
        <v/>
      </c>
      <c r="AG205" s="27">
        <f>IF(U205=0,"",ROUND((AB205-AD205)/U205*100,1))</f>
        <v/>
      </c>
      <c r="AH205" s="34" t="inlineStr">
        <is>
          <t>NO TOTALS — list prints none; check page</t>
        </is>
      </c>
      <c r="AI205" s="31" t="inlineStr">
        <is>
          <t>https://stenius.com.br/wp-content/uploads/2026/08/1°-EDITAL-GRUPO-TENDAS.pdf</t>
        </is>
      </c>
      <c r="AJ205" s="30" t="inlineStr">
        <is>
          <t>p5 r21; p5 r29</t>
        </is>
      </c>
      <c r="AK205" s="30" t="inlineStr">
        <is>
          <t>p5: R$ 580.165,83; p5: R$ 19.000,00</t>
        </is>
      </c>
      <c r="AL205" s="30" t="inlineStr">
        <is>
          <t>AJ list (art. 7 §2)</t>
        </is>
      </c>
      <c r="AM205" s="30" t="inlineStr">
        <is>
          <t>2026-08-13</t>
        </is>
      </c>
      <c r="AN205" s="30" t="inlineStr">
        <is>
          <t>NONE FOUND</t>
        </is>
      </c>
      <c r="AO205" s="32" t="inlineStr">
        <is>
          <t>5401053-70.2026.8.09.0051</t>
        </is>
      </c>
      <c r="AP205" s="32" t="inlineStr">
        <is>
          <t>TJGO</t>
        </is>
      </c>
      <c r="AQ205" s="32" t="inlineStr">
        <is>
          <t>Recuperação judicial</t>
        </is>
      </c>
      <c r="AR205" s="32" t="inlineStr">
        <is>
          <t>DataJud: no closure/falência movement</t>
        </is>
      </c>
      <c r="AS205" s="32" t="n">
        <v>2026</v>
      </c>
      <c r="AT205" s="32" t="inlineStr">
        <is>
          <t>live case, no plan document yet</t>
        </is>
      </c>
      <c r="AU205" s="32" t="inlineStr">
        <is>
          <t>05.047.886/0001-42</t>
        </is>
      </c>
      <c r="AV205" s="32" t="inlineStr">
        <is>
          <t>printed on the list (read twice)</t>
        </is>
      </c>
      <c r="AW205" s="32" t="inlineStr"/>
      <c r="AX205" s="32" t="inlineStr"/>
      <c r="AY205" s="32" t="inlineStr"/>
      <c r="AZ205" s="32" t="inlineStr"/>
      <c r="BA205" s="32" t="inlineStr"/>
      <c r="BB205" s="33" t="inlineStr"/>
      <c r="BC205" s="32" t="inlineStr">
        <is>
          <t>UNKNOWN</t>
        </is>
      </c>
      <c r="BD205" s="32" t="inlineStr">
        <is>
          <t>07599206</t>
        </is>
      </c>
      <c r="BE205" s="32" t="n">
        <v>2</v>
      </c>
      <c r="BF205" s="32" t="inlineStr">
        <is>
          <t>financial by name list prints no totals no RFB record</t>
        </is>
      </c>
    </row>
    <row r="206">
      <c r="A206" s="17" t="inlineStr">
        <is>
          <t>BANCO BRADESCO S.A.</t>
        </is>
      </c>
      <c r="B206" s="18" t="n">
        <v>1119574.81</v>
      </c>
      <c r="C206" s="37" t="inlineStr">
        <is>
          <t>(debtor not identified — see proof)</t>
        </is>
      </c>
      <c r="D206" s="20" t="inlineStr">
        <is>
          <t>NEW</t>
        </is>
      </c>
      <c r="E206" s="21" t="inlineStr"/>
      <c r="F206" s="20" t="inlineStr"/>
      <c r="G206" s="21" t="inlineStr"/>
      <c r="H206" s="20" t="inlineStr"/>
      <c r="I206" s="22" t="inlineStr">
        <is>
          <t>Marcela Martins</t>
        </is>
      </c>
      <c r="J206" s="22" t="inlineStr">
        <is>
          <t>Superintendente de Recuperação de Crédito - Canais e Operações</t>
        </is>
      </c>
      <c r="K206" s="22" t="inlineStr">
        <is>
          <t>(11) 3684-5122</t>
        </is>
      </c>
      <c r="L206" s="22" t="inlineStr"/>
      <c r="M206" s="22" t="inlineStr"/>
      <c r="N206" s="22" t="inlineStr"/>
      <c r="O206" s="22" t="inlineStr"/>
      <c r="P206" s="22" t="inlineStr">
        <is>
          <t>Luis S</t>
        </is>
      </c>
      <c r="Q206" s="22" t="inlineStr">
        <is>
          <t>DRC - Departamento de Recuperação de Crédito - Gerente de Reestruturação de Crédito</t>
        </is>
      </c>
      <c r="R206" s="22" t="inlineStr"/>
      <c r="S206" s="22" t="inlineStr">
        <is>
          <t>sl@bradesco.com.br</t>
        </is>
      </c>
      <c r="T206" s="22" t="inlineStr">
        <is>
          <t>DM: DM; no work email in Apollo for DM; BACKUP: backup</t>
        </is>
      </c>
      <c r="U206" s="24" t="n">
        <v>1119574.81</v>
      </c>
      <c r="V206" s="38" t="inlineStr">
        <is>
          <t>U</t>
        </is>
      </c>
      <c r="W206" s="26" t="inlineStr"/>
      <c r="X206" s="27" t="inlineStr"/>
      <c r="Y206" s="27" t="inlineStr"/>
      <c r="Z206" s="26">
        <f>IF(W206&lt;&gt;"",W206,IFERROR(VLOOKUP(V206,Assumptions!$A$8:$F$12,2,FALSE),0))*Assumptions!$B$5</f>
        <v/>
      </c>
      <c r="AA206" s="28">
        <f>IF(V206="A",MAX(1,IF(X206&lt;&gt;"",X206,IFERROR(VLOOKUP(V206,Assumptions!$A$8:$F$12,3,FALSE),3))+IF(Y206&lt;&gt;"",Y206,IFERROR(VLOOKUP(V206,Assumptions!$A$8:$F$12,4,FALSE),8))/2-MAX(0,IF(AS206="",0,YEAR(TODAY())-AS206)-IFERROR(VLOOKUP(V206,Assumptions!$A$8:$F$12,5,FALSE),1.5))),IFERROR(VLOOKUP(V206,Assumptions!$A$8:$F$12,5,FALSE),2.5)+IF(X206&lt;&gt;"",X206,IFERROR(VLOOKUP(V206,Assumptions!$A$8:$F$12,3,FALSE),3))+IF(Y206&lt;&gt;"",Y206,IFERROR(VLOOKUP(V206,Assumptions!$A$8:$F$12,4,FALSE),8))/2)</f>
        <v/>
      </c>
      <c r="AB206" s="24">
        <f>U206*Z206/(1+Assumptions!$B$3)^AA206</f>
        <v/>
      </c>
      <c r="AC206" s="27">
        <f>IF(U206=0,"",ROUND(AB206/U206*100,1))</f>
        <v/>
      </c>
      <c r="AD206" s="29">
        <f>AB206*Assumptions!$B$4</f>
        <v/>
      </c>
      <c r="AE206" s="27">
        <f>IF(U206=0,"",ROUND(AD206/U206*100,1))</f>
        <v/>
      </c>
      <c r="AF206" s="29">
        <f>AB206-AD206</f>
        <v/>
      </c>
      <c r="AG206" s="27">
        <f>IF(U206=0,"",ROUND((AB206-AD206)/U206*100,1))</f>
        <v/>
      </c>
      <c r="AH206" s="30" t="inlineStr">
        <is>
          <t>OK — totals reconciled</t>
        </is>
      </c>
      <c r="AI206" s="31" t="inlineStr">
        <is>
          <t>http://bernardobicalho.com.br/login/app/documents/Rela%C3%A7%C3%A3o%20de%20Credores/6.%20RVC-%20Nutricium%20-%20simplificada.pdf</t>
        </is>
      </c>
      <c r="AJ206" s="30" t="inlineStr">
        <is>
          <t>p3 r1</t>
        </is>
      </c>
      <c r="AK206" s="30" t="inlineStr">
        <is>
          <t>p3: R$ 1.119.574,81</t>
        </is>
      </c>
      <c r="AL206" s="30" t="inlineStr">
        <is>
          <t>AJ list (art. 7 §2)</t>
        </is>
      </c>
      <c r="AM206" s="30" t="inlineStr"/>
      <c r="AN206" s="30" t="inlineStr">
        <is>
          <t>NONE FOUND</t>
        </is>
      </c>
      <c r="AO206" s="32" t="inlineStr">
        <is>
          <t>(not printed)</t>
        </is>
      </c>
      <c r="AP206" s="32" t="inlineStr"/>
      <c r="AQ206" s="32" t="inlineStr"/>
      <c r="AR206" s="32" t="inlineStr"/>
      <c r="AS206" s="32" t="inlineStr"/>
      <c r="AT206" s="32" t="inlineStr">
        <is>
          <t>RJ case number not identified on the document</t>
        </is>
      </c>
      <c r="AU206" s="32" t="inlineStr"/>
      <c r="AV206" s="32" t="inlineStr">
        <is>
          <t>not identified</t>
        </is>
      </c>
      <c r="AW206" s="32" t="inlineStr"/>
      <c r="AX206" s="32" t="inlineStr">
        <is>
          <t>OSASCO</t>
        </is>
      </c>
      <c r="AY206" s="32" t="inlineStr">
        <is>
          <t>SP</t>
        </is>
      </c>
      <c r="AZ206" s="32" t="inlineStr">
        <is>
          <t>Bancos múltiplos, com carteira comercial</t>
        </is>
      </c>
      <c r="BA206" s="32" t="inlineStr">
        <is>
          <t>não ME/EPP</t>
        </is>
      </c>
      <c r="BB206" s="33" t="n">
        <v>93770000000</v>
      </c>
      <c r="BC206" s="32" t="inlineStr">
        <is>
          <t>LARGE CORP</t>
        </is>
      </c>
      <c r="BD206" s="32" t="inlineStr">
        <is>
          <t>60746948</t>
        </is>
      </c>
      <c r="BE206" s="32" t="n">
        <v>1</v>
      </c>
      <c r="BF206" s="32" t="inlineStr">
        <is>
          <t>CASE_NUMBER_MISSING financial by name</t>
        </is>
      </c>
    </row>
    <row r="207">
      <c r="A207" s="17" t="inlineStr">
        <is>
          <t>ITAU UNIBANCO S.A.</t>
        </is>
      </c>
      <c r="B207" s="18" t="n">
        <v>566658.33</v>
      </c>
      <c r="C207" s="19" t="inlineStr">
        <is>
          <t>GRUPO DP4</t>
        </is>
      </c>
      <c r="D207" s="20" t="inlineStr">
        <is>
          <t>NEW</t>
        </is>
      </c>
      <c r="E207" s="21" t="inlineStr"/>
      <c r="F207" s="20" t="inlineStr"/>
      <c r="G207" s="21" t="inlineStr"/>
      <c r="H207" s="20" t="inlineStr"/>
      <c r="I207" s="22" t="inlineStr">
        <is>
          <t>Murilo Gigliucci</t>
        </is>
      </c>
      <c r="J207" s="22" t="inlineStr">
        <is>
          <t>Superintendente de Reestruturação de Crédito</t>
        </is>
      </c>
      <c r="K207" s="22" t="inlineStr">
        <is>
          <t>(11) 3003-4828</t>
        </is>
      </c>
      <c r="L207" s="22" t="inlineStr"/>
      <c r="M207" s="22" t="inlineStr"/>
      <c r="N207" s="22" t="inlineStr">
        <is>
          <t>murilo.gigliucci@itau-unibanco.com.br</t>
        </is>
      </c>
      <c r="O207" s="22" t="inlineStr">
        <is>
          <t>verified</t>
        </is>
      </c>
      <c r="P207" s="22" t="inlineStr">
        <is>
          <t>Pedro Ornellas</t>
        </is>
      </c>
      <c r="Q207" s="22" t="inlineStr">
        <is>
          <t>Superintendente de Recuperação de Crédito</t>
        </is>
      </c>
      <c r="R207" s="22" t="inlineStr"/>
      <c r="S207" s="22" t="inlineStr">
        <is>
          <t>pedro.ornellas-geronimo@itau-unibanco.com.br</t>
        </is>
      </c>
      <c r="T207" s="22" t="inlineStr">
        <is>
          <t>DM: DM verified email; BACKUP: backup verified email</t>
        </is>
      </c>
      <c r="U207" s="24" t="n">
        <v>566658.33</v>
      </c>
      <c r="V207" s="25" t="inlineStr">
        <is>
          <t>B</t>
        </is>
      </c>
      <c r="W207" s="26" t="inlineStr"/>
      <c r="X207" s="27" t="inlineStr"/>
      <c r="Y207" s="27" t="inlineStr"/>
      <c r="Z207" s="26">
        <f>IF(W207&lt;&gt;"",W207,IFERROR(VLOOKUP(V207,Assumptions!$A$8:$F$12,2,FALSE),0))*Assumptions!$B$5</f>
        <v/>
      </c>
      <c r="AA207" s="28">
        <f>IF(V207="A",MAX(1,IF(X207&lt;&gt;"",X207,IFERROR(VLOOKUP(V207,Assumptions!$A$8:$F$12,3,FALSE),3))+IF(Y207&lt;&gt;"",Y207,IFERROR(VLOOKUP(V207,Assumptions!$A$8:$F$12,4,FALSE),8))/2-MAX(0,IF(AS207="",0,YEAR(TODAY())-AS207)-IFERROR(VLOOKUP(V207,Assumptions!$A$8:$F$12,5,FALSE),1.5))),IFERROR(VLOOKUP(V207,Assumptions!$A$8:$F$12,5,FALSE),2.5)+IF(X207&lt;&gt;"",X207,IFERROR(VLOOKUP(V207,Assumptions!$A$8:$F$12,3,FALSE),3))+IF(Y207&lt;&gt;"",Y207,IFERROR(VLOOKUP(V207,Assumptions!$A$8:$F$12,4,FALSE),8))/2)</f>
        <v/>
      </c>
      <c r="AB207" s="24">
        <f>U207*Z207/(1+Assumptions!$B$3)^AA207</f>
        <v/>
      </c>
      <c r="AC207" s="27">
        <f>IF(U207=0,"",ROUND(AB207/U207*100,1))</f>
        <v/>
      </c>
      <c r="AD207" s="29">
        <f>AB207*Assumptions!$B$4</f>
        <v/>
      </c>
      <c r="AE207" s="27">
        <f>IF(U207=0,"",ROUND(AD207/U207*100,1))</f>
        <v/>
      </c>
      <c r="AF207" s="29">
        <f>AB207-AD207</f>
        <v/>
      </c>
      <c r="AG207" s="27">
        <f>IF(U207=0,"",ROUND((AB207-AD207)/U207*100,1))</f>
        <v/>
      </c>
      <c r="AH207" s="35" t="inlineStr">
        <is>
          <t>PARTIAL — class III reconciled, other classes not</t>
        </is>
      </c>
      <c r="AI207" s="31" t="inlineStr">
        <is>
          <t>https://marquesadmjudicial.com.br/sgc/download.php?file=files/processo_documento/processo_documento15293208032024_1_.pdf&amp;nome=Relação Nominal de Credores da AJ-Sintética</t>
        </is>
      </c>
      <c r="AJ207" s="30" t="inlineStr">
        <is>
          <t>p27 r3</t>
        </is>
      </c>
      <c r="AK207" s="30" t="inlineStr">
        <is>
          <t>p27: R$ 566.658,33</t>
        </is>
      </c>
      <c r="AL207" s="30" t="inlineStr">
        <is>
          <t>AJ list (art. 7 §2)</t>
        </is>
      </c>
      <c r="AM207" s="30" t="inlineStr">
        <is>
          <t>2023-03-02</t>
        </is>
      </c>
      <c r="AN207" s="30" t="inlineStr">
        <is>
          <t>NONE FOUND</t>
        </is>
      </c>
      <c r="AO207" s="32" t="inlineStr">
        <is>
          <t>0005010-98.2023.8.16.0001</t>
        </is>
      </c>
      <c r="AP207" s="32" t="inlineStr">
        <is>
          <t>TJPR</t>
        </is>
      </c>
      <c r="AQ207" s="32" t="inlineStr">
        <is>
          <t>Recuperação judicial</t>
        </is>
      </c>
      <c r="AR207" s="32" t="inlineStr">
        <is>
          <t>DataJud: no closure/falência movement</t>
        </is>
      </c>
      <c r="AS207" s="32" t="n">
        <v>2023</v>
      </c>
      <c r="AT207" s="32" t="inlineStr">
        <is>
          <t>live case, no plan document yet</t>
        </is>
      </c>
      <c r="AU207" s="32" t="inlineStr"/>
      <c r="AV207" s="32" t="inlineStr">
        <is>
          <t>printed on the list (read twice)</t>
        </is>
      </c>
      <c r="AW207" s="32" t="inlineStr"/>
      <c r="AX207" s="32" t="inlineStr">
        <is>
          <t>SAO PAULO</t>
        </is>
      </c>
      <c r="AY207" s="32" t="inlineStr">
        <is>
          <t>SP</t>
        </is>
      </c>
      <c r="AZ207" s="32" t="inlineStr">
        <is>
          <t>Bancos comerciais</t>
        </is>
      </c>
      <c r="BA207" s="32" t="inlineStr">
        <is>
          <t>não ME/EPP</t>
        </is>
      </c>
      <c r="BB207" s="33" t="n">
        <v>76200000000</v>
      </c>
      <c r="BC207" s="32" t="inlineStr">
        <is>
          <t>LARGE CORP</t>
        </is>
      </c>
      <c r="BD207" s="32" t="inlineStr">
        <is>
          <t>60701190</t>
        </is>
      </c>
      <c r="BE207" s="32" t="n">
        <v>1</v>
      </c>
      <c r="BF207" s="32" t="inlineStr">
        <is>
          <t>financial by name class III reconciled (doc partial)</t>
        </is>
      </c>
    </row>
    <row r="208">
      <c r="A208" s="17" t="inlineStr">
        <is>
          <t>BANCO SANTANDER (BRASIL) S.A.</t>
        </is>
      </c>
      <c r="B208" s="18" t="n">
        <v>561196.46</v>
      </c>
      <c r="C208" s="19" t="inlineStr">
        <is>
          <t>SECULAR COMÉRCIO CONSTRUÇÃO E REPRESENTAÇÃO LTDA - ME, EM RECUPERAÇÃO JUDICIAL</t>
        </is>
      </c>
      <c r="D208" s="20" t="inlineStr">
        <is>
          <t>NEW</t>
        </is>
      </c>
      <c r="E208" s="21" t="inlineStr"/>
      <c r="F208" s="20" t="inlineStr"/>
      <c r="G208" s="21" t="inlineStr"/>
      <c r="H208" s="20" t="inlineStr"/>
      <c r="I208" s="22" t="inlineStr">
        <is>
          <t>Igor Puertas</t>
        </is>
      </c>
      <c r="J208" s="22" t="inlineStr">
        <is>
          <t>Distressed Assets | NPL</t>
        </is>
      </c>
      <c r="K208" s="22" t="inlineStr">
        <is>
          <t>(11) 4004-3535</t>
        </is>
      </c>
      <c r="L208" s="22" t="inlineStr"/>
      <c r="M208" s="22" t="inlineStr"/>
      <c r="N208" s="22" t="inlineStr">
        <is>
          <t>igor.puertas@santander.com.br</t>
        </is>
      </c>
      <c r="O208" s="22" t="inlineStr">
        <is>
          <t>verified</t>
        </is>
      </c>
      <c r="P208" s="22" t="inlineStr">
        <is>
          <t>Antonio Junior</t>
        </is>
      </c>
      <c r="Q208" s="22" t="inlineStr">
        <is>
          <t>Superintendente Recuperação de Crédito</t>
        </is>
      </c>
      <c r="R208" s="22" t="inlineStr"/>
      <c r="S208" s="22" t="inlineStr">
        <is>
          <t>antonio.pequeno.junior@santander.com.br</t>
        </is>
      </c>
      <c r="T208" s="22" t="inlineStr">
        <is>
          <t>DM: DM; BACKUP: backup</t>
        </is>
      </c>
      <c r="U208" s="24" t="n">
        <v>561196.46</v>
      </c>
      <c r="V208" s="25" t="inlineStr">
        <is>
          <t>B</t>
        </is>
      </c>
      <c r="W208" s="26" t="inlineStr"/>
      <c r="X208" s="27" t="inlineStr"/>
      <c r="Y208" s="27" t="inlineStr"/>
      <c r="Z208" s="26">
        <f>IF(W208&lt;&gt;"",W208,IFERROR(VLOOKUP(V208,Assumptions!$A$8:$F$12,2,FALSE),0))*Assumptions!$B$5</f>
        <v/>
      </c>
      <c r="AA208" s="28">
        <f>IF(V208="A",MAX(1,IF(X208&lt;&gt;"",X208,IFERROR(VLOOKUP(V208,Assumptions!$A$8:$F$12,3,FALSE),3))+IF(Y208&lt;&gt;"",Y208,IFERROR(VLOOKUP(V208,Assumptions!$A$8:$F$12,4,FALSE),8))/2-MAX(0,IF(AS208="",0,YEAR(TODAY())-AS208)-IFERROR(VLOOKUP(V208,Assumptions!$A$8:$F$12,5,FALSE),1.5))),IFERROR(VLOOKUP(V208,Assumptions!$A$8:$F$12,5,FALSE),2.5)+IF(X208&lt;&gt;"",X208,IFERROR(VLOOKUP(V208,Assumptions!$A$8:$F$12,3,FALSE),3))+IF(Y208&lt;&gt;"",Y208,IFERROR(VLOOKUP(V208,Assumptions!$A$8:$F$12,4,FALSE),8))/2)</f>
        <v/>
      </c>
      <c r="AB208" s="24">
        <f>U208*Z208/(1+Assumptions!$B$3)^AA208</f>
        <v/>
      </c>
      <c r="AC208" s="27">
        <f>IF(U208=0,"",ROUND(AB208/U208*100,1))</f>
        <v/>
      </c>
      <c r="AD208" s="29">
        <f>AB208*Assumptions!$B$4</f>
        <v/>
      </c>
      <c r="AE208" s="27">
        <f>IF(U208=0,"",ROUND(AD208/U208*100,1))</f>
        <v/>
      </c>
      <c r="AF208" s="29">
        <f>AB208-AD208</f>
        <v/>
      </c>
      <c r="AG208" s="27">
        <f>IF(U208=0,"",ROUND((AB208-AD208)/U208*100,1))</f>
        <v/>
      </c>
      <c r="AH208" s="30" t="inlineStr">
        <is>
          <t>OK — totals reconciled</t>
        </is>
      </c>
      <c r="AI208" s="31" t="inlineStr">
        <is>
          <t>https://lrflideres.com.br/wp-content/uploads/2022/08/4.-EDITAL-2a-LISTA-DE-CREDORES.pdf</t>
        </is>
      </c>
      <c r="AJ208" s="30" t="inlineStr">
        <is>
          <t>p1 r5</t>
        </is>
      </c>
      <c r="AK208" s="30" t="inlineStr">
        <is>
          <t>p1: R$ 561.196,46</t>
        </is>
      </c>
      <c r="AL208" s="30" t="inlineStr">
        <is>
          <t>AJ list (art. 7 §2)</t>
        </is>
      </c>
      <c r="AM208" s="30" t="inlineStr">
        <is>
          <t>2023-12-04</t>
        </is>
      </c>
      <c r="AN208" s="30" t="inlineStr">
        <is>
          <t>NONE FOUND</t>
        </is>
      </c>
      <c r="AO208" s="32" t="inlineStr">
        <is>
          <t>0804204-35.2022.8.15.0731</t>
        </is>
      </c>
      <c r="AP208" s="32" t="inlineStr">
        <is>
          <t>TJPB</t>
        </is>
      </c>
      <c r="AQ208" s="32" t="inlineStr">
        <is>
          <t>Recuperação judicial</t>
        </is>
      </c>
      <c r="AR208" s="32" t="inlineStr">
        <is>
          <t>DataJud: no closure/falência movement</t>
        </is>
      </c>
      <c r="AS208" s="32" t="n">
        <v>2022</v>
      </c>
      <c r="AT208" s="32" t="inlineStr">
        <is>
          <t>live case, no plan document yet</t>
        </is>
      </c>
      <c r="AU208" s="32" t="inlineStr"/>
      <c r="AV208" s="32" t="inlineStr">
        <is>
          <t>printed on the list (read twice)</t>
        </is>
      </c>
      <c r="AW208" s="32" t="inlineStr"/>
      <c r="AX208" s="32" t="inlineStr">
        <is>
          <t>SAO PAULO</t>
        </is>
      </c>
      <c r="AY208" s="32" t="inlineStr">
        <is>
          <t>SP</t>
        </is>
      </c>
      <c r="AZ208" s="32" t="inlineStr">
        <is>
          <t>Bancos múltiplos, com carteira comercial</t>
        </is>
      </c>
      <c r="BA208" s="32" t="inlineStr">
        <is>
          <t>não ME/EPP</t>
        </is>
      </c>
      <c r="BB208" s="33" t="n">
        <v>65000000000</v>
      </c>
      <c r="BC208" s="32" t="inlineStr">
        <is>
          <t>LARGE CORP</t>
        </is>
      </c>
      <c r="BD208" s="32" t="inlineStr">
        <is>
          <t>90400888</t>
        </is>
      </c>
      <c r="BE208" s="32" t="n">
        <v>1</v>
      </c>
      <c r="BF208" s="32" t="inlineStr">
        <is>
          <t>financial by name</t>
        </is>
      </c>
    </row>
    <row r="209">
      <c r="A209" s="17" t="inlineStr">
        <is>
          <t>SICOOB CREDICOM - COOP. ECONOMIA E CRED MÚTUO MÉDICOS E PROF DA SAÚDE DO BR LTDA</t>
        </is>
      </c>
      <c r="B209" s="18" t="n">
        <v>553541.83</v>
      </c>
      <c r="C209" s="19" t="inlineStr">
        <is>
          <t>GRUPO DIAGSON</t>
        </is>
      </c>
      <c r="D209" s="20" t="inlineStr">
        <is>
          <t>NEW</t>
        </is>
      </c>
      <c r="E209" s="21" t="inlineStr"/>
      <c r="F209" s="20" t="inlineStr"/>
      <c r="G209" s="21" t="inlineStr"/>
      <c r="H209" s="20" t="inlineStr"/>
      <c r="I209" s="22" t="inlineStr">
        <is>
          <t>Mariana Garzon</t>
        </is>
      </c>
      <c r="J209" s="22" t="inlineStr">
        <is>
          <t>Gerente de Processos de Crédito</t>
        </is>
      </c>
      <c r="K209" s="22" t="inlineStr"/>
      <c r="L209" s="22" t="inlineStr"/>
      <c r="M209" s="22" t="inlineStr"/>
      <c r="N209" s="22" t="inlineStr">
        <is>
          <t>mariana.garzon@credicom.com.br</t>
        </is>
      </c>
      <c r="O209" s="22" t="inlineStr">
        <is>
          <t>verified</t>
        </is>
      </c>
      <c r="P209" s="22" t="inlineStr">
        <is>
          <t>Nilton Junior</t>
        </is>
      </c>
      <c r="Q209" s="22" t="inlineStr">
        <is>
          <t>Gerente de Operações e Serviços II</t>
        </is>
      </c>
      <c r="R209" s="22" t="inlineStr"/>
      <c r="S209" s="22" t="inlineStr">
        <is>
          <t>nilton@credicom.com.br</t>
        </is>
      </c>
      <c r="T209" s="22" t="inlineStr">
        <is>
          <t>DM: DM verified email; BACKUP: backup verified email</t>
        </is>
      </c>
      <c r="U209" s="24" t="n">
        <v>553541.83</v>
      </c>
      <c r="V209" s="25" t="inlineStr">
        <is>
          <t>B</t>
        </is>
      </c>
      <c r="W209" s="26" t="inlineStr"/>
      <c r="X209" s="27" t="inlineStr"/>
      <c r="Y209" s="27" t="inlineStr"/>
      <c r="Z209" s="26">
        <f>IF(W209&lt;&gt;"",W209,IFERROR(VLOOKUP(V209,Assumptions!$A$8:$F$12,2,FALSE),0))*Assumptions!$B$5</f>
        <v/>
      </c>
      <c r="AA209" s="28">
        <f>IF(V209="A",MAX(1,IF(X209&lt;&gt;"",X209,IFERROR(VLOOKUP(V209,Assumptions!$A$8:$F$12,3,FALSE),3))+IF(Y209&lt;&gt;"",Y209,IFERROR(VLOOKUP(V209,Assumptions!$A$8:$F$12,4,FALSE),8))/2-MAX(0,IF(AS209="",0,YEAR(TODAY())-AS209)-IFERROR(VLOOKUP(V209,Assumptions!$A$8:$F$12,5,FALSE),1.5))),IFERROR(VLOOKUP(V209,Assumptions!$A$8:$F$12,5,FALSE),2.5)+IF(X209&lt;&gt;"",X209,IFERROR(VLOOKUP(V209,Assumptions!$A$8:$F$12,3,FALSE),3))+IF(Y209&lt;&gt;"",Y209,IFERROR(VLOOKUP(V209,Assumptions!$A$8:$F$12,4,FALSE),8))/2)</f>
        <v/>
      </c>
      <c r="AB209" s="24">
        <f>U209*Z209/(1+Assumptions!$B$3)^AA209</f>
        <v/>
      </c>
      <c r="AC209" s="27">
        <f>IF(U209=0,"",ROUND(AB209/U209*100,1))</f>
        <v/>
      </c>
      <c r="AD209" s="29">
        <f>AB209*Assumptions!$B$4</f>
        <v/>
      </c>
      <c r="AE209" s="27">
        <f>IF(U209=0,"",ROUND(AD209/U209*100,1))</f>
        <v/>
      </c>
      <c r="AF209" s="29">
        <f>AB209-AD209</f>
        <v/>
      </c>
      <c r="AG209" s="27">
        <f>IF(U209=0,"",ROUND((AB209-AD209)/U209*100,1))</f>
        <v/>
      </c>
      <c r="AH209" s="35" t="inlineStr">
        <is>
          <t>PARTIAL — class III reconciled, other classes not</t>
        </is>
      </c>
      <c r="AI209" s="31" t="inlineStr">
        <is>
          <t>https://lrflideres.com.br/wp-content/plugins/download-attachments/includes/download.php?id=7418</t>
        </is>
      </c>
      <c r="AJ209" s="30" t="inlineStr">
        <is>
          <t>p2 r80</t>
        </is>
      </c>
      <c r="AK209" s="30" t="inlineStr">
        <is>
          <t>p2: R$ 553.541,83</t>
        </is>
      </c>
      <c r="AL209" s="30" t="inlineStr">
        <is>
          <t>Debtor list (art. 51)</t>
        </is>
      </c>
      <c r="AM209" s="30" t="inlineStr">
        <is>
          <t>2026-07-28</t>
        </is>
      </c>
      <c r="AN209" s="30" t="inlineStr">
        <is>
          <t>NONE FOUND</t>
        </is>
      </c>
      <c r="AO209" s="32" t="inlineStr">
        <is>
          <t>0822279-56.2026.8.15.2001</t>
        </is>
      </c>
      <c r="AP209" s="32" t="inlineStr">
        <is>
          <t>TJPB</t>
        </is>
      </c>
      <c r="AQ209" s="32" t="inlineStr">
        <is>
          <t>Recuperação judicial</t>
        </is>
      </c>
      <c r="AR209" s="32" t="inlineStr">
        <is>
          <t>DataJud: no closure/falência movement</t>
        </is>
      </c>
      <c r="AS209" s="32" t="n">
        <v>2026</v>
      </c>
      <c r="AT209" s="32" t="inlineStr">
        <is>
          <t>live case, no plan document yet</t>
        </is>
      </c>
      <c r="AU209" s="32" t="inlineStr">
        <is>
          <t>00.149.703/0001-86</t>
        </is>
      </c>
      <c r="AV209" s="32" t="inlineStr">
        <is>
          <t>printed on the list (read twice)</t>
        </is>
      </c>
      <c r="AW209" s="32" t="inlineStr"/>
      <c r="AX209" s="32" t="inlineStr"/>
      <c r="AY209" s="32" t="inlineStr"/>
      <c r="AZ209" s="32" t="inlineStr"/>
      <c r="BA209" s="32" t="inlineStr"/>
      <c r="BB209" s="33" t="inlineStr"/>
      <c r="BC209" s="32" t="inlineStr">
        <is>
          <t>UNKNOWN</t>
        </is>
      </c>
      <c r="BD209" s="32" t="inlineStr">
        <is>
          <t>42898825</t>
        </is>
      </c>
      <c r="BE209" s="32" t="n">
        <v>1</v>
      </c>
      <c r="BF209" s="32" t="inlineStr">
        <is>
          <t>financial by name class III reconciled (doc partial) no RFB record</t>
        </is>
      </c>
    </row>
    <row r="210">
      <c r="A210" s="17" t="inlineStr">
        <is>
          <t>BANCO COOPERATIVO SICOOB S.A.</t>
        </is>
      </c>
      <c r="B210" s="18" t="n">
        <v>2389491.93</v>
      </c>
      <c r="C210" s="19" t="inlineStr">
        <is>
          <t>GRUPO 3E</t>
        </is>
      </c>
      <c r="D210" s="20" t="inlineStr">
        <is>
          <t>NEW</t>
        </is>
      </c>
      <c r="E210" s="21" t="inlineStr"/>
      <c r="F210" s="20" t="inlineStr"/>
      <c r="G210" s="21" t="inlineStr"/>
      <c r="H210" s="20" t="inlineStr"/>
      <c r="I210" s="22" t="inlineStr">
        <is>
          <t>Mauricio Reis</t>
        </is>
      </c>
      <c r="J210" s="22" t="inlineStr">
        <is>
          <t>Superintendente de Operações e Produtos de Crédito, Consórcios, Cobrança e de Recuperação de Ativos</t>
        </is>
      </c>
      <c r="K210" s="22" t="inlineStr">
        <is>
          <t>(61) 3217-5200</t>
        </is>
      </c>
      <c r="L210" s="22" t="inlineStr"/>
      <c r="M210" s="22" t="inlineStr"/>
      <c r="N210" s="22" t="inlineStr">
        <is>
          <t>mauricio.reis@sicoob.com.br</t>
        </is>
      </c>
      <c r="O210" s="22" t="inlineStr">
        <is>
          <t>verified</t>
        </is>
      </c>
      <c r="P210" s="22" t="inlineStr">
        <is>
          <t>MARCO AURELIO BORGES DE ALMADA ABREU</t>
        </is>
      </c>
      <c r="Q210" s="22" t="inlineStr">
        <is>
          <t>Presidente (RFB partner)</t>
        </is>
      </c>
      <c r="R210" s="22" t="inlineStr"/>
      <c r="S210" s="22" t="inlineStr"/>
      <c r="T210" s="22" t="inlineStr">
        <is>
          <t>DM: DM verified email</t>
        </is>
      </c>
      <c r="U210" s="24" t="n">
        <v>2389491.93</v>
      </c>
      <c r="V210" s="25" t="inlineStr">
        <is>
          <t>B</t>
        </is>
      </c>
      <c r="W210" s="26" t="n">
        <v>0.12</v>
      </c>
      <c r="X210" s="27" t="n">
        <v>2</v>
      </c>
      <c r="Y210" s="27" t="n">
        <v>13</v>
      </c>
      <c r="Z210" s="26">
        <f>IF(W210&lt;&gt;"",W210,IFERROR(VLOOKUP(V210,Assumptions!$A$8:$F$12,2,FALSE),0))*Assumptions!$B$5</f>
        <v/>
      </c>
      <c r="AA210" s="28">
        <f>IF(V210="A",MAX(1,IF(X210&lt;&gt;"",X210,IFERROR(VLOOKUP(V210,Assumptions!$A$8:$F$12,3,FALSE),3))+IF(Y210&lt;&gt;"",Y210,IFERROR(VLOOKUP(V210,Assumptions!$A$8:$F$12,4,FALSE),8))/2-MAX(0,IF(AS210="",0,YEAR(TODAY())-AS210)-IFERROR(VLOOKUP(V210,Assumptions!$A$8:$F$12,5,FALSE),1.5))),IFERROR(VLOOKUP(V210,Assumptions!$A$8:$F$12,5,FALSE),2.5)+IF(X210&lt;&gt;"",X210,IFERROR(VLOOKUP(V210,Assumptions!$A$8:$F$12,3,FALSE),3))+IF(Y210&lt;&gt;"",Y210,IFERROR(VLOOKUP(V210,Assumptions!$A$8:$F$12,4,FALSE),8))/2)</f>
        <v/>
      </c>
      <c r="AB210" s="24">
        <f>U210*Z210/(1+Assumptions!$B$3)^AA210</f>
        <v/>
      </c>
      <c r="AC210" s="27">
        <f>IF(U210=0,"",ROUND(AB210/U210*100,1))</f>
        <v/>
      </c>
      <c r="AD210" s="29">
        <f>AB210*Assumptions!$B$4</f>
        <v/>
      </c>
      <c r="AE210" s="27">
        <f>IF(U210=0,"",ROUND(AD210/U210*100,1))</f>
        <v/>
      </c>
      <c r="AF210" s="29">
        <f>AB210-AD210</f>
        <v/>
      </c>
      <c r="AG210" s="27">
        <f>IF(U210=0,"",ROUND((AB210-AD210)/U210*100,1))</f>
        <v/>
      </c>
      <c r="AH210" s="34" t="inlineStr">
        <is>
          <t>NO TOTALS — list prints none; check page</t>
        </is>
      </c>
      <c r="AI210" s="31" t="inlineStr">
        <is>
          <t>https://stenius.com.br/wp-content/uploads/2026/06/EDITAL-GRUPO-3E.pdf</t>
        </is>
      </c>
      <c r="AJ210" s="30" t="inlineStr">
        <is>
          <t>p10 r33</t>
        </is>
      </c>
      <c r="AK210" s="30" t="inlineStr">
        <is>
          <t>p10: R$ 2.389.491,93</t>
        </is>
      </c>
      <c r="AL210" s="30" t="inlineStr">
        <is>
          <t>Debtor list (art. 51)</t>
        </is>
      </c>
      <c r="AM210" s="30" t="inlineStr">
        <is>
          <t>2026-06-22</t>
        </is>
      </c>
      <c r="AN210" s="30" t="inlineStr">
        <is>
          <t>PLAN FILED (art. 53), not granted</t>
        </is>
      </c>
      <c r="AO210" s="32" t="inlineStr">
        <is>
          <t>5341375-33.2026.8.09.0049</t>
        </is>
      </c>
      <c r="AP210" s="32" t="inlineStr">
        <is>
          <t>TJGO</t>
        </is>
      </c>
      <c r="AQ210" s="32" t="inlineStr">
        <is>
          <t>Recuperação judicial</t>
        </is>
      </c>
      <c r="AR210" s="32" t="inlineStr">
        <is>
          <t>DataJud: no closure/falência movement</t>
        </is>
      </c>
      <c r="AS210" s="32" t="n">
        <v>2026</v>
      </c>
      <c r="AT210" s="32" t="inlineStr">
        <is>
          <t>plan filed (art. 53), not yet granted</t>
        </is>
      </c>
      <c r="AU210" s="32" t="inlineStr"/>
      <c r="AV210" s="32" t="inlineStr">
        <is>
          <t>printed on the list (read twice)</t>
        </is>
      </c>
      <c r="AW210" s="32" t="inlineStr">
        <is>
          <t>Plano de Recuperação Judicial Grupo 3E v2.0 (Métis), mov. 321, pp.24-25</t>
        </is>
      </c>
      <c r="AX210" s="32" t="inlineStr">
        <is>
          <t>BRASILIA</t>
        </is>
      </c>
      <c r="AY210" s="32" t="inlineStr">
        <is>
          <t>DF</t>
        </is>
      </c>
      <c r="AZ210" s="32" t="inlineStr">
        <is>
          <t>Bancos cooperativos</t>
        </is>
      </c>
      <c r="BA210" s="32" t="inlineStr">
        <is>
          <t>não ME/EPP</t>
        </is>
      </c>
      <c r="BB210" s="33" t="n">
        <v>6198490000</v>
      </c>
      <c r="BC210" s="32" t="inlineStr">
        <is>
          <t>LARGE CORP</t>
        </is>
      </c>
      <c r="BD210" s="32" t="inlineStr">
        <is>
          <t>02038232</t>
        </is>
      </c>
      <c r="BE210" s="32" t="n">
        <v>1</v>
      </c>
      <c r="BF210" s="32" t="inlineStr">
        <is>
          <t>financial by name list prints no totals</t>
        </is>
      </c>
    </row>
    <row r="211">
      <c r="A211" s="17" t="inlineStr">
        <is>
          <t>CREDIT PARTNERS FUNDO DE INVESTIMENTO EM DIREITOS CREDITÓRIOS NÃO PADRONIZADOS</t>
        </is>
      </c>
      <c r="B211" s="18" t="n">
        <v>547127.35</v>
      </c>
      <c r="C211" s="19" t="inlineStr">
        <is>
          <t>Grupo Conduscabos</t>
        </is>
      </c>
      <c r="D211" s="20" t="inlineStr">
        <is>
          <t>NEW</t>
        </is>
      </c>
      <c r="E211" s="21" t="inlineStr"/>
      <c r="F211" s="20" t="inlineStr"/>
      <c r="G211" s="21" t="inlineStr"/>
      <c r="H211" s="20" t="inlineStr"/>
      <c r="I211" s="22" t="inlineStr"/>
      <c r="J211" s="22" t="inlineStr"/>
      <c r="K211" s="22" t="inlineStr"/>
      <c r="L211" s="22" t="inlineStr"/>
      <c r="M211" s="22" t="inlineStr"/>
      <c r="N211" s="22" t="inlineStr"/>
      <c r="O211" s="22" t="inlineStr"/>
      <c r="P211" s="22" t="inlineStr"/>
      <c r="Q211" s="22" t="inlineStr"/>
      <c r="R211" s="22" t="inlineStr"/>
      <c r="S211" s="22" t="inlineStr"/>
      <c r="T211" s="22" t="inlineStr">
        <is>
          <t>no named contact found; NO ROUTE IN: no phone or email on file</t>
        </is>
      </c>
      <c r="U211" s="24" t="n">
        <v>547127.35</v>
      </c>
      <c r="V211" s="25" t="inlineStr">
        <is>
          <t>B</t>
        </is>
      </c>
      <c r="W211" s="26" t="inlineStr"/>
      <c r="X211" s="27" t="inlineStr"/>
      <c r="Y211" s="27" t="inlineStr"/>
      <c r="Z211" s="26">
        <f>IF(W211&lt;&gt;"",W211,IFERROR(VLOOKUP(V211,Assumptions!$A$8:$F$12,2,FALSE),0))*Assumptions!$B$5</f>
        <v/>
      </c>
      <c r="AA211" s="28">
        <f>IF(V211="A",MAX(1,IF(X211&lt;&gt;"",X211,IFERROR(VLOOKUP(V211,Assumptions!$A$8:$F$12,3,FALSE),3))+IF(Y211&lt;&gt;"",Y211,IFERROR(VLOOKUP(V211,Assumptions!$A$8:$F$12,4,FALSE),8))/2-MAX(0,IF(AS211="",0,YEAR(TODAY())-AS211)-IFERROR(VLOOKUP(V211,Assumptions!$A$8:$F$12,5,FALSE),1.5))),IFERROR(VLOOKUP(V211,Assumptions!$A$8:$F$12,5,FALSE),2.5)+IF(X211&lt;&gt;"",X211,IFERROR(VLOOKUP(V211,Assumptions!$A$8:$F$12,3,FALSE),3))+IF(Y211&lt;&gt;"",Y211,IFERROR(VLOOKUP(V211,Assumptions!$A$8:$F$12,4,FALSE),8))/2)</f>
        <v/>
      </c>
      <c r="AB211" s="24">
        <f>U211*Z211/(1+Assumptions!$B$3)^AA211</f>
        <v/>
      </c>
      <c r="AC211" s="27">
        <f>IF(U211=0,"",ROUND(AB211/U211*100,1))</f>
        <v/>
      </c>
      <c r="AD211" s="29">
        <f>AB211*Assumptions!$B$4</f>
        <v/>
      </c>
      <c r="AE211" s="27">
        <f>IF(U211=0,"",ROUND(AD211/U211*100,1))</f>
        <v/>
      </c>
      <c r="AF211" s="29">
        <f>AB211-AD211</f>
        <v/>
      </c>
      <c r="AG211" s="27">
        <f>IF(U211=0,"",ROUND((AB211-AD211)/U211*100,1))</f>
        <v/>
      </c>
      <c r="AH211" s="34" t="inlineStr">
        <is>
          <t>NO TOTALS — list prints none; check page</t>
        </is>
      </c>
      <c r="AI211" s="31" t="inlineStr">
        <is>
          <t>https://assistjud.com.br/wp-content/uploads/elementor/forms/65098c80a5824.pdf</t>
        </is>
      </c>
      <c r="AJ211" s="30" t="inlineStr">
        <is>
          <t>p6 r11; p17 r11</t>
        </is>
      </c>
      <c r="AK211" s="30" t="inlineStr">
        <is>
          <t>p6: R$ 333.437,35; p17: R$ 213.690,00</t>
        </is>
      </c>
      <c r="AL211" s="30" t="inlineStr">
        <is>
          <t>AJ list (art. 7 §2)</t>
        </is>
      </c>
      <c r="AM211" s="30" t="inlineStr">
        <is>
          <t>2023-09-18</t>
        </is>
      </c>
      <c r="AN211" s="30" t="inlineStr">
        <is>
          <t>NONE FOUND</t>
        </is>
      </c>
      <c r="AO211" s="32" t="inlineStr">
        <is>
          <t>8005129-09.2023.8.05.0039</t>
        </is>
      </c>
      <c r="AP211" s="32" t="inlineStr">
        <is>
          <t>TJBA</t>
        </is>
      </c>
      <c r="AQ211" s="32" t="inlineStr">
        <is>
          <t>Recuperação judicial</t>
        </is>
      </c>
      <c r="AR211" s="32" t="inlineStr">
        <is>
          <t>DataJud: no closure/falência movement</t>
        </is>
      </c>
      <c r="AS211" s="32" t="n">
        <v>2023</v>
      </c>
      <c r="AT211" s="32" t="inlineStr">
        <is>
          <t>live case, no plan document yet</t>
        </is>
      </c>
      <c r="AU211" s="32" t="inlineStr"/>
      <c r="AV211" s="32" t="inlineStr">
        <is>
          <t>printed on the list (read twice)</t>
        </is>
      </c>
      <c r="AW211" s="32" t="inlineStr"/>
      <c r="AX211" s="32" t="inlineStr"/>
      <c r="AY211" s="32" t="inlineStr"/>
      <c r="AZ211" s="32" t="inlineStr"/>
      <c r="BA211" s="32" t="inlineStr"/>
      <c r="BB211" s="33" t="inlineStr"/>
      <c r="BC211" s="32" t="inlineStr">
        <is>
          <t>UNKNOWN</t>
        </is>
      </c>
      <c r="BD211" s="32" t="inlineStr">
        <is>
          <t>32274874</t>
        </is>
      </c>
      <c r="BE211" s="32" t="n">
        <v>2</v>
      </c>
      <c r="BF211" s="32" t="inlineStr">
        <is>
          <t>financial by name list prints no totals no RFB record no route in</t>
        </is>
      </c>
    </row>
    <row r="212">
      <c r="A212" s="17" t="inlineStr">
        <is>
          <t>BB ADMINISTRADORA DE CONSORCIOS S.A.</t>
        </is>
      </c>
      <c r="B212" s="18" t="n">
        <v>2343402.47</v>
      </c>
      <c r="C212" s="19" t="inlineStr">
        <is>
          <t>GRUPO 3E</t>
        </is>
      </c>
      <c r="D212" s="20" t="inlineStr">
        <is>
          <t>NEW</t>
        </is>
      </c>
      <c r="E212" s="21" t="inlineStr"/>
      <c r="F212" s="20" t="inlineStr"/>
      <c r="G212" s="21" t="inlineStr"/>
      <c r="H212" s="20" t="inlineStr"/>
      <c r="I212" s="22" t="inlineStr">
        <is>
          <t>RENATO BARRETO DE SOUZA</t>
        </is>
      </c>
      <c r="J212" s="23" t="inlineStr">
        <is>
          <t>Presidente (RFB partner)</t>
        </is>
      </c>
      <c r="K212" s="22" t="inlineStr">
        <is>
          <t>(61) 3493-9002</t>
        </is>
      </c>
      <c r="L212" s="22" t="inlineStr">
        <is>
          <t>(61) 3493-1118</t>
        </is>
      </c>
      <c r="M212" s="22" t="inlineStr"/>
      <c r="N212" s="22" t="inlineStr"/>
      <c r="O212" s="22" t="inlineStr"/>
      <c r="P212" s="22" t="inlineStr">
        <is>
          <t>JEAN MICHEL MOURA DA CAMARA</t>
        </is>
      </c>
      <c r="Q212" s="22" t="inlineStr">
        <is>
          <t>Diretor (RFB partner)</t>
        </is>
      </c>
      <c r="R212" s="22" t="inlineStr"/>
      <c r="S212" s="22" t="inlineStr"/>
      <c r="T212" s="22" t="inlineStr">
        <is>
          <t>DM = registered partner (RFB QSA); no Apollo match</t>
        </is>
      </c>
      <c r="U212" s="24" t="n">
        <v>2343402.47</v>
      </c>
      <c r="V212" s="25" t="inlineStr">
        <is>
          <t>B</t>
        </is>
      </c>
      <c r="W212" s="26" t="n">
        <v>0.12</v>
      </c>
      <c r="X212" s="27" t="n">
        <v>2</v>
      </c>
      <c r="Y212" s="27" t="n">
        <v>13</v>
      </c>
      <c r="Z212" s="26">
        <f>IF(W212&lt;&gt;"",W212,IFERROR(VLOOKUP(V212,Assumptions!$A$8:$F$12,2,FALSE),0))*Assumptions!$B$5</f>
        <v/>
      </c>
      <c r="AA212" s="28">
        <f>IF(V212="A",MAX(1,IF(X212&lt;&gt;"",X212,IFERROR(VLOOKUP(V212,Assumptions!$A$8:$F$12,3,FALSE),3))+IF(Y212&lt;&gt;"",Y212,IFERROR(VLOOKUP(V212,Assumptions!$A$8:$F$12,4,FALSE),8))/2-MAX(0,IF(AS212="",0,YEAR(TODAY())-AS212)-IFERROR(VLOOKUP(V212,Assumptions!$A$8:$F$12,5,FALSE),1.5))),IFERROR(VLOOKUP(V212,Assumptions!$A$8:$F$12,5,FALSE),2.5)+IF(X212&lt;&gt;"",X212,IFERROR(VLOOKUP(V212,Assumptions!$A$8:$F$12,3,FALSE),3))+IF(Y212&lt;&gt;"",Y212,IFERROR(VLOOKUP(V212,Assumptions!$A$8:$F$12,4,FALSE),8))/2)</f>
        <v/>
      </c>
      <c r="AB212" s="24">
        <f>U212*Z212/(1+Assumptions!$B$3)^AA212</f>
        <v/>
      </c>
      <c r="AC212" s="27">
        <f>IF(U212=0,"",ROUND(AB212/U212*100,1))</f>
        <v/>
      </c>
      <c r="AD212" s="29">
        <f>AB212*Assumptions!$B$4</f>
        <v/>
      </c>
      <c r="AE212" s="27">
        <f>IF(U212=0,"",ROUND(AD212/U212*100,1))</f>
        <v/>
      </c>
      <c r="AF212" s="29">
        <f>AB212-AD212</f>
        <v/>
      </c>
      <c r="AG212" s="27">
        <f>IF(U212=0,"",ROUND((AB212-AD212)/U212*100,1))</f>
        <v/>
      </c>
      <c r="AH212" s="34" t="inlineStr">
        <is>
          <t>NO TOTALS — list prints none; check page</t>
        </is>
      </c>
      <c r="AI212" s="31" t="inlineStr">
        <is>
          <t>https://stenius.com.br/wp-content/uploads/2026/06/EDITAL-GRUPO-3E.pdf</t>
        </is>
      </c>
      <c r="AJ212" s="30" t="inlineStr">
        <is>
          <t>p10 r46</t>
        </is>
      </c>
      <c r="AK212" s="30" t="inlineStr">
        <is>
          <t>p10: R$ 2.343.402,47</t>
        </is>
      </c>
      <c r="AL212" s="30" t="inlineStr">
        <is>
          <t>Debtor list (art. 51)</t>
        </is>
      </c>
      <c r="AM212" s="30" t="inlineStr">
        <is>
          <t>2026-06-22</t>
        </is>
      </c>
      <c r="AN212" s="30" t="inlineStr">
        <is>
          <t>PLAN FILED (art. 53), not granted</t>
        </is>
      </c>
      <c r="AO212" s="32" t="inlineStr">
        <is>
          <t>5341375-33.2026.8.09.0049</t>
        </is>
      </c>
      <c r="AP212" s="32" t="inlineStr">
        <is>
          <t>TJGO</t>
        </is>
      </c>
      <c r="AQ212" s="32" t="inlineStr">
        <is>
          <t>Recuperação judicial</t>
        </is>
      </c>
      <c r="AR212" s="32" t="inlineStr">
        <is>
          <t>DataJud: no closure/falência movement</t>
        </is>
      </c>
      <c r="AS212" s="32" t="n">
        <v>2026</v>
      </c>
      <c r="AT212" s="32" t="inlineStr">
        <is>
          <t>plan filed (art. 53), not yet granted</t>
        </is>
      </c>
      <c r="AU212" s="32" t="inlineStr"/>
      <c r="AV212" s="32" t="inlineStr">
        <is>
          <t>printed on the list (read twice)</t>
        </is>
      </c>
      <c r="AW212" s="32" t="inlineStr">
        <is>
          <t>Plano de Recuperação Judicial Grupo 3E v2.0 (Métis), mov. 321, pp.24-25</t>
        </is>
      </c>
      <c r="AX212" s="32" t="inlineStr">
        <is>
          <t>BRASILIA</t>
        </is>
      </c>
      <c r="AY212" s="32" t="inlineStr">
        <is>
          <t>DF</t>
        </is>
      </c>
      <c r="AZ212" s="32" t="inlineStr">
        <is>
          <t>Administração de consórcios para aquisição de bens e direitos</t>
        </is>
      </c>
      <c r="BA212" s="32" t="inlineStr">
        <is>
          <t>não ME/EPP</t>
        </is>
      </c>
      <c r="BB212" s="33" t="n">
        <v>727543400</v>
      </c>
      <c r="BC212" s="32" t="inlineStr">
        <is>
          <t>LARGE CORP</t>
        </is>
      </c>
      <c r="BD212" s="32" t="inlineStr">
        <is>
          <t>06043050</t>
        </is>
      </c>
      <c r="BE212" s="32" t="n">
        <v>1</v>
      </c>
      <c r="BF212" s="32" t="inlineStr">
        <is>
          <t>list prints no totals</t>
        </is>
      </c>
    </row>
    <row r="213">
      <c r="A213" s="17" t="inlineStr">
        <is>
          <t>SCANIA BANCO S.A.</t>
        </is>
      </c>
      <c r="B213" s="18" t="n">
        <v>2297915.55</v>
      </c>
      <c r="C213" s="19" t="inlineStr">
        <is>
          <t>GRUPO 3E</t>
        </is>
      </c>
      <c r="D213" s="20" t="inlineStr">
        <is>
          <t>NEW</t>
        </is>
      </c>
      <c r="E213" s="21" t="inlineStr"/>
      <c r="F213" s="20" t="inlineStr"/>
      <c r="G213" s="21" t="inlineStr"/>
      <c r="H213" s="20" t="inlineStr"/>
      <c r="I213" s="22" t="inlineStr">
        <is>
          <t>Anilton Marchetti</t>
        </is>
      </c>
      <c r="J213" s="22" t="inlineStr">
        <is>
          <t>Gerente Regional Scania Banco</t>
        </is>
      </c>
      <c r="K213" s="22" t="inlineStr">
        <is>
          <t>(11) 3214-0820</t>
        </is>
      </c>
      <c r="L213" s="22" t="inlineStr"/>
      <c r="M213" s="22" t="inlineStr"/>
      <c r="N213" s="22" t="inlineStr">
        <is>
          <t>anilton.marchetti@scania.com</t>
        </is>
      </c>
      <c r="O213" s="22" t="inlineStr">
        <is>
          <t>verified</t>
        </is>
      </c>
      <c r="P213" s="22" t="inlineStr">
        <is>
          <t>Vanessa Calegari</t>
        </is>
      </c>
      <c r="Q213" s="22" t="inlineStr">
        <is>
          <t>Analista Financeiro Sênior/Scania Banco S/A</t>
        </is>
      </c>
      <c r="R213" s="22" t="inlineStr"/>
      <c r="S213" s="22" t="inlineStr">
        <is>
          <t>vanessa.calegari@scania.com</t>
        </is>
      </c>
      <c r="T213" s="22" t="inlineStr">
        <is>
          <t>DM: DM; VERIFY org: Scania Group (Scania Banco staff listed under group); no recovery desk visible; BACKUP: backup</t>
        </is>
      </c>
      <c r="U213" s="24" t="n">
        <v>2297915.55</v>
      </c>
      <c r="V213" s="25" t="inlineStr">
        <is>
          <t>B</t>
        </is>
      </c>
      <c r="W213" s="26" t="n">
        <v>0.12</v>
      </c>
      <c r="X213" s="27" t="n">
        <v>2</v>
      </c>
      <c r="Y213" s="27" t="n">
        <v>13</v>
      </c>
      <c r="Z213" s="26">
        <f>IF(W213&lt;&gt;"",W213,IFERROR(VLOOKUP(V213,Assumptions!$A$8:$F$12,2,FALSE),0))*Assumptions!$B$5</f>
        <v/>
      </c>
      <c r="AA213" s="28">
        <f>IF(V213="A",MAX(1,IF(X213&lt;&gt;"",X213,IFERROR(VLOOKUP(V213,Assumptions!$A$8:$F$12,3,FALSE),3))+IF(Y213&lt;&gt;"",Y213,IFERROR(VLOOKUP(V213,Assumptions!$A$8:$F$12,4,FALSE),8))/2-MAX(0,IF(AS213="",0,YEAR(TODAY())-AS213)-IFERROR(VLOOKUP(V213,Assumptions!$A$8:$F$12,5,FALSE),1.5))),IFERROR(VLOOKUP(V213,Assumptions!$A$8:$F$12,5,FALSE),2.5)+IF(X213&lt;&gt;"",X213,IFERROR(VLOOKUP(V213,Assumptions!$A$8:$F$12,3,FALSE),3))+IF(Y213&lt;&gt;"",Y213,IFERROR(VLOOKUP(V213,Assumptions!$A$8:$F$12,4,FALSE),8))/2)</f>
        <v/>
      </c>
      <c r="AB213" s="24">
        <f>U213*Z213/(1+Assumptions!$B$3)^AA213</f>
        <v/>
      </c>
      <c r="AC213" s="27">
        <f>IF(U213=0,"",ROUND(AB213/U213*100,1))</f>
        <v/>
      </c>
      <c r="AD213" s="29">
        <f>AB213*Assumptions!$B$4</f>
        <v/>
      </c>
      <c r="AE213" s="27">
        <f>IF(U213=0,"",ROUND(AD213/U213*100,1))</f>
        <v/>
      </c>
      <c r="AF213" s="29">
        <f>AB213-AD213</f>
        <v/>
      </c>
      <c r="AG213" s="27">
        <f>IF(U213=0,"",ROUND((AB213-AD213)/U213*100,1))</f>
        <v/>
      </c>
      <c r="AH213" s="34" t="inlineStr">
        <is>
          <t>NO TOTALS — list prints none; check page</t>
        </is>
      </c>
      <c r="AI213" s="31" t="inlineStr">
        <is>
          <t>https://stenius.com.br/wp-content/uploads/2026/06/EDITAL-GRUPO-3E.pdf</t>
        </is>
      </c>
      <c r="AJ213" s="30" t="inlineStr">
        <is>
          <t>p17 r55</t>
        </is>
      </c>
      <c r="AK213" s="30" t="inlineStr">
        <is>
          <t>p17: R$ 2.297.915,55</t>
        </is>
      </c>
      <c r="AL213" s="30" t="inlineStr">
        <is>
          <t>Debtor list (art. 51)</t>
        </is>
      </c>
      <c r="AM213" s="30" t="inlineStr">
        <is>
          <t>2026-06-22</t>
        </is>
      </c>
      <c r="AN213" s="30" t="inlineStr">
        <is>
          <t>PLAN FILED (art. 53), not granted</t>
        </is>
      </c>
      <c r="AO213" s="32" t="inlineStr">
        <is>
          <t>5341375-33.2026.8.09.0049</t>
        </is>
      </c>
      <c r="AP213" s="32" t="inlineStr">
        <is>
          <t>TJGO</t>
        </is>
      </c>
      <c r="AQ213" s="32" t="inlineStr">
        <is>
          <t>Recuperação judicial</t>
        </is>
      </c>
      <c r="AR213" s="32" t="inlineStr">
        <is>
          <t>DataJud: no closure/falência movement</t>
        </is>
      </c>
      <c r="AS213" s="32" t="n">
        <v>2026</v>
      </c>
      <c r="AT213" s="32" t="inlineStr">
        <is>
          <t>plan filed (art. 53), not yet granted</t>
        </is>
      </c>
      <c r="AU213" s="32" t="inlineStr"/>
      <c r="AV213" s="32" t="inlineStr">
        <is>
          <t>printed on the list (read twice)</t>
        </is>
      </c>
      <c r="AW213" s="32" t="inlineStr">
        <is>
          <t>Plano de Recuperação Judicial Grupo 3E v2.0 (Métis), mov. 321, pp.24-25</t>
        </is>
      </c>
      <c r="AX213" s="32" t="inlineStr">
        <is>
          <t>SAO BERNARDO DO CAMPO</t>
        </is>
      </c>
      <c r="AY213" s="32" t="inlineStr">
        <is>
          <t>SP</t>
        </is>
      </c>
      <c r="AZ213" s="32" t="inlineStr">
        <is>
          <t>Bancos múltiplos, sem carteira comercial</t>
        </is>
      </c>
      <c r="BA213" s="32" t="inlineStr">
        <is>
          <t>não ME/EPP</t>
        </is>
      </c>
      <c r="BB213" s="33" t="n">
        <v>710000000</v>
      </c>
      <c r="BC213" s="32" t="inlineStr">
        <is>
          <t>LARGE CORP</t>
        </is>
      </c>
      <c r="BD213" s="32" t="inlineStr">
        <is>
          <t>11417016</t>
        </is>
      </c>
      <c r="BE213" s="32" t="n">
        <v>1</v>
      </c>
      <c r="BF213" s="32" t="inlineStr">
        <is>
          <t>financial by name list prints no totals</t>
        </is>
      </c>
    </row>
    <row r="214">
      <c r="A214" s="17" t="inlineStr">
        <is>
          <t>BRADESCO LEASING S.A. - ARRENDAMENTO MERCANTIL</t>
        </is>
      </c>
      <c r="B214" s="18" t="n">
        <v>525845.5600000001</v>
      </c>
      <c r="C214" s="19" t="inlineStr">
        <is>
          <t>GRUPO EGESA (Egesa Engenharia S.A. + 9 group companies; see group members)</t>
        </is>
      </c>
      <c r="D214" s="20" t="inlineStr">
        <is>
          <t>NEW</t>
        </is>
      </c>
      <c r="E214" s="21" t="inlineStr"/>
      <c r="F214" s="20" t="inlineStr"/>
      <c r="G214" s="21" t="inlineStr"/>
      <c r="H214" s="20" t="inlineStr"/>
      <c r="I214" s="22" t="inlineStr">
        <is>
          <t>Marcela Martins</t>
        </is>
      </c>
      <c r="J214" s="22" t="inlineStr">
        <is>
          <t>Superintendente de Recuperação de Crédito - Canais e Operações</t>
        </is>
      </c>
      <c r="K214" s="22" t="inlineStr">
        <is>
          <t>(11) 3681-4011</t>
        </is>
      </c>
      <c r="L214" s="22" t="inlineStr">
        <is>
          <t>(11) 3684-2750</t>
        </is>
      </c>
      <c r="M214" s="22" t="inlineStr"/>
      <c r="N214" s="22" t="inlineStr"/>
      <c r="O214" s="22" t="inlineStr"/>
      <c r="P214" s="22" t="inlineStr">
        <is>
          <t>Luis S</t>
        </is>
      </c>
      <c r="Q214" s="22" t="inlineStr">
        <is>
          <t>DRC - Departamento de Recuperação de Crédito - Gerente de Reestruturação de Crédito</t>
        </is>
      </c>
      <c r="R214" s="22" t="inlineStr"/>
      <c r="S214" s="22" t="inlineStr">
        <is>
          <t>sl@bradesco.com.br</t>
        </is>
      </c>
      <c r="T214" s="22" t="inlineStr">
        <is>
          <t>DM: DM; no work email in Apollo for DM; BACKUP: backup</t>
        </is>
      </c>
      <c r="U214" s="24" t="n">
        <v>525845.5600000001</v>
      </c>
      <c r="V214" s="25" t="inlineStr">
        <is>
          <t>B</t>
        </is>
      </c>
      <c r="W214" s="26" t="inlineStr"/>
      <c r="X214" s="27" t="inlineStr"/>
      <c r="Y214" s="27" t="inlineStr"/>
      <c r="Z214" s="26">
        <f>IF(W214&lt;&gt;"",W214,IFERROR(VLOOKUP(V214,Assumptions!$A$8:$F$12,2,FALSE),0))*Assumptions!$B$5</f>
        <v/>
      </c>
      <c r="AA214" s="28">
        <f>IF(V214="A",MAX(1,IF(X214&lt;&gt;"",X214,IFERROR(VLOOKUP(V214,Assumptions!$A$8:$F$12,3,FALSE),3))+IF(Y214&lt;&gt;"",Y214,IFERROR(VLOOKUP(V214,Assumptions!$A$8:$F$12,4,FALSE),8))/2-MAX(0,IF(AS214="",0,YEAR(TODAY())-AS214)-IFERROR(VLOOKUP(V214,Assumptions!$A$8:$F$12,5,FALSE),1.5))),IFERROR(VLOOKUP(V214,Assumptions!$A$8:$F$12,5,FALSE),2.5)+IF(X214&lt;&gt;"",X214,IFERROR(VLOOKUP(V214,Assumptions!$A$8:$F$12,3,FALSE),3))+IF(Y214&lt;&gt;"",Y214,IFERROR(VLOOKUP(V214,Assumptions!$A$8:$F$12,4,FALSE),8))/2)</f>
        <v/>
      </c>
      <c r="AB214" s="24">
        <f>U214*Z214/(1+Assumptions!$B$3)^AA214</f>
        <v/>
      </c>
      <c r="AC214" s="27">
        <f>IF(U214=0,"",ROUND(AB214/U214*100,1))</f>
        <v/>
      </c>
      <c r="AD214" s="29">
        <f>AB214*Assumptions!$B$4</f>
        <v/>
      </c>
      <c r="AE214" s="27">
        <f>IF(U214=0,"",ROUND(AD214/U214*100,1))</f>
        <v/>
      </c>
      <c r="AF214" s="29">
        <f>AB214-AD214</f>
        <v/>
      </c>
      <c r="AG214" s="27">
        <f>IF(U214=0,"",ROUND((AB214-AD214)/U214*100,1))</f>
        <v/>
      </c>
      <c r="AH214" s="30" t="inlineStr">
        <is>
          <t>OK — totals reconciled</t>
        </is>
      </c>
      <c r="AI214" s="31" t="inlineStr">
        <is>
          <t>https://scalzilliaj.com.br/sgc/download.php?file=files/processo_documento/processo_documento09514021082025_1_.pdf&amp;nome=04 - Relação de credores das Recuperandas</t>
        </is>
      </c>
      <c r="AJ214" s="30" t="inlineStr">
        <is>
          <t>p63 r11</t>
        </is>
      </c>
      <c r="AK214" s="30" t="inlineStr">
        <is>
          <t>p63: R$ 525.845,56</t>
        </is>
      </c>
      <c r="AL214" s="30" t="inlineStr">
        <is>
          <t>Debtor list (art. 51)</t>
        </is>
      </c>
      <c r="AM214" s="30" t="inlineStr"/>
      <c r="AN214" s="30" t="inlineStr">
        <is>
          <t>NONE FOUND</t>
        </is>
      </c>
      <c r="AO214" s="32" t="inlineStr">
        <is>
          <t>5088952-81.2025.8.13.0024</t>
        </is>
      </c>
      <c r="AP214" s="32" t="inlineStr">
        <is>
          <t>TJMG</t>
        </is>
      </c>
      <c r="AQ214" s="32" t="inlineStr"/>
      <c r="AR214" s="32" t="inlineStr">
        <is>
          <t>DataJud: no closure/falência movement</t>
        </is>
      </c>
      <c r="AS214" s="32" t="n">
        <v>2025</v>
      </c>
      <c r="AT214" s="32" t="inlineStr">
        <is>
          <t>live case, no plan document yet; case no. from the portal record, not printed on the list</t>
        </is>
      </c>
      <c r="AU214" s="32" t="inlineStr"/>
      <c r="AV214" s="32" t="inlineStr">
        <is>
          <t>portal page title / URL — not printed on the list</t>
        </is>
      </c>
      <c r="AW214" s="32" t="inlineStr"/>
      <c r="AX214" s="32" t="inlineStr">
        <is>
          <t>OSASCO</t>
        </is>
      </c>
      <c r="AY214" s="32" t="inlineStr">
        <is>
          <t>SP</t>
        </is>
      </c>
      <c r="AZ214" s="32" t="inlineStr">
        <is>
          <t>Arrendamento mercantil</t>
        </is>
      </c>
      <c r="BA214" s="32" t="inlineStr">
        <is>
          <t>não ME/EPP</t>
        </is>
      </c>
      <c r="BB214" s="33" t="n">
        <v>2660000000</v>
      </c>
      <c r="BC214" s="32" t="inlineStr">
        <is>
          <t>LARGE CORP</t>
        </is>
      </c>
      <c r="BD214" s="32" t="inlineStr">
        <is>
          <t>47509120</t>
        </is>
      </c>
      <c r="BE214" s="32" t="n">
        <v>1</v>
      </c>
      <c r="BF214" s="32" t="inlineStr">
        <is>
          <t>financial by name case no. corrected by reader case no. from portal record</t>
        </is>
      </c>
    </row>
    <row r="215">
      <c r="A215" s="17" t="inlineStr">
        <is>
          <t>BANK OF CHINA (BRASIL) BANCO MULTIPLO S/A</t>
        </is>
      </c>
      <c r="B215" s="18" t="n">
        <v>3761575.26</v>
      </c>
      <c r="C215" s="19" t="inlineStr">
        <is>
          <t>Mannes</t>
        </is>
      </c>
      <c r="D215" s="20" t="inlineStr">
        <is>
          <t>NEW</t>
        </is>
      </c>
      <c r="E215" s="21" t="inlineStr"/>
      <c r="F215" s="20" t="inlineStr"/>
      <c r="G215" s="21" t="inlineStr"/>
      <c r="H215" s="20" t="inlineStr"/>
      <c r="I215" s="22" t="inlineStr">
        <is>
          <t>Claudio Rotolo</t>
        </is>
      </c>
      <c r="J215" s="22" t="inlineStr">
        <is>
          <t>Executive Director</t>
        </is>
      </c>
      <c r="K215" s="22" t="inlineStr">
        <is>
          <t>(11) 2173-9000</t>
        </is>
      </c>
      <c r="L215" s="22" t="inlineStr"/>
      <c r="M215" s="22" t="inlineStr"/>
      <c r="N215" s="22" t="inlineStr">
        <is>
          <t>claudio.rotolo@bocbrasil.com.br</t>
        </is>
      </c>
      <c r="O215" s="22" t="inlineStr">
        <is>
          <t>verified</t>
        </is>
      </c>
      <c r="P215" s="22" t="inlineStr">
        <is>
          <t>Renan Medeiros</t>
        </is>
      </c>
      <c r="Q215" s="22" t="inlineStr">
        <is>
          <t>Credit Analyst</t>
        </is>
      </c>
      <c r="R215" s="22" t="inlineStr"/>
      <c r="S215" s="22" t="inlineStr">
        <is>
          <t>medeiros.renan@groupebpce.com</t>
        </is>
      </c>
      <c r="T215" s="22" t="inlineStr">
        <is>
          <t>DM: DM verified email; VERIFY org: Bank of China (Brasil) Banco Múltiplo S/A - no recovery desk in Apollo; BACKUP: backup extrapolated email (groupebpce.com domain - VERIFY); backup email is pattern-guessed</t>
        </is>
      </c>
      <c r="U215" s="24" t="n">
        <v>3761575.26</v>
      </c>
      <c r="V215" s="40" t="inlineStr">
        <is>
          <t>D</t>
        </is>
      </c>
      <c r="W215" s="26" t="inlineStr"/>
      <c r="X215" s="27" t="inlineStr"/>
      <c r="Y215" s="27" t="inlineStr"/>
      <c r="Z215" s="26">
        <f>IF(W215&lt;&gt;"",W215,IFERROR(VLOOKUP(V215,Assumptions!$A$8:$F$12,2,FALSE),0))*Assumptions!$B$5</f>
        <v/>
      </c>
      <c r="AA215" s="28">
        <f>IF(V215="A",MAX(1,IF(X215&lt;&gt;"",X215,IFERROR(VLOOKUP(V215,Assumptions!$A$8:$F$12,3,FALSE),3))+IF(Y215&lt;&gt;"",Y215,IFERROR(VLOOKUP(V215,Assumptions!$A$8:$F$12,4,FALSE),8))/2-MAX(0,IF(AS215="",0,YEAR(TODAY())-AS215)-IFERROR(VLOOKUP(V215,Assumptions!$A$8:$F$12,5,FALSE),1.5))),IFERROR(VLOOKUP(V215,Assumptions!$A$8:$F$12,5,FALSE),2.5)+IF(X215&lt;&gt;"",X215,IFERROR(VLOOKUP(V215,Assumptions!$A$8:$F$12,3,FALSE),3))+IF(Y215&lt;&gt;"",Y215,IFERROR(VLOOKUP(V215,Assumptions!$A$8:$F$12,4,FALSE),8))/2)</f>
        <v/>
      </c>
      <c r="AB215" s="24">
        <f>U215*Z215/(1+Assumptions!$B$3)^AA215</f>
        <v/>
      </c>
      <c r="AC215" s="27">
        <f>IF(U215=0,"",ROUND(AB215/U215*100,1))</f>
        <v/>
      </c>
      <c r="AD215" s="29">
        <f>AB215*Assumptions!$B$4</f>
        <v/>
      </c>
      <c r="AE215" s="27">
        <f>IF(U215=0,"",ROUND(AD215/U215*100,1))</f>
        <v/>
      </c>
      <c r="AF215" s="29">
        <f>AB215-AD215</f>
        <v/>
      </c>
      <c r="AG215" s="27">
        <f>IF(U215=0,"",ROUND((AB215-AD215)/U215*100,1))</f>
        <v/>
      </c>
      <c r="AH215" s="36" t="inlineStr">
        <is>
          <t>CHECK — source is not a statutory creditor list</t>
        </is>
      </c>
      <c r="AI215" s="31" t="inlineStr">
        <is>
          <t>https://administradorajudicialgs.com.br/wp-content/uploads/2024/12/relacao-de-credores-da-falida.pdf</t>
        </is>
      </c>
      <c r="AJ215" s="30" t="inlineStr">
        <is>
          <t>p13 r7</t>
        </is>
      </c>
      <c r="AK215" s="30" t="inlineStr">
        <is>
          <t>p13: R$ 3.761.575,26</t>
        </is>
      </c>
      <c r="AL215" s="30" t="inlineStr">
        <is>
          <t>Other filing — NOT an art. 7/51 list</t>
        </is>
      </c>
      <c r="AM215" s="30" t="inlineStr">
        <is>
          <t>2025-03-25</t>
        </is>
      </c>
      <c r="AN215" s="30" t="inlineStr">
        <is>
          <t>NONE FOUND</t>
        </is>
      </c>
      <c r="AO215" s="32" t="inlineStr">
        <is>
          <t>0005010-50.2013.8.24.0026</t>
        </is>
      </c>
      <c r="AP215" s="32" t="inlineStr">
        <is>
          <t>TJSC</t>
        </is>
      </c>
      <c r="AQ215" s="32" t="inlineStr">
        <is>
          <t>Falência</t>
        </is>
      </c>
      <c r="AR215" s="32" t="inlineStr">
        <is>
          <t>not in DataJud</t>
        </is>
      </c>
      <c r="AS215" s="32" t="n">
        <v>2013</v>
      </c>
      <c r="AT215" s="32" t="inlineStr">
        <is>
          <t>falência proceeding (list/name says falida)</t>
        </is>
      </c>
      <c r="AU215" s="32" t="inlineStr"/>
      <c r="AV215" s="32" t="inlineStr">
        <is>
          <t>printed on the list (read twice)</t>
        </is>
      </c>
      <c r="AW215" s="32" t="inlineStr"/>
      <c r="AX215" s="32" t="inlineStr">
        <is>
          <t>SAO PAULO</t>
        </is>
      </c>
      <c r="AY215" s="32" t="inlineStr">
        <is>
          <t>SP</t>
        </is>
      </c>
      <c r="AZ215" s="32" t="inlineStr">
        <is>
          <t>Bancos múltiplos, com carteira comercial</t>
        </is>
      </c>
      <c r="BA215" s="32" t="inlineStr">
        <is>
          <t>não ME/EPP</t>
        </is>
      </c>
      <c r="BB215" s="33" t="n">
        <v>3497234200</v>
      </c>
      <c r="BC215" s="32" t="inlineStr">
        <is>
          <t>LARGE CORP</t>
        </is>
      </c>
      <c r="BD215" s="32" t="inlineStr">
        <is>
          <t>07450604</t>
        </is>
      </c>
      <c r="BE215" s="32" t="n">
        <v>1</v>
      </c>
      <c r="BF215" s="32" t="inlineStr">
        <is>
          <t>financial by name list prints no totals case no. corrected by reader</t>
        </is>
      </c>
    </row>
    <row r="216">
      <c r="A216" s="17" t="inlineStr">
        <is>
          <t>ITAU UNIBANCO S.A.</t>
        </is>
      </c>
      <c r="B216" s="18" t="n">
        <v>523997.83</v>
      </c>
      <c r="C216" s="19" t="inlineStr">
        <is>
          <t>JA SANTOS IMPORTACAO E EXPORTACAO DE FERRAMENTAS LTDA</t>
        </is>
      </c>
      <c r="D216" s="20" t="inlineStr">
        <is>
          <t>NEW</t>
        </is>
      </c>
      <c r="E216" s="21" t="inlineStr"/>
      <c r="F216" s="20" t="inlineStr"/>
      <c r="G216" s="21" t="inlineStr"/>
      <c r="H216" s="20" t="inlineStr"/>
      <c r="I216" s="22" t="inlineStr">
        <is>
          <t>Murilo Gigliucci</t>
        </is>
      </c>
      <c r="J216" s="22" t="inlineStr">
        <is>
          <t>Superintendente de Reestruturação de Crédito</t>
        </is>
      </c>
      <c r="K216" s="22" t="inlineStr">
        <is>
          <t>(11) 3003-4828</t>
        </is>
      </c>
      <c r="L216" s="22" t="inlineStr"/>
      <c r="M216" s="22" t="inlineStr"/>
      <c r="N216" s="22" t="inlineStr">
        <is>
          <t>murilo.gigliucci@itau-unibanco.com.br</t>
        </is>
      </c>
      <c r="O216" s="22" t="inlineStr">
        <is>
          <t>verified</t>
        </is>
      </c>
      <c r="P216" s="22" t="inlineStr">
        <is>
          <t>Pedro Ornellas</t>
        </is>
      </c>
      <c r="Q216" s="22" t="inlineStr">
        <is>
          <t>Superintendente de Recuperação de Crédito</t>
        </is>
      </c>
      <c r="R216" s="22" t="inlineStr"/>
      <c r="S216" s="22" t="inlineStr">
        <is>
          <t>pedro.ornellas-geronimo@itau-unibanco.com.br</t>
        </is>
      </c>
      <c r="T216" s="22" t="inlineStr">
        <is>
          <t>DM: DM verified email; BACKUP: backup verified email</t>
        </is>
      </c>
      <c r="U216" s="24" t="n">
        <v>523997.83</v>
      </c>
      <c r="V216" s="25" t="inlineStr">
        <is>
          <t>B</t>
        </is>
      </c>
      <c r="W216" s="26" t="inlineStr"/>
      <c r="X216" s="27" t="inlineStr"/>
      <c r="Y216" s="27" t="inlineStr"/>
      <c r="Z216" s="26">
        <f>IF(W216&lt;&gt;"",W216,IFERROR(VLOOKUP(V216,Assumptions!$A$8:$F$12,2,FALSE),0))*Assumptions!$B$5</f>
        <v/>
      </c>
      <c r="AA216" s="28">
        <f>IF(V216="A",MAX(1,IF(X216&lt;&gt;"",X216,IFERROR(VLOOKUP(V216,Assumptions!$A$8:$F$12,3,FALSE),3))+IF(Y216&lt;&gt;"",Y216,IFERROR(VLOOKUP(V216,Assumptions!$A$8:$F$12,4,FALSE),8))/2-MAX(0,IF(AS216="",0,YEAR(TODAY())-AS216)-IFERROR(VLOOKUP(V216,Assumptions!$A$8:$F$12,5,FALSE),1.5))),IFERROR(VLOOKUP(V216,Assumptions!$A$8:$F$12,5,FALSE),2.5)+IF(X216&lt;&gt;"",X216,IFERROR(VLOOKUP(V216,Assumptions!$A$8:$F$12,3,FALSE),3))+IF(Y216&lt;&gt;"",Y216,IFERROR(VLOOKUP(V216,Assumptions!$A$8:$F$12,4,FALSE),8))/2)</f>
        <v/>
      </c>
      <c r="AB216" s="24">
        <f>U216*Z216/(1+Assumptions!$B$3)^AA216</f>
        <v/>
      </c>
      <c r="AC216" s="27">
        <f>IF(U216=0,"",ROUND(AB216/U216*100,1))</f>
        <v/>
      </c>
      <c r="AD216" s="29">
        <f>AB216*Assumptions!$B$4</f>
        <v/>
      </c>
      <c r="AE216" s="27">
        <f>IF(U216=0,"",ROUND(AD216/U216*100,1))</f>
        <v/>
      </c>
      <c r="AF216" s="29">
        <f>AB216-AD216</f>
        <v/>
      </c>
      <c r="AG216" s="27">
        <f>IF(U216=0,"",ROUND((AB216-AD216)/U216*100,1))</f>
        <v/>
      </c>
      <c r="AH216" s="30" t="inlineStr">
        <is>
          <t>OK — totals reconciled</t>
        </is>
      </c>
      <c r="AI216" s="31" t="inlineStr">
        <is>
          <t>https://vivanteaj.com.br/wp-content/uploads/2024/11/1a-lista-de-credores-JA-Santos.pdf</t>
        </is>
      </c>
      <c r="AJ216" s="30" t="inlineStr">
        <is>
          <t>p1 r7; p1 r8; p1 r9</t>
        </is>
      </c>
      <c r="AK216" s="30" t="inlineStr">
        <is>
          <t>p1: R$ 218.521,80; p1: R$ 14.934,30; p1: R$ 290.541,73</t>
        </is>
      </c>
      <c r="AL216" s="30" t="inlineStr">
        <is>
          <t>Unclassified list</t>
        </is>
      </c>
      <c r="AM216" s="30" t="inlineStr">
        <is>
          <t>2022-11-02</t>
        </is>
      </c>
      <c r="AN216" s="30" t="inlineStr">
        <is>
          <t>PLAN FILED (art. 53), not granted</t>
        </is>
      </c>
      <c r="AO216" s="32" t="inlineStr">
        <is>
          <t>1018313-46.2024.8.26.0100</t>
        </is>
      </c>
      <c r="AP216" s="32" t="inlineStr">
        <is>
          <t>TJSP</t>
        </is>
      </c>
      <c r="AQ216" s="32" t="inlineStr">
        <is>
          <t>Recuperação judicial</t>
        </is>
      </c>
      <c r="AR216" s="32" t="inlineStr">
        <is>
          <t>DataJud: no closure/falência movement</t>
        </is>
      </c>
      <c r="AS216" s="32" t="n">
        <v>2024</v>
      </c>
      <c r="AT216" s="32" t="inlineStr">
        <is>
          <t>plan filed (art. 53), not yet granted; case no. from the portal record, not printed on the list</t>
        </is>
      </c>
      <c r="AU216" s="32" t="inlineStr">
        <is>
          <t>15.408.785/0001-03</t>
        </is>
      </c>
      <c r="AV216" s="32" t="inlineStr">
        <is>
          <t>printed on the list (read twice)</t>
        </is>
      </c>
      <c r="AW216" s="32" t="inlineStr"/>
      <c r="AX216" s="32" t="inlineStr">
        <is>
          <t>SAO PAULO</t>
        </is>
      </c>
      <c r="AY216" s="32" t="inlineStr">
        <is>
          <t>SP</t>
        </is>
      </c>
      <c r="AZ216" s="32" t="inlineStr">
        <is>
          <t>Bancos comerciais</t>
        </is>
      </c>
      <c r="BA216" s="32" t="inlineStr">
        <is>
          <t>não ME/EPP</t>
        </is>
      </c>
      <c r="BB216" s="33" t="n">
        <v>76200000000</v>
      </c>
      <c r="BC216" s="32" t="inlineStr">
        <is>
          <t>LARGE CORP</t>
        </is>
      </c>
      <c r="BD216" s="32" t="inlineStr">
        <is>
          <t>60701190</t>
        </is>
      </c>
      <c r="BE216" s="32" t="n">
        <v>3</v>
      </c>
      <c r="BF216" s="32" t="inlineStr"/>
    </row>
    <row r="217">
      <c r="A217" s="17" t="inlineStr">
        <is>
          <t>BANCO VOLKSWAGEN S.A.</t>
        </is>
      </c>
      <c r="B217" s="18" t="n">
        <v>2266536.35</v>
      </c>
      <c r="C217" s="19" t="inlineStr">
        <is>
          <t>GRUPO 3E</t>
        </is>
      </c>
      <c r="D217" s="20" t="inlineStr">
        <is>
          <t>NEW</t>
        </is>
      </c>
      <c r="E217" s="21" t="inlineStr"/>
      <c r="F217" s="20" t="inlineStr"/>
      <c r="G217" s="21" t="inlineStr"/>
      <c r="H217" s="20" t="inlineStr"/>
      <c r="I217" s="22" t="inlineStr">
        <is>
          <t>Andreia Mancine</t>
        </is>
      </c>
      <c r="J217" s="22" t="inlineStr">
        <is>
          <t>Senior Credit Analyst</t>
        </is>
      </c>
      <c r="K217" s="22" t="inlineStr"/>
      <c r="L217" s="22" t="inlineStr"/>
      <c r="M217" s="22" t="inlineStr"/>
      <c r="N217" s="22" t="inlineStr"/>
      <c r="O217" s="22" t="inlineStr"/>
      <c r="P217" s="22" t="inlineStr">
        <is>
          <t>Carlos Correa</t>
        </is>
      </c>
      <c r="Q217" s="22" t="inlineStr">
        <is>
          <t>Negociador de Crédito Banco Volkswagen</t>
        </is>
      </c>
      <c r="R217" s="22" t="inlineStr"/>
      <c r="S217" s="22" t="inlineStr">
        <is>
          <t>correa.carlos@hcosta.com.br</t>
        </is>
      </c>
      <c r="T217" s="22" t="inlineStr">
        <is>
          <t>DM: DM; no work email in Apollo for DM; BACKUP: backup VERIFY org: HCosta (outsourced collections); backup email is pattern-guessed</t>
        </is>
      </c>
      <c r="U217" s="24" t="n">
        <v>2266536.35</v>
      </c>
      <c r="V217" s="25" t="inlineStr">
        <is>
          <t>B</t>
        </is>
      </c>
      <c r="W217" s="26" t="n">
        <v>0.12</v>
      </c>
      <c r="X217" s="27" t="n">
        <v>2</v>
      </c>
      <c r="Y217" s="27" t="n">
        <v>13</v>
      </c>
      <c r="Z217" s="26">
        <f>IF(W217&lt;&gt;"",W217,IFERROR(VLOOKUP(V217,Assumptions!$A$8:$F$12,2,FALSE),0))*Assumptions!$B$5</f>
        <v/>
      </c>
      <c r="AA217" s="28">
        <f>IF(V217="A",MAX(1,IF(X217&lt;&gt;"",X217,IFERROR(VLOOKUP(V217,Assumptions!$A$8:$F$12,3,FALSE),3))+IF(Y217&lt;&gt;"",Y217,IFERROR(VLOOKUP(V217,Assumptions!$A$8:$F$12,4,FALSE),8))/2-MAX(0,IF(AS217="",0,YEAR(TODAY())-AS217)-IFERROR(VLOOKUP(V217,Assumptions!$A$8:$F$12,5,FALSE),1.5))),IFERROR(VLOOKUP(V217,Assumptions!$A$8:$F$12,5,FALSE),2.5)+IF(X217&lt;&gt;"",X217,IFERROR(VLOOKUP(V217,Assumptions!$A$8:$F$12,3,FALSE),3))+IF(Y217&lt;&gt;"",Y217,IFERROR(VLOOKUP(V217,Assumptions!$A$8:$F$12,4,FALSE),8))/2)</f>
        <v/>
      </c>
      <c r="AB217" s="24">
        <f>U217*Z217/(1+Assumptions!$B$3)^AA217</f>
        <v/>
      </c>
      <c r="AC217" s="27">
        <f>IF(U217=0,"",ROUND(AB217/U217*100,1))</f>
        <v/>
      </c>
      <c r="AD217" s="29">
        <f>AB217*Assumptions!$B$4</f>
        <v/>
      </c>
      <c r="AE217" s="27">
        <f>IF(U217=0,"",ROUND(AD217/U217*100,1))</f>
        <v/>
      </c>
      <c r="AF217" s="29">
        <f>AB217-AD217</f>
        <v/>
      </c>
      <c r="AG217" s="27">
        <f>IF(U217=0,"",ROUND((AB217-AD217)/U217*100,1))</f>
        <v/>
      </c>
      <c r="AH217" s="34" t="inlineStr">
        <is>
          <t>NO TOTALS — list prints none; check page</t>
        </is>
      </c>
      <c r="AI217" s="31" t="inlineStr">
        <is>
          <t>https://stenius.com.br/wp-content/uploads/2026/06/EDITAL-GRUPO-3E.pdf</t>
        </is>
      </c>
      <c r="AJ217" s="30" t="inlineStr">
        <is>
          <t>p10 r40</t>
        </is>
      </c>
      <c r="AK217" s="30" t="inlineStr">
        <is>
          <t>p10: R$ 2.266.536,35</t>
        </is>
      </c>
      <c r="AL217" s="30" t="inlineStr">
        <is>
          <t>Debtor list (art. 51)</t>
        </is>
      </c>
      <c r="AM217" s="30" t="inlineStr">
        <is>
          <t>2026-06-22</t>
        </is>
      </c>
      <c r="AN217" s="30" t="inlineStr">
        <is>
          <t>PLAN FILED (art. 53), not granted</t>
        </is>
      </c>
      <c r="AO217" s="32" t="inlineStr">
        <is>
          <t>5341375-33.2026.8.09.0049</t>
        </is>
      </c>
      <c r="AP217" s="32" t="inlineStr">
        <is>
          <t>TJGO</t>
        </is>
      </c>
      <c r="AQ217" s="32" t="inlineStr">
        <is>
          <t>Recuperação judicial</t>
        </is>
      </c>
      <c r="AR217" s="32" t="inlineStr">
        <is>
          <t>DataJud: no closure/falência movement</t>
        </is>
      </c>
      <c r="AS217" s="32" t="n">
        <v>2026</v>
      </c>
      <c r="AT217" s="32" t="inlineStr">
        <is>
          <t>plan filed (art. 53), not yet granted</t>
        </is>
      </c>
      <c r="AU217" s="32" t="inlineStr"/>
      <c r="AV217" s="32" t="inlineStr">
        <is>
          <t>printed on the list (read twice)</t>
        </is>
      </c>
      <c r="AW217" s="32" t="inlineStr">
        <is>
          <t>Plano de Recuperação Judicial Grupo 3E v2.0 (Métis), mov. 321, pp.24-25</t>
        </is>
      </c>
      <c r="AX217" s="32" t="inlineStr">
        <is>
          <t>SAO PAULO</t>
        </is>
      </c>
      <c r="AY217" s="32" t="inlineStr">
        <is>
          <t>SP</t>
        </is>
      </c>
      <c r="AZ217" s="32" t="inlineStr">
        <is>
          <t>Bancos múltiplos, sem carteira comercial</t>
        </is>
      </c>
      <c r="BA217" s="32" t="inlineStr">
        <is>
          <t>não ME/EPP</t>
        </is>
      </c>
      <c r="BB217" s="33" t="n">
        <v>3948970500</v>
      </c>
      <c r="BC217" s="32" t="inlineStr">
        <is>
          <t>LARGE CORP</t>
        </is>
      </c>
      <c r="BD217" s="32" t="inlineStr">
        <is>
          <t>59109165</t>
        </is>
      </c>
      <c r="BE217" s="32" t="n">
        <v>1</v>
      </c>
      <c r="BF217" s="32" t="inlineStr">
        <is>
          <t>financial by name list prints no totals</t>
        </is>
      </c>
    </row>
    <row r="218">
      <c r="A218" s="17" t="inlineStr">
        <is>
          <t>BANCO SOFISA S.A.</t>
        </is>
      </c>
      <c r="B218" s="18" t="n">
        <v>2007489.79</v>
      </c>
      <c r="C218" s="19" t="inlineStr">
        <is>
          <t>CREDIMÓVEIS NOVOLAR LTDA.</t>
        </is>
      </c>
      <c r="D218" s="20" t="inlineStr">
        <is>
          <t>NEW</t>
        </is>
      </c>
      <c r="E218" s="21" t="inlineStr"/>
      <c r="F218" s="20" t="inlineStr"/>
      <c r="G218" s="21" t="inlineStr"/>
      <c r="H218" s="20" t="inlineStr"/>
      <c r="I218" s="22" t="inlineStr">
        <is>
          <t>Tiago Hendo</t>
        </is>
      </c>
      <c r="J218" s="22" t="inlineStr">
        <is>
          <t>Gerente de Reestruturação de Crédito</t>
        </is>
      </c>
      <c r="K218" s="22" t="inlineStr">
        <is>
          <t>(11) 3176-5500</t>
        </is>
      </c>
      <c r="L218" s="22" t="inlineStr"/>
      <c r="M218" s="22" t="inlineStr"/>
      <c r="N218" s="22" t="inlineStr"/>
      <c r="O218" s="22" t="inlineStr"/>
      <c r="P218" s="22" t="inlineStr">
        <is>
          <t>Rafael Nurnberg</t>
        </is>
      </c>
      <c r="Q218" s="22" t="inlineStr">
        <is>
          <t>Superintendente Executivo de Crédito e Cobrança Varejo (PF e PJ)</t>
        </is>
      </c>
      <c r="R218" s="22" t="inlineStr"/>
      <c r="S218" s="22" t="inlineStr">
        <is>
          <t>rnurnberg@sofisa.com.br</t>
        </is>
      </c>
      <c r="T218" s="22" t="inlineStr">
        <is>
          <t>DM: DM email unavailable; no work email in Apollo for DM; BACKUP: backup verified email</t>
        </is>
      </c>
      <c r="U218" s="24" t="n">
        <v>2007489.79</v>
      </c>
      <c r="V218" s="39" t="inlineStr">
        <is>
          <t>C</t>
        </is>
      </c>
      <c r="W218" s="26" t="inlineStr"/>
      <c r="X218" s="27" t="inlineStr"/>
      <c r="Y218" s="27" t="inlineStr"/>
      <c r="Z218" s="26">
        <f>IF(W218&lt;&gt;"",W218,IFERROR(VLOOKUP(V218,Assumptions!$A$8:$F$12,2,FALSE),0))*Assumptions!$B$5</f>
        <v/>
      </c>
      <c r="AA218" s="28">
        <f>IF(V218="A",MAX(1,IF(X218&lt;&gt;"",X218,IFERROR(VLOOKUP(V218,Assumptions!$A$8:$F$12,3,FALSE),3))+IF(Y218&lt;&gt;"",Y218,IFERROR(VLOOKUP(V218,Assumptions!$A$8:$F$12,4,FALSE),8))/2-MAX(0,IF(AS218="",0,YEAR(TODAY())-AS218)-IFERROR(VLOOKUP(V218,Assumptions!$A$8:$F$12,5,FALSE),1.5))),IFERROR(VLOOKUP(V218,Assumptions!$A$8:$F$12,5,FALSE),2.5)+IF(X218&lt;&gt;"",X218,IFERROR(VLOOKUP(V218,Assumptions!$A$8:$F$12,3,FALSE),3))+IF(Y218&lt;&gt;"",Y218,IFERROR(VLOOKUP(V218,Assumptions!$A$8:$F$12,4,FALSE),8))/2)</f>
        <v/>
      </c>
      <c r="AB218" s="24">
        <f>U218*Z218/(1+Assumptions!$B$3)^AA218</f>
        <v/>
      </c>
      <c r="AC218" s="27">
        <f>IF(U218=0,"",ROUND(AB218/U218*100,1))</f>
        <v/>
      </c>
      <c r="AD218" s="29">
        <f>AB218*Assumptions!$B$4</f>
        <v/>
      </c>
      <c r="AE218" s="27">
        <f>IF(U218=0,"",ROUND(AD218/U218*100,1))</f>
        <v/>
      </c>
      <c r="AF218" s="29">
        <f>AB218-AD218</f>
        <v/>
      </c>
      <c r="AG218" s="27">
        <f>IF(U218=0,"",ROUND((AB218-AD218)/U218*100,1))</f>
        <v/>
      </c>
      <c r="AH218" s="30" t="inlineStr">
        <is>
          <t>OK — totals reconciled</t>
        </is>
      </c>
      <c r="AI218" s="31" t="inlineStr">
        <is>
          <t>https://recuperacaojudicial.squarespace.com/s/RJ-Credimoveis-QGC-01082025.pdf</t>
        </is>
      </c>
      <c r="AJ218" s="30" t="inlineStr">
        <is>
          <t>p15 r16</t>
        </is>
      </c>
      <c r="AK218" s="30" t="inlineStr">
        <is>
          <t>p15: R$ 2.007.489,79</t>
        </is>
      </c>
      <c r="AL218" s="30" t="inlineStr">
        <is>
          <t>QGC (art. 18)</t>
        </is>
      </c>
      <c r="AM218" s="30" t="inlineStr">
        <is>
          <t>2026-01-28</t>
        </is>
      </c>
      <c r="AN218" s="30" t="inlineStr">
        <is>
          <t>NONE FOUND</t>
        </is>
      </c>
      <c r="AO218" s="32" t="inlineStr">
        <is>
          <t>0007565-40.2020.8.17.2370</t>
        </is>
      </c>
      <c r="AP218" s="32" t="inlineStr">
        <is>
          <t>TJPE</t>
        </is>
      </c>
      <c r="AQ218" s="32" t="inlineStr">
        <is>
          <t>Recuperação judicial</t>
        </is>
      </c>
      <c r="AR218" s="32" t="inlineStr">
        <is>
          <t>DataJud: no closure/falência movement</t>
        </is>
      </c>
      <c r="AS218" s="32" t="n">
        <v>2020</v>
      </c>
      <c r="AT218" s="32" t="inlineStr">
        <is>
          <t>6y since filing; plan not in our documents</t>
        </is>
      </c>
      <c r="AU218" s="32" t="inlineStr">
        <is>
          <t>09.930.165/0001-37</t>
        </is>
      </c>
      <c r="AV218" s="32" t="inlineStr">
        <is>
          <t>printed on the list (read twice)</t>
        </is>
      </c>
      <c r="AW218" s="32" t="inlineStr"/>
      <c r="AX218" s="32" t="inlineStr">
        <is>
          <t>SAO PAULO</t>
        </is>
      </c>
      <c r="AY218" s="32" t="inlineStr">
        <is>
          <t>SP</t>
        </is>
      </c>
      <c r="AZ218" s="32" t="inlineStr">
        <is>
          <t>Bancos múltiplos, com carteira comercial</t>
        </is>
      </c>
      <c r="BA218" s="32" t="inlineStr">
        <is>
          <t>não ME/EPP</t>
        </is>
      </c>
      <c r="BB218" s="33" t="n">
        <v>1021700100</v>
      </c>
      <c r="BC218" s="32" t="inlineStr">
        <is>
          <t>LARGE CORP</t>
        </is>
      </c>
      <c r="BD218" s="32" t="inlineStr">
        <is>
          <t>60889128</t>
        </is>
      </c>
      <c r="BE218" s="32" t="n">
        <v>1</v>
      </c>
      <c r="BF218" s="32" t="inlineStr"/>
    </row>
    <row r="219">
      <c r="A219" s="17" t="inlineStr">
        <is>
          <t>EVOQUE SECURITIZADORA S.A. (</t>
        </is>
      </c>
      <c r="B219" s="18" t="n">
        <v>2006117.28</v>
      </c>
      <c r="C219" s="19" t="inlineStr">
        <is>
          <t>VECTOR INDÚSTRIA DE PRODUTOS METALÚRGICOS LTDA.</t>
        </is>
      </c>
      <c r="D219" s="20" t="inlineStr">
        <is>
          <t>NEW</t>
        </is>
      </c>
      <c r="E219" s="21" t="inlineStr"/>
      <c r="F219" s="20" t="inlineStr"/>
      <c r="G219" s="21" t="inlineStr"/>
      <c r="H219" s="20" t="inlineStr"/>
      <c r="I219" s="22" t="inlineStr">
        <is>
          <t>Leonardo Fritzen</t>
        </is>
      </c>
      <c r="J219" s="22" t="inlineStr">
        <is>
          <t>Director</t>
        </is>
      </c>
      <c r="K219" s="22" t="inlineStr"/>
      <c r="L219" s="22" t="inlineStr"/>
      <c r="M219" s="22" t="inlineStr"/>
      <c r="N219" s="22" t="inlineStr">
        <is>
          <t>leonardo@evoque.com.br</t>
        </is>
      </c>
      <c r="O219" s="22" t="inlineStr">
        <is>
          <t>verified</t>
        </is>
      </c>
      <c r="P219" s="22" t="inlineStr">
        <is>
          <t>Ricardo Lazzari</t>
        </is>
      </c>
      <c r="Q219" s="22" t="inlineStr">
        <is>
          <t>CEO</t>
        </is>
      </c>
      <c r="R219" s="22" t="inlineStr"/>
      <c r="S219" s="22" t="inlineStr">
        <is>
          <t>ricardo@evoque.com.br</t>
        </is>
      </c>
      <c r="T219" s="22" t="inlineStr">
        <is>
          <t>DM: DM verified email; BACKUP: backup verified email</t>
        </is>
      </c>
      <c r="U219" s="24" t="n">
        <v>2006117.28</v>
      </c>
      <c r="V219" s="39" t="inlineStr">
        <is>
          <t>C</t>
        </is>
      </c>
      <c r="W219" s="26" t="inlineStr"/>
      <c r="X219" s="27" t="inlineStr"/>
      <c r="Y219" s="27" t="inlineStr"/>
      <c r="Z219" s="26">
        <f>IF(W219&lt;&gt;"",W219,IFERROR(VLOOKUP(V219,Assumptions!$A$8:$F$12,2,FALSE),0))*Assumptions!$B$5</f>
        <v/>
      </c>
      <c r="AA219" s="28">
        <f>IF(V219="A",MAX(1,IF(X219&lt;&gt;"",X219,IFERROR(VLOOKUP(V219,Assumptions!$A$8:$F$12,3,FALSE),3))+IF(Y219&lt;&gt;"",Y219,IFERROR(VLOOKUP(V219,Assumptions!$A$8:$F$12,4,FALSE),8))/2-MAX(0,IF(AS219="",0,YEAR(TODAY())-AS219)-IFERROR(VLOOKUP(V219,Assumptions!$A$8:$F$12,5,FALSE),1.5))),IFERROR(VLOOKUP(V219,Assumptions!$A$8:$F$12,5,FALSE),2.5)+IF(X219&lt;&gt;"",X219,IFERROR(VLOOKUP(V219,Assumptions!$A$8:$F$12,3,FALSE),3))+IF(Y219&lt;&gt;"",Y219,IFERROR(VLOOKUP(V219,Assumptions!$A$8:$F$12,4,FALSE),8))/2)</f>
        <v/>
      </c>
      <c r="AB219" s="24">
        <f>U219*Z219/(1+Assumptions!$B$3)^AA219</f>
        <v/>
      </c>
      <c r="AC219" s="27">
        <f>IF(U219=0,"",ROUND(AB219/U219*100,1))</f>
        <v/>
      </c>
      <c r="AD219" s="29">
        <f>AB219*Assumptions!$B$4</f>
        <v/>
      </c>
      <c r="AE219" s="27">
        <f>IF(U219=0,"",ROUND(AD219/U219*100,1))</f>
        <v/>
      </c>
      <c r="AF219" s="29">
        <f>AB219-AD219</f>
        <v/>
      </c>
      <c r="AG219" s="27">
        <f>IF(U219=0,"",ROUND((AB219-AD219)/U219*100,1))</f>
        <v/>
      </c>
      <c r="AH219" s="34" t="inlineStr">
        <is>
          <t>NO TOTALS — list prints none; check page</t>
        </is>
      </c>
      <c r="AI219" s="31" t="inlineStr">
        <is>
          <t>https://scalzilliaj.com.br/sgc/download.php?file=files/processo_documento/processo_documento15513401112022_1_.pdf&amp;nome=15 - Edital do art. 7º, §2º (segunda lista de credores) e do art. 53 da Lei 11.101/2005 (recebimento do plano)</t>
        </is>
      </c>
      <c r="AJ219" s="30" t="inlineStr">
        <is>
          <t>p7 r2</t>
        </is>
      </c>
      <c r="AK219" s="30" t="inlineStr">
        <is>
          <t>p7: R$ 2.006.117,28</t>
        </is>
      </c>
      <c r="AL219" s="30" t="inlineStr">
        <is>
          <t>AJ list (art. 7 §2)</t>
        </is>
      </c>
      <c r="AM219" s="30" t="inlineStr">
        <is>
          <t>2022-11-01</t>
        </is>
      </c>
      <c r="AN219" s="30" t="inlineStr">
        <is>
          <t>NONE FOUND</t>
        </is>
      </c>
      <c r="AO219" s="32" t="inlineStr">
        <is>
          <t>5014104-85.2021.8.21.0010</t>
        </is>
      </c>
      <c r="AP219" s="32" t="inlineStr">
        <is>
          <t>TJRS</t>
        </is>
      </c>
      <c r="AQ219" s="32" t="inlineStr">
        <is>
          <t>Recuperação judicial</t>
        </is>
      </c>
      <c r="AR219" s="32" t="inlineStr">
        <is>
          <t>DataJud: no closure/falência movement</t>
        </is>
      </c>
      <c r="AS219" s="32" t="n">
        <v>2021</v>
      </c>
      <c r="AT219" s="32" t="inlineStr">
        <is>
          <t>5y since filing; plan not in our documents</t>
        </is>
      </c>
      <c r="AU219" s="32" t="inlineStr">
        <is>
          <t>03.018.339/0001-03</t>
        </is>
      </c>
      <c r="AV219" s="32" t="inlineStr">
        <is>
          <t>printed on the list (read twice)</t>
        </is>
      </c>
      <c r="AW219" s="32" t="inlineStr"/>
      <c r="AX219" s="32" t="inlineStr"/>
      <c r="AY219" s="32" t="inlineStr"/>
      <c r="AZ219" s="32" t="inlineStr"/>
      <c r="BA219" s="32" t="inlineStr"/>
      <c r="BB219" s="33" t="inlineStr"/>
      <c r="BC219" s="32" t="inlineStr">
        <is>
          <t>UNKNOWN</t>
        </is>
      </c>
      <c r="BD219" s="32" t="inlineStr">
        <is>
          <t>22007308</t>
        </is>
      </c>
      <c r="BE219" s="32" t="n">
        <v>1</v>
      </c>
      <c r="BF219" s="32" t="inlineStr">
        <is>
          <t>financial by name list prints no totals no RFB record</t>
        </is>
      </c>
    </row>
    <row r="220">
      <c r="A220" s="17" t="inlineStr">
        <is>
          <t>INTER SIMPLES FUNDO DE INVESTIMENTO EM DIREITOS CREDITO</t>
        </is>
      </c>
      <c r="B220" s="18" t="n">
        <v>505186.14</v>
      </c>
      <c r="C220" s="19" t="inlineStr">
        <is>
          <t>GRUPO DIVINA</t>
        </is>
      </c>
      <c r="D220" s="20" t="inlineStr">
        <is>
          <t>NEW</t>
        </is>
      </c>
      <c r="E220" s="21" t="inlineStr"/>
      <c r="F220" s="20" t="inlineStr"/>
      <c r="G220" s="21" t="inlineStr"/>
      <c r="H220" s="20" t="inlineStr"/>
      <c r="I220" s="22" t="inlineStr"/>
      <c r="J220" s="22" t="inlineStr"/>
      <c r="K220" s="22" t="inlineStr"/>
      <c r="L220" s="22" t="inlineStr"/>
      <c r="M220" s="22" t="inlineStr"/>
      <c r="N220" s="22" t="inlineStr"/>
      <c r="O220" s="22" t="inlineStr"/>
      <c r="P220" s="22" t="inlineStr"/>
      <c r="Q220" s="22" t="inlineStr"/>
      <c r="R220" s="22" t="inlineStr"/>
      <c r="S220" s="22" t="inlineStr"/>
      <c r="T220" s="22" t="inlineStr">
        <is>
          <t>no named contact found; NO ROUTE IN: no phone or email on file</t>
        </is>
      </c>
      <c r="U220" s="24" t="n">
        <v>505186.14</v>
      </c>
      <c r="V220" s="25" t="inlineStr">
        <is>
          <t>B</t>
        </is>
      </c>
      <c r="W220" s="26" t="inlineStr"/>
      <c r="X220" s="27" t="inlineStr"/>
      <c r="Y220" s="27" t="inlineStr"/>
      <c r="Z220" s="26">
        <f>IF(W220&lt;&gt;"",W220,IFERROR(VLOOKUP(V220,Assumptions!$A$8:$F$12,2,FALSE),0))*Assumptions!$B$5</f>
        <v/>
      </c>
      <c r="AA220" s="28">
        <f>IF(V220="A",MAX(1,IF(X220&lt;&gt;"",X220,IFERROR(VLOOKUP(V220,Assumptions!$A$8:$F$12,3,FALSE),3))+IF(Y220&lt;&gt;"",Y220,IFERROR(VLOOKUP(V220,Assumptions!$A$8:$F$12,4,FALSE),8))/2-MAX(0,IF(AS220="",0,YEAR(TODAY())-AS220)-IFERROR(VLOOKUP(V220,Assumptions!$A$8:$F$12,5,FALSE),1.5))),IFERROR(VLOOKUP(V220,Assumptions!$A$8:$F$12,5,FALSE),2.5)+IF(X220&lt;&gt;"",X220,IFERROR(VLOOKUP(V220,Assumptions!$A$8:$F$12,3,FALSE),3))+IF(Y220&lt;&gt;"",Y220,IFERROR(VLOOKUP(V220,Assumptions!$A$8:$F$12,4,FALSE),8))/2)</f>
        <v/>
      </c>
      <c r="AB220" s="24">
        <f>U220*Z220/(1+Assumptions!$B$3)^AA220</f>
        <v/>
      </c>
      <c r="AC220" s="27">
        <f>IF(U220=0,"",ROUND(AB220/U220*100,1))</f>
        <v/>
      </c>
      <c r="AD220" s="29">
        <f>AB220*Assumptions!$B$4</f>
        <v/>
      </c>
      <c r="AE220" s="27">
        <f>IF(U220=0,"",ROUND(AD220/U220*100,1))</f>
        <v/>
      </c>
      <c r="AF220" s="29">
        <f>AB220-AD220</f>
        <v/>
      </c>
      <c r="AG220" s="27">
        <f>IF(U220=0,"",ROUND((AB220-AD220)/U220*100,1))</f>
        <v/>
      </c>
      <c r="AH220" s="35" t="inlineStr">
        <is>
          <t>PARTIAL — class III reconciled, other classes not</t>
        </is>
      </c>
      <c r="AI220" s="31" t="inlineStr">
        <is>
          <t>https://lrflideres.com.br/wp-content/plugins/download-attachments/includes/download.php?id=6252</t>
        </is>
      </c>
      <c r="AJ220" s="30" t="inlineStr">
        <is>
          <t>p2 r52</t>
        </is>
      </c>
      <c r="AK220" s="30" t="inlineStr">
        <is>
          <t>p2: R$ 505.186,14</t>
        </is>
      </c>
      <c r="AL220" s="30" t="inlineStr">
        <is>
          <t>AJ list (art. 7 §2)</t>
        </is>
      </c>
      <c r="AM220" s="30" t="inlineStr">
        <is>
          <t>2024-11-27</t>
        </is>
      </c>
      <c r="AN220" s="30" t="inlineStr">
        <is>
          <t>NONE FOUND</t>
        </is>
      </c>
      <c r="AO220" s="32" t="inlineStr">
        <is>
          <t>0000721-61.2024.8.17.2620</t>
        </is>
      </c>
      <c r="AP220" s="32" t="inlineStr">
        <is>
          <t>TJPE</t>
        </is>
      </c>
      <c r="AQ220" s="32" t="inlineStr">
        <is>
          <t>Recuperação judicial</t>
        </is>
      </c>
      <c r="AR220" s="32" t="inlineStr">
        <is>
          <t>DataJud: no closure/falência movement</t>
        </is>
      </c>
      <c r="AS220" s="32" t="n">
        <v>2024</v>
      </c>
      <c r="AT220" s="32" t="inlineStr">
        <is>
          <t>live case, no plan document yet</t>
        </is>
      </c>
      <c r="AU220" s="32" t="inlineStr">
        <is>
          <t>08.785.522/0001-58</t>
        </is>
      </c>
      <c r="AV220" s="32" t="inlineStr">
        <is>
          <t>printed on the list (read twice)</t>
        </is>
      </c>
      <c r="AW220" s="32" t="inlineStr"/>
      <c r="AX220" s="32" t="inlineStr"/>
      <c r="AY220" s="32" t="inlineStr"/>
      <c r="AZ220" s="32" t="inlineStr"/>
      <c r="BA220" s="32" t="inlineStr"/>
      <c r="BB220" s="33" t="inlineStr"/>
      <c r="BC220" s="32" t="inlineStr">
        <is>
          <t>UNKNOWN</t>
        </is>
      </c>
      <c r="BD220" s="32" t="inlineStr">
        <is>
          <t>46799305</t>
        </is>
      </c>
      <c r="BE220" s="32" t="n">
        <v>1</v>
      </c>
      <c r="BF220" s="32" t="inlineStr">
        <is>
          <t>financial by name class III reconciled (doc partial) no RFB record no route in</t>
        </is>
      </c>
    </row>
    <row r="221">
      <c r="A221" s="17" t="inlineStr">
        <is>
          <t>TAIPATSB FUNDO DE INVESTIMENTO EM DIREITOS CREDITORIOS MULTISSETORIAL</t>
        </is>
      </c>
      <c r="B221" s="18" t="n">
        <v>499970.87</v>
      </c>
      <c r="C221" s="19" t="inlineStr">
        <is>
          <t>CENTURY CONSTRUÇÕES COMÉRCIO E SERVIÇOS LTDA.</t>
        </is>
      </c>
      <c r="D221" s="20" t="inlineStr">
        <is>
          <t>NEW</t>
        </is>
      </c>
      <c r="E221" s="21" t="inlineStr"/>
      <c r="F221" s="20" t="inlineStr"/>
      <c r="G221" s="21" t="inlineStr"/>
      <c r="H221" s="20" t="inlineStr"/>
      <c r="I221" s="22" t="inlineStr">
        <is>
          <t>Leticia Linhares</t>
        </is>
      </c>
      <c r="J221" s="22" t="inlineStr">
        <is>
          <t>Líder de Equipe de Cobranças</t>
        </is>
      </c>
      <c r="K221" s="22" t="inlineStr">
        <is>
          <t>(11) 2827-3500</t>
        </is>
      </c>
      <c r="L221" s="22" t="inlineStr"/>
      <c r="M221" s="22" t="inlineStr"/>
      <c r="N221" s="22" t="inlineStr">
        <is>
          <t>leticia@taipa.com.br</t>
        </is>
      </c>
      <c r="O221" s="22" t="inlineStr">
        <is>
          <t>verified</t>
        </is>
      </c>
      <c r="P221" s="22" t="inlineStr">
        <is>
          <t>Eliezer Pereira</t>
        </is>
      </c>
      <c r="Q221" s="22" t="inlineStr">
        <is>
          <t>Treasury and Operations FIDC</t>
        </is>
      </c>
      <c r="R221" s="22" t="inlineStr"/>
      <c r="S221" s="22" t="inlineStr">
        <is>
          <t>tesouraria1@taipa.com.br</t>
        </is>
      </c>
      <c r="T221" s="22" t="inlineStr">
        <is>
          <t>DM: DM; BACKUP: backup</t>
        </is>
      </c>
      <c r="U221" s="24" t="n">
        <v>499970.87</v>
      </c>
      <c r="V221" s="25" t="inlineStr">
        <is>
          <t>B</t>
        </is>
      </c>
      <c r="W221" s="26" t="inlineStr"/>
      <c r="X221" s="27" t="inlineStr"/>
      <c r="Y221" s="27" t="inlineStr"/>
      <c r="Z221" s="26">
        <f>IF(W221&lt;&gt;"",W221,IFERROR(VLOOKUP(V221,Assumptions!$A$8:$F$12,2,FALSE),0))*Assumptions!$B$5</f>
        <v/>
      </c>
      <c r="AA221" s="28">
        <f>IF(V221="A",MAX(1,IF(X221&lt;&gt;"",X221,IFERROR(VLOOKUP(V221,Assumptions!$A$8:$F$12,3,FALSE),3))+IF(Y221&lt;&gt;"",Y221,IFERROR(VLOOKUP(V221,Assumptions!$A$8:$F$12,4,FALSE),8))/2-MAX(0,IF(AS221="",0,YEAR(TODAY())-AS221)-IFERROR(VLOOKUP(V221,Assumptions!$A$8:$F$12,5,FALSE),1.5))),IFERROR(VLOOKUP(V221,Assumptions!$A$8:$F$12,5,FALSE),2.5)+IF(X221&lt;&gt;"",X221,IFERROR(VLOOKUP(V221,Assumptions!$A$8:$F$12,3,FALSE),3))+IF(Y221&lt;&gt;"",Y221,IFERROR(VLOOKUP(V221,Assumptions!$A$8:$F$12,4,FALSE),8))/2)</f>
        <v/>
      </c>
      <c r="AB221" s="24">
        <f>U221*Z221/(1+Assumptions!$B$3)^AA221</f>
        <v/>
      </c>
      <c r="AC221" s="27">
        <f>IF(U221=0,"",ROUND(AB221/U221*100,1))</f>
        <v/>
      </c>
      <c r="AD221" s="29">
        <f>AB221*Assumptions!$B$4</f>
        <v/>
      </c>
      <c r="AE221" s="27">
        <f>IF(U221=0,"",ROUND(AD221/U221*100,1))</f>
        <v/>
      </c>
      <c r="AF221" s="29">
        <f>AB221-AD221</f>
        <v/>
      </c>
      <c r="AG221" s="27">
        <f>IF(U221=0,"",ROUND((AB221-AD221)/U221*100,1))</f>
        <v/>
      </c>
      <c r="AH221" s="34" t="inlineStr">
        <is>
          <t>NO TOTALS — list prints none; check page</t>
        </is>
      </c>
      <c r="AI221" s="31" t="inlineStr">
        <is>
          <t>https://ativosajce.com.br/admin/download.php?file=files/processo_documento/processo_documento16022716122025_1_.pdf&amp;nome=Relação de credores - art. 52, §1º da Lei 11.101/05 - 15/12/2025</t>
        </is>
      </c>
      <c r="AJ221" s="30" t="inlineStr">
        <is>
          <t>p4 r56</t>
        </is>
      </c>
      <c r="AK221" s="30" t="inlineStr">
        <is>
          <t>p4: R$ 499.970,87</t>
        </is>
      </c>
      <c r="AL221" s="30" t="inlineStr">
        <is>
          <t>Unclassified list</t>
        </is>
      </c>
      <c r="AM221" s="30" t="inlineStr"/>
      <c r="AN221" s="30" t="inlineStr">
        <is>
          <t>NONE FOUND</t>
        </is>
      </c>
      <c r="AO221" s="32" t="inlineStr">
        <is>
          <t>4054599-35.2025.8.26.0100</t>
        </is>
      </c>
      <c r="AP221" s="32" t="inlineStr">
        <is>
          <t>TJSP</t>
        </is>
      </c>
      <c r="AQ221" s="32" t="inlineStr">
        <is>
          <t>Recuperação judicial</t>
        </is>
      </c>
      <c r="AR221" s="32" t="inlineStr">
        <is>
          <t>DataJud: no closure/falência movement</t>
        </is>
      </c>
      <c r="AS221" s="32" t="n">
        <v>2025</v>
      </c>
      <c r="AT221" s="32" t="inlineStr">
        <is>
          <t>live case, no plan document yet; case no. from the portal record, not printed on the list</t>
        </is>
      </c>
      <c r="AU221" s="32" t="inlineStr">
        <is>
          <t>03.299.563/0001-10</t>
        </is>
      </c>
      <c r="AV221" s="32" t="inlineStr">
        <is>
          <t>printed on the list (read twice)</t>
        </is>
      </c>
      <c r="AW221" s="32" t="inlineStr"/>
      <c r="AX221" s="32" t="inlineStr">
        <is>
          <t>SAO PAULO</t>
        </is>
      </c>
      <c r="AY221" s="32" t="inlineStr">
        <is>
          <t>SP</t>
        </is>
      </c>
      <c r="AZ221" s="32" t="inlineStr">
        <is>
          <t>Fundos de investimento, exceto previdenciários e imobiliários</t>
        </is>
      </c>
      <c r="BA221" s="32" t="inlineStr">
        <is>
          <t>não ME/EPP</t>
        </is>
      </c>
      <c r="BB221" s="33" t="inlineStr"/>
      <c r="BC221" s="32" t="inlineStr">
        <is>
          <t>UNKNOWN</t>
        </is>
      </c>
      <c r="BD221" s="32" t="inlineStr">
        <is>
          <t>21081976</t>
        </is>
      </c>
      <c r="BE221" s="32" t="n">
        <v>1</v>
      </c>
      <c r="BF221" s="32" t="inlineStr">
        <is>
          <t>list prints no totals</t>
        </is>
      </c>
    </row>
    <row r="222">
      <c r="A222" s="17" t="inlineStr">
        <is>
          <t>COOPERATIVA DE CREDITO DE LIVRE ADMISSAO DE CERES E RIALMA LTDA</t>
        </is>
      </c>
      <c r="B222" s="18" t="n">
        <v>487838.68</v>
      </c>
      <c r="C222" s="19" t="inlineStr">
        <is>
          <t>GRUPO ECONÔMICO FAEL (GRUPO FAEL)</t>
        </is>
      </c>
      <c r="D222" s="20" t="inlineStr">
        <is>
          <t>NEW</t>
        </is>
      </c>
      <c r="E222" s="21" t="inlineStr"/>
      <c r="F222" s="20" t="inlineStr"/>
      <c r="G222" s="21" t="inlineStr"/>
      <c r="H222" s="20" t="inlineStr"/>
      <c r="I222" s="22" t="inlineStr">
        <is>
          <t>JOSE MAURICIO DE OLIVEIRA</t>
        </is>
      </c>
      <c r="J222" s="23" t="inlineStr">
        <is>
          <t>Presidente (RFB partner)</t>
        </is>
      </c>
      <c r="K222" s="22" t="inlineStr">
        <is>
          <t>(62) 8421-4097</t>
        </is>
      </c>
      <c r="L222" s="22" t="inlineStr"/>
      <c r="M222" s="22" t="inlineStr"/>
      <c r="N222" s="22" t="inlineStr"/>
      <c r="O222" s="22" t="inlineStr"/>
      <c r="P222" s="22" t="inlineStr">
        <is>
          <t>GESSICA CUBA DE OLIVEIRA</t>
        </is>
      </c>
      <c r="Q222" s="22" t="inlineStr">
        <is>
          <t>Diretor (RFB partner)</t>
        </is>
      </c>
      <c r="R222" s="22" t="inlineStr"/>
      <c r="S222" s="22" t="inlineStr"/>
      <c r="T222" s="22" t="inlineStr">
        <is>
          <t>DM = registered partner (RFB QSA); no Apollo match</t>
        </is>
      </c>
      <c r="U222" s="24" t="n">
        <v>487838.68</v>
      </c>
      <c r="V222" s="25" t="inlineStr">
        <is>
          <t>B</t>
        </is>
      </c>
      <c r="W222" s="26" t="inlineStr"/>
      <c r="X222" s="27" t="inlineStr"/>
      <c r="Y222" s="27" t="inlineStr"/>
      <c r="Z222" s="26">
        <f>IF(W222&lt;&gt;"",W222,IFERROR(VLOOKUP(V222,Assumptions!$A$8:$F$12,2,FALSE),0))*Assumptions!$B$5</f>
        <v/>
      </c>
      <c r="AA222" s="28">
        <f>IF(V222="A",MAX(1,IF(X222&lt;&gt;"",X222,IFERROR(VLOOKUP(V222,Assumptions!$A$8:$F$12,3,FALSE),3))+IF(Y222&lt;&gt;"",Y222,IFERROR(VLOOKUP(V222,Assumptions!$A$8:$F$12,4,FALSE),8))/2-MAX(0,IF(AS222="",0,YEAR(TODAY())-AS222)-IFERROR(VLOOKUP(V222,Assumptions!$A$8:$F$12,5,FALSE),1.5))),IFERROR(VLOOKUP(V222,Assumptions!$A$8:$F$12,5,FALSE),2.5)+IF(X222&lt;&gt;"",X222,IFERROR(VLOOKUP(V222,Assumptions!$A$8:$F$12,3,FALSE),3))+IF(Y222&lt;&gt;"",Y222,IFERROR(VLOOKUP(V222,Assumptions!$A$8:$F$12,4,FALSE),8))/2)</f>
        <v/>
      </c>
      <c r="AB222" s="24">
        <f>U222*Z222/(1+Assumptions!$B$3)^AA222</f>
        <v/>
      </c>
      <c r="AC222" s="27">
        <f>IF(U222=0,"",ROUND(AB222/U222*100,1))</f>
        <v/>
      </c>
      <c r="AD222" s="29">
        <f>AB222*Assumptions!$B$4</f>
        <v/>
      </c>
      <c r="AE222" s="27">
        <f>IF(U222=0,"",ROUND(AD222/U222*100,1))</f>
        <v/>
      </c>
      <c r="AF222" s="29">
        <f>AB222-AD222</f>
        <v/>
      </c>
      <c r="AG222" s="27">
        <f>IF(U222=0,"",ROUND((AB222-AD222)/U222*100,1))</f>
        <v/>
      </c>
      <c r="AH222" s="34" t="inlineStr">
        <is>
          <t>NO TOTALS — list prints none; check page</t>
        </is>
      </c>
      <c r="AI222" s="31" t="inlineStr">
        <is>
          <t>https://stenius.com.br/wp-content/uploads/2026/06/EDITAL-GRUPO-FAEL.pdf</t>
        </is>
      </c>
      <c r="AJ222" s="30" t="inlineStr">
        <is>
          <t>p2 r1</t>
        </is>
      </c>
      <c r="AK222" s="30" t="inlineStr">
        <is>
          <t>p2: R$ 487.838,68</t>
        </is>
      </c>
      <c r="AL222" s="30" t="inlineStr">
        <is>
          <t>AJ list (art. 7 §2)</t>
        </is>
      </c>
      <c r="AM222" s="30" t="inlineStr">
        <is>
          <t>2026-06-30</t>
        </is>
      </c>
      <c r="AN222" s="30" t="inlineStr">
        <is>
          <t>NONE FOUND</t>
        </is>
      </c>
      <c r="AO222" s="32" t="inlineStr">
        <is>
          <t>5264228-81.2025.8.09.0172</t>
        </is>
      </c>
      <c r="AP222" s="32" t="inlineStr">
        <is>
          <t>TJGO</t>
        </is>
      </c>
      <c r="AQ222" s="32" t="inlineStr">
        <is>
          <t>Recuperação judicial</t>
        </is>
      </c>
      <c r="AR222" s="32" t="inlineStr">
        <is>
          <t>DataJud: no closure/falência movement</t>
        </is>
      </c>
      <c r="AS222" s="32" t="n">
        <v>2025</v>
      </c>
      <c r="AT222" s="32" t="inlineStr">
        <is>
          <t>live case, no plan document yet</t>
        </is>
      </c>
      <c r="AU222" s="32" t="inlineStr"/>
      <c r="AV222" s="32" t="inlineStr">
        <is>
          <t>printed on the list (read twice)</t>
        </is>
      </c>
      <c r="AW222" s="32" t="inlineStr"/>
      <c r="AX222" s="32" t="inlineStr">
        <is>
          <t>CERES</t>
        </is>
      </c>
      <c r="AY222" s="32" t="inlineStr">
        <is>
          <t>GO</t>
        </is>
      </c>
      <c r="AZ222" s="32" t="inlineStr">
        <is>
          <t>Cooperativas de crédito mútuo</t>
        </is>
      </c>
      <c r="BA222" s="32" t="inlineStr">
        <is>
          <t>não ME/EPP</t>
        </is>
      </c>
      <c r="BB222" s="33" t="n">
        <v>30000</v>
      </c>
      <c r="BC222" s="32" t="inlineStr">
        <is>
          <t>MID-MARKET</t>
        </is>
      </c>
      <c r="BD222" s="32" t="inlineStr">
        <is>
          <t>09576849</t>
        </is>
      </c>
      <c r="BE222" s="32" t="n">
        <v>1</v>
      </c>
      <c r="BF222" s="32" t="inlineStr">
        <is>
          <t>list prints no totals</t>
        </is>
      </c>
    </row>
    <row r="223">
      <c r="A223" s="17" t="inlineStr">
        <is>
          <t>BANCO BRADESCO S.A.</t>
        </is>
      </c>
      <c r="B223" s="18" t="n">
        <v>482000</v>
      </c>
      <c r="C223" s="19" t="inlineStr">
        <is>
          <t>GRUPO IMOBI</t>
        </is>
      </c>
      <c r="D223" s="20" t="inlineStr">
        <is>
          <t>NEW</t>
        </is>
      </c>
      <c r="E223" s="21" t="inlineStr"/>
      <c r="F223" s="20" t="inlineStr"/>
      <c r="G223" s="21" t="inlineStr"/>
      <c r="H223" s="20" t="inlineStr"/>
      <c r="I223" s="22" t="inlineStr">
        <is>
          <t>Marcela Martins</t>
        </is>
      </c>
      <c r="J223" s="22" t="inlineStr">
        <is>
          <t>Superintendente de Recuperação de Crédito - Canais e Operações</t>
        </is>
      </c>
      <c r="K223" s="22" t="inlineStr">
        <is>
          <t>(11) 3684-5122</t>
        </is>
      </c>
      <c r="L223" s="22" t="inlineStr"/>
      <c r="M223" s="22" t="inlineStr"/>
      <c r="N223" s="22" t="inlineStr"/>
      <c r="O223" s="22" t="inlineStr"/>
      <c r="P223" s="22" t="inlineStr">
        <is>
          <t>Luis S</t>
        </is>
      </c>
      <c r="Q223" s="22" t="inlineStr">
        <is>
          <t>DRC - Departamento de Recuperação de Crédito - Gerente de Reestruturação de Crédito</t>
        </is>
      </c>
      <c r="R223" s="22" t="inlineStr"/>
      <c r="S223" s="22" t="inlineStr">
        <is>
          <t>sl@bradesco.com.br</t>
        </is>
      </c>
      <c r="T223" s="22" t="inlineStr">
        <is>
          <t>DM: DM; no work email in Apollo for DM; BACKUP: backup</t>
        </is>
      </c>
      <c r="U223" s="24" t="n">
        <v>482000</v>
      </c>
      <c r="V223" s="25" t="inlineStr">
        <is>
          <t>B</t>
        </is>
      </c>
      <c r="W223" s="26" t="inlineStr"/>
      <c r="X223" s="27" t="inlineStr"/>
      <c r="Y223" s="27" t="inlineStr"/>
      <c r="Z223" s="26">
        <f>IF(W223&lt;&gt;"",W223,IFERROR(VLOOKUP(V223,Assumptions!$A$8:$F$12,2,FALSE),0))*Assumptions!$B$5</f>
        <v/>
      </c>
      <c r="AA223" s="28">
        <f>IF(V223="A",MAX(1,IF(X223&lt;&gt;"",X223,IFERROR(VLOOKUP(V223,Assumptions!$A$8:$F$12,3,FALSE),3))+IF(Y223&lt;&gt;"",Y223,IFERROR(VLOOKUP(V223,Assumptions!$A$8:$F$12,4,FALSE),8))/2-MAX(0,IF(AS223="",0,YEAR(TODAY())-AS223)-IFERROR(VLOOKUP(V223,Assumptions!$A$8:$F$12,5,FALSE),1.5))),IFERROR(VLOOKUP(V223,Assumptions!$A$8:$F$12,5,FALSE),2.5)+IF(X223&lt;&gt;"",X223,IFERROR(VLOOKUP(V223,Assumptions!$A$8:$F$12,3,FALSE),3))+IF(Y223&lt;&gt;"",Y223,IFERROR(VLOOKUP(V223,Assumptions!$A$8:$F$12,4,FALSE),8))/2)</f>
        <v/>
      </c>
      <c r="AB223" s="24">
        <f>U223*Z223/(1+Assumptions!$B$3)^AA223</f>
        <v/>
      </c>
      <c r="AC223" s="27">
        <f>IF(U223=0,"",ROUND(AB223/U223*100,1))</f>
        <v/>
      </c>
      <c r="AD223" s="29">
        <f>AB223*Assumptions!$B$4</f>
        <v/>
      </c>
      <c r="AE223" s="27">
        <f>IF(U223=0,"",ROUND(AD223/U223*100,1))</f>
        <v/>
      </c>
      <c r="AF223" s="29">
        <f>AB223-AD223</f>
        <v/>
      </c>
      <c r="AG223" s="27">
        <f>IF(U223=0,"",ROUND((AB223-AD223)/U223*100,1))</f>
        <v/>
      </c>
      <c r="AH223" s="30" t="inlineStr">
        <is>
          <t>OK — totals reconciled</t>
        </is>
      </c>
      <c r="AI223" s="31" t="inlineStr">
        <is>
          <t>https://lrflideres.com.br/wp-content/plugins/download-attachments/includes/download.php?id=6273</t>
        </is>
      </c>
      <c r="AJ223" s="30" t="inlineStr">
        <is>
          <t>p3 r94</t>
        </is>
      </c>
      <c r="AK223" s="30" t="inlineStr">
        <is>
          <t>p3: R$ 482.000,00</t>
        </is>
      </c>
      <c r="AL223" s="30" t="inlineStr">
        <is>
          <t>AJ list (art. 7 §2)</t>
        </is>
      </c>
      <c r="AM223" s="30" t="inlineStr">
        <is>
          <t>2024-11-14</t>
        </is>
      </c>
      <c r="AN223" s="30" t="inlineStr">
        <is>
          <t>NONE FOUND</t>
        </is>
      </c>
      <c r="AO223" s="32" t="inlineStr">
        <is>
          <t>0074500-63.2024.8.17.2001</t>
        </is>
      </c>
      <c r="AP223" s="32" t="inlineStr">
        <is>
          <t>TJPE</t>
        </is>
      </c>
      <c r="AQ223" s="32" t="inlineStr">
        <is>
          <t>Recuperação judicial</t>
        </is>
      </c>
      <c r="AR223" s="32" t="inlineStr">
        <is>
          <t>DataJud: no closure/falência movement</t>
        </is>
      </c>
      <c r="AS223" s="32" t="n">
        <v>2024</v>
      </c>
      <c r="AT223" s="32" t="inlineStr">
        <is>
          <t>live case, no plan document yet</t>
        </is>
      </c>
      <c r="AU223" s="32" t="inlineStr">
        <is>
          <t>02.284.048/0001-02</t>
        </is>
      </c>
      <c r="AV223" s="32" t="inlineStr">
        <is>
          <t>printed on the list (read twice)</t>
        </is>
      </c>
      <c r="AW223" s="32" t="inlineStr"/>
      <c r="AX223" s="32" t="inlineStr">
        <is>
          <t>OSASCO</t>
        </is>
      </c>
      <c r="AY223" s="32" t="inlineStr">
        <is>
          <t>SP</t>
        </is>
      </c>
      <c r="AZ223" s="32" t="inlineStr">
        <is>
          <t>Bancos múltiplos, com carteira comercial</t>
        </is>
      </c>
      <c r="BA223" s="32" t="inlineStr">
        <is>
          <t>não ME/EPP</t>
        </is>
      </c>
      <c r="BB223" s="33" t="n">
        <v>93770000000</v>
      </c>
      <c r="BC223" s="32" t="inlineStr">
        <is>
          <t>LARGE CORP</t>
        </is>
      </c>
      <c r="BD223" s="32" t="inlineStr">
        <is>
          <t>60746948</t>
        </is>
      </c>
      <c r="BE223" s="32" t="n">
        <v>1</v>
      </c>
      <c r="BF223" s="32" t="inlineStr">
        <is>
          <t>financial by name</t>
        </is>
      </c>
    </row>
    <row r="224">
      <c r="A224" s="17" t="inlineStr">
        <is>
          <t>ITAU UNIBANCO S.A.</t>
        </is>
      </c>
      <c r="B224" s="18" t="n">
        <v>478222.08</v>
      </c>
      <c r="C224" s="19" t="inlineStr">
        <is>
          <t>FLAVOUR MIX IND. E REP. ALIM. E INGR. QUÍMICOS LTDA.</t>
        </is>
      </c>
      <c r="D224" s="20" t="inlineStr">
        <is>
          <t>NEW</t>
        </is>
      </c>
      <c r="E224" s="21" t="inlineStr"/>
      <c r="F224" s="20" t="inlineStr"/>
      <c r="G224" s="21" t="inlineStr"/>
      <c r="H224" s="20" t="inlineStr"/>
      <c r="I224" s="22" t="inlineStr">
        <is>
          <t>Murilo Gigliucci</t>
        </is>
      </c>
      <c r="J224" s="22" t="inlineStr">
        <is>
          <t>Superintendente de Reestruturação de Crédito</t>
        </is>
      </c>
      <c r="K224" s="22" t="inlineStr">
        <is>
          <t>(11) 3003-4828</t>
        </is>
      </c>
      <c r="L224" s="22" t="inlineStr"/>
      <c r="M224" s="22" t="inlineStr"/>
      <c r="N224" s="22" t="inlineStr">
        <is>
          <t>murilo.gigliucci@itau-unibanco.com.br</t>
        </is>
      </c>
      <c r="O224" s="22" t="inlineStr">
        <is>
          <t>verified</t>
        </is>
      </c>
      <c r="P224" s="22" t="inlineStr">
        <is>
          <t>Pedro Ornellas</t>
        </is>
      </c>
      <c r="Q224" s="22" t="inlineStr">
        <is>
          <t>Superintendente de Recuperação de Crédito</t>
        </is>
      </c>
      <c r="R224" s="22" t="inlineStr"/>
      <c r="S224" s="22" t="inlineStr">
        <is>
          <t>pedro.ornellas-geronimo@itau-unibanco.com.br</t>
        </is>
      </c>
      <c r="T224" s="22" t="inlineStr">
        <is>
          <t>DM: DM verified email; BACKUP: backup verified email</t>
        </is>
      </c>
      <c r="U224" s="24" t="n">
        <v>478222.08</v>
      </c>
      <c r="V224" s="25" t="inlineStr">
        <is>
          <t>B</t>
        </is>
      </c>
      <c r="W224" s="26" t="inlineStr"/>
      <c r="X224" s="27" t="inlineStr"/>
      <c r="Y224" s="27" t="inlineStr"/>
      <c r="Z224" s="26">
        <f>IF(W224&lt;&gt;"",W224,IFERROR(VLOOKUP(V224,Assumptions!$A$8:$F$12,2,FALSE),0))*Assumptions!$B$5</f>
        <v/>
      </c>
      <c r="AA224" s="28">
        <f>IF(V224="A",MAX(1,IF(X224&lt;&gt;"",X224,IFERROR(VLOOKUP(V224,Assumptions!$A$8:$F$12,3,FALSE),3))+IF(Y224&lt;&gt;"",Y224,IFERROR(VLOOKUP(V224,Assumptions!$A$8:$F$12,4,FALSE),8))/2-MAX(0,IF(AS224="",0,YEAR(TODAY())-AS224)-IFERROR(VLOOKUP(V224,Assumptions!$A$8:$F$12,5,FALSE),1.5))),IFERROR(VLOOKUP(V224,Assumptions!$A$8:$F$12,5,FALSE),2.5)+IF(X224&lt;&gt;"",X224,IFERROR(VLOOKUP(V224,Assumptions!$A$8:$F$12,3,FALSE),3))+IF(Y224&lt;&gt;"",Y224,IFERROR(VLOOKUP(V224,Assumptions!$A$8:$F$12,4,FALSE),8))/2)</f>
        <v/>
      </c>
      <c r="AB224" s="24">
        <f>U224*Z224/(1+Assumptions!$B$3)^AA224</f>
        <v/>
      </c>
      <c r="AC224" s="27">
        <f>IF(U224=0,"",ROUND(AB224/U224*100,1))</f>
        <v/>
      </c>
      <c r="AD224" s="29">
        <f>AB224*Assumptions!$B$4</f>
        <v/>
      </c>
      <c r="AE224" s="27">
        <f>IF(U224=0,"",ROUND(AD224/U224*100,1))</f>
        <v/>
      </c>
      <c r="AF224" s="29">
        <f>AB224-AD224</f>
        <v/>
      </c>
      <c r="AG224" s="27">
        <f>IF(U224=0,"",ROUND((AB224-AD224)/U224*100,1))</f>
        <v/>
      </c>
      <c r="AH224" s="34" t="inlineStr">
        <is>
          <t>NO TOTALS — list prints none; check page</t>
        </is>
      </c>
      <c r="AI224" s="31" t="inlineStr">
        <is>
          <t>https://ativosajce.com.br/admin/download.php?file=files/processo_documento/processo_documento13422625032025_1_.pdf&amp;nome=Relação de Credores - Art. 52º § 1º, da Lei nº 11.101/2005 - 25/02/2025</t>
        </is>
      </c>
      <c r="AJ224" s="30" t="inlineStr">
        <is>
          <t>p4 r36; p4 r37</t>
        </is>
      </c>
      <c r="AK224" s="30" t="inlineStr">
        <is>
          <t>p4: R$ 237.996,72; p4: R$ 240.225,36</t>
        </is>
      </c>
      <c r="AL224" s="30" t="inlineStr">
        <is>
          <t>Unclassified list</t>
        </is>
      </c>
      <c r="AM224" s="30" t="inlineStr">
        <is>
          <t>2025-02-28</t>
        </is>
      </c>
      <c r="AN224" s="30" t="inlineStr">
        <is>
          <t>NONE FOUND</t>
        </is>
      </c>
      <c r="AO224" s="32" t="inlineStr">
        <is>
          <t>1000119-75.2025.8.26.0354</t>
        </is>
      </c>
      <c r="AP224" s="32" t="inlineStr">
        <is>
          <t>TJSP</t>
        </is>
      </c>
      <c r="AQ224" s="32" t="inlineStr">
        <is>
          <t>Recuperação judicial</t>
        </is>
      </c>
      <c r="AR224" s="32" t="inlineStr">
        <is>
          <t>DataJud: no closure/falência movement</t>
        </is>
      </c>
      <c r="AS224" s="32" t="n">
        <v>2025</v>
      </c>
      <c r="AT224" s="32" t="inlineStr">
        <is>
          <t>live case, no plan document yet; case no. from the portal record, not printed on the list</t>
        </is>
      </c>
      <c r="AU224" s="32" t="inlineStr">
        <is>
          <t>09.357.504/0001-38</t>
        </is>
      </c>
      <c r="AV224" s="32" t="inlineStr">
        <is>
          <t>printed on the list (read twice)</t>
        </is>
      </c>
      <c r="AW224" s="32" t="inlineStr"/>
      <c r="AX224" s="32" t="inlineStr">
        <is>
          <t>SAO PAULO</t>
        </is>
      </c>
      <c r="AY224" s="32" t="inlineStr">
        <is>
          <t>SP</t>
        </is>
      </c>
      <c r="AZ224" s="32" t="inlineStr">
        <is>
          <t>Bancos comerciais</t>
        </is>
      </c>
      <c r="BA224" s="32" t="inlineStr">
        <is>
          <t>não ME/EPP</t>
        </is>
      </c>
      <c r="BB224" s="33" t="n">
        <v>76200000000</v>
      </c>
      <c r="BC224" s="32" t="inlineStr">
        <is>
          <t>LARGE CORP</t>
        </is>
      </c>
      <c r="BD224" s="32" t="inlineStr">
        <is>
          <t>60701190</t>
        </is>
      </c>
      <c r="BE224" s="32" t="n">
        <v>2</v>
      </c>
      <c r="BF224" s="32" t="inlineStr">
        <is>
          <t>financial by name list prints no totals</t>
        </is>
      </c>
    </row>
    <row r="225">
      <c r="A225" s="17" t="inlineStr">
        <is>
          <t>BANCO BRADESCO S.A.</t>
        </is>
      </c>
      <c r="B225" s="18" t="n">
        <v>476521.11</v>
      </c>
      <c r="C225" s="19" t="inlineStr">
        <is>
          <t>GRUPO DIVINA</t>
        </is>
      </c>
      <c r="D225" s="20" t="inlineStr">
        <is>
          <t>NEW</t>
        </is>
      </c>
      <c r="E225" s="21" t="inlineStr"/>
      <c r="F225" s="20" t="inlineStr"/>
      <c r="G225" s="21" t="inlineStr"/>
      <c r="H225" s="20" t="inlineStr"/>
      <c r="I225" s="22" t="inlineStr">
        <is>
          <t>Marcela Martins</t>
        </is>
      </c>
      <c r="J225" s="22" t="inlineStr">
        <is>
          <t>Superintendente de Recuperação de Crédito - Canais e Operações</t>
        </is>
      </c>
      <c r="K225" s="22" t="inlineStr">
        <is>
          <t>(11) 3684-5122</t>
        </is>
      </c>
      <c r="L225" s="22" t="inlineStr"/>
      <c r="M225" s="22" t="inlineStr"/>
      <c r="N225" s="22" t="inlineStr"/>
      <c r="O225" s="22" t="inlineStr"/>
      <c r="P225" s="22" t="inlineStr">
        <is>
          <t>Luis S</t>
        </is>
      </c>
      <c r="Q225" s="22" t="inlineStr">
        <is>
          <t>DRC - Departamento de Recuperação de Crédito - Gerente de Reestruturação de Crédito</t>
        </is>
      </c>
      <c r="R225" s="22" t="inlineStr"/>
      <c r="S225" s="22" t="inlineStr">
        <is>
          <t>sl@bradesco.com.br</t>
        </is>
      </c>
      <c r="T225" s="22" t="inlineStr">
        <is>
          <t>DM: DM; no work email in Apollo for DM; BACKUP: backup</t>
        </is>
      </c>
      <c r="U225" s="24" t="n">
        <v>476521.11</v>
      </c>
      <c r="V225" s="25" t="inlineStr">
        <is>
          <t>B</t>
        </is>
      </c>
      <c r="W225" s="26" t="inlineStr"/>
      <c r="X225" s="27" t="inlineStr"/>
      <c r="Y225" s="27" t="inlineStr"/>
      <c r="Z225" s="26">
        <f>IF(W225&lt;&gt;"",W225,IFERROR(VLOOKUP(V225,Assumptions!$A$8:$F$12,2,FALSE),0))*Assumptions!$B$5</f>
        <v/>
      </c>
      <c r="AA225" s="28">
        <f>IF(V225="A",MAX(1,IF(X225&lt;&gt;"",X225,IFERROR(VLOOKUP(V225,Assumptions!$A$8:$F$12,3,FALSE),3))+IF(Y225&lt;&gt;"",Y225,IFERROR(VLOOKUP(V225,Assumptions!$A$8:$F$12,4,FALSE),8))/2-MAX(0,IF(AS225="",0,YEAR(TODAY())-AS225)-IFERROR(VLOOKUP(V225,Assumptions!$A$8:$F$12,5,FALSE),1.5))),IFERROR(VLOOKUP(V225,Assumptions!$A$8:$F$12,5,FALSE),2.5)+IF(X225&lt;&gt;"",X225,IFERROR(VLOOKUP(V225,Assumptions!$A$8:$F$12,3,FALSE),3))+IF(Y225&lt;&gt;"",Y225,IFERROR(VLOOKUP(V225,Assumptions!$A$8:$F$12,4,FALSE),8))/2)</f>
        <v/>
      </c>
      <c r="AB225" s="24">
        <f>U225*Z225/(1+Assumptions!$B$3)^AA225</f>
        <v/>
      </c>
      <c r="AC225" s="27">
        <f>IF(U225=0,"",ROUND(AB225/U225*100,1))</f>
        <v/>
      </c>
      <c r="AD225" s="29">
        <f>AB225*Assumptions!$B$4</f>
        <v/>
      </c>
      <c r="AE225" s="27">
        <f>IF(U225=0,"",ROUND(AD225/U225*100,1))</f>
        <v/>
      </c>
      <c r="AF225" s="29">
        <f>AB225-AD225</f>
        <v/>
      </c>
      <c r="AG225" s="27">
        <f>IF(U225=0,"",ROUND((AB225-AD225)/U225*100,1))</f>
        <v/>
      </c>
      <c r="AH225" s="35" t="inlineStr">
        <is>
          <t>PARTIAL — class III reconciled, other classes not</t>
        </is>
      </c>
      <c r="AI225" s="31" t="inlineStr">
        <is>
          <t>https://lrflideres.com.br/wp-content/plugins/download-attachments/includes/download.php?id=6252</t>
        </is>
      </c>
      <c r="AJ225" s="30" t="inlineStr">
        <is>
          <t>p2 r11; p2 r12</t>
        </is>
      </c>
      <c r="AK225" s="30" t="inlineStr">
        <is>
          <t>p2: R$ 410.546,27; p2: R$ 65.974,84</t>
        </is>
      </c>
      <c r="AL225" s="30" t="inlineStr">
        <is>
          <t>AJ list (art. 7 §2)</t>
        </is>
      </c>
      <c r="AM225" s="30" t="inlineStr">
        <is>
          <t>2024-11-27</t>
        </is>
      </c>
      <c r="AN225" s="30" t="inlineStr">
        <is>
          <t>NONE FOUND</t>
        </is>
      </c>
      <c r="AO225" s="32" t="inlineStr">
        <is>
          <t>0000721-61.2024.8.17.2620</t>
        </is>
      </c>
      <c r="AP225" s="32" t="inlineStr">
        <is>
          <t>TJPE</t>
        </is>
      </c>
      <c r="AQ225" s="32" t="inlineStr">
        <is>
          <t>Recuperação judicial</t>
        </is>
      </c>
      <c r="AR225" s="32" t="inlineStr">
        <is>
          <t>DataJud: no closure/falência movement</t>
        </is>
      </c>
      <c r="AS225" s="32" t="n">
        <v>2024</v>
      </c>
      <c r="AT225" s="32" t="inlineStr">
        <is>
          <t>live case, no plan document yet</t>
        </is>
      </c>
      <c r="AU225" s="32" t="inlineStr">
        <is>
          <t>08.785.522/0001-58</t>
        </is>
      </c>
      <c r="AV225" s="32" t="inlineStr">
        <is>
          <t>printed on the list (read twice)</t>
        </is>
      </c>
      <c r="AW225" s="32" t="inlineStr"/>
      <c r="AX225" s="32" t="inlineStr">
        <is>
          <t>OSASCO</t>
        </is>
      </c>
      <c r="AY225" s="32" t="inlineStr">
        <is>
          <t>SP</t>
        </is>
      </c>
      <c r="AZ225" s="32" t="inlineStr">
        <is>
          <t>Bancos múltiplos, com carteira comercial</t>
        </is>
      </c>
      <c r="BA225" s="32" t="inlineStr">
        <is>
          <t>não ME/EPP</t>
        </is>
      </c>
      <c r="BB225" s="33" t="n">
        <v>93770000000</v>
      </c>
      <c r="BC225" s="32" t="inlineStr">
        <is>
          <t>LARGE CORP</t>
        </is>
      </c>
      <c r="BD225" s="32" t="inlineStr">
        <is>
          <t>60746948</t>
        </is>
      </c>
      <c r="BE225" s="32" t="n">
        <v>2</v>
      </c>
      <c r="BF225" s="32" t="inlineStr">
        <is>
          <t>financial by name class III reconciled (doc partial)</t>
        </is>
      </c>
    </row>
    <row r="226">
      <c r="A226" s="17" t="inlineStr">
        <is>
          <t>FIRMA SECURITIZADORA S/A</t>
        </is>
      </c>
      <c r="B226" s="18" t="n">
        <v>474036.06</v>
      </c>
      <c r="C226" s="19" t="inlineStr">
        <is>
          <t>GRUPO DIVINA</t>
        </is>
      </c>
      <c r="D226" s="20" t="inlineStr">
        <is>
          <t>NEW</t>
        </is>
      </c>
      <c r="E226" s="21" t="inlineStr"/>
      <c r="F226" s="20" t="inlineStr"/>
      <c r="G226" s="21" t="inlineStr"/>
      <c r="H226" s="20" t="inlineStr"/>
      <c r="I226" s="22" t="inlineStr"/>
      <c r="J226" s="22" t="inlineStr"/>
      <c r="K226" s="22" t="inlineStr"/>
      <c r="L226" s="22" t="inlineStr"/>
      <c r="M226" s="22" t="inlineStr"/>
      <c r="N226" s="22" t="inlineStr"/>
      <c r="O226" s="22" t="inlineStr"/>
      <c r="P226" s="22" t="inlineStr"/>
      <c r="Q226" s="22" t="inlineStr"/>
      <c r="R226" s="22" t="inlineStr"/>
      <c r="S226" s="22" t="inlineStr"/>
      <c r="T226" s="22" t="inlineStr">
        <is>
          <t>no named contact found; NO ROUTE IN: no phone or email on file</t>
        </is>
      </c>
      <c r="U226" s="24" t="n">
        <v>474036.06</v>
      </c>
      <c r="V226" s="25" t="inlineStr">
        <is>
          <t>B</t>
        </is>
      </c>
      <c r="W226" s="26" t="inlineStr"/>
      <c r="X226" s="27" t="inlineStr"/>
      <c r="Y226" s="27" t="inlineStr"/>
      <c r="Z226" s="26">
        <f>IF(W226&lt;&gt;"",W226,IFERROR(VLOOKUP(V226,Assumptions!$A$8:$F$12,2,FALSE),0))*Assumptions!$B$5</f>
        <v/>
      </c>
      <c r="AA226" s="28">
        <f>IF(V226="A",MAX(1,IF(X226&lt;&gt;"",X226,IFERROR(VLOOKUP(V226,Assumptions!$A$8:$F$12,3,FALSE),3))+IF(Y226&lt;&gt;"",Y226,IFERROR(VLOOKUP(V226,Assumptions!$A$8:$F$12,4,FALSE),8))/2-MAX(0,IF(AS226="",0,YEAR(TODAY())-AS226)-IFERROR(VLOOKUP(V226,Assumptions!$A$8:$F$12,5,FALSE),1.5))),IFERROR(VLOOKUP(V226,Assumptions!$A$8:$F$12,5,FALSE),2.5)+IF(X226&lt;&gt;"",X226,IFERROR(VLOOKUP(V226,Assumptions!$A$8:$F$12,3,FALSE),3))+IF(Y226&lt;&gt;"",Y226,IFERROR(VLOOKUP(V226,Assumptions!$A$8:$F$12,4,FALSE),8))/2)</f>
        <v/>
      </c>
      <c r="AB226" s="24">
        <f>U226*Z226/(1+Assumptions!$B$3)^AA226</f>
        <v/>
      </c>
      <c r="AC226" s="27">
        <f>IF(U226=0,"",ROUND(AB226/U226*100,1))</f>
        <v/>
      </c>
      <c r="AD226" s="29">
        <f>AB226*Assumptions!$B$4</f>
        <v/>
      </c>
      <c r="AE226" s="27">
        <f>IF(U226=0,"",ROUND(AD226/U226*100,1))</f>
        <v/>
      </c>
      <c r="AF226" s="29">
        <f>AB226-AD226</f>
        <v/>
      </c>
      <c r="AG226" s="27">
        <f>IF(U226=0,"",ROUND((AB226-AD226)/U226*100,1))</f>
        <v/>
      </c>
      <c r="AH226" s="35" t="inlineStr">
        <is>
          <t>PARTIAL — class III reconciled, other classes not</t>
        </is>
      </c>
      <c r="AI226" s="31" t="inlineStr">
        <is>
          <t>https://lrflideres.com.br/wp-content/plugins/download-attachments/includes/download.php?id=6252</t>
        </is>
      </c>
      <c r="AJ226" s="30" t="inlineStr">
        <is>
          <t>p2 r42</t>
        </is>
      </c>
      <c r="AK226" s="30" t="inlineStr">
        <is>
          <t>p2: R$ 474.036,06</t>
        </is>
      </c>
      <c r="AL226" s="30" t="inlineStr">
        <is>
          <t>AJ list (art. 7 §2)</t>
        </is>
      </c>
      <c r="AM226" s="30" t="inlineStr">
        <is>
          <t>2024-11-27</t>
        </is>
      </c>
      <c r="AN226" s="30" t="inlineStr">
        <is>
          <t>NONE FOUND</t>
        </is>
      </c>
      <c r="AO226" s="32" t="inlineStr">
        <is>
          <t>0000721-61.2024.8.17.2620</t>
        </is>
      </c>
      <c r="AP226" s="32" t="inlineStr">
        <is>
          <t>TJPE</t>
        </is>
      </c>
      <c r="AQ226" s="32" t="inlineStr">
        <is>
          <t>Recuperação judicial</t>
        </is>
      </c>
      <c r="AR226" s="32" t="inlineStr">
        <is>
          <t>DataJud: no closure/falência movement</t>
        </is>
      </c>
      <c r="AS226" s="32" t="n">
        <v>2024</v>
      </c>
      <c r="AT226" s="32" t="inlineStr">
        <is>
          <t>live case, no plan document yet</t>
        </is>
      </c>
      <c r="AU226" s="32" t="inlineStr">
        <is>
          <t>08.785.522/0001-58</t>
        </is>
      </c>
      <c r="AV226" s="32" t="inlineStr">
        <is>
          <t>printed on the list (read twice)</t>
        </is>
      </c>
      <c r="AW226" s="32" t="inlineStr"/>
      <c r="AX226" s="32" t="inlineStr"/>
      <c r="AY226" s="32" t="inlineStr"/>
      <c r="AZ226" s="32" t="inlineStr"/>
      <c r="BA226" s="32" t="inlineStr"/>
      <c r="BB226" s="33" t="inlineStr"/>
      <c r="BC226" s="32" t="inlineStr">
        <is>
          <t>UNKNOWN</t>
        </is>
      </c>
      <c r="BD226" s="32" t="inlineStr">
        <is>
          <t>11597992</t>
        </is>
      </c>
      <c r="BE226" s="32" t="n">
        <v>1</v>
      </c>
      <c r="BF226" s="32" t="inlineStr">
        <is>
          <t>financial by name class III reconciled (doc partial) no RFB record no route in</t>
        </is>
      </c>
    </row>
    <row r="227">
      <c r="A227" s="17" t="inlineStr">
        <is>
          <t>BANCO BRADESCO S.A.</t>
        </is>
      </c>
      <c r="B227" s="18" t="n">
        <v>470302.13</v>
      </c>
      <c r="C227" s="19" t="inlineStr">
        <is>
          <t>Grupo Arruda (ARRUDA &amp; MELO REPRESENTACAO DE ALIMENTOS E BEBIDAS LTDA, ARRUDA &amp; MELO COMERCIO E DISTRIBUICAO DE ALIMENTOS E BEBIDAS LTDA, ARRUDA &amp; MELO COMERCIO E DISTRIBUICAO DE ALIMENTOS E BEBIDAS DA BAHIA LTDA)</t>
        </is>
      </c>
      <c r="D227" s="20" t="inlineStr">
        <is>
          <t>NEW</t>
        </is>
      </c>
      <c r="E227" s="21" t="inlineStr"/>
      <c r="F227" s="20" t="inlineStr"/>
      <c r="G227" s="21" t="inlineStr"/>
      <c r="H227" s="20" t="inlineStr"/>
      <c r="I227" s="22" t="inlineStr">
        <is>
          <t>Marcela Martins</t>
        </is>
      </c>
      <c r="J227" s="22" t="inlineStr">
        <is>
          <t>Superintendente de Recuperação de Crédito - Canais e Operações</t>
        </is>
      </c>
      <c r="K227" s="22" t="inlineStr">
        <is>
          <t>(11) 3684-5122</t>
        </is>
      </c>
      <c r="L227" s="22" t="inlineStr"/>
      <c r="M227" s="22" t="inlineStr"/>
      <c r="N227" s="22" t="inlineStr"/>
      <c r="O227" s="22" t="inlineStr"/>
      <c r="P227" s="22" t="inlineStr">
        <is>
          <t>Luis S</t>
        </is>
      </c>
      <c r="Q227" s="22" t="inlineStr">
        <is>
          <t>DRC - Departamento de Recuperação de Crédito - Gerente de Reestruturação de Crédito</t>
        </is>
      </c>
      <c r="R227" s="22" t="inlineStr"/>
      <c r="S227" s="22" t="inlineStr">
        <is>
          <t>sl@bradesco.com.br</t>
        </is>
      </c>
      <c r="T227" s="22" t="inlineStr">
        <is>
          <t>DM: DM; no work email in Apollo for DM; BACKUP: backup</t>
        </is>
      </c>
      <c r="U227" s="24" t="n">
        <v>470302.13</v>
      </c>
      <c r="V227" s="25" t="inlineStr">
        <is>
          <t>B</t>
        </is>
      </c>
      <c r="W227" s="26" t="inlineStr"/>
      <c r="X227" s="27" t="inlineStr"/>
      <c r="Y227" s="27" t="inlineStr"/>
      <c r="Z227" s="26">
        <f>IF(W227&lt;&gt;"",W227,IFERROR(VLOOKUP(V227,Assumptions!$A$8:$F$12,2,FALSE),0))*Assumptions!$B$5</f>
        <v/>
      </c>
      <c r="AA227" s="28">
        <f>IF(V227="A",MAX(1,IF(X227&lt;&gt;"",X227,IFERROR(VLOOKUP(V227,Assumptions!$A$8:$F$12,3,FALSE),3))+IF(Y227&lt;&gt;"",Y227,IFERROR(VLOOKUP(V227,Assumptions!$A$8:$F$12,4,FALSE),8))/2-MAX(0,IF(AS227="",0,YEAR(TODAY())-AS227)-IFERROR(VLOOKUP(V227,Assumptions!$A$8:$F$12,5,FALSE),1.5))),IFERROR(VLOOKUP(V227,Assumptions!$A$8:$F$12,5,FALSE),2.5)+IF(X227&lt;&gt;"",X227,IFERROR(VLOOKUP(V227,Assumptions!$A$8:$F$12,3,FALSE),3))+IF(Y227&lt;&gt;"",Y227,IFERROR(VLOOKUP(V227,Assumptions!$A$8:$F$12,4,FALSE),8))/2)</f>
        <v/>
      </c>
      <c r="AB227" s="24">
        <f>U227*Z227/(1+Assumptions!$B$3)^AA227</f>
        <v/>
      </c>
      <c r="AC227" s="27">
        <f>IF(U227=0,"",ROUND(AB227/U227*100,1))</f>
        <v/>
      </c>
      <c r="AD227" s="29">
        <f>AB227*Assumptions!$B$4</f>
        <v/>
      </c>
      <c r="AE227" s="27">
        <f>IF(U227=0,"",ROUND(AD227/U227*100,1))</f>
        <v/>
      </c>
      <c r="AF227" s="29">
        <f>AB227-AD227</f>
        <v/>
      </c>
      <c r="AG227" s="27">
        <f>IF(U227=0,"",ROUND((AB227-AD227)/U227*100,1))</f>
        <v/>
      </c>
      <c r="AH227" s="30" t="inlineStr">
        <is>
          <t>OK — totals reconciled</t>
        </is>
      </c>
      <c r="AI227" s="31" t="inlineStr">
        <is>
          <t>https://diligence.adm.br/wp-content/uploads/2025/06/Edital-1a-Lista-de-Credores.pdf</t>
        </is>
      </c>
      <c r="AJ227" s="30" t="inlineStr">
        <is>
          <t>p5 r49</t>
        </is>
      </c>
      <c r="AK227" s="30" t="inlineStr">
        <is>
          <t>p5: R$ 470.302,13</t>
        </is>
      </c>
      <c r="AL227" s="30" t="inlineStr">
        <is>
          <t>Debtor list (art. 51)</t>
        </is>
      </c>
      <c r="AM227" s="30" t="inlineStr">
        <is>
          <t>2025-06-10</t>
        </is>
      </c>
      <c r="AN227" s="30" t="inlineStr">
        <is>
          <t>NONE FOUND</t>
        </is>
      </c>
      <c r="AO227" s="32" t="inlineStr">
        <is>
          <t>0008526-45.2025.8.17.2001</t>
        </is>
      </c>
      <c r="AP227" s="32" t="inlineStr">
        <is>
          <t>TJPE</t>
        </is>
      </c>
      <c r="AQ227" s="32" t="inlineStr">
        <is>
          <t>Recuperação judicial</t>
        </is>
      </c>
      <c r="AR227" s="32" t="inlineStr">
        <is>
          <t>DataJud: no closure/falência movement</t>
        </is>
      </c>
      <c r="AS227" s="32" t="n">
        <v>2025</v>
      </c>
      <c r="AT227" s="32" t="inlineStr">
        <is>
          <t>live case, no plan document yet</t>
        </is>
      </c>
      <c r="AU227" s="32" t="inlineStr"/>
      <c r="AV227" s="32" t="inlineStr">
        <is>
          <t>printed on the list (read twice)</t>
        </is>
      </c>
      <c r="AW227" s="32" t="inlineStr"/>
      <c r="AX227" s="32" t="inlineStr">
        <is>
          <t>OSASCO</t>
        </is>
      </c>
      <c r="AY227" s="32" t="inlineStr">
        <is>
          <t>SP</t>
        </is>
      </c>
      <c r="AZ227" s="32" t="inlineStr">
        <is>
          <t>Bancos múltiplos, com carteira comercial</t>
        </is>
      </c>
      <c r="BA227" s="32" t="inlineStr">
        <is>
          <t>não ME/EPP</t>
        </is>
      </c>
      <c r="BB227" s="33" t="n">
        <v>93770000000</v>
      </c>
      <c r="BC227" s="32" t="inlineStr">
        <is>
          <t>LARGE CORP</t>
        </is>
      </c>
      <c r="BD227" s="32" t="inlineStr">
        <is>
          <t>60746948</t>
        </is>
      </c>
      <c r="BE227" s="32" t="n">
        <v>1</v>
      </c>
      <c r="BF227" s="32" t="inlineStr">
        <is>
          <t>financial by name</t>
        </is>
      </c>
    </row>
    <row r="228">
      <c r="A228" s="17" t="inlineStr">
        <is>
          <t>Sigma Credit Fundo De Investimento Em Direitos Creditorios</t>
        </is>
      </c>
      <c r="B228" s="18" t="n">
        <v>454617.6</v>
      </c>
      <c r="C228" s="19" t="inlineStr">
        <is>
          <t>Grupo Agromeal</t>
        </is>
      </c>
      <c r="D228" s="20" t="inlineStr">
        <is>
          <t>NEW</t>
        </is>
      </c>
      <c r="E228" s="21" t="inlineStr"/>
      <c r="F228" s="20" t="inlineStr"/>
      <c r="G228" s="21" t="inlineStr"/>
      <c r="H228" s="20" t="inlineStr"/>
      <c r="I228" s="22" t="inlineStr"/>
      <c r="J228" s="22" t="inlineStr"/>
      <c r="K228" s="22" t="inlineStr"/>
      <c r="L228" s="22" t="inlineStr"/>
      <c r="M228" s="22" t="inlineStr"/>
      <c r="N228" s="22" t="inlineStr"/>
      <c r="O228" s="22" t="inlineStr"/>
      <c r="P228" s="22" t="inlineStr"/>
      <c r="Q228" s="22" t="inlineStr"/>
      <c r="R228" s="22" t="inlineStr"/>
      <c r="S228" s="22" t="inlineStr"/>
      <c r="T228" s="22" t="inlineStr">
        <is>
          <t>no named contact found; NO ROUTE IN: no phone or email on file</t>
        </is>
      </c>
      <c r="U228" s="24" t="n">
        <v>454617.6</v>
      </c>
      <c r="V228" s="25" t="inlineStr">
        <is>
          <t>B</t>
        </is>
      </c>
      <c r="W228" s="26" t="inlineStr"/>
      <c r="X228" s="27" t="inlineStr"/>
      <c r="Y228" s="27" t="inlineStr"/>
      <c r="Z228" s="26">
        <f>IF(W228&lt;&gt;"",W228,IFERROR(VLOOKUP(V228,Assumptions!$A$8:$F$12,2,FALSE),0))*Assumptions!$B$5</f>
        <v/>
      </c>
      <c r="AA228" s="28">
        <f>IF(V228="A",MAX(1,IF(X228&lt;&gt;"",X228,IFERROR(VLOOKUP(V228,Assumptions!$A$8:$F$12,3,FALSE),3))+IF(Y228&lt;&gt;"",Y228,IFERROR(VLOOKUP(V228,Assumptions!$A$8:$F$12,4,FALSE),8))/2-MAX(0,IF(AS228="",0,YEAR(TODAY())-AS228)-IFERROR(VLOOKUP(V228,Assumptions!$A$8:$F$12,5,FALSE),1.5))),IFERROR(VLOOKUP(V228,Assumptions!$A$8:$F$12,5,FALSE),2.5)+IF(X228&lt;&gt;"",X228,IFERROR(VLOOKUP(V228,Assumptions!$A$8:$F$12,3,FALSE),3))+IF(Y228&lt;&gt;"",Y228,IFERROR(VLOOKUP(V228,Assumptions!$A$8:$F$12,4,FALSE),8))/2)</f>
        <v/>
      </c>
      <c r="AB228" s="24">
        <f>U228*Z228/(1+Assumptions!$B$3)^AA228</f>
        <v/>
      </c>
      <c r="AC228" s="27">
        <f>IF(U228=0,"",ROUND(AB228/U228*100,1))</f>
        <v/>
      </c>
      <c r="AD228" s="29">
        <f>AB228*Assumptions!$B$4</f>
        <v/>
      </c>
      <c r="AE228" s="27">
        <f>IF(U228=0,"",ROUND(AD228/U228*100,1))</f>
        <v/>
      </c>
      <c r="AF228" s="29">
        <f>AB228-AD228</f>
        <v/>
      </c>
      <c r="AG228" s="27">
        <f>IF(U228=0,"",ROUND((AB228-AD228)/U228*100,1))</f>
        <v/>
      </c>
      <c r="AH228" s="35" t="inlineStr">
        <is>
          <t>PARTIAL — class III reconciled, other classes not</t>
        </is>
      </c>
      <c r="AI228" s="31" t="inlineStr">
        <is>
          <t>https://marquesadmjudicial.com.br/sgc/download.php?file=files/processo_documento/processo_documento17040729052024_1_.pdf&amp;nome=Relação Nominal de Credores AJ-Sintética</t>
        </is>
      </c>
      <c r="AJ228" s="30" t="inlineStr">
        <is>
          <t>p13 r5</t>
        </is>
      </c>
      <c r="AK228" s="30" t="inlineStr">
        <is>
          <t>p13: R$ 454.617,60</t>
        </is>
      </c>
      <c r="AL228" s="30" t="inlineStr">
        <is>
          <t>AJ list (art. 7 §2)</t>
        </is>
      </c>
      <c r="AM228" s="30" t="inlineStr">
        <is>
          <t>2024-05-27</t>
        </is>
      </c>
      <c r="AN228" s="30" t="inlineStr">
        <is>
          <t>NONE FOUND</t>
        </is>
      </c>
      <c r="AO228" s="32" t="inlineStr">
        <is>
          <t>0003971-03.2023.8.16.0119</t>
        </is>
      </c>
      <c r="AP228" s="32" t="inlineStr">
        <is>
          <t>TJPR</t>
        </is>
      </c>
      <c r="AQ228" s="32" t="inlineStr">
        <is>
          <t>Recuperação judicial</t>
        </is>
      </c>
      <c r="AR228" s="32" t="inlineStr">
        <is>
          <t>DataJud: no closure/falência movement</t>
        </is>
      </c>
      <c r="AS228" s="32" t="n">
        <v>2023</v>
      </c>
      <c r="AT228" s="32" t="inlineStr">
        <is>
          <t>live case, no plan document yet</t>
        </is>
      </c>
      <c r="AU228" s="32" t="inlineStr">
        <is>
          <t>11.624.776/0001-07</t>
        </is>
      </c>
      <c r="AV228" s="32" t="inlineStr">
        <is>
          <t>printed on the list (read twice)</t>
        </is>
      </c>
      <c r="AW228" s="32" t="inlineStr"/>
      <c r="AX228" s="32" t="inlineStr"/>
      <c r="AY228" s="32" t="inlineStr"/>
      <c r="AZ228" s="32" t="inlineStr"/>
      <c r="BA228" s="32" t="inlineStr"/>
      <c r="BB228" s="33" t="inlineStr"/>
      <c r="BC228" s="32" t="inlineStr">
        <is>
          <t>UNKNOWN</t>
        </is>
      </c>
      <c r="BD228" s="32" t="inlineStr">
        <is>
          <t>29236426</t>
        </is>
      </c>
      <c r="BE228" s="32" t="n">
        <v>1</v>
      </c>
      <c r="BF228" s="32" t="inlineStr">
        <is>
          <t>financial by name class III reconciled (doc partial) no RFB record no route in</t>
        </is>
      </c>
    </row>
    <row r="229">
      <c r="A229" s="17" t="inlineStr">
        <is>
          <t>Audax Capital Fundo de Investimento em Direitos Creditórios</t>
        </is>
      </c>
      <c r="B229" s="18" t="n">
        <v>1945689.5</v>
      </c>
      <c r="C229" s="19" t="inlineStr">
        <is>
          <t>GRUPO 3E</t>
        </is>
      </c>
      <c r="D229" s="20" t="inlineStr">
        <is>
          <t>NEW</t>
        </is>
      </c>
      <c r="E229" s="21" t="inlineStr"/>
      <c r="F229" s="20" t="inlineStr"/>
      <c r="G229" s="21" t="inlineStr"/>
      <c r="H229" s="20" t="inlineStr"/>
      <c r="I229" s="22" t="inlineStr">
        <is>
          <t>Jessica Clemente</t>
        </is>
      </c>
      <c r="J229" s="22" t="inlineStr">
        <is>
          <t>Gestora de Carteira</t>
        </is>
      </c>
      <c r="K229" s="22" t="inlineStr"/>
      <c r="L229" s="22" t="inlineStr"/>
      <c r="M229" s="22" t="inlineStr"/>
      <c r="N229" s="22" t="inlineStr">
        <is>
          <t>jessica.clemente@audaxcapitalsa.com.br</t>
        </is>
      </c>
      <c r="O229" s="22" t="inlineStr">
        <is>
          <t>verified</t>
        </is>
      </c>
      <c r="P229" s="22" t="inlineStr">
        <is>
          <t>Kaleby Caetano</t>
        </is>
      </c>
      <c r="Q229" s="22" t="inlineStr">
        <is>
          <t>Gestor de Operações Estruturadas</t>
        </is>
      </c>
      <c r="R229" s="22" t="inlineStr"/>
      <c r="S229" s="22" t="inlineStr">
        <is>
          <t>kaleby.caetano@audaxcapitalsa.com.br</t>
        </is>
      </c>
      <c r="T229" s="22" t="inlineStr">
        <is>
          <t>DM is not a finance role (Gestora de Carteira); DM: DM verified email; BACKUP: backup verified email</t>
        </is>
      </c>
      <c r="U229" s="24" t="n">
        <v>1945689.5</v>
      </c>
      <c r="V229" s="25" t="inlineStr">
        <is>
          <t>B</t>
        </is>
      </c>
      <c r="W229" s="26" t="n">
        <v>0.12</v>
      </c>
      <c r="X229" s="27" t="n">
        <v>2</v>
      </c>
      <c r="Y229" s="27" t="n">
        <v>13</v>
      </c>
      <c r="Z229" s="26">
        <f>IF(W229&lt;&gt;"",W229,IFERROR(VLOOKUP(V229,Assumptions!$A$8:$F$12,2,FALSE),0))*Assumptions!$B$5</f>
        <v/>
      </c>
      <c r="AA229" s="28">
        <f>IF(V229="A",MAX(1,IF(X229&lt;&gt;"",X229,IFERROR(VLOOKUP(V229,Assumptions!$A$8:$F$12,3,FALSE),3))+IF(Y229&lt;&gt;"",Y229,IFERROR(VLOOKUP(V229,Assumptions!$A$8:$F$12,4,FALSE),8))/2-MAX(0,IF(AS229="",0,YEAR(TODAY())-AS229)-IFERROR(VLOOKUP(V229,Assumptions!$A$8:$F$12,5,FALSE),1.5))),IFERROR(VLOOKUP(V229,Assumptions!$A$8:$F$12,5,FALSE),2.5)+IF(X229&lt;&gt;"",X229,IFERROR(VLOOKUP(V229,Assumptions!$A$8:$F$12,3,FALSE),3))+IF(Y229&lt;&gt;"",Y229,IFERROR(VLOOKUP(V229,Assumptions!$A$8:$F$12,4,FALSE),8))/2)</f>
        <v/>
      </c>
      <c r="AB229" s="24">
        <f>U229*Z229/(1+Assumptions!$B$3)^AA229</f>
        <v/>
      </c>
      <c r="AC229" s="27">
        <f>IF(U229=0,"",ROUND(AB229/U229*100,1))</f>
        <v/>
      </c>
      <c r="AD229" s="29">
        <f>AB229*Assumptions!$B$4</f>
        <v/>
      </c>
      <c r="AE229" s="27">
        <f>IF(U229=0,"",ROUND(AD229/U229*100,1))</f>
        <v/>
      </c>
      <c r="AF229" s="29">
        <f>AB229-AD229</f>
        <v/>
      </c>
      <c r="AG229" s="27">
        <f>IF(U229=0,"",ROUND((AB229-AD229)/U229*100,1))</f>
        <v/>
      </c>
      <c r="AH229" s="34" t="inlineStr">
        <is>
          <t>NO TOTALS — list prints none; check page</t>
        </is>
      </c>
      <c r="AI229" s="31" t="inlineStr">
        <is>
          <t>https://stenius.com.br/wp-content/uploads/2026/06/EDITAL-GRUPO-3E.pdf</t>
        </is>
      </c>
      <c r="AJ229" s="30" t="inlineStr">
        <is>
          <t>p10 r19</t>
        </is>
      </c>
      <c r="AK229" s="30" t="inlineStr">
        <is>
          <t>p10: R$ 1.945.689,50</t>
        </is>
      </c>
      <c r="AL229" s="30" t="inlineStr">
        <is>
          <t>Debtor list (art. 51)</t>
        </is>
      </c>
      <c r="AM229" s="30" t="inlineStr">
        <is>
          <t>2026-06-22</t>
        </is>
      </c>
      <c r="AN229" s="30" t="inlineStr">
        <is>
          <t>PLAN FILED (art. 53), not granted</t>
        </is>
      </c>
      <c r="AO229" s="32" t="inlineStr">
        <is>
          <t>5341375-33.2026.8.09.0049</t>
        </is>
      </c>
      <c r="AP229" s="32" t="inlineStr">
        <is>
          <t>TJGO</t>
        </is>
      </c>
      <c r="AQ229" s="32" t="inlineStr">
        <is>
          <t>Recuperação judicial</t>
        </is>
      </c>
      <c r="AR229" s="32" t="inlineStr">
        <is>
          <t>DataJud: no closure/falência movement</t>
        </is>
      </c>
      <c r="AS229" s="32" t="n">
        <v>2026</v>
      </c>
      <c r="AT229" s="32" t="inlineStr">
        <is>
          <t>plan filed (art. 53), not yet granted</t>
        </is>
      </c>
      <c r="AU229" s="32" t="inlineStr"/>
      <c r="AV229" s="32" t="inlineStr">
        <is>
          <t>printed on the list (read twice)</t>
        </is>
      </c>
      <c r="AW229" s="32" t="inlineStr">
        <is>
          <t>Plano de Recuperação Judicial Grupo 3E v2.0 (Métis), mov. 321, pp.24-25</t>
        </is>
      </c>
      <c r="AX229" s="32" t="inlineStr"/>
      <c r="AY229" s="32" t="inlineStr"/>
      <c r="AZ229" s="32" t="inlineStr"/>
      <c r="BA229" s="32" t="inlineStr"/>
      <c r="BB229" s="33" t="inlineStr"/>
      <c r="BC229" s="32" t="inlineStr">
        <is>
          <t>UNKNOWN</t>
        </is>
      </c>
      <c r="BD229" s="32" t="inlineStr">
        <is>
          <t>40895649</t>
        </is>
      </c>
      <c r="BE229" s="32" t="n">
        <v>1</v>
      </c>
      <c r="BF229" s="32" t="inlineStr">
        <is>
          <t>financial by name list prints no totals no RFB record</t>
        </is>
      </c>
    </row>
    <row r="230">
      <c r="A230" s="17" t="inlineStr">
        <is>
          <t>COOPERATIVA DE CREDITO UNICRED DESBRAVADORA LTDA - UNICRED DESBRAVADORA</t>
        </is>
      </c>
      <c r="B230" s="18" t="n">
        <v>438524.11</v>
      </c>
      <c r="C230" s="19" t="inlineStr">
        <is>
          <t>Alto Uruguai Indústria e Comércio de Óleos Ltda</t>
        </is>
      </c>
      <c r="D230" s="20" t="inlineStr">
        <is>
          <t>NEW</t>
        </is>
      </c>
      <c r="E230" s="21" t="inlineStr"/>
      <c r="F230" s="20" t="inlineStr"/>
      <c r="G230" s="21" t="inlineStr"/>
      <c r="H230" s="20" t="inlineStr"/>
      <c r="I230" s="22" t="inlineStr">
        <is>
          <t>Mileide Medeiros</t>
        </is>
      </c>
      <c r="J230" s="22" t="inlineStr">
        <is>
          <t>Gerente de Negócios na Unicred Desbravadora</t>
        </is>
      </c>
      <c r="K230" s="22" t="inlineStr"/>
      <c r="L230" s="22" t="inlineStr"/>
      <c r="M230" s="22" t="inlineStr"/>
      <c r="N230" s="22" t="inlineStr">
        <is>
          <t>mileide.klitzke@unicred.com.br</t>
        </is>
      </c>
      <c r="O230" s="22" t="inlineStr">
        <is>
          <t>verified</t>
        </is>
      </c>
      <c r="P230" s="22" t="inlineStr">
        <is>
          <t>Volnei Borsatto</t>
        </is>
      </c>
      <c r="Q230" s="22" t="inlineStr">
        <is>
          <t>Gerente Agencia Unicred Desbravadora</t>
        </is>
      </c>
      <c r="R230" s="22" t="inlineStr"/>
      <c r="S230" s="22" t="inlineStr">
        <is>
          <t>volnei.borsatto@unicred.com.br</t>
        </is>
      </c>
      <c r="T230" s="22" t="inlineStr">
        <is>
          <t>DM: DM verified email; VERIFY org: Unicred - Núcleo Conexão; BACKUP: backup extrapolated email; backup email is pattern-guessed</t>
        </is>
      </c>
      <c r="U230" s="24" t="n">
        <v>438524.11</v>
      </c>
      <c r="V230" s="25" t="inlineStr">
        <is>
          <t>B</t>
        </is>
      </c>
      <c r="W230" s="26" t="inlineStr"/>
      <c r="X230" s="27" t="inlineStr"/>
      <c r="Y230" s="27" t="inlineStr"/>
      <c r="Z230" s="26">
        <f>IF(W230&lt;&gt;"",W230,IFERROR(VLOOKUP(V230,Assumptions!$A$8:$F$12,2,FALSE),0))*Assumptions!$B$5</f>
        <v/>
      </c>
      <c r="AA230" s="28">
        <f>IF(V230="A",MAX(1,IF(X230&lt;&gt;"",X230,IFERROR(VLOOKUP(V230,Assumptions!$A$8:$F$12,3,FALSE),3))+IF(Y230&lt;&gt;"",Y230,IFERROR(VLOOKUP(V230,Assumptions!$A$8:$F$12,4,FALSE),8))/2-MAX(0,IF(AS230="",0,YEAR(TODAY())-AS230)-IFERROR(VLOOKUP(V230,Assumptions!$A$8:$F$12,5,FALSE),1.5))),IFERROR(VLOOKUP(V230,Assumptions!$A$8:$F$12,5,FALSE),2.5)+IF(X230&lt;&gt;"",X230,IFERROR(VLOOKUP(V230,Assumptions!$A$8:$F$12,3,FALSE),3))+IF(Y230&lt;&gt;"",Y230,IFERROR(VLOOKUP(V230,Assumptions!$A$8:$F$12,4,FALSE),8))/2)</f>
        <v/>
      </c>
      <c r="AB230" s="24">
        <f>U230*Z230/(1+Assumptions!$B$3)^AA230</f>
        <v/>
      </c>
      <c r="AC230" s="27">
        <f>IF(U230=0,"",ROUND(AB230/U230*100,1))</f>
        <v/>
      </c>
      <c r="AD230" s="29">
        <f>AB230*Assumptions!$B$4</f>
        <v/>
      </c>
      <c r="AE230" s="27">
        <f>IF(U230=0,"",ROUND(AD230/U230*100,1))</f>
        <v/>
      </c>
      <c r="AF230" s="29">
        <f>AB230-AD230</f>
        <v/>
      </c>
      <c r="AG230" s="27">
        <f>IF(U230=0,"",ROUND((AB230-AD230)/U230*100,1))</f>
        <v/>
      </c>
      <c r="AH230" s="30" t="inlineStr">
        <is>
          <t>OK — totals reconciled</t>
        </is>
      </c>
      <c r="AI230" s="31" t="inlineStr">
        <is>
          <t>https://ajruiz.com.br/sites/default/files/public/arquivos-processos/2026-06/alto_uruguai_qgc_junho.2026.pdf</t>
        </is>
      </c>
      <c r="AJ230" s="30" t="inlineStr">
        <is>
          <t>p1 r20</t>
        </is>
      </c>
      <c r="AK230" s="30" t="inlineStr">
        <is>
          <t>p1: R$ 438.524,11</t>
        </is>
      </c>
      <c r="AL230" s="30" t="inlineStr">
        <is>
          <t>Unclassified list</t>
        </is>
      </c>
      <c r="AM230" s="30" t="inlineStr"/>
      <c r="AN230" s="30" t="inlineStr">
        <is>
          <t>NONE FOUND</t>
        </is>
      </c>
      <c r="AO230" s="32" t="inlineStr">
        <is>
          <t>5012743-51.2023.8.24.0019</t>
        </is>
      </c>
      <c r="AP230" s="32" t="inlineStr">
        <is>
          <t>TJSC</t>
        </is>
      </c>
      <c r="AQ230" s="32" t="inlineStr">
        <is>
          <t>Recuperação judicial</t>
        </is>
      </c>
      <c r="AR230" s="32" t="inlineStr">
        <is>
          <t>DataJud: no closure/falência movement</t>
        </is>
      </c>
      <c r="AS230" s="32" t="n">
        <v>2023</v>
      </c>
      <c r="AT230" s="32" t="inlineStr">
        <is>
          <t>live case, no plan document yet</t>
        </is>
      </c>
      <c r="AU230" s="32" t="inlineStr"/>
      <c r="AV230" s="32" t="inlineStr">
        <is>
          <t>printed on the list (read twice)</t>
        </is>
      </c>
      <c r="AW230" s="32" t="inlineStr"/>
      <c r="AX230" s="32" t="inlineStr"/>
      <c r="AY230" s="32" t="inlineStr"/>
      <c r="AZ230" s="32" t="inlineStr"/>
      <c r="BA230" s="32" t="inlineStr"/>
      <c r="BB230" s="33" t="inlineStr"/>
      <c r="BC230" s="32" t="inlineStr">
        <is>
          <t>UNKNOWN</t>
        </is>
      </c>
      <c r="BD230" s="32" t="inlineStr">
        <is>
          <t>01039011</t>
        </is>
      </c>
      <c r="BE230" s="32" t="n">
        <v>1</v>
      </c>
      <c r="BF230" s="32" t="inlineStr">
        <is>
          <t>financial by name no RFB record</t>
        </is>
      </c>
    </row>
    <row r="231">
      <c r="A231" s="17" t="inlineStr">
        <is>
          <t>3F CAPITAL SECURITIZADORA S/A</t>
        </is>
      </c>
      <c r="B231" s="18" t="n">
        <v>436694.72</v>
      </c>
      <c r="C231" s="19" t="inlineStr">
        <is>
          <t>GRUPO DIVINA</t>
        </is>
      </c>
      <c r="D231" s="20" t="inlineStr">
        <is>
          <t>NEW</t>
        </is>
      </c>
      <c r="E231" s="21" t="inlineStr"/>
      <c r="F231" s="20" t="inlineStr"/>
      <c r="G231" s="21" t="inlineStr"/>
      <c r="H231" s="20" t="inlineStr"/>
      <c r="I231" s="22" t="inlineStr">
        <is>
          <t>Flavio Quindere</t>
        </is>
      </c>
      <c r="J231" s="22" t="inlineStr">
        <is>
          <t>Diretor Financeiro e de Crédito - 3F Capital Securitizadora S/A</t>
        </is>
      </c>
      <c r="K231" s="22" t="inlineStr"/>
      <c r="L231" s="22" t="inlineStr"/>
      <c r="M231" s="22" t="inlineStr"/>
      <c r="N231" s="22" t="inlineStr">
        <is>
          <t>flavio@3fmulti.com.br</t>
        </is>
      </c>
      <c r="O231" s="22" t="inlineStr">
        <is>
          <t>verified</t>
        </is>
      </c>
      <c r="P231" s="22" t="inlineStr">
        <is>
          <t>Fernando Barbosa</t>
        </is>
      </c>
      <c r="Q231" s="22" t="inlineStr">
        <is>
          <t>Diretor Administrativo / Comercial - 3F Capital Securitizadora S/A</t>
        </is>
      </c>
      <c r="R231" s="22" t="inlineStr"/>
      <c r="S231" s="22" t="inlineStr">
        <is>
          <t>fernando@3fmulti.com.br</t>
        </is>
      </c>
      <c r="T231" s="22" t="inlineStr">
        <is>
          <t>DM: DM verified email; BACKUP: backup verified email</t>
        </is>
      </c>
      <c r="U231" s="24" t="n">
        <v>436694.72</v>
      </c>
      <c r="V231" s="25" t="inlineStr">
        <is>
          <t>B</t>
        </is>
      </c>
      <c r="W231" s="26" t="inlineStr"/>
      <c r="X231" s="27" t="inlineStr"/>
      <c r="Y231" s="27" t="inlineStr"/>
      <c r="Z231" s="26">
        <f>IF(W231&lt;&gt;"",W231,IFERROR(VLOOKUP(V231,Assumptions!$A$8:$F$12,2,FALSE),0))*Assumptions!$B$5</f>
        <v/>
      </c>
      <c r="AA231" s="28">
        <f>IF(V231="A",MAX(1,IF(X231&lt;&gt;"",X231,IFERROR(VLOOKUP(V231,Assumptions!$A$8:$F$12,3,FALSE),3))+IF(Y231&lt;&gt;"",Y231,IFERROR(VLOOKUP(V231,Assumptions!$A$8:$F$12,4,FALSE),8))/2-MAX(0,IF(AS231="",0,YEAR(TODAY())-AS231)-IFERROR(VLOOKUP(V231,Assumptions!$A$8:$F$12,5,FALSE),1.5))),IFERROR(VLOOKUP(V231,Assumptions!$A$8:$F$12,5,FALSE),2.5)+IF(X231&lt;&gt;"",X231,IFERROR(VLOOKUP(V231,Assumptions!$A$8:$F$12,3,FALSE),3))+IF(Y231&lt;&gt;"",Y231,IFERROR(VLOOKUP(V231,Assumptions!$A$8:$F$12,4,FALSE),8))/2)</f>
        <v/>
      </c>
      <c r="AB231" s="24">
        <f>U231*Z231/(1+Assumptions!$B$3)^AA231</f>
        <v/>
      </c>
      <c r="AC231" s="27">
        <f>IF(U231=0,"",ROUND(AB231/U231*100,1))</f>
        <v/>
      </c>
      <c r="AD231" s="29">
        <f>AB231*Assumptions!$B$4</f>
        <v/>
      </c>
      <c r="AE231" s="27">
        <f>IF(U231=0,"",ROUND(AD231/U231*100,1))</f>
        <v/>
      </c>
      <c r="AF231" s="29">
        <f>AB231-AD231</f>
        <v/>
      </c>
      <c r="AG231" s="27">
        <f>IF(U231=0,"",ROUND((AB231-AD231)/U231*100,1))</f>
        <v/>
      </c>
      <c r="AH231" s="35" t="inlineStr">
        <is>
          <t>PARTIAL — class III reconciled, other classes not</t>
        </is>
      </c>
      <c r="AI231" s="31" t="inlineStr">
        <is>
          <t>https://lrflideres.com.br/wp-content/plugins/download-attachments/includes/download.php?id=6252</t>
        </is>
      </c>
      <c r="AJ231" s="30" t="inlineStr">
        <is>
          <t>p2 r3</t>
        </is>
      </c>
      <c r="AK231" s="30" t="inlineStr">
        <is>
          <t>p2: R$ 436.694,72</t>
        </is>
      </c>
      <c r="AL231" s="30" t="inlineStr">
        <is>
          <t>AJ list (art. 7 §2)</t>
        </is>
      </c>
      <c r="AM231" s="30" t="inlineStr">
        <is>
          <t>2024-11-27</t>
        </is>
      </c>
      <c r="AN231" s="30" t="inlineStr">
        <is>
          <t>NONE FOUND</t>
        </is>
      </c>
      <c r="AO231" s="32" t="inlineStr">
        <is>
          <t>0000721-61.2024.8.17.2620</t>
        </is>
      </c>
      <c r="AP231" s="32" t="inlineStr">
        <is>
          <t>TJPE</t>
        </is>
      </c>
      <c r="AQ231" s="32" t="inlineStr">
        <is>
          <t>Recuperação judicial</t>
        </is>
      </c>
      <c r="AR231" s="32" t="inlineStr">
        <is>
          <t>DataJud: no closure/falência movement</t>
        </is>
      </c>
      <c r="AS231" s="32" t="n">
        <v>2024</v>
      </c>
      <c r="AT231" s="32" t="inlineStr">
        <is>
          <t>live case, no plan document yet</t>
        </is>
      </c>
      <c r="AU231" s="32" t="inlineStr">
        <is>
          <t>08.785.522/0001-58</t>
        </is>
      </c>
      <c r="AV231" s="32" t="inlineStr">
        <is>
          <t>printed on the list (read twice)</t>
        </is>
      </c>
      <c r="AW231" s="32" t="inlineStr"/>
      <c r="AX231" s="32" t="inlineStr"/>
      <c r="AY231" s="32" t="inlineStr"/>
      <c r="AZ231" s="32" t="inlineStr"/>
      <c r="BA231" s="32" t="inlineStr"/>
      <c r="BB231" s="33" t="inlineStr"/>
      <c r="BC231" s="32" t="inlineStr">
        <is>
          <t>UNKNOWN</t>
        </is>
      </c>
      <c r="BD231" s="32" t="inlineStr">
        <is>
          <t>43552951</t>
        </is>
      </c>
      <c r="BE231" s="32" t="n">
        <v>1</v>
      </c>
      <c r="BF231" s="32" t="inlineStr">
        <is>
          <t>financial by name class III reconciled (doc partial) no RFB record</t>
        </is>
      </c>
    </row>
    <row r="232">
      <c r="A232" s="17" t="inlineStr">
        <is>
          <t>UNIPRIME NORTE DO PARANA - COOPERATIVA DE CREDITO LTDA</t>
        </is>
      </c>
      <c r="B232" s="18" t="n">
        <v>436176.52</v>
      </c>
      <c r="C232" s="19" t="inlineStr">
        <is>
          <t>FLAVOUR MIX IND. E REP. ALIM. E INGR. QUÍMICOS LTDA.</t>
        </is>
      </c>
      <c r="D232" s="20" t="inlineStr">
        <is>
          <t>NEW</t>
        </is>
      </c>
      <c r="E232" s="21" t="inlineStr"/>
      <c r="F232" s="20" t="inlineStr"/>
      <c r="G232" s="21" t="inlineStr"/>
      <c r="H232" s="20" t="inlineStr"/>
      <c r="I232" s="22" t="inlineStr">
        <is>
          <t>Tiago Cheira</t>
        </is>
      </c>
      <c r="J232" s="22" t="inlineStr">
        <is>
          <t>Credit Manager</t>
        </is>
      </c>
      <c r="K232" s="22" t="inlineStr"/>
      <c r="L232" s="22" t="inlineStr"/>
      <c r="M232" s="22" t="inlineStr"/>
      <c r="N232" s="22" t="inlineStr"/>
      <c r="O232" s="22" t="inlineStr"/>
      <c r="P232" s="22" t="inlineStr">
        <is>
          <t>Diogo Zulpo</t>
        </is>
      </c>
      <c r="Q232" s="22" t="inlineStr">
        <is>
          <t>Supervisor de Recuperação de Crédito</t>
        </is>
      </c>
      <c r="R232" s="22" t="inlineStr"/>
      <c r="S232" s="22" t="inlineStr">
        <is>
          <t>diogo.4401@uniprimeiguacu.com.br</t>
        </is>
      </c>
      <c r="T232" s="22" t="inlineStr">
        <is>
          <t>DM: DM VERIFY org: Uniprime Central Nacional; VERIFY org: no 'Uniprime Norte do Paraná' org in Apollo; picks are Uniprime Central Nacional / Uniprime do Iguaçu / Uniprime Pioneira; no work email in Apollo for DM; BACKUP: backup VERIFY org: Uniprime do Iguaçu</t>
        </is>
      </c>
      <c r="U232" s="24" t="n">
        <v>436176.52</v>
      </c>
      <c r="V232" s="25" t="inlineStr">
        <is>
          <t>B</t>
        </is>
      </c>
      <c r="W232" s="26" t="inlineStr"/>
      <c r="X232" s="27" t="inlineStr"/>
      <c r="Y232" s="27" t="inlineStr"/>
      <c r="Z232" s="26">
        <f>IF(W232&lt;&gt;"",W232,IFERROR(VLOOKUP(V232,Assumptions!$A$8:$F$12,2,FALSE),0))*Assumptions!$B$5</f>
        <v/>
      </c>
      <c r="AA232" s="28">
        <f>IF(V232="A",MAX(1,IF(X232&lt;&gt;"",X232,IFERROR(VLOOKUP(V232,Assumptions!$A$8:$F$12,3,FALSE),3))+IF(Y232&lt;&gt;"",Y232,IFERROR(VLOOKUP(V232,Assumptions!$A$8:$F$12,4,FALSE),8))/2-MAX(0,IF(AS232="",0,YEAR(TODAY())-AS232)-IFERROR(VLOOKUP(V232,Assumptions!$A$8:$F$12,5,FALSE),1.5))),IFERROR(VLOOKUP(V232,Assumptions!$A$8:$F$12,5,FALSE),2.5)+IF(X232&lt;&gt;"",X232,IFERROR(VLOOKUP(V232,Assumptions!$A$8:$F$12,3,FALSE),3))+IF(Y232&lt;&gt;"",Y232,IFERROR(VLOOKUP(V232,Assumptions!$A$8:$F$12,4,FALSE),8))/2)</f>
        <v/>
      </c>
      <c r="AB232" s="24">
        <f>U232*Z232/(1+Assumptions!$B$3)^AA232</f>
        <v/>
      </c>
      <c r="AC232" s="27">
        <f>IF(U232=0,"",ROUND(AB232/U232*100,1))</f>
        <v/>
      </c>
      <c r="AD232" s="29">
        <f>AB232*Assumptions!$B$4</f>
        <v/>
      </c>
      <c r="AE232" s="27">
        <f>IF(U232=0,"",ROUND(AD232/U232*100,1))</f>
        <v/>
      </c>
      <c r="AF232" s="29">
        <f>AB232-AD232</f>
        <v/>
      </c>
      <c r="AG232" s="27">
        <f>IF(U232=0,"",ROUND((AB232-AD232)/U232*100,1))</f>
        <v/>
      </c>
      <c r="AH232" s="34" t="inlineStr">
        <is>
          <t>NO TOTALS — list prints none; check page</t>
        </is>
      </c>
      <c r="AI232" s="31" t="inlineStr">
        <is>
          <t>https://ativosajce.com.br/admin/download.php?file=files/processo_documento/processo_documento13422625032025_1_.pdf&amp;nome=Relação de Credores - Art. 52º § 1º, da Lei nº 11.101/2005 - 25/02/2025</t>
        </is>
      </c>
      <c r="AJ232" s="30" t="inlineStr">
        <is>
          <t>p5 r45</t>
        </is>
      </c>
      <c r="AK232" s="30" t="inlineStr">
        <is>
          <t>p5: R$ 436.176,52</t>
        </is>
      </c>
      <c r="AL232" s="30" t="inlineStr">
        <is>
          <t>Unclassified list</t>
        </is>
      </c>
      <c r="AM232" s="30" t="inlineStr">
        <is>
          <t>2025-02-28</t>
        </is>
      </c>
      <c r="AN232" s="30" t="inlineStr">
        <is>
          <t>NONE FOUND</t>
        </is>
      </c>
      <c r="AO232" s="32" t="inlineStr">
        <is>
          <t>1000119-75.2025.8.26.0354</t>
        </is>
      </c>
      <c r="AP232" s="32" t="inlineStr">
        <is>
          <t>TJSP</t>
        </is>
      </c>
      <c r="AQ232" s="32" t="inlineStr">
        <is>
          <t>Recuperação judicial</t>
        </is>
      </c>
      <c r="AR232" s="32" t="inlineStr">
        <is>
          <t>DataJud: no closure/falência movement</t>
        </is>
      </c>
      <c r="AS232" s="32" t="n">
        <v>2025</v>
      </c>
      <c r="AT232" s="32" t="inlineStr">
        <is>
          <t>live case, no plan document yet; case no. from the portal record, not printed on the list</t>
        </is>
      </c>
      <c r="AU232" s="32" t="inlineStr">
        <is>
          <t>09.357.504/0001-38</t>
        </is>
      </c>
      <c r="AV232" s="32" t="inlineStr">
        <is>
          <t>printed on the list (read twice)</t>
        </is>
      </c>
      <c r="AW232" s="32" t="inlineStr"/>
      <c r="AX232" s="32" t="inlineStr"/>
      <c r="AY232" s="32" t="inlineStr"/>
      <c r="AZ232" s="32" t="inlineStr"/>
      <c r="BA232" s="32" t="inlineStr"/>
      <c r="BB232" s="33" t="inlineStr"/>
      <c r="BC232" s="32" t="inlineStr">
        <is>
          <t>UNKNOWN</t>
        </is>
      </c>
      <c r="BD232" s="32" t="inlineStr">
        <is>
          <t>02398976</t>
        </is>
      </c>
      <c r="BE232" s="32" t="n">
        <v>1</v>
      </c>
      <c r="BF232" s="32" t="inlineStr">
        <is>
          <t>financial by name list prints no totals no RFB record</t>
        </is>
      </c>
    </row>
    <row r="233">
      <c r="A233" s="17" t="inlineStr">
        <is>
          <t>BANCO RURAL S.A - EM LIQUIDACAO EXTRAJUDICIAL</t>
        </is>
      </c>
      <c r="B233" s="18" t="n">
        <v>3094127.99</v>
      </c>
      <c r="C233" s="19" t="inlineStr">
        <is>
          <t>COPA FRUIT IMPORTAÇÃO E EXPORTAÇÃO S.A</t>
        </is>
      </c>
      <c r="D233" s="20" t="inlineStr">
        <is>
          <t>NEW</t>
        </is>
      </c>
      <c r="E233" s="21" t="inlineStr"/>
      <c r="F233" s="20" t="inlineStr"/>
      <c r="G233" s="21" t="inlineStr"/>
      <c r="H233" s="20" t="inlineStr"/>
      <c r="I233" s="22" t="inlineStr">
        <is>
          <t>Marcelo Candido</t>
        </is>
      </c>
      <c r="J233" s="22" t="inlineStr">
        <is>
          <t>Especialista em Recuperação de Crédito</t>
        </is>
      </c>
      <c r="K233" s="22" t="inlineStr">
        <is>
          <t>(31) 2126-5207</t>
        </is>
      </c>
      <c r="L233" s="22" t="inlineStr"/>
      <c r="M233" s="22" t="inlineStr"/>
      <c r="N233" s="22" t="inlineStr"/>
      <c r="O233" s="22" t="inlineStr"/>
      <c r="P233" s="22" t="inlineStr">
        <is>
          <t>OSMAR BRASIL DE ALMEIDA</t>
        </is>
      </c>
      <c r="Q233" s="22" t="inlineStr">
        <is>
          <t>Diretor (RFB partner)</t>
        </is>
      </c>
      <c r="R233" s="22" t="inlineStr"/>
      <c r="S233" s="22" t="inlineStr"/>
      <c r="T233" s="22" t="inlineStr">
        <is>
          <t>DM: DM; no work email in Apollo for DM</t>
        </is>
      </c>
      <c r="U233" s="24" t="n">
        <v>3094127.99</v>
      </c>
      <c r="V233" s="40" t="inlineStr">
        <is>
          <t>D</t>
        </is>
      </c>
      <c r="W233" s="26" t="inlineStr"/>
      <c r="X233" s="27" t="inlineStr"/>
      <c r="Y233" s="27" t="inlineStr"/>
      <c r="Z233" s="26">
        <f>IF(W233&lt;&gt;"",W233,IFERROR(VLOOKUP(V233,Assumptions!$A$8:$F$12,2,FALSE),0))*Assumptions!$B$5</f>
        <v/>
      </c>
      <c r="AA233" s="28">
        <f>IF(V233="A",MAX(1,IF(X233&lt;&gt;"",X233,IFERROR(VLOOKUP(V233,Assumptions!$A$8:$F$12,3,FALSE),3))+IF(Y233&lt;&gt;"",Y233,IFERROR(VLOOKUP(V233,Assumptions!$A$8:$F$12,4,FALSE),8))/2-MAX(0,IF(AS233="",0,YEAR(TODAY())-AS233)-IFERROR(VLOOKUP(V233,Assumptions!$A$8:$F$12,5,FALSE),1.5))),IFERROR(VLOOKUP(V233,Assumptions!$A$8:$F$12,5,FALSE),2.5)+IF(X233&lt;&gt;"",X233,IFERROR(VLOOKUP(V233,Assumptions!$A$8:$F$12,3,FALSE),3))+IF(Y233&lt;&gt;"",Y233,IFERROR(VLOOKUP(V233,Assumptions!$A$8:$F$12,4,FALSE),8))/2)</f>
        <v/>
      </c>
      <c r="AB233" s="24">
        <f>U233*Z233/(1+Assumptions!$B$3)^AA233</f>
        <v/>
      </c>
      <c r="AC233" s="27">
        <f>IF(U233=0,"",ROUND(AB233/U233*100,1))</f>
        <v/>
      </c>
      <c r="AD233" s="29">
        <f>AB233*Assumptions!$B$4</f>
        <v/>
      </c>
      <c r="AE233" s="27">
        <f>IF(U233=0,"",ROUND(AD233/U233*100,1))</f>
        <v/>
      </c>
      <c r="AF233" s="29">
        <f>AB233-AD233</f>
        <v/>
      </c>
      <c r="AG233" s="27">
        <f>IF(U233=0,"",ROUND((AB233-AD233)/U233*100,1))</f>
        <v/>
      </c>
      <c r="AH233" s="34" t="inlineStr">
        <is>
          <t>NO TOTALS — list prints none; check page</t>
        </is>
      </c>
      <c r="AI233" s="31" t="inlineStr">
        <is>
          <t>https://diligence.adm.br/wp-content/plugins/download-attachments/includes/download.php?id=4579</t>
        </is>
      </c>
      <c r="AJ233" s="30" t="inlineStr">
        <is>
          <t>p8 r1</t>
        </is>
      </c>
      <c r="AK233" s="30" t="inlineStr">
        <is>
          <t>p8: R$ 3.094.127,99</t>
        </is>
      </c>
      <c r="AL233" s="30" t="inlineStr">
        <is>
          <t>AJ list (art. 7 §2)</t>
        </is>
      </c>
      <c r="AM233" s="30" t="inlineStr">
        <is>
          <t>2024-06-11</t>
        </is>
      </c>
      <c r="AN233" s="30" t="inlineStr">
        <is>
          <t>NONE FOUND</t>
        </is>
      </c>
      <c r="AO233" s="32" t="inlineStr">
        <is>
          <t>0032731-52.2010.8.17.0001</t>
        </is>
      </c>
      <c r="AP233" s="32" t="inlineStr">
        <is>
          <t>TJPE</t>
        </is>
      </c>
      <c r="AQ233" s="32" t="inlineStr">
        <is>
          <t>Falência</t>
        </is>
      </c>
      <c r="AR233" s="32" t="inlineStr">
        <is>
          <t>not in DataJud</t>
        </is>
      </c>
      <c r="AS233" s="32" t="n">
        <v>2010</v>
      </c>
      <c r="AT233" s="32" t="inlineStr">
        <is>
          <t>falência proceeding (list/name says falida)</t>
        </is>
      </c>
      <c r="AU233" s="32" t="inlineStr">
        <is>
          <t>01.356.809/0001-13</t>
        </is>
      </c>
      <c r="AV233" s="32" t="inlineStr">
        <is>
          <t>printed on the list (read twice)</t>
        </is>
      </c>
      <c r="AW233" s="32" t="inlineStr"/>
      <c r="AX233" s="32" t="inlineStr">
        <is>
          <t>BELO HORIZONTE</t>
        </is>
      </c>
      <c r="AY233" s="32" t="inlineStr">
        <is>
          <t>MG</t>
        </is>
      </c>
      <c r="AZ233" s="32" t="inlineStr">
        <is>
          <t>Bancos múltiplos, com carteira comercial</t>
        </is>
      </c>
      <c r="BA233" s="32" t="inlineStr">
        <is>
          <t>não ME/EPP</t>
        </is>
      </c>
      <c r="BB233" s="33" t="n">
        <v>540744200</v>
      </c>
      <c r="BC233" s="32" t="inlineStr">
        <is>
          <t>MID-MARKET</t>
        </is>
      </c>
      <c r="BD233" s="32" t="inlineStr">
        <is>
          <t>33124959</t>
        </is>
      </c>
      <c r="BE233" s="32" t="n">
        <v>1</v>
      </c>
      <c r="BF233" s="32" t="inlineStr">
        <is>
          <t>financial by name list prints no totals</t>
        </is>
      </c>
    </row>
    <row r="234">
      <c r="A234" s="17" t="inlineStr">
        <is>
          <t>DLR CAPITAL SECURITIZADORA S.A (</t>
        </is>
      </c>
      <c r="B234" s="18" t="n">
        <v>1647641.77</v>
      </c>
      <c r="C234" s="19" t="inlineStr">
        <is>
          <t>VECTOR INDÚSTRIA DE PRODUTOS METALÚRGICOS LTDA.</t>
        </is>
      </c>
      <c r="D234" s="20" t="inlineStr">
        <is>
          <t>NEW</t>
        </is>
      </c>
      <c r="E234" s="21" t="inlineStr"/>
      <c r="F234" s="20" t="inlineStr"/>
      <c r="G234" s="21" t="inlineStr"/>
      <c r="H234" s="20" t="inlineStr"/>
      <c r="I234" s="22" t="inlineStr"/>
      <c r="J234" s="22" t="inlineStr"/>
      <c r="K234" s="22" t="inlineStr"/>
      <c r="L234" s="22" t="inlineStr"/>
      <c r="M234" s="22" t="inlineStr"/>
      <c r="N234" s="22" t="inlineStr"/>
      <c r="O234" s="22" t="inlineStr"/>
      <c r="P234" s="22" t="inlineStr"/>
      <c r="Q234" s="22" t="inlineStr"/>
      <c r="R234" s="22" t="inlineStr"/>
      <c r="S234" s="22" t="inlineStr"/>
      <c r="T234" s="22" t="inlineStr">
        <is>
          <t>no named contact found; NO ROUTE IN: no phone or email on file</t>
        </is>
      </c>
      <c r="U234" s="24" t="n">
        <v>1647641.77</v>
      </c>
      <c r="V234" s="39" t="inlineStr">
        <is>
          <t>C</t>
        </is>
      </c>
      <c r="W234" s="26" t="inlineStr"/>
      <c r="X234" s="27" t="inlineStr"/>
      <c r="Y234" s="27" t="inlineStr"/>
      <c r="Z234" s="26">
        <f>IF(W234&lt;&gt;"",W234,IFERROR(VLOOKUP(V234,Assumptions!$A$8:$F$12,2,FALSE),0))*Assumptions!$B$5</f>
        <v/>
      </c>
      <c r="AA234" s="28">
        <f>IF(V234="A",MAX(1,IF(X234&lt;&gt;"",X234,IFERROR(VLOOKUP(V234,Assumptions!$A$8:$F$12,3,FALSE),3))+IF(Y234&lt;&gt;"",Y234,IFERROR(VLOOKUP(V234,Assumptions!$A$8:$F$12,4,FALSE),8))/2-MAX(0,IF(AS234="",0,YEAR(TODAY())-AS234)-IFERROR(VLOOKUP(V234,Assumptions!$A$8:$F$12,5,FALSE),1.5))),IFERROR(VLOOKUP(V234,Assumptions!$A$8:$F$12,5,FALSE),2.5)+IF(X234&lt;&gt;"",X234,IFERROR(VLOOKUP(V234,Assumptions!$A$8:$F$12,3,FALSE),3))+IF(Y234&lt;&gt;"",Y234,IFERROR(VLOOKUP(V234,Assumptions!$A$8:$F$12,4,FALSE),8))/2)</f>
        <v/>
      </c>
      <c r="AB234" s="24">
        <f>U234*Z234/(1+Assumptions!$B$3)^AA234</f>
        <v/>
      </c>
      <c r="AC234" s="27">
        <f>IF(U234=0,"",ROUND(AB234/U234*100,1))</f>
        <v/>
      </c>
      <c r="AD234" s="29">
        <f>AB234*Assumptions!$B$4</f>
        <v/>
      </c>
      <c r="AE234" s="27">
        <f>IF(U234=0,"",ROUND(AD234/U234*100,1))</f>
        <v/>
      </c>
      <c r="AF234" s="29">
        <f>AB234-AD234</f>
        <v/>
      </c>
      <c r="AG234" s="27">
        <f>IF(U234=0,"",ROUND((AB234-AD234)/U234*100,1))</f>
        <v/>
      </c>
      <c r="AH234" s="34" t="inlineStr">
        <is>
          <t>NO TOTALS — list prints none; check page</t>
        </is>
      </c>
      <c r="AI234" s="31" t="inlineStr">
        <is>
          <t>https://scalzilliaj.com.br/sgc/download.php?file=files/processo_documento/processo_documento15513401112022_1_.pdf&amp;nome=15 - Edital do art. 7º, §2º (segunda lista de credores) e do art. 53 da Lei 11.101/2005 (recebimento do plano)</t>
        </is>
      </c>
      <c r="AJ234" s="30" t="inlineStr">
        <is>
          <t>p6 r34</t>
        </is>
      </c>
      <c r="AK234" s="30" t="inlineStr">
        <is>
          <t>p6: R$ 1.647.641,77</t>
        </is>
      </c>
      <c r="AL234" s="30" t="inlineStr">
        <is>
          <t>AJ list (art. 7 §2)</t>
        </is>
      </c>
      <c r="AM234" s="30" t="inlineStr">
        <is>
          <t>2022-11-01</t>
        </is>
      </c>
      <c r="AN234" s="30" t="inlineStr">
        <is>
          <t>NONE FOUND</t>
        </is>
      </c>
      <c r="AO234" s="32" t="inlineStr">
        <is>
          <t>5014104-85.2021.8.21.0010</t>
        </is>
      </c>
      <c r="AP234" s="32" t="inlineStr">
        <is>
          <t>TJRS</t>
        </is>
      </c>
      <c r="AQ234" s="32" t="inlineStr">
        <is>
          <t>Recuperação judicial</t>
        </is>
      </c>
      <c r="AR234" s="32" t="inlineStr">
        <is>
          <t>DataJud: no closure/falência movement</t>
        </is>
      </c>
      <c r="AS234" s="32" t="n">
        <v>2021</v>
      </c>
      <c r="AT234" s="32" t="inlineStr">
        <is>
          <t>5y since filing; plan not in our documents</t>
        </is>
      </c>
      <c r="AU234" s="32" t="inlineStr">
        <is>
          <t>03.018.339/0001-03</t>
        </is>
      </c>
      <c r="AV234" s="32" t="inlineStr">
        <is>
          <t>printed on the list (read twice)</t>
        </is>
      </c>
      <c r="AW234" s="32" t="inlineStr"/>
      <c r="AX234" s="32" t="inlineStr"/>
      <c r="AY234" s="32" t="inlineStr"/>
      <c r="AZ234" s="32" t="inlineStr"/>
      <c r="BA234" s="32" t="inlineStr"/>
      <c r="BB234" s="33" t="inlineStr"/>
      <c r="BC234" s="32" t="inlineStr">
        <is>
          <t>UNKNOWN</t>
        </is>
      </c>
      <c r="BD234" s="32" t="inlineStr">
        <is>
          <t>24452704</t>
        </is>
      </c>
      <c r="BE234" s="32" t="n">
        <v>1</v>
      </c>
      <c r="BF234" s="32" t="inlineStr">
        <is>
          <t>financial by name list prints no totals no RFB record no route in</t>
        </is>
      </c>
    </row>
    <row r="235">
      <c r="A235" s="17" t="inlineStr">
        <is>
          <t>DANIELE MULTIPLO FIDC</t>
        </is>
      </c>
      <c r="B235" s="18" t="n">
        <v>417506.47</v>
      </c>
      <c r="C235" s="19" t="inlineStr">
        <is>
          <t>GRUPO DIVINA</t>
        </is>
      </c>
      <c r="D235" s="20" t="inlineStr">
        <is>
          <t>NEW</t>
        </is>
      </c>
      <c r="E235" s="21" t="inlineStr"/>
      <c r="F235" s="20" t="inlineStr"/>
      <c r="G235" s="21" t="inlineStr"/>
      <c r="H235" s="20" t="inlineStr"/>
      <c r="I235" s="22" t="inlineStr">
        <is>
          <t>Wellington Cruz</t>
        </is>
      </c>
      <c r="J235" s="22" t="inlineStr">
        <is>
          <t>Gerente de Operações Financeiras - BackOffice FIDC</t>
        </is>
      </c>
      <c r="K235" s="22" t="inlineStr"/>
      <c r="L235" s="22" t="inlineStr"/>
      <c r="M235" s="22" t="inlineStr"/>
      <c r="N235" s="22" t="inlineStr">
        <is>
          <t>wellington@danielebanco.com.br</t>
        </is>
      </c>
      <c r="O235" s="22" t="inlineStr">
        <is>
          <t>verified</t>
        </is>
      </c>
      <c r="P235" s="22" t="inlineStr">
        <is>
          <t>Ismael Santos</t>
        </is>
      </c>
      <c r="Q235" s="22" t="inlineStr">
        <is>
          <t>Gerente Comercial FIDC</t>
        </is>
      </c>
      <c r="R235" s="22" t="inlineStr"/>
      <c r="S235" s="22" t="inlineStr">
        <is>
          <t>ismael.santos@danielebanco.com.br</t>
        </is>
      </c>
      <c r="T235" s="22" t="inlineStr">
        <is>
          <t>DM: DM; BACKUP: backup</t>
        </is>
      </c>
      <c r="U235" s="24" t="n">
        <v>417506.47</v>
      </c>
      <c r="V235" s="25" t="inlineStr">
        <is>
          <t>B</t>
        </is>
      </c>
      <c r="W235" s="26" t="inlineStr"/>
      <c r="X235" s="27" t="inlineStr"/>
      <c r="Y235" s="27" t="inlineStr"/>
      <c r="Z235" s="26">
        <f>IF(W235&lt;&gt;"",W235,IFERROR(VLOOKUP(V235,Assumptions!$A$8:$F$12,2,FALSE),0))*Assumptions!$B$5</f>
        <v/>
      </c>
      <c r="AA235" s="28">
        <f>IF(V235="A",MAX(1,IF(X235&lt;&gt;"",X235,IFERROR(VLOOKUP(V235,Assumptions!$A$8:$F$12,3,FALSE),3))+IF(Y235&lt;&gt;"",Y235,IFERROR(VLOOKUP(V235,Assumptions!$A$8:$F$12,4,FALSE),8))/2-MAX(0,IF(AS235="",0,YEAR(TODAY())-AS235)-IFERROR(VLOOKUP(V235,Assumptions!$A$8:$F$12,5,FALSE),1.5))),IFERROR(VLOOKUP(V235,Assumptions!$A$8:$F$12,5,FALSE),2.5)+IF(X235&lt;&gt;"",X235,IFERROR(VLOOKUP(V235,Assumptions!$A$8:$F$12,3,FALSE),3))+IF(Y235&lt;&gt;"",Y235,IFERROR(VLOOKUP(V235,Assumptions!$A$8:$F$12,4,FALSE),8))/2)</f>
        <v/>
      </c>
      <c r="AB235" s="24">
        <f>U235*Z235/(1+Assumptions!$B$3)^AA235</f>
        <v/>
      </c>
      <c r="AC235" s="27">
        <f>IF(U235=0,"",ROUND(AB235/U235*100,1))</f>
        <v/>
      </c>
      <c r="AD235" s="29">
        <f>AB235*Assumptions!$B$4</f>
        <v/>
      </c>
      <c r="AE235" s="27">
        <f>IF(U235=0,"",ROUND(AD235/U235*100,1))</f>
        <v/>
      </c>
      <c r="AF235" s="29">
        <f>AB235-AD235</f>
        <v/>
      </c>
      <c r="AG235" s="27">
        <f>IF(U235=0,"",ROUND((AB235-AD235)/U235*100,1))</f>
        <v/>
      </c>
      <c r="AH235" s="35" t="inlineStr">
        <is>
          <t>PARTIAL — class III reconciled, other classes not</t>
        </is>
      </c>
      <c r="AI235" s="31" t="inlineStr">
        <is>
          <t>https://lrflideres.com.br/wp-content/plugins/download-attachments/includes/download.php?id=6252</t>
        </is>
      </c>
      <c r="AJ235" s="30" t="inlineStr">
        <is>
          <t>p2 r33</t>
        </is>
      </c>
      <c r="AK235" s="30" t="inlineStr">
        <is>
          <t>p2: R$ 417.506,47</t>
        </is>
      </c>
      <c r="AL235" s="30" t="inlineStr">
        <is>
          <t>AJ list (art. 7 §2)</t>
        </is>
      </c>
      <c r="AM235" s="30" t="inlineStr">
        <is>
          <t>2024-11-27</t>
        </is>
      </c>
      <c r="AN235" s="30" t="inlineStr">
        <is>
          <t>NONE FOUND</t>
        </is>
      </c>
      <c r="AO235" s="32" t="inlineStr">
        <is>
          <t>0000721-61.2024.8.17.2620</t>
        </is>
      </c>
      <c r="AP235" s="32" t="inlineStr">
        <is>
          <t>TJPE</t>
        </is>
      </c>
      <c r="AQ235" s="32" t="inlineStr">
        <is>
          <t>Recuperação judicial</t>
        </is>
      </c>
      <c r="AR235" s="32" t="inlineStr">
        <is>
          <t>DataJud: no closure/falência movement</t>
        </is>
      </c>
      <c r="AS235" s="32" t="n">
        <v>2024</v>
      </c>
      <c r="AT235" s="32" t="inlineStr">
        <is>
          <t>live case, no plan document yet</t>
        </is>
      </c>
      <c r="AU235" s="32" t="inlineStr">
        <is>
          <t>08.785.522/0001-58</t>
        </is>
      </c>
      <c r="AV235" s="32" t="inlineStr">
        <is>
          <t>printed on the list (read twice)</t>
        </is>
      </c>
      <c r="AW235" s="32" t="inlineStr"/>
      <c r="AX235" s="32" t="inlineStr"/>
      <c r="AY235" s="32" t="inlineStr"/>
      <c r="AZ235" s="32" t="inlineStr"/>
      <c r="BA235" s="32" t="inlineStr"/>
      <c r="BB235" s="33" t="inlineStr"/>
      <c r="BC235" s="32" t="inlineStr">
        <is>
          <t>UNKNOWN</t>
        </is>
      </c>
      <c r="BD235" s="32" t="inlineStr">
        <is>
          <t>32528241</t>
        </is>
      </c>
      <c r="BE235" s="32" t="n">
        <v>1</v>
      </c>
      <c r="BF235" s="32" t="inlineStr">
        <is>
          <t>financial by name class III reconciled (doc partial) no RFB record</t>
        </is>
      </c>
    </row>
    <row r="236">
      <c r="A236" s="17" t="inlineStr">
        <is>
          <t>BANCO SAFRA S A</t>
        </is>
      </c>
      <c r="B236" s="18" t="n">
        <v>2978264.57</v>
      </c>
      <c r="C236" s="19" t="inlineStr">
        <is>
          <t>Mannes</t>
        </is>
      </c>
      <c r="D236" s="20" t="inlineStr">
        <is>
          <t>NEW</t>
        </is>
      </c>
      <c r="E236" s="21" t="inlineStr"/>
      <c r="F236" s="20" t="inlineStr"/>
      <c r="G236" s="21" t="inlineStr"/>
      <c r="H236" s="20" t="inlineStr"/>
      <c r="I236" s="22" t="inlineStr">
        <is>
          <t>Vanessa Biotti</t>
        </is>
      </c>
      <c r="J236" s="22" t="inlineStr">
        <is>
          <t>Gerente de Recuperação de Crédito</t>
        </is>
      </c>
      <c r="K236" s="22" t="inlineStr">
        <is>
          <t>(11) 3175-7575</t>
        </is>
      </c>
      <c r="L236" s="22" t="inlineStr"/>
      <c r="M236" s="22" t="inlineStr"/>
      <c r="N236" s="22" t="inlineStr">
        <is>
          <t>vanessa.biotti@safra.com.br</t>
        </is>
      </c>
      <c r="O236" s="22" t="inlineStr">
        <is>
          <t>verified</t>
        </is>
      </c>
      <c r="P236" s="22" t="inlineStr">
        <is>
          <t>Rodrigo Anjos</t>
        </is>
      </c>
      <c r="Q236" s="22" t="inlineStr">
        <is>
          <t>Advogado Sênior - Jurídico Contencioso - Recuperação de Crédito - NPL</t>
        </is>
      </c>
      <c r="R236" s="22" t="inlineStr"/>
      <c r="S236" s="22" t="inlineStr">
        <is>
          <t>rodrigo.anjos@safra.com.br</t>
        </is>
      </c>
      <c r="T236" s="22" t="inlineStr">
        <is>
          <t>DM: DM verified email; BACKUP: backup verified email (NPL legal)</t>
        </is>
      </c>
      <c r="U236" s="24" t="n">
        <v>2978264.57</v>
      </c>
      <c r="V236" s="40" t="inlineStr">
        <is>
          <t>D</t>
        </is>
      </c>
      <c r="W236" s="26" t="inlineStr"/>
      <c r="X236" s="27" t="inlineStr"/>
      <c r="Y236" s="27" t="inlineStr"/>
      <c r="Z236" s="26">
        <f>IF(W236&lt;&gt;"",W236,IFERROR(VLOOKUP(V236,Assumptions!$A$8:$F$12,2,FALSE),0))*Assumptions!$B$5</f>
        <v/>
      </c>
      <c r="AA236" s="28">
        <f>IF(V236="A",MAX(1,IF(X236&lt;&gt;"",X236,IFERROR(VLOOKUP(V236,Assumptions!$A$8:$F$12,3,FALSE),3))+IF(Y236&lt;&gt;"",Y236,IFERROR(VLOOKUP(V236,Assumptions!$A$8:$F$12,4,FALSE),8))/2-MAX(0,IF(AS236="",0,YEAR(TODAY())-AS236)-IFERROR(VLOOKUP(V236,Assumptions!$A$8:$F$12,5,FALSE),1.5))),IFERROR(VLOOKUP(V236,Assumptions!$A$8:$F$12,5,FALSE),2.5)+IF(X236&lt;&gt;"",X236,IFERROR(VLOOKUP(V236,Assumptions!$A$8:$F$12,3,FALSE),3))+IF(Y236&lt;&gt;"",Y236,IFERROR(VLOOKUP(V236,Assumptions!$A$8:$F$12,4,FALSE),8))/2)</f>
        <v/>
      </c>
      <c r="AB236" s="24">
        <f>U236*Z236/(1+Assumptions!$B$3)^AA236</f>
        <v/>
      </c>
      <c r="AC236" s="27">
        <f>IF(U236=0,"",ROUND(AB236/U236*100,1))</f>
        <v/>
      </c>
      <c r="AD236" s="29">
        <f>AB236*Assumptions!$B$4</f>
        <v/>
      </c>
      <c r="AE236" s="27">
        <f>IF(U236=0,"",ROUND(AD236/U236*100,1))</f>
        <v/>
      </c>
      <c r="AF236" s="29">
        <f>AB236-AD236</f>
        <v/>
      </c>
      <c r="AG236" s="27">
        <f>IF(U236=0,"",ROUND((AB236-AD236)/U236*100,1))</f>
        <v/>
      </c>
      <c r="AH236" s="36" t="inlineStr">
        <is>
          <t>CHECK — source is not a statutory creditor list</t>
        </is>
      </c>
      <c r="AI236" s="31" t="inlineStr">
        <is>
          <t>https://administradorajudicialgs.com.br/wp-content/uploads/2024/12/relacao-de-credores-da-falida.pdf</t>
        </is>
      </c>
      <c r="AJ236" s="30" t="inlineStr">
        <is>
          <t>p13 r8</t>
        </is>
      </c>
      <c r="AK236" s="30" t="inlineStr">
        <is>
          <t>p13: R$ 2.978.264,57</t>
        </is>
      </c>
      <c r="AL236" s="30" t="inlineStr">
        <is>
          <t>Other filing — NOT an art. 7/51 list</t>
        </is>
      </c>
      <c r="AM236" s="30" t="inlineStr">
        <is>
          <t>2025-03-25</t>
        </is>
      </c>
      <c r="AN236" s="30" t="inlineStr">
        <is>
          <t>NONE FOUND</t>
        </is>
      </c>
      <c r="AO236" s="32" t="inlineStr">
        <is>
          <t>0005010-50.2013.8.24.0026</t>
        </is>
      </c>
      <c r="AP236" s="32" t="inlineStr">
        <is>
          <t>TJSC</t>
        </is>
      </c>
      <c r="AQ236" s="32" t="inlineStr">
        <is>
          <t>Falência</t>
        </is>
      </c>
      <c r="AR236" s="32" t="inlineStr">
        <is>
          <t>not in DataJud</t>
        </is>
      </c>
      <c r="AS236" s="32" t="n">
        <v>2013</v>
      </c>
      <c r="AT236" s="32" t="inlineStr">
        <is>
          <t>falência proceeding (list/name says falida)</t>
        </is>
      </c>
      <c r="AU236" s="32" t="inlineStr"/>
      <c r="AV236" s="32" t="inlineStr">
        <is>
          <t>printed on the list (read twice)</t>
        </is>
      </c>
      <c r="AW236" s="32" t="inlineStr"/>
      <c r="AX236" s="32" t="inlineStr">
        <is>
          <t>SAO PAULO</t>
        </is>
      </c>
      <c r="AY236" s="32" t="inlineStr">
        <is>
          <t>SP</t>
        </is>
      </c>
      <c r="AZ236" s="32" t="inlineStr">
        <is>
          <t>Bancos múltiplos, com carteira comercial</t>
        </is>
      </c>
      <c r="BA236" s="32" t="inlineStr">
        <is>
          <t>não ME/EPP</t>
        </is>
      </c>
      <c r="BB236" s="33" t="n">
        <v>13924903000</v>
      </c>
      <c r="BC236" s="32" t="inlineStr">
        <is>
          <t>LARGE CORP</t>
        </is>
      </c>
      <c r="BD236" s="32" t="inlineStr">
        <is>
          <t>58160789</t>
        </is>
      </c>
      <c r="BE236" s="32" t="n">
        <v>1</v>
      </c>
      <c r="BF236" s="32" t="inlineStr">
        <is>
          <t>financial by name list prints no totals case no. corrected by reader</t>
        </is>
      </c>
    </row>
    <row r="237">
      <c r="A237" s="17" t="inlineStr">
        <is>
          <t>BANCO COOPERATIVO SICOOB S.A.</t>
        </is>
      </c>
      <c r="B237" s="18" t="n">
        <v>415021.85</v>
      </c>
      <c r="C237" s="19" t="inlineStr">
        <is>
          <t>GRUPO DIVINA</t>
        </is>
      </c>
      <c r="D237" s="20" t="inlineStr">
        <is>
          <t>NEW</t>
        </is>
      </c>
      <c r="E237" s="21" t="inlineStr"/>
      <c r="F237" s="20" t="inlineStr"/>
      <c r="G237" s="21" t="inlineStr"/>
      <c r="H237" s="20" t="inlineStr"/>
      <c r="I237" s="22" t="inlineStr">
        <is>
          <t>Mauricio Reis</t>
        </is>
      </c>
      <c r="J237" s="22" t="inlineStr">
        <is>
          <t>Superintendente de Operações e Produtos de Crédito, Consórcios, Cobrança e de Recuperação de Ativos</t>
        </is>
      </c>
      <c r="K237" s="22" t="inlineStr">
        <is>
          <t>(61) 3217-5200</t>
        </is>
      </c>
      <c r="L237" s="22" t="inlineStr"/>
      <c r="M237" s="22" t="inlineStr"/>
      <c r="N237" s="22" t="inlineStr">
        <is>
          <t>mauricio.reis@sicoob.com.br</t>
        </is>
      </c>
      <c r="O237" s="22" t="inlineStr">
        <is>
          <t>verified</t>
        </is>
      </c>
      <c r="P237" s="22" t="inlineStr">
        <is>
          <t>MARCO AURELIO BORGES DE ALMADA ABREU</t>
        </is>
      </c>
      <c r="Q237" s="22" t="inlineStr">
        <is>
          <t>Presidente (RFB partner)</t>
        </is>
      </c>
      <c r="R237" s="22" t="inlineStr"/>
      <c r="S237" s="22" t="inlineStr"/>
      <c r="T237" s="22" t="inlineStr">
        <is>
          <t>DM: DM verified email</t>
        </is>
      </c>
      <c r="U237" s="24" t="n">
        <v>415021.85</v>
      </c>
      <c r="V237" s="25" t="inlineStr">
        <is>
          <t>B</t>
        </is>
      </c>
      <c r="W237" s="26" t="inlineStr"/>
      <c r="X237" s="27" t="inlineStr"/>
      <c r="Y237" s="27" t="inlineStr"/>
      <c r="Z237" s="26">
        <f>IF(W237&lt;&gt;"",W237,IFERROR(VLOOKUP(V237,Assumptions!$A$8:$F$12,2,FALSE),0))*Assumptions!$B$5</f>
        <v/>
      </c>
      <c r="AA237" s="28">
        <f>IF(V237="A",MAX(1,IF(X237&lt;&gt;"",X237,IFERROR(VLOOKUP(V237,Assumptions!$A$8:$F$12,3,FALSE),3))+IF(Y237&lt;&gt;"",Y237,IFERROR(VLOOKUP(V237,Assumptions!$A$8:$F$12,4,FALSE),8))/2-MAX(0,IF(AS237="",0,YEAR(TODAY())-AS237)-IFERROR(VLOOKUP(V237,Assumptions!$A$8:$F$12,5,FALSE),1.5))),IFERROR(VLOOKUP(V237,Assumptions!$A$8:$F$12,5,FALSE),2.5)+IF(X237&lt;&gt;"",X237,IFERROR(VLOOKUP(V237,Assumptions!$A$8:$F$12,3,FALSE),3))+IF(Y237&lt;&gt;"",Y237,IFERROR(VLOOKUP(V237,Assumptions!$A$8:$F$12,4,FALSE),8))/2)</f>
        <v/>
      </c>
      <c r="AB237" s="24">
        <f>U237*Z237/(1+Assumptions!$B$3)^AA237</f>
        <v/>
      </c>
      <c r="AC237" s="27">
        <f>IF(U237=0,"",ROUND(AB237/U237*100,1))</f>
        <v/>
      </c>
      <c r="AD237" s="29">
        <f>AB237*Assumptions!$B$4</f>
        <v/>
      </c>
      <c r="AE237" s="27">
        <f>IF(U237=0,"",ROUND(AD237/U237*100,1))</f>
        <v/>
      </c>
      <c r="AF237" s="29">
        <f>AB237-AD237</f>
        <v/>
      </c>
      <c r="AG237" s="27">
        <f>IF(U237=0,"",ROUND((AB237-AD237)/U237*100,1))</f>
        <v/>
      </c>
      <c r="AH237" s="35" t="inlineStr">
        <is>
          <t>PARTIAL — class III reconciled, other classes not</t>
        </is>
      </c>
      <c r="AI237" s="31" t="inlineStr">
        <is>
          <t>https://lrflideres.com.br/wp-content/plugins/download-attachments/includes/download.php?id=6252</t>
        </is>
      </c>
      <c r="AJ237" s="30" t="inlineStr">
        <is>
          <t>p2 r17</t>
        </is>
      </c>
      <c r="AK237" s="30" t="inlineStr">
        <is>
          <t>p2: R$ 415.021,85</t>
        </is>
      </c>
      <c r="AL237" s="30" t="inlineStr">
        <is>
          <t>AJ list (art. 7 §2)</t>
        </is>
      </c>
      <c r="AM237" s="30" t="inlineStr">
        <is>
          <t>2024-11-27</t>
        </is>
      </c>
      <c r="AN237" s="30" t="inlineStr">
        <is>
          <t>NONE FOUND</t>
        </is>
      </c>
      <c r="AO237" s="32" t="inlineStr">
        <is>
          <t>0000721-61.2024.8.17.2620</t>
        </is>
      </c>
      <c r="AP237" s="32" t="inlineStr">
        <is>
          <t>TJPE</t>
        </is>
      </c>
      <c r="AQ237" s="32" t="inlineStr">
        <is>
          <t>Recuperação judicial</t>
        </is>
      </c>
      <c r="AR237" s="32" t="inlineStr">
        <is>
          <t>DataJud: no closure/falência movement</t>
        </is>
      </c>
      <c r="AS237" s="32" t="n">
        <v>2024</v>
      </c>
      <c r="AT237" s="32" t="inlineStr">
        <is>
          <t>live case, no plan document yet</t>
        </is>
      </c>
      <c r="AU237" s="32" t="inlineStr">
        <is>
          <t>08.785.522/0001-58</t>
        </is>
      </c>
      <c r="AV237" s="32" t="inlineStr">
        <is>
          <t>printed on the list (read twice)</t>
        </is>
      </c>
      <c r="AW237" s="32" t="inlineStr"/>
      <c r="AX237" s="32" t="inlineStr">
        <is>
          <t>BRASILIA</t>
        </is>
      </c>
      <c r="AY237" s="32" t="inlineStr">
        <is>
          <t>DF</t>
        </is>
      </c>
      <c r="AZ237" s="32" t="inlineStr">
        <is>
          <t>Bancos cooperativos</t>
        </is>
      </c>
      <c r="BA237" s="32" t="inlineStr">
        <is>
          <t>não ME/EPP</t>
        </is>
      </c>
      <c r="BB237" s="33" t="n">
        <v>6198490000</v>
      </c>
      <c r="BC237" s="32" t="inlineStr">
        <is>
          <t>LARGE CORP</t>
        </is>
      </c>
      <c r="BD237" s="32" t="inlineStr">
        <is>
          <t>02038232</t>
        </is>
      </c>
      <c r="BE237" s="32" t="n">
        <v>1</v>
      </c>
      <c r="BF237" s="32" t="inlineStr">
        <is>
          <t>class III reconciled (doc partial)</t>
        </is>
      </c>
    </row>
    <row r="238">
      <c r="A238" s="17" t="inlineStr">
        <is>
          <t>OPHIR FUNDO DE INVESTIMENTO EM DIREITOS CREDITORIOS</t>
        </is>
      </c>
      <c r="B238" s="18" t="n">
        <v>413700.86</v>
      </c>
      <c r="C238" s="19" t="inlineStr">
        <is>
          <t>CENTURY CONSTRUÇÕES COMÉRCIO E SERVIÇOS LTDA.</t>
        </is>
      </c>
      <c r="D238" s="20" t="inlineStr">
        <is>
          <t>NEW</t>
        </is>
      </c>
      <c r="E238" s="21" t="inlineStr"/>
      <c r="F238" s="20" t="inlineStr"/>
      <c r="G238" s="21" t="inlineStr"/>
      <c r="H238" s="20" t="inlineStr"/>
      <c r="I238" s="22" t="inlineStr"/>
      <c r="J238" s="22" t="inlineStr"/>
      <c r="K238" s="22" t="inlineStr">
        <is>
          <t>(11) 2827-3500</t>
        </is>
      </c>
      <c r="L238" s="22" t="inlineStr"/>
      <c r="M238" s="22" t="inlineStr"/>
      <c r="N238" s="22" t="inlineStr"/>
      <c r="O238" s="22" t="inlineStr"/>
      <c r="P238" s="22" t="inlineStr"/>
      <c r="Q238" s="22" t="inlineStr"/>
      <c r="R238" s="22" t="inlineStr"/>
      <c r="S238" s="22" t="inlineStr"/>
      <c r="T238" s="22" t="inlineStr">
        <is>
          <t>no named contact found</t>
        </is>
      </c>
      <c r="U238" s="24" t="n">
        <v>413700.86</v>
      </c>
      <c r="V238" s="25" t="inlineStr">
        <is>
          <t>B</t>
        </is>
      </c>
      <c r="W238" s="26" t="inlineStr"/>
      <c r="X238" s="27" t="inlineStr"/>
      <c r="Y238" s="27" t="inlineStr"/>
      <c r="Z238" s="26">
        <f>IF(W238&lt;&gt;"",W238,IFERROR(VLOOKUP(V238,Assumptions!$A$8:$F$12,2,FALSE),0))*Assumptions!$B$5</f>
        <v/>
      </c>
      <c r="AA238" s="28">
        <f>IF(V238="A",MAX(1,IF(X238&lt;&gt;"",X238,IFERROR(VLOOKUP(V238,Assumptions!$A$8:$F$12,3,FALSE),3))+IF(Y238&lt;&gt;"",Y238,IFERROR(VLOOKUP(V238,Assumptions!$A$8:$F$12,4,FALSE),8))/2-MAX(0,IF(AS238="",0,YEAR(TODAY())-AS238)-IFERROR(VLOOKUP(V238,Assumptions!$A$8:$F$12,5,FALSE),1.5))),IFERROR(VLOOKUP(V238,Assumptions!$A$8:$F$12,5,FALSE),2.5)+IF(X238&lt;&gt;"",X238,IFERROR(VLOOKUP(V238,Assumptions!$A$8:$F$12,3,FALSE),3))+IF(Y238&lt;&gt;"",Y238,IFERROR(VLOOKUP(V238,Assumptions!$A$8:$F$12,4,FALSE),8))/2)</f>
        <v/>
      </c>
      <c r="AB238" s="24">
        <f>U238*Z238/(1+Assumptions!$B$3)^AA238</f>
        <v/>
      </c>
      <c r="AC238" s="27">
        <f>IF(U238=0,"",ROUND(AB238/U238*100,1))</f>
        <v/>
      </c>
      <c r="AD238" s="29">
        <f>AB238*Assumptions!$B$4</f>
        <v/>
      </c>
      <c r="AE238" s="27">
        <f>IF(U238=0,"",ROUND(AD238/U238*100,1))</f>
        <v/>
      </c>
      <c r="AF238" s="29">
        <f>AB238-AD238</f>
        <v/>
      </c>
      <c r="AG238" s="27">
        <f>IF(U238=0,"",ROUND((AB238-AD238)/U238*100,1))</f>
        <v/>
      </c>
      <c r="AH238" s="34" t="inlineStr">
        <is>
          <t>NO TOTALS — list prints none; check page</t>
        </is>
      </c>
      <c r="AI238" s="31" t="inlineStr">
        <is>
          <t>https://ativosajce.com.br/admin/download.php?file=files/processo_documento/processo_documento16022716122025_1_.pdf&amp;nome=Relação de credores - art. 52, §1º da Lei 11.101/05 - 15/12/2025</t>
        </is>
      </c>
      <c r="AJ238" s="30" t="inlineStr">
        <is>
          <t>p3 r79</t>
        </is>
      </c>
      <c r="AK238" s="30" t="inlineStr">
        <is>
          <t>p3: R$ 413.700,86</t>
        </is>
      </c>
      <c r="AL238" s="30" t="inlineStr">
        <is>
          <t>Unclassified list</t>
        </is>
      </c>
      <c r="AM238" s="30" t="inlineStr"/>
      <c r="AN238" s="30" t="inlineStr">
        <is>
          <t>NONE FOUND</t>
        </is>
      </c>
      <c r="AO238" s="32" t="inlineStr">
        <is>
          <t>4054599-35.2025.8.26.0100</t>
        </is>
      </c>
      <c r="AP238" s="32" t="inlineStr">
        <is>
          <t>TJSP</t>
        </is>
      </c>
      <c r="AQ238" s="32" t="inlineStr">
        <is>
          <t>Recuperação judicial</t>
        </is>
      </c>
      <c r="AR238" s="32" t="inlineStr">
        <is>
          <t>DataJud: no closure/falência movement</t>
        </is>
      </c>
      <c r="AS238" s="32" t="n">
        <v>2025</v>
      </c>
      <c r="AT238" s="32" t="inlineStr">
        <is>
          <t>live case, no plan document yet; case no. from the portal record, not printed on the list</t>
        </is>
      </c>
      <c r="AU238" s="32" t="inlineStr">
        <is>
          <t>03.299.563/0001-10</t>
        </is>
      </c>
      <c r="AV238" s="32" t="inlineStr">
        <is>
          <t>printed on the list (read twice)</t>
        </is>
      </c>
      <c r="AW238" s="32" t="inlineStr"/>
      <c r="AX238" s="32" t="inlineStr">
        <is>
          <t>SAO PAULO</t>
        </is>
      </c>
      <c r="AY238" s="32" t="inlineStr">
        <is>
          <t>SP</t>
        </is>
      </c>
      <c r="AZ238" s="32" t="inlineStr">
        <is>
          <t>Fundos de investimento, exceto previdenciários e imobiliários</t>
        </is>
      </c>
      <c r="BA238" s="32" t="inlineStr">
        <is>
          <t>não ME/EPP</t>
        </is>
      </c>
      <c r="BB238" s="33" t="inlineStr"/>
      <c r="BC238" s="32" t="inlineStr">
        <is>
          <t>UNKNOWN</t>
        </is>
      </c>
      <c r="BD238" s="32" t="inlineStr">
        <is>
          <t>42605322</t>
        </is>
      </c>
      <c r="BE238" s="32" t="n">
        <v>1</v>
      </c>
      <c r="BF238" s="32" t="inlineStr">
        <is>
          <t>list prints no totals</t>
        </is>
      </c>
    </row>
    <row r="239">
      <c r="A239" s="17" t="inlineStr">
        <is>
          <t>GUARDIAN CAPITAL SECURITIZADORA S/A. (</t>
        </is>
      </c>
      <c r="B239" s="18" t="n">
        <v>1588129.34</v>
      </c>
      <c r="C239" s="19" t="inlineStr">
        <is>
          <t>VECTOR INDÚSTRIA DE PRODUTOS METALÚRGICOS LTDA.</t>
        </is>
      </c>
      <c r="D239" s="20" t="inlineStr">
        <is>
          <t>NEW</t>
        </is>
      </c>
      <c r="E239" s="21" t="inlineStr"/>
      <c r="F239" s="20" t="inlineStr"/>
      <c r="G239" s="21" t="inlineStr"/>
      <c r="H239" s="20" t="inlineStr"/>
      <c r="I239" s="22" t="inlineStr">
        <is>
          <t>Rafael Castilho</t>
        </is>
      </c>
      <c r="J239" s="22" t="inlineStr">
        <is>
          <t>Analista de Credito e Risco Sênior</t>
        </is>
      </c>
      <c r="K239" s="22" t="inlineStr"/>
      <c r="L239" s="22" t="inlineStr"/>
      <c r="M239" s="22" t="inlineStr"/>
      <c r="N239" s="22" t="inlineStr">
        <is>
          <t>rafael@guardiancapital.com.br</t>
        </is>
      </c>
      <c r="O239" s="22" t="inlineStr">
        <is>
          <t>verified</t>
        </is>
      </c>
      <c r="P239" s="22" t="inlineStr">
        <is>
          <t>Andrea Gutierrez</t>
        </is>
      </c>
      <c r="Q239" s="22" t="inlineStr">
        <is>
          <t>Operational Manager</t>
        </is>
      </c>
      <c r="R239" s="22" t="inlineStr"/>
      <c r="S239" s="22" t="inlineStr">
        <is>
          <t>andrea@guardiancapital.com.br</t>
        </is>
      </c>
      <c r="T239" s="22" t="inlineStr">
        <is>
          <t>DM: DM; BACKUP: backup2</t>
        </is>
      </c>
      <c r="U239" s="24" t="n">
        <v>1588129.34</v>
      </c>
      <c r="V239" s="39" t="inlineStr">
        <is>
          <t>C</t>
        </is>
      </c>
      <c r="W239" s="26" t="inlineStr"/>
      <c r="X239" s="27" t="inlineStr"/>
      <c r="Y239" s="27" t="inlineStr"/>
      <c r="Z239" s="26">
        <f>IF(W239&lt;&gt;"",W239,IFERROR(VLOOKUP(V239,Assumptions!$A$8:$F$12,2,FALSE),0))*Assumptions!$B$5</f>
        <v/>
      </c>
      <c r="AA239" s="28">
        <f>IF(V239="A",MAX(1,IF(X239&lt;&gt;"",X239,IFERROR(VLOOKUP(V239,Assumptions!$A$8:$F$12,3,FALSE),3))+IF(Y239&lt;&gt;"",Y239,IFERROR(VLOOKUP(V239,Assumptions!$A$8:$F$12,4,FALSE),8))/2-MAX(0,IF(AS239="",0,YEAR(TODAY())-AS239)-IFERROR(VLOOKUP(V239,Assumptions!$A$8:$F$12,5,FALSE),1.5))),IFERROR(VLOOKUP(V239,Assumptions!$A$8:$F$12,5,FALSE),2.5)+IF(X239&lt;&gt;"",X239,IFERROR(VLOOKUP(V239,Assumptions!$A$8:$F$12,3,FALSE),3))+IF(Y239&lt;&gt;"",Y239,IFERROR(VLOOKUP(V239,Assumptions!$A$8:$F$12,4,FALSE),8))/2)</f>
        <v/>
      </c>
      <c r="AB239" s="24">
        <f>U239*Z239/(1+Assumptions!$B$3)^AA239</f>
        <v/>
      </c>
      <c r="AC239" s="27">
        <f>IF(U239=0,"",ROUND(AB239/U239*100,1))</f>
        <v/>
      </c>
      <c r="AD239" s="29">
        <f>AB239*Assumptions!$B$4</f>
        <v/>
      </c>
      <c r="AE239" s="27">
        <f>IF(U239=0,"",ROUND(AD239/U239*100,1))</f>
        <v/>
      </c>
      <c r="AF239" s="29">
        <f>AB239-AD239</f>
        <v/>
      </c>
      <c r="AG239" s="27">
        <f>IF(U239=0,"",ROUND((AB239-AD239)/U239*100,1))</f>
        <v/>
      </c>
      <c r="AH239" s="34" t="inlineStr">
        <is>
          <t>NO TOTALS — list prints none; check page</t>
        </is>
      </c>
      <c r="AI239" s="31" t="inlineStr">
        <is>
          <t>https://scalzilliaj.com.br/sgc/download.php?file=files/processo_documento/processo_documento15513401112022_1_.pdf&amp;nome=15 - Edital do art. 7º, §2º (segunda lista de credores) e do art. 53 da Lei 11.101/2005 (recebimento do plano)</t>
        </is>
      </c>
      <c r="AJ239" s="30" t="inlineStr">
        <is>
          <t>p7 r22</t>
        </is>
      </c>
      <c r="AK239" s="30" t="inlineStr">
        <is>
          <t>p7: R$ 1.588.129,34</t>
        </is>
      </c>
      <c r="AL239" s="30" t="inlineStr">
        <is>
          <t>AJ list (art. 7 §2)</t>
        </is>
      </c>
      <c r="AM239" s="30" t="inlineStr">
        <is>
          <t>2022-11-01</t>
        </is>
      </c>
      <c r="AN239" s="30" t="inlineStr">
        <is>
          <t>NONE FOUND</t>
        </is>
      </c>
      <c r="AO239" s="32" t="inlineStr">
        <is>
          <t>5014104-85.2021.8.21.0010</t>
        </is>
      </c>
      <c r="AP239" s="32" t="inlineStr">
        <is>
          <t>TJRS</t>
        </is>
      </c>
      <c r="AQ239" s="32" t="inlineStr">
        <is>
          <t>Recuperação judicial</t>
        </is>
      </c>
      <c r="AR239" s="32" t="inlineStr">
        <is>
          <t>DataJud: no closure/falência movement</t>
        </is>
      </c>
      <c r="AS239" s="32" t="n">
        <v>2021</v>
      </c>
      <c r="AT239" s="32" t="inlineStr">
        <is>
          <t>5y since filing; plan not in our documents</t>
        </is>
      </c>
      <c r="AU239" s="32" t="inlineStr">
        <is>
          <t>03.018.339/0001-03</t>
        </is>
      </c>
      <c r="AV239" s="32" t="inlineStr">
        <is>
          <t>printed on the list (read twice)</t>
        </is>
      </c>
      <c r="AW239" s="32" t="inlineStr"/>
      <c r="AX239" s="32" t="inlineStr"/>
      <c r="AY239" s="32" t="inlineStr"/>
      <c r="AZ239" s="32" t="inlineStr"/>
      <c r="BA239" s="32" t="inlineStr"/>
      <c r="BB239" s="33" t="inlineStr"/>
      <c r="BC239" s="32" t="inlineStr">
        <is>
          <t>UNKNOWN</t>
        </is>
      </c>
      <c r="BD239" s="32" t="inlineStr">
        <is>
          <t>26628896</t>
        </is>
      </c>
      <c r="BE239" s="32" t="n">
        <v>1</v>
      </c>
      <c r="BF239" s="32" t="inlineStr">
        <is>
          <t>financial by name list prints no totals no RFB record</t>
        </is>
      </c>
    </row>
    <row r="240">
      <c r="A240" s="17" t="inlineStr">
        <is>
          <t>ASA SOCIEDADE DE CREDITO FINANCIAMENTO E INVESTIMENTO S.A.</t>
        </is>
      </c>
      <c r="B240" s="18" t="n">
        <v>1766223.81</v>
      </c>
      <c r="C240" s="19" t="inlineStr">
        <is>
          <t>GRUPO 3E</t>
        </is>
      </c>
      <c r="D240" s="20" t="inlineStr">
        <is>
          <t>NEW</t>
        </is>
      </c>
      <c r="E240" s="21" t="inlineStr"/>
      <c r="F240" s="20" t="inlineStr"/>
      <c r="G240" s="21" t="inlineStr"/>
      <c r="H240" s="20" t="inlineStr"/>
      <c r="I240" s="22" t="inlineStr">
        <is>
          <t>ALBERTO JOSEPH SAFRA</t>
        </is>
      </c>
      <c r="J240" s="23" t="inlineStr">
        <is>
          <t>Diretor (RFB partner)</t>
        </is>
      </c>
      <c r="K240" s="22" t="inlineStr">
        <is>
          <t>(11) 3900-5236</t>
        </is>
      </c>
      <c r="L240" s="22" t="inlineStr"/>
      <c r="M240" s="22" t="inlineStr"/>
      <c r="N240" s="22" t="inlineStr"/>
      <c r="O240" s="22" t="inlineStr"/>
      <c r="P240" s="22" t="inlineStr">
        <is>
          <t>CARLOS MIGUEL MARTINS FERNANDES COSTA</t>
        </is>
      </c>
      <c r="Q240" s="22" t="inlineStr">
        <is>
          <t>Diretor (RFB partner)</t>
        </is>
      </c>
      <c r="R240" s="22" t="inlineStr"/>
      <c r="S240" s="22" t="inlineStr"/>
      <c r="T240" s="22" t="inlineStr">
        <is>
          <t>DM = registered partner (RFB QSA); no Apollo match</t>
        </is>
      </c>
      <c r="U240" s="24" t="n">
        <v>1766223.81</v>
      </c>
      <c r="V240" s="25" t="inlineStr">
        <is>
          <t>B</t>
        </is>
      </c>
      <c r="W240" s="26" t="n">
        <v>0.12</v>
      </c>
      <c r="X240" s="27" t="n">
        <v>2</v>
      </c>
      <c r="Y240" s="27" t="n">
        <v>13</v>
      </c>
      <c r="Z240" s="26">
        <f>IF(W240&lt;&gt;"",W240,IFERROR(VLOOKUP(V240,Assumptions!$A$8:$F$12,2,FALSE),0))*Assumptions!$B$5</f>
        <v/>
      </c>
      <c r="AA240" s="28">
        <f>IF(V240="A",MAX(1,IF(X240&lt;&gt;"",X240,IFERROR(VLOOKUP(V240,Assumptions!$A$8:$F$12,3,FALSE),3))+IF(Y240&lt;&gt;"",Y240,IFERROR(VLOOKUP(V240,Assumptions!$A$8:$F$12,4,FALSE),8))/2-MAX(0,IF(AS240="",0,YEAR(TODAY())-AS240)-IFERROR(VLOOKUP(V240,Assumptions!$A$8:$F$12,5,FALSE),1.5))),IFERROR(VLOOKUP(V240,Assumptions!$A$8:$F$12,5,FALSE),2.5)+IF(X240&lt;&gt;"",X240,IFERROR(VLOOKUP(V240,Assumptions!$A$8:$F$12,3,FALSE),3))+IF(Y240&lt;&gt;"",Y240,IFERROR(VLOOKUP(V240,Assumptions!$A$8:$F$12,4,FALSE),8))/2)</f>
        <v/>
      </c>
      <c r="AB240" s="24">
        <f>U240*Z240/(1+Assumptions!$B$3)^AA240</f>
        <v/>
      </c>
      <c r="AC240" s="27">
        <f>IF(U240=0,"",ROUND(AB240/U240*100,1))</f>
        <v/>
      </c>
      <c r="AD240" s="29">
        <f>AB240*Assumptions!$B$4</f>
        <v/>
      </c>
      <c r="AE240" s="27">
        <f>IF(U240=0,"",ROUND(AD240/U240*100,1))</f>
        <v/>
      </c>
      <c r="AF240" s="29">
        <f>AB240-AD240</f>
        <v/>
      </c>
      <c r="AG240" s="27">
        <f>IF(U240=0,"",ROUND((AB240-AD240)/U240*100,1))</f>
        <v/>
      </c>
      <c r="AH240" s="34" t="inlineStr">
        <is>
          <t>NO TOTALS — list prints none; check page</t>
        </is>
      </c>
      <c r="AI240" s="31" t="inlineStr">
        <is>
          <t>https://stenius.com.br/wp-content/uploads/2026/06/EDITAL-GRUPO-3E.pdf</t>
        </is>
      </c>
      <c r="AJ240" s="30" t="inlineStr">
        <is>
          <t>p10 r10</t>
        </is>
      </c>
      <c r="AK240" s="30" t="inlineStr">
        <is>
          <t>p10: R$ 1.766.223,81</t>
        </is>
      </c>
      <c r="AL240" s="30" t="inlineStr">
        <is>
          <t>Debtor list (art. 51)</t>
        </is>
      </c>
      <c r="AM240" s="30" t="inlineStr">
        <is>
          <t>2026-06-22</t>
        </is>
      </c>
      <c r="AN240" s="30" t="inlineStr">
        <is>
          <t>PLAN FILED (art. 53), not granted</t>
        </is>
      </c>
      <c r="AO240" s="32" t="inlineStr">
        <is>
          <t>5341375-33.2026.8.09.0049</t>
        </is>
      </c>
      <c r="AP240" s="32" t="inlineStr">
        <is>
          <t>TJGO</t>
        </is>
      </c>
      <c r="AQ240" s="32" t="inlineStr">
        <is>
          <t>Recuperação judicial</t>
        </is>
      </c>
      <c r="AR240" s="32" t="inlineStr">
        <is>
          <t>DataJud: no closure/falência movement</t>
        </is>
      </c>
      <c r="AS240" s="32" t="n">
        <v>2026</v>
      </c>
      <c r="AT240" s="32" t="inlineStr">
        <is>
          <t>plan filed (art. 53), not yet granted</t>
        </is>
      </c>
      <c r="AU240" s="32" t="inlineStr"/>
      <c r="AV240" s="32" t="inlineStr">
        <is>
          <t>printed on the list (read twice)</t>
        </is>
      </c>
      <c r="AW240" s="32" t="inlineStr">
        <is>
          <t>Plano de Recuperação Judicial Grupo 3E v2.0 (Métis), mov. 321, pp.24-25</t>
        </is>
      </c>
      <c r="AX240" s="32" t="inlineStr">
        <is>
          <t>SAO PAULO</t>
        </is>
      </c>
      <c r="AY240" s="32" t="inlineStr">
        <is>
          <t>SP</t>
        </is>
      </c>
      <c r="AZ240" s="32" t="inlineStr">
        <is>
          <t>Sociedades de crédito, financiamento e investimento - financeiras</t>
        </is>
      </c>
      <c r="BA240" s="32" t="inlineStr">
        <is>
          <t>não ME/EPP</t>
        </is>
      </c>
      <c r="BB240" s="33" t="n">
        <v>390240420</v>
      </c>
      <c r="BC240" s="32" t="inlineStr">
        <is>
          <t>LARGE CORP</t>
        </is>
      </c>
      <c r="BD240" s="32" t="inlineStr">
        <is>
          <t>48703388</t>
        </is>
      </c>
      <c r="BE240" s="32" t="n">
        <v>1</v>
      </c>
      <c r="BF240" s="32" t="inlineStr">
        <is>
          <t>list prints no totals</t>
        </is>
      </c>
    </row>
    <row r="241">
      <c r="A241" s="17" t="inlineStr">
        <is>
          <t>W K SECURITIZADORA S.A.</t>
        </is>
      </c>
      <c r="B241" s="18" t="n">
        <v>402501.34</v>
      </c>
      <c r="C241" s="19" t="inlineStr">
        <is>
          <t>Alto Uruguai Indústria e Comércio de Óleos Ltda</t>
        </is>
      </c>
      <c r="D241" s="20" t="inlineStr">
        <is>
          <t>NEW</t>
        </is>
      </c>
      <c r="E241" s="21" t="inlineStr"/>
      <c r="F241" s="20" t="inlineStr"/>
      <c r="G241" s="21" t="inlineStr"/>
      <c r="H241" s="20" t="inlineStr"/>
      <c r="I241" s="22" t="inlineStr"/>
      <c r="J241" s="22" t="inlineStr"/>
      <c r="K241" s="22" t="inlineStr"/>
      <c r="L241" s="22" t="inlineStr"/>
      <c r="M241" s="22" t="inlineStr"/>
      <c r="N241" s="22" t="inlineStr"/>
      <c r="O241" s="22" t="inlineStr"/>
      <c r="P241" s="22" t="inlineStr"/>
      <c r="Q241" s="22" t="inlineStr"/>
      <c r="R241" s="22" t="inlineStr"/>
      <c r="S241" s="22" t="inlineStr"/>
      <c r="T241" s="22" t="inlineStr">
        <is>
          <t>no named contact found; NO ROUTE IN: no phone or email on file</t>
        </is>
      </c>
      <c r="U241" s="24" t="n">
        <v>402501.34</v>
      </c>
      <c r="V241" s="25" t="inlineStr">
        <is>
          <t>B</t>
        </is>
      </c>
      <c r="W241" s="26" t="inlineStr"/>
      <c r="X241" s="27" t="inlineStr"/>
      <c r="Y241" s="27" t="inlineStr"/>
      <c r="Z241" s="26">
        <f>IF(W241&lt;&gt;"",W241,IFERROR(VLOOKUP(V241,Assumptions!$A$8:$F$12,2,FALSE),0))*Assumptions!$B$5</f>
        <v/>
      </c>
      <c r="AA241" s="28">
        <f>IF(V241="A",MAX(1,IF(X241&lt;&gt;"",X241,IFERROR(VLOOKUP(V241,Assumptions!$A$8:$F$12,3,FALSE),3))+IF(Y241&lt;&gt;"",Y241,IFERROR(VLOOKUP(V241,Assumptions!$A$8:$F$12,4,FALSE),8))/2-MAX(0,IF(AS241="",0,YEAR(TODAY())-AS241)-IFERROR(VLOOKUP(V241,Assumptions!$A$8:$F$12,5,FALSE),1.5))),IFERROR(VLOOKUP(V241,Assumptions!$A$8:$F$12,5,FALSE),2.5)+IF(X241&lt;&gt;"",X241,IFERROR(VLOOKUP(V241,Assumptions!$A$8:$F$12,3,FALSE),3))+IF(Y241&lt;&gt;"",Y241,IFERROR(VLOOKUP(V241,Assumptions!$A$8:$F$12,4,FALSE),8))/2)</f>
        <v/>
      </c>
      <c r="AB241" s="24">
        <f>U241*Z241/(1+Assumptions!$B$3)^AA241</f>
        <v/>
      </c>
      <c r="AC241" s="27">
        <f>IF(U241=0,"",ROUND(AB241/U241*100,1))</f>
        <v/>
      </c>
      <c r="AD241" s="29">
        <f>AB241*Assumptions!$B$4</f>
        <v/>
      </c>
      <c r="AE241" s="27">
        <f>IF(U241=0,"",ROUND(AD241/U241*100,1))</f>
        <v/>
      </c>
      <c r="AF241" s="29">
        <f>AB241-AD241</f>
        <v/>
      </c>
      <c r="AG241" s="27">
        <f>IF(U241=0,"",ROUND((AB241-AD241)/U241*100,1))</f>
        <v/>
      </c>
      <c r="AH241" s="30" t="inlineStr">
        <is>
          <t>OK — totals reconciled</t>
        </is>
      </c>
      <c r="AI241" s="31" t="inlineStr">
        <is>
          <t>https://ajruiz.com.br/sites/default/files/public/arquivos-processos/2026-06/alto_uruguai_qgc_junho.2026.pdf</t>
        </is>
      </c>
      <c r="AJ241" s="30" t="inlineStr">
        <is>
          <t>p1 r37</t>
        </is>
      </c>
      <c r="AK241" s="30" t="inlineStr">
        <is>
          <t>p1: R$ 402.501,34</t>
        </is>
      </c>
      <c r="AL241" s="30" t="inlineStr">
        <is>
          <t>Unclassified list</t>
        </is>
      </c>
      <c r="AM241" s="30" t="inlineStr"/>
      <c r="AN241" s="30" t="inlineStr">
        <is>
          <t>NONE FOUND</t>
        </is>
      </c>
      <c r="AO241" s="32" t="inlineStr">
        <is>
          <t>5012743-51.2023.8.24.0019</t>
        </is>
      </c>
      <c r="AP241" s="32" t="inlineStr">
        <is>
          <t>TJSC</t>
        </is>
      </c>
      <c r="AQ241" s="32" t="inlineStr">
        <is>
          <t>Recuperação judicial</t>
        </is>
      </c>
      <c r="AR241" s="32" t="inlineStr">
        <is>
          <t>DataJud: no closure/falência movement</t>
        </is>
      </c>
      <c r="AS241" s="32" t="n">
        <v>2023</v>
      </c>
      <c r="AT241" s="32" t="inlineStr">
        <is>
          <t>live case, no plan document yet</t>
        </is>
      </c>
      <c r="AU241" s="32" t="inlineStr"/>
      <c r="AV241" s="32" t="inlineStr">
        <is>
          <t>printed on the list (read twice)</t>
        </is>
      </c>
      <c r="AW241" s="32" t="inlineStr"/>
      <c r="AX241" s="32" t="inlineStr"/>
      <c r="AY241" s="32" t="inlineStr"/>
      <c r="AZ241" s="32" t="inlineStr"/>
      <c r="BA241" s="32" t="inlineStr"/>
      <c r="BB241" s="33" t="inlineStr"/>
      <c r="BC241" s="32" t="inlineStr">
        <is>
          <t>UNKNOWN</t>
        </is>
      </c>
      <c r="BD241" s="32" t="inlineStr">
        <is>
          <t>40373446</t>
        </is>
      </c>
      <c r="BE241" s="32" t="n">
        <v>1</v>
      </c>
      <c r="BF241" s="32" t="inlineStr">
        <is>
          <t>financial by name no RFB record no route in</t>
        </is>
      </c>
    </row>
    <row r="242">
      <c r="A242" s="17" t="inlineStr">
        <is>
          <t>Cooperativa de Crédito Poupança e Investimento Celeiro Centro Oeste - Sicredi Celeiro Centro Oeste</t>
        </is>
      </c>
      <c r="B242" s="18" t="n">
        <v>1743000.52</v>
      </c>
      <c r="C242" s="19" t="inlineStr">
        <is>
          <t>GRUPO 3E</t>
        </is>
      </c>
      <c r="D242" s="20" t="inlineStr">
        <is>
          <t>NEW</t>
        </is>
      </c>
      <c r="E242" s="21" t="inlineStr"/>
      <c r="F242" s="20" t="inlineStr"/>
      <c r="G242" s="21" t="inlineStr"/>
      <c r="H242" s="20" t="inlineStr"/>
      <c r="I242" s="22" t="inlineStr">
        <is>
          <t>Ellen Servian</t>
        </is>
      </c>
      <c r="J242" s="22" t="inlineStr">
        <is>
          <t>Coordenadora de Ciclo de Crédito</t>
        </is>
      </c>
      <c r="K242" s="22" t="inlineStr"/>
      <c r="L242" s="22" t="inlineStr"/>
      <c r="M242" s="22" t="inlineStr"/>
      <c r="N242" s="22" t="inlineStr"/>
      <c r="O242" s="22" t="inlineStr"/>
      <c r="P242" s="22" t="inlineStr">
        <is>
          <t>Maressa Figueiredo</t>
        </is>
      </c>
      <c r="Q242" s="22" t="inlineStr">
        <is>
          <t>Financial Administrative Manager</t>
        </is>
      </c>
      <c r="R242" s="22" t="inlineStr"/>
      <c r="S242" s="22" t="inlineStr">
        <is>
          <t>maressa_figueiredo@sicredi.com.br</t>
        </is>
      </c>
      <c r="T242" s="22" t="inlineStr">
        <is>
          <t>DM: DM email unavailable; no work email in Apollo for DM; BACKUP: backup2 verified email</t>
        </is>
      </c>
      <c r="U242" s="24" t="n">
        <v>1743000.52</v>
      </c>
      <c r="V242" s="25" t="inlineStr">
        <is>
          <t>B</t>
        </is>
      </c>
      <c r="W242" s="26" t="n">
        <v>0.12</v>
      </c>
      <c r="X242" s="27" t="n">
        <v>2</v>
      </c>
      <c r="Y242" s="27" t="n">
        <v>13</v>
      </c>
      <c r="Z242" s="26">
        <f>IF(W242&lt;&gt;"",W242,IFERROR(VLOOKUP(V242,Assumptions!$A$8:$F$12,2,FALSE),0))*Assumptions!$B$5</f>
        <v/>
      </c>
      <c r="AA242" s="28">
        <f>IF(V242="A",MAX(1,IF(X242&lt;&gt;"",X242,IFERROR(VLOOKUP(V242,Assumptions!$A$8:$F$12,3,FALSE),3))+IF(Y242&lt;&gt;"",Y242,IFERROR(VLOOKUP(V242,Assumptions!$A$8:$F$12,4,FALSE),8))/2-MAX(0,IF(AS242="",0,YEAR(TODAY())-AS242)-IFERROR(VLOOKUP(V242,Assumptions!$A$8:$F$12,5,FALSE),1.5))),IFERROR(VLOOKUP(V242,Assumptions!$A$8:$F$12,5,FALSE),2.5)+IF(X242&lt;&gt;"",X242,IFERROR(VLOOKUP(V242,Assumptions!$A$8:$F$12,3,FALSE),3))+IF(Y242&lt;&gt;"",Y242,IFERROR(VLOOKUP(V242,Assumptions!$A$8:$F$12,4,FALSE),8))/2)</f>
        <v/>
      </c>
      <c r="AB242" s="24">
        <f>U242*Z242/(1+Assumptions!$B$3)^AA242</f>
        <v/>
      </c>
      <c r="AC242" s="27">
        <f>IF(U242=0,"",ROUND(AB242/U242*100,1))</f>
        <v/>
      </c>
      <c r="AD242" s="29">
        <f>AB242*Assumptions!$B$4</f>
        <v/>
      </c>
      <c r="AE242" s="27">
        <f>IF(U242=0,"",ROUND(AD242/U242*100,1))</f>
        <v/>
      </c>
      <c r="AF242" s="29">
        <f>AB242-AD242</f>
        <v/>
      </c>
      <c r="AG242" s="27">
        <f>IF(U242=0,"",ROUND((AB242-AD242)/U242*100,1))</f>
        <v/>
      </c>
      <c r="AH242" s="34" t="inlineStr">
        <is>
          <t>NO TOTALS — list prints none; check page</t>
        </is>
      </c>
      <c r="AI242" s="31" t="inlineStr">
        <is>
          <t>https://stenius.com.br/wp-content/uploads/2026/06/EDITAL-GRUPO-3E.pdf</t>
        </is>
      </c>
      <c r="AJ242" s="30" t="inlineStr">
        <is>
          <t>p12 r10</t>
        </is>
      </c>
      <c r="AK242" s="30" t="inlineStr">
        <is>
          <t>p12: R$ 1.743.000,52</t>
        </is>
      </c>
      <c r="AL242" s="30" t="inlineStr">
        <is>
          <t>Debtor list (art. 51)</t>
        </is>
      </c>
      <c r="AM242" s="30" t="inlineStr">
        <is>
          <t>2026-06-22</t>
        </is>
      </c>
      <c r="AN242" s="30" t="inlineStr">
        <is>
          <t>PLAN FILED (art. 53), not granted</t>
        </is>
      </c>
      <c r="AO242" s="32" t="inlineStr">
        <is>
          <t>5341375-33.2026.8.09.0049</t>
        </is>
      </c>
      <c r="AP242" s="32" t="inlineStr">
        <is>
          <t>TJGO</t>
        </is>
      </c>
      <c r="AQ242" s="32" t="inlineStr">
        <is>
          <t>Recuperação judicial</t>
        </is>
      </c>
      <c r="AR242" s="32" t="inlineStr">
        <is>
          <t>DataJud: no closure/falência movement</t>
        </is>
      </c>
      <c r="AS242" s="32" t="n">
        <v>2026</v>
      </c>
      <c r="AT242" s="32" t="inlineStr">
        <is>
          <t>plan filed (art. 53), not yet granted</t>
        </is>
      </c>
      <c r="AU242" s="32" t="inlineStr"/>
      <c r="AV242" s="32" t="inlineStr">
        <is>
          <t>printed on the list (read twice)</t>
        </is>
      </c>
      <c r="AW242" s="32" t="inlineStr">
        <is>
          <t>Plano de Recuperação Judicial Grupo 3E v2.0 (Métis), mov. 321, pp.24-25</t>
        </is>
      </c>
      <c r="AX242" s="32" t="inlineStr"/>
      <c r="AY242" s="32" t="inlineStr"/>
      <c r="AZ242" s="32" t="inlineStr"/>
      <c r="BA242" s="32" t="inlineStr"/>
      <c r="BB242" s="33" t="inlineStr"/>
      <c r="BC242" s="32" t="inlineStr">
        <is>
          <t>UNKNOWN</t>
        </is>
      </c>
      <c r="BD242" s="32" t="inlineStr">
        <is>
          <t>03566655</t>
        </is>
      </c>
      <c r="BE242" s="32" t="n">
        <v>1</v>
      </c>
      <c r="BF242" s="32" t="inlineStr">
        <is>
          <t>financial by name list prints no totals no RFB record</t>
        </is>
      </c>
    </row>
    <row r="243">
      <c r="A243" s="17" t="inlineStr">
        <is>
          <t>Banco John Deere S.A.</t>
        </is>
      </c>
      <c r="B243" s="18" t="n">
        <v>1728493.23</v>
      </c>
      <c r="C243" s="19" t="inlineStr">
        <is>
          <t>GRUPO 3E</t>
        </is>
      </c>
      <c r="D243" s="20" t="inlineStr">
        <is>
          <t>NEW</t>
        </is>
      </c>
      <c r="E243" s="21" t="inlineStr"/>
      <c r="F243" s="20" t="inlineStr"/>
      <c r="G243" s="21" t="inlineStr"/>
      <c r="H243" s="20" t="inlineStr"/>
      <c r="I243" s="22" t="inlineStr">
        <is>
          <t>Thiago Oliveira</t>
        </is>
      </c>
      <c r="J243" s="22" t="inlineStr">
        <is>
          <t>Especalista de Cobrança | Banco John Deere</t>
        </is>
      </c>
      <c r="K243" s="22" t="inlineStr"/>
      <c r="L243" s="22" t="inlineStr"/>
      <c r="M243" s="22" t="inlineStr"/>
      <c r="N243" s="22" t="inlineStr">
        <is>
          <t>oliveirathiago@deere.com</t>
        </is>
      </c>
      <c r="O243" s="22" t="inlineStr">
        <is>
          <t>extrapolated</t>
        </is>
      </c>
      <c r="P243" s="22" t="inlineStr"/>
      <c r="Q243" s="22" t="inlineStr"/>
      <c r="R243" s="22" t="inlineStr"/>
      <c r="S243" s="22" t="inlineStr"/>
      <c r="T243" s="22" t="inlineStr">
        <is>
          <t>DM: DM; VERIFY org: John Deere (Banco John Deere staff under parent); email extrapolated</t>
        </is>
      </c>
      <c r="U243" s="24" t="n">
        <v>1728493.23</v>
      </c>
      <c r="V243" s="25" t="inlineStr">
        <is>
          <t>B</t>
        </is>
      </c>
      <c r="W243" s="26" t="n">
        <v>0.12</v>
      </c>
      <c r="X243" s="27" t="n">
        <v>2</v>
      </c>
      <c r="Y243" s="27" t="n">
        <v>13</v>
      </c>
      <c r="Z243" s="26">
        <f>IF(W243&lt;&gt;"",W243,IFERROR(VLOOKUP(V243,Assumptions!$A$8:$F$12,2,FALSE),0))*Assumptions!$B$5</f>
        <v/>
      </c>
      <c r="AA243" s="28">
        <f>IF(V243="A",MAX(1,IF(X243&lt;&gt;"",X243,IFERROR(VLOOKUP(V243,Assumptions!$A$8:$F$12,3,FALSE),3))+IF(Y243&lt;&gt;"",Y243,IFERROR(VLOOKUP(V243,Assumptions!$A$8:$F$12,4,FALSE),8))/2-MAX(0,IF(AS243="",0,YEAR(TODAY())-AS243)-IFERROR(VLOOKUP(V243,Assumptions!$A$8:$F$12,5,FALSE),1.5))),IFERROR(VLOOKUP(V243,Assumptions!$A$8:$F$12,5,FALSE),2.5)+IF(X243&lt;&gt;"",X243,IFERROR(VLOOKUP(V243,Assumptions!$A$8:$F$12,3,FALSE),3))+IF(Y243&lt;&gt;"",Y243,IFERROR(VLOOKUP(V243,Assumptions!$A$8:$F$12,4,FALSE),8))/2)</f>
        <v/>
      </c>
      <c r="AB243" s="24">
        <f>U243*Z243/(1+Assumptions!$B$3)^AA243</f>
        <v/>
      </c>
      <c r="AC243" s="27">
        <f>IF(U243=0,"",ROUND(AB243/U243*100,1))</f>
        <v/>
      </c>
      <c r="AD243" s="29">
        <f>AB243*Assumptions!$B$4</f>
        <v/>
      </c>
      <c r="AE243" s="27">
        <f>IF(U243=0,"",ROUND(AD243/U243*100,1))</f>
        <v/>
      </c>
      <c r="AF243" s="29">
        <f>AB243-AD243</f>
        <v/>
      </c>
      <c r="AG243" s="27">
        <f>IF(U243=0,"",ROUND((AB243-AD243)/U243*100,1))</f>
        <v/>
      </c>
      <c r="AH243" s="34" t="inlineStr">
        <is>
          <t>NO TOTALS — list prints none; check page</t>
        </is>
      </c>
      <c r="AI243" s="31" t="inlineStr">
        <is>
          <t>https://stenius.com.br/wp-content/uploads/2026/06/EDITAL-GRUPO-3E.pdf</t>
        </is>
      </c>
      <c r="AJ243" s="30" t="inlineStr">
        <is>
          <t>p10 r37</t>
        </is>
      </c>
      <c r="AK243" s="30" t="inlineStr">
        <is>
          <t>p10: R$ 1.728.493,23</t>
        </is>
      </c>
      <c r="AL243" s="30" t="inlineStr">
        <is>
          <t>Debtor list (art. 51)</t>
        </is>
      </c>
      <c r="AM243" s="30" t="inlineStr">
        <is>
          <t>2026-06-22</t>
        </is>
      </c>
      <c r="AN243" s="30" t="inlineStr">
        <is>
          <t>PLAN FILED (art. 53), not granted</t>
        </is>
      </c>
      <c r="AO243" s="32" t="inlineStr">
        <is>
          <t>5341375-33.2026.8.09.0049</t>
        </is>
      </c>
      <c r="AP243" s="32" t="inlineStr">
        <is>
          <t>TJGO</t>
        </is>
      </c>
      <c r="AQ243" s="32" t="inlineStr">
        <is>
          <t>Recuperação judicial</t>
        </is>
      </c>
      <c r="AR243" s="32" t="inlineStr">
        <is>
          <t>DataJud: no closure/falência movement</t>
        </is>
      </c>
      <c r="AS243" s="32" t="n">
        <v>2026</v>
      </c>
      <c r="AT243" s="32" t="inlineStr">
        <is>
          <t>plan filed (art. 53), not yet granted</t>
        </is>
      </c>
      <c r="AU243" s="32" t="inlineStr"/>
      <c r="AV243" s="32" t="inlineStr">
        <is>
          <t>printed on the list (read twice)</t>
        </is>
      </c>
      <c r="AW243" s="32" t="inlineStr">
        <is>
          <t>Plano de Recuperação Judicial Grupo 3E v2.0 (Métis), mov. 321, pp.24-25</t>
        </is>
      </c>
      <c r="AX243" s="32" t="inlineStr"/>
      <c r="AY243" s="32" t="inlineStr"/>
      <c r="AZ243" s="32" t="inlineStr"/>
      <c r="BA243" s="32" t="inlineStr"/>
      <c r="BB243" s="33" t="inlineStr"/>
      <c r="BC243" s="32" t="inlineStr">
        <is>
          <t>UNKNOWN</t>
        </is>
      </c>
      <c r="BD243" s="32" t="inlineStr">
        <is>
          <t>91884981</t>
        </is>
      </c>
      <c r="BE243" s="32" t="n">
        <v>1</v>
      </c>
      <c r="BF243" s="32" t="inlineStr">
        <is>
          <t>financial by name list prints no totals no RFB record</t>
        </is>
      </c>
    </row>
    <row r="244">
      <c r="A244" s="17" t="inlineStr">
        <is>
          <t>RNX FUNDO DE INVESTIMENTO EM DIREITOS CREDITORIOS MULTISSETORIAL</t>
        </is>
      </c>
      <c r="B244" s="18" t="n">
        <v>394138.08</v>
      </c>
      <c r="C244" s="19" t="inlineStr">
        <is>
          <t>Alto Uruguai Indústria e Comércio de Óleos Ltda</t>
        </is>
      </c>
      <c r="D244" s="20" t="inlineStr">
        <is>
          <t>NEW</t>
        </is>
      </c>
      <c r="E244" s="21" t="inlineStr"/>
      <c r="F244" s="20" t="inlineStr"/>
      <c r="G244" s="21" t="inlineStr"/>
      <c r="H244" s="20" t="inlineStr"/>
      <c r="I244" s="22" t="inlineStr">
        <is>
          <t>Tales Haubert</t>
        </is>
      </c>
      <c r="J244" s="22" t="inlineStr">
        <is>
          <t>Gerente de Crédito e Cadastro</t>
        </is>
      </c>
      <c r="K244" s="22" t="inlineStr"/>
      <c r="L244" s="22" t="inlineStr"/>
      <c r="M244" s="22" t="inlineStr"/>
      <c r="N244" s="22" t="inlineStr">
        <is>
          <t>tales@rnxfidc.com.br</t>
        </is>
      </c>
      <c r="O244" s="22" t="inlineStr">
        <is>
          <t>verified</t>
        </is>
      </c>
      <c r="P244" s="22" t="inlineStr">
        <is>
          <t>Jose Vechini</t>
        </is>
      </c>
      <c r="Q244" s="22" t="inlineStr">
        <is>
          <t>Credit Coordinator</t>
        </is>
      </c>
      <c r="R244" s="22" t="inlineStr"/>
      <c r="S244" s="22" t="inlineStr">
        <is>
          <t>jose.vechini@rnxfidc.com.br</t>
        </is>
      </c>
      <c r="T244" s="22" t="inlineStr">
        <is>
          <t>DM: DM; BACKUP: backup</t>
        </is>
      </c>
      <c r="U244" s="24" t="n">
        <v>394138.08</v>
      </c>
      <c r="V244" s="25" t="inlineStr">
        <is>
          <t>B</t>
        </is>
      </c>
      <c r="W244" s="26" t="inlineStr"/>
      <c r="X244" s="27" t="inlineStr"/>
      <c r="Y244" s="27" t="inlineStr"/>
      <c r="Z244" s="26">
        <f>IF(W244&lt;&gt;"",W244,IFERROR(VLOOKUP(V244,Assumptions!$A$8:$F$12,2,FALSE),0))*Assumptions!$B$5</f>
        <v/>
      </c>
      <c r="AA244" s="28">
        <f>IF(V244="A",MAX(1,IF(X244&lt;&gt;"",X244,IFERROR(VLOOKUP(V244,Assumptions!$A$8:$F$12,3,FALSE),3))+IF(Y244&lt;&gt;"",Y244,IFERROR(VLOOKUP(V244,Assumptions!$A$8:$F$12,4,FALSE),8))/2-MAX(0,IF(AS244="",0,YEAR(TODAY())-AS244)-IFERROR(VLOOKUP(V244,Assumptions!$A$8:$F$12,5,FALSE),1.5))),IFERROR(VLOOKUP(V244,Assumptions!$A$8:$F$12,5,FALSE),2.5)+IF(X244&lt;&gt;"",X244,IFERROR(VLOOKUP(V244,Assumptions!$A$8:$F$12,3,FALSE),3))+IF(Y244&lt;&gt;"",Y244,IFERROR(VLOOKUP(V244,Assumptions!$A$8:$F$12,4,FALSE),8))/2)</f>
        <v/>
      </c>
      <c r="AB244" s="24">
        <f>U244*Z244/(1+Assumptions!$B$3)^AA244</f>
        <v/>
      </c>
      <c r="AC244" s="27">
        <f>IF(U244=0,"",ROUND(AB244/U244*100,1))</f>
        <v/>
      </c>
      <c r="AD244" s="29">
        <f>AB244*Assumptions!$B$4</f>
        <v/>
      </c>
      <c r="AE244" s="27">
        <f>IF(U244=0,"",ROUND(AD244/U244*100,1))</f>
        <v/>
      </c>
      <c r="AF244" s="29">
        <f>AB244-AD244</f>
        <v/>
      </c>
      <c r="AG244" s="27">
        <f>IF(U244=0,"",ROUND((AB244-AD244)/U244*100,1))</f>
        <v/>
      </c>
      <c r="AH244" s="30" t="inlineStr">
        <is>
          <t>OK — totals reconciled</t>
        </is>
      </c>
      <c r="AI244" s="31" t="inlineStr">
        <is>
          <t>https://ajruiz.com.br/sites/default/files/public/arquivos-processos/2026-06/alto_uruguai_qgc_junho.2026.pdf</t>
        </is>
      </c>
      <c r="AJ244" s="30" t="inlineStr">
        <is>
          <t>p1 r34</t>
        </is>
      </c>
      <c r="AK244" s="30" t="inlineStr">
        <is>
          <t>p1: R$ 394.138,08</t>
        </is>
      </c>
      <c r="AL244" s="30" t="inlineStr">
        <is>
          <t>Unclassified list</t>
        </is>
      </c>
      <c r="AM244" s="30" t="inlineStr"/>
      <c r="AN244" s="30" t="inlineStr">
        <is>
          <t>NONE FOUND</t>
        </is>
      </c>
      <c r="AO244" s="32" t="inlineStr">
        <is>
          <t>5012743-51.2023.8.24.0019</t>
        </is>
      </c>
      <c r="AP244" s="32" t="inlineStr">
        <is>
          <t>TJSC</t>
        </is>
      </c>
      <c r="AQ244" s="32" t="inlineStr">
        <is>
          <t>Recuperação judicial</t>
        </is>
      </c>
      <c r="AR244" s="32" t="inlineStr">
        <is>
          <t>DataJud: no closure/falência movement</t>
        </is>
      </c>
      <c r="AS244" s="32" t="n">
        <v>2023</v>
      </c>
      <c r="AT244" s="32" t="inlineStr">
        <is>
          <t>live case, no plan document yet</t>
        </is>
      </c>
      <c r="AU244" s="32" t="inlineStr"/>
      <c r="AV244" s="32" t="inlineStr">
        <is>
          <t>printed on the list (read twice)</t>
        </is>
      </c>
      <c r="AW244" s="32" t="inlineStr"/>
      <c r="AX244" s="32" t="inlineStr"/>
      <c r="AY244" s="32" t="inlineStr"/>
      <c r="AZ244" s="32" t="inlineStr"/>
      <c r="BA244" s="32" t="inlineStr"/>
      <c r="BB244" s="33" t="inlineStr"/>
      <c r="BC244" s="32" t="inlineStr">
        <is>
          <t>UNKNOWN</t>
        </is>
      </c>
      <c r="BD244" s="32" t="inlineStr">
        <is>
          <t>12813212</t>
        </is>
      </c>
      <c r="BE244" s="32" t="n">
        <v>1</v>
      </c>
      <c r="BF244" s="32" t="inlineStr">
        <is>
          <t>financial by name no RFB record</t>
        </is>
      </c>
    </row>
    <row r="245">
      <c r="A245" s="17" t="inlineStr">
        <is>
          <t>BANCO SAFRA S A</t>
        </is>
      </c>
      <c r="B245" s="18" t="n">
        <v>393908.14</v>
      </c>
      <c r="C245" s="19" t="inlineStr">
        <is>
          <t>B1 COMÉRCIO DE MANUFATURADOS LTDA</t>
        </is>
      </c>
      <c r="D245" s="20" t="inlineStr">
        <is>
          <t>NEW</t>
        </is>
      </c>
      <c r="E245" s="21" t="inlineStr"/>
      <c r="F245" s="20" t="inlineStr"/>
      <c r="G245" s="21" t="inlineStr"/>
      <c r="H245" s="20" t="inlineStr"/>
      <c r="I245" s="22" t="inlineStr">
        <is>
          <t>Vanessa Biotti</t>
        </is>
      </c>
      <c r="J245" s="22" t="inlineStr">
        <is>
          <t>Gerente de Recuperação de Crédito</t>
        </is>
      </c>
      <c r="K245" s="22" t="inlineStr">
        <is>
          <t>(11) 3175-7575</t>
        </is>
      </c>
      <c r="L245" s="22" t="inlineStr"/>
      <c r="M245" s="22" t="inlineStr"/>
      <c r="N245" s="22" t="inlineStr">
        <is>
          <t>vanessa.biotti@safra.com.br</t>
        </is>
      </c>
      <c r="O245" s="22" t="inlineStr">
        <is>
          <t>verified</t>
        </is>
      </c>
      <c r="P245" s="22" t="inlineStr">
        <is>
          <t>Rodrigo Anjos</t>
        </is>
      </c>
      <c r="Q245" s="22" t="inlineStr">
        <is>
          <t>Advogado Sênior - Jurídico Contencioso - Recuperação de Crédito - NPL</t>
        </is>
      </c>
      <c r="R245" s="22" t="inlineStr"/>
      <c r="S245" s="22" t="inlineStr">
        <is>
          <t>rodrigo.anjos@safra.com.br</t>
        </is>
      </c>
      <c r="T245" s="22" t="inlineStr">
        <is>
          <t>DM: DM verified email; BACKUP: backup verified email (NPL legal)</t>
        </is>
      </c>
      <c r="U245" s="24" t="n">
        <v>393908.14</v>
      </c>
      <c r="V245" s="25" t="inlineStr">
        <is>
          <t>B</t>
        </is>
      </c>
      <c r="W245" s="26" t="inlineStr"/>
      <c r="X245" s="27" t="inlineStr"/>
      <c r="Y245" s="27" t="inlineStr"/>
      <c r="Z245" s="26">
        <f>IF(W245&lt;&gt;"",W245,IFERROR(VLOOKUP(V245,Assumptions!$A$8:$F$12,2,FALSE),0))*Assumptions!$B$5</f>
        <v/>
      </c>
      <c r="AA245" s="28">
        <f>IF(V245="A",MAX(1,IF(X245&lt;&gt;"",X245,IFERROR(VLOOKUP(V245,Assumptions!$A$8:$F$12,3,FALSE),3))+IF(Y245&lt;&gt;"",Y245,IFERROR(VLOOKUP(V245,Assumptions!$A$8:$F$12,4,FALSE),8))/2-MAX(0,IF(AS245="",0,YEAR(TODAY())-AS245)-IFERROR(VLOOKUP(V245,Assumptions!$A$8:$F$12,5,FALSE),1.5))),IFERROR(VLOOKUP(V245,Assumptions!$A$8:$F$12,5,FALSE),2.5)+IF(X245&lt;&gt;"",X245,IFERROR(VLOOKUP(V245,Assumptions!$A$8:$F$12,3,FALSE),3))+IF(Y245&lt;&gt;"",Y245,IFERROR(VLOOKUP(V245,Assumptions!$A$8:$F$12,4,FALSE),8))/2)</f>
        <v/>
      </c>
      <c r="AB245" s="24">
        <f>U245*Z245/(1+Assumptions!$B$3)^AA245</f>
        <v/>
      </c>
      <c r="AC245" s="27">
        <f>IF(U245=0,"",ROUND(AB245/U245*100,1))</f>
        <v/>
      </c>
      <c r="AD245" s="29">
        <f>AB245*Assumptions!$B$4</f>
        <v/>
      </c>
      <c r="AE245" s="27">
        <f>IF(U245=0,"",ROUND(AD245/U245*100,1))</f>
        <v/>
      </c>
      <c r="AF245" s="29">
        <f>AB245-AD245</f>
        <v/>
      </c>
      <c r="AG245" s="27">
        <f>IF(U245=0,"",ROUND((AB245-AD245)/U245*100,1))</f>
        <v/>
      </c>
      <c r="AH245" s="34" t="inlineStr">
        <is>
          <t>NO TOTALS — list prints none; check page</t>
        </is>
      </c>
      <c r="AI245" s="31" t="inlineStr">
        <is>
          <t>https://marquesadmjudicial.com.br/sgc/download.php?file=files/processo_documento/processo_documento18581929042026_1_.pdf&amp;nome=3º Edital - Relação de Credores e PRJ</t>
        </is>
      </c>
      <c r="AJ245" s="30" t="inlineStr">
        <is>
          <t>p1 r38</t>
        </is>
      </c>
      <c r="AK245" s="30" t="inlineStr">
        <is>
          <t>p1: R$ 393.908,14</t>
        </is>
      </c>
      <c r="AL245" s="30" t="inlineStr">
        <is>
          <t>AJ list (art. 7 §2)</t>
        </is>
      </c>
      <c r="AM245" s="30" t="inlineStr">
        <is>
          <t>2025-09-12</t>
        </is>
      </c>
      <c r="AN245" s="30" t="inlineStr">
        <is>
          <t>NONE FOUND</t>
        </is>
      </c>
      <c r="AO245" s="32" t="inlineStr">
        <is>
          <t>0043030-30.2025.8.16.0021</t>
        </is>
      </c>
      <c r="AP245" s="32" t="inlineStr">
        <is>
          <t>TJPR</t>
        </is>
      </c>
      <c r="AQ245" s="32" t="inlineStr">
        <is>
          <t>Recuperação judicial</t>
        </is>
      </c>
      <c r="AR245" s="32" t="inlineStr">
        <is>
          <t>DataJud: no closure/falência movement</t>
        </is>
      </c>
      <c r="AS245" s="32" t="n">
        <v>2025</v>
      </c>
      <c r="AT245" s="32" t="inlineStr">
        <is>
          <t>live case, no plan document yet</t>
        </is>
      </c>
      <c r="AU245" s="32" t="inlineStr">
        <is>
          <t>29.448.809/0001-62</t>
        </is>
      </c>
      <c r="AV245" s="32" t="inlineStr">
        <is>
          <t>printed on the list (read twice)</t>
        </is>
      </c>
      <c r="AW245" s="32" t="inlineStr"/>
      <c r="AX245" s="32" t="inlineStr">
        <is>
          <t>SAO PAULO</t>
        </is>
      </c>
      <c r="AY245" s="32" t="inlineStr">
        <is>
          <t>SP</t>
        </is>
      </c>
      <c r="AZ245" s="32" t="inlineStr">
        <is>
          <t>Bancos múltiplos, com carteira comercial</t>
        </is>
      </c>
      <c r="BA245" s="32" t="inlineStr">
        <is>
          <t>não ME/EPP</t>
        </is>
      </c>
      <c r="BB245" s="33" t="n">
        <v>13924903000</v>
      </c>
      <c r="BC245" s="32" t="inlineStr">
        <is>
          <t>LARGE CORP</t>
        </is>
      </c>
      <c r="BD245" s="32" t="inlineStr">
        <is>
          <t>58160789</t>
        </is>
      </c>
      <c r="BE245" s="32" t="n">
        <v>1</v>
      </c>
      <c r="BF245" s="32" t="inlineStr">
        <is>
          <t>financial by name list prints no totals</t>
        </is>
      </c>
    </row>
    <row r="246">
      <c r="A246" s="17" t="inlineStr">
        <is>
          <t>BANCO BRADESCO S.A.</t>
        </is>
      </c>
      <c r="B246" s="18" t="n">
        <v>393478.57</v>
      </c>
      <c r="C246" s="19" t="inlineStr">
        <is>
          <t>AZEPLAST INDÚSTRIA E COMÉRCIO LTDA</t>
        </is>
      </c>
      <c r="D246" s="20" t="inlineStr">
        <is>
          <t>NEW</t>
        </is>
      </c>
      <c r="E246" s="21" t="inlineStr"/>
      <c r="F246" s="20" t="inlineStr"/>
      <c r="G246" s="21" t="inlineStr"/>
      <c r="H246" s="20" t="inlineStr"/>
      <c r="I246" s="22" t="inlineStr">
        <is>
          <t>Marcela Martins</t>
        </is>
      </c>
      <c r="J246" s="22" t="inlineStr">
        <is>
          <t>Superintendente de Recuperação de Crédito - Canais e Operações</t>
        </is>
      </c>
      <c r="K246" s="22" t="inlineStr">
        <is>
          <t>(11) 3684-5122</t>
        </is>
      </c>
      <c r="L246" s="22" t="inlineStr"/>
      <c r="M246" s="22" t="inlineStr"/>
      <c r="N246" s="22" t="inlineStr"/>
      <c r="O246" s="22" t="inlineStr"/>
      <c r="P246" s="22" t="inlineStr">
        <is>
          <t>Luis S</t>
        </is>
      </c>
      <c r="Q246" s="22" t="inlineStr">
        <is>
          <t>DRC - Departamento de Recuperação de Crédito - Gerente de Reestruturação de Crédito</t>
        </is>
      </c>
      <c r="R246" s="22" t="inlineStr"/>
      <c r="S246" s="22" t="inlineStr">
        <is>
          <t>sl@bradesco.com.br</t>
        </is>
      </c>
      <c r="T246" s="22" t="inlineStr">
        <is>
          <t>DM: DM; no work email in Apollo for DM; BACKUP: backup</t>
        </is>
      </c>
      <c r="U246" s="24" t="n">
        <v>393478.57</v>
      </c>
      <c r="V246" s="25" t="inlineStr">
        <is>
          <t>B</t>
        </is>
      </c>
      <c r="W246" s="26" t="inlineStr"/>
      <c r="X246" s="27" t="inlineStr"/>
      <c r="Y246" s="27" t="inlineStr"/>
      <c r="Z246" s="26">
        <f>IF(W246&lt;&gt;"",W246,IFERROR(VLOOKUP(V246,Assumptions!$A$8:$F$12,2,FALSE),0))*Assumptions!$B$5</f>
        <v/>
      </c>
      <c r="AA246" s="28">
        <f>IF(V246="A",MAX(1,IF(X246&lt;&gt;"",X246,IFERROR(VLOOKUP(V246,Assumptions!$A$8:$F$12,3,FALSE),3))+IF(Y246&lt;&gt;"",Y246,IFERROR(VLOOKUP(V246,Assumptions!$A$8:$F$12,4,FALSE),8))/2-MAX(0,IF(AS246="",0,YEAR(TODAY())-AS246)-IFERROR(VLOOKUP(V246,Assumptions!$A$8:$F$12,5,FALSE),1.5))),IFERROR(VLOOKUP(V246,Assumptions!$A$8:$F$12,5,FALSE),2.5)+IF(X246&lt;&gt;"",X246,IFERROR(VLOOKUP(V246,Assumptions!$A$8:$F$12,3,FALSE),3))+IF(Y246&lt;&gt;"",Y246,IFERROR(VLOOKUP(V246,Assumptions!$A$8:$F$12,4,FALSE),8))/2)</f>
        <v/>
      </c>
      <c r="AB246" s="24">
        <f>U246*Z246/(1+Assumptions!$B$3)^AA246</f>
        <v/>
      </c>
      <c r="AC246" s="27">
        <f>IF(U246=0,"",ROUND(AB246/U246*100,1))</f>
        <v/>
      </c>
      <c r="AD246" s="29">
        <f>AB246*Assumptions!$B$4</f>
        <v/>
      </c>
      <c r="AE246" s="27">
        <f>IF(U246=0,"",ROUND(AD246/U246*100,1))</f>
        <v/>
      </c>
      <c r="AF246" s="29">
        <f>AB246-AD246</f>
        <v/>
      </c>
      <c r="AG246" s="27">
        <f>IF(U246=0,"",ROUND((AB246-AD246)/U246*100,1))</f>
        <v/>
      </c>
      <c r="AH246" s="35" t="inlineStr">
        <is>
          <t>PARTIAL — class III reconciled, other classes not</t>
        </is>
      </c>
      <c r="AI246" s="31" t="inlineStr">
        <is>
          <t>https://ajruiz.com.br/sites/default/files/public/arquivos-processos/2026-08/qgc_azeplast_julho_2026.pdf</t>
        </is>
      </c>
      <c r="AJ246" s="30" t="inlineStr">
        <is>
          <t>p1 r7</t>
        </is>
      </c>
      <c r="AK246" s="30" t="inlineStr">
        <is>
          <t>p1: R$ 393.478,57</t>
        </is>
      </c>
      <c r="AL246" s="30" t="inlineStr">
        <is>
          <t>QGC (art. 18)</t>
        </is>
      </c>
      <c r="AM246" s="30" t="inlineStr"/>
      <c r="AN246" s="30" t="inlineStr">
        <is>
          <t>NONE FOUND</t>
        </is>
      </c>
      <c r="AO246" s="32" t="inlineStr">
        <is>
          <t>5008793-34.2023.8.24.0019</t>
        </is>
      </c>
      <c r="AP246" s="32" t="inlineStr">
        <is>
          <t>TJSC</t>
        </is>
      </c>
      <c r="AQ246" s="32" t="inlineStr">
        <is>
          <t>Recuperação judicial</t>
        </is>
      </c>
      <c r="AR246" s="32" t="inlineStr">
        <is>
          <t>DataJud: no closure/falência movement</t>
        </is>
      </c>
      <c r="AS246" s="32" t="n">
        <v>2023</v>
      </c>
      <c r="AT246" s="32" t="inlineStr">
        <is>
          <t>live case, no plan document yet</t>
        </is>
      </c>
      <c r="AU246" s="32" t="inlineStr"/>
      <c r="AV246" s="32" t="inlineStr">
        <is>
          <t>printed on the list (read twice)</t>
        </is>
      </c>
      <c r="AW246" s="32" t="inlineStr"/>
      <c r="AX246" s="32" t="inlineStr">
        <is>
          <t>OSASCO</t>
        </is>
      </c>
      <c r="AY246" s="32" t="inlineStr">
        <is>
          <t>SP</t>
        </is>
      </c>
      <c r="AZ246" s="32" t="inlineStr">
        <is>
          <t>Bancos múltiplos, com carteira comercial</t>
        </is>
      </c>
      <c r="BA246" s="32" t="inlineStr">
        <is>
          <t>não ME/EPP</t>
        </is>
      </c>
      <c r="BB246" s="33" t="n">
        <v>93770000000</v>
      </c>
      <c r="BC246" s="32" t="inlineStr">
        <is>
          <t>LARGE CORP</t>
        </is>
      </c>
      <c r="BD246" s="32" t="inlineStr">
        <is>
          <t>60746948</t>
        </is>
      </c>
      <c r="BE246" s="32" t="n">
        <v>1</v>
      </c>
      <c r="BF246" s="32" t="inlineStr">
        <is>
          <t>financial by name class III reconciled (doc partial)</t>
        </is>
      </c>
    </row>
    <row r="247">
      <c r="A247" s="17" t="inlineStr">
        <is>
          <t>BANCO VOTORANTIM S.A.</t>
        </is>
      </c>
      <c r="B247" s="18" t="n">
        <v>2791496.59</v>
      </c>
      <c r="C247" s="19" t="inlineStr">
        <is>
          <t>Mannes</t>
        </is>
      </c>
      <c r="D247" s="20" t="inlineStr">
        <is>
          <t>NEW</t>
        </is>
      </c>
      <c r="E247" s="21" t="inlineStr"/>
      <c r="F247" s="20" t="inlineStr"/>
      <c r="G247" s="21" t="inlineStr"/>
      <c r="H247" s="20" t="inlineStr"/>
      <c r="I247" s="22" t="inlineStr">
        <is>
          <t>Red Silva</t>
        </is>
      </c>
      <c r="J247" s="22" t="inlineStr">
        <is>
          <t>Special Assets - Banker Senior</t>
        </is>
      </c>
      <c r="K247" s="22" t="inlineStr">
        <is>
          <t>(11) 5171-2672</t>
        </is>
      </c>
      <c r="L247" s="22" t="inlineStr">
        <is>
          <t>(11) 5171-2488</t>
        </is>
      </c>
      <c r="M247" s="22" t="inlineStr"/>
      <c r="N247" s="22" t="inlineStr">
        <is>
          <t>red.silva@bv.com.br</t>
        </is>
      </c>
      <c r="O247" s="22" t="inlineStr">
        <is>
          <t>verified</t>
        </is>
      </c>
      <c r="P247" s="22" t="inlineStr">
        <is>
          <t>Caroline Oishi</t>
        </is>
      </c>
      <c r="Q247" s="22" t="inlineStr">
        <is>
          <t>Gerente Executivo de Recuperação de Crédito</t>
        </is>
      </c>
      <c r="R247" s="22" t="inlineStr"/>
      <c r="S247" s="22" t="inlineStr">
        <is>
          <t>caroline.oishi@bv.com.br</t>
        </is>
      </c>
      <c r="T247" s="22" t="inlineStr">
        <is>
          <t>DM: DM; BACKUP: backup</t>
        </is>
      </c>
      <c r="U247" s="24" t="n">
        <v>2791496.59</v>
      </c>
      <c r="V247" s="40" t="inlineStr">
        <is>
          <t>D</t>
        </is>
      </c>
      <c r="W247" s="26" t="inlineStr"/>
      <c r="X247" s="27" t="inlineStr"/>
      <c r="Y247" s="27" t="inlineStr"/>
      <c r="Z247" s="26">
        <f>IF(W247&lt;&gt;"",W247,IFERROR(VLOOKUP(V247,Assumptions!$A$8:$F$12,2,FALSE),0))*Assumptions!$B$5</f>
        <v/>
      </c>
      <c r="AA247" s="28">
        <f>IF(V247="A",MAX(1,IF(X247&lt;&gt;"",X247,IFERROR(VLOOKUP(V247,Assumptions!$A$8:$F$12,3,FALSE),3))+IF(Y247&lt;&gt;"",Y247,IFERROR(VLOOKUP(V247,Assumptions!$A$8:$F$12,4,FALSE),8))/2-MAX(0,IF(AS247="",0,YEAR(TODAY())-AS247)-IFERROR(VLOOKUP(V247,Assumptions!$A$8:$F$12,5,FALSE),1.5))),IFERROR(VLOOKUP(V247,Assumptions!$A$8:$F$12,5,FALSE),2.5)+IF(X247&lt;&gt;"",X247,IFERROR(VLOOKUP(V247,Assumptions!$A$8:$F$12,3,FALSE),3))+IF(Y247&lt;&gt;"",Y247,IFERROR(VLOOKUP(V247,Assumptions!$A$8:$F$12,4,FALSE),8))/2)</f>
        <v/>
      </c>
      <c r="AB247" s="24">
        <f>U247*Z247/(1+Assumptions!$B$3)^AA247</f>
        <v/>
      </c>
      <c r="AC247" s="27">
        <f>IF(U247=0,"",ROUND(AB247/U247*100,1))</f>
        <v/>
      </c>
      <c r="AD247" s="29">
        <f>AB247*Assumptions!$B$4</f>
        <v/>
      </c>
      <c r="AE247" s="27">
        <f>IF(U247=0,"",ROUND(AD247/U247*100,1))</f>
        <v/>
      </c>
      <c r="AF247" s="29">
        <f>AB247-AD247</f>
        <v/>
      </c>
      <c r="AG247" s="27">
        <f>IF(U247=0,"",ROUND((AB247-AD247)/U247*100,1))</f>
        <v/>
      </c>
      <c r="AH247" s="36" t="inlineStr">
        <is>
          <t>CHECK — source is not a statutory creditor list</t>
        </is>
      </c>
      <c r="AI247" s="31" t="inlineStr">
        <is>
          <t>https://administradorajudicialgs.com.br/wp-content/uploads/2024/12/relacao-de-credores-da-falida.pdf</t>
        </is>
      </c>
      <c r="AJ247" s="30" t="inlineStr">
        <is>
          <t>p13 r12</t>
        </is>
      </c>
      <c r="AK247" s="30" t="inlineStr">
        <is>
          <t>p13: R$ 2.791.496,59</t>
        </is>
      </c>
      <c r="AL247" s="30" t="inlineStr">
        <is>
          <t>Other filing — NOT an art. 7/51 list</t>
        </is>
      </c>
      <c r="AM247" s="30" t="inlineStr">
        <is>
          <t>2025-03-25</t>
        </is>
      </c>
      <c r="AN247" s="30" t="inlineStr">
        <is>
          <t>NONE FOUND</t>
        </is>
      </c>
      <c r="AO247" s="32" t="inlineStr">
        <is>
          <t>0005010-50.2013.8.24.0026</t>
        </is>
      </c>
      <c r="AP247" s="32" t="inlineStr">
        <is>
          <t>TJSC</t>
        </is>
      </c>
      <c r="AQ247" s="32" t="inlineStr">
        <is>
          <t>Falência</t>
        </is>
      </c>
      <c r="AR247" s="32" t="inlineStr">
        <is>
          <t>not in DataJud</t>
        </is>
      </c>
      <c r="AS247" s="32" t="n">
        <v>2013</v>
      </c>
      <c r="AT247" s="32" t="inlineStr">
        <is>
          <t>falência proceeding (list/name says falida)</t>
        </is>
      </c>
      <c r="AU247" s="32" t="inlineStr"/>
      <c r="AV247" s="32" t="inlineStr">
        <is>
          <t>printed on the list (read twice)</t>
        </is>
      </c>
      <c r="AW247" s="32" t="inlineStr"/>
      <c r="AX247" s="32" t="inlineStr">
        <is>
          <t>SAO PAULO</t>
        </is>
      </c>
      <c r="AY247" s="32" t="inlineStr">
        <is>
          <t>SP</t>
        </is>
      </c>
      <c r="AZ247" s="32" t="inlineStr">
        <is>
          <t>Bancos múltiplos, com carteira comercial</t>
        </is>
      </c>
      <c r="BA247" s="32" t="inlineStr">
        <is>
          <t>não ME/EPP</t>
        </is>
      </c>
      <c r="BB247" s="33" t="n">
        <v>8480372000</v>
      </c>
      <c r="BC247" s="32" t="inlineStr">
        <is>
          <t>LARGE CORP</t>
        </is>
      </c>
      <c r="BD247" s="32" t="inlineStr">
        <is>
          <t>59588111</t>
        </is>
      </c>
      <c r="BE247" s="32" t="n">
        <v>1</v>
      </c>
      <c r="BF247" s="32" t="inlineStr">
        <is>
          <t>financial by name list prints no totals case no. corrected by reader</t>
        </is>
      </c>
    </row>
    <row r="248">
      <c r="A248" s="17" t="inlineStr">
        <is>
          <t>NOVA CAPITAL FUNDO DE INVESTIMENTO EM DIREITOS CREDITO</t>
        </is>
      </c>
      <c r="B248" s="18" t="n">
        <v>387460.38</v>
      </c>
      <c r="C248" s="19" t="inlineStr">
        <is>
          <t>GRUPO DIVINA</t>
        </is>
      </c>
      <c r="D248" s="20" t="inlineStr">
        <is>
          <t>NEW</t>
        </is>
      </c>
      <c r="E248" s="21" t="inlineStr"/>
      <c r="F248" s="20" t="inlineStr"/>
      <c r="G248" s="21" t="inlineStr"/>
      <c r="H248" s="20" t="inlineStr"/>
      <c r="I248" s="22" t="inlineStr">
        <is>
          <t>Alana Silveira</t>
        </is>
      </c>
      <c r="J248" s="22" t="inlineStr">
        <is>
          <t>Coordenadora de Crédito e Cobrança</t>
        </is>
      </c>
      <c r="K248" s="22" t="inlineStr"/>
      <c r="L248" s="22" t="inlineStr"/>
      <c r="M248" s="22" t="inlineStr"/>
      <c r="N248" s="22" t="inlineStr">
        <is>
          <t>alana@novacapitalsa.com.br</t>
        </is>
      </c>
      <c r="O248" s="22" t="inlineStr">
        <is>
          <t>verified</t>
        </is>
      </c>
      <c r="P248" s="22" t="inlineStr">
        <is>
          <t>Taina Lencina</t>
        </is>
      </c>
      <c r="Q248" s="22" t="inlineStr">
        <is>
          <t>Credit Coordinator</t>
        </is>
      </c>
      <c r="R248" s="22" t="inlineStr"/>
      <c r="S248" s="22" t="inlineStr">
        <is>
          <t>taina@novacapitalsa.com.br</t>
        </is>
      </c>
      <c r="T248" s="22" t="inlineStr">
        <is>
          <t>DM: DM; BACKUP: backup</t>
        </is>
      </c>
      <c r="U248" s="24" t="n">
        <v>387460.38</v>
      </c>
      <c r="V248" s="25" t="inlineStr">
        <is>
          <t>B</t>
        </is>
      </c>
      <c r="W248" s="26" t="inlineStr"/>
      <c r="X248" s="27" t="inlineStr"/>
      <c r="Y248" s="27" t="inlineStr"/>
      <c r="Z248" s="26">
        <f>IF(W248&lt;&gt;"",W248,IFERROR(VLOOKUP(V248,Assumptions!$A$8:$F$12,2,FALSE),0))*Assumptions!$B$5</f>
        <v/>
      </c>
      <c r="AA248" s="28">
        <f>IF(V248="A",MAX(1,IF(X248&lt;&gt;"",X248,IFERROR(VLOOKUP(V248,Assumptions!$A$8:$F$12,3,FALSE),3))+IF(Y248&lt;&gt;"",Y248,IFERROR(VLOOKUP(V248,Assumptions!$A$8:$F$12,4,FALSE),8))/2-MAX(0,IF(AS248="",0,YEAR(TODAY())-AS248)-IFERROR(VLOOKUP(V248,Assumptions!$A$8:$F$12,5,FALSE),1.5))),IFERROR(VLOOKUP(V248,Assumptions!$A$8:$F$12,5,FALSE),2.5)+IF(X248&lt;&gt;"",X248,IFERROR(VLOOKUP(V248,Assumptions!$A$8:$F$12,3,FALSE),3))+IF(Y248&lt;&gt;"",Y248,IFERROR(VLOOKUP(V248,Assumptions!$A$8:$F$12,4,FALSE),8))/2)</f>
        <v/>
      </c>
      <c r="AB248" s="24">
        <f>U248*Z248/(1+Assumptions!$B$3)^AA248</f>
        <v/>
      </c>
      <c r="AC248" s="27">
        <f>IF(U248=0,"",ROUND(AB248/U248*100,1))</f>
        <v/>
      </c>
      <c r="AD248" s="29">
        <f>AB248*Assumptions!$B$4</f>
        <v/>
      </c>
      <c r="AE248" s="27">
        <f>IF(U248=0,"",ROUND(AD248/U248*100,1))</f>
        <v/>
      </c>
      <c r="AF248" s="29">
        <f>AB248-AD248</f>
        <v/>
      </c>
      <c r="AG248" s="27">
        <f>IF(U248=0,"",ROUND((AB248-AD248)/U248*100,1))</f>
        <v/>
      </c>
      <c r="AH248" s="35" t="inlineStr">
        <is>
          <t>PARTIAL — class III reconciled, other classes not</t>
        </is>
      </c>
      <c r="AI248" s="31" t="inlineStr">
        <is>
          <t>https://lrflideres.com.br/wp-content/plugins/download-attachments/includes/download.php?id=6252</t>
        </is>
      </c>
      <c r="AJ248" s="30" t="inlineStr">
        <is>
          <t>p2 r64</t>
        </is>
      </c>
      <c r="AK248" s="30" t="inlineStr">
        <is>
          <t>p2: R$ 387.460,38</t>
        </is>
      </c>
      <c r="AL248" s="30" t="inlineStr">
        <is>
          <t>AJ list (art. 7 §2)</t>
        </is>
      </c>
      <c r="AM248" s="30" t="inlineStr">
        <is>
          <t>2024-11-27</t>
        </is>
      </c>
      <c r="AN248" s="30" t="inlineStr">
        <is>
          <t>NONE FOUND</t>
        </is>
      </c>
      <c r="AO248" s="32" t="inlineStr">
        <is>
          <t>0000721-61.2024.8.17.2620</t>
        </is>
      </c>
      <c r="AP248" s="32" t="inlineStr">
        <is>
          <t>TJPE</t>
        </is>
      </c>
      <c r="AQ248" s="32" t="inlineStr">
        <is>
          <t>Recuperação judicial</t>
        </is>
      </c>
      <c r="AR248" s="32" t="inlineStr">
        <is>
          <t>DataJud: no closure/falência movement</t>
        </is>
      </c>
      <c r="AS248" s="32" t="n">
        <v>2024</v>
      </c>
      <c r="AT248" s="32" t="inlineStr">
        <is>
          <t>live case, no plan document yet</t>
        </is>
      </c>
      <c r="AU248" s="32" t="inlineStr">
        <is>
          <t>08.785.522/0001-58</t>
        </is>
      </c>
      <c r="AV248" s="32" t="inlineStr">
        <is>
          <t>printed on the list (read twice)</t>
        </is>
      </c>
      <c r="AW248" s="32" t="inlineStr"/>
      <c r="AX248" s="32" t="inlineStr"/>
      <c r="AY248" s="32" t="inlineStr"/>
      <c r="AZ248" s="32" t="inlineStr"/>
      <c r="BA248" s="32" t="inlineStr"/>
      <c r="BB248" s="33" t="inlineStr"/>
      <c r="BC248" s="32" t="inlineStr">
        <is>
          <t>UNKNOWN</t>
        </is>
      </c>
      <c r="BD248" s="32" t="inlineStr">
        <is>
          <t>33289359</t>
        </is>
      </c>
      <c r="BE248" s="32" t="n">
        <v>1</v>
      </c>
      <c r="BF248" s="32" t="inlineStr">
        <is>
          <t>financial by name class III reconciled (doc partial) no RFB record</t>
        </is>
      </c>
    </row>
    <row r="249">
      <c r="A249" s="17" t="inlineStr">
        <is>
          <t>ITAU UNIBANCO S.A.</t>
        </is>
      </c>
      <c r="B249" s="18" t="n">
        <v>1501468.8</v>
      </c>
      <c r="C249" s="19" t="inlineStr">
        <is>
          <t>CONSTRUTORA ANDRADE GUEDES LTDA</t>
        </is>
      </c>
      <c r="D249" s="20" t="inlineStr">
        <is>
          <t>NEW</t>
        </is>
      </c>
      <c r="E249" s="21" t="inlineStr"/>
      <c r="F249" s="20" t="inlineStr"/>
      <c r="G249" s="21" t="inlineStr"/>
      <c r="H249" s="20" t="inlineStr"/>
      <c r="I249" s="22" t="inlineStr">
        <is>
          <t>Murilo Gigliucci</t>
        </is>
      </c>
      <c r="J249" s="22" t="inlineStr">
        <is>
          <t>Superintendente de Reestruturação de Crédito</t>
        </is>
      </c>
      <c r="K249" s="22" t="inlineStr">
        <is>
          <t>(11) 3003-4828</t>
        </is>
      </c>
      <c r="L249" s="22" t="inlineStr"/>
      <c r="M249" s="22" t="inlineStr"/>
      <c r="N249" s="22" t="inlineStr">
        <is>
          <t>murilo.gigliucci@itau-unibanco.com.br</t>
        </is>
      </c>
      <c r="O249" s="22" t="inlineStr">
        <is>
          <t>verified</t>
        </is>
      </c>
      <c r="P249" s="22" t="inlineStr">
        <is>
          <t>Pedro Ornellas</t>
        </is>
      </c>
      <c r="Q249" s="22" t="inlineStr">
        <is>
          <t>Superintendente de Recuperação de Crédito</t>
        </is>
      </c>
      <c r="R249" s="22" t="inlineStr"/>
      <c r="S249" s="22" t="inlineStr">
        <is>
          <t>pedro.ornellas-geronimo@itau-unibanco.com.br</t>
        </is>
      </c>
      <c r="T249" s="22" t="inlineStr">
        <is>
          <t>DM: DM verified email; BACKUP: backup verified email</t>
        </is>
      </c>
      <c r="U249" s="24" t="n">
        <v>1501468.8</v>
      </c>
      <c r="V249" s="39" t="inlineStr">
        <is>
          <t>C</t>
        </is>
      </c>
      <c r="W249" s="26" t="inlineStr"/>
      <c r="X249" s="27" t="inlineStr"/>
      <c r="Y249" s="27" t="inlineStr"/>
      <c r="Z249" s="26">
        <f>IF(W249&lt;&gt;"",W249,IFERROR(VLOOKUP(V249,Assumptions!$A$8:$F$12,2,FALSE),0))*Assumptions!$B$5</f>
        <v/>
      </c>
      <c r="AA249" s="28">
        <f>IF(V249="A",MAX(1,IF(X249&lt;&gt;"",X249,IFERROR(VLOOKUP(V249,Assumptions!$A$8:$F$12,3,FALSE),3))+IF(Y249&lt;&gt;"",Y249,IFERROR(VLOOKUP(V249,Assumptions!$A$8:$F$12,4,FALSE),8))/2-MAX(0,IF(AS249="",0,YEAR(TODAY())-AS249)-IFERROR(VLOOKUP(V249,Assumptions!$A$8:$F$12,5,FALSE),1.5))),IFERROR(VLOOKUP(V249,Assumptions!$A$8:$F$12,5,FALSE),2.5)+IF(X249&lt;&gt;"",X249,IFERROR(VLOOKUP(V249,Assumptions!$A$8:$F$12,3,FALSE),3))+IF(Y249&lt;&gt;"",Y249,IFERROR(VLOOKUP(V249,Assumptions!$A$8:$F$12,4,FALSE),8))/2)</f>
        <v/>
      </c>
      <c r="AB249" s="24">
        <f>U249*Z249/(1+Assumptions!$B$3)^AA249</f>
        <v/>
      </c>
      <c r="AC249" s="27">
        <f>IF(U249=0,"",ROUND(AB249/U249*100,1))</f>
        <v/>
      </c>
      <c r="AD249" s="29">
        <f>AB249*Assumptions!$B$4</f>
        <v/>
      </c>
      <c r="AE249" s="27">
        <f>IF(U249=0,"",ROUND(AD249/U249*100,1))</f>
        <v/>
      </c>
      <c r="AF249" s="29">
        <f>AB249-AD249</f>
        <v/>
      </c>
      <c r="AG249" s="27">
        <f>IF(U249=0,"",ROUND((AB249-AD249)/U249*100,1))</f>
        <v/>
      </c>
      <c r="AH249" s="34" t="inlineStr">
        <is>
          <t>NO TOTALS — list prints none; check page</t>
        </is>
      </c>
      <c r="AI249" s="31" t="inlineStr">
        <is>
          <t>https://diligence.adm.br/wp-content/plugins/download-attachments/includes/download.php?id=4599</t>
        </is>
      </c>
      <c r="AJ249" s="30" t="inlineStr">
        <is>
          <t>p10 r40</t>
        </is>
      </c>
      <c r="AK249" s="30" t="inlineStr">
        <is>
          <t>p10: R$ 1.501.468,80</t>
        </is>
      </c>
      <c r="AL249" s="30" t="inlineStr">
        <is>
          <t>AJ list (art. 7 §2)</t>
        </is>
      </c>
      <c r="AM249" s="30" t="inlineStr">
        <is>
          <t>2024-06-25</t>
        </is>
      </c>
      <c r="AN249" s="30" t="inlineStr">
        <is>
          <t>NONE FOUND</t>
        </is>
      </c>
      <c r="AO249" s="32" t="inlineStr">
        <is>
          <t>0000880-57.2020.8.17.2001</t>
        </is>
      </c>
      <c r="AP249" s="32" t="inlineStr">
        <is>
          <t>TJPE</t>
        </is>
      </c>
      <c r="AQ249" s="32" t="inlineStr">
        <is>
          <t>Recuperação judicial</t>
        </is>
      </c>
      <c r="AR249" s="32" t="inlineStr">
        <is>
          <t>DataJud: no closure/falência movement</t>
        </is>
      </c>
      <c r="AS249" s="32" t="n">
        <v>2020</v>
      </c>
      <c r="AT249" s="32" t="inlineStr">
        <is>
          <t>6y since filing; plan not in our documents</t>
        </is>
      </c>
      <c r="AU249" s="32" t="inlineStr">
        <is>
          <t>08.073.264/0001-87</t>
        </is>
      </c>
      <c r="AV249" s="32" t="inlineStr">
        <is>
          <t>printed on the list (read twice)</t>
        </is>
      </c>
      <c r="AW249" s="32" t="inlineStr"/>
      <c r="AX249" s="32" t="inlineStr">
        <is>
          <t>SAO PAULO</t>
        </is>
      </c>
      <c r="AY249" s="32" t="inlineStr">
        <is>
          <t>SP</t>
        </is>
      </c>
      <c r="AZ249" s="32" t="inlineStr">
        <is>
          <t>Bancos comerciais</t>
        </is>
      </c>
      <c r="BA249" s="32" t="inlineStr">
        <is>
          <t>não ME/EPP</t>
        </is>
      </c>
      <c r="BB249" s="33" t="n">
        <v>76200000000</v>
      </c>
      <c r="BC249" s="32" t="inlineStr">
        <is>
          <t>LARGE CORP</t>
        </is>
      </c>
      <c r="BD249" s="32" t="inlineStr">
        <is>
          <t>60701190</t>
        </is>
      </c>
      <c r="BE249" s="32" t="n">
        <v>1</v>
      </c>
      <c r="BF249" s="32" t="inlineStr">
        <is>
          <t>ALT_VALUE:R$1.468,80 ALT_VALUE:R$1.500.000,00 financial by name list prints no totals</t>
        </is>
      </c>
    </row>
    <row r="250">
      <c r="A250" s="17" t="inlineStr">
        <is>
          <t>Itau Administradora de Consórcios Ltda</t>
        </is>
      </c>
      <c r="B250" s="18" t="n">
        <v>380137.08</v>
      </c>
      <c r="C250" s="19" t="inlineStr">
        <is>
          <t>Grupo Agromeal</t>
        </is>
      </c>
      <c r="D250" s="20" t="inlineStr">
        <is>
          <t>NEW</t>
        </is>
      </c>
      <c r="E250" s="21" t="inlineStr"/>
      <c r="F250" s="20" t="inlineStr"/>
      <c r="G250" s="21" t="inlineStr"/>
      <c r="H250" s="20" t="inlineStr"/>
      <c r="I250" s="22" t="inlineStr">
        <is>
          <t>Daniel Cordoni</t>
        </is>
      </c>
      <c r="J250" s="22" t="inlineStr">
        <is>
          <t>Analista Jurídico Pleno em Consórcios</t>
        </is>
      </c>
      <c r="K250" s="22" t="inlineStr"/>
      <c r="L250" s="22" t="inlineStr"/>
      <c r="M250" s="22" t="inlineStr"/>
      <c r="N250" s="22" t="inlineStr"/>
      <c r="O250" s="22" t="inlineStr"/>
      <c r="P250" s="22" t="inlineStr">
        <is>
          <t>Wesley Alves</t>
        </is>
      </c>
      <c r="Q250" s="22" t="inlineStr">
        <is>
          <t>Diretor de Relacionamento Estratégico</t>
        </is>
      </c>
      <c r="R250" s="22" t="inlineStr"/>
      <c r="S250" s="22" t="inlineStr">
        <is>
          <t>wesley.alves@itau-unibanco.com.br</t>
        </is>
      </c>
      <c r="T250" s="22" t="inlineStr">
        <is>
          <t>DM is not a finance role (Analista Jurídico Pleno em Con); DM: DM email unavailable; no work email in Apollo for DM; BACKUP: backup verified email</t>
        </is>
      </c>
      <c r="U250" s="24" t="n">
        <v>380137.08</v>
      </c>
      <c r="V250" s="25" t="inlineStr">
        <is>
          <t>B</t>
        </is>
      </c>
      <c r="W250" s="26" t="inlineStr"/>
      <c r="X250" s="27" t="inlineStr"/>
      <c r="Y250" s="27" t="inlineStr"/>
      <c r="Z250" s="26">
        <f>IF(W250&lt;&gt;"",W250,IFERROR(VLOOKUP(V250,Assumptions!$A$8:$F$12,2,FALSE),0))*Assumptions!$B$5</f>
        <v/>
      </c>
      <c r="AA250" s="28">
        <f>IF(V250="A",MAX(1,IF(X250&lt;&gt;"",X250,IFERROR(VLOOKUP(V250,Assumptions!$A$8:$F$12,3,FALSE),3))+IF(Y250&lt;&gt;"",Y250,IFERROR(VLOOKUP(V250,Assumptions!$A$8:$F$12,4,FALSE),8))/2-MAX(0,IF(AS250="",0,YEAR(TODAY())-AS250)-IFERROR(VLOOKUP(V250,Assumptions!$A$8:$F$12,5,FALSE),1.5))),IFERROR(VLOOKUP(V250,Assumptions!$A$8:$F$12,5,FALSE),2.5)+IF(X250&lt;&gt;"",X250,IFERROR(VLOOKUP(V250,Assumptions!$A$8:$F$12,3,FALSE),3))+IF(Y250&lt;&gt;"",Y250,IFERROR(VLOOKUP(V250,Assumptions!$A$8:$F$12,4,FALSE),8))/2)</f>
        <v/>
      </c>
      <c r="AB250" s="24">
        <f>U250*Z250/(1+Assumptions!$B$3)^AA250</f>
        <v/>
      </c>
      <c r="AC250" s="27">
        <f>IF(U250=0,"",ROUND(AB250/U250*100,1))</f>
        <v/>
      </c>
      <c r="AD250" s="29">
        <f>AB250*Assumptions!$B$4</f>
        <v/>
      </c>
      <c r="AE250" s="27">
        <f>IF(U250=0,"",ROUND(AD250/U250*100,1))</f>
        <v/>
      </c>
      <c r="AF250" s="29">
        <f>AB250-AD250</f>
        <v/>
      </c>
      <c r="AG250" s="27">
        <f>IF(U250=0,"",ROUND((AB250-AD250)/U250*100,1))</f>
        <v/>
      </c>
      <c r="AH250" s="35" t="inlineStr">
        <is>
          <t>PARTIAL — class III reconciled, other classes not</t>
        </is>
      </c>
      <c r="AI250" s="31" t="inlineStr">
        <is>
          <t>https://marquesadmjudicial.com.br/sgc/download.php?file=files/processo_documento/processo_documento17040729052024_1_.pdf&amp;nome=Relação Nominal de Credores AJ-Sintética</t>
        </is>
      </c>
      <c r="AJ250" s="30" t="inlineStr">
        <is>
          <t>p12 r4</t>
        </is>
      </c>
      <c r="AK250" s="30" t="inlineStr">
        <is>
          <t>p12: R$ 380.137,08</t>
        </is>
      </c>
      <c r="AL250" s="30" t="inlineStr">
        <is>
          <t>AJ list (art. 7 §2)</t>
        </is>
      </c>
      <c r="AM250" s="30" t="inlineStr">
        <is>
          <t>2024-05-27</t>
        </is>
      </c>
      <c r="AN250" s="30" t="inlineStr">
        <is>
          <t>NONE FOUND</t>
        </is>
      </c>
      <c r="AO250" s="32" t="inlineStr">
        <is>
          <t>0003971-03.2023.8.16.0119</t>
        </is>
      </c>
      <c r="AP250" s="32" t="inlineStr">
        <is>
          <t>TJPR</t>
        </is>
      </c>
      <c r="AQ250" s="32" t="inlineStr">
        <is>
          <t>Recuperação judicial</t>
        </is>
      </c>
      <c r="AR250" s="32" t="inlineStr">
        <is>
          <t>DataJud: no closure/falência movement</t>
        </is>
      </c>
      <c r="AS250" s="32" t="n">
        <v>2023</v>
      </c>
      <c r="AT250" s="32" t="inlineStr">
        <is>
          <t>live case, no plan document yet</t>
        </is>
      </c>
      <c r="AU250" s="32" t="inlineStr">
        <is>
          <t>11.624.776/0001-07</t>
        </is>
      </c>
      <c r="AV250" s="32" t="inlineStr">
        <is>
          <t>printed on the list (read twice)</t>
        </is>
      </c>
      <c r="AW250" s="32" t="inlineStr"/>
      <c r="AX250" s="32" t="inlineStr"/>
      <c r="AY250" s="32" t="inlineStr"/>
      <c r="AZ250" s="32" t="inlineStr"/>
      <c r="BA250" s="32" t="inlineStr"/>
      <c r="BB250" s="33" t="inlineStr"/>
      <c r="BC250" s="32" t="inlineStr">
        <is>
          <t>UNKNOWN</t>
        </is>
      </c>
      <c r="BD250" s="32" t="inlineStr">
        <is>
          <t>00000776</t>
        </is>
      </c>
      <c r="BE250" s="32" t="n">
        <v>1</v>
      </c>
      <c r="BF250" s="32" t="inlineStr">
        <is>
          <t>financial by name class III reconciled (doc partial) no RFB record</t>
        </is>
      </c>
    </row>
    <row r="251">
      <c r="A251" s="17" t="inlineStr">
        <is>
          <t>POLUX SECURITIZADORA DE RECEBÍVEIS COMERCIAIS S.A.</t>
        </is>
      </c>
      <c r="B251" s="18" t="n">
        <v>361043.83</v>
      </c>
      <c r="C251" s="19" t="inlineStr">
        <is>
          <t>Grupo Conduscabos</t>
        </is>
      </c>
      <c r="D251" s="20" t="inlineStr">
        <is>
          <t>NEW</t>
        </is>
      </c>
      <c r="E251" s="21" t="inlineStr"/>
      <c r="F251" s="20" t="inlineStr"/>
      <c r="G251" s="21" t="inlineStr"/>
      <c r="H251" s="20" t="inlineStr"/>
      <c r="I251" s="22" t="inlineStr"/>
      <c r="J251" s="22" t="inlineStr"/>
      <c r="K251" s="22" t="inlineStr"/>
      <c r="L251" s="22" t="inlineStr"/>
      <c r="M251" s="22" t="inlineStr"/>
      <c r="N251" s="22" t="inlineStr"/>
      <c r="O251" s="22" t="inlineStr"/>
      <c r="P251" s="22" t="inlineStr"/>
      <c r="Q251" s="22" t="inlineStr"/>
      <c r="R251" s="22" t="inlineStr"/>
      <c r="S251" s="22" t="inlineStr"/>
      <c r="T251" s="22" t="inlineStr">
        <is>
          <t>no named contact found; NO ROUTE IN: no phone or email on file</t>
        </is>
      </c>
      <c r="U251" s="24" t="n">
        <v>361043.83</v>
      </c>
      <c r="V251" s="25" t="inlineStr">
        <is>
          <t>B</t>
        </is>
      </c>
      <c r="W251" s="26" t="inlineStr"/>
      <c r="X251" s="27" t="inlineStr"/>
      <c r="Y251" s="27" t="inlineStr"/>
      <c r="Z251" s="26">
        <f>IF(W251&lt;&gt;"",W251,IFERROR(VLOOKUP(V251,Assumptions!$A$8:$F$12,2,FALSE),0))*Assumptions!$B$5</f>
        <v/>
      </c>
      <c r="AA251" s="28">
        <f>IF(V251="A",MAX(1,IF(X251&lt;&gt;"",X251,IFERROR(VLOOKUP(V251,Assumptions!$A$8:$F$12,3,FALSE),3))+IF(Y251&lt;&gt;"",Y251,IFERROR(VLOOKUP(V251,Assumptions!$A$8:$F$12,4,FALSE),8))/2-MAX(0,IF(AS251="",0,YEAR(TODAY())-AS251)-IFERROR(VLOOKUP(V251,Assumptions!$A$8:$F$12,5,FALSE),1.5))),IFERROR(VLOOKUP(V251,Assumptions!$A$8:$F$12,5,FALSE),2.5)+IF(X251&lt;&gt;"",X251,IFERROR(VLOOKUP(V251,Assumptions!$A$8:$F$12,3,FALSE),3))+IF(Y251&lt;&gt;"",Y251,IFERROR(VLOOKUP(V251,Assumptions!$A$8:$F$12,4,FALSE),8))/2)</f>
        <v/>
      </c>
      <c r="AB251" s="24">
        <f>U251*Z251/(1+Assumptions!$B$3)^AA251</f>
        <v/>
      </c>
      <c r="AC251" s="27">
        <f>IF(U251=0,"",ROUND(AB251/U251*100,1))</f>
        <v/>
      </c>
      <c r="AD251" s="29">
        <f>AB251*Assumptions!$B$4</f>
        <v/>
      </c>
      <c r="AE251" s="27">
        <f>IF(U251=0,"",ROUND(AD251/U251*100,1))</f>
        <v/>
      </c>
      <c r="AF251" s="29">
        <f>AB251-AD251</f>
        <v/>
      </c>
      <c r="AG251" s="27">
        <f>IF(U251=0,"",ROUND((AB251-AD251)/U251*100,1))</f>
        <v/>
      </c>
      <c r="AH251" s="34" t="inlineStr">
        <is>
          <t>NO TOTALS — list prints none; check page</t>
        </is>
      </c>
      <c r="AI251" s="31" t="inlineStr">
        <is>
          <t>https://assistjud.com.br/wp-content/uploads/elementor/forms/65098c80a5824.pdf</t>
        </is>
      </c>
      <c r="AJ251" s="30" t="inlineStr">
        <is>
          <t>p9 r5</t>
        </is>
      </c>
      <c r="AK251" s="30" t="inlineStr">
        <is>
          <t>p9: R$ 361.043,83</t>
        </is>
      </c>
      <c r="AL251" s="30" t="inlineStr">
        <is>
          <t>AJ list (art. 7 §2)</t>
        </is>
      </c>
      <c r="AM251" s="30" t="inlineStr">
        <is>
          <t>2023-09-18</t>
        </is>
      </c>
      <c r="AN251" s="30" t="inlineStr">
        <is>
          <t>NONE FOUND</t>
        </is>
      </c>
      <c r="AO251" s="32" t="inlineStr">
        <is>
          <t>8005129-09.2023.8.05.0039</t>
        </is>
      </c>
      <c r="AP251" s="32" t="inlineStr">
        <is>
          <t>TJBA</t>
        </is>
      </c>
      <c r="AQ251" s="32" t="inlineStr">
        <is>
          <t>Recuperação judicial</t>
        </is>
      </c>
      <c r="AR251" s="32" t="inlineStr">
        <is>
          <t>DataJud: no closure/falência movement</t>
        </is>
      </c>
      <c r="AS251" s="32" t="n">
        <v>2023</v>
      </c>
      <c r="AT251" s="32" t="inlineStr">
        <is>
          <t>live case, no plan document yet</t>
        </is>
      </c>
      <c r="AU251" s="32" t="inlineStr"/>
      <c r="AV251" s="32" t="inlineStr">
        <is>
          <t>printed on the list (read twice)</t>
        </is>
      </c>
      <c r="AW251" s="32" t="inlineStr"/>
      <c r="AX251" s="32" t="inlineStr"/>
      <c r="AY251" s="32" t="inlineStr"/>
      <c r="AZ251" s="32" t="inlineStr"/>
      <c r="BA251" s="32" t="inlineStr"/>
      <c r="BB251" s="33" t="inlineStr"/>
      <c r="BC251" s="32" t="inlineStr">
        <is>
          <t>UNKNOWN</t>
        </is>
      </c>
      <c r="BD251" s="32" t="inlineStr">
        <is>
          <t>36238945</t>
        </is>
      </c>
      <c r="BE251" s="32" t="n">
        <v>1</v>
      </c>
      <c r="BF251" s="32" t="inlineStr">
        <is>
          <t>financial by name list prints no totals no RFB record no route in</t>
        </is>
      </c>
    </row>
    <row r="252">
      <c r="A252" s="17" t="inlineStr">
        <is>
          <t>CENTRUM FUNDO DE INVESTIMENTO EM DIREITOS CREDITORIOS</t>
        </is>
      </c>
      <c r="B252" s="18" t="n">
        <v>350000</v>
      </c>
      <c r="C252" s="19" t="inlineStr">
        <is>
          <t>GRUPO DIVINA</t>
        </is>
      </c>
      <c r="D252" s="20" t="inlineStr">
        <is>
          <t>NEW</t>
        </is>
      </c>
      <c r="E252" s="21" t="inlineStr"/>
      <c r="F252" s="20" t="inlineStr"/>
      <c r="G252" s="21" t="inlineStr"/>
      <c r="H252" s="20" t="inlineStr"/>
      <c r="I252" s="22" t="inlineStr"/>
      <c r="J252" s="22" t="inlineStr"/>
      <c r="K252" s="22" t="inlineStr"/>
      <c r="L252" s="22" t="inlineStr"/>
      <c r="M252" s="22" t="inlineStr"/>
      <c r="N252" s="22" t="inlineStr"/>
      <c r="O252" s="22" t="inlineStr"/>
      <c r="P252" s="22" t="inlineStr"/>
      <c r="Q252" s="22" t="inlineStr"/>
      <c r="R252" s="22" t="inlineStr"/>
      <c r="S252" s="22" t="inlineStr"/>
      <c r="T252" s="22" t="inlineStr">
        <is>
          <t>no named contact found; NO ROUTE IN: no phone or email on file</t>
        </is>
      </c>
      <c r="U252" s="24" t="n">
        <v>350000</v>
      </c>
      <c r="V252" s="25" t="inlineStr">
        <is>
          <t>B</t>
        </is>
      </c>
      <c r="W252" s="26" t="inlineStr"/>
      <c r="X252" s="27" t="inlineStr"/>
      <c r="Y252" s="27" t="inlineStr"/>
      <c r="Z252" s="26">
        <f>IF(W252&lt;&gt;"",W252,IFERROR(VLOOKUP(V252,Assumptions!$A$8:$F$12,2,FALSE),0))*Assumptions!$B$5</f>
        <v/>
      </c>
      <c r="AA252" s="28">
        <f>IF(V252="A",MAX(1,IF(X252&lt;&gt;"",X252,IFERROR(VLOOKUP(V252,Assumptions!$A$8:$F$12,3,FALSE),3))+IF(Y252&lt;&gt;"",Y252,IFERROR(VLOOKUP(V252,Assumptions!$A$8:$F$12,4,FALSE),8))/2-MAX(0,IF(AS252="",0,YEAR(TODAY())-AS252)-IFERROR(VLOOKUP(V252,Assumptions!$A$8:$F$12,5,FALSE),1.5))),IFERROR(VLOOKUP(V252,Assumptions!$A$8:$F$12,5,FALSE),2.5)+IF(X252&lt;&gt;"",X252,IFERROR(VLOOKUP(V252,Assumptions!$A$8:$F$12,3,FALSE),3))+IF(Y252&lt;&gt;"",Y252,IFERROR(VLOOKUP(V252,Assumptions!$A$8:$F$12,4,FALSE),8))/2)</f>
        <v/>
      </c>
      <c r="AB252" s="24">
        <f>U252*Z252/(1+Assumptions!$B$3)^AA252</f>
        <v/>
      </c>
      <c r="AC252" s="27">
        <f>IF(U252=0,"",ROUND(AB252/U252*100,1))</f>
        <v/>
      </c>
      <c r="AD252" s="29">
        <f>AB252*Assumptions!$B$4</f>
        <v/>
      </c>
      <c r="AE252" s="27">
        <f>IF(U252=0,"",ROUND(AD252/U252*100,1))</f>
        <v/>
      </c>
      <c r="AF252" s="29">
        <f>AB252-AD252</f>
        <v/>
      </c>
      <c r="AG252" s="27">
        <f>IF(U252=0,"",ROUND((AB252-AD252)/U252*100,1))</f>
        <v/>
      </c>
      <c r="AH252" s="35" t="inlineStr">
        <is>
          <t>PARTIAL — class III reconciled, other classes not</t>
        </is>
      </c>
      <c r="AI252" s="31" t="inlineStr">
        <is>
          <t>https://lrflideres.com.br/wp-content/plugins/download-attachments/includes/download.php?id=6252</t>
        </is>
      </c>
      <c r="AJ252" s="30" t="inlineStr">
        <is>
          <t>p2 r25</t>
        </is>
      </c>
      <c r="AK252" s="30" t="inlineStr">
        <is>
          <t>p2: R$ 350.000,00</t>
        </is>
      </c>
      <c r="AL252" s="30" t="inlineStr">
        <is>
          <t>AJ list (art. 7 §2)</t>
        </is>
      </c>
      <c r="AM252" s="30" t="inlineStr">
        <is>
          <t>2024-11-27</t>
        </is>
      </c>
      <c r="AN252" s="30" t="inlineStr">
        <is>
          <t>NONE FOUND</t>
        </is>
      </c>
      <c r="AO252" s="32" t="inlineStr">
        <is>
          <t>0000721-61.2024.8.17.2620</t>
        </is>
      </c>
      <c r="AP252" s="32" t="inlineStr">
        <is>
          <t>TJPE</t>
        </is>
      </c>
      <c r="AQ252" s="32" t="inlineStr">
        <is>
          <t>Recuperação judicial</t>
        </is>
      </c>
      <c r="AR252" s="32" t="inlineStr">
        <is>
          <t>DataJud: no closure/falência movement</t>
        </is>
      </c>
      <c r="AS252" s="32" t="n">
        <v>2024</v>
      </c>
      <c r="AT252" s="32" t="inlineStr">
        <is>
          <t>live case, no plan document yet</t>
        </is>
      </c>
      <c r="AU252" s="32" t="inlineStr">
        <is>
          <t>08.785.522/0001-58</t>
        </is>
      </c>
      <c r="AV252" s="32" t="inlineStr">
        <is>
          <t>printed on the list (read twice)</t>
        </is>
      </c>
      <c r="AW252" s="32" t="inlineStr"/>
      <c r="AX252" s="32" t="inlineStr"/>
      <c r="AY252" s="32" t="inlineStr"/>
      <c r="AZ252" s="32" t="inlineStr"/>
      <c r="BA252" s="32" t="inlineStr"/>
      <c r="BB252" s="33" t="inlineStr"/>
      <c r="BC252" s="32" t="inlineStr">
        <is>
          <t>UNKNOWN</t>
        </is>
      </c>
      <c r="BD252" s="32" t="inlineStr">
        <is>
          <t>17213074</t>
        </is>
      </c>
      <c r="BE252" s="32" t="n">
        <v>1</v>
      </c>
      <c r="BF252" s="32" t="inlineStr">
        <is>
          <t>financial by name class III reconciled (doc partial) no RFB record no route in</t>
        </is>
      </c>
    </row>
    <row r="253">
      <c r="A253" s="17" t="inlineStr">
        <is>
          <t>BANCO SANTANDER (BRASIL) S.A.</t>
        </is>
      </c>
      <c r="B253" s="18" t="n">
        <v>345941.2</v>
      </c>
      <c r="C253" s="19" t="inlineStr">
        <is>
          <t>GRUPO DIVINA</t>
        </is>
      </c>
      <c r="D253" s="20" t="inlineStr">
        <is>
          <t>NEW</t>
        </is>
      </c>
      <c r="E253" s="21" t="inlineStr"/>
      <c r="F253" s="20" t="inlineStr"/>
      <c r="G253" s="21" t="inlineStr"/>
      <c r="H253" s="20" t="inlineStr"/>
      <c r="I253" s="22" t="inlineStr">
        <is>
          <t>Igor Puertas</t>
        </is>
      </c>
      <c r="J253" s="22" t="inlineStr">
        <is>
          <t>Distressed Assets | NPL</t>
        </is>
      </c>
      <c r="K253" s="22" t="inlineStr">
        <is>
          <t>(11) 4004-3535</t>
        </is>
      </c>
      <c r="L253" s="22" t="inlineStr"/>
      <c r="M253" s="22" t="inlineStr"/>
      <c r="N253" s="22" t="inlineStr">
        <is>
          <t>igor.puertas@santander.com.br</t>
        </is>
      </c>
      <c r="O253" s="22" t="inlineStr">
        <is>
          <t>verified</t>
        </is>
      </c>
      <c r="P253" s="22" t="inlineStr">
        <is>
          <t>Antonio Junior</t>
        </is>
      </c>
      <c r="Q253" s="22" t="inlineStr">
        <is>
          <t>Superintendente Recuperação de Crédito</t>
        </is>
      </c>
      <c r="R253" s="22" t="inlineStr"/>
      <c r="S253" s="22" t="inlineStr">
        <is>
          <t>antonio.pequeno.junior@santander.com.br</t>
        </is>
      </c>
      <c r="T253" s="22" t="inlineStr">
        <is>
          <t>DM: DM; BACKUP: backup</t>
        </is>
      </c>
      <c r="U253" s="24" t="n">
        <v>345941.2</v>
      </c>
      <c r="V253" s="25" t="inlineStr">
        <is>
          <t>B</t>
        </is>
      </c>
      <c r="W253" s="26" t="inlineStr"/>
      <c r="X253" s="27" t="inlineStr"/>
      <c r="Y253" s="27" t="inlineStr"/>
      <c r="Z253" s="26">
        <f>IF(W253&lt;&gt;"",W253,IFERROR(VLOOKUP(V253,Assumptions!$A$8:$F$12,2,FALSE),0))*Assumptions!$B$5</f>
        <v/>
      </c>
      <c r="AA253" s="28">
        <f>IF(V253="A",MAX(1,IF(X253&lt;&gt;"",X253,IFERROR(VLOOKUP(V253,Assumptions!$A$8:$F$12,3,FALSE),3))+IF(Y253&lt;&gt;"",Y253,IFERROR(VLOOKUP(V253,Assumptions!$A$8:$F$12,4,FALSE),8))/2-MAX(0,IF(AS253="",0,YEAR(TODAY())-AS253)-IFERROR(VLOOKUP(V253,Assumptions!$A$8:$F$12,5,FALSE),1.5))),IFERROR(VLOOKUP(V253,Assumptions!$A$8:$F$12,5,FALSE),2.5)+IF(X253&lt;&gt;"",X253,IFERROR(VLOOKUP(V253,Assumptions!$A$8:$F$12,3,FALSE),3))+IF(Y253&lt;&gt;"",Y253,IFERROR(VLOOKUP(V253,Assumptions!$A$8:$F$12,4,FALSE),8))/2)</f>
        <v/>
      </c>
      <c r="AB253" s="24">
        <f>U253*Z253/(1+Assumptions!$B$3)^AA253</f>
        <v/>
      </c>
      <c r="AC253" s="27">
        <f>IF(U253=0,"",ROUND(AB253/U253*100,1))</f>
        <v/>
      </c>
      <c r="AD253" s="29">
        <f>AB253*Assumptions!$B$4</f>
        <v/>
      </c>
      <c r="AE253" s="27">
        <f>IF(U253=0,"",ROUND(AD253/U253*100,1))</f>
        <v/>
      </c>
      <c r="AF253" s="29">
        <f>AB253-AD253</f>
        <v/>
      </c>
      <c r="AG253" s="27">
        <f>IF(U253=0,"",ROUND((AB253-AD253)/U253*100,1))</f>
        <v/>
      </c>
      <c r="AH253" s="35" t="inlineStr">
        <is>
          <t>PARTIAL — class III reconciled, other classes not</t>
        </is>
      </c>
      <c r="AI253" s="31" t="inlineStr">
        <is>
          <t>https://lrflideres.com.br/wp-content/plugins/download-attachments/includes/download.php?id=6252</t>
        </is>
      </c>
      <c r="AJ253" s="30" t="inlineStr">
        <is>
          <t>p2 r14</t>
        </is>
      </c>
      <c r="AK253" s="30" t="inlineStr">
        <is>
          <t>p2: R$ 345.941,20</t>
        </is>
      </c>
      <c r="AL253" s="30" t="inlineStr">
        <is>
          <t>AJ list (art. 7 §2)</t>
        </is>
      </c>
      <c r="AM253" s="30" t="inlineStr">
        <is>
          <t>2024-11-27</t>
        </is>
      </c>
      <c r="AN253" s="30" t="inlineStr">
        <is>
          <t>NONE FOUND</t>
        </is>
      </c>
      <c r="AO253" s="32" t="inlineStr">
        <is>
          <t>0000721-61.2024.8.17.2620</t>
        </is>
      </c>
      <c r="AP253" s="32" t="inlineStr">
        <is>
          <t>TJPE</t>
        </is>
      </c>
      <c r="AQ253" s="32" t="inlineStr">
        <is>
          <t>Recuperação judicial</t>
        </is>
      </c>
      <c r="AR253" s="32" t="inlineStr">
        <is>
          <t>DataJud: no closure/falência movement</t>
        </is>
      </c>
      <c r="AS253" s="32" t="n">
        <v>2024</v>
      </c>
      <c r="AT253" s="32" t="inlineStr">
        <is>
          <t>live case, no plan document yet</t>
        </is>
      </c>
      <c r="AU253" s="32" t="inlineStr">
        <is>
          <t>08.785.522/0001-58</t>
        </is>
      </c>
      <c r="AV253" s="32" t="inlineStr">
        <is>
          <t>printed on the list (read twice)</t>
        </is>
      </c>
      <c r="AW253" s="32" t="inlineStr"/>
      <c r="AX253" s="32" t="inlineStr">
        <is>
          <t>SAO PAULO</t>
        </is>
      </c>
      <c r="AY253" s="32" t="inlineStr">
        <is>
          <t>SP</t>
        </is>
      </c>
      <c r="AZ253" s="32" t="inlineStr">
        <is>
          <t>Bancos múltiplos, com carteira comercial</t>
        </is>
      </c>
      <c r="BA253" s="32" t="inlineStr">
        <is>
          <t>não ME/EPP</t>
        </is>
      </c>
      <c r="BB253" s="33" t="n">
        <v>65000000000</v>
      </c>
      <c r="BC253" s="32" t="inlineStr">
        <is>
          <t>LARGE CORP</t>
        </is>
      </c>
      <c r="BD253" s="32" t="inlineStr">
        <is>
          <t>90400888</t>
        </is>
      </c>
      <c r="BE253" s="32" t="n">
        <v>1</v>
      </c>
      <c r="BF253" s="32" t="inlineStr">
        <is>
          <t>financial by name class III reconciled (doc partial)</t>
        </is>
      </c>
    </row>
    <row r="254">
      <c r="A254" s="17" t="inlineStr">
        <is>
          <t>FS TATUI SECURITIZADORA S.A.</t>
        </is>
      </c>
      <c r="B254" s="18" t="n">
        <v>341146.25</v>
      </c>
      <c r="C254" s="19" t="inlineStr">
        <is>
          <t>GRUPO DIVINA</t>
        </is>
      </c>
      <c r="D254" s="20" t="inlineStr">
        <is>
          <t>NEW</t>
        </is>
      </c>
      <c r="E254" s="21" t="inlineStr"/>
      <c r="F254" s="20" t="inlineStr"/>
      <c r="G254" s="21" t="inlineStr"/>
      <c r="H254" s="20" t="inlineStr"/>
      <c r="I254" s="22" t="inlineStr">
        <is>
          <t>DENERVAL FUGOLIN</t>
        </is>
      </c>
      <c r="J254" s="23" t="inlineStr">
        <is>
          <t>Diretor (RFB partner)</t>
        </is>
      </c>
      <c r="K254" s="22" t="inlineStr">
        <is>
          <t>(15) 3259-8100</t>
        </is>
      </c>
      <c r="L254" s="22" t="inlineStr"/>
      <c r="M254" s="22" t="inlineStr"/>
      <c r="N254" s="22" t="inlineStr"/>
      <c r="O254" s="22" t="inlineStr"/>
      <c r="P254" s="22" t="inlineStr">
        <is>
          <t>MARCIO SEGALLA</t>
        </is>
      </c>
      <c r="Q254" s="22" t="inlineStr">
        <is>
          <t>Diretor (RFB partner)</t>
        </is>
      </c>
      <c r="R254" s="22" t="inlineStr"/>
      <c r="S254" s="22" t="inlineStr"/>
      <c r="T254" s="22" t="inlineStr">
        <is>
          <t>DM = registered partner (RFB QSA); no Apollo match</t>
        </is>
      </c>
      <c r="U254" s="24" t="n">
        <v>341146.25</v>
      </c>
      <c r="V254" s="25" t="inlineStr">
        <is>
          <t>B</t>
        </is>
      </c>
      <c r="W254" s="26" t="inlineStr"/>
      <c r="X254" s="27" t="inlineStr"/>
      <c r="Y254" s="27" t="inlineStr"/>
      <c r="Z254" s="26">
        <f>IF(W254&lt;&gt;"",W254,IFERROR(VLOOKUP(V254,Assumptions!$A$8:$F$12,2,FALSE),0))*Assumptions!$B$5</f>
        <v/>
      </c>
      <c r="AA254" s="28">
        <f>IF(V254="A",MAX(1,IF(X254&lt;&gt;"",X254,IFERROR(VLOOKUP(V254,Assumptions!$A$8:$F$12,3,FALSE),3))+IF(Y254&lt;&gt;"",Y254,IFERROR(VLOOKUP(V254,Assumptions!$A$8:$F$12,4,FALSE),8))/2-MAX(0,IF(AS254="",0,YEAR(TODAY())-AS254)-IFERROR(VLOOKUP(V254,Assumptions!$A$8:$F$12,5,FALSE),1.5))),IFERROR(VLOOKUP(V254,Assumptions!$A$8:$F$12,5,FALSE),2.5)+IF(X254&lt;&gt;"",X254,IFERROR(VLOOKUP(V254,Assumptions!$A$8:$F$12,3,FALSE),3))+IF(Y254&lt;&gt;"",Y254,IFERROR(VLOOKUP(V254,Assumptions!$A$8:$F$12,4,FALSE),8))/2)</f>
        <v/>
      </c>
      <c r="AB254" s="24">
        <f>U254*Z254/(1+Assumptions!$B$3)^AA254</f>
        <v/>
      </c>
      <c r="AC254" s="27">
        <f>IF(U254=0,"",ROUND(AB254/U254*100,1))</f>
        <v/>
      </c>
      <c r="AD254" s="29">
        <f>AB254*Assumptions!$B$4</f>
        <v/>
      </c>
      <c r="AE254" s="27">
        <f>IF(U254=0,"",ROUND(AD254/U254*100,1))</f>
        <v/>
      </c>
      <c r="AF254" s="29">
        <f>AB254-AD254</f>
        <v/>
      </c>
      <c r="AG254" s="27">
        <f>IF(U254=0,"",ROUND((AB254-AD254)/U254*100,1))</f>
        <v/>
      </c>
      <c r="AH254" s="35" t="inlineStr">
        <is>
          <t>PARTIAL — class III reconciled, other classes not</t>
        </is>
      </c>
      <c r="AI254" s="31" t="inlineStr">
        <is>
          <t>https://lrflideres.com.br/wp-content/plugins/download-attachments/includes/download.php?id=6252</t>
        </is>
      </c>
      <c r="AJ254" s="30" t="inlineStr">
        <is>
          <t>p2 r44</t>
        </is>
      </c>
      <c r="AK254" s="30" t="inlineStr">
        <is>
          <t>p2: R$ 341.146,25</t>
        </is>
      </c>
      <c r="AL254" s="30" t="inlineStr">
        <is>
          <t>AJ list (art. 7 §2)</t>
        </is>
      </c>
      <c r="AM254" s="30" t="inlineStr">
        <is>
          <t>2024-11-27</t>
        </is>
      </c>
      <c r="AN254" s="30" t="inlineStr">
        <is>
          <t>NONE FOUND</t>
        </is>
      </c>
      <c r="AO254" s="32" t="inlineStr">
        <is>
          <t>0000721-61.2024.8.17.2620</t>
        </is>
      </c>
      <c r="AP254" s="32" t="inlineStr">
        <is>
          <t>TJPE</t>
        </is>
      </c>
      <c r="AQ254" s="32" t="inlineStr">
        <is>
          <t>Recuperação judicial</t>
        </is>
      </c>
      <c r="AR254" s="32" t="inlineStr">
        <is>
          <t>DataJud: no closure/falência movement</t>
        </is>
      </c>
      <c r="AS254" s="32" t="n">
        <v>2024</v>
      </c>
      <c r="AT254" s="32" t="inlineStr">
        <is>
          <t>live case, no plan document yet</t>
        </is>
      </c>
      <c r="AU254" s="32" t="inlineStr">
        <is>
          <t>08.785.522/0001-58</t>
        </is>
      </c>
      <c r="AV254" s="32" t="inlineStr">
        <is>
          <t>printed on the list (read twice)</t>
        </is>
      </c>
      <c r="AW254" s="32" t="inlineStr"/>
      <c r="AX254" s="32" t="inlineStr">
        <is>
          <t>TATUI</t>
        </is>
      </c>
      <c r="AY254" s="32" t="inlineStr">
        <is>
          <t>SP</t>
        </is>
      </c>
      <c r="AZ254" s="32" t="inlineStr">
        <is>
          <t>Sociedades de fomento mercantil - factoring</t>
        </is>
      </c>
      <c r="BA254" s="32" t="inlineStr">
        <is>
          <t>não ME/EPP</t>
        </is>
      </c>
      <c r="BB254" s="33" t="n">
        <v>1000000</v>
      </c>
      <c r="BC254" s="32" t="inlineStr">
        <is>
          <t>MID-MARKET</t>
        </is>
      </c>
      <c r="BD254" s="32" t="inlineStr">
        <is>
          <t>24744042</t>
        </is>
      </c>
      <c r="BE254" s="32" t="n">
        <v>1</v>
      </c>
      <c r="BF254" s="32" t="inlineStr">
        <is>
          <t>class III reconciled (doc partial)</t>
        </is>
      </c>
    </row>
    <row r="255">
      <c r="A255" s="17" t="inlineStr">
        <is>
          <t>FIDC DA INDUSTRIA EXODUS INSTITUCIONAL (TRUST)</t>
        </is>
      </c>
      <c r="B255" s="18" t="n">
        <v>336289.98</v>
      </c>
      <c r="C255" s="19" t="inlineStr">
        <is>
          <t>GRUPO DIVINA</t>
        </is>
      </c>
      <c r="D255" s="20" t="inlineStr">
        <is>
          <t>NEW</t>
        </is>
      </c>
      <c r="E255" s="21" t="inlineStr"/>
      <c r="F255" s="20" t="inlineStr"/>
      <c r="G255" s="21" t="inlineStr"/>
      <c r="H255" s="20" t="inlineStr"/>
      <c r="I255" s="22" t="inlineStr"/>
      <c r="J255" s="22" t="inlineStr"/>
      <c r="K255" s="22" t="inlineStr"/>
      <c r="L255" s="22" t="inlineStr"/>
      <c r="M255" s="22" t="inlineStr"/>
      <c r="N255" s="22" t="inlineStr"/>
      <c r="O255" s="22" t="inlineStr"/>
      <c r="P255" s="22" t="inlineStr"/>
      <c r="Q255" s="22" t="inlineStr"/>
      <c r="R255" s="22" t="inlineStr"/>
      <c r="S255" s="22" t="inlineStr"/>
      <c r="T255" s="22" t="inlineStr">
        <is>
          <t>no named contact found; NO ROUTE IN: no phone or email on file</t>
        </is>
      </c>
      <c r="U255" s="24" t="n">
        <v>336289.98</v>
      </c>
      <c r="V255" s="25" t="inlineStr">
        <is>
          <t>B</t>
        </is>
      </c>
      <c r="W255" s="26" t="inlineStr"/>
      <c r="X255" s="27" t="inlineStr"/>
      <c r="Y255" s="27" t="inlineStr"/>
      <c r="Z255" s="26">
        <f>IF(W255&lt;&gt;"",W255,IFERROR(VLOOKUP(V255,Assumptions!$A$8:$F$12,2,FALSE),0))*Assumptions!$B$5</f>
        <v/>
      </c>
      <c r="AA255" s="28">
        <f>IF(V255="A",MAX(1,IF(X255&lt;&gt;"",X255,IFERROR(VLOOKUP(V255,Assumptions!$A$8:$F$12,3,FALSE),3))+IF(Y255&lt;&gt;"",Y255,IFERROR(VLOOKUP(V255,Assumptions!$A$8:$F$12,4,FALSE),8))/2-MAX(0,IF(AS255="",0,YEAR(TODAY())-AS255)-IFERROR(VLOOKUP(V255,Assumptions!$A$8:$F$12,5,FALSE),1.5))),IFERROR(VLOOKUP(V255,Assumptions!$A$8:$F$12,5,FALSE),2.5)+IF(X255&lt;&gt;"",X255,IFERROR(VLOOKUP(V255,Assumptions!$A$8:$F$12,3,FALSE),3))+IF(Y255&lt;&gt;"",Y255,IFERROR(VLOOKUP(V255,Assumptions!$A$8:$F$12,4,FALSE),8))/2)</f>
        <v/>
      </c>
      <c r="AB255" s="24">
        <f>U255*Z255/(1+Assumptions!$B$3)^AA255</f>
        <v/>
      </c>
      <c r="AC255" s="27">
        <f>IF(U255=0,"",ROUND(AB255/U255*100,1))</f>
        <v/>
      </c>
      <c r="AD255" s="29">
        <f>AB255*Assumptions!$B$4</f>
        <v/>
      </c>
      <c r="AE255" s="27">
        <f>IF(U255=0,"",ROUND(AD255/U255*100,1))</f>
        <v/>
      </c>
      <c r="AF255" s="29">
        <f>AB255-AD255</f>
        <v/>
      </c>
      <c r="AG255" s="27">
        <f>IF(U255=0,"",ROUND((AB255-AD255)/U255*100,1))</f>
        <v/>
      </c>
      <c r="AH255" s="35" t="inlineStr">
        <is>
          <t>PARTIAL — class III reconciled, other classes not</t>
        </is>
      </c>
      <c r="AI255" s="31" t="inlineStr">
        <is>
          <t>https://lrflideres.com.br/wp-content/plugins/download-attachments/includes/download.php?id=6252</t>
        </is>
      </c>
      <c r="AJ255" s="30" t="inlineStr">
        <is>
          <t>p2 r40</t>
        </is>
      </c>
      <c r="AK255" s="30" t="inlineStr">
        <is>
          <t>p2: R$ 336.289,98</t>
        </is>
      </c>
      <c r="AL255" s="30" t="inlineStr">
        <is>
          <t>AJ list (art. 7 §2)</t>
        </is>
      </c>
      <c r="AM255" s="30" t="inlineStr">
        <is>
          <t>2024-11-27</t>
        </is>
      </c>
      <c r="AN255" s="30" t="inlineStr">
        <is>
          <t>NONE FOUND</t>
        </is>
      </c>
      <c r="AO255" s="32" t="inlineStr">
        <is>
          <t>0000721-61.2024.8.17.2620</t>
        </is>
      </c>
      <c r="AP255" s="32" t="inlineStr">
        <is>
          <t>TJPE</t>
        </is>
      </c>
      <c r="AQ255" s="32" t="inlineStr">
        <is>
          <t>Recuperação judicial</t>
        </is>
      </c>
      <c r="AR255" s="32" t="inlineStr">
        <is>
          <t>DataJud: no closure/falência movement</t>
        </is>
      </c>
      <c r="AS255" s="32" t="n">
        <v>2024</v>
      </c>
      <c r="AT255" s="32" t="inlineStr">
        <is>
          <t>live case, no plan document yet</t>
        </is>
      </c>
      <c r="AU255" s="32" t="inlineStr">
        <is>
          <t>08.785.522/0001-58</t>
        </is>
      </c>
      <c r="AV255" s="32" t="inlineStr">
        <is>
          <t>printed on the list (read twice)</t>
        </is>
      </c>
      <c r="AW255" s="32" t="inlineStr"/>
      <c r="AX255" s="32" t="inlineStr"/>
      <c r="AY255" s="32" t="inlineStr"/>
      <c r="AZ255" s="32" t="inlineStr"/>
      <c r="BA255" s="32" t="inlineStr"/>
      <c r="BB255" s="33" t="inlineStr"/>
      <c r="BC255" s="32" t="inlineStr">
        <is>
          <t>UNKNOWN</t>
        </is>
      </c>
      <c r="BD255" s="32" t="inlineStr">
        <is>
          <t>14051028</t>
        </is>
      </c>
      <c r="BE255" s="32" t="n">
        <v>1</v>
      </c>
      <c r="BF255" s="32" t="inlineStr">
        <is>
          <t>financial by name class III reconciled (doc partial) no RFB record no route in</t>
        </is>
      </c>
    </row>
    <row r="256">
      <c r="A256" s="17" t="inlineStr">
        <is>
          <t>BANCO BRADESCO S.A.</t>
        </is>
      </c>
      <c r="B256" s="18" t="n">
        <v>332298.8</v>
      </c>
      <c r="C256" s="19" t="inlineStr">
        <is>
          <t>Agroforte Agropecuaria Ltda</t>
        </is>
      </c>
      <c r="D256" s="20" t="inlineStr">
        <is>
          <t>NEW</t>
        </is>
      </c>
      <c r="E256" s="21" t="inlineStr"/>
      <c r="F256" s="20" t="inlineStr"/>
      <c r="G256" s="21" t="inlineStr"/>
      <c r="H256" s="20" t="inlineStr"/>
      <c r="I256" s="22" t="inlineStr">
        <is>
          <t>Marcela Martins</t>
        </is>
      </c>
      <c r="J256" s="22" t="inlineStr">
        <is>
          <t>Superintendente de Recuperação de Crédito - Canais e Operações</t>
        </is>
      </c>
      <c r="K256" s="22" t="inlineStr">
        <is>
          <t>(11) 3684-5122</t>
        </is>
      </c>
      <c r="L256" s="22" t="inlineStr"/>
      <c r="M256" s="22" t="inlineStr"/>
      <c r="N256" s="22" t="inlineStr"/>
      <c r="O256" s="22" t="inlineStr"/>
      <c r="P256" s="22" t="inlineStr">
        <is>
          <t>Luis S</t>
        </is>
      </c>
      <c r="Q256" s="22" t="inlineStr">
        <is>
          <t>DRC - Departamento de Recuperação de Crédito - Gerente de Reestruturação de Crédito</t>
        </is>
      </c>
      <c r="R256" s="22" t="inlineStr"/>
      <c r="S256" s="22" t="inlineStr">
        <is>
          <t>sl@bradesco.com.br</t>
        </is>
      </c>
      <c r="T256" s="22" t="inlineStr">
        <is>
          <t>DM: DM; no work email in Apollo for DM; BACKUP: backup</t>
        </is>
      </c>
      <c r="U256" s="24" t="n">
        <v>332298.8</v>
      </c>
      <c r="V256" s="25" t="inlineStr">
        <is>
          <t>B</t>
        </is>
      </c>
      <c r="W256" s="26" t="inlineStr"/>
      <c r="X256" s="27" t="inlineStr"/>
      <c r="Y256" s="27" t="inlineStr"/>
      <c r="Z256" s="26">
        <f>IF(W256&lt;&gt;"",W256,IFERROR(VLOOKUP(V256,Assumptions!$A$8:$F$12,2,FALSE),0))*Assumptions!$B$5</f>
        <v/>
      </c>
      <c r="AA256" s="28">
        <f>IF(V256="A",MAX(1,IF(X256&lt;&gt;"",X256,IFERROR(VLOOKUP(V256,Assumptions!$A$8:$F$12,3,FALSE),3))+IF(Y256&lt;&gt;"",Y256,IFERROR(VLOOKUP(V256,Assumptions!$A$8:$F$12,4,FALSE),8))/2-MAX(0,IF(AS256="",0,YEAR(TODAY())-AS256)-IFERROR(VLOOKUP(V256,Assumptions!$A$8:$F$12,5,FALSE),1.5))),IFERROR(VLOOKUP(V256,Assumptions!$A$8:$F$12,5,FALSE),2.5)+IF(X256&lt;&gt;"",X256,IFERROR(VLOOKUP(V256,Assumptions!$A$8:$F$12,3,FALSE),3))+IF(Y256&lt;&gt;"",Y256,IFERROR(VLOOKUP(V256,Assumptions!$A$8:$F$12,4,FALSE),8))/2)</f>
        <v/>
      </c>
      <c r="AB256" s="24">
        <f>U256*Z256/(1+Assumptions!$B$3)^AA256</f>
        <v/>
      </c>
      <c r="AC256" s="27">
        <f>IF(U256=0,"",ROUND(AB256/U256*100,1))</f>
        <v/>
      </c>
      <c r="AD256" s="29">
        <f>AB256*Assumptions!$B$4</f>
        <v/>
      </c>
      <c r="AE256" s="27">
        <f>IF(U256=0,"",ROUND(AD256/U256*100,1))</f>
        <v/>
      </c>
      <c r="AF256" s="29">
        <f>AB256-AD256</f>
        <v/>
      </c>
      <c r="AG256" s="27">
        <f>IF(U256=0,"",ROUND((AB256-AD256)/U256*100,1))</f>
        <v/>
      </c>
      <c r="AH256" s="35" t="inlineStr">
        <is>
          <t>PARTIAL — class III reconciled, other classes not</t>
        </is>
      </c>
      <c r="AI256" s="31" t="inlineStr">
        <is>
          <t>https://marquesadmjudicial.com.br/sgc/download.php?file=files/processo_documento/processo_documento11370527032026_1_.pdf&amp;nome=Quadro Geral de Credores (QGC) -AJ Anterior</t>
        </is>
      </c>
      <c r="AJ256" s="30" t="inlineStr">
        <is>
          <t>p1 r6</t>
        </is>
      </c>
      <c r="AK256" s="30" t="inlineStr">
        <is>
          <t>p1: R$ 332.298,80</t>
        </is>
      </c>
      <c r="AL256" s="30" t="inlineStr">
        <is>
          <t>QGC (art. 18)</t>
        </is>
      </c>
      <c r="AM256" s="30" t="inlineStr">
        <is>
          <t>2025-09-22</t>
        </is>
      </c>
      <c r="AN256" s="30" t="inlineStr">
        <is>
          <t>NONE FOUND</t>
        </is>
      </c>
      <c r="AO256" s="32" t="inlineStr">
        <is>
          <t>0031120-52.2024.8.16.0017</t>
        </is>
      </c>
      <c r="AP256" s="32" t="inlineStr">
        <is>
          <t>TJPR</t>
        </is>
      </c>
      <c r="AQ256" s="32" t="inlineStr">
        <is>
          <t>Recuperação judicial</t>
        </is>
      </c>
      <c r="AR256" s="32" t="inlineStr">
        <is>
          <t>DataJud: no closure/falência movement</t>
        </is>
      </c>
      <c r="AS256" s="32" t="n">
        <v>2024</v>
      </c>
      <c r="AT256" s="32" t="inlineStr">
        <is>
          <t>live case, no plan document yet</t>
        </is>
      </c>
      <c r="AU256" s="32" t="inlineStr">
        <is>
          <t>33.286.454/0001-20</t>
        </is>
      </c>
      <c r="AV256" s="32" t="inlineStr">
        <is>
          <t>printed on the list (read twice)</t>
        </is>
      </c>
      <c r="AW256" s="32" t="inlineStr"/>
      <c r="AX256" s="32" t="inlineStr">
        <is>
          <t>OSASCO</t>
        </is>
      </c>
      <c r="AY256" s="32" t="inlineStr">
        <is>
          <t>SP</t>
        </is>
      </c>
      <c r="AZ256" s="32" t="inlineStr">
        <is>
          <t>Bancos múltiplos, com carteira comercial</t>
        </is>
      </c>
      <c r="BA256" s="32" t="inlineStr">
        <is>
          <t>não ME/EPP</t>
        </is>
      </c>
      <c r="BB256" s="33" t="n">
        <v>93770000000</v>
      </c>
      <c r="BC256" s="32" t="inlineStr">
        <is>
          <t>LARGE CORP</t>
        </is>
      </c>
      <c r="BD256" s="32" t="inlineStr">
        <is>
          <t>60746948</t>
        </is>
      </c>
      <c r="BE256" s="32" t="n">
        <v>1</v>
      </c>
      <c r="BF256" s="32" t="inlineStr">
        <is>
          <t>financial by name class III reconciled (doc partial)</t>
        </is>
      </c>
    </row>
    <row r="257">
      <c r="A257" s="17" t="inlineStr">
        <is>
          <t>CONSORCIO VALORGÁS ENERGIA SUSTENTÁVEL PE I</t>
        </is>
      </c>
      <c r="B257" s="18" t="n">
        <v>315495.92</v>
      </c>
      <c r="C257" s="19" t="inlineStr">
        <is>
          <t>GRUPO CATTAN</t>
        </is>
      </c>
      <c r="D257" s="20" t="inlineStr">
        <is>
          <t>NEW</t>
        </is>
      </c>
      <c r="E257" s="21" t="inlineStr"/>
      <c r="F257" s="20" t="inlineStr"/>
      <c r="G257" s="21" t="inlineStr"/>
      <c r="H257" s="20" t="inlineStr"/>
      <c r="I257" s="22" t="inlineStr"/>
      <c r="J257" s="22" t="inlineStr"/>
      <c r="K257" s="22" t="inlineStr"/>
      <c r="L257" s="22" t="inlineStr"/>
      <c r="M257" s="22" t="inlineStr"/>
      <c r="N257" s="22" t="inlineStr"/>
      <c r="O257" s="22" t="inlineStr"/>
      <c r="P257" s="22" t="inlineStr"/>
      <c r="Q257" s="22" t="inlineStr"/>
      <c r="R257" s="22" t="inlineStr"/>
      <c r="S257" s="22" t="inlineStr"/>
      <c r="T257" s="22" t="inlineStr">
        <is>
          <t>no named contact found; NO ROUTE IN: no phone or email on file</t>
        </is>
      </c>
      <c r="U257" s="24" t="n">
        <v>315495.92</v>
      </c>
      <c r="V257" s="25" t="inlineStr">
        <is>
          <t>B</t>
        </is>
      </c>
      <c r="W257" s="26" t="inlineStr"/>
      <c r="X257" s="27" t="inlineStr"/>
      <c r="Y257" s="27" t="inlineStr"/>
      <c r="Z257" s="26">
        <f>IF(W257&lt;&gt;"",W257,IFERROR(VLOOKUP(V257,Assumptions!$A$8:$F$12,2,FALSE),0))*Assumptions!$B$5</f>
        <v/>
      </c>
      <c r="AA257" s="28">
        <f>IF(V257="A",MAX(1,IF(X257&lt;&gt;"",X257,IFERROR(VLOOKUP(V257,Assumptions!$A$8:$F$12,3,FALSE),3))+IF(Y257&lt;&gt;"",Y257,IFERROR(VLOOKUP(V257,Assumptions!$A$8:$F$12,4,FALSE),8))/2-MAX(0,IF(AS257="",0,YEAR(TODAY())-AS257)-IFERROR(VLOOKUP(V257,Assumptions!$A$8:$F$12,5,FALSE),1.5))),IFERROR(VLOOKUP(V257,Assumptions!$A$8:$F$12,5,FALSE),2.5)+IF(X257&lt;&gt;"",X257,IFERROR(VLOOKUP(V257,Assumptions!$A$8:$F$12,3,FALSE),3))+IF(Y257&lt;&gt;"",Y257,IFERROR(VLOOKUP(V257,Assumptions!$A$8:$F$12,4,FALSE),8))/2)</f>
        <v/>
      </c>
      <c r="AB257" s="24">
        <f>U257*Z257/(1+Assumptions!$B$3)^AA257</f>
        <v/>
      </c>
      <c r="AC257" s="27">
        <f>IF(U257=0,"",ROUND(AB257/U257*100,1))</f>
        <v/>
      </c>
      <c r="AD257" s="29">
        <f>AB257*Assumptions!$B$4</f>
        <v/>
      </c>
      <c r="AE257" s="27">
        <f>IF(U257=0,"",ROUND(AD257/U257*100,1))</f>
        <v/>
      </c>
      <c r="AF257" s="29">
        <f>AB257-AD257</f>
        <v/>
      </c>
      <c r="AG257" s="27">
        <f>IF(U257=0,"",ROUND((AB257-AD257)/U257*100,1))</f>
        <v/>
      </c>
      <c r="AH257" s="35" t="inlineStr">
        <is>
          <t>PARTIAL — class III reconciled, other classes not</t>
        </is>
      </c>
      <c r="AI257" s="31" t="inlineStr">
        <is>
          <t>https://lrflideres.com.br/wp-content/plugins/download-attachments/includes/download.php?id=4023</t>
        </is>
      </c>
      <c r="AJ257" s="30" t="inlineStr">
        <is>
          <t>p4 r66; p7 r91</t>
        </is>
      </c>
      <c r="AK257" s="30" t="inlineStr">
        <is>
          <t>p4: R$ 151.462,96; p7: R$ 164.032,96</t>
        </is>
      </c>
      <c r="AL257" s="30" t="inlineStr">
        <is>
          <t>Debtor list (art. 51)</t>
        </is>
      </c>
      <c r="AM257" s="30" t="inlineStr"/>
      <c r="AN257" s="30" t="inlineStr">
        <is>
          <t>NONE FOUND</t>
        </is>
      </c>
      <c r="AO257" s="32" t="inlineStr">
        <is>
          <t>0002484-82.2022.8.17.2001</t>
        </is>
      </c>
      <c r="AP257" s="32" t="inlineStr">
        <is>
          <t>TJPE</t>
        </is>
      </c>
      <c r="AQ257" s="32" t="inlineStr">
        <is>
          <t>Recuperação judicial</t>
        </is>
      </c>
      <c r="AR257" s="32" t="inlineStr">
        <is>
          <t>DataJud: no closure/falência movement</t>
        </is>
      </c>
      <c r="AS257" s="32" t="n">
        <v>2022</v>
      </c>
      <c r="AT257" s="32" t="inlineStr">
        <is>
          <t>live case, no plan document yet</t>
        </is>
      </c>
      <c r="AU257" s="32" t="inlineStr"/>
      <c r="AV257" s="32" t="inlineStr">
        <is>
          <t>printed on the list (read twice)</t>
        </is>
      </c>
      <c r="AW257" s="32" t="inlineStr"/>
      <c r="AX257" s="32" t="inlineStr"/>
      <c r="AY257" s="32" t="inlineStr"/>
      <c r="AZ257" s="32" t="inlineStr"/>
      <c r="BA257" s="32" t="inlineStr"/>
      <c r="BB257" s="33" t="inlineStr"/>
      <c r="BC257" s="32" t="inlineStr">
        <is>
          <t>UNKNOWN</t>
        </is>
      </c>
      <c r="BD257" s="32" t="inlineStr">
        <is>
          <t>32904168</t>
        </is>
      </c>
      <c r="BE257" s="32" t="n">
        <v>2</v>
      </c>
      <c r="BF257" s="32" t="inlineStr">
        <is>
          <t>financial by name class III reconciled (doc partial) no RFB record no route in</t>
        </is>
      </c>
    </row>
    <row r="258">
      <c r="A258" s="17" t="inlineStr">
        <is>
          <t>BANCO BRADESCO S.A.</t>
        </is>
      </c>
      <c r="B258" s="18" t="n">
        <v>313593.84</v>
      </c>
      <c r="C258" s="19" t="inlineStr">
        <is>
          <t>Grupo Agromeal</t>
        </is>
      </c>
      <c r="D258" s="20" t="inlineStr">
        <is>
          <t>NEW</t>
        </is>
      </c>
      <c r="E258" s="21" t="inlineStr"/>
      <c r="F258" s="20" t="inlineStr"/>
      <c r="G258" s="21" t="inlineStr"/>
      <c r="H258" s="20" t="inlineStr"/>
      <c r="I258" s="22" t="inlineStr">
        <is>
          <t>Marcela Martins</t>
        </is>
      </c>
      <c r="J258" s="22" t="inlineStr">
        <is>
          <t>Superintendente de Recuperação de Crédito - Canais e Operações</t>
        </is>
      </c>
      <c r="K258" s="22" t="inlineStr">
        <is>
          <t>(11) 3684-5122</t>
        </is>
      </c>
      <c r="L258" s="22" t="inlineStr"/>
      <c r="M258" s="22" t="inlineStr"/>
      <c r="N258" s="22" t="inlineStr"/>
      <c r="O258" s="22" t="inlineStr"/>
      <c r="P258" s="22" t="inlineStr">
        <is>
          <t>Luis S</t>
        </is>
      </c>
      <c r="Q258" s="22" t="inlineStr">
        <is>
          <t>DRC - Departamento de Recuperação de Crédito - Gerente de Reestruturação de Crédito</t>
        </is>
      </c>
      <c r="R258" s="22" t="inlineStr"/>
      <c r="S258" s="22" t="inlineStr">
        <is>
          <t>sl@bradesco.com.br</t>
        </is>
      </c>
      <c r="T258" s="22" t="inlineStr">
        <is>
          <t>DM: DM; no work email in Apollo for DM; BACKUP: backup</t>
        </is>
      </c>
      <c r="U258" s="24" t="n">
        <v>313593.84</v>
      </c>
      <c r="V258" s="25" t="inlineStr">
        <is>
          <t>B</t>
        </is>
      </c>
      <c r="W258" s="26" t="inlineStr"/>
      <c r="X258" s="27" t="inlineStr"/>
      <c r="Y258" s="27" t="inlineStr"/>
      <c r="Z258" s="26">
        <f>IF(W258&lt;&gt;"",W258,IFERROR(VLOOKUP(V258,Assumptions!$A$8:$F$12,2,FALSE),0))*Assumptions!$B$5</f>
        <v/>
      </c>
      <c r="AA258" s="28">
        <f>IF(V258="A",MAX(1,IF(X258&lt;&gt;"",X258,IFERROR(VLOOKUP(V258,Assumptions!$A$8:$F$12,3,FALSE),3))+IF(Y258&lt;&gt;"",Y258,IFERROR(VLOOKUP(V258,Assumptions!$A$8:$F$12,4,FALSE),8))/2-MAX(0,IF(AS258="",0,YEAR(TODAY())-AS258)-IFERROR(VLOOKUP(V258,Assumptions!$A$8:$F$12,5,FALSE),1.5))),IFERROR(VLOOKUP(V258,Assumptions!$A$8:$F$12,5,FALSE),2.5)+IF(X258&lt;&gt;"",X258,IFERROR(VLOOKUP(V258,Assumptions!$A$8:$F$12,3,FALSE),3))+IF(Y258&lt;&gt;"",Y258,IFERROR(VLOOKUP(V258,Assumptions!$A$8:$F$12,4,FALSE),8))/2)</f>
        <v/>
      </c>
      <c r="AB258" s="24">
        <f>U258*Z258/(1+Assumptions!$B$3)^AA258</f>
        <v/>
      </c>
      <c r="AC258" s="27">
        <f>IF(U258=0,"",ROUND(AB258/U258*100,1))</f>
        <v/>
      </c>
      <c r="AD258" s="29">
        <f>AB258*Assumptions!$B$4</f>
        <v/>
      </c>
      <c r="AE258" s="27">
        <f>IF(U258=0,"",ROUND(AD258/U258*100,1))</f>
        <v/>
      </c>
      <c r="AF258" s="29">
        <f>AB258-AD258</f>
        <v/>
      </c>
      <c r="AG258" s="27">
        <f>IF(U258=0,"",ROUND((AB258-AD258)/U258*100,1))</f>
        <v/>
      </c>
      <c r="AH258" s="35" t="inlineStr">
        <is>
          <t>PARTIAL — class III reconciled, other classes not</t>
        </is>
      </c>
      <c r="AI258" s="31" t="inlineStr">
        <is>
          <t>https://marquesadmjudicial.com.br/sgc/download.php?file=files/processo_documento/processo_documento17040729052024_1_.pdf&amp;nome=Relação Nominal de Credores AJ-Sintética</t>
        </is>
      </c>
      <c r="AJ258" s="30" t="inlineStr">
        <is>
          <t>p9 r16</t>
        </is>
      </c>
      <c r="AK258" s="30" t="inlineStr">
        <is>
          <t>p9: R$ 313.593,84</t>
        </is>
      </c>
      <c r="AL258" s="30" t="inlineStr">
        <is>
          <t>AJ list (art. 7 §2)</t>
        </is>
      </c>
      <c r="AM258" s="30" t="inlineStr">
        <is>
          <t>2024-05-27</t>
        </is>
      </c>
      <c r="AN258" s="30" t="inlineStr">
        <is>
          <t>NONE FOUND</t>
        </is>
      </c>
      <c r="AO258" s="32" t="inlineStr">
        <is>
          <t>0003971-03.2023.8.16.0119</t>
        </is>
      </c>
      <c r="AP258" s="32" t="inlineStr">
        <is>
          <t>TJPR</t>
        </is>
      </c>
      <c r="AQ258" s="32" t="inlineStr">
        <is>
          <t>Recuperação judicial</t>
        </is>
      </c>
      <c r="AR258" s="32" t="inlineStr">
        <is>
          <t>DataJud: no closure/falência movement</t>
        </is>
      </c>
      <c r="AS258" s="32" t="n">
        <v>2023</v>
      </c>
      <c r="AT258" s="32" t="inlineStr">
        <is>
          <t>live case, no plan document yet</t>
        </is>
      </c>
      <c r="AU258" s="32" t="inlineStr">
        <is>
          <t>11.624.776/0001-07</t>
        </is>
      </c>
      <c r="AV258" s="32" t="inlineStr">
        <is>
          <t>printed on the list (read twice)</t>
        </is>
      </c>
      <c r="AW258" s="32" t="inlineStr"/>
      <c r="AX258" s="32" t="inlineStr">
        <is>
          <t>OSASCO</t>
        </is>
      </c>
      <c r="AY258" s="32" t="inlineStr">
        <is>
          <t>SP</t>
        </is>
      </c>
      <c r="AZ258" s="32" t="inlineStr">
        <is>
          <t>Bancos múltiplos, com carteira comercial</t>
        </is>
      </c>
      <c r="BA258" s="32" t="inlineStr">
        <is>
          <t>não ME/EPP</t>
        </is>
      </c>
      <c r="BB258" s="33" t="n">
        <v>93770000000</v>
      </c>
      <c r="BC258" s="32" t="inlineStr">
        <is>
          <t>LARGE CORP</t>
        </is>
      </c>
      <c r="BD258" s="32" t="inlineStr">
        <is>
          <t>60746948</t>
        </is>
      </c>
      <c r="BE258" s="32" t="n">
        <v>1</v>
      </c>
      <c r="BF258" s="32" t="inlineStr">
        <is>
          <t>financial by name class III reconciled (doc partial)</t>
        </is>
      </c>
    </row>
    <row r="259">
      <c r="A259" s="17" t="inlineStr">
        <is>
          <t>BANCO DE LAGE LANDEN BRASIL S.A</t>
        </is>
      </c>
      <c r="B259" s="18" t="n">
        <v>302609.01</v>
      </c>
      <c r="C259" s="19" t="inlineStr">
        <is>
          <t>GRUPO DIAGSON</t>
        </is>
      </c>
      <c r="D259" s="20" t="inlineStr">
        <is>
          <t>NEW</t>
        </is>
      </c>
      <c r="E259" s="21" t="inlineStr"/>
      <c r="F259" s="20" t="inlineStr"/>
      <c r="G259" s="21" t="inlineStr"/>
      <c r="H259" s="20" t="inlineStr"/>
      <c r="I259" s="22" t="inlineStr"/>
      <c r="J259" s="22" t="inlineStr"/>
      <c r="K259" s="22" t="inlineStr"/>
      <c r="L259" s="22" t="inlineStr"/>
      <c r="M259" s="22" t="inlineStr"/>
      <c r="N259" s="22" t="inlineStr"/>
      <c r="O259" s="22" t="inlineStr"/>
      <c r="P259" s="22" t="inlineStr"/>
      <c r="Q259" s="22" t="inlineStr"/>
      <c r="R259" s="22" t="inlineStr"/>
      <c r="S259" s="22" t="inlineStr"/>
      <c r="T259" s="22" t="inlineStr">
        <is>
          <t>no named contact found; NO ROUTE IN: no phone or email on file</t>
        </is>
      </c>
      <c r="U259" s="24" t="n">
        <v>302609.01</v>
      </c>
      <c r="V259" s="25" t="inlineStr">
        <is>
          <t>B</t>
        </is>
      </c>
      <c r="W259" s="26" t="inlineStr"/>
      <c r="X259" s="27" t="inlineStr"/>
      <c r="Y259" s="27" t="inlineStr"/>
      <c r="Z259" s="26">
        <f>IF(W259&lt;&gt;"",W259,IFERROR(VLOOKUP(V259,Assumptions!$A$8:$F$12,2,FALSE),0))*Assumptions!$B$5</f>
        <v/>
      </c>
      <c r="AA259" s="28">
        <f>IF(V259="A",MAX(1,IF(X259&lt;&gt;"",X259,IFERROR(VLOOKUP(V259,Assumptions!$A$8:$F$12,3,FALSE),3))+IF(Y259&lt;&gt;"",Y259,IFERROR(VLOOKUP(V259,Assumptions!$A$8:$F$12,4,FALSE),8))/2-MAX(0,IF(AS259="",0,YEAR(TODAY())-AS259)-IFERROR(VLOOKUP(V259,Assumptions!$A$8:$F$12,5,FALSE),1.5))),IFERROR(VLOOKUP(V259,Assumptions!$A$8:$F$12,5,FALSE),2.5)+IF(X259&lt;&gt;"",X259,IFERROR(VLOOKUP(V259,Assumptions!$A$8:$F$12,3,FALSE),3))+IF(Y259&lt;&gt;"",Y259,IFERROR(VLOOKUP(V259,Assumptions!$A$8:$F$12,4,FALSE),8))/2)</f>
        <v/>
      </c>
      <c r="AB259" s="24">
        <f>U259*Z259/(1+Assumptions!$B$3)^AA259</f>
        <v/>
      </c>
      <c r="AC259" s="27">
        <f>IF(U259=0,"",ROUND(AB259/U259*100,1))</f>
        <v/>
      </c>
      <c r="AD259" s="29">
        <f>AB259*Assumptions!$B$4</f>
        <v/>
      </c>
      <c r="AE259" s="27">
        <f>IF(U259=0,"",ROUND(AD259/U259*100,1))</f>
        <v/>
      </c>
      <c r="AF259" s="29">
        <f>AB259-AD259</f>
        <v/>
      </c>
      <c r="AG259" s="27">
        <f>IF(U259=0,"",ROUND((AB259-AD259)/U259*100,1))</f>
        <v/>
      </c>
      <c r="AH259" s="35" t="inlineStr">
        <is>
          <t>PARTIAL — class III reconciled, other classes not</t>
        </is>
      </c>
      <c r="AI259" s="31" t="inlineStr">
        <is>
          <t>https://lrflideres.com.br/wp-content/plugins/download-attachments/includes/download.php?id=7418</t>
        </is>
      </c>
      <c r="AJ259" s="30" t="inlineStr">
        <is>
          <t>p2 r39</t>
        </is>
      </c>
      <c r="AK259" s="30" t="inlineStr">
        <is>
          <t>p2: R$ 302.609,01</t>
        </is>
      </c>
      <c r="AL259" s="30" t="inlineStr">
        <is>
          <t>Debtor list (art. 51)</t>
        </is>
      </c>
      <c r="AM259" s="30" t="inlineStr">
        <is>
          <t>2026-07-28</t>
        </is>
      </c>
      <c r="AN259" s="30" t="inlineStr">
        <is>
          <t>NONE FOUND</t>
        </is>
      </c>
      <c r="AO259" s="32" t="inlineStr">
        <is>
          <t>0822279-56.2026.8.15.2001</t>
        </is>
      </c>
      <c r="AP259" s="32" t="inlineStr">
        <is>
          <t>TJPB</t>
        </is>
      </c>
      <c r="AQ259" s="32" t="inlineStr">
        <is>
          <t>Recuperação judicial</t>
        </is>
      </c>
      <c r="AR259" s="32" t="inlineStr">
        <is>
          <t>DataJud: no closure/falência movement</t>
        </is>
      </c>
      <c r="AS259" s="32" t="n">
        <v>2026</v>
      </c>
      <c r="AT259" s="32" t="inlineStr">
        <is>
          <t>live case, no plan document yet</t>
        </is>
      </c>
      <c r="AU259" s="32" t="inlineStr">
        <is>
          <t>00.149.703/0001-86</t>
        </is>
      </c>
      <c r="AV259" s="32" t="inlineStr">
        <is>
          <t>printed on the list (read twice)</t>
        </is>
      </c>
      <c r="AW259" s="32" t="inlineStr"/>
      <c r="AX259" s="32" t="inlineStr"/>
      <c r="AY259" s="32" t="inlineStr"/>
      <c r="AZ259" s="32" t="inlineStr"/>
      <c r="BA259" s="32" t="inlineStr"/>
      <c r="BB259" s="33" t="inlineStr"/>
      <c r="BC259" s="32" t="inlineStr">
        <is>
          <t>UNKNOWN</t>
        </is>
      </c>
      <c r="BD259" s="32" t="inlineStr">
        <is>
          <t>05040481</t>
        </is>
      </c>
      <c r="BE259" s="32" t="n">
        <v>1</v>
      </c>
      <c r="BF259" s="32" t="inlineStr">
        <is>
          <t>financial by name class III reconciled (doc partial) no RFB record no route in</t>
        </is>
      </c>
    </row>
    <row r="260">
      <c r="A260" s="17" t="inlineStr">
        <is>
          <t>Fundo De Investimento Em Direitos Creditorios - Não Padronizados Daniele</t>
        </is>
      </c>
      <c r="B260" s="18" t="n">
        <v>301000</v>
      </c>
      <c r="C260" s="19" t="inlineStr">
        <is>
          <t>Grupo Agromeal</t>
        </is>
      </c>
      <c r="D260" s="20" t="inlineStr">
        <is>
          <t>NEW</t>
        </is>
      </c>
      <c r="E260" s="21" t="inlineStr"/>
      <c r="F260" s="20" t="inlineStr"/>
      <c r="G260" s="21" t="inlineStr"/>
      <c r="H260" s="20" t="inlineStr"/>
      <c r="I260" s="22" t="inlineStr">
        <is>
          <t>Wellington Cruz</t>
        </is>
      </c>
      <c r="J260" s="22" t="inlineStr">
        <is>
          <t>Gerente de Operações Financeiras - BackOffice FIDC</t>
        </is>
      </c>
      <c r="K260" s="22" t="inlineStr"/>
      <c r="L260" s="22" t="inlineStr"/>
      <c r="M260" s="22" t="inlineStr"/>
      <c r="N260" s="22" t="inlineStr">
        <is>
          <t>wellington@danielebanco.com.br</t>
        </is>
      </c>
      <c r="O260" s="22" t="inlineStr">
        <is>
          <t>verified</t>
        </is>
      </c>
      <c r="P260" s="22" t="inlineStr">
        <is>
          <t>Ismael Santos</t>
        </is>
      </c>
      <c r="Q260" s="22" t="inlineStr">
        <is>
          <t>Gerente Comercial FIDC</t>
        </is>
      </c>
      <c r="R260" s="22" t="inlineStr"/>
      <c r="S260" s="22" t="inlineStr">
        <is>
          <t>ismael.santos@danielebanco.com.br</t>
        </is>
      </c>
      <c r="T260" s="22" t="inlineStr">
        <is>
          <t>DM: DM; BACKUP: backup</t>
        </is>
      </c>
      <c r="U260" s="24" t="n">
        <v>301000</v>
      </c>
      <c r="V260" s="25" t="inlineStr">
        <is>
          <t>B</t>
        </is>
      </c>
      <c r="W260" s="26" t="inlineStr"/>
      <c r="X260" s="27" t="inlineStr"/>
      <c r="Y260" s="27" t="inlineStr"/>
      <c r="Z260" s="26">
        <f>IF(W260&lt;&gt;"",W260,IFERROR(VLOOKUP(V260,Assumptions!$A$8:$F$12,2,FALSE),0))*Assumptions!$B$5</f>
        <v/>
      </c>
      <c r="AA260" s="28">
        <f>IF(V260="A",MAX(1,IF(X260&lt;&gt;"",X260,IFERROR(VLOOKUP(V260,Assumptions!$A$8:$F$12,3,FALSE),3))+IF(Y260&lt;&gt;"",Y260,IFERROR(VLOOKUP(V260,Assumptions!$A$8:$F$12,4,FALSE),8))/2-MAX(0,IF(AS260="",0,YEAR(TODAY())-AS260)-IFERROR(VLOOKUP(V260,Assumptions!$A$8:$F$12,5,FALSE),1.5))),IFERROR(VLOOKUP(V260,Assumptions!$A$8:$F$12,5,FALSE),2.5)+IF(X260&lt;&gt;"",X260,IFERROR(VLOOKUP(V260,Assumptions!$A$8:$F$12,3,FALSE),3))+IF(Y260&lt;&gt;"",Y260,IFERROR(VLOOKUP(V260,Assumptions!$A$8:$F$12,4,FALSE),8))/2)</f>
        <v/>
      </c>
      <c r="AB260" s="24">
        <f>U260*Z260/(1+Assumptions!$B$3)^AA260</f>
        <v/>
      </c>
      <c r="AC260" s="27">
        <f>IF(U260=0,"",ROUND(AB260/U260*100,1))</f>
        <v/>
      </c>
      <c r="AD260" s="29">
        <f>AB260*Assumptions!$B$4</f>
        <v/>
      </c>
      <c r="AE260" s="27">
        <f>IF(U260=0,"",ROUND(AD260/U260*100,1))</f>
        <v/>
      </c>
      <c r="AF260" s="29">
        <f>AB260-AD260</f>
        <v/>
      </c>
      <c r="AG260" s="27">
        <f>IF(U260=0,"",ROUND((AB260-AD260)/U260*100,1))</f>
        <v/>
      </c>
      <c r="AH260" s="35" t="inlineStr">
        <is>
          <t>PARTIAL — class III reconciled, other classes not</t>
        </is>
      </c>
      <c r="AI260" s="31" t="inlineStr">
        <is>
          <t>https://marquesadmjudicial.com.br/sgc/download.php?file=files/processo_documento/processo_documento17040729052024_1_.pdf&amp;nome=Relação Nominal de Credores AJ-Sintética</t>
        </is>
      </c>
      <c r="AJ260" s="30" t="inlineStr">
        <is>
          <t>p11 r8</t>
        </is>
      </c>
      <c r="AK260" s="30" t="inlineStr">
        <is>
          <t>p11: R$ 301.000,00</t>
        </is>
      </c>
      <c r="AL260" s="30" t="inlineStr">
        <is>
          <t>AJ list (art. 7 §2)</t>
        </is>
      </c>
      <c r="AM260" s="30" t="inlineStr">
        <is>
          <t>2024-05-27</t>
        </is>
      </c>
      <c r="AN260" s="30" t="inlineStr">
        <is>
          <t>NONE FOUND</t>
        </is>
      </c>
      <c r="AO260" s="32" t="inlineStr">
        <is>
          <t>0003971-03.2023.8.16.0119</t>
        </is>
      </c>
      <c r="AP260" s="32" t="inlineStr">
        <is>
          <t>TJPR</t>
        </is>
      </c>
      <c r="AQ260" s="32" t="inlineStr">
        <is>
          <t>Recuperação judicial</t>
        </is>
      </c>
      <c r="AR260" s="32" t="inlineStr">
        <is>
          <t>DataJud: no closure/falência movement</t>
        </is>
      </c>
      <c r="AS260" s="32" t="n">
        <v>2023</v>
      </c>
      <c r="AT260" s="32" t="inlineStr">
        <is>
          <t>live case, no plan document yet</t>
        </is>
      </c>
      <c r="AU260" s="32" t="inlineStr">
        <is>
          <t>11.624.776/0001-07</t>
        </is>
      </c>
      <c r="AV260" s="32" t="inlineStr">
        <is>
          <t>printed on the list (read twice)</t>
        </is>
      </c>
      <c r="AW260" s="32" t="inlineStr"/>
      <c r="AX260" s="32" t="inlineStr"/>
      <c r="AY260" s="32" t="inlineStr"/>
      <c r="AZ260" s="32" t="inlineStr"/>
      <c r="BA260" s="32" t="inlineStr"/>
      <c r="BB260" s="33" t="inlineStr"/>
      <c r="BC260" s="32" t="inlineStr">
        <is>
          <t>UNKNOWN</t>
        </is>
      </c>
      <c r="BD260" s="32" t="inlineStr">
        <is>
          <t>11491061</t>
        </is>
      </c>
      <c r="BE260" s="32" t="n">
        <v>1</v>
      </c>
      <c r="BF260" s="32" t="inlineStr">
        <is>
          <t>financial by name class III reconciled (doc partial) no RFB record</t>
        </is>
      </c>
    </row>
    <row r="261">
      <c r="A261" s="17" t="inlineStr">
        <is>
          <t>DLR CAPITAL FUNDOS DE INVESTIMENTOS EM DIREITOS CREDITÓRIOS (</t>
        </is>
      </c>
      <c r="B261" s="18" t="n">
        <v>1170052.77</v>
      </c>
      <c r="C261" s="19" t="inlineStr">
        <is>
          <t>VECTOR INDÚSTRIA DE PRODUTOS METALÚRGICOS LTDA.</t>
        </is>
      </c>
      <c r="D261" s="20" t="inlineStr">
        <is>
          <t>NEW</t>
        </is>
      </c>
      <c r="E261" s="21" t="inlineStr"/>
      <c r="F261" s="20" t="inlineStr"/>
      <c r="G261" s="21" t="inlineStr"/>
      <c r="H261" s="20" t="inlineStr"/>
      <c r="I261" s="22" t="inlineStr"/>
      <c r="J261" s="22" t="inlineStr"/>
      <c r="K261" s="22" t="inlineStr"/>
      <c r="L261" s="22" t="inlineStr"/>
      <c r="M261" s="22" t="inlineStr"/>
      <c r="N261" s="22" t="inlineStr"/>
      <c r="O261" s="22" t="inlineStr"/>
      <c r="P261" s="22" t="inlineStr"/>
      <c r="Q261" s="22" t="inlineStr"/>
      <c r="R261" s="22" t="inlineStr"/>
      <c r="S261" s="22" t="inlineStr"/>
      <c r="T261" s="22" t="inlineStr">
        <is>
          <t>no named contact found; NO ROUTE IN: no phone or email on file</t>
        </is>
      </c>
      <c r="U261" s="24" t="n">
        <v>1170052.77</v>
      </c>
      <c r="V261" s="39" t="inlineStr">
        <is>
          <t>C</t>
        </is>
      </c>
      <c r="W261" s="26" t="inlineStr"/>
      <c r="X261" s="27" t="inlineStr"/>
      <c r="Y261" s="27" t="inlineStr"/>
      <c r="Z261" s="26">
        <f>IF(W261&lt;&gt;"",W261,IFERROR(VLOOKUP(V261,Assumptions!$A$8:$F$12,2,FALSE),0))*Assumptions!$B$5</f>
        <v/>
      </c>
      <c r="AA261" s="28">
        <f>IF(V261="A",MAX(1,IF(X261&lt;&gt;"",X261,IFERROR(VLOOKUP(V261,Assumptions!$A$8:$F$12,3,FALSE),3))+IF(Y261&lt;&gt;"",Y261,IFERROR(VLOOKUP(V261,Assumptions!$A$8:$F$12,4,FALSE),8))/2-MAX(0,IF(AS261="",0,YEAR(TODAY())-AS261)-IFERROR(VLOOKUP(V261,Assumptions!$A$8:$F$12,5,FALSE),1.5))),IFERROR(VLOOKUP(V261,Assumptions!$A$8:$F$12,5,FALSE),2.5)+IF(X261&lt;&gt;"",X261,IFERROR(VLOOKUP(V261,Assumptions!$A$8:$F$12,3,FALSE),3))+IF(Y261&lt;&gt;"",Y261,IFERROR(VLOOKUP(V261,Assumptions!$A$8:$F$12,4,FALSE),8))/2)</f>
        <v/>
      </c>
      <c r="AB261" s="24">
        <f>U261*Z261/(1+Assumptions!$B$3)^AA261</f>
        <v/>
      </c>
      <c r="AC261" s="27">
        <f>IF(U261=0,"",ROUND(AB261/U261*100,1))</f>
        <v/>
      </c>
      <c r="AD261" s="29">
        <f>AB261*Assumptions!$B$4</f>
        <v/>
      </c>
      <c r="AE261" s="27">
        <f>IF(U261=0,"",ROUND(AD261/U261*100,1))</f>
        <v/>
      </c>
      <c r="AF261" s="29">
        <f>AB261-AD261</f>
        <v/>
      </c>
      <c r="AG261" s="27">
        <f>IF(U261=0,"",ROUND((AB261-AD261)/U261*100,1))</f>
        <v/>
      </c>
      <c r="AH261" s="34" t="inlineStr">
        <is>
          <t>NO TOTALS — list prints none; check page</t>
        </is>
      </c>
      <c r="AI261" s="31" t="inlineStr">
        <is>
          <t>https://scalzilliaj.com.br/sgc/download.php?file=files/processo_documento/processo_documento15513401112022_1_.pdf&amp;nome=15 - Edital do art. 7º, §2º (segunda lista de credores) e do art. 53 da Lei 11.101/2005 (recebimento do plano)</t>
        </is>
      </c>
      <c r="AJ261" s="30" t="inlineStr">
        <is>
          <t>p6 r33</t>
        </is>
      </c>
      <c r="AK261" s="30" t="inlineStr">
        <is>
          <t>p6: R$ 1.170.052,77</t>
        </is>
      </c>
      <c r="AL261" s="30" t="inlineStr">
        <is>
          <t>AJ list (art. 7 §2)</t>
        </is>
      </c>
      <c r="AM261" s="30" t="inlineStr">
        <is>
          <t>2022-11-01</t>
        </is>
      </c>
      <c r="AN261" s="30" t="inlineStr">
        <is>
          <t>NONE FOUND</t>
        </is>
      </c>
      <c r="AO261" s="32" t="inlineStr">
        <is>
          <t>5014104-85.2021.8.21.0010</t>
        </is>
      </c>
      <c r="AP261" s="32" t="inlineStr">
        <is>
          <t>TJRS</t>
        </is>
      </c>
      <c r="AQ261" s="32" t="inlineStr">
        <is>
          <t>Recuperação judicial</t>
        </is>
      </c>
      <c r="AR261" s="32" t="inlineStr">
        <is>
          <t>DataJud: no closure/falência movement</t>
        </is>
      </c>
      <c r="AS261" s="32" t="n">
        <v>2021</v>
      </c>
      <c r="AT261" s="32" t="inlineStr">
        <is>
          <t>5y since filing; plan not in our documents</t>
        </is>
      </c>
      <c r="AU261" s="32" t="inlineStr">
        <is>
          <t>03.018.339/0001-03</t>
        </is>
      </c>
      <c r="AV261" s="32" t="inlineStr">
        <is>
          <t>printed on the list (read twice)</t>
        </is>
      </c>
      <c r="AW261" s="32" t="inlineStr"/>
      <c r="AX261" s="32" t="inlineStr"/>
      <c r="AY261" s="32" t="inlineStr"/>
      <c r="AZ261" s="32" t="inlineStr"/>
      <c r="BA261" s="32" t="inlineStr"/>
      <c r="BB261" s="33" t="inlineStr"/>
      <c r="BC261" s="32" t="inlineStr">
        <is>
          <t>UNKNOWN</t>
        </is>
      </c>
      <c r="BD261" s="32" t="inlineStr">
        <is>
          <t>28849641</t>
        </is>
      </c>
      <c r="BE261" s="32" t="n">
        <v>1</v>
      </c>
      <c r="BF261" s="32" t="inlineStr">
        <is>
          <t>financial by name list prints no totals no RFB record no route in</t>
        </is>
      </c>
    </row>
    <row r="262">
      <c r="A262" s="17" t="inlineStr">
        <is>
          <t>CAPITAL RS NP FUNDO DE INVESTIMENTO EM DIREITOS CREDITÓRIOS NÃO PADRONIZADOS MULTISSETORIAL (</t>
        </is>
      </c>
      <c r="B262" s="18" t="n">
        <v>1169956.13</v>
      </c>
      <c r="C262" s="19" t="inlineStr">
        <is>
          <t>VECTOR INDÚSTRIA DE PRODUTOS METALÚRGICOS LTDA.</t>
        </is>
      </c>
      <c r="D262" s="20" t="inlineStr">
        <is>
          <t>NEW</t>
        </is>
      </c>
      <c r="E262" s="21" t="inlineStr"/>
      <c r="F262" s="20" t="inlineStr"/>
      <c r="G262" s="21" t="inlineStr"/>
      <c r="H262" s="20" t="inlineStr"/>
      <c r="I262" s="22" t="inlineStr">
        <is>
          <t>Claudia Goulart</t>
        </is>
      </c>
      <c r="J262" s="22" t="inlineStr">
        <is>
          <t>Credit Analyst</t>
        </is>
      </c>
      <c r="K262" s="22" t="inlineStr"/>
      <c r="L262" s="22" t="inlineStr"/>
      <c r="M262" s="22" t="inlineStr"/>
      <c r="N262" s="22" t="inlineStr"/>
      <c r="O262" s="22" t="inlineStr"/>
      <c r="P262" s="22" t="inlineStr">
        <is>
          <t>Gabriele Vargas</t>
        </is>
      </c>
      <c r="Q262" s="22" t="inlineStr">
        <is>
          <t>Operational Manager</t>
        </is>
      </c>
      <c r="R262" s="22" t="inlineStr"/>
      <c r="S262" s="22" t="inlineStr">
        <is>
          <t>gabriele@capitalrs.com.br</t>
        </is>
      </c>
      <c r="T262" s="22" t="inlineStr">
        <is>
          <t>DM: DM; no work email in Apollo for DM; BACKUP: backup</t>
        </is>
      </c>
      <c r="U262" s="24" t="n">
        <v>1169956.13</v>
      </c>
      <c r="V262" s="39" t="inlineStr">
        <is>
          <t>C</t>
        </is>
      </c>
      <c r="W262" s="26" t="inlineStr"/>
      <c r="X262" s="27" t="inlineStr"/>
      <c r="Y262" s="27" t="inlineStr"/>
      <c r="Z262" s="26">
        <f>IF(W262&lt;&gt;"",W262,IFERROR(VLOOKUP(V262,Assumptions!$A$8:$F$12,2,FALSE),0))*Assumptions!$B$5</f>
        <v/>
      </c>
      <c r="AA262" s="28">
        <f>IF(V262="A",MAX(1,IF(X262&lt;&gt;"",X262,IFERROR(VLOOKUP(V262,Assumptions!$A$8:$F$12,3,FALSE),3))+IF(Y262&lt;&gt;"",Y262,IFERROR(VLOOKUP(V262,Assumptions!$A$8:$F$12,4,FALSE),8))/2-MAX(0,IF(AS262="",0,YEAR(TODAY())-AS262)-IFERROR(VLOOKUP(V262,Assumptions!$A$8:$F$12,5,FALSE),1.5))),IFERROR(VLOOKUP(V262,Assumptions!$A$8:$F$12,5,FALSE),2.5)+IF(X262&lt;&gt;"",X262,IFERROR(VLOOKUP(V262,Assumptions!$A$8:$F$12,3,FALSE),3))+IF(Y262&lt;&gt;"",Y262,IFERROR(VLOOKUP(V262,Assumptions!$A$8:$F$12,4,FALSE),8))/2)</f>
        <v/>
      </c>
      <c r="AB262" s="24">
        <f>U262*Z262/(1+Assumptions!$B$3)^AA262</f>
        <v/>
      </c>
      <c r="AC262" s="27">
        <f>IF(U262=0,"",ROUND(AB262/U262*100,1))</f>
        <v/>
      </c>
      <c r="AD262" s="29">
        <f>AB262*Assumptions!$B$4</f>
        <v/>
      </c>
      <c r="AE262" s="27">
        <f>IF(U262=0,"",ROUND(AD262/U262*100,1))</f>
        <v/>
      </c>
      <c r="AF262" s="29">
        <f>AB262-AD262</f>
        <v/>
      </c>
      <c r="AG262" s="27">
        <f>IF(U262=0,"",ROUND((AB262-AD262)/U262*100,1))</f>
        <v/>
      </c>
      <c r="AH262" s="34" t="inlineStr">
        <is>
          <t>NO TOTALS — list prints none; check page</t>
        </is>
      </c>
      <c r="AI262" s="31" t="inlineStr">
        <is>
          <t>https://scalzilliaj.com.br/sgc/download.php?file=files/processo_documento/processo_documento15513401112022_1_.pdf&amp;nome=15 - Edital do art. 7º, §2º (segunda lista de credores) e do art. 53 da Lei 11.101/2005 (recebimento do plano)</t>
        </is>
      </c>
      <c r="AJ262" s="30" t="inlineStr">
        <is>
          <t>p6 r10</t>
        </is>
      </c>
      <c r="AK262" s="30" t="inlineStr">
        <is>
          <t>p6: R$ 1.169.956,13</t>
        </is>
      </c>
      <c r="AL262" s="30" t="inlineStr">
        <is>
          <t>AJ list (art. 7 §2)</t>
        </is>
      </c>
      <c r="AM262" s="30" t="inlineStr">
        <is>
          <t>2022-11-01</t>
        </is>
      </c>
      <c r="AN262" s="30" t="inlineStr">
        <is>
          <t>NONE FOUND</t>
        </is>
      </c>
      <c r="AO262" s="32" t="inlineStr">
        <is>
          <t>5014104-85.2021.8.21.0010</t>
        </is>
      </c>
      <c r="AP262" s="32" t="inlineStr">
        <is>
          <t>TJRS</t>
        </is>
      </c>
      <c r="AQ262" s="32" t="inlineStr">
        <is>
          <t>Recuperação judicial</t>
        </is>
      </c>
      <c r="AR262" s="32" t="inlineStr">
        <is>
          <t>DataJud: no closure/falência movement</t>
        </is>
      </c>
      <c r="AS262" s="32" t="n">
        <v>2021</v>
      </c>
      <c r="AT262" s="32" t="inlineStr">
        <is>
          <t>5y since filing; plan not in our documents</t>
        </is>
      </c>
      <c r="AU262" s="32" t="inlineStr">
        <is>
          <t>03.018.339/0001-03</t>
        </is>
      </c>
      <c r="AV262" s="32" t="inlineStr">
        <is>
          <t>printed on the list (read twice)</t>
        </is>
      </c>
      <c r="AW262" s="32" t="inlineStr"/>
      <c r="AX262" s="32" t="inlineStr"/>
      <c r="AY262" s="32" t="inlineStr"/>
      <c r="AZ262" s="32" t="inlineStr"/>
      <c r="BA262" s="32" t="inlineStr"/>
      <c r="BB262" s="33" t="inlineStr"/>
      <c r="BC262" s="32" t="inlineStr">
        <is>
          <t>UNKNOWN</t>
        </is>
      </c>
      <c r="BD262" s="32" t="inlineStr">
        <is>
          <t>12910463</t>
        </is>
      </c>
      <c r="BE262" s="32" t="n">
        <v>1</v>
      </c>
      <c r="BF262" s="32" t="inlineStr">
        <is>
          <t>financial by name list prints no totals no RFB record</t>
        </is>
      </c>
    </row>
    <row r="263">
      <c r="A263" s="17" t="inlineStr">
        <is>
          <t>BANCO SANTANDER (BRASIL) S.A.</t>
        </is>
      </c>
      <c r="B263" s="18" t="n">
        <v>2126885.97</v>
      </c>
      <c r="C263" s="19" t="inlineStr">
        <is>
          <t>EQUIP SEG INTELIGÊNCIA EM SEGURANÇA LTDA. E EQUIP SEG SERVIÇOS ESPECIALIZADOS LTDA.</t>
        </is>
      </c>
      <c r="D263" s="20" t="inlineStr">
        <is>
          <t>NEW</t>
        </is>
      </c>
      <c r="E263" s="21" t="inlineStr"/>
      <c r="F263" s="20" t="inlineStr"/>
      <c r="G263" s="21" t="inlineStr"/>
      <c r="H263" s="20" t="inlineStr"/>
      <c r="I263" s="22" t="inlineStr">
        <is>
          <t>Igor Puertas</t>
        </is>
      </c>
      <c r="J263" s="22" t="inlineStr">
        <is>
          <t>Distressed Assets | NPL</t>
        </is>
      </c>
      <c r="K263" s="22" t="inlineStr">
        <is>
          <t>(11) 4004-3535</t>
        </is>
      </c>
      <c r="L263" s="22" t="inlineStr"/>
      <c r="M263" s="22" t="inlineStr"/>
      <c r="N263" s="22" t="inlineStr">
        <is>
          <t>igor.puertas@santander.com.br</t>
        </is>
      </c>
      <c r="O263" s="22" t="inlineStr">
        <is>
          <t>verified</t>
        </is>
      </c>
      <c r="P263" s="22" t="inlineStr">
        <is>
          <t>Antonio Junior</t>
        </is>
      </c>
      <c r="Q263" s="22" t="inlineStr">
        <is>
          <t>Superintendente Recuperação de Crédito</t>
        </is>
      </c>
      <c r="R263" s="22" t="inlineStr"/>
      <c r="S263" s="22" t="inlineStr">
        <is>
          <t>antonio.pequeno.junior@santander.com.br</t>
        </is>
      </c>
      <c r="T263" s="22" t="inlineStr">
        <is>
          <t>DM: DM; BACKUP: backup</t>
        </is>
      </c>
      <c r="U263" s="24" t="n">
        <v>2126885.97</v>
      </c>
      <c r="V263" s="40" t="inlineStr">
        <is>
          <t>D</t>
        </is>
      </c>
      <c r="W263" s="26" t="inlineStr"/>
      <c r="X263" s="27" t="inlineStr"/>
      <c r="Y263" s="27" t="inlineStr"/>
      <c r="Z263" s="26">
        <f>IF(W263&lt;&gt;"",W263,IFERROR(VLOOKUP(V263,Assumptions!$A$8:$F$12,2,FALSE),0))*Assumptions!$B$5</f>
        <v/>
      </c>
      <c r="AA263" s="28">
        <f>IF(V263="A",MAX(1,IF(X263&lt;&gt;"",X263,IFERROR(VLOOKUP(V263,Assumptions!$A$8:$F$12,3,FALSE),3))+IF(Y263&lt;&gt;"",Y263,IFERROR(VLOOKUP(V263,Assumptions!$A$8:$F$12,4,FALSE),8))/2-MAX(0,IF(AS263="",0,YEAR(TODAY())-AS263)-IFERROR(VLOOKUP(V263,Assumptions!$A$8:$F$12,5,FALSE),1.5))),IFERROR(VLOOKUP(V263,Assumptions!$A$8:$F$12,5,FALSE),2.5)+IF(X263&lt;&gt;"",X263,IFERROR(VLOOKUP(V263,Assumptions!$A$8:$F$12,3,FALSE),3))+IF(Y263&lt;&gt;"",Y263,IFERROR(VLOOKUP(V263,Assumptions!$A$8:$F$12,4,FALSE),8))/2)</f>
        <v/>
      </c>
      <c r="AB263" s="24">
        <f>U263*Z263/(1+Assumptions!$B$3)^AA263</f>
        <v/>
      </c>
      <c r="AC263" s="27">
        <f>IF(U263=0,"",ROUND(AB263/U263*100,1))</f>
        <v/>
      </c>
      <c r="AD263" s="29">
        <f>AB263*Assumptions!$B$4</f>
        <v/>
      </c>
      <c r="AE263" s="27">
        <f>IF(U263=0,"",ROUND(AD263/U263*100,1))</f>
        <v/>
      </c>
      <c r="AF263" s="29">
        <f>AB263-AD263</f>
        <v/>
      </c>
      <c r="AG263" s="27">
        <f>IF(U263=0,"",ROUND((AB263-AD263)/U263*100,1))</f>
        <v/>
      </c>
      <c r="AH263" s="34" t="inlineStr">
        <is>
          <t>NO TOTALS — list prints none; check page</t>
        </is>
      </c>
      <c r="AI263" s="31" t="inlineStr">
        <is>
          <t>https://bbsadvogados.com.br/wp-content/uploads/2025/04/Equipseg-Edital-Relacao-de-Credores-da-Administradora-Judicial-art.-7o2o-da-LRF.pdf</t>
        </is>
      </c>
      <c r="AJ263" s="30" t="inlineStr">
        <is>
          <t>p38 r8</t>
        </is>
      </c>
      <c r="AK263" s="30" t="inlineStr">
        <is>
          <t>p38: R$ 2.126.885,97</t>
        </is>
      </c>
      <c r="AL263" s="30" t="inlineStr">
        <is>
          <t>AJ list (art. 7 §2)</t>
        </is>
      </c>
      <c r="AM263" s="30" t="inlineStr">
        <is>
          <t>2025-04-08</t>
        </is>
      </c>
      <c r="AN263" s="30" t="inlineStr">
        <is>
          <t>NONE FOUND</t>
        </is>
      </c>
      <c r="AO263" s="32" t="inlineStr">
        <is>
          <t>0033736-15.2023.8.16.0185</t>
        </is>
      </c>
      <c r="AP263" s="32" t="inlineStr">
        <is>
          <t>TJPR</t>
        </is>
      </c>
      <c r="AQ263" s="32" t="inlineStr">
        <is>
          <t>Falência</t>
        </is>
      </c>
      <c r="AR263" s="32" t="inlineStr">
        <is>
          <t>not in DataJud</t>
        </is>
      </c>
      <c r="AS263" s="32" t="n">
        <v>2023</v>
      </c>
      <c r="AT263" s="32" t="inlineStr">
        <is>
          <t>falência proceeding (list/name says falida)</t>
        </is>
      </c>
      <c r="AU263" s="32" t="inlineStr"/>
      <c r="AV263" s="32" t="inlineStr">
        <is>
          <t>printed on the list (read twice)</t>
        </is>
      </c>
      <c r="AW263" s="32" t="inlineStr"/>
      <c r="AX263" s="32" t="inlineStr">
        <is>
          <t>SAO PAULO</t>
        </is>
      </c>
      <c r="AY263" s="32" t="inlineStr">
        <is>
          <t>SP</t>
        </is>
      </c>
      <c r="AZ263" s="32" t="inlineStr">
        <is>
          <t>Bancos múltiplos, com carteira comercial</t>
        </is>
      </c>
      <c r="BA263" s="32" t="inlineStr">
        <is>
          <t>não ME/EPP</t>
        </is>
      </c>
      <c r="BB263" s="33" t="n">
        <v>65000000000</v>
      </c>
      <c r="BC263" s="32" t="inlineStr">
        <is>
          <t>LARGE CORP</t>
        </is>
      </c>
      <c r="BD263" s="32" t="inlineStr">
        <is>
          <t>90400888</t>
        </is>
      </c>
      <c r="BE263" s="32" t="n">
        <v>1</v>
      </c>
      <c r="BF263" s="32" t="inlineStr">
        <is>
          <t>financial by name list prints no totals</t>
        </is>
      </c>
    </row>
    <row r="264">
      <c r="A264" s="17" t="inlineStr">
        <is>
          <t>COOPERATIVA DE CREDITO E ECONOMIA COM INTERACAO SOLIDARIA DE CHAPECO - CRESOL CHAPECO (</t>
        </is>
      </c>
      <c r="B264" s="18" t="n">
        <v>295395.13</v>
      </c>
      <c r="C264" s="19" t="inlineStr">
        <is>
          <t>GAMAC IMPORTACAO E EXPORTACAO LTDA (EM RECUPERAÇÃO JUDICIAL)</t>
        </is>
      </c>
      <c r="D264" s="20" t="inlineStr">
        <is>
          <t>NEW</t>
        </is>
      </c>
      <c r="E264" s="21" t="inlineStr"/>
      <c r="F264" s="20" t="inlineStr"/>
      <c r="G264" s="21" t="inlineStr"/>
      <c r="H264" s="20" t="inlineStr"/>
      <c r="I264" s="22" t="inlineStr"/>
      <c r="J264" s="22" t="inlineStr"/>
      <c r="K264" s="22" t="inlineStr"/>
      <c r="L264" s="22" t="inlineStr"/>
      <c r="M264" s="22" t="inlineStr"/>
      <c r="N264" s="22" t="inlineStr"/>
      <c r="O264" s="22" t="inlineStr"/>
      <c r="P264" s="22" t="inlineStr"/>
      <c r="Q264" s="22" t="inlineStr"/>
      <c r="R264" s="22" t="inlineStr"/>
      <c r="S264" s="22" t="inlineStr"/>
      <c r="T264" s="22" t="inlineStr">
        <is>
          <t>no named contact found; NO ROUTE IN: no phone or email on file</t>
        </is>
      </c>
      <c r="U264" s="24" t="n">
        <v>295395.13</v>
      </c>
      <c r="V264" s="25" t="inlineStr">
        <is>
          <t>B</t>
        </is>
      </c>
      <c r="W264" s="26" t="inlineStr"/>
      <c r="X264" s="27" t="inlineStr"/>
      <c r="Y264" s="27" t="inlineStr"/>
      <c r="Z264" s="26">
        <f>IF(W264&lt;&gt;"",W264,IFERROR(VLOOKUP(V264,Assumptions!$A$8:$F$12,2,FALSE),0))*Assumptions!$B$5</f>
        <v/>
      </c>
      <c r="AA264" s="28">
        <f>IF(V264="A",MAX(1,IF(X264&lt;&gt;"",X264,IFERROR(VLOOKUP(V264,Assumptions!$A$8:$F$12,3,FALSE),3))+IF(Y264&lt;&gt;"",Y264,IFERROR(VLOOKUP(V264,Assumptions!$A$8:$F$12,4,FALSE),8))/2-MAX(0,IF(AS264="",0,YEAR(TODAY())-AS264)-IFERROR(VLOOKUP(V264,Assumptions!$A$8:$F$12,5,FALSE),1.5))),IFERROR(VLOOKUP(V264,Assumptions!$A$8:$F$12,5,FALSE),2.5)+IF(X264&lt;&gt;"",X264,IFERROR(VLOOKUP(V264,Assumptions!$A$8:$F$12,3,FALSE),3))+IF(Y264&lt;&gt;"",Y264,IFERROR(VLOOKUP(V264,Assumptions!$A$8:$F$12,4,FALSE),8))/2)</f>
        <v/>
      </c>
      <c r="AB264" s="24">
        <f>U264*Z264/(1+Assumptions!$B$3)^AA264</f>
        <v/>
      </c>
      <c r="AC264" s="27">
        <f>IF(U264=0,"",ROUND(AB264/U264*100,1))</f>
        <v/>
      </c>
      <c r="AD264" s="29">
        <f>AB264*Assumptions!$B$4</f>
        <v/>
      </c>
      <c r="AE264" s="27">
        <f>IF(U264=0,"",ROUND(AD264/U264*100,1))</f>
        <v/>
      </c>
      <c r="AF264" s="29">
        <f>AB264-AD264</f>
        <v/>
      </c>
      <c r="AG264" s="27">
        <f>IF(U264=0,"",ROUND((AB264-AD264)/U264*100,1))</f>
        <v/>
      </c>
      <c r="AH264" s="34" t="inlineStr">
        <is>
          <t>NO TOTALS — list prints none; check page</t>
        </is>
      </c>
      <c r="AI264" s="31" t="inlineStr">
        <is>
          <t>https://scalzilliaj.com.br/sgc/download.php?file=files/processo_documento/processo_documento10141405032024_1_.pdf&amp;nome=10 - Edital do art. 7º, §2º da Lei 11.101/2005 (segunda lista de credores)</t>
        </is>
      </c>
      <c r="AJ264" s="30" t="inlineStr">
        <is>
          <t>p2 r3</t>
        </is>
      </c>
      <c r="AK264" s="30" t="inlineStr">
        <is>
          <t>p2: R$ 295.395,13</t>
        </is>
      </c>
      <c r="AL264" s="30" t="inlineStr">
        <is>
          <t>QGC (art. 18)</t>
        </is>
      </c>
      <c r="AM264" s="30" t="inlineStr">
        <is>
          <t>2024-03-05</t>
        </is>
      </c>
      <c r="AN264" s="30" t="inlineStr">
        <is>
          <t>NONE FOUND</t>
        </is>
      </c>
      <c r="AO264" s="32" t="inlineStr">
        <is>
          <t>5012295-78.2023.8.24.0019</t>
        </is>
      </c>
      <c r="AP264" s="32" t="inlineStr">
        <is>
          <t>TJSC</t>
        </is>
      </c>
      <c r="AQ264" s="32" t="inlineStr">
        <is>
          <t>Recuperação judicial</t>
        </is>
      </c>
      <c r="AR264" s="32" t="inlineStr">
        <is>
          <t>DataJud: no closure/falência movement</t>
        </is>
      </c>
      <c r="AS264" s="32" t="n">
        <v>2023</v>
      </c>
      <c r="AT264" s="32" t="inlineStr">
        <is>
          <t>live case, no plan document yet</t>
        </is>
      </c>
      <c r="AU264" s="32" t="inlineStr"/>
      <c r="AV264" s="32" t="inlineStr">
        <is>
          <t>printed on the list (read twice)</t>
        </is>
      </c>
      <c r="AW264" s="32" t="inlineStr"/>
      <c r="AX264" s="32" t="inlineStr"/>
      <c r="AY264" s="32" t="inlineStr"/>
      <c r="AZ264" s="32" t="inlineStr"/>
      <c r="BA264" s="32" t="inlineStr"/>
      <c r="BB264" s="33" t="inlineStr"/>
      <c r="BC264" s="32" t="inlineStr">
        <is>
          <t>UNKNOWN</t>
        </is>
      </c>
      <c r="BD264" s="32" t="inlineStr">
        <is>
          <t>04281182</t>
        </is>
      </c>
      <c r="BE264" s="32" t="n">
        <v>1</v>
      </c>
      <c r="BF264" s="32" t="inlineStr">
        <is>
          <t>financial by name list prints no totals no RFB record no route in</t>
        </is>
      </c>
    </row>
    <row r="265">
      <c r="A265" s="17" t="inlineStr">
        <is>
          <t>OXSS SECURITIZADORA S/A. (</t>
        </is>
      </c>
      <c r="B265" s="18" t="n">
        <v>1150184.84</v>
      </c>
      <c r="C265" s="19" t="inlineStr">
        <is>
          <t>VECTOR INDÚSTRIA DE PRODUTOS METALÚRGICOS LTDA.</t>
        </is>
      </c>
      <c r="D265" s="20" t="inlineStr">
        <is>
          <t>NEW</t>
        </is>
      </c>
      <c r="E265" s="21" t="inlineStr"/>
      <c r="F265" s="20" t="inlineStr"/>
      <c r="G265" s="21" t="inlineStr"/>
      <c r="H265" s="20" t="inlineStr"/>
      <c r="I265" s="22" t="inlineStr"/>
      <c r="J265" s="22" t="inlineStr"/>
      <c r="K265" s="22" t="inlineStr"/>
      <c r="L265" s="22" t="inlineStr"/>
      <c r="M265" s="22" t="inlineStr"/>
      <c r="N265" s="22" t="inlineStr"/>
      <c r="O265" s="22" t="inlineStr"/>
      <c r="P265" s="22" t="inlineStr"/>
      <c r="Q265" s="22" t="inlineStr"/>
      <c r="R265" s="22" t="inlineStr"/>
      <c r="S265" s="22" t="inlineStr"/>
      <c r="T265" s="22" t="inlineStr">
        <is>
          <t>no named contact found; NO ROUTE IN: no phone or email on file</t>
        </is>
      </c>
      <c r="U265" s="24" t="n">
        <v>1150184.84</v>
      </c>
      <c r="V265" s="39" t="inlineStr">
        <is>
          <t>C</t>
        </is>
      </c>
      <c r="W265" s="26" t="inlineStr"/>
      <c r="X265" s="27" t="inlineStr"/>
      <c r="Y265" s="27" t="inlineStr"/>
      <c r="Z265" s="26">
        <f>IF(W265&lt;&gt;"",W265,IFERROR(VLOOKUP(V265,Assumptions!$A$8:$F$12,2,FALSE),0))*Assumptions!$B$5</f>
        <v/>
      </c>
      <c r="AA265" s="28">
        <f>IF(V265="A",MAX(1,IF(X265&lt;&gt;"",X265,IFERROR(VLOOKUP(V265,Assumptions!$A$8:$F$12,3,FALSE),3))+IF(Y265&lt;&gt;"",Y265,IFERROR(VLOOKUP(V265,Assumptions!$A$8:$F$12,4,FALSE),8))/2-MAX(0,IF(AS265="",0,YEAR(TODAY())-AS265)-IFERROR(VLOOKUP(V265,Assumptions!$A$8:$F$12,5,FALSE),1.5))),IFERROR(VLOOKUP(V265,Assumptions!$A$8:$F$12,5,FALSE),2.5)+IF(X265&lt;&gt;"",X265,IFERROR(VLOOKUP(V265,Assumptions!$A$8:$F$12,3,FALSE),3))+IF(Y265&lt;&gt;"",Y265,IFERROR(VLOOKUP(V265,Assumptions!$A$8:$F$12,4,FALSE),8))/2)</f>
        <v/>
      </c>
      <c r="AB265" s="24">
        <f>U265*Z265/(1+Assumptions!$B$3)^AA265</f>
        <v/>
      </c>
      <c r="AC265" s="27">
        <f>IF(U265=0,"",ROUND(AB265/U265*100,1))</f>
        <v/>
      </c>
      <c r="AD265" s="29">
        <f>AB265*Assumptions!$B$4</f>
        <v/>
      </c>
      <c r="AE265" s="27">
        <f>IF(U265=0,"",ROUND(AD265/U265*100,1))</f>
        <v/>
      </c>
      <c r="AF265" s="29">
        <f>AB265-AD265</f>
        <v/>
      </c>
      <c r="AG265" s="27">
        <f>IF(U265=0,"",ROUND((AB265-AD265)/U265*100,1))</f>
        <v/>
      </c>
      <c r="AH265" s="34" t="inlineStr">
        <is>
          <t>NO TOTALS — list prints none; check page</t>
        </is>
      </c>
      <c r="AI265" s="31" t="inlineStr">
        <is>
          <t>https://scalzilliaj.com.br/sgc/download.php?file=files/processo_documento/processo_documento15513401112022_1_.pdf&amp;nome=15 - Edital do art. 7º, §2º (segunda lista de credores) e do art. 53 da Lei 11.101/2005 (recebimento do plano)</t>
        </is>
      </c>
      <c r="AJ265" s="30" t="inlineStr">
        <is>
          <t>p8 r39</t>
        </is>
      </c>
      <c r="AK265" s="30" t="inlineStr">
        <is>
          <t>p8: R$ 1.150.184,84</t>
        </is>
      </c>
      <c r="AL265" s="30" t="inlineStr">
        <is>
          <t>AJ list (art. 7 §2)</t>
        </is>
      </c>
      <c r="AM265" s="30" t="inlineStr">
        <is>
          <t>2022-11-01</t>
        </is>
      </c>
      <c r="AN265" s="30" t="inlineStr">
        <is>
          <t>NONE FOUND</t>
        </is>
      </c>
      <c r="AO265" s="32" t="inlineStr">
        <is>
          <t>5014104-85.2021.8.21.0010</t>
        </is>
      </c>
      <c r="AP265" s="32" t="inlineStr">
        <is>
          <t>TJRS</t>
        </is>
      </c>
      <c r="AQ265" s="32" t="inlineStr">
        <is>
          <t>Recuperação judicial</t>
        </is>
      </c>
      <c r="AR265" s="32" t="inlineStr">
        <is>
          <t>DataJud: no closure/falência movement</t>
        </is>
      </c>
      <c r="AS265" s="32" t="n">
        <v>2021</v>
      </c>
      <c r="AT265" s="32" t="inlineStr">
        <is>
          <t>5y since filing; plan not in our documents</t>
        </is>
      </c>
      <c r="AU265" s="32" t="inlineStr">
        <is>
          <t>03.018.339/0001-03</t>
        </is>
      </c>
      <c r="AV265" s="32" t="inlineStr">
        <is>
          <t>printed on the list (read twice)</t>
        </is>
      </c>
      <c r="AW265" s="32" t="inlineStr"/>
      <c r="AX265" s="32" t="inlineStr"/>
      <c r="AY265" s="32" t="inlineStr"/>
      <c r="AZ265" s="32" t="inlineStr"/>
      <c r="BA265" s="32" t="inlineStr"/>
      <c r="BB265" s="33" t="inlineStr"/>
      <c r="BC265" s="32" t="inlineStr">
        <is>
          <t>UNKNOWN</t>
        </is>
      </c>
      <c r="BD265" s="32" t="inlineStr">
        <is>
          <t>18329685</t>
        </is>
      </c>
      <c r="BE265" s="32" t="n">
        <v>1</v>
      </c>
      <c r="BF265" s="32" t="inlineStr">
        <is>
          <t>financial by name list prints no totals no RFB record no route in</t>
        </is>
      </c>
    </row>
    <row r="266">
      <c r="A266" s="17" t="inlineStr">
        <is>
          <t>HARPIA FUNDO DE INVESTIMENTO EM DIREITOS CREDITORIOS (A</t>
        </is>
      </c>
      <c r="B266" s="18" t="n">
        <v>293905.93</v>
      </c>
      <c r="C266" s="19" t="inlineStr">
        <is>
          <t>GRUPO DIVINA</t>
        </is>
      </c>
      <c r="D266" s="20" t="inlineStr">
        <is>
          <t>NEW</t>
        </is>
      </c>
      <c r="E266" s="21" t="inlineStr"/>
      <c r="F266" s="20" t="inlineStr"/>
      <c r="G266" s="21" t="inlineStr"/>
      <c r="H266" s="20" t="inlineStr"/>
      <c r="I266" s="22" t="inlineStr"/>
      <c r="J266" s="22" t="inlineStr"/>
      <c r="K266" s="22" t="inlineStr"/>
      <c r="L266" s="22" t="inlineStr"/>
      <c r="M266" s="22" t="inlineStr"/>
      <c r="N266" s="22" t="inlineStr"/>
      <c r="O266" s="22" t="inlineStr"/>
      <c r="P266" s="22" t="inlineStr"/>
      <c r="Q266" s="22" t="inlineStr"/>
      <c r="R266" s="22" t="inlineStr"/>
      <c r="S266" s="22" t="inlineStr"/>
      <c r="T266" s="22" t="inlineStr">
        <is>
          <t>no named contact found; NO ROUTE IN: no phone or email on file</t>
        </is>
      </c>
      <c r="U266" s="24" t="n">
        <v>293905.93</v>
      </c>
      <c r="V266" s="25" t="inlineStr">
        <is>
          <t>B</t>
        </is>
      </c>
      <c r="W266" s="26" t="inlineStr"/>
      <c r="X266" s="27" t="inlineStr"/>
      <c r="Y266" s="27" t="inlineStr"/>
      <c r="Z266" s="26">
        <f>IF(W266&lt;&gt;"",W266,IFERROR(VLOOKUP(V266,Assumptions!$A$8:$F$12,2,FALSE),0))*Assumptions!$B$5</f>
        <v/>
      </c>
      <c r="AA266" s="28">
        <f>IF(V266="A",MAX(1,IF(X266&lt;&gt;"",X266,IFERROR(VLOOKUP(V266,Assumptions!$A$8:$F$12,3,FALSE),3))+IF(Y266&lt;&gt;"",Y266,IFERROR(VLOOKUP(V266,Assumptions!$A$8:$F$12,4,FALSE),8))/2-MAX(0,IF(AS266="",0,YEAR(TODAY())-AS266)-IFERROR(VLOOKUP(V266,Assumptions!$A$8:$F$12,5,FALSE),1.5))),IFERROR(VLOOKUP(V266,Assumptions!$A$8:$F$12,5,FALSE),2.5)+IF(X266&lt;&gt;"",X266,IFERROR(VLOOKUP(V266,Assumptions!$A$8:$F$12,3,FALSE),3))+IF(Y266&lt;&gt;"",Y266,IFERROR(VLOOKUP(V266,Assumptions!$A$8:$F$12,4,FALSE),8))/2)</f>
        <v/>
      </c>
      <c r="AB266" s="24">
        <f>U266*Z266/(1+Assumptions!$B$3)^AA266</f>
        <v/>
      </c>
      <c r="AC266" s="27">
        <f>IF(U266=0,"",ROUND(AB266/U266*100,1))</f>
        <v/>
      </c>
      <c r="AD266" s="29">
        <f>AB266*Assumptions!$B$4</f>
        <v/>
      </c>
      <c r="AE266" s="27">
        <f>IF(U266=0,"",ROUND(AD266/U266*100,1))</f>
        <v/>
      </c>
      <c r="AF266" s="29">
        <f>AB266-AD266</f>
        <v/>
      </c>
      <c r="AG266" s="27">
        <f>IF(U266=0,"",ROUND((AB266-AD266)/U266*100,1))</f>
        <v/>
      </c>
      <c r="AH266" s="35" t="inlineStr">
        <is>
          <t>PARTIAL — class III reconciled, other classes not</t>
        </is>
      </c>
      <c r="AI266" s="31" t="inlineStr">
        <is>
          <t>https://lrflideres.com.br/wp-content/plugins/download-attachments/includes/download.php?id=6252</t>
        </is>
      </c>
      <c r="AJ266" s="30" t="inlineStr">
        <is>
          <t>p2 r49</t>
        </is>
      </c>
      <c r="AK266" s="30" t="inlineStr">
        <is>
          <t>p2: R$ 293.905,93</t>
        </is>
      </c>
      <c r="AL266" s="30" t="inlineStr">
        <is>
          <t>AJ list (art. 7 §2)</t>
        </is>
      </c>
      <c r="AM266" s="30" t="inlineStr">
        <is>
          <t>2024-11-27</t>
        </is>
      </c>
      <c r="AN266" s="30" t="inlineStr">
        <is>
          <t>NONE FOUND</t>
        </is>
      </c>
      <c r="AO266" s="32" t="inlineStr">
        <is>
          <t>0000721-61.2024.8.17.2620</t>
        </is>
      </c>
      <c r="AP266" s="32" t="inlineStr">
        <is>
          <t>TJPE</t>
        </is>
      </c>
      <c r="AQ266" s="32" t="inlineStr">
        <is>
          <t>Recuperação judicial</t>
        </is>
      </c>
      <c r="AR266" s="32" t="inlineStr">
        <is>
          <t>DataJud: no closure/falência movement</t>
        </is>
      </c>
      <c r="AS266" s="32" t="n">
        <v>2024</v>
      </c>
      <c r="AT266" s="32" t="inlineStr">
        <is>
          <t>live case, no plan document yet</t>
        </is>
      </c>
      <c r="AU266" s="32" t="inlineStr">
        <is>
          <t>08.785.522/0001-58</t>
        </is>
      </c>
      <c r="AV266" s="32" t="inlineStr">
        <is>
          <t>printed on the list (read twice)</t>
        </is>
      </c>
      <c r="AW266" s="32" t="inlineStr"/>
      <c r="AX266" s="32" t="inlineStr"/>
      <c r="AY266" s="32" t="inlineStr"/>
      <c r="AZ266" s="32" t="inlineStr"/>
      <c r="BA266" s="32" t="inlineStr"/>
      <c r="BB266" s="33" t="inlineStr"/>
      <c r="BC266" s="32" t="inlineStr">
        <is>
          <t>UNKNOWN</t>
        </is>
      </c>
      <c r="BD266" s="32" t="inlineStr">
        <is>
          <t>20057764</t>
        </is>
      </c>
      <c r="BE266" s="32" t="n">
        <v>1</v>
      </c>
      <c r="BF266" s="32" t="inlineStr">
        <is>
          <t>financial by name class III reconciled (doc partial) no RFB record no route in</t>
        </is>
      </c>
    </row>
    <row r="267">
      <c r="A267" s="17" t="inlineStr">
        <is>
          <t>BANCO PACCAR S.A.</t>
        </is>
      </c>
      <c r="B267" s="18" t="n">
        <v>293344.31</v>
      </c>
      <c r="C267" s="19" t="inlineStr">
        <is>
          <t>GRUPO DIVINA</t>
        </is>
      </c>
      <c r="D267" s="20" t="inlineStr">
        <is>
          <t>NEW</t>
        </is>
      </c>
      <c r="E267" s="21" t="inlineStr"/>
      <c r="F267" s="20" t="inlineStr"/>
      <c r="G267" s="21" t="inlineStr"/>
      <c r="H267" s="20" t="inlineStr"/>
      <c r="I267" s="22" t="inlineStr">
        <is>
          <t>Mariane Emrich</t>
        </is>
      </c>
      <c r="J267" s="22" t="inlineStr">
        <is>
          <t>Gerente de Cobrança Banco Paccar S. A.</t>
        </is>
      </c>
      <c r="K267" s="22" t="inlineStr">
        <is>
          <t>(42) 3122-9218</t>
        </is>
      </c>
      <c r="L267" s="22" t="inlineStr"/>
      <c r="M267" s="22" t="inlineStr"/>
      <c r="N267" s="22" t="inlineStr">
        <is>
          <t>mariane.emrich@paccar.com</t>
        </is>
      </c>
      <c r="O267" s="22" t="inlineStr">
        <is>
          <t>verified</t>
        </is>
      </c>
      <c r="P267" s="22" t="inlineStr">
        <is>
          <t>ALESSANDRA BRITO FUJIOKA</t>
        </is>
      </c>
      <c r="Q267" s="22" t="inlineStr">
        <is>
          <t>Diretor (RFB partner)</t>
        </is>
      </c>
      <c r="R267" s="22" t="inlineStr"/>
      <c r="S267" s="22" t="inlineStr"/>
      <c r="T267" s="22" t="inlineStr">
        <is>
          <t>DM: DM verified email</t>
        </is>
      </c>
      <c r="U267" s="24" t="n">
        <v>293344.31</v>
      </c>
      <c r="V267" s="25" t="inlineStr">
        <is>
          <t>B</t>
        </is>
      </c>
      <c r="W267" s="26" t="inlineStr"/>
      <c r="X267" s="27" t="inlineStr"/>
      <c r="Y267" s="27" t="inlineStr"/>
      <c r="Z267" s="26">
        <f>IF(W267&lt;&gt;"",W267,IFERROR(VLOOKUP(V267,Assumptions!$A$8:$F$12,2,FALSE),0))*Assumptions!$B$5</f>
        <v/>
      </c>
      <c r="AA267" s="28">
        <f>IF(V267="A",MAX(1,IF(X267&lt;&gt;"",X267,IFERROR(VLOOKUP(V267,Assumptions!$A$8:$F$12,3,FALSE),3))+IF(Y267&lt;&gt;"",Y267,IFERROR(VLOOKUP(V267,Assumptions!$A$8:$F$12,4,FALSE),8))/2-MAX(0,IF(AS267="",0,YEAR(TODAY())-AS267)-IFERROR(VLOOKUP(V267,Assumptions!$A$8:$F$12,5,FALSE),1.5))),IFERROR(VLOOKUP(V267,Assumptions!$A$8:$F$12,5,FALSE),2.5)+IF(X267&lt;&gt;"",X267,IFERROR(VLOOKUP(V267,Assumptions!$A$8:$F$12,3,FALSE),3))+IF(Y267&lt;&gt;"",Y267,IFERROR(VLOOKUP(V267,Assumptions!$A$8:$F$12,4,FALSE),8))/2)</f>
        <v/>
      </c>
      <c r="AB267" s="24">
        <f>U267*Z267/(1+Assumptions!$B$3)^AA267</f>
        <v/>
      </c>
      <c r="AC267" s="27">
        <f>IF(U267=0,"",ROUND(AB267/U267*100,1))</f>
        <v/>
      </c>
      <c r="AD267" s="29">
        <f>AB267*Assumptions!$B$4</f>
        <v/>
      </c>
      <c r="AE267" s="27">
        <f>IF(U267=0,"",ROUND(AD267/U267*100,1))</f>
        <v/>
      </c>
      <c r="AF267" s="29">
        <f>AB267-AD267</f>
        <v/>
      </c>
      <c r="AG267" s="27">
        <f>IF(U267=0,"",ROUND((AB267-AD267)/U267*100,1))</f>
        <v/>
      </c>
      <c r="AH267" s="35" t="inlineStr">
        <is>
          <t>PARTIAL — class III reconciled, other classes not</t>
        </is>
      </c>
      <c r="AI267" s="31" t="inlineStr">
        <is>
          <t>https://lrflideres.com.br/wp-content/plugins/download-attachments/includes/download.php?id=6252</t>
        </is>
      </c>
      <c r="AJ267" s="30" t="inlineStr">
        <is>
          <t>p2 r68</t>
        </is>
      </c>
      <c r="AK267" s="30" t="inlineStr">
        <is>
          <t>p2: R$ 293.344,31</t>
        </is>
      </c>
      <c r="AL267" s="30" t="inlineStr">
        <is>
          <t>AJ list (art. 7 §2)</t>
        </is>
      </c>
      <c r="AM267" s="30" t="inlineStr">
        <is>
          <t>2024-11-27</t>
        </is>
      </c>
      <c r="AN267" s="30" t="inlineStr">
        <is>
          <t>NONE FOUND</t>
        </is>
      </c>
      <c r="AO267" s="32" t="inlineStr">
        <is>
          <t>0000721-61.2024.8.17.2620</t>
        </is>
      </c>
      <c r="AP267" s="32" t="inlineStr">
        <is>
          <t>TJPE</t>
        </is>
      </c>
      <c r="AQ267" s="32" t="inlineStr">
        <is>
          <t>Recuperação judicial</t>
        </is>
      </c>
      <c r="AR267" s="32" t="inlineStr">
        <is>
          <t>DataJud: no closure/falência movement</t>
        </is>
      </c>
      <c r="AS267" s="32" t="n">
        <v>2024</v>
      </c>
      <c r="AT267" s="32" t="inlineStr">
        <is>
          <t>live case, no plan document yet</t>
        </is>
      </c>
      <c r="AU267" s="32" t="inlineStr">
        <is>
          <t>08.785.522/0001-58</t>
        </is>
      </c>
      <c r="AV267" s="32" t="inlineStr">
        <is>
          <t>printed on the list (read twice)</t>
        </is>
      </c>
      <c r="AW267" s="32" t="inlineStr"/>
      <c r="AX267" s="32" t="inlineStr">
        <is>
          <t>PONTA GROSSA</t>
        </is>
      </c>
      <c r="AY267" s="32" t="inlineStr">
        <is>
          <t>PR</t>
        </is>
      </c>
      <c r="AZ267" s="32" t="inlineStr">
        <is>
          <t>Bancos múltiplos, sem carteira comercial</t>
        </is>
      </c>
      <c r="BA267" s="32" t="inlineStr">
        <is>
          <t>não ME/EPP</t>
        </is>
      </c>
      <c r="BB267" s="33" t="n">
        <v>2685471000</v>
      </c>
      <c r="BC267" s="32" t="inlineStr">
        <is>
          <t>LARGE CORP</t>
        </is>
      </c>
      <c r="BD267" s="32" t="inlineStr">
        <is>
          <t>28517628</t>
        </is>
      </c>
      <c r="BE267" s="32" t="n">
        <v>1</v>
      </c>
      <c r="BF267" s="32" t="inlineStr">
        <is>
          <t>class III reconciled (doc partial)</t>
        </is>
      </c>
    </row>
    <row r="268">
      <c r="A268" s="17" t="inlineStr">
        <is>
          <t>Cooperativa de Crédito, Poupança e Investimento da Região Centro Oeste Paulista - Sicredi Centro Oeste Paulista</t>
        </is>
      </c>
      <c r="B268" s="18" t="n">
        <v>289547.95</v>
      </c>
      <c r="C268" s="19" t="inlineStr">
        <is>
          <t>FRIGORÍFICO ALFA INDÚSTRIA E COMÉRCIO DE CARNES E DERIVADOS LTDA e CTX LOGÍSTICA, TRANSPORTE E LOCAÇÕES LTDA</t>
        </is>
      </c>
      <c r="D268" s="20" t="inlineStr">
        <is>
          <t>NEW</t>
        </is>
      </c>
      <c r="E268" s="21" t="inlineStr"/>
      <c r="F268" s="20" t="inlineStr"/>
      <c r="G268" s="21" t="inlineStr"/>
      <c r="H268" s="20" t="inlineStr"/>
      <c r="I268" s="22" t="inlineStr">
        <is>
          <t>Renata Coelho</t>
        </is>
      </c>
      <c r="J268" s="22" t="inlineStr">
        <is>
          <t>Recuperação de Crédito</t>
        </is>
      </c>
      <c r="K268" s="22" t="inlineStr"/>
      <c r="L268" s="22" t="inlineStr"/>
      <c r="M268" s="22" t="inlineStr"/>
      <c r="N268" s="22" t="inlineStr">
        <is>
          <t>renata_coelho@sicredi.com.br</t>
        </is>
      </c>
      <c r="O268" s="22" t="inlineStr">
        <is>
          <t>verified</t>
        </is>
      </c>
      <c r="P268" s="22" t="inlineStr"/>
      <c r="Q268" s="22" t="inlineStr"/>
      <c r="R268" s="22" t="inlineStr"/>
      <c r="S268" s="22" t="inlineStr"/>
      <c r="T268" s="22" t="inlineStr">
        <is>
          <t>DM: DM</t>
        </is>
      </c>
      <c r="U268" s="24" t="n">
        <v>289547.95</v>
      </c>
      <c r="V268" s="25" t="inlineStr">
        <is>
          <t>B</t>
        </is>
      </c>
      <c r="W268" s="26" t="inlineStr"/>
      <c r="X268" s="27" t="inlineStr"/>
      <c r="Y268" s="27" t="inlineStr"/>
      <c r="Z268" s="26">
        <f>IF(W268&lt;&gt;"",W268,IFERROR(VLOOKUP(V268,Assumptions!$A$8:$F$12,2,FALSE),0))*Assumptions!$B$5</f>
        <v/>
      </c>
      <c r="AA268" s="28">
        <f>IF(V268="A",MAX(1,IF(X268&lt;&gt;"",X268,IFERROR(VLOOKUP(V268,Assumptions!$A$8:$F$12,3,FALSE),3))+IF(Y268&lt;&gt;"",Y268,IFERROR(VLOOKUP(V268,Assumptions!$A$8:$F$12,4,FALSE),8))/2-MAX(0,IF(AS268="",0,YEAR(TODAY())-AS268)-IFERROR(VLOOKUP(V268,Assumptions!$A$8:$F$12,5,FALSE),1.5))),IFERROR(VLOOKUP(V268,Assumptions!$A$8:$F$12,5,FALSE),2.5)+IF(X268&lt;&gt;"",X268,IFERROR(VLOOKUP(V268,Assumptions!$A$8:$F$12,3,FALSE),3))+IF(Y268&lt;&gt;"",Y268,IFERROR(VLOOKUP(V268,Assumptions!$A$8:$F$12,4,FALSE),8))/2)</f>
        <v/>
      </c>
      <c r="AB268" s="24">
        <f>U268*Z268/(1+Assumptions!$B$3)^AA268</f>
        <v/>
      </c>
      <c r="AC268" s="27">
        <f>IF(U268=0,"",ROUND(AB268/U268*100,1))</f>
        <v/>
      </c>
      <c r="AD268" s="29">
        <f>AB268*Assumptions!$B$4</f>
        <v/>
      </c>
      <c r="AE268" s="27">
        <f>IF(U268=0,"",ROUND(AD268/U268*100,1))</f>
        <v/>
      </c>
      <c r="AF268" s="29">
        <f>AB268-AD268</f>
        <v/>
      </c>
      <c r="AG268" s="27">
        <f>IF(U268=0,"",ROUND((AB268-AD268)/U268*100,1))</f>
        <v/>
      </c>
      <c r="AH268" s="30" t="inlineStr">
        <is>
          <t>OK — totals reconciled</t>
        </is>
      </c>
      <c r="AI268" s="31" t="inlineStr">
        <is>
          <t>https://vtladm.com.br/wp-content/uploads/2024/04/09-–-EDITAL-DE-CONVOCACAO-DE-CREDORES-–-Frigorifico-Alfa-Industria-e-Comercio-de-Carnes-e-Derivados-Ltda.-e-Ctx-Logistica-Transporte-E-Locacoes-Ltda.pdf</t>
        </is>
      </c>
      <c r="AJ268" s="30" t="inlineStr">
        <is>
          <t>p1 r19</t>
        </is>
      </c>
      <c r="AK268" s="30" t="inlineStr">
        <is>
          <t>p1: R$ 289.547,95</t>
        </is>
      </c>
      <c r="AL268" s="30" t="inlineStr">
        <is>
          <t>AJ list (art. 7 §2)</t>
        </is>
      </c>
      <c r="AM268" s="30" t="inlineStr"/>
      <c r="AN268" s="30" t="inlineStr">
        <is>
          <t>NONE FOUND</t>
        </is>
      </c>
      <c r="AO268" s="32" t="inlineStr">
        <is>
          <t>1009827-02.2024.8.26.0576</t>
        </is>
      </c>
      <c r="AP268" s="32" t="inlineStr">
        <is>
          <t>TJSP</t>
        </is>
      </c>
      <c r="AQ268" s="32" t="inlineStr">
        <is>
          <t>Recuperação judicial</t>
        </is>
      </c>
      <c r="AR268" s="32" t="inlineStr">
        <is>
          <t>DataJud: no closure/falência movement</t>
        </is>
      </c>
      <c r="AS268" s="32" t="n">
        <v>2024</v>
      </c>
      <c r="AT268" s="32" t="inlineStr">
        <is>
          <t>live case, no plan document yet; case no. from the portal record, not printed on the list</t>
        </is>
      </c>
      <c r="AU268" s="32" t="inlineStr">
        <is>
          <t>00.975.846/0001-47</t>
        </is>
      </c>
      <c r="AV268" s="32" t="inlineStr">
        <is>
          <t>printed on the list (read twice)</t>
        </is>
      </c>
      <c r="AW268" s="32" t="inlineStr"/>
      <c r="AX268" s="32" t="inlineStr"/>
      <c r="AY268" s="32" t="inlineStr"/>
      <c r="AZ268" s="32" t="inlineStr"/>
      <c r="BA268" s="32" t="inlineStr"/>
      <c r="BB268" s="33" t="inlineStr"/>
      <c r="BC268" s="32" t="inlineStr">
        <is>
          <t>UNKNOWN</t>
        </is>
      </c>
      <c r="BD268" s="32" t="inlineStr">
        <is>
          <t>04463602</t>
        </is>
      </c>
      <c r="BE268" s="32" t="n">
        <v>1</v>
      </c>
      <c r="BF268" s="32" t="inlineStr">
        <is>
          <t>financial by name no RFB record</t>
        </is>
      </c>
    </row>
    <row r="269">
      <c r="A269" s="17" t="inlineStr">
        <is>
          <t>Soldamaq Comercio de Ferramentas Sicredi LTDA (CNPJ nº</t>
        </is>
      </c>
      <c r="B269" s="18" t="n">
        <v>288724.8</v>
      </c>
      <c r="C269" s="19" t="inlineStr">
        <is>
          <t>CARAVAGGIO CONSTRUTORA LTDA</t>
        </is>
      </c>
      <c r="D269" s="20" t="inlineStr">
        <is>
          <t>NEW</t>
        </is>
      </c>
      <c r="E269" s="21" t="inlineStr"/>
      <c r="F269" s="20" t="inlineStr"/>
      <c r="G269" s="21" t="inlineStr"/>
      <c r="H269" s="20" t="inlineStr"/>
      <c r="I269" s="22" t="inlineStr">
        <is>
          <t>Fatima Soldamaq</t>
        </is>
      </c>
      <c r="J269" s="22" t="inlineStr">
        <is>
          <t>Director</t>
        </is>
      </c>
      <c r="K269" s="22" t="inlineStr"/>
      <c r="L269" s="22" t="inlineStr"/>
      <c r="M269" s="22" t="inlineStr"/>
      <c r="N269" s="22" t="inlineStr">
        <is>
          <t>fatima@soldamaq.com.br</t>
        </is>
      </c>
      <c r="O269" s="22" t="inlineStr">
        <is>
          <t>verified</t>
        </is>
      </c>
      <c r="P269" s="22" t="inlineStr">
        <is>
          <t>Rafael Alessio</t>
        </is>
      </c>
      <c r="Q269" s="22" t="inlineStr">
        <is>
          <t>Director</t>
        </is>
      </c>
      <c r="R269" s="22" t="inlineStr"/>
      <c r="S269" s="22" t="inlineStr">
        <is>
          <t>rafael@soldamaq.com.br</t>
        </is>
      </c>
      <c r="T269" s="22" t="inlineStr">
        <is>
          <t>DM: DM verified email; VERIFY org: Soldamaq (tool retailer, Campo Grande MS) - not a co-op/financial; BACKUP: backup verified email</t>
        </is>
      </c>
      <c r="U269" s="24" t="n">
        <v>288724.8</v>
      </c>
      <c r="V269" s="25" t="inlineStr">
        <is>
          <t>B</t>
        </is>
      </c>
      <c r="W269" s="26" t="inlineStr"/>
      <c r="X269" s="27" t="inlineStr"/>
      <c r="Y269" s="27" t="inlineStr"/>
      <c r="Z269" s="26">
        <f>IF(W269&lt;&gt;"",W269,IFERROR(VLOOKUP(V269,Assumptions!$A$8:$F$12,2,FALSE),0))*Assumptions!$B$5</f>
        <v/>
      </c>
      <c r="AA269" s="28">
        <f>IF(V269="A",MAX(1,IF(X269&lt;&gt;"",X269,IFERROR(VLOOKUP(V269,Assumptions!$A$8:$F$12,3,FALSE),3))+IF(Y269&lt;&gt;"",Y269,IFERROR(VLOOKUP(V269,Assumptions!$A$8:$F$12,4,FALSE),8))/2-MAX(0,IF(AS269="",0,YEAR(TODAY())-AS269)-IFERROR(VLOOKUP(V269,Assumptions!$A$8:$F$12,5,FALSE),1.5))),IFERROR(VLOOKUP(V269,Assumptions!$A$8:$F$12,5,FALSE),2.5)+IF(X269&lt;&gt;"",X269,IFERROR(VLOOKUP(V269,Assumptions!$A$8:$F$12,3,FALSE),3))+IF(Y269&lt;&gt;"",Y269,IFERROR(VLOOKUP(V269,Assumptions!$A$8:$F$12,4,FALSE),8))/2)</f>
        <v/>
      </c>
      <c r="AB269" s="24">
        <f>U269*Z269/(1+Assumptions!$B$3)^AA269</f>
        <v/>
      </c>
      <c r="AC269" s="27">
        <f>IF(U269=0,"",ROUND(AB269/U269*100,1))</f>
        <v/>
      </c>
      <c r="AD269" s="29">
        <f>AB269*Assumptions!$B$4</f>
        <v/>
      </c>
      <c r="AE269" s="27">
        <f>IF(U269=0,"",ROUND(AD269/U269*100,1))</f>
        <v/>
      </c>
      <c r="AF269" s="29">
        <f>AB269-AD269</f>
        <v/>
      </c>
      <c r="AG269" s="27">
        <f>IF(U269=0,"",ROUND((AB269-AD269)/U269*100,1))</f>
        <v/>
      </c>
      <c r="AH269" s="34" t="inlineStr">
        <is>
          <t>NO TOTALS — list prints none; check page</t>
        </is>
      </c>
      <c r="AI269" s="31" t="inlineStr">
        <is>
          <t>https://marquesadmjudicial.com.br/sgc/download.php?file=files/processo_documento/processo_documento16562707032024_1_.pdf&amp;nome=2º Edital-Relação de Credores do art. 7, §2 da LREF e do Plano de Recuperação Judicial</t>
        </is>
      </c>
      <c r="AJ269" s="30" t="inlineStr">
        <is>
          <t>p1 r21</t>
        </is>
      </c>
      <c r="AK269" s="30" t="inlineStr">
        <is>
          <t>p1: R$ 288.724,80</t>
        </is>
      </c>
      <c r="AL269" s="30" t="inlineStr">
        <is>
          <t>AJ list (art. 7 §2)</t>
        </is>
      </c>
      <c r="AM269" s="30" t="inlineStr">
        <is>
          <t>2022-11-17</t>
        </is>
      </c>
      <c r="AN269" s="30" t="inlineStr">
        <is>
          <t>NONE FOUND</t>
        </is>
      </c>
      <c r="AO269" s="32" t="inlineStr">
        <is>
          <t>0037411-27.2022.8.16.0021</t>
        </is>
      </c>
      <c r="AP269" s="32" t="inlineStr">
        <is>
          <t>TJPR</t>
        </is>
      </c>
      <c r="AQ269" s="32" t="inlineStr">
        <is>
          <t>Recuperação judicial</t>
        </is>
      </c>
      <c r="AR269" s="32" t="inlineStr">
        <is>
          <t>DataJud: no closure/falência movement</t>
        </is>
      </c>
      <c r="AS269" s="32" t="n">
        <v>2022</v>
      </c>
      <c r="AT269" s="32" t="inlineStr">
        <is>
          <t>live case, no plan document yet</t>
        </is>
      </c>
      <c r="AU269" s="32" t="inlineStr">
        <is>
          <t>04.929.130/0001-64</t>
        </is>
      </c>
      <c r="AV269" s="32" t="inlineStr">
        <is>
          <t>printed on the list (read twice)</t>
        </is>
      </c>
      <c r="AW269" s="32" t="inlineStr"/>
      <c r="AX269" s="32" t="inlineStr"/>
      <c r="AY269" s="32" t="inlineStr"/>
      <c r="AZ269" s="32" t="inlineStr"/>
      <c r="BA269" s="32" t="inlineStr"/>
      <c r="BB269" s="33" t="inlineStr"/>
      <c r="BC269" s="32" t="inlineStr">
        <is>
          <t>UNKNOWN</t>
        </is>
      </c>
      <c r="BD269" s="32" t="inlineStr">
        <is>
          <t>07808907</t>
        </is>
      </c>
      <c r="BE269" s="32" t="n">
        <v>1</v>
      </c>
      <c r="BF269" s="32" t="inlineStr">
        <is>
          <t>financial by name list prints no totals no RFB record</t>
        </is>
      </c>
    </row>
    <row r="270">
      <c r="A270" s="17" t="inlineStr">
        <is>
          <t>CAPITAL ANNEX FUNDO DE INVESTIMENTO EM DIREITOS CREDITORIOS MULTISSETORIAL</t>
        </is>
      </c>
      <c r="B270" s="18" t="n">
        <v>286765.7</v>
      </c>
      <c r="C270" s="19" t="inlineStr">
        <is>
          <t>Grupo Arruda (ARRUDA &amp; MELO REPRESENTACAO DE ALIMENTOS E BEBIDAS LTDA, ARRUDA &amp; MELO COMERCIO E DISTRIBUICAO DE ALIMENTOS E BEBIDAS LTDA, ARRUDA &amp; MELO COMERCIO E DISTRIBUICAO DE ALIMENTOS E BEBIDAS DA BAHIA LTDA)</t>
        </is>
      </c>
      <c r="D270" s="20" t="inlineStr">
        <is>
          <t>NEW</t>
        </is>
      </c>
      <c r="E270" s="21" t="inlineStr"/>
      <c r="F270" s="20" t="inlineStr"/>
      <c r="G270" s="21" t="inlineStr"/>
      <c r="H270" s="20" t="inlineStr"/>
      <c r="I270" s="22" t="inlineStr">
        <is>
          <t>Miron Fogaca</t>
        </is>
      </c>
      <c r="J270" s="22" t="inlineStr">
        <is>
          <t>Director</t>
        </is>
      </c>
      <c r="K270" s="22" t="inlineStr"/>
      <c r="L270" s="22" t="inlineStr"/>
      <c r="M270" s="22" t="inlineStr"/>
      <c r="N270" s="22" t="inlineStr"/>
      <c r="O270" s="22" t="inlineStr"/>
      <c r="P270" s="22" t="inlineStr"/>
      <c r="Q270" s="22" t="inlineStr"/>
      <c r="R270" s="22" t="inlineStr"/>
      <c r="S270" s="22" t="inlineStr"/>
      <c r="T270" s="22" t="inlineStr">
        <is>
          <t>DM: DM VERIFY org: Annex Capital; VERIFY org: Annex Capital (assumed gestora of Capital Annex FIDC); director only; no work email in Apollo for DM; NO ROUTE IN: no phone or email on file</t>
        </is>
      </c>
      <c r="U270" s="24" t="n">
        <v>286765.7</v>
      </c>
      <c r="V270" s="25" t="inlineStr">
        <is>
          <t>B</t>
        </is>
      </c>
      <c r="W270" s="26" t="inlineStr"/>
      <c r="X270" s="27" t="inlineStr"/>
      <c r="Y270" s="27" t="inlineStr"/>
      <c r="Z270" s="26">
        <f>IF(W270&lt;&gt;"",W270,IFERROR(VLOOKUP(V270,Assumptions!$A$8:$F$12,2,FALSE),0))*Assumptions!$B$5</f>
        <v/>
      </c>
      <c r="AA270" s="28">
        <f>IF(V270="A",MAX(1,IF(X270&lt;&gt;"",X270,IFERROR(VLOOKUP(V270,Assumptions!$A$8:$F$12,3,FALSE),3))+IF(Y270&lt;&gt;"",Y270,IFERROR(VLOOKUP(V270,Assumptions!$A$8:$F$12,4,FALSE),8))/2-MAX(0,IF(AS270="",0,YEAR(TODAY())-AS270)-IFERROR(VLOOKUP(V270,Assumptions!$A$8:$F$12,5,FALSE),1.5))),IFERROR(VLOOKUP(V270,Assumptions!$A$8:$F$12,5,FALSE),2.5)+IF(X270&lt;&gt;"",X270,IFERROR(VLOOKUP(V270,Assumptions!$A$8:$F$12,3,FALSE),3))+IF(Y270&lt;&gt;"",Y270,IFERROR(VLOOKUP(V270,Assumptions!$A$8:$F$12,4,FALSE),8))/2)</f>
        <v/>
      </c>
      <c r="AB270" s="24">
        <f>U270*Z270/(1+Assumptions!$B$3)^AA270</f>
        <v/>
      </c>
      <c r="AC270" s="27">
        <f>IF(U270=0,"",ROUND(AB270/U270*100,1))</f>
        <v/>
      </c>
      <c r="AD270" s="29">
        <f>AB270*Assumptions!$B$4</f>
        <v/>
      </c>
      <c r="AE270" s="27">
        <f>IF(U270=0,"",ROUND(AD270/U270*100,1))</f>
        <v/>
      </c>
      <c r="AF270" s="29">
        <f>AB270-AD270</f>
        <v/>
      </c>
      <c r="AG270" s="27">
        <f>IF(U270=0,"",ROUND((AB270-AD270)/U270*100,1))</f>
        <v/>
      </c>
      <c r="AH270" s="30" t="inlineStr">
        <is>
          <t>OK — totals reconciled</t>
        </is>
      </c>
      <c r="AI270" s="31" t="inlineStr">
        <is>
          <t>https://diligence.adm.br/wp-content/uploads/2025/06/Edital-1a-Lista-de-Credores.pdf</t>
        </is>
      </c>
      <c r="AJ270" s="30" t="inlineStr">
        <is>
          <t>p5 r68</t>
        </is>
      </c>
      <c r="AK270" s="30" t="inlineStr">
        <is>
          <t>p5: R$ 286.765,70</t>
        </is>
      </c>
      <c r="AL270" s="30" t="inlineStr">
        <is>
          <t>Debtor list (art. 51)</t>
        </is>
      </c>
      <c r="AM270" s="30" t="inlineStr">
        <is>
          <t>2025-06-10</t>
        </is>
      </c>
      <c r="AN270" s="30" t="inlineStr">
        <is>
          <t>NONE FOUND</t>
        </is>
      </c>
      <c r="AO270" s="32" t="inlineStr">
        <is>
          <t>0008526-45.2025.8.17.2001</t>
        </is>
      </c>
      <c r="AP270" s="32" t="inlineStr">
        <is>
          <t>TJPE</t>
        </is>
      </c>
      <c r="AQ270" s="32" t="inlineStr">
        <is>
          <t>Recuperação judicial</t>
        </is>
      </c>
      <c r="AR270" s="32" t="inlineStr">
        <is>
          <t>DataJud: no closure/falência movement</t>
        </is>
      </c>
      <c r="AS270" s="32" t="n">
        <v>2025</v>
      </c>
      <c r="AT270" s="32" t="inlineStr">
        <is>
          <t>live case, no plan document yet</t>
        </is>
      </c>
      <c r="AU270" s="32" t="inlineStr"/>
      <c r="AV270" s="32" t="inlineStr">
        <is>
          <t>printed on the list (read twice)</t>
        </is>
      </c>
      <c r="AW270" s="32" t="inlineStr"/>
      <c r="AX270" s="32" t="inlineStr"/>
      <c r="AY270" s="32" t="inlineStr"/>
      <c r="AZ270" s="32" t="inlineStr"/>
      <c r="BA270" s="32" t="inlineStr"/>
      <c r="BB270" s="33" t="inlineStr"/>
      <c r="BC270" s="32" t="inlineStr">
        <is>
          <t>UNKNOWN</t>
        </is>
      </c>
      <c r="BD270" s="32" t="inlineStr">
        <is>
          <t>12093804</t>
        </is>
      </c>
      <c r="BE270" s="32" t="n">
        <v>1</v>
      </c>
      <c r="BF270" s="32" t="inlineStr">
        <is>
          <t>financial by name no RFB record no route in</t>
        </is>
      </c>
    </row>
    <row r="271">
      <c r="A271" s="17" t="inlineStr">
        <is>
          <t>SERRANA FINANCIAMENTO - BANCO LOSANGO</t>
        </is>
      </c>
      <c r="B271" s="18" t="n">
        <v>283611.42</v>
      </c>
      <c r="C271" s="19" t="inlineStr">
        <is>
          <t>GRUPO DIVINA</t>
        </is>
      </c>
      <c r="D271" s="20" t="inlineStr">
        <is>
          <t>NEW</t>
        </is>
      </c>
      <c r="E271" s="21" t="inlineStr"/>
      <c r="F271" s="20" t="inlineStr"/>
      <c r="G271" s="21" t="inlineStr"/>
      <c r="H271" s="20" t="inlineStr"/>
      <c r="I271" s="22" t="inlineStr">
        <is>
          <t>Valdir Losango</t>
        </is>
      </c>
      <c r="J271" s="22" t="inlineStr">
        <is>
          <t>Gerente Relacionamento - Cobrança Brasil</t>
        </is>
      </c>
      <c r="K271" s="22" t="inlineStr"/>
      <c r="L271" s="22" t="inlineStr"/>
      <c r="M271" s="22" t="inlineStr"/>
      <c r="N271" s="22" t="inlineStr">
        <is>
          <t>valdir.losango@losango.com.br</t>
        </is>
      </c>
      <c r="O271" s="22" t="inlineStr">
        <is>
          <t>verified</t>
        </is>
      </c>
      <c r="P271" s="22" t="inlineStr">
        <is>
          <t>Sayonara Espindola</t>
        </is>
      </c>
      <c r="Q271" s="22" t="inlineStr">
        <is>
          <t>Analista Planj Cobrança</t>
        </is>
      </c>
      <c r="R271" s="22" t="inlineStr"/>
      <c r="S271" s="22" t="inlineStr"/>
      <c r="T271" s="22" t="inlineStr">
        <is>
          <t>DM: DM verified email; BACKUP: backup email unavailable</t>
        </is>
      </c>
      <c r="U271" s="24" t="n">
        <v>283611.42</v>
      </c>
      <c r="V271" s="25" t="inlineStr">
        <is>
          <t>B</t>
        </is>
      </c>
      <c r="W271" s="26" t="inlineStr"/>
      <c r="X271" s="27" t="inlineStr"/>
      <c r="Y271" s="27" t="inlineStr"/>
      <c r="Z271" s="26">
        <f>IF(W271&lt;&gt;"",W271,IFERROR(VLOOKUP(V271,Assumptions!$A$8:$F$12,2,FALSE),0))*Assumptions!$B$5</f>
        <v/>
      </c>
      <c r="AA271" s="28">
        <f>IF(V271="A",MAX(1,IF(X271&lt;&gt;"",X271,IFERROR(VLOOKUP(V271,Assumptions!$A$8:$F$12,3,FALSE),3))+IF(Y271&lt;&gt;"",Y271,IFERROR(VLOOKUP(V271,Assumptions!$A$8:$F$12,4,FALSE),8))/2-MAX(0,IF(AS271="",0,YEAR(TODAY())-AS271)-IFERROR(VLOOKUP(V271,Assumptions!$A$8:$F$12,5,FALSE),1.5))),IFERROR(VLOOKUP(V271,Assumptions!$A$8:$F$12,5,FALSE),2.5)+IF(X271&lt;&gt;"",X271,IFERROR(VLOOKUP(V271,Assumptions!$A$8:$F$12,3,FALSE),3))+IF(Y271&lt;&gt;"",Y271,IFERROR(VLOOKUP(V271,Assumptions!$A$8:$F$12,4,FALSE),8))/2)</f>
        <v/>
      </c>
      <c r="AB271" s="24">
        <f>U271*Z271/(1+Assumptions!$B$3)^AA271</f>
        <v/>
      </c>
      <c r="AC271" s="27">
        <f>IF(U271=0,"",ROUND(AB271/U271*100,1))</f>
        <v/>
      </c>
      <c r="AD271" s="29">
        <f>AB271*Assumptions!$B$4</f>
        <v/>
      </c>
      <c r="AE271" s="27">
        <f>IF(U271=0,"",ROUND(AD271/U271*100,1))</f>
        <v/>
      </c>
      <c r="AF271" s="29">
        <f>AB271-AD271</f>
        <v/>
      </c>
      <c r="AG271" s="27">
        <f>IF(U271=0,"",ROUND((AB271-AD271)/U271*100,1))</f>
        <v/>
      </c>
      <c r="AH271" s="35" t="inlineStr">
        <is>
          <t>PARTIAL — class III reconciled, other classes not</t>
        </is>
      </c>
      <c r="AI271" s="31" t="inlineStr">
        <is>
          <t>https://lrflideres.com.br/wp-content/plugins/download-attachments/includes/download.php?id=6252</t>
        </is>
      </c>
      <c r="AJ271" s="30" t="inlineStr">
        <is>
          <t>p2 r78</t>
        </is>
      </c>
      <c r="AK271" s="30" t="inlineStr">
        <is>
          <t>p2: R$ 283.611,42</t>
        </is>
      </c>
      <c r="AL271" s="30" t="inlineStr">
        <is>
          <t>AJ list (art. 7 §2)</t>
        </is>
      </c>
      <c r="AM271" s="30" t="inlineStr">
        <is>
          <t>2024-11-27</t>
        </is>
      </c>
      <c r="AN271" s="30" t="inlineStr">
        <is>
          <t>NONE FOUND</t>
        </is>
      </c>
      <c r="AO271" s="32" t="inlineStr">
        <is>
          <t>0000721-61.2024.8.17.2620</t>
        </is>
      </c>
      <c r="AP271" s="32" t="inlineStr">
        <is>
          <t>TJPE</t>
        </is>
      </c>
      <c r="AQ271" s="32" t="inlineStr">
        <is>
          <t>Recuperação judicial</t>
        </is>
      </c>
      <c r="AR271" s="32" t="inlineStr">
        <is>
          <t>DataJud: no closure/falência movement</t>
        </is>
      </c>
      <c r="AS271" s="32" t="n">
        <v>2024</v>
      </c>
      <c r="AT271" s="32" t="inlineStr">
        <is>
          <t>live case, no plan document yet</t>
        </is>
      </c>
      <c r="AU271" s="32" t="inlineStr">
        <is>
          <t>08.785.522/0001-58</t>
        </is>
      </c>
      <c r="AV271" s="32" t="inlineStr">
        <is>
          <t>printed on the list (read twice)</t>
        </is>
      </c>
      <c r="AW271" s="32" t="inlineStr"/>
      <c r="AX271" s="32" t="inlineStr"/>
      <c r="AY271" s="32" t="inlineStr"/>
      <c r="AZ271" s="32" t="inlineStr"/>
      <c r="BA271" s="32" t="inlineStr"/>
      <c r="BB271" s="33" t="inlineStr"/>
      <c r="BC271" s="32" t="inlineStr">
        <is>
          <t>UNKNOWN</t>
        </is>
      </c>
      <c r="BD271" s="32" t="inlineStr">
        <is>
          <t>33254319</t>
        </is>
      </c>
      <c r="BE271" s="32" t="n">
        <v>1</v>
      </c>
      <c r="BF271" s="32" t="inlineStr">
        <is>
          <t>financial by name class III reconciled (doc partial) no RFB record</t>
        </is>
      </c>
    </row>
    <row r="272">
      <c r="A272" s="17" t="inlineStr">
        <is>
          <t>REDFACTOR FACTORING E FOMENTO COMERCIAL S/A</t>
        </is>
      </c>
      <c r="B272" s="18" t="n">
        <v>1097808.59</v>
      </c>
      <c r="C272" s="19" t="inlineStr">
        <is>
          <t>BLUTRAFOS BLUMENAU TRANSFORMADORES LTDA</t>
        </is>
      </c>
      <c r="D272" s="20" t="inlineStr">
        <is>
          <t>NEW</t>
        </is>
      </c>
      <c r="E272" s="21" t="inlineStr"/>
      <c r="F272" s="20" t="inlineStr"/>
      <c r="G272" s="21" t="inlineStr"/>
      <c r="H272" s="20" t="inlineStr"/>
      <c r="I272" s="22" t="inlineStr">
        <is>
          <t>Marco Brescancini</t>
        </is>
      </c>
      <c r="J272" s="22" t="inlineStr">
        <is>
          <t>Gerente Credito</t>
        </is>
      </c>
      <c r="K272" s="22" t="inlineStr"/>
      <c r="L272" s="22" t="inlineStr"/>
      <c r="M272" s="22" t="inlineStr"/>
      <c r="N272" s="22" t="inlineStr"/>
      <c r="O272" s="22" t="inlineStr"/>
      <c r="P272" s="22" t="inlineStr">
        <is>
          <t>Rogerio Gomes</t>
        </is>
      </c>
      <c r="Q272" s="22" t="inlineStr">
        <is>
          <t>Manager</t>
        </is>
      </c>
      <c r="R272" s="22" t="inlineStr"/>
      <c r="S272" s="22" t="inlineStr">
        <is>
          <t>rogerio.gomes@redasset.com.br</t>
        </is>
      </c>
      <c r="T272" s="22" t="inlineStr">
        <is>
          <t>DM: DM; no work email in Apollo for DM; BACKUP: backup</t>
        </is>
      </c>
      <c r="U272" s="24" t="n">
        <v>1097808.59</v>
      </c>
      <c r="V272" s="39" t="inlineStr">
        <is>
          <t>C</t>
        </is>
      </c>
      <c r="W272" s="26" t="inlineStr"/>
      <c r="X272" s="27" t="inlineStr"/>
      <c r="Y272" s="27" t="inlineStr"/>
      <c r="Z272" s="26">
        <f>IF(W272&lt;&gt;"",W272,IFERROR(VLOOKUP(V272,Assumptions!$A$8:$F$12,2,FALSE),0))*Assumptions!$B$5</f>
        <v/>
      </c>
      <c r="AA272" s="28">
        <f>IF(V272="A",MAX(1,IF(X272&lt;&gt;"",X272,IFERROR(VLOOKUP(V272,Assumptions!$A$8:$F$12,3,FALSE),3))+IF(Y272&lt;&gt;"",Y272,IFERROR(VLOOKUP(V272,Assumptions!$A$8:$F$12,4,FALSE),8))/2-MAX(0,IF(AS272="",0,YEAR(TODAY())-AS272)-IFERROR(VLOOKUP(V272,Assumptions!$A$8:$F$12,5,FALSE),1.5))),IFERROR(VLOOKUP(V272,Assumptions!$A$8:$F$12,5,FALSE),2.5)+IF(X272&lt;&gt;"",X272,IFERROR(VLOOKUP(V272,Assumptions!$A$8:$F$12,3,FALSE),3))+IF(Y272&lt;&gt;"",Y272,IFERROR(VLOOKUP(V272,Assumptions!$A$8:$F$12,4,FALSE),8))/2)</f>
        <v/>
      </c>
      <c r="AB272" s="24">
        <f>U272*Z272/(1+Assumptions!$B$3)^AA272</f>
        <v/>
      </c>
      <c r="AC272" s="27">
        <f>IF(U272=0,"",ROUND(AB272/U272*100,1))</f>
        <v/>
      </c>
      <c r="AD272" s="29">
        <f>AB272*Assumptions!$B$4</f>
        <v/>
      </c>
      <c r="AE272" s="27">
        <f>IF(U272=0,"",ROUND(AD272/U272*100,1))</f>
        <v/>
      </c>
      <c r="AF272" s="29">
        <f>AB272-AD272</f>
        <v/>
      </c>
      <c r="AG272" s="27">
        <f>IF(U272=0,"",ROUND((AB272-AD272)/U272*100,1))</f>
        <v/>
      </c>
      <c r="AH272" s="30" t="inlineStr">
        <is>
          <t>OK — totals reconciled</t>
        </is>
      </c>
      <c r="AI272" s="31" t="inlineStr">
        <is>
          <t>https://administradorajudicialgs.com.br/wp-content/uploads/2023/08/advogados-sgrott-doc-22-relacao-de-credores-do-administrador-judicial-classe-iii-05-02-14.pdf</t>
        </is>
      </c>
      <c r="AJ272" s="30" t="inlineStr">
        <is>
          <t>p5 r7</t>
        </is>
      </c>
      <c r="AK272" s="30" t="inlineStr">
        <is>
          <t>p5: R$ 1.097.808,59</t>
        </is>
      </c>
      <c r="AL272" s="30" t="inlineStr">
        <is>
          <t>Unclassified list</t>
        </is>
      </c>
      <c r="AM272" s="30" t="inlineStr"/>
      <c r="AN272" s="30" t="inlineStr">
        <is>
          <t>NONE FOUND</t>
        </is>
      </c>
      <c r="AO272" s="32" t="inlineStr">
        <is>
          <t>0022845-08.2013.8.24.0008</t>
        </is>
      </c>
      <c r="AP272" s="32" t="inlineStr">
        <is>
          <t>TJSC</t>
        </is>
      </c>
      <c r="AQ272" s="32" t="inlineStr"/>
      <c r="AR272" s="32" t="inlineStr">
        <is>
          <t>not in DataJud</t>
        </is>
      </c>
      <c r="AS272" s="32" t="n">
        <v>2013</v>
      </c>
      <c r="AT272" s="32" t="inlineStr">
        <is>
          <t>13y since filing; plan not in our documents; case no. from the portal record, not printed on the list</t>
        </is>
      </c>
      <c r="AU272" s="32" t="inlineStr"/>
      <c r="AV272" s="32" t="inlineStr">
        <is>
          <t>portal page title / URL — not printed on the list</t>
        </is>
      </c>
      <c r="AW272" s="32" t="inlineStr"/>
      <c r="AX272" s="32" t="inlineStr"/>
      <c r="AY272" s="32" t="inlineStr"/>
      <c r="AZ272" s="32" t="inlineStr"/>
      <c r="BA272" s="32" t="inlineStr"/>
      <c r="BB272" s="33" t="inlineStr"/>
      <c r="BC272" s="32" t="inlineStr">
        <is>
          <t>UNKNOWN</t>
        </is>
      </c>
      <c r="BD272" s="32" t="inlineStr">
        <is>
          <t>67915785</t>
        </is>
      </c>
      <c r="BE272" s="32" t="n">
        <v>1</v>
      </c>
      <c r="BF272" s="32" t="inlineStr">
        <is>
          <t>financial by name no RFB record</t>
        </is>
      </c>
    </row>
    <row r="273">
      <c r="A273" s="17" t="inlineStr">
        <is>
          <t>BMP SOCIEDADE DE CREDITO DIRETO S.A</t>
        </is>
      </c>
      <c r="B273" s="18" t="n">
        <v>275989.58</v>
      </c>
      <c r="C273" s="19" t="inlineStr">
        <is>
          <t>GRUPO DIVINA</t>
        </is>
      </c>
      <c r="D273" s="20" t="inlineStr">
        <is>
          <t>NEW</t>
        </is>
      </c>
      <c r="E273" s="21" t="inlineStr"/>
      <c r="F273" s="20" t="inlineStr"/>
      <c r="G273" s="21" t="inlineStr"/>
      <c r="H273" s="20" t="inlineStr"/>
      <c r="I273" s="22" t="inlineStr">
        <is>
          <t>Alexandre Cardoso</t>
        </is>
      </c>
      <c r="J273" s="22" t="inlineStr">
        <is>
          <t>Gerente de Credito De Operações Estruturadas na BMP Money Plus</t>
        </is>
      </c>
      <c r="K273" s="22" t="inlineStr">
        <is>
          <t>(11) 3810-9313</t>
        </is>
      </c>
      <c r="L273" s="22" t="inlineStr"/>
      <c r="M273" s="22" t="inlineStr"/>
      <c r="N273" s="22" t="inlineStr">
        <is>
          <t>alexandre.cardoso@moneyp.com.br</t>
        </is>
      </c>
      <c r="O273" s="22" t="inlineStr">
        <is>
          <t>verified</t>
        </is>
      </c>
      <c r="P273" s="22" t="inlineStr">
        <is>
          <t>Clovis Dotta</t>
        </is>
      </c>
      <c r="Q273" s="22" t="inlineStr">
        <is>
          <t>Diretor Comercial na BMP Money PLUS</t>
        </is>
      </c>
      <c r="R273" s="22" t="inlineStr"/>
      <c r="S273" s="22" t="inlineStr">
        <is>
          <t>clovis.dotta@moneyp.com.br</t>
        </is>
      </c>
      <c r="T273" s="22" t="inlineStr">
        <is>
          <t>DM: DM; VERIFY org: BMP (moneyp.com.br) = BMP Money Plus SCD; BACKUP: backup</t>
        </is>
      </c>
      <c r="U273" s="24" t="n">
        <v>275989.58</v>
      </c>
      <c r="V273" s="25" t="inlineStr">
        <is>
          <t>B</t>
        </is>
      </c>
      <c r="W273" s="26" t="inlineStr"/>
      <c r="X273" s="27" t="inlineStr"/>
      <c r="Y273" s="27" t="inlineStr"/>
      <c r="Z273" s="26">
        <f>IF(W273&lt;&gt;"",W273,IFERROR(VLOOKUP(V273,Assumptions!$A$8:$F$12,2,FALSE),0))*Assumptions!$B$5</f>
        <v/>
      </c>
      <c r="AA273" s="28">
        <f>IF(V273="A",MAX(1,IF(X273&lt;&gt;"",X273,IFERROR(VLOOKUP(V273,Assumptions!$A$8:$F$12,3,FALSE),3))+IF(Y273&lt;&gt;"",Y273,IFERROR(VLOOKUP(V273,Assumptions!$A$8:$F$12,4,FALSE),8))/2-MAX(0,IF(AS273="",0,YEAR(TODAY())-AS273)-IFERROR(VLOOKUP(V273,Assumptions!$A$8:$F$12,5,FALSE),1.5))),IFERROR(VLOOKUP(V273,Assumptions!$A$8:$F$12,5,FALSE),2.5)+IF(X273&lt;&gt;"",X273,IFERROR(VLOOKUP(V273,Assumptions!$A$8:$F$12,3,FALSE),3))+IF(Y273&lt;&gt;"",Y273,IFERROR(VLOOKUP(V273,Assumptions!$A$8:$F$12,4,FALSE),8))/2)</f>
        <v/>
      </c>
      <c r="AB273" s="24">
        <f>U273*Z273/(1+Assumptions!$B$3)^AA273</f>
        <v/>
      </c>
      <c r="AC273" s="27">
        <f>IF(U273=0,"",ROUND(AB273/U273*100,1))</f>
        <v/>
      </c>
      <c r="AD273" s="29">
        <f>AB273*Assumptions!$B$4</f>
        <v/>
      </c>
      <c r="AE273" s="27">
        <f>IF(U273=0,"",ROUND(AD273/U273*100,1))</f>
        <v/>
      </c>
      <c r="AF273" s="29">
        <f>AB273-AD273</f>
        <v/>
      </c>
      <c r="AG273" s="27">
        <f>IF(U273=0,"",ROUND((AB273-AD273)/U273*100,1))</f>
        <v/>
      </c>
      <c r="AH273" s="35" t="inlineStr">
        <is>
          <t>PARTIAL — class III reconciled, other classes not</t>
        </is>
      </c>
      <c r="AI273" s="31" t="inlineStr">
        <is>
          <t>https://lrflideres.com.br/wp-content/plugins/download-attachments/includes/download.php?id=6252</t>
        </is>
      </c>
      <c r="AJ273" s="30" t="inlineStr">
        <is>
          <t>p2 r21</t>
        </is>
      </c>
      <c r="AK273" s="30" t="inlineStr">
        <is>
          <t>p2: R$ 275.989,58</t>
        </is>
      </c>
      <c r="AL273" s="30" t="inlineStr">
        <is>
          <t>AJ list (art. 7 §2)</t>
        </is>
      </c>
      <c r="AM273" s="30" t="inlineStr">
        <is>
          <t>2024-11-27</t>
        </is>
      </c>
      <c r="AN273" s="30" t="inlineStr">
        <is>
          <t>NONE FOUND</t>
        </is>
      </c>
      <c r="AO273" s="32" t="inlineStr">
        <is>
          <t>0000721-61.2024.8.17.2620</t>
        </is>
      </c>
      <c r="AP273" s="32" t="inlineStr">
        <is>
          <t>TJPE</t>
        </is>
      </c>
      <c r="AQ273" s="32" t="inlineStr">
        <is>
          <t>Recuperação judicial</t>
        </is>
      </c>
      <c r="AR273" s="32" t="inlineStr">
        <is>
          <t>DataJud: no closure/falência movement</t>
        </is>
      </c>
      <c r="AS273" s="32" t="n">
        <v>2024</v>
      </c>
      <c r="AT273" s="32" t="inlineStr">
        <is>
          <t>live case, no plan document yet</t>
        </is>
      </c>
      <c r="AU273" s="32" t="inlineStr">
        <is>
          <t>08.785.522/0001-58</t>
        </is>
      </c>
      <c r="AV273" s="32" t="inlineStr">
        <is>
          <t>printed on the list (read twice)</t>
        </is>
      </c>
      <c r="AW273" s="32" t="inlineStr"/>
      <c r="AX273" s="32" t="inlineStr">
        <is>
          <t>SAO PAULO</t>
        </is>
      </c>
      <c r="AY273" s="32" t="inlineStr">
        <is>
          <t>SP</t>
        </is>
      </c>
      <c r="AZ273" s="32" t="inlineStr">
        <is>
          <t>Outras atividades de serviços financeiros não especificadas anteriormente</t>
        </is>
      </c>
      <c r="BA273" s="32" t="inlineStr">
        <is>
          <t>não ME/EPP</t>
        </is>
      </c>
      <c r="BB273" s="33" t="n">
        <v>35000000</v>
      </c>
      <c r="BC273" s="32" t="inlineStr">
        <is>
          <t>MID-MARKET</t>
        </is>
      </c>
      <c r="BD273" s="32" t="inlineStr">
        <is>
          <t>34337707</t>
        </is>
      </c>
      <c r="BE273" s="32" t="n">
        <v>1</v>
      </c>
      <c r="BF273" s="32" t="inlineStr">
        <is>
          <t>class III reconciled (doc partial)</t>
        </is>
      </c>
    </row>
    <row r="274">
      <c r="A274" s="17" t="inlineStr">
        <is>
          <t>Fundo de Investimento em Direitos Creditórios XPCE Crédito Middle</t>
        </is>
      </c>
      <c r="B274" s="18" t="n">
        <v>275065.04</v>
      </c>
      <c r="C274" s="19" t="inlineStr">
        <is>
          <t>GRUPO DP4</t>
        </is>
      </c>
      <c r="D274" s="20" t="inlineStr">
        <is>
          <t>NEW</t>
        </is>
      </c>
      <c r="E274" s="21" t="inlineStr"/>
      <c r="F274" s="20" t="inlineStr"/>
      <c r="G274" s="21" t="inlineStr"/>
      <c r="H274" s="20" t="inlineStr"/>
      <c r="I274" s="22" t="inlineStr">
        <is>
          <t>Renato Junqueira</t>
        </is>
      </c>
      <c r="J274" s="22" t="inlineStr">
        <is>
          <t>VP-Crédito Estruturado e Special Situations</t>
        </is>
      </c>
      <c r="K274" s="22" t="inlineStr"/>
      <c r="L274" s="22" t="inlineStr"/>
      <c r="M274" s="22" t="inlineStr"/>
      <c r="N274" s="22" t="inlineStr">
        <is>
          <t>renato.junqueira@xpi.com.br</t>
        </is>
      </c>
      <c r="O274" s="22" t="inlineStr">
        <is>
          <t>verified</t>
        </is>
      </c>
      <c r="P274" s="22" t="inlineStr">
        <is>
          <t>Lucca Kao</t>
        </is>
      </c>
      <c r="Q274" s="22" t="inlineStr">
        <is>
          <t>Analista de Crédito Estruturado</t>
        </is>
      </c>
      <c r="R274" s="22" t="inlineStr"/>
      <c r="S274" s="22" t="inlineStr">
        <is>
          <t>lucca.kao@xpasset.com.br</t>
        </is>
      </c>
      <c r="T274" s="22" t="inlineStr">
        <is>
          <t>DM: DM; VERIFY org: XP Asset Management (gestora of FIDC XPCE Crédito Middle); special situations desk; BACKUP: backup</t>
        </is>
      </c>
      <c r="U274" s="24" t="n">
        <v>275065.04</v>
      </c>
      <c r="V274" s="25" t="inlineStr">
        <is>
          <t>B</t>
        </is>
      </c>
      <c r="W274" s="26" t="inlineStr"/>
      <c r="X274" s="27" t="inlineStr"/>
      <c r="Y274" s="27" t="inlineStr"/>
      <c r="Z274" s="26">
        <f>IF(W274&lt;&gt;"",W274,IFERROR(VLOOKUP(V274,Assumptions!$A$8:$F$12,2,FALSE),0))*Assumptions!$B$5</f>
        <v/>
      </c>
      <c r="AA274" s="28">
        <f>IF(V274="A",MAX(1,IF(X274&lt;&gt;"",X274,IFERROR(VLOOKUP(V274,Assumptions!$A$8:$F$12,3,FALSE),3))+IF(Y274&lt;&gt;"",Y274,IFERROR(VLOOKUP(V274,Assumptions!$A$8:$F$12,4,FALSE),8))/2-MAX(0,IF(AS274="",0,YEAR(TODAY())-AS274)-IFERROR(VLOOKUP(V274,Assumptions!$A$8:$F$12,5,FALSE),1.5))),IFERROR(VLOOKUP(V274,Assumptions!$A$8:$F$12,5,FALSE),2.5)+IF(X274&lt;&gt;"",X274,IFERROR(VLOOKUP(V274,Assumptions!$A$8:$F$12,3,FALSE),3))+IF(Y274&lt;&gt;"",Y274,IFERROR(VLOOKUP(V274,Assumptions!$A$8:$F$12,4,FALSE),8))/2)</f>
        <v/>
      </c>
      <c r="AB274" s="24">
        <f>U274*Z274/(1+Assumptions!$B$3)^AA274</f>
        <v/>
      </c>
      <c r="AC274" s="27">
        <f>IF(U274=0,"",ROUND(AB274/U274*100,1))</f>
        <v/>
      </c>
      <c r="AD274" s="29">
        <f>AB274*Assumptions!$B$4</f>
        <v/>
      </c>
      <c r="AE274" s="27">
        <f>IF(U274=0,"",ROUND(AD274/U274*100,1))</f>
        <v/>
      </c>
      <c r="AF274" s="29">
        <f>AB274-AD274</f>
        <v/>
      </c>
      <c r="AG274" s="27">
        <f>IF(U274=0,"",ROUND((AB274-AD274)/U274*100,1))</f>
        <v/>
      </c>
      <c r="AH274" s="35" t="inlineStr">
        <is>
          <t>PARTIAL — class III reconciled, other classes not</t>
        </is>
      </c>
      <c r="AI274" s="31" t="inlineStr">
        <is>
          <t>https://marquesadmjudicial.com.br/sgc/download.php?file=files/processo_documento/processo_documento15293208032024_1_.pdf&amp;nome=Relação Nominal de Credores da AJ-Sintética</t>
        </is>
      </c>
      <c r="AJ274" s="30" t="inlineStr">
        <is>
          <t>p25 r12</t>
        </is>
      </c>
      <c r="AK274" s="30" t="inlineStr">
        <is>
          <t>p25: R$ 275.065,04</t>
        </is>
      </c>
      <c r="AL274" s="30" t="inlineStr">
        <is>
          <t>AJ list (art. 7 §2)</t>
        </is>
      </c>
      <c r="AM274" s="30" t="inlineStr">
        <is>
          <t>2023-03-02</t>
        </is>
      </c>
      <c r="AN274" s="30" t="inlineStr">
        <is>
          <t>NONE FOUND</t>
        </is>
      </c>
      <c r="AO274" s="32" t="inlineStr">
        <is>
          <t>0005010-98.2023.8.16.0001</t>
        </is>
      </c>
      <c r="AP274" s="32" t="inlineStr">
        <is>
          <t>TJPR</t>
        </is>
      </c>
      <c r="AQ274" s="32" t="inlineStr">
        <is>
          <t>Recuperação judicial</t>
        </is>
      </c>
      <c r="AR274" s="32" t="inlineStr">
        <is>
          <t>DataJud: no closure/falência movement</t>
        </is>
      </c>
      <c r="AS274" s="32" t="n">
        <v>2023</v>
      </c>
      <c r="AT274" s="32" t="inlineStr">
        <is>
          <t>live case, no plan document yet</t>
        </is>
      </c>
      <c r="AU274" s="32" t="inlineStr"/>
      <c r="AV274" s="32" t="inlineStr">
        <is>
          <t>printed on the list (read twice)</t>
        </is>
      </c>
      <c r="AW274" s="32" t="inlineStr"/>
      <c r="AX274" s="32" t="inlineStr"/>
      <c r="AY274" s="32" t="inlineStr"/>
      <c r="AZ274" s="32" t="inlineStr"/>
      <c r="BA274" s="32" t="inlineStr"/>
      <c r="BB274" s="33" t="inlineStr"/>
      <c r="BC274" s="32" t="inlineStr">
        <is>
          <t>UNKNOWN</t>
        </is>
      </c>
      <c r="BD274" s="32" t="inlineStr">
        <is>
          <t>31216519</t>
        </is>
      </c>
      <c r="BE274" s="32" t="n">
        <v>1</v>
      </c>
      <c r="BF274" s="32" t="inlineStr">
        <is>
          <t>financial by name class III reconciled (doc partial) no RFB record</t>
        </is>
      </c>
    </row>
    <row r="275">
      <c r="A275" s="17" t="inlineStr">
        <is>
          <t>INTERBANK FUNDO DE INVESTIMENTO EM DIREITOS CREDITORIOS</t>
        </is>
      </c>
      <c r="B275" s="18" t="n">
        <v>273047.11</v>
      </c>
      <c r="C275" s="19" t="inlineStr">
        <is>
          <t>SOJAL COMERCIAL AGRICOLA LTDA e OUTROS</t>
        </is>
      </c>
      <c r="D275" s="20" t="inlineStr">
        <is>
          <t>NEW</t>
        </is>
      </c>
      <c r="E275" s="21" t="inlineStr"/>
      <c r="F275" s="20" t="inlineStr"/>
      <c r="G275" s="21" t="inlineStr"/>
      <c r="H275" s="20" t="inlineStr"/>
      <c r="I275" s="22" t="inlineStr">
        <is>
          <t>Talita Nicacio</t>
        </is>
      </c>
      <c r="J275" s="22" t="inlineStr">
        <is>
          <t>Coordenador(a) de Crédito, Cadastro e Formalização - FIDC</t>
        </is>
      </c>
      <c r="K275" s="22" t="inlineStr">
        <is>
          <t>(11) 2827-3500</t>
        </is>
      </c>
      <c r="L275" s="22" t="inlineStr"/>
      <c r="M275" s="22" t="inlineStr"/>
      <c r="N275" s="22" t="inlineStr">
        <is>
          <t>talita@lsinterbank.com.br</t>
        </is>
      </c>
      <c r="O275" s="22" t="inlineStr">
        <is>
          <t>verified</t>
        </is>
      </c>
      <c r="P275" s="22" t="inlineStr"/>
      <c r="Q275" s="22" t="inlineStr"/>
      <c r="R275" s="22" t="inlineStr"/>
      <c r="S275" s="22" t="inlineStr"/>
      <c r="T275" s="22" t="inlineStr">
        <is>
          <t>DM: DM verified email; LS Interbank (BH) FIDC credit coordinator; VERIFY org: LS Interbank</t>
        </is>
      </c>
      <c r="U275" s="24" t="n">
        <v>273047.11</v>
      </c>
      <c r="V275" s="25" t="inlineStr">
        <is>
          <t>B</t>
        </is>
      </c>
      <c r="W275" s="26" t="inlineStr"/>
      <c r="X275" s="27" t="inlineStr"/>
      <c r="Y275" s="27" t="inlineStr"/>
      <c r="Z275" s="26">
        <f>IF(W275&lt;&gt;"",W275,IFERROR(VLOOKUP(V275,Assumptions!$A$8:$F$12,2,FALSE),0))*Assumptions!$B$5</f>
        <v/>
      </c>
      <c r="AA275" s="28">
        <f>IF(V275="A",MAX(1,IF(X275&lt;&gt;"",X275,IFERROR(VLOOKUP(V275,Assumptions!$A$8:$F$12,3,FALSE),3))+IF(Y275&lt;&gt;"",Y275,IFERROR(VLOOKUP(V275,Assumptions!$A$8:$F$12,4,FALSE),8))/2-MAX(0,IF(AS275="",0,YEAR(TODAY())-AS275)-IFERROR(VLOOKUP(V275,Assumptions!$A$8:$F$12,5,FALSE),1.5))),IFERROR(VLOOKUP(V275,Assumptions!$A$8:$F$12,5,FALSE),2.5)+IF(X275&lt;&gt;"",X275,IFERROR(VLOOKUP(V275,Assumptions!$A$8:$F$12,3,FALSE),3))+IF(Y275&lt;&gt;"",Y275,IFERROR(VLOOKUP(V275,Assumptions!$A$8:$F$12,4,FALSE),8))/2)</f>
        <v/>
      </c>
      <c r="AB275" s="24">
        <f>U275*Z275/(1+Assumptions!$B$3)^AA275</f>
        <v/>
      </c>
      <c r="AC275" s="27">
        <f>IF(U275=0,"",ROUND(AB275/U275*100,1))</f>
        <v/>
      </c>
      <c r="AD275" s="29">
        <f>AB275*Assumptions!$B$4</f>
        <v/>
      </c>
      <c r="AE275" s="27">
        <f>IF(U275=0,"",ROUND(AD275/U275*100,1))</f>
        <v/>
      </c>
      <c r="AF275" s="29">
        <f>AB275-AD275</f>
        <v/>
      </c>
      <c r="AG275" s="27">
        <f>IF(U275=0,"",ROUND((AB275-AD275)/U275*100,1))</f>
        <v/>
      </c>
      <c r="AH275" s="30" t="inlineStr">
        <is>
          <t>OK — totals reconciled</t>
        </is>
      </c>
      <c r="AI275" s="31" t="inlineStr">
        <is>
          <t>https://lrflideres.com.br/wp-content/plugins/download-attachments/includes/download.php?id=6879</t>
        </is>
      </c>
      <c r="AJ275" s="30" t="inlineStr">
        <is>
          <t>p2 r3</t>
        </is>
      </c>
      <c r="AK275" s="30" t="inlineStr">
        <is>
          <t>p2: R$ 273.047,11</t>
        </is>
      </c>
      <c r="AL275" s="30" t="inlineStr">
        <is>
          <t>AJ list (art. 7 §2)</t>
        </is>
      </c>
      <c r="AM275" s="30" t="inlineStr">
        <is>
          <t>2026-01-15</t>
        </is>
      </c>
      <c r="AN275" s="30" t="inlineStr">
        <is>
          <t>NONE FOUND</t>
        </is>
      </c>
      <c r="AO275" s="32" t="inlineStr">
        <is>
          <t>0804401-51.2025.8.14.0039</t>
        </is>
      </c>
      <c r="AP275" s="32" t="inlineStr">
        <is>
          <t>TJPA</t>
        </is>
      </c>
      <c r="AQ275" s="32" t="inlineStr">
        <is>
          <t>Recuperação judicial</t>
        </is>
      </c>
      <c r="AR275" s="32" t="inlineStr">
        <is>
          <t>DataJud: no closure/falência movement</t>
        </is>
      </c>
      <c r="AS275" s="32" t="n">
        <v>2025</v>
      </c>
      <c r="AT275" s="32" t="inlineStr">
        <is>
          <t>live case, no plan document yet</t>
        </is>
      </c>
      <c r="AU275" s="32" t="inlineStr"/>
      <c r="AV275" s="32" t="inlineStr">
        <is>
          <t>printed on the list (read twice)</t>
        </is>
      </c>
      <c r="AW275" s="32" t="inlineStr"/>
      <c r="AX275" s="32" t="inlineStr">
        <is>
          <t>SAO PAULO</t>
        </is>
      </c>
      <c r="AY275" s="32" t="inlineStr">
        <is>
          <t>SP</t>
        </is>
      </c>
      <c r="AZ275" s="32" t="inlineStr">
        <is>
          <t>Fundos de investimento, exceto previdenciários e imobiliários</t>
        </is>
      </c>
      <c r="BA275" s="32" t="inlineStr">
        <is>
          <t>não ME/EPP</t>
        </is>
      </c>
      <c r="BB275" s="33" t="inlineStr"/>
      <c r="BC275" s="32" t="inlineStr">
        <is>
          <t>UNKNOWN</t>
        </is>
      </c>
      <c r="BD275" s="32" t="inlineStr">
        <is>
          <t>20791371</t>
        </is>
      </c>
      <c r="BE275" s="32" t="n">
        <v>1</v>
      </c>
      <c r="BF275" s="32" t="inlineStr">
        <is>
          <t>financial by name</t>
        </is>
      </c>
    </row>
    <row r="276">
      <c r="A276" s="17" t="inlineStr">
        <is>
          <t>FAN SECURITIZADORA S/A (IGUANA)</t>
        </is>
      </c>
      <c r="B276" s="18" t="n">
        <v>266462.06</v>
      </c>
      <c r="C276" s="19" t="inlineStr">
        <is>
          <t>GRUPO DIVINA</t>
        </is>
      </c>
      <c r="D276" s="20" t="inlineStr">
        <is>
          <t>NEW</t>
        </is>
      </c>
      <c r="E276" s="21" t="inlineStr"/>
      <c r="F276" s="20" t="inlineStr"/>
      <c r="G276" s="21" t="inlineStr"/>
      <c r="H276" s="20" t="inlineStr"/>
      <c r="I276" s="22" t="inlineStr">
        <is>
          <t>Debora Silva</t>
        </is>
      </c>
      <c r="J276" s="22" t="inlineStr">
        <is>
          <t>Financial Administrative Assistant</t>
        </is>
      </c>
      <c r="K276" s="22" t="inlineStr"/>
      <c r="L276" s="22" t="inlineStr"/>
      <c r="M276" s="22" t="inlineStr"/>
      <c r="N276" s="22" t="inlineStr"/>
      <c r="O276" s="22" t="inlineStr"/>
      <c r="P276" s="22" t="inlineStr"/>
      <c r="Q276" s="22" t="inlineStr"/>
      <c r="R276" s="22" t="inlineStr"/>
      <c r="S276" s="22" t="inlineStr"/>
      <c r="T276" s="22" t="inlineStr">
        <is>
          <t>DM: DM; no work email in Apollo for DM; NO ROUTE IN: no phone or email on file</t>
        </is>
      </c>
      <c r="U276" s="24" t="n">
        <v>266462.06</v>
      </c>
      <c r="V276" s="25" t="inlineStr">
        <is>
          <t>B</t>
        </is>
      </c>
      <c r="W276" s="26" t="inlineStr"/>
      <c r="X276" s="27" t="inlineStr"/>
      <c r="Y276" s="27" t="inlineStr"/>
      <c r="Z276" s="26">
        <f>IF(W276&lt;&gt;"",W276,IFERROR(VLOOKUP(V276,Assumptions!$A$8:$F$12,2,FALSE),0))*Assumptions!$B$5</f>
        <v/>
      </c>
      <c r="AA276" s="28">
        <f>IF(V276="A",MAX(1,IF(X276&lt;&gt;"",X276,IFERROR(VLOOKUP(V276,Assumptions!$A$8:$F$12,3,FALSE),3))+IF(Y276&lt;&gt;"",Y276,IFERROR(VLOOKUP(V276,Assumptions!$A$8:$F$12,4,FALSE),8))/2-MAX(0,IF(AS276="",0,YEAR(TODAY())-AS276)-IFERROR(VLOOKUP(V276,Assumptions!$A$8:$F$12,5,FALSE),1.5))),IFERROR(VLOOKUP(V276,Assumptions!$A$8:$F$12,5,FALSE),2.5)+IF(X276&lt;&gt;"",X276,IFERROR(VLOOKUP(V276,Assumptions!$A$8:$F$12,3,FALSE),3))+IF(Y276&lt;&gt;"",Y276,IFERROR(VLOOKUP(V276,Assumptions!$A$8:$F$12,4,FALSE),8))/2)</f>
        <v/>
      </c>
      <c r="AB276" s="24">
        <f>U276*Z276/(1+Assumptions!$B$3)^AA276</f>
        <v/>
      </c>
      <c r="AC276" s="27">
        <f>IF(U276=0,"",ROUND(AB276/U276*100,1))</f>
        <v/>
      </c>
      <c r="AD276" s="29">
        <f>AB276*Assumptions!$B$4</f>
        <v/>
      </c>
      <c r="AE276" s="27">
        <f>IF(U276=0,"",ROUND(AD276/U276*100,1))</f>
        <v/>
      </c>
      <c r="AF276" s="29">
        <f>AB276-AD276</f>
        <v/>
      </c>
      <c r="AG276" s="27">
        <f>IF(U276=0,"",ROUND((AB276-AD276)/U276*100,1))</f>
        <v/>
      </c>
      <c r="AH276" s="35" t="inlineStr">
        <is>
          <t>PARTIAL — class III reconciled, other classes not</t>
        </is>
      </c>
      <c r="AI276" s="31" t="inlineStr">
        <is>
          <t>https://lrflideres.com.br/wp-content/plugins/download-attachments/includes/download.php?id=6252</t>
        </is>
      </c>
      <c r="AJ276" s="30" t="inlineStr">
        <is>
          <t>p2 r38</t>
        </is>
      </c>
      <c r="AK276" s="30" t="inlineStr">
        <is>
          <t>p2: R$ 266.462,06</t>
        </is>
      </c>
      <c r="AL276" s="30" t="inlineStr">
        <is>
          <t>AJ list (art. 7 §2)</t>
        </is>
      </c>
      <c r="AM276" s="30" t="inlineStr">
        <is>
          <t>2024-11-27</t>
        </is>
      </c>
      <c r="AN276" s="30" t="inlineStr">
        <is>
          <t>NONE FOUND</t>
        </is>
      </c>
      <c r="AO276" s="32" t="inlineStr">
        <is>
          <t>0000721-61.2024.8.17.2620</t>
        </is>
      </c>
      <c r="AP276" s="32" t="inlineStr">
        <is>
          <t>TJPE</t>
        </is>
      </c>
      <c r="AQ276" s="32" t="inlineStr">
        <is>
          <t>Recuperação judicial</t>
        </is>
      </c>
      <c r="AR276" s="32" t="inlineStr">
        <is>
          <t>DataJud: no closure/falência movement</t>
        </is>
      </c>
      <c r="AS276" s="32" t="n">
        <v>2024</v>
      </c>
      <c r="AT276" s="32" t="inlineStr">
        <is>
          <t>live case, no plan document yet</t>
        </is>
      </c>
      <c r="AU276" s="32" t="inlineStr">
        <is>
          <t>08.785.522/0001-58</t>
        </is>
      </c>
      <c r="AV276" s="32" t="inlineStr">
        <is>
          <t>printed on the list (read twice)</t>
        </is>
      </c>
      <c r="AW276" s="32" t="inlineStr"/>
      <c r="AX276" s="32" t="inlineStr"/>
      <c r="AY276" s="32" t="inlineStr"/>
      <c r="AZ276" s="32" t="inlineStr"/>
      <c r="BA276" s="32" t="inlineStr"/>
      <c r="BB276" s="33" t="inlineStr"/>
      <c r="BC276" s="32" t="inlineStr">
        <is>
          <t>UNKNOWN</t>
        </is>
      </c>
      <c r="BD276" s="32" t="inlineStr">
        <is>
          <t>07906625</t>
        </is>
      </c>
      <c r="BE276" s="32" t="n">
        <v>1</v>
      </c>
      <c r="BF276" s="32" t="inlineStr">
        <is>
          <t>financial by name class III reconciled (doc partial) no RFB record no route in</t>
        </is>
      </c>
    </row>
    <row r="277">
      <c r="A277" s="17" t="inlineStr">
        <is>
          <t>KIRTON BANK S.A. - BANCO MULTIPLO</t>
        </is>
      </c>
      <c r="B277" s="18" t="n">
        <v>1894260.28</v>
      </c>
      <c r="C277" s="19" t="inlineStr">
        <is>
          <t>COPA FRUIT IMPORTAÇÃO E EXPORTAÇÃO S.A</t>
        </is>
      </c>
      <c r="D277" s="20" t="inlineStr">
        <is>
          <t>NEW</t>
        </is>
      </c>
      <c r="E277" s="21" t="inlineStr"/>
      <c r="F277" s="20" t="inlineStr"/>
      <c r="G277" s="21" t="inlineStr"/>
      <c r="H277" s="20" t="inlineStr"/>
      <c r="I277" s="22" t="inlineStr">
        <is>
          <t>CLAYTON NEVES XAVIER</t>
        </is>
      </c>
      <c r="J277" s="23" t="inlineStr">
        <is>
          <t>Administrador (RFB partner)</t>
        </is>
      </c>
      <c r="K277" s="22" t="inlineStr">
        <is>
          <t>(11) 3684-3884</t>
        </is>
      </c>
      <c r="L277" s="22" t="inlineStr"/>
      <c r="M277" s="22" t="inlineStr"/>
      <c r="N277" s="22" t="inlineStr"/>
      <c r="O277" s="22" t="inlineStr"/>
      <c r="P277" s="22" t="inlineStr">
        <is>
          <t>CRISTIANO ADJUTO E CAMPOS</t>
        </is>
      </c>
      <c r="Q277" s="22" t="inlineStr">
        <is>
          <t>Administrador (RFB partner)</t>
        </is>
      </c>
      <c r="R277" s="22" t="inlineStr"/>
      <c r="S277" s="22" t="inlineStr"/>
      <c r="T277" s="22" t="inlineStr">
        <is>
          <t>DM = registered partner (RFB QSA); no Apollo match</t>
        </is>
      </c>
      <c r="U277" s="24" t="n">
        <v>1894260.28</v>
      </c>
      <c r="V277" s="40" t="inlineStr">
        <is>
          <t>D</t>
        </is>
      </c>
      <c r="W277" s="26" t="inlineStr"/>
      <c r="X277" s="27" t="inlineStr"/>
      <c r="Y277" s="27" t="inlineStr"/>
      <c r="Z277" s="26">
        <f>IF(W277&lt;&gt;"",W277,IFERROR(VLOOKUP(V277,Assumptions!$A$8:$F$12,2,FALSE),0))*Assumptions!$B$5</f>
        <v/>
      </c>
      <c r="AA277" s="28">
        <f>IF(V277="A",MAX(1,IF(X277&lt;&gt;"",X277,IFERROR(VLOOKUP(V277,Assumptions!$A$8:$F$12,3,FALSE),3))+IF(Y277&lt;&gt;"",Y277,IFERROR(VLOOKUP(V277,Assumptions!$A$8:$F$12,4,FALSE),8))/2-MAX(0,IF(AS277="",0,YEAR(TODAY())-AS277)-IFERROR(VLOOKUP(V277,Assumptions!$A$8:$F$12,5,FALSE),1.5))),IFERROR(VLOOKUP(V277,Assumptions!$A$8:$F$12,5,FALSE),2.5)+IF(X277&lt;&gt;"",X277,IFERROR(VLOOKUP(V277,Assumptions!$A$8:$F$12,3,FALSE),3))+IF(Y277&lt;&gt;"",Y277,IFERROR(VLOOKUP(V277,Assumptions!$A$8:$F$12,4,FALSE),8))/2)</f>
        <v/>
      </c>
      <c r="AB277" s="24">
        <f>U277*Z277/(1+Assumptions!$B$3)^AA277</f>
        <v/>
      </c>
      <c r="AC277" s="27">
        <f>IF(U277=0,"",ROUND(AB277/U277*100,1))</f>
        <v/>
      </c>
      <c r="AD277" s="29">
        <f>AB277*Assumptions!$B$4</f>
        <v/>
      </c>
      <c r="AE277" s="27">
        <f>IF(U277=0,"",ROUND(AD277/U277*100,1))</f>
        <v/>
      </c>
      <c r="AF277" s="29">
        <f>AB277-AD277</f>
        <v/>
      </c>
      <c r="AG277" s="27">
        <f>IF(U277=0,"",ROUND((AB277-AD277)/U277*100,1))</f>
        <v/>
      </c>
      <c r="AH277" s="34" t="inlineStr">
        <is>
          <t>NO TOTALS — list prints none; check page</t>
        </is>
      </c>
      <c r="AI277" s="31" t="inlineStr">
        <is>
          <t>https://diligence.adm.br/wp-content/plugins/download-attachments/includes/download.php?id=4579</t>
        </is>
      </c>
      <c r="AJ277" s="30" t="inlineStr">
        <is>
          <t>p8 r7</t>
        </is>
      </c>
      <c r="AK277" s="30" t="inlineStr">
        <is>
          <t>p8: R$ 1.894.260,28</t>
        </is>
      </c>
      <c r="AL277" s="30" t="inlineStr">
        <is>
          <t>AJ list (art. 7 §2)</t>
        </is>
      </c>
      <c r="AM277" s="30" t="inlineStr">
        <is>
          <t>2024-06-11</t>
        </is>
      </c>
      <c r="AN277" s="30" t="inlineStr">
        <is>
          <t>NONE FOUND</t>
        </is>
      </c>
      <c r="AO277" s="32" t="inlineStr">
        <is>
          <t>0032731-52.2010.8.17.0001</t>
        </is>
      </c>
      <c r="AP277" s="32" t="inlineStr">
        <is>
          <t>TJPE</t>
        </is>
      </c>
      <c r="AQ277" s="32" t="inlineStr">
        <is>
          <t>Falência</t>
        </is>
      </c>
      <c r="AR277" s="32" t="inlineStr">
        <is>
          <t>not in DataJud</t>
        </is>
      </c>
      <c r="AS277" s="32" t="n">
        <v>2010</v>
      </c>
      <c r="AT277" s="32" t="inlineStr">
        <is>
          <t>falência proceeding (list/name says falida)</t>
        </is>
      </c>
      <c r="AU277" s="32" t="inlineStr">
        <is>
          <t>01.356.809/0001-13</t>
        </is>
      </c>
      <c r="AV277" s="32" t="inlineStr">
        <is>
          <t>printed on the list (read twice)</t>
        </is>
      </c>
      <c r="AW277" s="32" t="inlineStr"/>
      <c r="AX277" s="32" t="inlineStr">
        <is>
          <t>OSASCO</t>
        </is>
      </c>
      <c r="AY277" s="32" t="inlineStr">
        <is>
          <t>SP</t>
        </is>
      </c>
      <c r="AZ277" s="32" t="inlineStr">
        <is>
          <t>Bancos múltiplos, com carteira comercial</t>
        </is>
      </c>
      <c r="BA277" s="32" t="inlineStr">
        <is>
          <t>não ME/EPP</t>
        </is>
      </c>
      <c r="BB277" s="33" t="n">
        <v>8778882000</v>
      </c>
      <c r="BC277" s="32" t="inlineStr">
        <is>
          <t>LARGE CORP</t>
        </is>
      </c>
      <c r="BD277" s="32" t="inlineStr">
        <is>
          <t>01701201</t>
        </is>
      </c>
      <c r="BE277" s="32" t="n">
        <v>1</v>
      </c>
      <c r="BF277" s="32" t="inlineStr">
        <is>
          <t>financial by name list prints no totals</t>
        </is>
      </c>
    </row>
    <row r="278">
      <c r="A278" s="17" t="inlineStr">
        <is>
          <t>BANCO ABC BRASIL S.A.</t>
        </is>
      </c>
      <c r="B278" s="18" t="n">
        <v>263557.92</v>
      </c>
      <c r="C278" s="19" t="inlineStr">
        <is>
          <t>Alto Uruguai Indústria e Comércio de Óleos Ltda</t>
        </is>
      </c>
      <c r="D278" s="20" t="inlineStr">
        <is>
          <t>NEW</t>
        </is>
      </c>
      <c r="E278" s="21" t="inlineStr"/>
      <c r="F278" s="20" t="inlineStr"/>
      <c r="G278" s="21" t="inlineStr"/>
      <c r="H278" s="20" t="inlineStr"/>
      <c r="I278" s="22" t="inlineStr">
        <is>
          <t>Luciano Makino</t>
        </is>
      </c>
      <c r="J278" s="22" t="inlineStr">
        <is>
          <t>Especialista de Recuperação de Crédito</t>
        </is>
      </c>
      <c r="K278" s="22" t="inlineStr">
        <is>
          <t>(11) 3170-2000</t>
        </is>
      </c>
      <c r="L278" s="22" t="inlineStr"/>
      <c r="M278" s="22" t="inlineStr"/>
      <c r="N278" s="22" t="inlineStr">
        <is>
          <t>luciano.makino@abcbrasil.com.br</t>
        </is>
      </c>
      <c r="O278" s="22" t="inlineStr">
        <is>
          <t>verified</t>
        </is>
      </c>
      <c r="P278" s="22" t="inlineStr">
        <is>
          <t>Marilia Neves</t>
        </is>
      </c>
      <c r="Q278" s="22" t="inlineStr">
        <is>
          <t>Advogado Especialista em Recuperação de Crédito</t>
        </is>
      </c>
      <c r="R278" s="22" t="inlineStr"/>
      <c r="S278" s="22" t="inlineStr">
        <is>
          <t>marilia.neves@abcbrasil.com.br</t>
        </is>
      </c>
      <c r="T278" s="22" t="inlineStr">
        <is>
          <t>DM: DM verified email; BACKUP: backup verified email</t>
        </is>
      </c>
      <c r="U278" s="24" t="n">
        <v>263557.92</v>
      </c>
      <c r="V278" s="25" t="inlineStr">
        <is>
          <t>B</t>
        </is>
      </c>
      <c r="W278" s="26" t="inlineStr"/>
      <c r="X278" s="27" t="inlineStr"/>
      <c r="Y278" s="27" t="inlineStr"/>
      <c r="Z278" s="26">
        <f>IF(W278&lt;&gt;"",W278,IFERROR(VLOOKUP(V278,Assumptions!$A$8:$F$12,2,FALSE),0))*Assumptions!$B$5</f>
        <v/>
      </c>
      <c r="AA278" s="28">
        <f>IF(V278="A",MAX(1,IF(X278&lt;&gt;"",X278,IFERROR(VLOOKUP(V278,Assumptions!$A$8:$F$12,3,FALSE),3))+IF(Y278&lt;&gt;"",Y278,IFERROR(VLOOKUP(V278,Assumptions!$A$8:$F$12,4,FALSE),8))/2-MAX(0,IF(AS278="",0,YEAR(TODAY())-AS278)-IFERROR(VLOOKUP(V278,Assumptions!$A$8:$F$12,5,FALSE),1.5))),IFERROR(VLOOKUP(V278,Assumptions!$A$8:$F$12,5,FALSE),2.5)+IF(X278&lt;&gt;"",X278,IFERROR(VLOOKUP(V278,Assumptions!$A$8:$F$12,3,FALSE),3))+IF(Y278&lt;&gt;"",Y278,IFERROR(VLOOKUP(V278,Assumptions!$A$8:$F$12,4,FALSE),8))/2)</f>
        <v/>
      </c>
      <c r="AB278" s="24">
        <f>U278*Z278/(1+Assumptions!$B$3)^AA278</f>
        <v/>
      </c>
      <c r="AC278" s="27">
        <f>IF(U278=0,"",ROUND(AB278/U278*100,1))</f>
        <v/>
      </c>
      <c r="AD278" s="29">
        <f>AB278*Assumptions!$B$4</f>
        <v/>
      </c>
      <c r="AE278" s="27">
        <f>IF(U278=0,"",ROUND(AD278/U278*100,1))</f>
        <v/>
      </c>
      <c r="AF278" s="29">
        <f>AB278-AD278</f>
        <v/>
      </c>
      <c r="AG278" s="27">
        <f>IF(U278=0,"",ROUND((AB278-AD278)/U278*100,1))</f>
        <v/>
      </c>
      <c r="AH278" s="30" t="inlineStr">
        <is>
          <t>OK — totals reconciled</t>
        </is>
      </c>
      <c r="AI278" s="31" t="inlineStr">
        <is>
          <t>https://ajruiz.com.br/sites/default/files/public/arquivos-processos/2026-06/alto_uruguai_qgc_junho.2026.pdf</t>
        </is>
      </c>
      <c r="AJ278" s="30" t="inlineStr">
        <is>
          <t>p1 r11</t>
        </is>
      </c>
      <c r="AK278" s="30" t="inlineStr">
        <is>
          <t>p1: R$ 263.557,92</t>
        </is>
      </c>
      <c r="AL278" s="30" t="inlineStr">
        <is>
          <t>Unclassified list</t>
        </is>
      </c>
      <c r="AM278" s="30" t="inlineStr"/>
      <c r="AN278" s="30" t="inlineStr">
        <is>
          <t>NONE FOUND</t>
        </is>
      </c>
      <c r="AO278" s="32" t="inlineStr">
        <is>
          <t>5012743-51.2023.8.24.0019</t>
        </is>
      </c>
      <c r="AP278" s="32" t="inlineStr">
        <is>
          <t>TJSC</t>
        </is>
      </c>
      <c r="AQ278" s="32" t="inlineStr">
        <is>
          <t>Recuperação judicial</t>
        </is>
      </c>
      <c r="AR278" s="32" t="inlineStr">
        <is>
          <t>DataJud: no closure/falência movement</t>
        </is>
      </c>
      <c r="AS278" s="32" t="n">
        <v>2023</v>
      </c>
      <c r="AT278" s="32" t="inlineStr">
        <is>
          <t>live case, no plan document yet</t>
        </is>
      </c>
      <c r="AU278" s="32" t="inlineStr"/>
      <c r="AV278" s="32" t="inlineStr">
        <is>
          <t>printed on the list (read twice)</t>
        </is>
      </c>
      <c r="AW278" s="32" t="inlineStr"/>
      <c r="AX278" s="32" t="inlineStr">
        <is>
          <t>SAO PAULO</t>
        </is>
      </c>
      <c r="AY278" s="32" t="inlineStr">
        <is>
          <t>SP</t>
        </is>
      </c>
      <c r="AZ278" s="32" t="inlineStr">
        <is>
          <t>Bancos múltiplos, com carteira comercial</t>
        </is>
      </c>
      <c r="BA278" s="32" t="inlineStr">
        <is>
          <t>não ME/EPP</t>
        </is>
      </c>
      <c r="BB278" s="33" t="n">
        <v>6012662300</v>
      </c>
      <c r="BC278" s="32" t="inlineStr">
        <is>
          <t>LARGE CORP</t>
        </is>
      </c>
      <c r="BD278" s="32" t="inlineStr">
        <is>
          <t>28195667</t>
        </is>
      </c>
      <c r="BE278" s="32" t="n">
        <v>1</v>
      </c>
      <c r="BF278" s="32" t="inlineStr">
        <is>
          <t>financial by name</t>
        </is>
      </c>
    </row>
    <row r="279">
      <c r="A279" s="17" t="inlineStr">
        <is>
          <t>BANCO SANTANDER (BRASIL) S.A.</t>
        </is>
      </c>
      <c r="B279" s="18" t="n">
        <v>1022315.01</v>
      </c>
      <c r="C279" s="19" t="inlineStr">
        <is>
          <t>BLUTRAFOS BLUMENAU TRANSFORMADORES LTDA</t>
        </is>
      </c>
      <c r="D279" s="20" t="inlineStr">
        <is>
          <t>NEW</t>
        </is>
      </c>
      <c r="E279" s="21" t="inlineStr"/>
      <c r="F279" s="20" t="inlineStr"/>
      <c r="G279" s="21" t="inlineStr"/>
      <c r="H279" s="20" t="inlineStr"/>
      <c r="I279" s="22" t="inlineStr">
        <is>
          <t>Igor Puertas</t>
        </is>
      </c>
      <c r="J279" s="22" t="inlineStr">
        <is>
          <t>Distressed Assets | NPL</t>
        </is>
      </c>
      <c r="K279" s="22" t="inlineStr">
        <is>
          <t>(11) 4004-3535</t>
        </is>
      </c>
      <c r="L279" s="22" t="inlineStr"/>
      <c r="M279" s="22" t="inlineStr"/>
      <c r="N279" s="22" t="inlineStr">
        <is>
          <t>igor.puertas@santander.com.br</t>
        </is>
      </c>
      <c r="O279" s="22" t="inlineStr">
        <is>
          <t>verified</t>
        </is>
      </c>
      <c r="P279" s="22" t="inlineStr">
        <is>
          <t>Antonio Junior</t>
        </is>
      </c>
      <c r="Q279" s="22" t="inlineStr">
        <is>
          <t>Superintendente Recuperação de Crédito</t>
        </is>
      </c>
      <c r="R279" s="22" t="inlineStr"/>
      <c r="S279" s="22" t="inlineStr">
        <is>
          <t>antonio.pequeno.junior@santander.com.br</t>
        </is>
      </c>
      <c r="T279" s="22" t="inlineStr">
        <is>
          <t>DM: DM; BACKUP: backup</t>
        </is>
      </c>
      <c r="U279" s="24" t="n">
        <v>1022315.01</v>
      </c>
      <c r="V279" s="39" t="inlineStr">
        <is>
          <t>C</t>
        </is>
      </c>
      <c r="W279" s="26" t="inlineStr"/>
      <c r="X279" s="27" t="inlineStr"/>
      <c r="Y279" s="27" t="inlineStr"/>
      <c r="Z279" s="26">
        <f>IF(W279&lt;&gt;"",W279,IFERROR(VLOOKUP(V279,Assumptions!$A$8:$F$12,2,FALSE),0))*Assumptions!$B$5</f>
        <v/>
      </c>
      <c r="AA279" s="28">
        <f>IF(V279="A",MAX(1,IF(X279&lt;&gt;"",X279,IFERROR(VLOOKUP(V279,Assumptions!$A$8:$F$12,3,FALSE),3))+IF(Y279&lt;&gt;"",Y279,IFERROR(VLOOKUP(V279,Assumptions!$A$8:$F$12,4,FALSE),8))/2-MAX(0,IF(AS279="",0,YEAR(TODAY())-AS279)-IFERROR(VLOOKUP(V279,Assumptions!$A$8:$F$12,5,FALSE),1.5))),IFERROR(VLOOKUP(V279,Assumptions!$A$8:$F$12,5,FALSE),2.5)+IF(X279&lt;&gt;"",X279,IFERROR(VLOOKUP(V279,Assumptions!$A$8:$F$12,3,FALSE),3))+IF(Y279&lt;&gt;"",Y279,IFERROR(VLOOKUP(V279,Assumptions!$A$8:$F$12,4,FALSE),8))/2)</f>
        <v/>
      </c>
      <c r="AB279" s="24">
        <f>U279*Z279/(1+Assumptions!$B$3)^AA279</f>
        <v/>
      </c>
      <c r="AC279" s="27">
        <f>IF(U279=0,"",ROUND(AB279/U279*100,1))</f>
        <v/>
      </c>
      <c r="AD279" s="29">
        <f>AB279*Assumptions!$B$4</f>
        <v/>
      </c>
      <c r="AE279" s="27">
        <f>IF(U279=0,"",ROUND(AD279/U279*100,1))</f>
        <v/>
      </c>
      <c r="AF279" s="29">
        <f>AB279-AD279</f>
        <v/>
      </c>
      <c r="AG279" s="27">
        <f>IF(U279=0,"",ROUND((AB279-AD279)/U279*100,1))</f>
        <v/>
      </c>
      <c r="AH279" s="30" t="inlineStr">
        <is>
          <t>OK — totals reconciled</t>
        </is>
      </c>
      <c r="AI279" s="31" t="inlineStr">
        <is>
          <t>https://administradorajudicialgs.com.br/wp-content/uploads/2023/08/advogados-sgrott-doc-22-relacao-de-credores-do-administrador-judicial-classe-iii-05-02-14.pdf</t>
        </is>
      </c>
      <c r="AJ279" s="30" t="inlineStr">
        <is>
          <t>p1 r35</t>
        </is>
      </c>
      <c r="AK279" s="30" t="inlineStr">
        <is>
          <t>p1: R$ 1.022.315,01</t>
        </is>
      </c>
      <c r="AL279" s="30" t="inlineStr">
        <is>
          <t>Unclassified list</t>
        </is>
      </c>
      <c r="AM279" s="30" t="inlineStr"/>
      <c r="AN279" s="30" t="inlineStr">
        <is>
          <t>NONE FOUND</t>
        </is>
      </c>
      <c r="AO279" s="32" t="inlineStr">
        <is>
          <t>0022845-08.2013.8.24.0008</t>
        </is>
      </c>
      <c r="AP279" s="32" t="inlineStr">
        <is>
          <t>TJSC</t>
        </is>
      </c>
      <c r="AQ279" s="32" t="inlineStr"/>
      <c r="AR279" s="32" t="inlineStr">
        <is>
          <t>not in DataJud</t>
        </is>
      </c>
      <c r="AS279" s="32" t="n">
        <v>2013</v>
      </c>
      <c r="AT279" s="32" t="inlineStr">
        <is>
          <t>13y since filing; plan not in our documents; case no. from the portal record, not printed on the list</t>
        </is>
      </c>
      <c r="AU279" s="32" t="inlineStr"/>
      <c r="AV279" s="32" t="inlineStr">
        <is>
          <t>portal page title / URL — not printed on the list</t>
        </is>
      </c>
      <c r="AW279" s="32" t="inlineStr"/>
      <c r="AX279" s="32" t="inlineStr">
        <is>
          <t>SAO PAULO</t>
        </is>
      </c>
      <c r="AY279" s="32" t="inlineStr">
        <is>
          <t>SP</t>
        </is>
      </c>
      <c r="AZ279" s="32" t="inlineStr">
        <is>
          <t>Bancos múltiplos, com carteira comercial</t>
        </is>
      </c>
      <c r="BA279" s="32" t="inlineStr">
        <is>
          <t>não ME/EPP</t>
        </is>
      </c>
      <c r="BB279" s="33" t="n">
        <v>65000000000</v>
      </c>
      <c r="BC279" s="32" t="inlineStr">
        <is>
          <t>LARGE CORP</t>
        </is>
      </c>
      <c r="BD279" s="32" t="inlineStr">
        <is>
          <t>90400888</t>
        </is>
      </c>
      <c r="BE279" s="32" t="n">
        <v>1</v>
      </c>
      <c r="BF279" s="32" t="inlineStr">
        <is>
          <t>financial by name</t>
        </is>
      </c>
    </row>
    <row r="280">
      <c r="A280" s="17" t="inlineStr">
        <is>
          <t>BANCO C6 S.A.</t>
        </is>
      </c>
      <c r="B280" s="18" t="n">
        <v>255371.56</v>
      </c>
      <c r="C280" s="19" t="inlineStr">
        <is>
          <t>Grupo Agromeal</t>
        </is>
      </c>
      <c r="D280" s="20" t="inlineStr">
        <is>
          <t>NEW</t>
        </is>
      </c>
      <c r="E280" s="21" t="inlineStr"/>
      <c r="F280" s="20" t="inlineStr"/>
      <c r="G280" s="21" t="inlineStr"/>
      <c r="H280" s="20" t="inlineStr"/>
      <c r="I280" s="22" t="inlineStr">
        <is>
          <t>Camilla Moriki</t>
        </is>
      </c>
      <c r="J280" s="22" t="inlineStr">
        <is>
          <t>Gerente de Recuperação de Crédito | Reestruturação - Atacado</t>
        </is>
      </c>
      <c r="K280" s="22" t="inlineStr">
        <is>
          <t>(11) 2832-6000</t>
        </is>
      </c>
      <c r="L280" s="22" t="inlineStr"/>
      <c r="M280" s="22" t="inlineStr"/>
      <c r="N280" s="22" t="inlineStr">
        <is>
          <t>camilla.moriki@c6bank.com</t>
        </is>
      </c>
      <c r="O280" s="22" t="inlineStr">
        <is>
          <t>verified</t>
        </is>
      </c>
      <c r="P280" s="22" t="inlineStr">
        <is>
          <t>Kevin Santana</t>
        </is>
      </c>
      <c r="Q280" s="22" t="inlineStr">
        <is>
          <t>Gerente de Estratégia de Recuperação de Crédito</t>
        </is>
      </c>
      <c r="R280" s="22" t="inlineStr"/>
      <c r="S280" s="22" t="inlineStr">
        <is>
          <t>kevin.santana@c6bank.com</t>
        </is>
      </c>
      <c r="T280" s="22" t="inlineStr">
        <is>
          <t>DM: DM verified email (Atacado desk); BACKUP: backup verified email</t>
        </is>
      </c>
      <c r="U280" s="24" t="n">
        <v>255371.56</v>
      </c>
      <c r="V280" s="25" t="inlineStr">
        <is>
          <t>B</t>
        </is>
      </c>
      <c r="W280" s="26" t="inlineStr"/>
      <c r="X280" s="27" t="inlineStr"/>
      <c r="Y280" s="27" t="inlineStr"/>
      <c r="Z280" s="26">
        <f>IF(W280&lt;&gt;"",W280,IFERROR(VLOOKUP(V280,Assumptions!$A$8:$F$12,2,FALSE),0))*Assumptions!$B$5</f>
        <v/>
      </c>
      <c r="AA280" s="28">
        <f>IF(V280="A",MAX(1,IF(X280&lt;&gt;"",X280,IFERROR(VLOOKUP(V280,Assumptions!$A$8:$F$12,3,FALSE),3))+IF(Y280&lt;&gt;"",Y280,IFERROR(VLOOKUP(V280,Assumptions!$A$8:$F$12,4,FALSE),8))/2-MAX(0,IF(AS280="",0,YEAR(TODAY())-AS280)-IFERROR(VLOOKUP(V280,Assumptions!$A$8:$F$12,5,FALSE),1.5))),IFERROR(VLOOKUP(V280,Assumptions!$A$8:$F$12,5,FALSE),2.5)+IF(X280&lt;&gt;"",X280,IFERROR(VLOOKUP(V280,Assumptions!$A$8:$F$12,3,FALSE),3))+IF(Y280&lt;&gt;"",Y280,IFERROR(VLOOKUP(V280,Assumptions!$A$8:$F$12,4,FALSE),8))/2)</f>
        <v/>
      </c>
      <c r="AB280" s="24">
        <f>U280*Z280/(1+Assumptions!$B$3)^AA280</f>
        <v/>
      </c>
      <c r="AC280" s="27">
        <f>IF(U280=0,"",ROUND(AB280/U280*100,1))</f>
        <v/>
      </c>
      <c r="AD280" s="29">
        <f>AB280*Assumptions!$B$4</f>
        <v/>
      </c>
      <c r="AE280" s="27">
        <f>IF(U280=0,"",ROUND(AD280/U280*100,1))</f>
        <v/>
      </c>
      <c r="AF280" s="29">
        <f>AB280-AD280</f>
        <v/>
      </c>
      <c r="AG280" s="27">
        <f>IF(U280=0,"",ROUND((AB280-AD280)/U280*100,1))</f>
        <v/>
      </c>
      <c r="AH280" s="35" t="inlineStr">
        <is>
          <t>PARTIAL — class III reconciled, other classes not</t>
        </is>
      </c>
      <c r="AI280" s="31" t="inlineStr">
        <is>
          <t>https://marquesadmjudicial.com.br/sgc/download.php?file=files/processo_documento/processo_documento17040729052024_1_.pdf&amp;nome=Relação Nominal de Credores AJ-Sintética</t>
        </is>
      </c>
      <c r="AJ280" s="30" t="inlineStr">
        <is>
          <t>p9 r17</t>
        </is>
      </c>
      <c r="AK280" s="30" t="inlineStr">
        <is>
          <t>p9: R$ 255.371,56</t>
        </is>
      </c>
      <c r="AL280" s="30" t="inlineStr">
        <is>
          <t>AJ list (art. 7 §2)</t>
        </is>
      </c>
      <c r="AM280" s="30" t="inlineStr">
        <is>
          <t>2024-05-27</t>
        </is>
      </c>
      <c r="AN280" s="30" t="inlineStr">
        <is>
          <t>NONE FOUND</t>
        </is>
      </c>
      <c r="AO280" s="32" t="inlineStr">
        <is>
          <t>0003971-03.2023.8.16.0119</t>
        </is>
      </c>
      <c r="AP280" s="32" t="inlineStr">
        <is>
          <t>TJPR</t>
        </is>
      </c>
      <c r="AQ280" s="32" t="inlineStr">
        <is>
          <t>Recuperação judicial</t>
        </is>
      </c>
      <c r="AR280" s="32" t="inlineStr">
        <is>
          <t>DataJud: no closure/falência movement</t>
        </is>
      </c>
      <c r="AS280" s="32" t="n">
        <v>2023</v>
      </c>
      <c r="AT280" s="32" t="inlineStr">
        <is>
          <t>live case, no plan document yet</t>
        </is>
      </c>
      <c r="AU280" s="32" t="inlineStr">
        <is>
          <t>11.624.776/0001-07</t>
        </is>
      </c>
      <c r="AV280" s="32" t="inlineStr">
        <is>
          <t>printed on the list (read twice)</t>
        </is>
      </c>
      <c r="AW280" s="32" t="inlineStr"/>
      <c r="AX280" s="32" t="inlineStr">
        <is>
          <t>SAO PAULO</t>
        </is>
      </c>
      <c r="AY280" s="32" t="inlineStr">
        <is>
          <t>SP</t>
        </is>
      </c>
      <c r="AZ280" s="32" t="inlineStr">
        <is>
          <t>Bancos múltiplos, com carteira comercial</t>
        </is>
      </c>
      <c r="BA280" s="32" t="inlineStr">
        <is>
          <t>não ME/EPP</t>
        </is>
      </c>
      <c r="BB280" s="33" t="n">
        <v>1131957000</v>
      </c>
      <c r="BC280" s="32" t="inlineStr">
        <is>
          <t>LARGE CORP</t>
        </is>
      </c>
      <c r="BD280" s="32" t="inlineStr">
        <is>
          <t>31872495</t>
        </is>
      </c>
      <c r="BE280" s="32" t="n">
        <v>1</v>
      </c>
      <c r="BF280" s="32" t="inlineStr">
        <is>
          <t>financial by name class III reconciled (doc partial)</t>
        </is>
      </c>
    </row>
    <row r="281">
      <c r="A281" s="17" t="inlineStr">
        <is>
          <t>FUNDO DE INVESTIMENTO EM DIREITOS CREDITORIOS DA INDUSTRIA EXODUS INSTITUCIONAL (</t>
        </is>
      </c>
      <c r="B281" s="18" t="n">
        <v>989663.45</v>
      </c>
      <c r="C281" s="19" t="inlineStr">
        <is>
          <t>VECTOR INDÚSTRIA DE PRODUTOS METALÚRGICOS LTDA.</t>
        </is>
      </c>
      <c r="D281" s="20" t="inlineStr">
        <is>
          <t>NEW</t>
        </is>
      </c>
      <c r="E281" s="21" t="inlineStr"/>
      <c r="F281" s="20" t="inlineStr"/>
      <c r="G281" s="21" t="inlineStr"/>
      <c r="H281" s="20" t="inlineStr"/>
      <c r="I281" s="22" t="inlineStr"/>
      <c r="J281" s="22" t="inlineStr"/>
      <c r="K281" s="22" t="inlineStr"/>
      <c r="L281" s="22" t="inlineStr"/>
      <c r="M281" s="22" t="inlineStr"/>
      <c r="N281" s="22" t="inlineStr"/>
      <c r="O281" s="22" t="inlineStr"/>
      <c r="P281" s="22" t="inlineStr"/>
      <c r="Q281" s="22" t="inlineStr"/>
      <c r="R281" s="22" t="inlineStr"/>
      <c r="S281" s="22" t="inlineStr"/>
      <c r="T281" s="22" t="inlineStr">
        <is>
          <t>no named contact found; NO ROUTE IN: no phone or email on file</t>
        </is>
      </c>
      <c r="U281" s="24" t="n">
        <v>989663.45</v>
      </c>
      <c r="V281" s="39" t="inlineStr">
        <is>
          <t>C</t>
        </is>
      </c>
      <c r="W281" s="26" t="inlineStr"/>
      <c r="X281" s="27" t="inlineStr"/>
      <c r="Y281" s="27" t="inlineStr"/>
      <c r="Z281" s="26">
        <f>IF(W281&lt;&gt;"",W281,IFERROR(VLOOKUP(V281,Assumptions!$A$8:$F$12,2,FALSE),0))*Assumptions!$B$5</f>
        <v/>
      </c>
      <c r="AA281" s="28">
        <f>IF(V281="A",MAX(1,IF(X281&lt;&gt;"",X281,IFERROR(VLOOKUP(V281,Assumptions!$A$8:$F$12,3,FALSE),3))+IF(Y281&lt;&gt;"",Y281,IFERROR(VLOOKUP(V281,Assumptions!$A$8:$F$12,4,FALSE),8))/2-MAX(0,IF(AS281="",0,YEAR(TODAY())-AS281)-IFERROR(VLOOKUP(V281,Assumptions!$A$8:$F$12,5,FALSE),1.5))),IFERROR(VLOOKUP(V281,Assumptions!$A$8:$F$12,5,FALSE),2.5)+IF(X281&lt;&gt;"",X281,IFERROR(VLOOKUP(V281,Assumptions!$A$8:$F$12,3,FALSE),3))+IF(Y281&lt;&gt;"",Y281,IFERROR(VLOOKUP(V281,Assumptions!$A$8:$F$12,4,FALSE),8))/2)</f>
        <v/>
      </c>
      <c r="AB281" s="24">
        <f>U281*Z281/(1+Assumptions!$B$3)^AA281</f>
        <v/>
      </c>
      <c r="AC281" s="27">
        <f>IF(U281=0,"",ROUND(AB281/U281*100,1))</f>
        <v/>
      </c>
      <c r="AD281" s="29">
        <f>AB281*Assumptions!$B$4</f>
        <v/>
      </c>
      <c r="AE281" s="27">
        <f>IF(U281=0,"",ROUND(AD281/U281*100,1))</f>
        <v/>
      </c>
      <c r="AF281" s="29">
        <f>AB281-AD281</f>
        <v/>
      </c>
      <c r="AG281" s="27">
        <f>IF(U281=0,"",ROUND((AB281-AD281)/U281*100,1))</f>
        <v/>
      </c>
      <c r="AH281" s="34" t="inlineStr">
        <is>
          <t>NO TOTALS — list prints none; check page</t>
        </is>
      </c>
      <c r="AI281" s="31" t="inlineStr">
        <is>
          <t>https://scalzilliaj.com.br/sgc/download.php?file=files/processo_documento/processo_documento15513401112022_1_.pdf&amp;nome=15 - Edital do art. 7º, §2º (segunda lista de credores) e do art. 53 da Lei 11.101/2005 (recebimento do plano)</t>
        </is>
      </c>
      <c r="AJ281" s="30" t="inlineStr">
        <is>
          <t>p7 r13</t>
        </is>
      </c>
      <c r="AK281" s="30" t="inlineStr">
        <is>
          <t>p7: R$ 989.663,45</t>
        </is>
      </c>
      <c r="AL281" s="30" t="inlineStr">
        <is>
          <t>AJ list (art. 7 §2)</t>
        </is>
      </c>
      <c r="AM281" s="30" t="inlineStr">
        <is>
          <t>2022-11-01</t>
        </is>
      </c>
      <c r="AN281" s="30" t="inlineStr">
        <is>
          <t>NONE FOUND</t>
        </is>
      </c>
      <c r="AO281" s="32" t="inlineStr">
        <is>
          <t>5014104-85.2021.8.21.0010</t>
        </is>
      </c>
      <c r="AP281" s="32" t="inlineStr">
        <is>
          <t>TJRS</t>
        </is>
      </c>
      <c r="AQ281" s="32" t="inlineStr">
        <is>
          <t>Recuperação judicial</t>
        </is>
      </c>
      <c r="AR281" s="32" t="inlineStr">
        <is>
          <t>DataJud: no closure/falência movement</t>
        </is>
      </c>
      <c r="AS281" s="32" t="n">
        <v>2021</v>
      </c>
      <c r="AT281" s="32" t="inlineStr">
        <is>
          <t>5y since filing; plan not in our documents</t>
        </is>
      </c>
      <c r="AU281" s="32" t="inlineStr">
        <is>
          <t>03.018.339/0001-03</t>
        </is>
      </c>
      <c r="AV281" s="32" t="inlineStr">
        <is>
          <t>printed on the list (read twice)</t>
        </is>
      </c>
      <c r="AW281" s="32" t="inlineStr"/>
      <c r="AX281" s="32" t="inlineStr"/>
      <c r="AY281" s="32" t="inlineStr"/>
      <c r="AZ281" s="32" t="inlineStr"/>
      <c r="BA281" s="32" t="inlineStr"/>
      <c r="BB281" s="33" t="inlineStr"/>
      <c r="BC281" s="32" t="inlineStr">
        <is>
          <t>UNKNOWN</t>
        </is>
      </c>
      <c r="BD281" s="32" t="inlineStr">
        <is>
          <t>14051028</t>
        </is>
      </c>
      <c r="BE281" s="32" t="n">
        <v>1</v>
      </c>
      <c r="BF281" s="32" t="inlineStr">
        <is>
          <t>financial by name list prints no totals no RFB record no route in</t>
        </is>
      </c>
    </row>
    <row r="282">
      <c r="A282" s="17" t="inlineStr">
        <is>
          <t>JPF FOMENTO MERCANTIL LTDA</t>
        </is>
      </c>
      <c r="B282" s="18" t="n">
        <v>250000</v>
      </c>
      <c r="C282" s="19" t="inlineStr">
        <is>
          <t>GRUPO DIVINA</t>
        </is>
      </c>
      <c r="D282" s="20" t="inlineStr">
        <is>
          <t>NEW</t>
        </is>
      </c>
      <c r="E282" s="21" t="inlineStr"/>
      <c r="F282" s="20" t="inlineStr"/>
      <c r="G282" s="21" t="inlineStr"/>
      <c r="H282" s="20" t="inlineStr"/>
      <c r="I282" s="22" t="inlineStr"/>
      <c r="J282" s="22" t="inlineStr"/>
      <c r="K282" s="22" t="inlineStr"/>
      <c r="L282" s="22" t="inlineStr"/>
      <c r="M282" s="22" t="inlineStr"/>
      <c r="N282" s="22" t="inlineStr"/>
      <c r="O282" s="22" t="inlineStr"/>
      <c r="P282" s="22" t="inlineStr"/>
      <c r="Q282" s="22" t="inlineStr"/>
      <c r="R282" s="22" t="inlineStr"/>
      <c r="S282" s="22" t="inlineStr"/>
      <c r="T282" s="22" t="inlineStr">
        <is>
          <t>no named contact found; NO ROUTE IN: no phone or email on file</t>
        </is>
      </c>
      <c r="U282" s="24" t="n">
        <v>250000</v>
      </c>
      <c r="V282" s="25" t="inlineStr">
        <is>
          <t>B</t>
        </is>
      </c>
      <c r="W282" s="26" t="inlineStr"/>
      <c r="X282" s="27" t="inlineStr"/>
      <c r="Y282" s="27" t="inlineStr"/>
      <c r="Z282" s="26">
        <f>IF(W282&lt;&gt;"",W282,IFERROR(VLOOKUP(V282,Assumptions!$A$8:$F$12,2,FALSE),0))*Assumptions!$B$5</f>
        <v/>
      </c>
      <c r="AA282" s="28">
        <f>IF(V282="A",MAX(1,IF(X282&lt;&gt;"",X282,IFERROR(VLOOKUP(V282,Assumptions!$A$8:$F$12,3,FALSE),3))+IF(Y282&lt;&gt;"",Y282,IFERROR(VLOOKUP(V282,Assumptions!$A$8:$F$12,4,FALSE),8))/2-MAX(0,IF(AS282="",0,YEAR(TODAY())-AS282)-IFERROR(VLOOKUP(V282,Assumptions!$A$8:$F$12,5,FALSE),1.5))),IFERROR(VLOOKUP(V282,Assumptions!$A$8:$F$12,5,FALSE),2.5)+IF(X282&lt;&gt;"",X282,IFERROR(VLOOKUP(V282,Assumptions!$A$8:$F$12,3,FALSE),3))+IF(Y282&lt;&gt;"",Y282,IFERROR(VLOOKUP(V282,Assumptions!$A$8:$F$12,4,FALSE),8))/2)</f>
        <v/>
      </c>
      <c r="AB282" s="24">
        <f>U282*Z282/(1+Assumptions!$B$3)^AA282</f>
        <v/>
      </c>
      <c r="AC282" s="27">
        <f>IF(U282=0,"",ROUND(AB282/U282*100,1))</f>
        <v/>
      </c>
      <c r="AD282" s="29">
        <f>AB282*Assumptions!$B$4</f>
        <v/>
      </c>
      <c r="AE282" s="27">
        <f>IF(U282=0,"",ROUND(AD282/U282*100,1))</f>
        <v/>
      </c>
      <c r="AF282" s="29">
        <f>AB282-AD282</f>
        <v/>
      </c>
      <c r="AG282" s="27">
        <f>IF(U282=0,"",ROUND((AB282-AD282)/U282*100,1))</f>
        <v/>
      </c>
      <c r="AH282" s="35" t="inlineStr">
        <is>
          <t>PARTIAL — class III reconciled, other classes not</t>
        </is>
      </c>
      <c r="AI282" s="31" t="inlineStr">
        <is>
          <t>https://lrflideres.com.br/wp-content/plugins/download-attachments/includes/download.php?id=6252</t>
        </is>
      </c>
      <c r="AJ282" s="30" t="inlineStr">
        <is>
          <t>p2 r54</t>
        </is>
      </c>
      <c r="AK282" s="30" t="inlineStr">
        <is>
          <t>p2: R$ 250.000,00</t>
        </is>
      </c>
      <c r="AL282" s="30" t="inlineStr">
        <is>
          <t>AJ list (art. 7 §2)</t>
        </is>
      </c>
      <c r="AM282" s="30" t="inlineStr">
        <is>
          <t>2024-11-27</t>
        </is>
      </c>
      <c r="AN282" s="30" t="inlineStr">
        <is>
          <t>NONE FOUND</t>
        </is>
      </c>
      <c r="AO282" s="32" t="inlineStr">
        <is>
          <t>0000721-61.2024.8.17.2620</t>
        </is>
      </c>
      <c r="AP282" s="32" t="inlineStr">
        <is>
          <t>TJPE</t>
        </is>
      </c>
      <c r="AQ282" s="32" t="inlineStr">
        <is>
          <t>Recuperação judicial</t>
        </is>
      </c>
      <c r="AR282" s="32" t="inlineStr">
        <is>
          <t>DataJud: no closure/falência movement</t>
        </is>
      </c>
      <c r="AS282" s="32" t="n">
        <v>2024</v>
      </c>
      <c r="AT282" s="32" t="inlineStr">
        <is>
          <t>live case, no plan document yet</t>
        </is>
      </c>
      <c r="AU282" s="32" t="inlineStr">
        <is>
          <t>08.785.522/0001-58</t>
        </is>
      </c>
      <c r="AV282" s="32" t="inlineStr">
        <is>
          <t>printed on the list (read twice)</t>
        </is>
      </c>
      <c r="AW282" s="32" t="inlineStr"/>
      <c r="AX282" s="32" t="inlineStr"/>
      <c r="AY282" s="32" t="inlineStr"/>
      <c r="AZ282" s="32" t="inlineStr"/>
      <c r="BA282" s="32" t="inlineStr"/>
      <c r="BB282" s="33" t="inlineStr"/>
      <c r="BC282" s="32" t="inlineStr">
        <is>
          <t>UNKNOWN</t>
        </is>
      </c>
      <c r="BD282" s="32" t="inlineStr">
        <is>
          <t>16942458</t>
        </is>
      </c>
      <c r="BE282" s="32" t="n">
        <v>1</v>
      </c>
      <c r="BF282" s="32" t="inlineStr">
        <is>
          <t>financial by name class III reconciled (doc partial) no RFB record no route in</t>
        </is>
      </c>
    </row>
    <row r="283">
      <c r="A283" s="17" t="inlineStr">
        <is>
          <t>PRAJA SECURITIZADORA DE CREDITOS S.A.</t>
        </is>
      </c>
      <c r="B283" s="18" t="n">
        <v>249652.14</v>
      </c>
      <c r="C283" s="19" t="inlineStr">
        <is>
          <t>CENTURY CONSTRUÇÕES COMÉRCIO E SERVIÇOS LTDA.</t>
        </is>
      </c>
      <c r="D283" s="20" t="inlineStr">
        <is>
          <t>NEW</t>
        </is>
      </c>
      <c r="E283" s="21" t="inlineStr"/>
      <c r="F283" s="20" t="inlineStr"/>
      <c r="G283" s="21" t="inlineStr"/>
      <c r="H283" s="20" t="inlineStr"/>
      <c r="I283" s="22" t="inlineStr">
        <is>
          <t>RICARDO ARANTES COTRIM</t>
        </is>
      </c>
      <c r="J283" s="23" t="inlineStr">
        <is>
          <t>Diretor (RFB partner)</t>
        </is>
      </c>
      <c r="K283" s="22" t="inlineStr">
        <is>
          <t>(11) 1090-0375</t>
        </is>
      </c>
      <c r="L283" s="22" t="inlineStr"/>
      <c r="M283" s="22" t="inlineStr"/>
      <c r="N283" s="22" t="inlineStr"/>
      <c r="O283" s="22" t="inlineStr"/>
      <c r="P283" s="22" t="inlineStr"/>
      <c r="Q283" s="22" t="inlineStr"/>
      <c r="R283" s="22" t="inlineStr"/>
      <c r="S283" s="22" t="inlineStr"/>
      <c r="T283" s="22" t="inlineStr">
        <is>
          <t>DM = registered partner (RFB QSA); no Apollo match</t>
        </is>
      </c>
      <c r="U283" s="24" t="n">
        <v>249652.14</v>
      </c>
      <c r="V283" s="25" t="inlineStr">
        <is>
          <t>B</t>
        </is>
      </c>
      <c r="W283" s="26" t="inlineStr"/>
      <c r="X283" s="27" t="inlineStr"/>
      <c r="Y283" s="27" t="inlineStr"/>
      <c r="Z283" s="26">
        <f>IF(W283&lt;&gt;"",W283,IFERROR(VLOOKUP(V283,Assumptions!$A$8:$F$12,2,FALSE),0))*Assumptions!$B$5</f>
        <v/>
      </c>
      <c r="AA283" s="28">
        <f>IF(V283="A",MAX(1,IF(X283&lt;&gt;"",X283,IFERROR(VLOOKUP(V283,Assumptions!$A$8:$F$12,3,FALSE),3))+IF(Y283&lt;&gt;"",Y283,IFERROR(VLOOKUP(V283,Assumptions!$A$8:$F$12,4,FALSE),8))/2-MAX(0,IF(AS283="",0,YEAR(TODAY())-AS283)-IFERROR(VLOOKUP(V283,Assumptions!$A$8:$F$12,5,FALSE),1.5))),IFERROR(VLOOKUP(V283,Assumptions!$A$8:$F$12,5,FALSE),2.5)+IF(X283&lt;&gt;"",X283,IFERROR(VLOOKUP(V283,Assumptions!$A$8:$F$12,3,FALSE),3))+IF(Y283&lt;&gt;"",Y283,IFERROR(VLOOKUP(V283,Assumptions!$A$8:$F$12,4,FALSE),8))/2)</f>
        <v/>
      </c>
      <c r="AB283" s="24">
        <f>U283*Z283/(1+Assumptions!$B$3)^AA283</f>
        <v/>
      </c>
      <c r="AC283" s="27">
        <f>IF(U283=0,"",ROUND(AB283/U283*100,1))</f>
        <v/>
      </c>
      <c r="AD283" s="29">
        <f>AB283*Assumptions!$B$4</f>
        <v/>
      </c>
      <c r="AE283" s="27">
        <f>IF(U283=0,"",ROUND(AD283/U283*100,1))</f>
        <v/>
      </c>
      <c r="AF283" s="29">
        <f>AB283-AD283</f>
        <v/>
      </c>
      <c r="AG283" s="27">
        <f>IF(U283=0,"",ROUND((AB283-AD283)/U283*100,1))</f>
        <v/>
      </c>
      <c r="AH283" s="34" t="inlineStr">
        <is>
          <t>NO TOTALS — list prints none; check page</t>
        </is>
      </c>
      <c r="AI283" s="31" t="inlineStr">
        <is>
          <t>https://ativosajce.com.br/admin/download.php?file=files/processo_documento/processo_documento16022716122025_1_.pdf&amp;nome=Relação de credores - art. 52, §1º da Lei 11.101/05 - 15/12/2025</t>
        </is>
      </c>
      <c r="AJ283" s="30" t="inlineStr">
        <is>
          <t>p4 r11</t>
        </is>
      </c>
      <c r="AK283" s="30" t="inlineStr">
        <is>
          <t>p4: R$ 249.652,14</t>
        </is>
      </c>
      <c r="AL283" s="30" t="inlineStr">
        <is>
          <t>Unclassified list</t>
        </is>
      </c>
      <c r="AM283" s="30" t="inlineStr"/>
      <c r="AN283" s="30" t="inlineStr">
        <is>
          <t>NONE FOUND</t>
        </is>
      </c>
      <c r="AO283" s="32" t="inlineStr">
        <is>
          <t>4054599-35.2025.8.26.0100</t>
        </is>
      </c>
      <c r="AP283" s="32" t="inlineStr">
        <is>
          <t>TJSP</t>
        </is>
      </c>
      <c r="AQ283" s="32" t="inlineStr">
        <is>
          <t>Recuperação judicial</t>
        </is>
      </c>
      <c r="AR283" s="32" t="inlineStr">
        <is>
          <t>DataJud: no closure/falência movement</t>
        </is>
      </c>
      <c r="AS283" s="32" t="n">
        <v>2025</v>
      </c>
      <c r="AT283" s="32" t="inlineStr">
        <is>
          <t>live case, no plan document yet; case no. from the portal record, not printed on the list</t>
        </is>
      </c>
      <c r="AU283" s="32" t="inlineStr">
        <is>
          <t>03.299.563/0001-10</t>
        </is>
      </c>
      <c r="AV283" s="32" t="inlineStr">
        <is>
          <t>printed on the list (read twice)</t>
        </is>
      </c>
      <c r="AW283" s="32" t="inlineStr"/>
      <c r="AX283" s="32" t="inlineStr">
        <is>
          <t>SAO PAULO</t>
        </is>
      </c>
      <c r="AY283" s="32" t="inlineStr">
        <is>
          <t>SP</t>
        </is>
      </c>
      <c r="AZ283" s="32" t="inlineStr">
        <is>
          <t>Securitização de créditos</t>
        </is>
      </c>
      <c r="BA283" s="32" t="inlineStr">
        <is>
          <t>não ME/EPP</t>
        </is>
      </c>
      <c r="BB283" s="33" t="n">
        <v>1000</v>
      </c>
      <c r="BC283" s="32" t="inlineStr">
        <is>
          <t>MID-MARKET</t>
        </is>
      </c>
      <c r="BD283" s="32" t="inlineStr">
        <is>
          <t>36213950</t>
        </is>
      </c>
      <c r="BE283" s="32" t="n">
        <v>1</v>
      </c>
      <c r="BF283" s="32" t="inlineStr">
        <is>
          <t>list prints no totals</t>
        </is>
      </c>
    </row>
    <row r="284">
      <c r="A284" s="17" t="inlineStr">
        <is>
          <t>BANCO ITAUCARD S.A.</t>
        </is>
      </c>
      <c r="B284" s="18" t="n">
        <v>249135.42</v>
      </c>
      <c r="C284" s="19" t="inlineStr">
        <is>
          <t>GRUPO FERRARI (ALEX, ALEXANDRE , ANDRIELLE FERRARI MANTELLI, ARCIR LUIS, ERICA SANTOS ASSIS LIMA, FERNANDO MANTELLI, IDELSI, TALITA LEITE SILVA, AGROPECUARIA FERRARI LTDA E FERRARI ARMAZENS GERAIS)</t>
        </is>
      </c>
      <c r="D284" s="20" t="inlineStr">
        <is>
          <t>NEW</t>
        </is>
      </c>
      <c r="E284" s="21" t="inlineStr"/>
      <c r="F284" s="20" t="inlineStr"/>
      <c r="G284" s="21" t="inlineStr"/>
      <c r="H284" s="20" t="inlineStr"/>
      <c r="I284" s="22" t="inlineStr">
        <is>
          <t>RUBENS FOGLI NETTO</t>
        </is>
      </c>
      <c r="J284" s="23" t="inlineStr">
        <is>
          <t>Presidente (RFB partner)</t>
        </is>
      </c>
      <c r="K284" s="22" t="inlineStr">
        <is>
          <t>(11) 3003-4828</t>
        </is>
      </c>
      <c r="L284" s="22" t="inlineStr"/>
      <c r="M284" s="22" t="inlineStr"/>
      <c r="N284" s="22" t="inlineStr"/>
      <c r="O284" s="22" t="inlineStr"/>
      <c r="P284" s="22" t="inlineStr">
        <is>
          <t>ALBANO MANOEL ALMEIDA</t>
        </is>
      </c>
      <c r="Q284" s="22" t="inlineStr">
        <is>
          <t>Diretor (RFB partner)</t>
        </is>
      </c>
      <c r="R284" s="22" t="inlineStr"/>
      <c r="S284" s="22" t="inlineStr"/>
      <c r="T284" s="22" t="inlineStr">
        <is>
          <t>DM = registered partner (RFB QSA); no Apollo match</t>
        </is>
      </c>
      <c r="U284" s="24" t="n">
        <v>249135.42</v>
      </c>
      <c r="V284" s="25" t="inlineStr">
        <is>
          <t>B</t>
        </is>
      </c>
      <c r="W284" s="26" t="inlineStr"/>
      <c r="X284" s="27" t="inlineStr"/>
      <c r="Y284" s="27" t="inlineStr"/>
      <c r="Z284" s="26">
        <f>IF(W284&lt;&gt;"",W284,IFERROR(VLOOKUP(V284,Assumptions!$A$8:$F$12,2,FALSE),0))*Assumptions!$B$5</f>
        <v/>
      </c>
      <c r="AA284" s="28">
        <f>IF(V284="A",MAX(1,IF(X284&lt;&gt;"",X284,IFERROR(VLOOKUP(V284,Assumptions!$A$8:$F$12,3,FALSE),3))+IF(Y284&lt;&gt;"",Y284,IFERROR(VLOOKUP(V284,Assumptions!$A$8:$F$12,4,FALSE),8))/2-MAX(0,IF(AS284="",0,YEAR(TODAY())-AS284)-IFERROR(VLOOKUP(V284,Assumptions!$A$8:$F$12,5,FALSE),1.5))),IFERROR(VLOOKUP(V284,Assumptions!$A$8:$F$12,5,FALSE),2.5)+IF(X284&lt;&gt;"",X284,IFERROR(VLOOKUP(V284,Assumptions!$A$8:$F$12,3,FALSE),3))+IF(Y284&lt;&gt;"",Y284,IFERROR(VLOOKUP(V284,Assumptions!$A$8:$F$12,4,FALSE),8))/2)</f>
        <v/>
      </c>
      <c r="AB284" s="24">
        <f>U284*Z284/(1+Assumptions!$B$3)^AA284</f>
        <v/>
      </c>
      <c r="AC284" s="27">
        <f>IF(U284=0,"",ROUND(AB284/U284*100,1))</f>
        <v/>
      </c>
      <c r="AD284" s="29">
        <f>AB284*Assumptions!$B$4</f>
        <v/>
      </c>
      <c r="AE284" s="27">
        <f>IF(U284=0,"",ROUND(AD284/U284*100,1))</f>
        <v/>
      </c>
      <c r="AF284" s="29">
        <f>AB284-AD284</f>
        <v/>
      </c>
      <c r="AG284" s="27">
        <f>IF(U284=0,"",ROUND((AB284-AD284)/U284*100,1))</f>
        <v/>
      </c>
      <c r="AH284" s="34" t="inlineStr">
        <is>
          <t>NO TOTALS — list prints none; check page</t>
        </is>
      </c>
      <c r="AI284" s="31" t="inlineStr">
        <is>
          <t>https://scalzilliaj.com.br/sgc/download.php?file=files/processo_documento/processo_documento11421222052026_1_.pdf&amp;nome=08. Lista de credores do edital do art. 52, §1º da LREF</t>
        </is>
      </c>
      <c r="AJ284" s="30" t="inlineStr">
        <is>
          <t>p4 r9</t>
        </is>
      </c>
      <c r="AK284" s="30" t="inlineStr">
        <is>
          <t>p4: R$ 249.135,42</t>
        </is>
      </c>
      <c r="AL284" s="30" t="inlineStr">
        <is>
          <t>Unclassified list</t>
        </is>
      </c>
      <c r="AM284" s="30" t="inlineStr"/>
      <c r="AN284" s="30" t="inlineStr">
        <is>
          <t>NONE FOUND</t>
        </is>
      </c>
      <c r="AO284" s="32" t="inlineStr">
        <is>
          <t>5011369-81.2026.8.09.0093</t>
        </is>
      </c>
      <c r="AP284" s="32" t="inlineStr">
        <is>
          <t>TJGO</t>
        </is>
      </c>
      <c r="AQ284" s="32" t="inlineStr"/>
      <c r="AR284" s="32" t="inlineStr">
        <is>
          <t>DataJud: no closure/falência movement</t>
        </is>
      </c>
      <c r="AS284" s="32" t="n">
        <v>2026</v>
      </c>
      <c r="AT284" s="32" t="inlineStr">
        <is>
          <t>live case, no plan document yet; case no. from the portal record, not printed on the list</t>
        </is>
      </c>
      <c r="AU284" s="32" t="inlineStr"/>
      <c r="AV284" s="32" t="inlineStr">
        <is>
          <t>portal page title / URL — not printed on the list</t>
        </is>
      </c>
      <c r="AW284" s="32" t="inlineStr"/>
      <c r="AX284" s="32" t="inlineStr">
        <is>
          <t>SAO PAULO</t>
        </is>
      </c>
      <c r="AY284" s="32" t="inlineStr">
        <is>
          <t>SP</t>
        </is>
      </c>
      <c r="AZ284" s="32" t="inlineStr">
        <is>
          <t>Bancos múltiplos, sem carteira comercial</t>
        </is>
      </c>
      <c r="BA284" s="32" t="inlineStr">
        <is>
          <t>não ME/EPP</t>
        </is>
      </c>
      <c r="BB284" s="33" t="n">
        <v>50000000</v>
      </c>
      <c r="BC284" s="32" t="inlineStr">
        <is>
          <t>MID-MARKET</t>
        </is>
      </c>
      <c r="BD284" s="32" t="inlineStr">
        <is>
          <t>17192451</t>
        </is>
      </c>
      <c r="BE284" s="32" t="n">
        <v>1</v>
      </c>
      <c r="BF284" s="32" t="inlineStr">
        <is>
          <t>financial by name list prints no totals</t>
        </is>
      </c>
    </row>
    <row r="285">
      <c r="A285" s="17" t="inlineStr">
        <is>
          <t>3F CAPITAL SECURITIZADORA S/A</t>
        </is>
      </c>
      <c r="B285" s="18" t="n">
        <v>248479.16</v>
      </c>
      <c r="C285" s="19" t="inlineStr">
        <is>
          <t>GRUPO IMPLASVERDE</t>
        </is>
      </c>
      <c r="D285" s="20" t="inlineStr">
        <is>
          <t>NEW</t>
        </is>
      </c>
      <c r="E285" s="21" t="inlineStr"/>
      <c r="F285" s="20" t="inlineStr"/>
      <c r="G285" s="21" t="inlineStr"/>
      <c r="H285" s="20" t="inlineStr"/>
      <c r="I285" s="22" t="inlineStr">
        <is>
          <t>Flavio Quindere</t>
        </is>
      </c>
      <c r="J285" s="22" t="inlineStr">
        <is>
          <t>Diretor Financeiro e de Crédito - 3F Capital Securitizadora S/A</t>
        </is>
      </c>
      <c r="K285" s="22" t="inlineStr"/>
      <c r="L285" s="22" t="inlineStr"/>
      <c r="M285" s="22" t="inlineStr"/>
      <c r="N285" s="22" t="inlineStr">
        <is>
          <t>flavio@3fmulti.com.br</t>
        </is>
      </c>
      <c r="O285" s="22" t="inlineStr">
        <is>
          <t>verified</t>
        </is>
      </c>
      <c r="P285" s="22" t="inlineStr">
        <is>
          <t>Fernando Barbosa</t>
        </is>
      </c>
      <c r="Q285" s="22" t="inlineStr">
        <is>
          <t>Diretor Administrativo / Comercial - 3F Capital Securitizadora S/A</t>
        </is>
      </c>
      <c r="R285" s="22" t="inlineStr"/>
      <c r="S285" s="22" t="inlineStr">
        <is>
          <t>fernando@3fmulti.com.br</t>
        </is>
      </c>
      <c r="T285" s="22" t="inlineStr">
        <is>
          <t>DM: DM verified email; BACKUP: backup verified email</t>
        </is>
      </c>
      <c r="U285" s="24" t="n">
        <v>248479.16</v>
      </c>
      <c r="V285" s="25" t="inlineStr">
        <is>
          <t>B</t>
        </is>
      </c>
      <c r="W285" s="26" t="inlineStr"/>
      <c r="X285" s="27" t="inlineStr"/>
      <c r="Y285" s="27" t="inlineStr"/>
      <c r="Z285" s="26">
        <f>IF(W285&lt;&gt;"",W285,IFERROR(VLOOKUP(V285,Assumptions!$A$8:$F$12,2,FALSE),0))*Assumptions!$B$5</f>
        <v/>
      </c>
      <c r="AA285" s="28">
        <f>IF(V285="A",MAX(1,IF(X285&lt;&gt;"",X285,IFERROR(VLOOKUP(V285,Assumptions!$A$8:$F$12,3,FALSE),3))+IF(Y285&lt;&gt;"",Y285,IFERROR(VLOOKUP(V285,Assumptions!$A$8:$F$12,4,FALSE),8))/2-MAX(0,IF(AS285="",0,YEAR(TODAY())-AS285)-IFERROR(VLOOKUP(V285,Assumptions!$A$8:$F$12,5,FALSE),1.5))),IFERROR(VLOOKUP(V285,Assumptions!$A$8:$F$12,5,FALSE),2.5)+IF(X285&lt;&gt;"",X285,IFERROR(VLOOKUP(V285,Assumptions!$A$8:$F$12,3,FALSE),3))+IF(Y285&lt;&gt;"",Y285,IFERROR(VLOOKUP(V285,Assumptions!$A$8:$F$12,4,FALSE),8))/2)</f>
        <v/>
      </c>
      <c r="AB285" s="24">
        <f>U285*Z285/(1+Assumptions!$B$3)^AA285</f>
        <v/>
      </c>
      <c r="AC285" s="27">
        <f>IF(U285=0,"",ROUND(AB285/U285*100,1))</f>
        <v/>
      </c>
      <c r="AD285" s="29">
        <f>AB285*Assumptions!$B$4</f>
        <v/>
      </c>
      <c r="AE285" s="27">
        <f>IF(U285=0,"",ROUND(AD285/U285*100,1))</f>
        <v/>
      </c>
      <c r="AF285" s="29">
        <f>AB285-AD285</f>
        <v/>
      </c>
      <c r="AG285" s="27">
        <f>IF(U285=0,"",ROUND((AB285-AD285)/U285*100,1))</f>
        <v/>
      </c>
      <c r="AH285" s="30" t="inlineStr">
        <is>
          <t>OK — totals reconciled</t>
        </is>
      </c>
      <c r="AI285" s="31" t="inlineStr">
        <is>
          <t>http://recuperacaojudicial.squarespace.com/s/LISTA-DE-CREDORES-CONSOLIDADA-ATE-04102024.pdf</t>
        </is>
      </c>
      <c r="AJ285" s="30" t="inlineStr">
        <is>
          <t>p6 r1</t>
        </is>
      </c>
      <c r="AK285" s="30" t="inlineStr">
        <is>
          <t>p6: R$ 248.479,16</t>
        </is>
      </c>
      <c r="AL285" s="30" t="inlineStr">
        <is>
          <t>AJ list (art. 7 §2)</t>
        </is>
      </c>
      <c r="AM285" s="30" t="inlineStr">
        <is>
          <t>2024-10-04</t>
        </is>
      </c>
      <c r="AN285" s="30" t="inlineStr">
        <is>
          <t>NONE FOUND</t>
        </is>
      </c>
      <c r="AO285" s="32" t="inlineStr">
        <is>
          <t>0800778-16.2023.8.20.5104</t>
        </is>
      </c>
      <c r="AP285" s="32" t="inlineStr">
        <is>
          <t>TJRN</t>
        </is>
      </c>
      <c r="AQ285" s="32" t="inlineStr">
        <is>
          <t>Recuperação judicial</t>
        </is>
      </c>
      <c r="AR285" s="32" t="inlineStr">
        <is>
          <t>DataJud: no closure/falência movement</t>
        </is>
      </c>
      <c r="AS285" s="32" t="n">
        <v>2023</v>
      </c>
      <c r="AT285" s="32" t="inlineStr">
        <is>
          <t>live case, no plan document yet</t>
        </is>
      </c>
      <c r="AU285" s="32" t="inlineStr"/>
      <c r="AV285" s="32" t="inlineStr">
        <is>
          <t>printed on the list (read twice)</t>
        </is>
      </c>
      <c r="AW285" s="32" t="inlineStr"/>
      <c r="AX285" s="32" t="inlineStr"/>
      <c r="AY285" s="32" t="inlineStr"/>
      <c r="AZ285" s="32" t="inlineStr"/>
      <c r="BA285" s="32" t="inlineStr"/>
      <c r="BB285" s="33" t="inlineStr"/>
      <c r="BC285" s="32" t="inlineStr">
        <is>
          <t>UNKNOWN</t>
        </is>
      </c>
      <c r="BD285" s="32" t="inlineStr">
        <is>
          <t>43552951</t>
        </is>
      </c>
      <c r="BE285" s="32" t="n">
        <v>1</v>
      </c>
      <c r="BF285" s="32" t="inlineStr">
        <is>
          <t>financial by name no RFB record</t>
        </is>
      </c>
    </row>
    <row r="286">
      <c r="A286" s="17" t="inlineStr">
        <is>
          <t>FORTE OESTE SECURITIZADORA S.A</t>
        </is>
      </c>
      <c r="B286" s="18" t="n">
        <v>246897.34</v>
      </c>
      <c r="C286" s="19" t="inlineStr">
        <is>
          <t>Alto Uruguai Indústria e Comércio de Óleos Ltda</t>
        </is>
      </c>
      <c r="D286" s="20" t="inlineStr">
        <is>
          <t>NEW</t>
        </is>
      </c>
      <c r="E286" s="21" t="inlineStr"/>
      <c r="F286" s="20" t="inlineStr"/>
      <c r="G286" s="21" t="inlineStr"/>
      <c r="H286" s="20" t="inlineStr"/>
      <c r="I286" s="22" t="inlineStr"/>
      <c r="J286" s="22" t="inlineStr"/>
      <c r="K286" s="22" t="inlineStr"/>
      <c r="L286" s="22" t="inlineStr"/>
      <c r="M286" s="22" t="inlineStr"/>
      <c r="N286" s="22" t="inlineStr"/>
      <c r="O286" s="22" t="inlineStr"/>
      <c r="P286" s="22" t="inlineStr"/>
      <c r="Q286" s="22" t="inlineStr"/>
      <c r="R286" s="22" t="inlineStr"/>
      <c r="S286" s="22" t="inlineStr"/>
      <c r="T286" s="22" t="inlineStr">
        <is>
          <t>no named contact found; NO ROUTE IN: no phone or email on file</t>
        </is>
      </c>
      <c r="U286" s="24" t="n">
        <v>246897.34</v>
      </c>
      <c r="V286" s="25" t="inlineStr">
        <is>
          <t>B</t>
        </is>
      </c>
      <c r="W286" s="26" t="inlineStr"/>
      <c r="X286" s="27" t="inlineStr"/>
      <c r="Y286" s="27" t="inlineStr"/>
      <c r="Z286" s="26">
        <f>IF(W286&lt;&gt;"",W286,IFERROR(VLOOKUP(V286,Assumptions!$A$8:$F$12,2,FALSE),0))*Assumptions!$B$5</f>
        <v/>
      </c>
      <c r="AA286" s="28">
        <f>IF(V286="A",MAX(1,IF(X286&lt;&gt;"",X286,IFERROR(VLOOKUP(V286,Assumptions!$A$8:$F$12,3,FALSE),3))+IF(Y286&lt;&gt;"",Y286,IFERROR(VLOOKUP(V286,Assumptions!$A$8:$F$12,4,FALSE),8))/2-MAX(0,IF(AS286="",0,YEAR(TODAY())-AS286)-IFERROR(VLOOKUP(V286,Assumptions!$A$8:$F$12,5,FALSE),1.5))),IFERROR(VLOOKUP(V286,Assumptions!$A$8:$F$12,5,FALSE),2.5)+IF(X286&lt;&gt;"",X286,IFERROR(VLOOKUP(V286,Assumptions!$A$8:$F$12,3,FALSE),3))+IF(Y286&lt;&gt;"",Y286,IFERROR(VLOOKUP(V286,Assumptions!$A$8:$F$12,4,FALSE),8))/2)</f>
        <v/>
      </c>
      <c r="AB286" s="24">
        <f>U286*Z286/(1+Assumptions!$B$3)^AA286</f>
        <v/>
      </c>
      <c r="AC286" s="27">
        <f>IF(U286=0,"",ROUND(AB286/U286*100,1))</f>
        <v/>
      </c>
      <c r="AD286" s="29">
        <f>AB286*Assumptions!$B$4</f>
        <v/>
      </c>
      <c r="AE286" s="27">
        <f>IF(U286=0,"",ROUND(AD286/U286*100,1))</f>
        <v/>
      </c>
      <c r="AF286" s="29">
        <f>AB286-AD286</f>
        <v/>
      </c>
      <c r="AG286" s="27">
        <f>IF(U286=0,"",ROUND((AB286-AD286)/U286*100,1))</f>
        <v/>
      </c>
      <c r="AH286" s="30" t="inlineStr">
        <is>
          <t>OK — totals reconciled</t>
        </is>
      </c>
      <c r="AI286" s="31" t="inlineStr">
        <is>
          <t>https://ajruiz.com.br/sites/default/files/public/arquivos-processos/2026-06/alto_uruguai_qgc_junho.2026.pdf</t>
        </is>
      </c>
      <c r="AJ286" s="30" t="inlineStr">
        <is>
          <t>p1 r24</t>
        </is>
      </c>
      <c r="AK286" s="30" t="inlineStr">
        <is>
          <t>p1: R$ 246.897,34</t>
        </is>
      </c>
      <c r="AL286" s="30" t="inlineStr">
        <is>
          <t>Unclassified list</t>
        </is>
      </c>
      <c r="AM286" s="30" t="inlineStr"/>
      <c r="AN286" s="30" t="inlineStr">
        <is>
          <t>NONE FOUND</t>
        </is>
      </c>
      <c r="AO286" s="32" t="inlineStr">
        <is>
          <t>5012743-51.2023.8.24.0019</t>
        </is>
      </c>
      <c r="AP286" s="32" t="inlineStr">
        <is>
          <t>TJSC</t>
        </is>
      </c>
      <c r="AQ286" s="32" t="inlineStr">
        <is>
          <t>Recuperação judicial</t>
        </is>
      </c>
      <c r="AR286" s="32" t="inlineStr">
        <is>
          <t>DataJud: no closure/falência movement</t>
        </is>
      </c>
      <c r="AS286" s="32" t="n">
        <v>2023</v>
      </c>
      <c r="AT286" s="32" t="inlineStr">
        <is>
          <t>live case, no plan document yet</t>
        </is>
      </c>
      <c r="AU286" s="32" t="inlineStr"/>
      <c r="AV286" s="32" t="inlineStr">
        <is>
          <t>printed on the list (read twice)</t>
        </is>
      </c>
      <c r="AW286" s="32" t="inlineStr"/>
      <c r="AX286" s="32" t="inlineStr"/>
      <c r="AY286" s="32" t="inlineStr"/>
      <c r="AZ286" s="32" t="inlineStr"/>
      <c r="BA286" s="32" t="inlineStr"/>
      <c r="BB286" s="33" t="inlineStr"/>
      <c r="BC286" s="32" t="inlineStr">
        <is>
          <t>UNKNOWN</t>
        </is>
      </c>
      <c r="BD286" s="32" t="inlineStr">
        <is>
          <t>35099311</t>
        </is>
      </c>
      <c r="BE286" s="32" t="n">
        <v>1</v>
      </c>
      <c r="BF286" s="32" t="inlineStr">
        <is>
          <t>financial by name no RFB record no route in</t>
        </is>
      </c>
    </row>
    <row r="287">
      <c r="A287" s="17" t="inlineStr">
        <is>
          <t>BNDES - DESENVOLVE</t>
        </is>
      </c>
      <c r="B287" s="18" t="n">
        <v>239911.87</v>
      </c>
      <c r="C287" s="19" t="inlineStr">
        <is>
          <t>FLAVOUR MIX IND. E REP. ALIM. E INGR. QUÍMICOS LTDA.</t>
        </is>
      </c>
      <c r="D287" s="20" t="inlineStr">
        <is>
          <t>NEW</t>
        </is>
      </c>
      <c r="E287" s="21" t="inlineStr"/>
      <c r="F287" s="20" t="inlineStr"/>
      <c r="G287" s="21" t="inlineStr"/>
      <c r="H287" s="20" t="inlineStr"/>
      <c r="I287" s="22" t="inlineStr">
        <is>
          <t>Paulo Almeida</t>
        </is>
      </c>
      <c r="J287" s="22" t="inlineStr">
        <is>
          <t>Distressed Debt</t>
        </is>
      </c>
      <c r="K287" s="22" t="inlineStr"/>
      <c r="L287" s="22" t="inlineStr"/>
      <c r="M287" s="22" t="inlineStr"/>
      <c r="N287" s="22" t="inlineStr"/>
      <c r="O287" s="22" t="inlineStr"/>
      <c r="P287" s="22" t="inlineStr"/>
      <c r="Q287" s="22" t="inlineStr"/>
      <c r="R287" s="22" t="inlineStr"/>
      <c r="S287" s="22" t="inlineStr"/>
      <c r="T287" s="22" t="inlineStr">
        <is>
          <t>DM is not a finance role (Distressed Debt); DM: DM email unavailable; no work email in Apollo for DM; NO ROUTE IN: no phone or email on file</t>
        </is>
      </c>
      <c r="U287" s="24" t="n">
        <v>239911.87</v>
      </c>
      <c r="V287" s="25" t="inlineStr">
        <is>
          <t>B</t>
        </is>
      </c>
      <c r="W287" s="26" t="inlineStr"/>
      <c r="X287" s="27" t="inlineStr"/>
      <c r="Y287" s="27" t="inlineStr"/>
      <c r="Z287" s="26">
        <f>IF(W287&lt;&gt;"",W287,IFERROR(VLOOKUP(V287,Assumptions!$A$8:$F$12,2,FALSE),0))*Assumptions!$B$5</f>
        <v/>
      </c>
      <c r="AA287" s="28">
        <f>IF(V287="A",MAX(1,IF(X287&lt;&gt;"",X287,IFERROR(VLOOKUP(V287,Assumptions!$A$8:$F$12,3,FALSE),3))+IF(Y287&lt;&gt;"",Y287,IFERROR(VLOOKUP(V287,Assumptions!$A$8:$F$12,4,FALSE),8))/2-MAX(0,IF(AS287="",0,YEAR(TODAY())-AS287)-IFERROR(VLOOKUP(V287,Assumptions!$A$8:$F$12,5,FALSE),1.5))),IFERROR(VLOOKUP(V287,Assumptions!$A$8:$F$12,5,FALSE),2.5)+IF(X287&lt;&gt;"",X287,IFERROR(VLOOKUP(V287,Assumptions!$A$8:$F$12,3,FALSE),3))+IF(Y287&lt;&gt;"",Y287,IFERROR(VLOOKUP(V287,Assumptions!$A$8:$F$12,4,FALSE),8))/2)</f>
        <v/>
      </c>
      <c r="AB287" s="24">
        <f>U287*Z287/(1+Assumptions!$B$3)^AA287</f>
        <v/>
      </c>
      <c r="AC287" s="27">
        <f>IF(U287=0,"",ROUND(AB287/U287*100,1))</f>
        <v/>
      </c>
      <c r="AD287" s="29">
        <f>AB287*Assumptions!$B$4</f>
        <v/>
      </c>
      <c r="AE287" s="27">
        <f>IF(U287=0,"",ROUND(AD287/U287*100,1))</f>
        <v/>
      </c>
      <c r="AF287" s="29">
        <f>AB287-AD287</f>
        <v/>
      </c>
      <c r="AG287" s="27">
        <f>IF(U287=0,"",ROUND((AB287-AD287)/U287*100,1))</f>
        <v/>
      </c>
      <c r="AH287" s="34" t="inlineStr">
        <is>
          <t>NO TOTALS — list prints none; check page</t>
        </is>
      </c>
      <c r="AI287" s="31" t="inlineStr">
        <is>
          <t>https://ativosajce.com.br/admin/download.php?file=files/processo_documento/processo_documento13422625032025_1_.pdf&amp;nome=Relação de Credores - Art. 52º § 1º, da Lei nº 11.101/2005 - 25/02/2025</t>
        </is>
      </c>
      <c r="AJ287" s="30" t="inlineStr">
        <is>
          <t>p3 r30</t>
        </is>
      </c>
      <c r="AK287" s="30" t="inlineStr">
        <is>
          <t>p3: R$ 239.911,87</t>
        </is>
      </c>
      <c r="AL287" s="30" t="inlineStr">
        <is>
          <t>Unclassified list</t>
        </is>
      </c>
      <c r="AM287" s="30" t="inlineStr">
        <is>
          <t>2025-02-28</t>
        </is>
      </c>
      <c r="AN287" s="30" t="inlineStr">
        <is>
          <t>NONE FOUND</t>
        </is>
      </c>
      <c r="AO287" s="32" t="inlineStr">
        <is>
          <t>1000119-75.2025.8.26.0354</t>
        </is>
      </c>
      <c r="AP287" s="32" t="inlineStr">
        <is>
          <t>TJSP</t>
        </is>
      </c>
      <c r="AQ287" s="32" t="inlineStr">
        <is>
          <t>Recuperação judicial</t>
        </is>
      </c>
      <c r="AR287" s="32" t="inlineStr">
        <is>
          <t>DataJud: no closure/falência movement</t>
        </is>
      </c>
      <c r="AS287" s="32" t="n">
        <v>2025</v>
      </c>
      <c r="AT287" s="32" t="inlineStr">
        <is>
          <t>live case, no plan document yet; case no. from the portal record, not printed on the list</t>
        </is>
      </c>
      <c r="AU287" s="32" t="inlineStr">
        <is>
          <t>09.357.504/0001-38</t>
        </is>
      </c>
      <c r="AV287" s="32" t="inlineStr">
        <is>
          <t>printed on the list (read twice)</t>
        </is>
      </c>
      <c r="AW287" s="32" t="inlineStr"/>
      <c r="AX287" s="32" t="inlineStr"/>
      <c r="AY287" s="32" t="inlineStr"/>
      <c r="AZ287" s="32" t="inlineStr"/>
      <c r="BA287" s="32" t="inlineStr"/>
      <c r="BB287" s="33" t="inlineStr"/>
      <c r="BC287" s="32" t="inlineStr">
        <is>
          <t>UNKNOWN</t>
        </is>
      </c>
      <c r="BD287" s="32" t="inlineStr">
        <is>
          <t>33657248</t>
        </is>
      </c>
      <c r="BE287" s="32" t="n">
        <v>1</v>
      </c>
      <c r="BF287" s="32" t="inlineStr">
        <is>
          <t>financial by name list prints no totals no RFB record no route in</t>
        </is>
      </c>
    </row>
    <row r="288">
      <c r="A288" s="17" t="inlineStr">
        <is>
          <t>BARU SOCIEDADE DE CREDITO, FINANCIAMENTO E INVESTIMENTO S/A</t>
        </is>
      </c>
      <c r="B288" s="18" t="n">
        <v>239740.08</v>
      </c>
      <c r="C288" s="19" t="inlineStr">
        <is>
          <t>GRUPO DIVINA</t>
        </is>
      </c>
      <c r="D288" s="20" t="inlineStr">
        <is>
          <t>NEW</t>
        </is>
      </c>
      <c r="E288" s="21" t="inlineStr"/>
      <c r="F288" s="20" t="inlineStr"/>
      <c r="G288" s="21" t="inlineStr"/>
      <c r="H288" s="20" t="inlineStr"/>
      <c r="I288" s="22" t="inlineStr">
        <is>
          <t>Karolina Brandao</t>
        </is>
      </c>
      <c r="J288" s="22" t="inlineStr">
        <is>
          <t>Head de Cobrança</t>
        </is>
      </c>
      <c r="K288" s="22" t="inlineStr">
        <is>
          <t>(51) 9383-7496</t>
        </is>
      </c>
      <c r="L288" s="22" t="inlineStr"/>
      <c r="M288" s="22" t="inlineStr"/>
      <c r="N288" s="22" t="inlineStr">
        <is>
          <t>karolina@barufinanceira.com.br</t>
        </is>
      </c>
      <c r="O288" s="22" t="inlineStr">
        <is>
          <t>verified</t>
        </is>
      </c>
      <c r="P288" s="22" t="inlineStr">
        <is>
          <t>Everton Mallmann</t>
        </is>
      </c>
      <c r="Q288" s="22" t="inlineStr">
        <is>
          <t>Head de Crédito</t>
        </is>
      </c>
      <c r="R288" s="22" t="inlineStr"/>
      <c r="S288" s="22" t="inlineStr">
        <is>
          <t>everton.mallmann@barucred.com.br</t>
        </is>
      </c>
      <c r="T288" s="22" t="inlineStr">
        <is>
          <t>DM: DM; BACKUP: backup</t>
        </is>
      </c>
      <c r="U288" s="24" t="n">
        <v>239740.08</v>
      </c>
      <c r="V288" s="25" t="inlineStr">
        <is>
          <t>B</t>
        </is>
      </c>
      <c r="W288" s="26" t="inlineStr"/>
      <c r="X288" s="27" t="inlineStr"/>
      <c r="Y288" s="27" t="inlineStr"/>
      <c r="Z288" s="26">
        <f>IF(W288&lt;&gt;"",W288,IFERROR(VLOOKUP(V288,Assumptions!$A$8:$F$12,2,FALSE),0))*Assumptions!$B$5</f>
        <v/>
      </c>
      <c r="AA288" s="28">
        <f>IF(V288="A",MAX(1,IF(X288&lt;&gt;"",X288,IFERROR(VLOOKUP(V288,Assumptions!$A$8:$F$12,3,FALSE),3))+IF(Y288&lt;&gt;"",Y288,IFERROR(VLOOKUP(V288,Assumptions!$A$8:$F$12,4,FALSE),8))/2-MAX(0,IF(AS288="",0,YEAR(TODAY())-AS288)-IFERROR(VLOOKUP(V288,Assumptions!$A$8:$F$12,5,FALSE),1.5))),IFERROR(VLOOKUP(V288,Assumptions!$A$8:$F$12,5,FALSE),2.5)+IF(X288&lt;&gt;"",X288,IFERROR(VLOOKUP(V288,Assumptions!$A$8:$F$12,3,FALSE),3))+IF(Y288&lt;&gt;"",Y288,IFERROR(VLOOKUP(V288,Assumptions!$A$8:$F$12,4,FALSE),8))/2)</f>
        <v/>
      </c>
      <c r="AB288" s="24">
        <f>U288*Z288/(1+Assumptions!$B$3)^AA288</f>
        <v/>
      </c>
      <c r="AC288" s="27">
        <f>IF(U288=0,"",ROUND(AB288/U288*100,1))</f>
        <v/>
      </c>
      <c r="AD288" s="29">
        <f>AB288*Assumptions!$B$4</f>
        <v/>
      </c>
      <c r="AE288" s="27">
        <f>IF(U288=0,"",ROUND(AD288/U288*100,1))</f>
        <v/>
      </c>
      <c r="AF288" s="29">
        <f>AB288-AD288</f>
        <v/>
      </c>
      <c r="AG288" s="27">
        <f>IF(U288=0,"",ROUND((AB288-AD288)/U288*100,1))</f>
        <v/>
      </c>
      <c r="AH288" s="35" t="inlineStr">
        <is>
          <t>PARTIAL — class III reconciled, other classes not</t>
        </is>
      </c>
      <c r="AI288" s="31" t="inlineStr">
        <is>
          <t>https://lrflideres.com.br/wp-content/plugins/download-attachments/includes/download.php?id=6252</t>
        </is>
      </c>
      <c r="AJ288" s="30" t="inlineStr">
        <is>
          <t>p2 r16</t>
        </is>
      </c>
      <c r="AK288" s="30" t="inlineStr">
        <is>
          <t>p2: R$ 239.740,08</t>
        </is>
      </c>
      <c r="AL288" s="30" t="inlineStr">
        <is>
          <t>AJ list (art. 7 §2)</t>
        </is>
      </c>
      <c r="AM288" s="30" t="inlineStr">
        <is>
          <t>2024-11-27</t>
        </is>
      </c>
      <c r="AN288" s="30" t="inlineStr">
        <is>
          <t>NONE FOUND</t>
        </is>
      </c>
      <c r="AO288" s="32" t="inlineStr">
        <is>
          <t>0000721-61.2024.8.17.2620</t>
        </is>
      </c>
      <c r="AP288" s="32" t="inlineStr">
        <is>
          <t>TJPE</t>
        </is>
      </c>
      <c r="AQ288" s="32" t="inlineStr">
        <is>
          <t>Recuperação judicial</t>
        </is>
      </c>
      <c r="AR288" s="32" t="inlineStr">
        <is>
          <t>DataJud: no closure/falência movement</t>
        </is>
      </c>
      <c r="AS288" s="32" t="n">
        <v>2024</v>
      </c>
      <c r="AT288" s="32" t="inlineStr">
        <is>
          <t>live case, no plan document yet</t>
        </is>
      </c>
      <c r="AU288" s="32" t="inlineStr">
        <is>
          <t>08.785.522/0001-58</t>
        </is>
      </c>
      <c r="AV288" s="32" t="inlineStr">
        <is>
          <t>printed on the list (read twice)</t>
        </is>
      </c>
      <c r="AW288" s="32" t="inlineStr"/>
      <c r="AX288" s="32" t="inlineStr">
        <is>
          <t>PORTO ALEGRE</t>
        </is>
      </c>
      <c r="AY288" s="32" t="inlineStr">
        <is>
          <t>RS</t>
        </is>
      </c>
      <c r="AZ288" s="32" t="inlineStr">
        <is>
          <t>Sociedades de crédito, financiamento e investimento - financeiras</t>
        </is>
      </c>
      <c r="BA288" s="32" t="inlineStr">
        <is>
          <t>não ME/EPP</t>
        </is>
      </c>
      <c r="BB288" s="33" t="n">
        <v>7772058</v>
      </c>
      <c r="BC288" s="32" t="inlineStr">
        <is>
          <t>MID-MARKET</t>
        </is>
      </c>
      <c r="BD288" s="32" t="inlineStr">
        <is>
          <t>42723848</t>
        </is>
      </c>
      <c r="BE288" s="32" t="n">
        <v>1</v>
      </c>
      <c r="BF288" s="32" t="inlineStr">
        <is>
          <t>class III reconciled (doc partial)</t>
        </is>
      </c>
    </row>
    <row r="289">
      <c r="A289" s="17" t="inlineStr">
        <is>
          <t>BTG PACTUAL LOGCP FUNDO DE INVESTIMENTO IMOBILIARIO RESPONSABILIDADE LIMITADA</t>
        </is>
      </c>
      <c r="B289" s="18" t="n">
        <v>236115.91</v>
      </c>
      <c r="C289" s="19" t="inlineStr">
        <is>
          <t>Grupo Rech</t>
        </is>
      </c>
      <c r="D289" s="20" t="inlineStr">
        <is>
          <t>NEW</t>
        </is>
      </c>
      <c r="E289" s="21" t="inlineStr"/>
      <c r="F289" s="20" t="inlineStr"/>
      <c r="G289" s="21" t="inlineStr"/>
      <c r="H289" s="20" t="inlineStr"/>
      <c r="I289" s="22" t="inlineStr">
        <is>
          <t>Isabella Juncker</t>
        </is>
      </c>
      <c r="J289" s="22" t="inlineStr">
        <is>
          <t>Director | Special Situations | NPL Consumer | Pricing</t>
        </is>
      </c>
      <c r="K289" s="22" t="inlineStr">
        <is>
          <t>(21) 3262-9600</t>
        </is>
      </c>
      <c r="L289" s="22" t="inlineStr"/>
      <c r="M289" s="22" t="inlineStr"/>
      <c r="N289" s="22" t="inlineStr">
        <is>
          <t>isabella.juncker@btgpactual.com</t>
        </is>
      </c>
      <c r="O289" s="22" t="inlineStr">
        <is>
          <t>extrapolated</t>
        </is>
      </c>
      <c r="P289" s="22" t="inlineStr">
        <is>
          <t>Marcos Durigan</t>
        </is>
      </c>
      <c r="Q289" s="22" t="inlineStr">
        <is>
          <t>Special Situations Director</t>
        </is>
      </c>
      <c r="R289" s="22" t="inlineStr"/>
      <c r="S289" s="22" t="inlineStr">
        <is>
          <t>marcos.durigan@btgpactual.com</t>
        </is>
      </c>
      <c r="T289" s="22" t="inlineStr">
        <is>
          <t>DM: DM extrapolated email; FII LogCP -&gt; BTG Pactual Special Situations desk; VERIFY: real-estate fund claim, desk is bank-level; BACKUP: backup verified email</t>
        </is>
      </c>
      <c r="U289" s="24" t="n">
        <v>236115.91</v>
      </c>
      <c r="V289" s="25" t="inlineStr">
        <is>
          <t>B</t>
        </is>
      </c>
      <c r="W289" s="26" t="inlineStr"/>
      <c r="X289" s="27" t="inlineStr"/>
      <c r="Y289" s="27" t="inlineStr"/>
      <c r="Z289" s="26">
        <f>IF(W289&lt;&gt;"",W289,IFERROR(VLOOKUP(V289,Assumptions!$A$8:$F$12,2,FALSE),0))*Assumptions!$B$5</f>
        <v/>
      </c>
      <c r="AA289" s="28">
        <f>IF(V289="A",MAX(1,IF(X289&lt;&gt;"",X289,IFERROR(VLOOKUP(V289,Assumptions!$A$8:$F$12,3,FALSE),3))+IF(Y289&lt;&gt;"",Y289,IFERROR(VLOOKUP(V289,Assumptions!$A$8:$F$12,4,FALSE),8))/2-MAX(0,IF(AS289="",0,YEAR(TODAY())-AS289)-IFERROR(VLOOKUP(V289,Assumptions!$A$8:$F$12,5,FALSE),1.5))),IFERROR(VLOOKUP(V289,Assumptions!$A$8:$F$12,5,FALSE),2.5)+IF(X289&lt;&gt;"",X289,IFERROR(VLOOKUP(V289,Assumptions!$A$8:$F$12,3,FALSE),3))+IF(Y289&lt;&gt;"",Y289,IFERROR(VLOOKUP(V289,Assumptions!$A$8:$F$12,4,FALSE),8))/2)</f>
        <v/>
      </c>
      <c r="AB289" s="24">
        <f>U289*Z289/(1+Assumptions!$B$3)^AA289</f>
        <v/>
      </c>
      <c r="AC289" s="27">
        <f>IF(U289=0,"",ROUND(AB289/U289*100,1))</f>
        <v/>
      </c>
      <c r="AD289" s="29">
        <f>AB289*Assumptions!$B$4</f>
        <v/>
      </c>
      <c r="AE289" s="27">
        <f>IF(U289=0,"",ROUND(AD289/U289*100,1))</f>
        <v/>
      </c>
      <c r="AF289" s="29">
        <f>AB289-AD289</f>
        <v/>
      </c>
      <c r="AG289" s="27">
        <f>IF(U289=0,"",ROUND((AB289-AD289)/U289*100,1))</f>
        <v/>
      </c>
      <c r="AH289" s="36" t="inlineStr">
        <is>
          <t>CHECK — source is not a statutory creditor list</t>
        </is>
      </c>
      <c r="AI289" s="31" t="inlineStr">
        <is>
          <t>https://credibilita.com.br/wp-content/uploads/2025/09/Relacao-Credores-29.04.2026.pdf</t>
        </is>
      </c>
      <c r="AJ289" s="30" t="inlineStr">
        <is>
          <t>p1 r17</t>
        </is>
      </c>
      <c r="AK289" s="30" t="inlineStr">
        <is>
          <t>p1: R$ 236.115,91</t>
        </is>
      </c>
      <c r="AL289" s="30" t="inlineStr">
        <is>
          <t>Quorum list — NOT an art. 7/51 list</t>
        </is>
      </c>
      <c r="AM289" s="30" t="inlineStr"/>
      <c r="AN289" s="30" t="inlineStr">
        <is>
          <t>NONE FOUND</t>
        </is>
      </c>
      <c r="AO289" s="32" t="inlineStr">
        <is>
          <t>5057720-48.2025.8.24.0023</t>
        </is>
      </c>
      <c r="AP289" s="32" t="inlineStr">
        <is>
          <t>TJSC</t>
        </is>
      </c>
      <c r="AQ289" s="32" t="inlineStr"/>
      <c r="AR289" s="32" t="inlineStr">
        <is>
          <t>not in DataJud</t>
        </is>
      </c>
      <c r="AS289" s="32" t="n">
        <v>2025</v>
      </c>
      <c r="AT289" s="32" t="inlineStr">
        <is>
          <t>live case, no plan document yet; case no. from the portal record, not printed on the list</t>
        </is>
      </c>
      <c r="AU289" s="32" t="inlineStr"/>
      <c r="AV289" s="32" t="inlineStr">
        <is>
          <t>portal page title / URL — not printed on the list</t>
        </is>
      </c>
      <c r="AW289" s="32" t="inlineStr"/>
      <c r="AX289" s="32" t="inlineStr">
        <is>
          <t>RIO DE JANEIRO</t>
        </is>
      </c>
      <c r="AY289" s="32" t="inlineStr">
        <is>
          <t>RJ</t>
        </is>
      </c>
      <c r="AZ289" s="32" t="inlineStr">
        <is>
          <t>Fundos de investimento imobiliários</t>
        </is>
      </c>
      <c r="BA289" s="32" t="inlineStr">
        <is>
          <t>não ME/EPP</t>
        </is>
      </c>
      <c r="BB289" s="33" t="inlineStr"/>
      <c r="BC289" s="32" t="inlineStr">
        <is>
          <t>UNKNOWN</t>
        </is>
      </c>
      <c r="BD289" s="32" t="inlineStr">
        <is>
          <t>50479122</t>
        </is>
      </c>
      <c r="BE289" s="32" t="n">
        <v>1</v>
      </c>
      <c r="BF289" s="32" t="inlineStr">
        <is>
          <t>list prints no totals case no. corrected by reader</t>
        </is>
      </c>
    </row>
    <row r="290">
      <c r="A290" s="17" t="inlineStr">
        <is>
          <t>BANCO DAYCOVAL S.A.</t>
        </is>
      </c>
      <c r="B290" s="18" t="n">
        <v>233943.48</v>
      </c>
      <c r="C290" s="19" t="inlineStr">
        <is>
          <t>FLAVOUR MIX IND. E REP. ALIM. E INGR. QUÍMICOS LTDA.</t>
        </is>
      </c>
      <c r="D290" s="20" t="inlineStr">
        <is>
          <t>NEW</t>
        </is>
      </c>
      <c r="E290" s="21" t="inlineStr"/>
      <c r="F290" s="20" t="inlineStr"/>
      <c r="G290" s="21" t="inlineStr"/>
      <c r="H290" s="20" t="inlineStr"/>
      <c r="I290" s="22" t="inlineStr">
        <is>
          <t>Celso Araujo</t>
        </is>
      </c>
      <c r="J290" s="22" t="inlineStr">
        <is>
          <t>Gerente de Recuperação de Crédito</t>
        </is>
      </c>
      <c r="K290" s="22" t="inlineStr">
        <is>
          <t>(11) 3138-0500</t>
        </is>
      </c>
      <c r="L290" s="22" t="inlineStr"/>
      <c r="M290" s="22" t="inlineStr"/>
      <c r="N290" s="22" t="inlineStr">
        <is>
          <t>celso.araujo@bancodaycoval.com.br</t>
        </is>
      </c>
      <c r="O290" s="22" t="inlineStr">
        <is>
          <t>verified</t>
        </is>
      </c>
      <c r="P290" s="22" t="inlineStr">
        <is>
          <t>Andreia Matiel</t>
        </is>
      </c>
      <c r="Q290" s="22" t="inlineStr">
        <is>
          <t>Advogada Recuperação de Crédito Empresas</t>
        </is>
      </c>
      <c r="R290" s="22" t="inlineStr"/>
      <c r="S290" s="22" t="inlineStr">
        <is>
          <t>andreia.matiel@daycoval.com.br</t>
        </is>
      </c>
      <c r="T290" s="22" t="inlineStr">
        <is>
          <t>DM: DM verified email; BACKUP: backup verified email</t>
        </is>
      </c>
      <c r="U290" s="24" t="n">
        <v>233943.48</v>
      </c>
      <c r="V290" s="25" t="inlineStr">
        <is>
          <t>B</t>
        </is>
      </c>
      <c r="W290" s="26" t="inlineStr"/>
      <c r="X290" s="27" t="inlineStr"/>
      <c r="Y290" s="27" t="inlineStr"/>
      <c r="Z290" s="26">
        <f>IF(W290&lt;&gt;"",W290,IFERROR(VLOOKUP(V290,Assumptions!$A$8:$F$12,2,FALSE),0))*Assumptions!$B$5</f>
        <v/>
      </c>
      <c r="AA290" s="28">
        <f>IF(V290="A",MAX(1,IF(X290&lt;&gt;"",X290,IFERROR(VLOOKUP(V290,Assumptions!$A$8:$F$12,3,FALSE),3))+IF(Y290&lt;&gt;"",Y290,IFERROR(VLOOKUP(V290,Assumptions!$A$8:$F$12,4,FALSE),8))/2-MAX(0,IF(AS290="",0,YEAR(TODAY())-AS290)-IFERROR(VLOOKUP(V290,Assumptions!$A$8:$F$12,5,FALSE),1.5))),IFERROR(VLOOKUP(V290,Assumptions!$A$8:$F$12,5,FALSE),2.5)+IF(X290&lt;&gt;"",X290,IFERROR(VLOOKUP(V290,Assumptions!$A$8:$F$12,3,FALSE),3))+IF(Y290&lt;&gt;"",Y290,IFERROR(VLOOKUP(V290,Assumptions!$A$8:$F$12,4,FALSE),8))/2)</f>
        <v/>
      </c>
      <c r="AB290" s="24">
        <f>U290*Z290/(1+Assumptions!$B$3)^AA290</f>
        <v/>
      </c>
      <c r="AC290" s="27">
        <f>IF(U290=0,"",ROUND(AB290/U290*100,1))</f>
        <v/>
      </c>
      <c r="AD290" s="29">
        <f>AB290*Assumptions!$B$4</f>
        <v/>
      </c>
      <c r="AE290" s="27">
        <f>IF(U290=0,"",ROUND(AD290/U290*100,1))</f>
        <v/>
      </c>
      <c r="AF290" s="29">
        <f>AB290-AD290</f>
        <v/>
      </c>
      <c r="AG290" s="27">
        <f>IF(U290=0,"",ROUND((AB290-AD290)/U290*100,1))</f>
        <v/>
      </c>
      <c r="AH290" s="34" t="inlineStr">
        <is>
          <t>NO TOTALS — list prints none; check page</t>
        </is>
      </c>
      <c r="AI290" s="31" t="inlineStr">
        <is>
          <t>https://ativosajce.com.br/admin/download.php?file=files/processo_documento/processo_documento13422625032025_1_.pdf&amp;nome=Relação de Credores - Art. 52º § 1º, da Lei nº 11.101/2005 - 25/02/2025</t>
        </is>
      </c>
      <c r="AJ290" s="30" t="inlineStr">
        <is>
          <t>p3 r16</t>
        </is>
      </c>
      <c r="AK290" s="30" t="inlineStr">
        <is>
          <t>p3: R$ 233.943,48</t>
        </is>
      </c>
      <c r="AL290" s="30" t="inlineStr">
        <is>
          <t>Unclassified list</t>
        </is>
      </c>
      <c r="AM290" s="30" t="inlineStr">
        <is>
          <t>2025-02-28</t>
        </is>
      </c>
      <c r="AN290" s="30" t="inlineStr">
        <is>
          <t>NONE FOUND</t>
        </is>
      </c>
      <c r="AO290" s="32" t="inlineStr">
        <is>
          <t>1000119-75.2025.8.26.0354</t>
        </is>
      </c>
      <c r="AP290" s="32" t="inlineStr">
        <is>
          <t>TJSP</t>
        </is>
      </c>
      <c r="AQ290" s="32" t="inlineStr">
        <is>
          <t>Recuperação judicial</t>
        </is>
      </c>
      <c r="AR290" s="32" t="inlineStr">
        <is>
          <t>DataJud: no closure/falência movement</t>
        </is>
      </c>
      <c r="AS290" s="32" t="n">
        <v>2025</v>
      </c>
      <c r="AT290" s="32" t="inlineStr">
        <is>
          <t>live case, no plan document yet; case no. from the portal record, not printed on the list</t>
        </is>
      </c>
      <c r="AU290" s="32" t="inlineStr">
        <is>
          <t>09.357.504/0001-38</t>
        </is>
      </c>
      <c r="AV290" s="32" t="inlineStr">
        <is>
          <t>printed on the list (read twice)</t>
        </is>
      </c>
      <c r="AW290" s="32" t="inlineStr"/>
      <c r="AX290" s="32" t="inlineStr">
        <is>
          <t>SAO PAULO</t>
        </is>
      </c>
      <c r="AY290" s="32" t="inlineStr">
        <is>
          <t>SP</t>
        </is>
      </c>
      <c r="AZ290" s="32" t="inlineStr">
        <is>
          <t>Bancos múltiplos, com carteira comercial</t>
        </is>
      </c>
      <c r="BA290" s="32" t="inlineStr">
        <is>
          <t>não ME/EPP</t>
        </is>
      </c>
      <c r="BB290" s="33" t="n">
        <v>6907260000</v>
      </c>
      <c r="BC290" s="32" t="inlineStr">
        <is>
          <t>LARGE CORP</t>
        </is>
      </c>
      <c r="BD290" s="32" t="inlineStr">
        <is>
          <t>62232889</t>
        </is>
      </c>
      <c r="BE290" s="32" t="n">
        <v>1</v>
      </c>
      <c r="BF290" s="32" t="inlineStr">
        <is>
          <t>financial by name list prints no totals</t>
        </is>
      </c>
    </row>
    <row r="291">
      <c r="A291" s="17" t="inlineStr">
        <is>
          <t>FX CAPITAL E SECURITIZACOES S.A.</t>
        </is>
      </c>
      <c r="B291" s="18" t="n">
        <v>912212.65</v>
      </c>
      <c r="C291" s="19" t="inlineStr">
        <is>
          <t>VECTOR INDÚSTRIA DE PRODUTOS METALÚRGICOS LTDA.</t>
        </is>
      </c>
      <c r="D291" s="20" t="inlineStr">
        <is>
          <t>NEW</t>
        </is>
      </c>
      <c r="E291" s="21" t="inlineStr"/>
      <c r="F291" s="20" t="inlineStr"/>
      <c r="G291" s="21" t="inlineStr"/>
      <c r="H291" s="20" t="inlineStr"/>
      <c r="I291" s="22" t="inlineStr">
        <is>
          <t>Raul Silva</t>
        </is>
      </c>
      <c r="J291" s="22" t="inlineStr">
        <is>
          <t>Director</t>
        </is>
      </c>
      <c r="K291" s="22" t="inlineStr">
        <is>
          <t>(54) 3067-7591</t>
        </is>
      </c>
      <c r="L291" s="22" t="inlineStr"/>
      <c r="M291" s="22" t="inlineStr"/>
      <c r="N291" s="22" t="inlineStr">
        <is>
          <t>raul@fxinvestimentos.com</t>
        </is>
      </c>
      <c r="O291" s="22" t="inlineStr">
        <is>
          <t>verified</t>
        </is>
      </c>
      <c r="P291" s="22" t="inlineStr">
        <is>
          <t>Elizeu Andrade</t>
        </is>
      </c>
      <c r="Q291" s="22" t="inlineStr">
        <is>
          <t>CEO</t>
        </is>
      </c>
      <c r="R291" s="22" t="inlineStr"/>
      <c r="S291" s="22" t="inlineStr">
        <is>
          <t>elizeu@fxinvestimentos.com</t>
        </is>
      </c>
      <c r="T291" s="22" t="inlineStr">
        <is>
          <t>DM: DM; BACKUP: backup</t>
        </is>
      </c>
      <c r="U291" s="24" t="n">
        <v>912212.65</v>
      </c>
      <c r="V291" s="39" t="inlineStr">
        <is>
          <t>C</t>
        </is>
      </c>
      <c r="W291" s="26" t="inlineStr"/>
      <c r="X291" s="27" t="inlineStr"/>
      <c r="Y291" s="27" t="inlineStr"/>
      <c r="Z291" s="26">
        <f>IF(W291&lt;&gt;"",W291,IFERROR(VLOOKUP(V291,Assumptions!$A$8:$F$12,2,FALSE),0))*Assumptions!$B$5</f>
        <v/>
      </c>
      <c r="AA291" s="28">
        <f>IF(V291="A",MAX(1,IF(X291&lt;&gt;"",X291,IFERROR(VLOOKUP(V291,Assumptions!$A$8:$F$12,3,FALSE),3))+IF(Y291&lt;&gt;"",Y291,IFERROR(VLOOKUP(V291,Assumptions!$A$8:$F$12,4,FALSE),8))/2-MAX(0,IF(AS291="",0,YEAR(TODAY())-AS291)-IFERROR(VLOOKUP(V291,Assumptions!$A$8:$F$12,5,FALSE),1.5))),IFERROR(VLOOKUP(V291,Assumptions!$A$8:$F$12,5,FALSE),2.5)+IF(X291&lt;&gt;"",X291,IFERROR(VLOOKUP(V291,Assumptions!$A$8:$F$12,3,FALSE),3))+IF(Y291&lt;&gt;"",Y291,IFERROR(VLOOKUP(V291,Assumptions!$A$8:$F$12,4,FALSE),8))/2)</f>
        <v/>
      </c>
      <c r="AB291" s="24">
        <f>U291*Z291/(1+Assumptions!$B$3)^AA291</f>
        <v/>
      </c>
      <c r="AC291" s="27">
        <f>IF(U291=0,"",ROUND(AB291/U291*100,1))</f>
        <v/>
      </c>
      <c r="AD291" s="29">
        <f>AB291*Assumptions!$B$4</f>
        <v/>
      </c>
      <c r="AE291" s="27">
        <f>IF(U291=0,"",ROUND(AD291/U291*100,1))</f>
        <v/>
      </c>
      <c r="AF291" s="29">
        <f>AB291-AD291</f>
        <v/>
      </c>
      <c r="AG291" s="27">
        <f>IF(U291=0,"",ROUND((AB291-AD291)/U291*100,1))</f>
        <v/>
      </c>
      <c r="AH291" s="34" t="inlineStr">
        <is>
          <t>NO TOTALS — list prints none; check page</t>
        </is>
      </c>
      <c r="AI291" s="31" t="inlineStr">
        <is>
          <t>https://scalzilliaj.com.br/sgc/download.php?file=files/processo_documento/processo_documento15513401112022_1_.pdf&amp;nome=15 - Edital do art. 7º, §2º (segunda lista de credores) e do art. 53 da Lei 11.101/2005 (recebimento do plano)</t>
        </is>
      </c>
      <c r="AJ291" s="30" t="inlineStr">
        <is>
          <t>p7 r15</t>
        </is>
      </c>
      <c r="AK291" s="30" t="inlineStr">
        <is>
          <t>p7: R$ 912.212,65</t>
        </is>
      </c>
      <c r="AL291" s="30" t="inlineStr">
        <is>
          <t>AJ list (art. 7 §2)</t>
        </is>
      </c>
      <c r="AM291" s="30" t="inlineStr">
        <is>
          <t>2022-11-01</t>
        </is>
      </c>
      <c r="AN291" s="30" t="inlineStr">
        <is>
          <t>NONE FOUND</t>
        </is>
      </c>
      <c r="AO291" s="32" t="inlineStr">
        <is>
          <t>5014104-85.2021.8.21.0010</t>
        </is>
      </c>
      <c r="AP291" s="32" t="inlineStr">
        <is>
          <t>TJRS</t>
        </is>
      </c>
      <c r="AQ291" s="32" t="inlineStr">
        <is>
          <t>Recuperação judicial</t>
        </is>
      </c>
      <c r="AR291" s="32" t="inlineStr">
        <is>
          <t>DataJud: no closure/falência movement</t>
        </is>
      </c>
      <c r="AS291" s="32" t="n">
        <v>2021</v>
      </c>
      <c r="AT291" s="32" t="inlineStr">
        <is>
          <t>5y since filing; plan not in our documents</t>
        </is>
      </c>
      <c r="AU291" s="32" t="inlineStr">
        <is>
          <t>03.018.339/0001-03</t>
        </is>
      </c>
      <c r="AV291" s="32" t="inlineStr">
        <is>
          <t>printed on the list (read twice)</t>
        </is>
      </c>
      <c r="AW291" s="32" t="inlineStr"/>
      <c r="AX291" s="32" t="inlineStr">
        <is>
          <t>CAXIAS DO SUL</t>
        </is>
      </c>
      <c r="AY291" s="32" t="inlineStr">
        <is>
          <t>RS</t>
        </is>
      </c>
      <c r="AZ291" s="32" t="inlineStr">
        <is>
          <t>Securitização de créditos</t>
        </is>
      </c>
      <c r="BA291" s="32" t="inlineStr">
        <is>
          <t>não ME/EPP</t>
        </is>
      </c>
      <c r="BB291" s="33" t="n">
        <v>79700</v>
      </c>
      <c r="BC291" s="32" t="inlineStr">
        <is>
          <t>MID-MARKET</t>
        </is>
      </c>
      <c r="BD291" s="32" t="inlineStr">
        <is>
          <t>40072614</t>
        </is>
      </c>
      <c r="BE291" s="32" t="n">
        <v>1</v>
      </c>
      <c r="BF291" s="32" t="inlineStr">
        <is>
          <t>list prints no totals</t>
        </is>
      </c>
    </row>
    <row r="292">
      <c r="A292" s="17" t="inlineStr">
        <is>
          <t>BANCO BRADESCO S.A.</t>
        </is>
      </c>
      <c r="B292" s="18" t="n">
        <v>232159.83</v>
      </c>
      <c r="C292" s="19" t="inlineStr">
        <is>
          <t>GRUPO D&amp;D</t>
        </is>
      </c>
      <c r="D292" s="20" t="inlineStr">
        <is>
          <t>NEW</t>
        </is>
      </c>
      <c r="E292" s="21" t="inlineStr"/>
      <c r="F292" s="20" t="inlineStr"/>
      <c r="G292" s="21" t="inlineStr"/>
      <c r="H292" s="20" t="inlineStr"/>
      <c r="I292" s="22" t="inlineStr">
        <is>
          <t>Marcela Martins</t>
        </is>
      </c>
      <c r="J292" s="22" t="inlineStr">
        <is>
          <t>Superintendente de Recuperação de Crédito - Canais e Operações</t>
        </is>
      </c>
      <c r="K292" s="22" t="inlineStr">
        <is>
          <t>(11) 3684-5122</t>
        </is>
      </c>
      <c r="L292" s="22" t="inlineStr"/>
      <c r="M292" s="22" t="inlineStr"/>
      <c r="N292" s="22" t="inlineStr"/>
      <c r="O292" s="22" t="inlineStr"/>
      <c r="P292" s="22" t="inlineStr">
        <is>
          <t>Luis S</t>
        </is>
      </c>
      <c r="Q292" s="22" t="inlineStr">
        <is>
          <t>DRC - Departamento de Recuperação de Crédito - Gerente de Reestruturação de Crédito</t>
        </is>
      </c>
      <c r="R292" s="22" t="inlineStr"/>
      <c r="S292" s="22" t="inlineStr">
        <is>
          <t>sl@bradesco.com.br</t>
        </is>
      </c>
      <c r="T292" s="22" t="inlineStr">
        <is>
          <t>DM: DM; no work email in Apollo for DM; BACKUP: backup</t>
        </is>
      </c>
      <c r="U292" s="24" t="n">
        <v>232159.83</v>
      </c>
      <c r="V292" s="25" t="inlineStr">
        <is>
          <t>B</t>
        </is>
      </c>
      <c r="W292" s="26" t="inlineStr"/>
      <c r="X292" s="27" t="inlineStr"/>
      <c r="Y292" s="27" t="inlineStr"/>
      <c r="Z292" s="26">
        <f>IF(W292&lt;&gt;"",W292,IFERROR(VLOOKUP(V292,Assumptions!$A$8:$F$12,2,FALSE),0))*Assumptions!$B$5</f>
        <v/>
      </c>
      <c r="AA292" s="28">
        <f>IF(V292="A",MAX(1,IF(X292&lt;&gt;"",X292,IFERROR(VLOOKUP(V292,Assumptions!$A$8:$F$12,3,FALSE),3))+IF(Y292&lt;&gt;"",Y292,IFERROR(VLOOKUP(V292,Assumptions!$A$8:$F$12,4,FALSE),8))/2-MAX(0,IF(AS292="",0,YEAR(TODAY())-AS292)-IFERROR(VLOOKUP(V292,Assumptions!$A$8:$F$12,5,FALSE),1.5))),IFERROR(VLOOKUP(V292,Assumptions!$A$8:$F$12,5,FALSE),2.5)+IF(X292&lt;&gt;"",X292,IFERROR(VLOOKUP(V292,Assumptions!$A$8:$F$12,3,FALSE),3))+IF(Y292&lt;&gt;"",Y292,IFERROR(VLOOKUP(V292,Assumptions!$A$8:$F$12,4,FALSE),8))/2)</f>
        <v/>
      </c>
      <c r="AB292" s="24">
        <f>U292*Z292/(1+Assumptions!$B$3)^AA292</f>
        <v/>
      </c>
      <c r="AC292" s="27">
        <f>IF(U292=0,"",ROUND(AB292/U292*100,1))</f>
        <v/>
      </c>
      <c r="AD292" s="29">
        <f>AB292*Assumptions!$B$4</f>
        <v/>
      </c>
      <c r="AE292" s="27">
        <f>IF(U292=0,"",ROUND(AD292/U292*100,1))</f>
        <v/>
      </c>
      <c r="AF292" s="29">
        <f>AB292-AD292</f>
        <v/>
      </c>
      <c r="AG292" s="27">
        <f>IF(U292=0,"",ROUND((AB292-AD292)/U292*100,1))</f>
        <v/>
      </c>
      <c r="AH292" s="35" t="inlineStr">
        <is>
          <t>PARTIAL — class III reconciled, other classes not</t>
        </is>
      </c>
      <c r="AI292" s="31" t="inlineStr">
        <is>
          <t>https://marquesadmjudicial.com.br/sgc/download.php?file=files/processo_documento/processo_documento20014127022025_1_.pdf&amp;nome=Relação Nominal de Credores</t>
        </is>
      </c>
      <c r="AJ292" s="30" t="inlineStr">
        <is>
          <t>p4 r6</t>
        </is>
      </c>
      <c r="AK292" s="30" t="inlineStr">
        <is>
          <t>p4: R$ 232.159,83</t>
        </is>
      </c>
      <c r="AL292" s="30" t="inlineStr">
        <is>
          <t>AJ list (art. 7 §2)</t>
        </is>
      </c>
      <c r="AM292" s="30" t="inlineStr">
        <is>
          <t>2024-11-08</t>
        </is>
      </c>
      <c r="AN292" s="30" t="inlineStr">
        <is>
          <t>NONE FOUND</t>
        </is>
      </c>
      <c r="AO292" s="32" t="inlineStr">
        <is>
          <t>0001943-40.2024.8.16.0115</t>
        </is>
      </c>
      <c r="AP292" s="32" t="inlineStr">
        <is>
          <t>TJPR</t>
        </is>
      </c>
      <c r="AQ292" s="32" t="inlineStr">
        <is>
          <t>Recuperação judicial</t>
        </is>
      </c>
      <c r="AR292" s="32" t="inlineStr">
        <is>
          <t>DataJud: no closure/falência movement</t>
        </is>
      </c>
      <c r="AS292" s="32" t="n">
        <v>2024</v>
      </c>
      <c r="AT292" s="32" t="inlineStr">
        <is>
          <t>live case, no plan document yet</t>
        </is>
      </c>
      <c r="AU292" s="32" t="inlineStr"/>
      <c r="AV292" s="32" t="inlineStr">
        <is>
          <t>printed on the list (read twice)</t>
        </is>
      </c>
      <c r="AW292" s="32" t="inlineStr"/>
      <c r="AX292" s="32" t="inlineStr">
        <is>
          <t>OSASCO</t>
        </is>
      </c>
      <c r="AY292" s="32" t="inlineStr">
        <is>
          <t>SP</t>
        </is>
      </c>
      <c r="AZ292" s="32" t="inlineStr">
        <is>
          <t>Bancos múltiplos, com carteira comercial</t>
        </is>
      </c>
      <c r="BA292" s="32" t="inlineStr">
        <is>
          <t>não ME/EPP</t>
        </is>
      </c>
      <c r="BB292" s="33" t="n">
        <v>93770000000</v>
      </c>
      <c r="BC292" s="32" t="inlineStr">
        <is>
          <t>LARGE CORP</t>
        </is>
      </c>
      <c r="BD292" s="32" t="inlineStr">
        <is>
          <t>60746948</t>
        </is>
      </c>
      <c r="BE292" s="32" t="n">
        <v>1</v>
      </c>
      <c r="BF292" s="32" t="inlineStr">
        <is>
          <t>financial by name class III reconciled (doc partial)</t>
        </is>
      </c>
    </row>
    <row r="293">
      <c r="A293" s="17" t="inlineStr">
        <is>
          <t>ITAU UNIBANCO S.A.</t>
        </is>
      </c>
      <c r="B293" s="18" t="n">
        <v>1639850.58</v>
      </c>
      <c r="C293" s="19" t="inlineStr">
        <is>
          <t>EQUIP SEG INTELIGÊNCIA EM SEGURANÇA LTDA. E EQUIP SEG SERVIÇOS ESPECIALIZADOS LTDA.</t>
        </is>
      </c>
      <c r="D293" s="20" t="inlineStr">
        <is>
          <t>NEW</t>
        </is>
      </c>
      <c r="E293" s="21" t="inlineStr"/>
      <c r="F293" s="20" t="inlineStr"/>
      <c r="G293" s="21" t="inlineStr"/>
      <c r="H293" s="20" t="inlineStr"/>
      <c r="I293" s="22" t="inlineStr">
        <is>
          <t>Murilo Gigliucci</t>
        </is>
      </c>
      <c r="J293" s="22" t="inlineStr">
        <is>
          <t>Superintendente de Reestruturação de Crédito</t>
        </is>
      </c>
      <c r="K293" s="22" t="inlineStr">
        <is>
          <t>(11) 3003-4828</t>
        </is>
      </c>
      <c r="L293" s="22" t="inlineStr"/>
      <c r="M293" s="22" t="inlineStr"/>
      <c r="N293" s="22" t="inlineStr">
        <is>
          <t>murilo.gigliucci@itau-unibanco.com.br</t>
        </is>
      </c>
      <c r="O293" s="22" t="inlineStr">
        <is>
          <t>verified</t>
        </is>
      </c>
      <c r="P293" s="22" t="inlineStr">
        <is>
          <t>Pedro Ornellas</t>
        </is>
      </c>
      <c r="Q293" s="22" t="inlineStr">
        <is>
          <t>Superintendente de Recuperação de Crédito</t>
        </is>
      </c>
      <c r="R293" s="22" t="inlineStr"/>
      <c r="S293" s="22" t="inlineStr">
        <is>
          <t>pedro.ornellas-geronimo@itau-unibanco.com.br</t>
        </is>
      </c>
      <c r="T293" s="22" t="inlineStr">
        <is>
          <t>DM: DM verified email; BACKUP: backup verified email</t>
        </is>
      </c>
      <c r="U293" s="24" t="n">
        <v>1639850.58</v>
      </c>
      <c r="V293" s="40" t="inlineStr">
        <is>
          <t>D</t>
        </is>
      </c>
      <c r="W293" s="26" t="inlineStr"/>
      <c r="X293" s="27" t="inlineStr"/>
      <c r="Y293" s="27" t="inlineStr"/>
      <c r="Z293" s="26">
        <f>IF(W293&lt;&gt;"",W293,IFERROR(VLOOKUP(V293,Assumptions!$A$8:$F$12,2,FALSE),0))*Assumptions!$B$5</f>
        <v/>
      </c>
      <c r="AA293" s="28">
        <f>IF(V293="A",MAX(1,IF(X293&lt;&gt;"",X293,IFERROR(VLOOKUP(V293,Assumptions!$A$8:$F$12,3,FALSE),3))+IF(Y293&lt;&gt;"",Y293,IFERROR(VLOOKUP(V293,Assumptions!$A$8:$F$12,4,FALSE),8))/2-MAX(0,IF(AS293="",0,YEAR(TODAY())-AS293)-IFERROR(VLOOKUP(V293,Assumptions!$A$8:$F$12,5,FALSE),1.5))),IFERROR(VLOOKUP(V293,Assumptions!$A$8:$F$12,5,FALSE),2.5)+IF(X293&lt;&gt;"",X293,IFERROR(VLOOKUP(V293,Assumptions!$A$8:$F$12,3,FALSE),3))+IF(Y293&lt;&gt;"",Y293,IFERROR(VLOOKUP(V293,Assumptions!$A$8:$F$12,4,FALSE),8))/2)</f>
        <v/>
      </c>
      <c r="AB293" s="24">
        <f>U293*Z293/(1+Assumptions!$B$3)^AA293</f>
        <v/>
      </c>
      <c r="AC293" s="27">
        <f>IF(U293=0,"",ROUND(AB293/U293*100,1))</f>
        <v/>
      </c>
      <c r="AD293" s="29">
        <f>AB293*Assumptions!$B$4</f>
        <v/>
      </c>
      <c r="AE293" s="27">
        <f>IF(U293=0,"",ROUND(AD293/U293*100,1))</f>
        <v/>
      </c>
      <c r="AF293" s="29">
        <f>AB293-AD293</f>
        <v/>
      </c>
      <c r="AG293" s="27">
        <f>IF(U293=0,"",ROUND((AB293-AD293)/U293*100,1))</f>
        <v/>
      </c>
      <c r="AH293" s="34" t="inlineStr">
        <is>
          <t>NO TOTALS — list prints none; check page</t>
        </is>
      </c>
      <c r="AI293" s="31" t="inlineStr">
        <is>
          <t>https://bbsadvogados.com.br/wp-content/uploads/2025/04/Equipseg-Edital-Relacao-de-Credores-da-Administradora-Judicial-art.-7o2o-da-LRF.pdf</t>
        </is>
      </c>
      <c r="AJ293" s="30" t="inlineStr">
        <is>
          <t>p38 r6</t>
        </is>
      </c>
      <c r="AK293" s="30" t="inlineStr">
        <is>
          <t>p38: R$ 1.639.850,58</t>
        </is>
      </c>
      <c r="AL293" s="30" t="inlineStr">
        <is>
          <t>AJ list (art. 7 §2)</t>
        </is>
      </c>
      <c r="AM293" s="30" t="inlineStr">
        <is>
          <t>2025-04-08</t>
        </is>
      </c>
      <c r="AN293" s="30" t="inlineStr">
        <is>
          <t>NONE FOUND</t>
        </is>
      </c>
      <c r="AO293" s="32" t="inlineStr">
        <is>
          <t>0033736-15.2023.8.16.0185</t>
        </is>
      </c>
      <c r="AP293" s="32" t="inlineStr">
        <is>
          <t>TJPR</t>
        </is>
      </c>
      <c r="AQ293" s="32" t="inlineStr">
        <is>
          <t>Falência</t>
        </is>
      </c>
      <c r="AR293" s="32" t="inlineStr">
        <is>
          <t>not in DataJud</t>
        </is>
      </c>
      <c r="AS293" s="32" t="n">
        <v>2023</v>
      </c>
      <c r="AT293" s="32" t="inlineStr">
        <is>
          <t>falência proceeding (list/name says falida)</t>
        </is>
      </c>
      <c r="AU293" s="32" t="inlineStr"/>
      <c r="AV293" s="32" t="inlineStr">
        <is>
          <t>printed on the list (read twice)</t>
        </is>
      </c>
      <c r="AW293" s="32" t="inlineStr"/>
      <c r="AX293" s="32" t="inlineStr">
        <is>
          <t>SAO PAULO</t>
        </is>
      </c>
      <c r="AY293" s="32" t="inlineStr">
        <is>
          <t>SP</t>
        </is>
      </c>
      <c r="AZ293" s="32" t="inlineStr">
        <is>
          <t>Bancos comerciais</t>
        </is>
      </c>
      <c r="BA293" s="32" t="inlineStr">
        <is>
          <t>não ME/EPP</t>
        </is>
      </c>
      <c r="BB293" s="33" t="n">
        <v>76200000000</v>
      </c>
      <c r="BC293" s="32" t="inlineStr">
        <is>
          <t>LARGE CORP</t>
        </is>
      </c>
      <c r="BD293" s="32" t="inlineStr">
        <is>
          <t>60701190</t>
        </is>
      </c>
      <c r="BE293" s="32" t="n">
        <v>1</v>
      </c>
      <c r="BF293" s="32" t="inlineStr">
        <is>
          <t>financial by name list prints no totals</t>
        </is>
      </c>
    </row>
    <row r="294">
      <c r="A294" s="17" t="inlineStr">
        <is>
          <t>BANCO DAYCOVAL S.A.</t>
        </is>
      </c>
      <c r="B294" s="18" t="n">
        <v>229172.85</v>
      </c>
      <c r="C294" s="19" t="inlineStr">
        <is>
          <t>GRUPO IMPLASVERDE</t>
        </is>
      </c>
      <c r="D294" s="20" t="inlineStr">
        <is>
          <t>NEW</t>
        </is>
      </c>
      <c r="E294" s="21" t="inlineStr"/>
      <c r="F294" s="20" t="inlineStr"/>
      <c r="G294" s="21" t="inlineStr"/>
      <c r="H294" s="20" t="inlineStr"/>
      <c r="I294" s="22" t="inlineStr">
        <is>
          <t>Celso Araujo</t>
        </is>
      </c>
      <c r="J294" s="22" t="inlineStr">
        <is>
          <t>Gerente de Recuperação de Crédito</t>
        </is>
      </c>
      <c r="K294" s="22" t="inlineStr">
        <is>
          <t>(11) 3138-0500</t>
        </is>
      </c>
      <c r="L294" s="22" t="inlineStr"/>
      <c r="M294" s="22" t="inlineStr"/>
      <c r="N294" s="22" t="inlineStr">
        <is>
          <t>celso.araujo@bancodaycoval.com.br</t>
        </is>
      </c>
      <c r="O294" s="22" t="inlineStr">
        <is>
          <t>verified</t>
        </is>
      </c>
      <c r="P294" s="22" t="inlineStr">
        <is>
          <t>Andreia Matiel</t>
        </is>
      </c>
      <c r="Q294" s="22" t="inlineStr">
        <is>
          <t>Advogada Recuperação de Crédito Empresas</t>
        </is>
      </c>
      <c r="R294" s="22" t="inlineStr"/>
      <c r="S294" s="22" t="inlineStr">
        <is>
          <t>andreia.matiel@daycoval.com.br</t>
        </is>
      </c>
      <c r="T294" s="22" t="inlineStr">
        <is>
          <t>DM: DM verified email; BACKUP: backup verified email</t>
        </is>
      </c>
      <c r="U294" s="24" t="n">
        <v>229172.85</v>
      </c>
      <c r="V294" s="25" t="inlineStr">
        <is>
          <t>B</t>
        </is>
      </c>
      <c r="W294" s="26" t="inlineStr"/>
      <c r="X294" s="27" t="inlineStr"/>
      <c r="Y294" s="27" t="inlineStr"/>
      <c r="Z294" s="26">
        <f>IF(W294&lt;&gt;"",W294,IFERROR(VLOOKUP(V294,Assumptions!$A$8:$F$12,2,FALSE),0))*Assumptions!$B$5</f>
        <v/>
      </c>
      <c r="AA294" s="28">
        <f>IF(V294="A",MAX(1,IF(X294&lt;&gt;"",X294,IFERROR(VLOOKUP(V294,Assumptions!$A$8:$F$12,3,FALSE),3))+IF(Y294&lt;&gt;"",Y294,IFERROR(VLOOKUP(V294,Assumptions!$A$8:$F$12,4,FALSE),8))/2-MAX(0,IF(AS294="",0,YEAR(TODAY())-AS294)-IFERROR(VLOOKUP(V294,Assumptions!$A$8:$F$12,5,FALSE),1.5))),IFERROR(VLOOKUP(V294,Assumptions!$A$8:$F$12,5,FALSE),2.5)+IF(X294&lt;&gt;"",X294,IFERROR(VLOOKUP(V294,Assumptions!$A$8:$F$12,3,FALSE),3))+IF(Y294&lt;&gt;"",Y294,IFERROR(VLOOKUP(V294,Assumptions!$A$8:$F$12,4,FALSE),8))/2)</f>
        <v/>
      </c>
      <c r="AB294" s="24">
        <f>U294*Z294/(1+Assumptions!$B$3)^AA294</f>
        <v/>
      </c>
      <c r="AC294" s="27">
        <f>IF(U294=0,"",ROUND(AB294/U294*100,1))</f>
        <v/>
      </c>
      <c r="AD294" s="29">
        <f>AB294*Assumptions!$B$4</f>
        <v/>
      </c>
      <c r="AE294" s="27">
        <f>IF(U294=0,"",ROUND(AD294/U294*100,1))</f>
        <v/>
      </c>
      <c r="AF294" s="29">
        <f>AB294-AD294</f>
        <v/>
      </c>
      <c r="AG294" s="27">
        <f>IF(U294=0,"",ROUND((AB294-AD294)/U294*100,1))</f>
        <v/>
      </c>
      <c r="AH294" s="30" t="inlineStr">
        <is>
          <t>OK — totals reconciled</t>
        </is>
      </c>
      <c r="AI294" s="31" t="inlineStr">
        <is>
          <t>http://recuperacaojudicial.squarespace.com/s/LISTA-DE-CREDORES-CONSOLIDADA-ATE-04102024.pdf</t>
        </is>
      </c>
      <c r="AJ294" s="30" t="inlineStr">
        <is>
          <t>p6 r3</t>
        </is>
      </c>
      <c r="AK294" s="30" t="inlineStr">
        <is>
          <t>p6: R$ 229.172,85</t>
        </is>
      </c>
      <c r="AL294" s="30" t="inlineStr">
        <is>
          <t>AJ list (art. 7 §2)</t>
        </is>
      </c>
      <c r="AM294" s="30" t="inlineStr">
        <is>
          <t>2024-10-04</t>
        </is>
      </c>
      <c r="AN294" s="30" t="inlineStr">
        <is>
          <t>NONE FOUND</t>
        </is>
      </c>
      <c r="AO294" s="32" t="inlineStr">
        <is>
          <t>0800778-16.2023.8.20.5104</t>
        </is>
      </c>
      <c r="AP294" s="32" t="inlineStr">
        <is>
          <t>TJRN</t>
        </is>
      </c>
      <c r="AQ294" s="32" t="inlineStr">
        <is>
          <t>Recuperação judicial</t>
        </is>
      </c>
      <c r="AR294" s="32" t="inlineStr">
        <is>
          <t>DataJud: no closure/falência movement</t>
        </is>
      </c>
      <c r="AS294" s="32" t="n">
        <v>2023</v>
      </c>
      <c r="AT294" s="32" t="inlineStr">
        <is>
          <t>live case, no plan document yet</t>
        </is>
      </c>
      <c r="AU294" s="32" t="inlineStr"/>
      <c r="AV294" s="32" t="inlineStr">
        <is>
          <t>printed on the list (read twice)</t>
        </is>
      </c>
      <c r="AW294" s="32" t="inlineStr"/>
      <c r="AX294" s="32" t="inlineStr">
        <is>
          <t>SAO PAULO</t>
        </is>
      </c>
      <c r="AY294" s="32" t="inlineStr">
        <is>
          <t>SP</t>
        </is>
      </c>
      <c r="AZ294" s="32" t="inlineStr">
        <is>
          <t>Bancos múltiplos, com carteira comercial</t>
        </is>
      </c>
      <c r="BA294" s="32" t="inlineStr">
        <is>
          <t>não ME/EPP</t>
        </is>
      </c>
      <c r="BB294" s="33" t="n">
        <v>6907260000</v>
      </c>
      <c r="BC294" s="32" t="inlineStr">
        <is>
          <t>LARGE CORP</t>
        </is>
      </c>
      <c r="BD294" s="32" t="inlineStr">
        <is>
          <t>62232889</t>
        </is>
      </c>
      <c r="BE294" s="32" t="n">
        <v>1</v>
      </c>
      <c r="BF294" s="32" t="inlineStr">
        <is>
          <t>financial by name</t>
        </is>
      </c>
    </row>
    <row r="295">
      <c r="A295" s="17" t="inlineStr">
        <is>
          <t>OXSS SECURITIZADORA FUNDOS DE INVESTIMENTOS EM DIREITOS CREDITORIOS</t>
        </is>
      </c>
      <c r="B295" s="18" t="n">
        <v>222133.2</v>
      </c>
      <c r="C295" s="19" t="inlineStr">
        <is>
          <t>GRUPO DIVINA</t>
        </is>
      </c>
      <c r="D295" s="20" t="inlineStr">
        <is>
          <t>NEW</t>
        </is>
      </c>
      <c r="E295" s="21" t="inlineStr"/>
      <c r="F295" s="20" t="inlineStr"/>
      <c r="G295" s="21" t="inlineStr"/>
      <c r="H295" s="20" t="inlineStr"/>
      <c r="I295" s="22" t="inlineStr"/>
      <c r="J295" s="22" t="inlineStr"/>
      <c r="K295" s="22" t="inlineStr"/>
      <c r="L295" s="22" t="inlineStr"/>
      <c r="M295" s="22" t="inlineStr"/>
      <c r="N295" s="22" t="inlineStr"/>
      <c r="O295" s="22" t="inlineStr"/>
      <c r="P295" s="22" t="inlineStr"/>
      <c r="Q295" s="22" t="inlineStr"/>
      <c r="R295" s="22" t="inlineStr"/>
      <c r="S295" s="22" t="inlineStr"/>
      <c r="T295" s="22" t="inlineStr">
        <is>
          <t>no named contact found; NO ROUTE IN: no phone or email on file</t>
        </is>
      </c>
      <c r="U295" s="24" t="n">
        <v>222133.2</v>
      </c>
      <c r="V295" s="25" t="inlineStr">
        <is>
          <t>B</t>
        </is>
      </c>
      <c r="W295" s="26" t="inlineStr"/>
      <c r="X295" s="27" t="inlineStr"/>
      <c r="Y295" s="27" t="inlineStr"/>
      <c r="Z295" s="26">
        <f>IF(W295&lt;&gt;"",W295,IFERROR(VLOOKUP(V295,Assumptions!$A$8:$F$12,2,FALSE),0))*Assumptions!$B$5</f>
        <v/>
      </c>
      <c r="AA295" s="28">
        <f>IF(V295="A",MAX(1,IF(X295&lt;&gt;"",X295,IFERROR(VLOOKUP(V295,Assumptions!$A$8:$F$12,3,FALSE),3))+IF(Y295&lt;&gt;"",Y295,IFERROR(VLOOKUP(V295,Assumptions!$A$8:$F$12,4,FALSE),8))/2-MAX(0,IF(AS295="",0,YEAR(TODAY())-AS295)-IFERROR(VLOOKUP(V295,Assumptions!$A$8:$F$12,5,FALSE),1.5))),IFERROR(VLOOKUP(V295,Assumptions!$A$8:$F$12,5,FALSE),2.5)+IF(X295&lt;&gt;"",X295,IFERROR(VLOOKUP(V295,Assumptions!$A$8:$F$12,3,FALSE),3))+IF(Y295&lt;&gt;"",Y295,IFERROR(VLOOKUP(V295,Assumptions!$A$8:$F$12,4,FALSE),8))/2)</f>
        <v/>
      </c>
      <c r="AB295" s="24">
        <f>U295*Z295/(1+Assumptions!$B$3)^AA295</f>
        <v/>
      </c>
      <c r="AC295" s="27">
        <f>IF(U295=0,"",ROUND(AB295/U295*100,1))</f>
        <v/>
      </c>
      <c r="AD295" s="29">
        <f>AB295*Assumptions!$B$4</f>
        <v/>
      </c>
      <c r="AE295" s="27">
        <f>IF(U295=0,"",ROUND(AD295/U295*100,1))</f>
        <v/>
      </c>
      <c r="AF295" s="29">
        <f>AB295-AD295</f>
        <v/>
      </c>
      <c r="AG295" s="27">
        <f>IF(U295=0,"",ROUND((AB295-AD295)/U295*100,1))</f>
        <v/>
      </c>
      <c r="AH295" s="35" t="inlineStr">
        <is>
          <t>PARTIAL — class III reconciled, other classes not</t>
        </is>
      </c>
      <c r="AI295" s="31" t="inlineStr">
        <is>
          <t>https://lrflideres.com.br/wp-content/plugins/download-attachments/includes/download.php?id=6252</t>
        </is>
      </c>
      <c r="AJ295" s="30" t="inlineStr">
        <is>
          <t>p2 r65</t>
        </is>
      </c>
      <c r="AK295" s="30" t="inlineStr">
        <is>
          <t>p2: R$ 222.133,20</t>
        </is>
      </c>
      <c r="AL295" s="30" t="inlineStr">
        <is>
          <t>AJ list (art. 7 §2)</t>
        </is>
      </c>
      <c r="AM295" s="30" t="inlineStr">
        <is>
          <t>2024-11-27</t>
        </is>
      </c>
      <c r="AN295" s="30" t="inlineStr">
        <is>
          <t>NONE FOUND</t>
        </is>
      </c>
      <c r="AO295" s="32" t="inlineStr">
        <is>
          <t>0000721-61.2024.8.17.2620</t>
        </is>
      </c>
      <c r="AP295" s="32" t="inlineStr">
        <is>
          <t>TJPE</t>
        </is>
      </c>
      <c r="AQ295" s="32" t="inlineStr">
        <is>
          <t>Recuperação judicial</t>
        </is>
      </c>
      <c r="AR295" s="32" t="inlineStr">
        <is>
          <t>DataJud: no closure/falência movement</t>
        </is>
      </c>
      <c r="AS295" s="32" t="n">
        <v>2024</v>
      </c>
      <c r="AT295" s="32" t="inlineStr">
        <is>
          <t>live case, no plan document yet</t>
        </is>
      </c>
      <c r="AU295" s="32" t="inlineStr">
        <is>
          <t>08.785.522/0001-58</t>
        </is>
      </c>
      <c r="AV295" s="32" t="inlineStr">
        <is>
          <t>printed on the list (read twice)</t>
        </is>
      </c>
      <c r="AW295" s="32" t="inlineStr"/>
      <c r="AX295" s="32" t="inlineStr"/>
      <c r="AY295" s="32" t="inlineStr"/>
      <c r="AZ295" s="32" t="inlineStr"/>
      <c r="BA295" s="32" t="inlineStr"/>
      <c r="BB295" s="33" t="inlineStr"/>
      <c r="BC295" s="32" t="inlineStr">
        <is>
          <t>UNKNOWN</t>
        </is>
      </c>
      <c r="BD295" s="32" t="inlineStr">
        <is>
          <t>24504464</t>
        </is>
      </c>
      <c r="BE295" s="32" t="n">
        <v>1</v>
      </c>
      <c r="BF295" s="32" t="inlineStr">
        <is>
          <t>financial by name class III reconciled (doc partial) no RFB record no route in</t>
        </is>
      </c>
    </row>
    <row r="296">
      <c r="A296" s="17" t="inlineStr">
        <is>
          <t>TIME CONSULTORIA E FOMENTO MERCANTIL LTDA</t>
        </is>
      </c>
      <c r="B296" s="18" t="n">
        <v>864333.3</v>
      </c>
      <c r="C296" s="19" t="inlineStr">
        <is>
          <t>GRUPO ARNON DE MELLO</t>
        </is>
      </c>
      <c r="D296" s="20" t="inlineStr">
        <is>
          <t>NEW</t>
        </is>
      </c>
      <c r="E296" s="21" t="inlineStr"/>
      <c r="F296" s="20" t="inlineStr"/>
      <c r="G296" s="21" t="inlineStr"/>
      <c r="H296" s="20" t="inlineStr"/>
      <c r="I296" s="22" t="inlineStr"/>
      <c r="J296" s="22" t="inlineStr"/>
      <c r="K296" s="22" t="inlineStr"/>
      <c r="L296" s="22" t="inlineStr"/>
      <c r="M296" s="22" t="inlineStr"/>
      <c r="N296" s="22" t="inlineStr"/>
      <c r="O296" s="22" t="inlineStr"/>
      <c r="P296" s="22" t="inlineStr"/>
      <c r="Q296" s="22" t="inlineStr"/>
      <c r="R296" s="22" t="inlineStr"/>
      <c r="S296" s="22" t="inlineStr"/>
      <c r="T296" s="22" t="inlineStr">
        <is>
          <t>no named contact found; NO ROUTE IN: no phone or email on file</t>
        </is>
      </c>
      <c r="U296" s="24" t="n">
        <v>864333.3</v>
      </c>
      <c r="V296" s="39" t="inlineStr">
        <is>
          <t>C</t>
        </is>
      </c>
      <c r="W296" s="26" t="inlineStr"/>
      <c r="X296" s="27" t="inlineStr"/>
      <c r="Y296" s="27" t="inlineStr"/>
      <c r="Z296" s="26">
        <f>IF(W296&lt;&gt;"",W296,IFERROR(VLOOKUP(V296,Assumptions!$A$8:$F$12,2,FALSE),0))*Assumptions!$B$5</f>
        <v/>
      </c>
      <c r="AA296" s="28">
        <f>IF(V296="A",MAX(1,IF(X296&lt;&gt;"",X296,IFERROR(VLOOKUP(V296,Assumptions!$A$8:$F$12,3,FALSE),3))+IF(Y296&lt;&gt;"",Y296,IFERROR(VLOOKUP(V296,Assumptions!$A$8:$F$12,4,FALSE),8))/2-MAX(0,IF(AS296="",0,YEAR(TODAY())-AS296)-IFERROR(VLOOKUP(V296,Assumptions!$A$8:$F$12,5,FALSE),1.5))),IFERROR(VLOOKUP(V296,Assumptions!$A$8:$F$12,5,FALSE),2.5)+IF(X296&lt;&gt;"",X296,IFERROR(VLOOKUP(V296,Assumptions!$A$8:$F$12,3,FALSE),3))+IF(Y296&lt;&gt;"",Y296,IFERROR(VLOOKUP(V296,Assumptions!$A$8:$F$12,4,FALSE),8))/2)</f>
        <v/>
      </c>
      <c r="AB296" s="24">
        <f>U296*Z296/(1+Assumptions!$B$3)^AA296</f>
        <v/>
      </c>
      <c r="AC296" s="27">
        <f>IF(U296=0,"",ROUND(AB296/U296*100,1))</f>
        <v/>
      </c>
      <c r="AD296" s="29">
        <f>AB296*Assumptions!$B$4</f>
        <v/>
      </c>
      <c r="AE296" s="27">
        <f>IF(U296=0,"",ROUND(AD296/U296*100,1))</f>
        <v/>
      </c>
      <c r="AF296" s="29">
        <f>AB296-AD296</f>
        <v/>
      </c>
      <c r="AG296" s="27">
        <f>IF(U296=0,"",ROUND((AB296-AD296)/U296*100,1))</f>
        <v/>
      </c>
      <c r="AH296" s="34" t="inlineStr">
        <is>
          <t>NO TOTALS — list prints none; check page</t>
        </is>
      </c>
      <c r="AI296" s="31" t="inlineStr">
        <is>
          <t>https://recuperacaojudicial.squarespace.com/s/RJ-Grupo-Arnon-de-Melo-Lista-de-Credores-Consolidada-abril-2022.pdf</t>
        </is>
      </c>
      <c r="AJ296" s="30" t="inlineStr">
        <is>
          <t>p9 r39</t>
        </is>
      </c>
      <c r="AK296" s="30" t="inlineStr">
        <is>
          <t>p9: R$ 864.333,30</t>
        </is>
      </c>
      <c r="AL296" s="30" t="inlineStr">
        <is>
          <t>AJ list (art. 7 §2)</t>
        </is>
      </c>
      <c r="AM296" s="30" t="inlineStr"/>
      <c r="AN296" s="30" t="inlineStr">
        <is>
          <t>NONE FOUND</t>
        </is>
      </c>
      <c r="AO296" s="32" t="inlineStr">
        <is>
          <t>0700256-03.2019.8.02.0066</t>
        </is>
      </c>
      <c r="AP296" s="32" t="inlineStr">
        <is>
          <t>TJAL</t>
        </is>
      </c>
      <c r="AQ296" s="32" t="inlineStr">
        <is>
          <t>Recuperação judicial</t>
        </is>
      </c>
      <c r="AR296" s="32" t="inlineStr">
        <is>
          <t>not in DataJud</t>
        </is>
      </c>
      <c r="AS296" s="32" t="n">
        <v>2019</v>
      </c>
      <c r="AT296" s="32" t="inlineStr">
        <is>
          <t>7y since filing; plan not in our documents</t>
        </is>
      </c>
      <c r="AU296" s="32" t="inlineStr">
        <is>
          <t>12.503.801/0001-59</t>
        </is>
      </c>
      <c r="AV296" s="32" t="inlineStr">
        <is>
          <t>printed on the list (read twice)</t>
        </is>
      </c>
      <c r="AW296" s="32" t="inlineStr"/>
      <c r="AX296" s="32" t="inlineStr"/>
      <c r="AY296" s="32" t="inlineStr"/>
      <c r="AZ296" s="32" t="inlineStr"/>
      <c r="BA296" s="32" t="inlineStr"/>
      <c r="BB296" s="33" t="inlineStr"/>
      <c r="BC296" s="32" t="inlineStr">
        <is>
          <t>UNKNOWN</t>
        </is>
      </c>
      <c r="BD296" s="32" t="inlineStr">
        <is>
          <t>03084842</t>
        </is>
      </c>
      <c r="BE296" s="32" t="n">
        <v>1</v>
      </c>
      <c r="BF296" s="32" t="inlineStr">
        <is>
          <t>financial by name list prints no totals no RFB record no route in</t>
        </is>
      </c>
    </row>
    <row r="297">
      <c r="A297" s="17" t="inlineStr">
        <is>
          <t>CENTRUM – FUNDO DE INVESTIMENTO EM DIREITOS CREDITÓRIOS MULTISSETORIAL NÃO-PADRONIZADOS</t>
        </is>
      </c>
      <c r="B297" s="18" t="n">
        <v>216559.56</v>
      </c>
      <c r="C297" s="19" t="inlineStr">
        <is>
          <t>GRUPO LUMETRON</t>
        </is>
      </c>
      <c r="D297" s="20" t="inlineStr">
        <is>
          <t>NEW</t>
        </is>
      </c>
      <c r="E297" s="21" t="inlineStr"/>
      <c r="F297" s="20" t="inlineStr"/>
      <c r="G297" s="21" t="inlineStr"/>
      <c r="H297" s="20" t="inlineStr"/>
      <c r="I297" s="22" t="inlineStr"/>
      <c r="J297" s="22" t="inlineStr"/>
      <c r="K297" s="22" t="inlineStr"/>
      <c r="L297" s="22" t="inlineStr"/>
      <c r="M297" s="22" t="inlineStr"/>
      <c r="N297" s="22" t="inlineStr"/>
      <c r="O297" s="22" t="inlineStr"/>
      <c r="P297" s="22" t="inlineStr"/>
      <c r="Q297" s="22" t="inlineStr"/>
      <c r="R297" s="22" t="inlineStr"/>
      <c r="S297" s="22" t="inlineStr"/>
      <c r="T297" s="22" t="inlineStr">
        <is>
          <t>no named contact found; NO ROUTE IN: no phone or email on file</t>
        </is>
      </c>
      <c r="U297" s="24" t="n">
        <v>216559.56</v>
      </c>
      <c r="V297" s="25" t="inlineStr">
        <is>
          <t>B</t>
        </is>
      </c>
      <c r="W297" s="26" t="inlineStr"/>
      <c r="X297" s="27" t="inlineStr"/>
      <c r="Y297" s="27" t="inlineStr"/>
      <c r="Z297" s="26">
        <f>IF(W297&lt;&gt;"",W297,IFERROR(VLOOKUP(V297,Assumptions!$A$8:$F$12,2,FALSE),0))*Assumptions!$B$5</f>
        <v/>
      </c>
      <c r="AA297" s="28">
        <f>IF(V297="A",MAX(1,IF(X297&lt;&gt;"",X297,IFERROR(VLOOKUP(V297,Assumptions!$A$8:$F$12,3,FALSE),3))+IF(Y297&lt;&gt;"",Y297,IFERROR(VLOOKUP(V297,Assumptions!$A$8:$F$12,4,FALSE),8))/2-MAX(0,IF(AS297="",0,YEAR(TODAY())-AS297)-IFERROR(VLOOKUP(V297,Assumptions!$A$8:$F$12,5,FALSE),1.5))),IFERROR(VLOOKUP(V297,Assumptions!$A$8:$F$12,5,FALSE),2.5)+IF(X297&lt;&gt;"",X297,IFERROR(VLOOKUP(V297,Assumptions!$A$8:$F$12,3,FALSE),3))+IF(Y297&lt;&gt;"",Y297,IFERROR(VLOOKUP(V297,Assumptions!$A$8:$F$12,4,FALSE),8))/2)</f>
        <v/>
      </c>
      <c r="AB297" s="24">
        <f>U297*Z297/(1+Assumptions!$B$3)^AA297</f>
        <v/>
      </c>
      <c r="AC297" s="27">
        <f>IF(U297=0,"",ROUND(AB297/U297*100,1))</f>
        <v/>
      </c>
      <c r="AD297" s="29">
        <f>AB297*Assumptions!$B$4</f>
        <v/>
      </c>
      <c r="AE297" s="27">
        <f>IF(U297=0,"",ROUND(AD297/U297*100,1))</f>
        <v/>
      </c>
      <c r="AF297" s="29">
        <f>AB297-AD297</f>
        <v/>
      </c>
      <c r="AG297" s="27">
        <f>IF(U297=0,"",ROUND((AB297-AD297)/U297*100,1))</f>
        <v/>
      </c>
      <c r="AH297" s="30" t="inlineStr">
        <is>
          <t>OK — totals reconciled</t>
        </is>
      </c>
      <c r="AI297" s="31" t="inlineStr">
        <is>
          <t>https://diligence.adm.br/wp-content/plugins/download-attachments/includes/download.php?id=6284</t>
        </is>
      </c>
      <c r="AJ297" s="30" t="inlineStr">
        <is>
          <t>p5 r7</t>
        </is>
      </c>
      <c r="AK297" s="30" t="inlineStr">
        <is>
          <t>p5: R$ 216.559,56</t>
        </is>
      </c>
      <c r="AL297" s="30" t="inlineStr">
        <is>
          <t>AJ list (art. 7 §2)</t>
        </is>
      </c>
      <c r="AM297" s="30" t="inlineStr">
        <is>
          <t>2026-07-22</t>
        </is>
      </c>
      <c r="AN297" s="30" t="inlineStr">
        <is>
          <t>NONE FOUND</t>
        </is>
      </c>
      <c r="AO297" s="32" t="inlineStr">
        <is>
          <t>0077403-37.2025.8.17.2001</t>
        </is>
      </c>
      <c r="AP297" s="32" t="inlineStr">
        <is>
          <t>TJPE</t>
        </is>
      </c>
      <c r="AQ297" s="32" t="inlineStr">
        <is>
          <t>Recuperação judicial</t>
        </is>
      </c>
      <c r="AR297" s="32" t="inlineStr">
        <is>
          <t>DataJud: no closure/falência movement</t>
        </is>
      </c>
      <c r="AS297" s="32" t="n">
        <v>2025</v>
      </c>
      <c r="AT297" s="32" t="inlineStr">
        <is>
          <t>live case, no plan document yet</t>
        </is>
      </c>
      <c r="AU297" s="32" t="inlineStr"/>
      <c r="AV297" s="32" t="inlineStr">
        <is>
          <t>printed on the list (read twice)</t>
        </is>
      </c>
      <c r="AW297" s="32" t="inlineStr"/>
      <c r="AX297" s="32" t="inlineStr"/>
      <c r="AY297" s="32" t="inlineStr"/>
      <c r="AZ297" s="32" t="inlineStr"/>
      <c r="BA297" s="32" t="inlineStr"/>
      <c r="BB297" s="33" t="inlineStr"/>
      <c r="BC297" s="32" t="inlineStr">
        <is>
          <t>UNKNOWN</t>
        </is>
      </c>
      <c r="BD297" s="32" t="inlineStr">
        <is>
          <t>17213074</t>
        </is>
      </c>
      <c r="BE297" s="32" t="n">
        <v>1</v>
      </c>
      <c r="BF297" s="32" t="inlineStr">
        <is>
          <t>financial by name no RFB record no route in</t>
        </is>
      </c>
    </row>
    <row r="298">
      <c r="A298" s="17" t="inlineStr">
        <is>
          <t>ITAU UNIBANCO S.A.</t>
        </is>
      </c>
      <c r="B298" s="18" t="n">
        <v>209200</v>
      </c>
      <c r="C298" s="19" t="inlineStr">
        <is>
          <t>INDÚSTRIA DE PRODUTOS METALÚRGICOS DO NORDESTE LTDA (“METALLOUÇA”) – EM RECUPERAÇÃO JUDICIAL</t>
        </is>
      </c>
      <c r="D298" s="20" t="inlineStr">
        <is>
          <t>NEW</t>
        </is>
      </c>
      <c r="E298" s="21" t="inlineStr"/>
      <c r="F298" s="20" t="inlineStr"/>
      <c r="G298" s="21" t="inlineStr"/>
      <c r="H298" s="20" t="inlineStr"/>
      <c r="I298" s="22" t="inlineStr">
        <is>
          <t>Murilo Gigliucci</t>
        </is>
      </c>
      <c r="J298" s="22" t="inlineStr">
        <is>
          <t>Superintendente de Reestruturação de Crédito</t>
        </is>
      </c>
      <c r="K298" s="22" t="inlineStr">
        <is>
          <t>(11) 3003-4828</t>
        </is>
      </c>
      <c r="L298" s="22" t="inlineStr"/>
      <c r="M298" s="22" t="inlineStr"/>
      <c r="N298" s="22" t="inlineStr">
        <is>
          <t>murilo.gigliucci@itau-unibanco.com.br</t>
        </is>
      </c>
      <c r="O298" s="22" t="inlineStr">
        <is>
          <t>verified</t>
        </is>
      </c>
      <c r="P298" s="22" t="inlineStr">
        <is>
          <t>Pedro Ornellas</t>
        </is>
      </c>
      <c r="Q298" s="22" t="inlineStr">
        <is>
          <t>Superintendente de Recuperação de Crédito</t>
        </is>
      </c>
      <c r="R298" s="22" t="inlineStr"/>
      <c r="S298" s="22" t="inlineStr">
        <is>
          <t>pedro.ornellas-geronimo@itau-unibanco.com.br</t>
        </is>
      </c>
      <c r="T298" s="22" t="inlineStr">
        <is>
          <t>DM: DM verified email; BACKUP: backup verified email</t>
        </is>
      </c>
      <c r="U298" s="24" t="n">
        <v>209200</v>
      </c>
      <c r="V298" s="25" t="inlineStr">
        <is>
          <t>B</t>
        </is>
      </c>
      <c r="W298" s="26" t="inlineStr"/>
      <c r="X298" s="27" t="inlineStr"/>
      <c r="Y298" s="27" t="inlineStr"/>
      <c r="Z298" s="26">
        <f>IF(W298&lt;&gt;"",W298,IFERROR(VLOOKUP(V298,Assumptions!$A$8:$F$12,2,FALSE),0))*Assumptions!$B$5</f>
        <v/>
      </c>
      <c r="AA298" s="28">
        <f>IF(V298="A",MAX(1,IF(X298&lt;&gt;"",X298,IFERROR(VLOOKUP(V298,Assumptions!$A$8:$F$12,3,FALSE),3))+IF(Y298&lt;&gt;"",Y298,IFERROR(VLOOKUP(V298,Assumptions!$A$8:$F$12,4,FALSE),8))/2-MAX(0,IF(AS298="",0,YEAR(TODAY())-AS298)-IFERROR(VLOOKUP(V298,Assumptions!$A$8:$F$12,5,FALSE),1.5))),IFERROR(VLOOKUP(V298,Assumptions!$A$8:$F$12,5,FALSE),2.5)+IF(X298&lt;&gt;"",X298,IFERROR(VLOOKUP(V298,Assumptions!$A$8:$F$12,3,FALSE),3))+IF(Y298&lt;&gt;"",Y298,IFERROR(VLOOKUP(V298,Assumptions!$A$8:$F$12,4,FALSE),8))/2)</f>
        <v/>
      </c>
      <c r="AB298" s="24">
        <f>U298*Z298/(1+Assumptions!$B$3)^AA298</f>
        <v/>
      </c>
      <c r="AC298" s="27">
        <f>IF(U298=0,"",ROUND(AB298/U298*100,1))</f>
        <v/>
      </c>
      <c r="AD298" s="29">
        <f>AB298*Assumptions!$B$4</f>
        <v/>
      </c>
      <c r="AE298" s="27">
        <f>IF(U298=0,"",ROUND(AD298/U298*100,1))</f>
        <v/>
      </c>
      <c r="AF298" s="29">
        <f>AB298-AD298</f>
        <v/>
      </c>
      <c r="AG298" s="27">
        <f>IF(U298=0,"",ROUND((AB298-AD298)/U298*100,1))</f>
        <v/>
      </c>
      <c r="AH298" s="30" t="inlineStr">
        <is>
          <t>OK — totals reconciled</t>
        </is>
      </c>
      <c r="AI298" s="31" t="inlineStr">
        <is>
          <t>https://lrflideres.com.br/wp-content/uploads/2023/01/4.-EDITAL-2a-LISTA-DE-CREDORES-1.pdf</t>
        </is>
      </c>
      <c r="AJ298" s="30" t="inlineStr">
        <is>
          <t>p2 r59</t>
        </is>
      </c>
      <c r="AK298" s="30" t="inlineStr">
        <is>
          <t>p2: R$ 209.200,00</t>
        </is>
      </c>
      <c r="AL298" s="30" t="inlineStr">
        <is>
          <t>AJ list (art. 7 §2)</t>
        </is>
      </c>
      <c r="AM298" s="30" t="inlineStr">
        <is>
          <t>2023-11-24</t>
        </is>
      </c>
      <c r="AN298" s="30" t="inlineStr">
        <is>
          <t>NONE FOUND</t>
        </is>
      </c>
      <c r="AO298" s="32" t="inlineStr">
        <is>
          <t>0824037-95.2022.8.15.0001</t>
        </is>
      </c>
      <c r="AP298" s="32" t="inlineStr">
        <is>
          <t>TJPB</t>
        </is>
      </c>
      <c r="AQ298" s="32" t="inlineStr">
        <is>
          <t>Recuperação judicial</t>
        </is>
      </c>
      <c r="AR298" s="32" t="inlineStr">
        <is>
          <t>DataJud: no closure/falência movement</t>
        </is>
      </c>
      <c r="AS298" s="32" t="n">
        <v>2022</v>
      </c>
      <c r="AT298" s="32" t="inlineStr">
        <is>
          <t>live case, no plan document yet</t>
        </is>
      </c>
      <c r="AU298" s="32" t="inlineStr"/>
      <c r="AV298" s="32" t="inlineStr">
        <is>
          <t>printed on the list (read twice)</t>
        </is>
      </c>
      <c r="AW298" s="32" t="inlineStr"/>
      <c r="AX298" s="32" t="inlineStr">
        <is>
          <t>SAO PAULO</t>
        </is>
      </c>
      <c r="AY298" s="32" t="inlineStr">
        <is>
          <t>SP</t>
        </is>
      </c>
      <c r="AZ298" s="32" t="inlineStr">
        <is>
          <t>Bancos comerciais</t>
        </is>
      </c>
      <c r="BA298" s="32" t="inlineStr">
        <is>
          <t>não ME/EPP</t>
        </is>
      </c>
      <c r="BB298" s="33" t="n">
        <v>76200000000</v>
      </c>
      <c r="BC298" s="32" t="inlineStr">
        <is>
          <t>LARGE CORP</t>
        </is>
      </c>
      <c r="BD298" s="32" t="inlineStr">
        <is>
          <t>60701190</t>
        </is>
      </c>
      <c r="BE298" s="32" t="n">
        <v>1</v>
      </c>
      <c r="BF298" s="32" t="inlineStr">
        <is>
          <t>financial by name</t>
        </is>
      </c>
    </row>
    <row r="299">
      <c r="A299" s="17" t="inlineStr">
        <is>
          <t>BFC FUNDO DE INVESTIMENTO EM DIREITOS CREDITORIOS</t>
        </is>
      </c>
      <c r="B299" s="18" t="n">
        <v>203934.56</v>
      </c>
      <c r="C299" s="19" t="inlineStr">
        <is>
          <t>GRUPO DIVINA</t>
        </is>
      </c>
      <c r="D299" s="20" t="inlineStr">
        <is>
          <t>NEW</t>
        </is>
      </c>
      <c r="E299" s="21" t="inlineStr"/>
      <c r="F299" s="20" t="inlineStr"/>
      <c r="G299" s="21" t="inlineStr"/>
      <c r="H299" s="20" t="inlineStr"/>
      <c r="I299" s="22" t="inlineStr"/>
      <c r="J299" s="22" t="inlineStr"/>
      <c r="K299" s="22" t="inlineStr">
        <is>
          <t>(11) 2827-3500</t>
        </is>
      </c>
      <c r="L299" s="22" t="inlineStr"/>
      <c r="M299" s="22" t="inlineStr"/>
      <c r="N299" s="22" t="inlineStr"/>
      <c r="O299" s="22" t="inlineStr"/>
      <c r="P299" s="22" t="inlineStr"/>
      <c r="Q299" s="22" t="inlineStr"/>
      <c r="R299" s="22" t="inlineStr"/>
      <c r="S299" s="22" t="inlineStr"/>
      <c r="T299" s="22" t="inlineStr">
        <is>
          <t>no named contact found</t>
        </is>
      </c>
      <c r="U299" s="24" t="n">
        <v>203934.56</v>
      </c>
      <c r="V299" s="25" t="inlineStr">
        <is>
          <t>B</t>
        </is>
      </c>
      <c r="W299" s="26" t="inlineStr"/>
      <c r="X299" s="27" t="inlineStr"/>
      <c r="Y299" s="27" t="inlineStr"/>
      <c r="Z299" s="26">
        <f>IF(W299&lt;&gt;"",W299,IFERROR(VLOOKUP(V299,Assumptions!$A$8:$F$12,2,FALSE),0))*Assumptions!$B$5</f>
        <v/>
      </c>
      <c r="AA299" s="28">
        <f>IF(V299="A",MAX(1,IF(X299&lt;&gt;"",X299,IFERROR(VLOOKUP(V299,Assumptions!$A$8:$F$12,3,FALSE),3))+IF(Y299&lt;&gt;"",Y299,IFERROR(VLOOKUP(V299,Assumptions!$A$8:$F$12,4,FALSE),8))/2-MAX(0,IF(AS299="",0,YEAR(TODAY())-AS299)-IFERROR(VLOOKUP(V299,Assumptions!$A$8:$F$12,5,FALSE),1.5))),IFERROR(VLOOKUP(V299,Assumptions!$A$8:$F$12,5,FALSE),2.5)+IF(X299&lt;&gt;"",X299,IFERROR(VLOOKUP(V299,Assumptions!$A$8:$F$12,3,FALSE),3))+IF(Y299&lt;&gt;"",Y299,IFERROR(VLOOKUP(V299,Assumptions!$A$8:$F$12,4,FALSE),8))/2)</f>
        <v/>
      </c>
      <c r="AB299" s="24">
        <f>U299*Z299/(1+Assumptions!$B$3)^AA299</f>
        <v/>
      </c>
      <c r="AC299" s="27">
        <f>IF(U299=0,"",ROUND(AB299/U299*100,1))</f>
        <v/>
      </c>
      <c r="AD299" s="29">
        <f>AB299*Assumptions!$B$4</f>
        <v/>
      </c>
      <c r="AE299" s="27">
        <f>IF(U299=0,"",ROUND(AD299/U299*100,1))</f>
        <v/>
      </c>
      <c r="AF299" s="29">
        <f>AB299-AD299</f>
        <v/>
      </c>
      <c r="AG299" s="27">
        <f>IF(U299=0,"",ROUND((AB299-AD299)/U299*100,1))</f>
        <v/>
      </c>
      <c r="AH299" s="35" t="inlineStr">
        <is>
          <t>PARTIAL — class III reconciled, other classes not</t>
        </is>
      </c>
      <c r="AI299" s="31" t="inlineStr">
        <is>
          <t>https://lrflideres.com.br/wp-content/plugins/download-attachments/includes/download.php?id=6252</t>
        </is>
      </c>
      <c r="AJ299" s="30" t="inlineStr">
        <is>
          <t>p2 r19</t>
        </is>
      </c>
      <c r="AK299" s="30" t="inlineStr">
        <is>
          <t>p2: R$ 203.934,56</t>
        </is>
      </c>
      <c r="AL299" s="30" t="inlineStr">
        <is>
          <t>AJ list (art. 7 §2)</t>
        </is>
      </c>
      <c r="AM299" s="30" t="inlineStr">
        <is>
          <t>2024-11-27</t>
        </is>
      </c>
      <c r="AN299" s="30" t="inlineStr">
        <is>
          <t>NONE FOUND</t>
        </is>
      </c>
      <c r="AO299" s="32" t="inlineStr">
        <is>
          <t>0000721-61.2024.8.17.2620</t>
        </is>
      </c>
      <c r="AP299" s="32" t="inlineStr">
        <is>
          <t>TJPE</t>
        </is>
      </c>
      <c r="AQ299" s="32" t="inlineStr">
        <is>
          <t>Recuperação judicial</t>
        </is>
      </c>
      <c r="AR299" s="32" t="inlineStr">
        <is>
          <t>DataJud: no closure/falência movement</t>
        </is>
      </c>
      <c r="AS299" s="32" t="n">
        <v>2024</v>
      </c>
      <c r="AT299" s="32" t="inlineStr">
        <is>
          <t>live case, no plan document yet</t>
        </is>
      </c>
      <c r="AU299" s="32" t="inlineStr">
        <is>
          <t>08.785.522/0001-58</t>
        </is>
      </c>
      <c r="AV299" s="32" t="inlineStr">
        <is>
          <t>printed on the list (read twice)</t>
        </is>
      </c>
      <c r="AW299" s="32" t="inlineStr"/>
      <c r="AX299" s="32" t="inlineStr">
        <is>
          <t>SAO PAULO</t>
        </is>
      </c>
      <c r="AY299" s="32" t="inlineStr">
        <is>
          <t>SP</t>
        </is>
      </c>
      <c r="AZ299" s="32" t="inlineStr">
        <is>
          <t>Fundos de investimento, exceto previdenciários e imobiliários</t>
        </is>
      </c>
      <c r="BA299" s="32" t="inlineStr">
        <is>
          <t>não ME/EPP</t>
        </is>
      </c>
      <c r="BB299" s="33" t="inlineStr"/>
      <c r="BC299" s="32" t="inlineStr">
        <is>
          <t>UNKNOWN</t>
        </is>
      </c>
      <c r="BD299" s="32" t="inlineStr">
        <is>
          <t>11507489</t>
        </is>
      </c>
      <c r="BE299" s="32" t="n">
        <v>1</v>
      </c>
      <c r="BF299" s="32" t="inlineStr">
        <is>
          <t>financial by name class III reconciled (doc partial)</t>
        </is>
      </c>
    </row>
    <row r="300">
      <c r="A300" s="17" t="inlineStr">
        <is>
          <t>ITAU UNIBANCO S.A.</t>
        </is>
      </c>
      <c r="B300" s="18" t="n">
        <v>203711.34</v>
      </c>
      <c r="C300" s="19" t="inlineStr">
        <is>
          <t>GRUPO IMPLASVERDE</t>
        </is>
      </c>
      <c r="D300" s="20" t="inlineStr">
        <is>
          <t>NEW</t>
        </is>
      </c>
      <c r="E300" s="21" t="inlineStr"/>
      <c r="F300" s="20" t="inlineStr"/>
      <c r="G300" s="21" t="inlineStr"/>
      <c r="H300" s="20" t="inlineStr"/>
      <c r="I300" s="22" t="inlineStr">
        <is>
          <t>Murilo Gigliucci</t>
        </is>
      </c>
      <c r="J300" s="22" t="inlineStr">
        <is>
          <t>Superintendente de Reestruturação de Crédito</t>
        </is>
      </c>
      <c r="K300" s="22" t="inlineStr">
        <is>
          <t>(11) 3003-4828</t>
        </is>
      </c>
      <c r="L300" s="22" t="inlineStr"/>
      <c r="M300" s="22" t="inlineStr"/>
      <c r="N300" s="22" t="inlineStr">
        <is>
          <t>murilo.gigliucci@itau-unibanco.com.br</t>
        </is>
      </c>
      <c r="O300" s="22" t="inlineStr">
        <is>
          <t>verified</t>
        </is>
      </c>
      <c r="P300" s="22" t="inlineStr">
        <is>
          <t>Pedro Ornellas</t>
        </is>
      </c>
      <c r="Q300" s="22" t="inlineStr">
        <is>
          <t>Superintendente de Recuperação de Crédito</t>
        </is>
      </c>
      <c r="R300" s="22" t="inlineStr"/>
      <c r="S300" s="22" t="inlineStr">
        <is>
          <t>pedro.ornellas-geronimo@itau-unibanco.com.br</t>
        </is>
      </c>
      <c r="T300" s="22" t="inlineStr">
        <is>
          <t>DM: DM verified email; BACKUP: backup verified email</t>
        </is>
      </c>
      <c r="U300" s="24" t="n">
        <v>203711.34</v>
      </c>
      <c r="V300" s="25" t="inlineStr">
        <is>
          <t>B</t>
        </is>
      </c>
      <c r="W300" s="26" t="inlineStr"/>
      <c r="X300" s="27" t="inlineStr"/>
      <c r="Y300" s="27" t="inlineStr"/>
      <c r="Z300" s="26">
        <f>IF(W300&lt;&gt;"",W300,IFERROR(VLOOKUP(V300,Assumptions!$A$8:$F$12,2,FALSE),0))*Assumptions!$B$5</f>
        <v/>
      </c>
      <c r="AA300" s="28">
        <f>IF(V300="A",MAX(1,IF(X300&lt;&gt;"",X300,IFERROR(VLOOKUP(V300,Assumptions!$A$8:$F$12,3,FALSE),3))+IF(Y300&lt;&gt;"",Y300,IFERROR(VLOOKUP(V300,Assumptions!$A$8:$F$12,4,FALSE),8))/2-MAX(0,IF(AS300="",0,YEAR(TODAY())-AS300)-IFERROR(VLOOKUP(V300,Assumptions!$A$8:$F$12,5,FALSE),1.5))),IFERROR(VLOOKUP(V300,Assumptions!$A$8:$F$12,5,FALSE),2.5)+IF(X300&lt;&gt;"",X300,IFERROR(VLOOKUP(V300,Assumptions!$A$8:$F$12,3,FALSE),3))+IF(Y300&lt;&gt;"",Y300,IFERROR(VLOOKUP(V300,Assumptions!$A$8:$F$12,4,FALSE),8))/2)</f>
        <v/>
      </c>
      <c r="AB300" s="24">
        <f>U300*Z300/(1+Assumptions!$B$3)^AA300</f>
        <v/>
      </c>
      <c r="AC300" s="27">
        <f>IF(U300=0,"",ROUND(AB300/U300*100,1))</f>
        <v/>
      </c>
      <c r="AD300" s="29">
        <f>AB300*Assumptions!$B$4</f>
        <v/>
      </c>
      <c r="AE300" s="27">
        <f>IF(U300=0,"",ROUND(AD300/U300*100,1))</f>
        <v/>
      </c>
      <c r="AF300" s="29">
        <f>AB300-AD300</f>
        <v/>
      </c>
      <c r="AG300" s="27">
        <f>IF(U300=0,"",ROUND((AB300-AD300)/U300*100,1))</f>
        <v/>
      </c>
      <c r="AH300" s="30" t="inlineStr">
        <is>
          <t>OK — totals reconciled</t>
        </is>
      </c>
      <c r="AI300" s="31" t="inlineStr">
        <is>
          <t>http://recuperacaojudicial.squarespace.com/s/LISTA-DE-CREDORES-CONSOLIDADA-ATE-04102024.pdf</t>
        </is>
      </c>
      <c r="AJ300" s="30" t="inlineStr">
        <is>
          <t>p6 r13</t>
        </is>
      </c>
      <c r="AK300" s="30" t="inlineStr">
        <is>
          <t>p6: R$ 203.711,34</t>
        </is>
      </c>
      <c r="AL300" s="30" t="inlineStr">
        <is>
          <t>AJ list (art. 7 §2)</t>
        </is>
      </c>
      <c r="AM300" s="30" t="inlineStr">
        <is>
          <t>2024-10-04</t>
        </is>
      </c>
      <c r="AN300" s="30" t="inlineStr">
        <is>
          <t>NONE FOUND</t>
        </is>
      </c>
      <c r="AO300" s="32" t="inlineStr">
        <is>
          <t>0800778-16.2023.8.20.5104</t>
        </is>
      </c>
      <c r="AP300" s="32" t="inlineStr">
        <is>
          <t>TJRN</t>
        </is>
      </c>
      <c r="AQ300" s="32" t="inlineStr">
        <is>
          <t>Recuperação judicial</t>
        </is>
      </c>
      <c r="AR300" s="32" t="inlineStr">
        <is>
          <t>DataJud: no closure/falência movement</t>
        </is>
      </c>
      <c r="AS300" s="32" t="n">
        <v>2023</v>
      </c>
      <c r="AT300" s="32" t="inlineStr">
        <is>
          <t>live case, no plan document yet</t>
        </is>
      </c>
      <c r="AU300" s="32" t="inlineStr"/>
      <c r="AV300" s="32" t="inlineStr">
        <is>
          <t>printed on the list (read twice)</t>
        </is>
      </c>
      <c r="AW300" s="32" t="inlineStr"/>
      <c r="AX300" s="32" t="inlineStr">
        <is>
          <t>SAO PAULO</t>
        </is>
      </c>
      <c r="AY300" s="32" t="inlineStr">
        <is>
          <t>SP</t>
        </is>
      </c>
      <c r="AZ300" s="32" t="inlineStr">
        <is>
          <t>Bancos comerciais</t>
        </is>
      </c>
      <c r="BA300" s="32" t="inlineStr">
        <is>
          <t>não ME/EPP</t>
        </is>
      </c>
      <c r="BB300" s="33" t="n">
        <v>76200000000</v>
      </c>
      <c r="BC300" s="32" t="inlineStr">
        <is>
          <t>LARGE CORP</t>
        </is>
      </c>
      <c r="BD300" s="32" t="inlineStr">
        <is>
          <t>60701190</t>
        </is>
      </c>
      <c r="BE300" s="32" t="n">
        <v>1</v>
      </c>
      <c r="BF300" s="32" t="inlineStr">
        <is>
          <t>financial by name</t>
        </is>
      </c>
    </row>
    <row r="301">
      <c r="A301" s="17" t="inlineStr">
        <is>
          <t>TRABALHO LTDA. BANCO COOPERATIVO SICREDI S.A.</t>
        </is>
      </c>
      <c r="B301" s="18" t="n">
        <v>1449579.2</v>
      </c>
      <c r="C301" s="19" t="inlineStr">
        <is>
          <t>EQUIP SEG INTELIGÊNCIA EM SEGURANÇA LTDA. E EQUIP SEG SERVIÇOS ESPECIALIZADOS LTDA.</t>
        </is>
      </c>
      <c r="D301" s="20" t="inlineStr">
        <is>
          <t>NEW</t>
        </is>
      </c>
      <c r="E301" s="21" t="inlineStr"/>
      <c r="F301" s="20" t="inlineStr"/>
      <c r="G301" s="21" t="inlineStr"/>
      <c r="H301" s="20" t="inlineStr"/>
      <c r="I301" s="22" t="inlineStr">
        <is>
          <t>Rafael Vignotto</t>
        </is>
      </c>
      <c r="J301" s="22" t="inlineStr">
        <is>
          <t>GPM - Recuperação de Crédito</t>
        </is>
      </c>
      <c r="K301" s="22" t="inlineStr"/>
      <c r="L301" s="22" t="inlineStr"/>
      <c r="M301" s="22" t="inlineStr"/>
      <c r="N301" s="22" t="inlineStr">
        <is>
          <t>rafael_vignotto@sicredi.com.br</t>
        </is>
      </c>
      <c r="O301" s="22" t="inlineStr">
        <is>
          <t>verified</t>
        </is>
      </c>
      <c r="P301" s="22" t="inlineStr">
        <is>
          <t>Daniele Schallenberger</t>
        </is>
      </c>
      <c r="Q301" s="22" t="inlineStr">
        <is>
          <t>Assessora Recuperação de Crédito</t>
        </is>
      </c>
      <c r="R301" s="22" t="inlineStr"/>
      <c r="S301" s="22" t="inlineStr">
        <is>
          <t>daniele_schallenberger@sicredi.com.br</t>
        </is>
      </c>
      <c r="T301" s="22" t="inlineStr">
        <is>
          <t>DM: DM; BACKUP: backup</t>
        </is>
      </c>
      <c r="U301" s="24" t="n">
        <v>1449579.2</v>
      </c>
      <c r="V301" s="40" t="inlineStr">
        <is>
          <t>D</t>
        </is>
      </c>
      <c r="W301" s="26" t="inlineStr"/>
      <c r="X301" s="27" t="inlineStr"/>
      <c r="Y301" s="27" t="inlineStr"/>
      <c r="Z301" s="26">
        <f>IF(W301&lt;&gt;"",W301,IFERROR(VLOOKUP(V301,Assumptions!$A$8:$F$12,2,FALSE),0))*Assumptions!$B$5</f>
        <v/>
      </c>
      <c r="AA301" s="28">
        <f>IF(V301="A",MAX(1,IF(X301&lt;&gt;"",X301,IFERROR(VLOOKUP(V301,Assumptions!$A$8:$F$12,3,FALSE),3))+IF(Y301&lt;&gt;"",Y301,IFERROR(VLOOKUP(V301,Assumptions!$A$8:$F$12,4,FALSE),8))/2-MAX(0,IF(AS301="",0,YEAR(TODAY())-AS301)-IFERROR(VLOOKUP(V301,Assumptions!$A$8:$F$12,5,FALSE),1.5))),IFERROR(VLOOKUP(V301,Assumptions!$A$8:$F$12,5,FALSE),2.5)+IF(X301&lt;&gt;"",X301,IFERROR(VLOOKUP(V301,Assumptions!$A$8:$F$12,3,FALSE),3))+IF(Y301&lt;&gt;"",Y301,IFERROR(VLOOKUP(V301,Assumptions!$A$8:$F$12,4,FALSE),8))/2)</f>
        <v/>
      </c>
      <c r="AB301" s="24">
        <f>U301*Z301/(1+Assumptions!$B$3)^AA301</f>
        <v/>
      </c>
      <c r="AC301" s="27">
        <f>IF(U301=0,"",ROUND(AB301/U301*100,1))</f>
        <v/>
      </c>
      <c r="AD301" s="29">
        <f>AB301*Assumptions!$B$4</f>
        <v/>
      </c>
      <c r="AE301" s="27">
        <f>IF(U301=0,"",ROUND(AD301/U301*100,1))</f>
        <v/>
      </c>
      <c r="AF301" s="29">
        <f>AB301-AD301</f>
        <v/>
      </c>
      <c r="AG301" s="27">
        <f>IF(U301=0,"",ROUND((AB301-AD301)/U301*100,1))</f>
        <v/>
      </c>
      <c r="AH301" s="34" t="inlineStr">
        <is>
          <t>NO TOTALS — list prints none; check page</t>
        </is>
      </c>
      <c r="AI301" s="31" t="inlineStr">
        <is>
          <t>https://bbsadvogados.com.br/wp-content/uploads/2025/04/Equipseg-Edital-Relacao-de-Credores-da-Administradora-Judicial-art.-7o2o-da-LRF.pdf</t>
        </is>
      </c>
      <c r="AJ301" s="30" t="inlineStr">
        <is>
          <t>p38 r4</t>
        </is>
      </c>
      <c r="AK301" s="30" t="inlineStr">
        <is>
          <t>p38: R$ 1.449.579,20</t>
        </is>
      </c>
      <c r="AL301" s="30" t="inlineStr">
        <is>
          <t>AJ list (art. 7 §2)</t>
        </is>
      </c>
      <c r="AM301" s="30" t="inlineStr">
        <is>
          <t>2025-04-08</t>
        </is>
      </c>
      <c r="AN301" s="30" t="inlineStr">
        <is>
          <t>NONE FOUND</t>
        </is>
      </c>
      <c r="AO301" s="32" t="inlineStr">
        <is>
          <t>0033736-15.2023.8.16.0185</t>
        </is>
      </c>
      <c r="AP301" s="32" t="inlineStr">
        <is>
          <t>TJPR</t>
        </is>
      </c>
      <c r="AQ301" s="32" t="inlineStr">
        <is>
          <t>Falência</t>
        </is>
      </c>
      <c r="AR301" s="32" t="inlineStr">
        <is>
          <t>not in DataJud</t>
        </is>
      </c>
      <c r="AS301" s="32" t="n">
        <v>2023</v>
      </c>
      <c r="AT301" s="32" t="inlineStr">
        <is>
          <t>falência proceeding (list/name says falida)</t>
        </is>
      </c>
      <c r="AU301" s="32" t="inlineStr"/>
      <c r="AV301" s="32" t="inlineStr">
        <is>
          <t>printed on the list (read twice)</t>
        </is>
      </c>
      <c r="AW301" s="32" t="inlineStr"/>
      <c r="AX301" s="32" t="inlineStr"/>
      <c r="AY301" s="32" t="inlineStr"/>
      <c r="AZ301" s="32" t="inlineStr"/>
      <c r="BA301" s="32" t="inlineStr"/>
      <c r="BB301" s="33" t="inlineStr"/>
      <c r="BC301" s="32" t="inlineStr">
        <is>
          <t>UNKNOWN</t>
        </is>
      </c>
      <c r="BD301" s="32" t="inlineStr">
        <is>
          <t>01181521</t>
        </is>
      </c>
      <c r="BE301" s="32" t="n">
        <v>1</v>
      </c>
      <c r="BF301" s="32" t="inlineStr">
        <is>
          <t>financial by name list prints no totals no RFB record</t>
        </is>
      </c>
    </row>
    <row r="302">
      <c r="A302" s="17" t="inlineStr">
        <is>
          <t>MATRIZ FUNDO DE INVESTIMENTO EM DIREITOS CREDITORIOS</t>
        </is>
      </c>
      <c r="B302" s="18" t="n">
        <v>201560.62</v>
      </c>
      <c r="C302" s="19" t="inlineStr">
        <is>
          <t>Alto Uruguai Indústria e Comércio de Óleos Ltda</t>
        </is>
      </c>
      <c r="D302" s="20" t="inlineStr">
        <is>
          <t>NEW</t>
        </is>
      </c>
      <c r="E302" s="21" t="inlineStr"/>
      <c r="F302" s="20" t="inlineStr"/>
      <c r="G302" s="21" t="inlineStr"/>
      <c r="H302" s="20" t="inlineStr"/>
      <c r="I302" s="22" t="inlineStr">
        <is>
          <t>Matheus Metzner</t>
        </is>
      </c>
      <c r="J302" s="22" t="inlineStr">
        <is>
          <t>Credit Analyst</t>
        </is>
      </c>
      <c r="K302" s="22" t="inlineStr"/>
      <c r="L302" s="22" t="inlineStr"/>
      <c r="M302" s="22" t="inlineStr"/>
      <c r="N302" s="22" t="inlineStr"/>
      <c r="O302" s="22" t="inlineStr"/>
      <c r="P302" s="22" t="inlineStr"/>
      <c r="Q302" s="22" t="inlineStr"/>
      <c r="R302" s="22" t="inlineStr"/>
      <c r="S302" s="22" t="inlineStr"/>
      <c r="T302" s="22" t="inlineStr">
        <is>
          <t>DM: DM email unavailable; VERIFY org: Matriz FIDC (headline says Gestor de Obras / CEO JG Business); no work email in Apollo for DM; NO ROUTE IN: no phone or email on file</t>
        </is>
      </c>
      <c r="U302" s="24" t="n">
        <v>201560.62</v>
      </c>
      <c r="V302" s="25" t="inlineStr">
        <is>
          <t>B</t>
        </is>
      </c>
      <c r="W302" s="26" t="inlineStr"/>
      <c r="X302" s="27" t="inlineStr"/>
      <c r="Y302" s="27" t="inlineStr"/>
      <c r="Z302" s="26">
        <f>IF(W302&lt;&gt;"",W302,IFERROR(VLOOKUP(V302,Assumptions!$A$8:$F$12,2,FALSE),0))*Assumptions!$B$5</f>
        <v/>
      </c>
      <c r="AA302" s="28">
        <f>IF(V302="A",MAX(1,IF(X302&lt;&gt;"",X302,IFERROR(VLOOKUP(V302,Assumptions!$A$8:$F$12,3,FALSE),3))+IF(Y302&lt;&gt;"",Y302,IFERROR(VLOOKUP(V302,Assumptions!$A$8:$F$12,4,FALSE),8))/2-MAX(0,IF(AS302="",0,YEAR(TODAY())-AS302)-IFERROR(VLOOKUP(V302,Assumptions!$A$8:$F$12,5,FALSE),1.5))),IFERROR(VLOOKUP(V302,Assumptions!$A$8:$F$12,5,FALSE),2.5)+IF(X302&lt;&gt;"",X302,IFERROR(VLOOKUP(V302,Assumptions!$A$8:$F$12,3,FALSE),3))+IF(Y302&lt;&gt;"",Y302,IFERROR(VLOOKUP(V302,Assumptions!$A$8:$F$12,4,FALSE),8))/2)</f>
        <v/>
      </c>
      <c r="AB302" s="24">
        <f>U302*Z302/(1+Assumptions!$B$3)^AA302</f>
        <v/>
      </c>
      <c r="AC302" s="27">
        <f>IF(U302=0,"",ROUND(AB302/U302*100,1))</f>
        <v/>
      </c>
      <c r="AD302" s="29">
        <f>AB302*Assumptions!$B$4</f>
        <v/>
      </c>
      <c r="AE302" s="27">
        <f>IF(U302=0,"",ROUND(AD302/U302*100,1))</f>
        <v/>
      </c>
      <c r="AF302" s="29">
        <f>AB302-AD302</f>
        <v/>
      </c>
      <c r="AG302" s="27">
        <f>IF(U302=0,"",ROUND((AB302-AD302)/U302*100,1))</f>
        <v/>
      </c>
      <c r="AH302" s="30" t="inlineStr">
        <is>
          <t>OK — totals reconciled</t>
        </is>
      </c>
      <c r="AI302" s="31" t="inlineStr">
        <is>
          <t>https://ajruiz.com.br/sites/default/files/public/arquivos-processos/2026-06/alto_uruguai_qgc_junho.2026.pdf</t>
        </is>
      </c>
      <c r="AJ302" s="30" t="inlineStr">
        <is>
          <t>p1 r27</t>
        </is>
      </c>
      <c r="AK302" s="30" t="inlineStr">
        <is>
          <t>p1: R$ 201.560,62</t>
        </is>
      </c>
      <c r="AL302" s="30" t="inlineStr">
        <is>
          <t>Unclassified list</t>
        </is>
      </c>
      <c r="AM302" s="30" t="inlineStr"/>
      <c r="AN302" s="30" t="inlineStr">
        <is>
          <t>NONE FOUND</t>
        </is>
      </c>
      <c r="AO302" s="32" t="inlineStr">
        <is>
          <t>5012743-51.2023.8.24.0019</t>
        </is>
      </c>
      <c r="AP302" s="32" t="inlineStr">
        <is>
          <t>TJSC</t>
        </is>
      </c>
      <c r="AQ302" s="32" t="inlineStr">
        <is>
          <t>Recuperação judicial</t>
        </is>
      </c>
      <c r="AR302" s="32" t="inlineStr">
        <is>
          <t>DataJud: no closure/falência movement</t>
        </is>
      </c>
      <c r="AS302" s="32" t="n">
        <v>2023</v>
      </c>
      <c r="AT302" s="32" t="inlineStr">
        <is>
          <t>live case, no plan document yet</t>
        </is>
      </c>
      <c r="AU302" s="32" t="inlineStr"/>
      <c r="AV302" s="32" t="inlineStr">
        <is>
          <t>printed on the list (read twice)</t>
        </is>
      </c>
      <c r="AW302" s="32" t="inlineStr"/>
      <c r="AX302" s="32" t="inlineStr"/>
      <c r="AY302" s="32" t="inlineStr"/>
      <c r="AZ302" s="32" t="inlineStr"/>
      <c r="BA302" s="32" t="inlineStr"/>
      <c r="BB302" s="33" t="inlineStr"/>
      <c r="BC302" s="32" t="inlineStr">
        <is>
          <t>UNKNOWN</t>
        </is>
      </c>
      <c r="BD302" s="32" t="inlineStr">
        <is>
          <t>32202903</t>
        </is>
      </c>
      <c r="BE302" s="32" t="n">
        <v>1</v>
      </c>
      <c r="BF302" s="32" t="inlineStr">
        <is>
          <t>financial by name no RFB record no route in</t>
        </is>
      </c>
    </row>
    <row r="303">
      <c r="A303" s="17" t="inlineStr">
        <is>
          <t>ZET CAPITAL TECNOLOGIA DE ATIVOS E FOMENTO LTDA</t>
        </is>
      </c>
      <c r="B303" s="18" t="n">
        <v>732433.67</v>
      </c>
      <c r="C303" s="19" t="inlineStr">
        <is>
          <t>VECTOR INDÚSTRIA DE PRODUTOS METALÚRGICOS LTDA.</t>
        </is>
      </c>
      <c r="D303" s="20" t="inlineStr">
        <is>
          <t>NEW</t>
        </is>
      </c>
      <c r="E303" s="21" t="inlineStr"/>
      <c r="F303" s="20" t="inlineStr"/>
      <c r="G303" s="21" t="inlineStr"/>
      <c r="H303" s="20" t="inlineStr"/>
      <c r="I303" s="22" t="inlineStr">
        <is>
          <t>PEDRO BEIERSDORF LORENZET</t>
        </is>
      </c>
      <c r="J303" s="23" t="inlineStr">
        <is>
          <t>Sócio-Administrador (RFB partner)</t>
        </is>
      </c>
      <c r="K303" s="22" t="inlineStr">
        <is>
          <t>(53) 9170-0404</t>
        </is>
      </c>
      <c r="L303" s="22" t="inlineStr"/>
      <c r="M303" s="22" t="inlineStr"/>
      <c r="N303" s="22" t="inlineStr"/>
      <c r="O303" s="22" t="inlineStr"/>
      <c r="P303" s="22" t="inlineStr"/>
      <c r="Q303" s="22" t="inlineStr"/>
      <c r="R303" s="22" t="inlineStr"/>
      <c r="S303" s="22" t="inlineStr"/>
      <c r="T303" s="22" t="inlineStr">
        <is>
          <t>DM = registered partner (RFB QSA); no Apollo match</t>
        </is>
      </c>
      <c r="U303" s="24" t="n">
        <v>732433.67</v>
      </c>
      <c r="V303" s="39" t="inlineStr">
        <is>
          <t>C</t>
        </is>
      </c>
      <c r="W303" s="26" t="inlineStr"/>
      <c r="X303" s="27" t="inlineStr"/>
      <c r="Y303" s="27" t="inlineStr"/>
      <c r="Z303" s="26">
        <f>IF(W303&lt;&gt;"",W303,IFERROR(VLOOKUP(V303,Assumptions!$A$8:$F$12,2,FALSE),0))*Assumptions!$B$5</f>
        <v/>
      </c>
      <c r="AA303" s="28">
        <f>IF(V303="A",MAX(1,IF(X303&lt;&gt;"",X303,IFERROR(VLOOKUP(V303,Assumptions!$A$8:$F$12,3,FALSE),3))+IF(Y303&lt;&gt;"",Y303,IFERROR(VLOOKUP(V303,Assumptions!$A$8:$F$12,4,FALSE),8))/2-MAX(0,IF(AS303="",0,YEAR(TODAY())-AS303)-IFERROR(VLOOKUP(V303,Assumptions!$A$8:$F$12,5,FALSE),1.5))),IFERROR(VLOOKUP(V303,Assumptions!$A$8:$F$12,5,FALSE),2.5)+IF(X303&lt;&gt;"",X303,IFERROR(VLOOKUP(V303,Assumptions!$A$8:$F$12,3,FALSE),3))+IF(Y303&lt;&gt;"",Y303,IFERROR(VLOOKUP(V303,Assumptions!$A$8:$F$12,4,FALSE),8))/2)</f>
        <v/>
      </c>
      <c r="AB303" s="24">
        <f>U303*Z303/(1+Assumptions!$B$3)^AA303</f>
        <v/>
      </c>
      <c r="AC303" s="27">
        <f>IF(U303=0,"",ROUND(AB303/U303*100,1))</f>
        <v/>
      </c>
      <c r="AD303" s="29">
        <f>AB303*Assumptions!$B$4</f>
        <v/>
      </c>
      <c r="AE303" s="27">
        <f>IF(U303=0,"",ROUND(AD303/U303*100,1))</f>
        <v/>
      </c>
      <c r="AF303" s="29">
        <f>AB303-AD303</f>
        <v/>
      </c>
      <c r="AG303" s="27">
        <f>IF(U303=0,"",ROUND((AB303-AD303)/U303*100,1))</f>
        <v/>
      </c>
      <c r="AH303" s="34" t="inlineStr">
        <is>
          <t>NO TOTALS — list prints none; check page</t>
        </is>
      </c>
      <c r="AI303" s="31" t="inlineStr">
        <is>
          <t>https://scalzilliaj.com.br/sgc/download.php?file=files/processo_documento/processo_documento15513401112022_1_.pdf&amp;nome=15 - Edital do art. 7º, §2º (segunda lista de credores) e do art. 53 da Lei 11.101/2005 (recebimento do plano)</t>
        </is>
      </c>
      <c r="AJ303" s="30" t="inlineStr">
        <is>
          <t>p10 r38</t>
        </is>
      </c>
      <c r="AK303" s="30" t="inlineStr">
        <is>
          <t>p10: R$ 732.433,67</t>
        </is>
      </c>
      <c r="AL303" s="30" t="inlineStr">
        <is>
          <t>AJ list (art. 7 §2)</t>
        </is>
      </c>
      <c r="AM303" s="30" t="inlineStr">
        <is>
          <t>2022-11-01</t>
        </is>
      </c>
      <c r="AN303" s="30" t="inlineStr">
        <is>
          <t>NONE FOUND</t>
        </is>
      </c>
      <c r="AO303" s="32" t="inlineStr">
        <is>
          <t>5014104-85.2021.8.21.0010</t>
        </is>
      </c>
      <c r="AP303" s="32" t="inlineStr">
        <is>
          <t>TJRS</t>
        </is>
      </c>
      <c r="AQ303" s="32" t="inlineStr">
        <is>
          <t>Recuperação judicial</t>
        </is>
      </c>
      <c r="AR303" s="32" t="inlineStr">
        <is>
          <t>DataJud: no closure/falência movement</t>
        </is>
      </c>
      <c r="AS303" s="32" t="n">
        <v>2021</v>
      </c>
      <c r="AT303" s="32" t="inlineStr">
        <is>
          <t>5y since filing; plan not in our documents</t>
        </is>
      </c>
      <c r="AU303" s="32" t="inlineStr">
        <is>
          <t>03.018.339/0001-03</t>
        </is>
      </c>
      <c r="AV303" s="32" t="inlineStr">
        <is>
          <t>printed on the list (read twice)</t>
        </is>
      </c>
      <c r="AW303" s="32" t="inlineStr"/>
      <c r="AX303" s="32" t="inlineStr">
        <is>
          <t>PELOTAS</t>
        </is>
      </c>
      <c r="AY303" s="32" t="inlineStr">
        <is>
          <t>RS</t>
        </is>
      </c>
      <c r="AZ303" s="32" t="inlineStr">
        <is>
          <t>Sociedades de fomento mercantil - factoring</t>
        </is>
      </c>
      <c r="BA303" s="32" t="inlineStr">
        <is>
          <t>não ME/EPP</t>
        </is>
      </c>
      <c r="BB303" s="33" t="n">
        <v>200000</v>
      </c>
      <c r="BC303" s="32" t="inlineStr">
        <is>
          <t>MID-MARKET</t>
        </is>
      </c>
      <c r="BD303" s="32" t="inlineStr">
        <is>
          <t>32522072</t>
        </is>
      </c>
      <c r="BE303" s="32" t="n">
        <v>1</v>
      </c>
      <c r="BF303" s="32" t="inlineStr">
        <is>
          <t>list prints no totals</t>
        </is>
      </c>
    </row>
    <row r="304">
      <c r="A304" s="17" t="inlineStr">
        <is>
          <t>BANCO SAFRA S A</t>
        </is>
      </c>
      <c r="B304" s="18" t="n">
        <v>1340263.4</v>
      </c>
      <c r="C304" s="19" t="inlineStr">
        <is>
          <t>EQUIP SEG INTELIGÊNCIA EM SEGURANÇA LTDA. E EQUIP SEG SERVIÇOS ESPECIALIZADOS LTDA.</t>
        </is>
      </c>
      <c r="D304" s="20" t="inlineStr">
        <is>
          <t>NEW</t>
        </is>
      </c>
      <c r="E304" s="21" t="inlineStr"/>
      <c r="F304" s="20" t="inlineStr"/>
      <c r="G304" s="21" t="inlineStr"/>
      <c r="H304" s="20" t="inlineStr"/>
      <c r="I304" s="22" t="inlineStr">
        <is>
          <t>Vanessa Biotti</t>
        </is>
      </c>
      <c r="J304" s="22" t="inlineStr">
        <is>
          <t>Gerente de Recuperação de Crédito</t>
        </is>
      </c>
      <c r="K304" s="22" t="inlineStr">
        <is>
          <t>(11) 3175-7575</t>
        </is>
      </c>
      <c r="L304" s="22" t="inlineStr"/>
      <c r="M304" s="22" t="inlineStr"/>
      <c r="N304" s="22" t="inlineStr">
        <is>
          <t>vanessa.biotti@safra.com.br</t>
        </is>
      </c>
      <c r="O304" s="22" t="inlineStr">
        <is>
          <t>verified</t>
        </is>
      </c>
      <c r="P304" s="22" t="inlineStr">
        <is>
          <t>Rodrigo Anjos</t>
        </is>
      </c>
      <c r="Q304" s="22" t="inlineStr">
        <is>
          <t>Advogado Sênior - Jurídico Contencioso - Recuperação de Crédito - NPL</t>
        </is>
      </c>
      <c r="R304" s="22" t="inlineStr"/>
      <c r="S304" s="22" t="inlineStr">
        <is>
          <t>rodrigo.anjos@safra.com.br</t>
        </is>
      </c>
      <c r="T304" s="22" t="inlineStr">
        <is>
          <t>DM: DM verified email; BACKUP: backup verified email (NPL legal)</t>
        </is>
      </c>
      <c r="U304" s="24" t="n">
        <v>1340263.4</v>
      </c>
      <c r="V304" s="40" t="inlineStr">
        <is>
          <t>D</t>
        </is>
      </c>
      <c r="W304" s="26" t="inlineStr"/>
      <c r="X304" s="27" t="inlineStr"/>
      <c r="Y304" s="27" t="inlineStr"/>
      <c r="Z304" s="26">
        <f>IF(W304&lt;&gt;"",W304,IFERROR(VLOOKUP(V304,Assumptions!$A$8:$F$12,2,FALSE),0))*Assumptions!$B$5</f>
        <v/>
      </c>
      <c r="AA304" s="28">
        <f>IF(V304="A",MAX(1,IF(X304&lt;&gt;"",X304,IFERROR(VLOOKUP(V304,Assumptions!$A$8:$F$12,3,FALSE),3))+IF(Y304&lt;&gt;"",Y304,IFERROR(VLOOKUP(V304,Assumptions!$A$8:$F$12,4,FALSE),8))/2-MAX(0,IF(AS304="",0,YEAR(TODAY())-AS304)-IFERROR(VLOOKUP(V304,Assumptions!$A$8:$F$12,5,FALSE),1.5))),IFERROR(VLOOKUP(V304,Assumptions!$A$8:$F$12,5,FALSE),2.5)+IF(X304&lt;&gt;"",X304,IFERROR(VLOOKUP(V304,Assumptions!$A$8:$F$12,3,FALSE),3))+IF(Y304&lt;&gt;"",Y304,IFERROR(VLOOKUP(V304,Assumptions!$A$8:$F$12,4,FALSE),8))/2)</f>
        <v/>
      </c>
      <c r="AB304" s="24">
        <f>U304*Z304/(1+Assumptions!$B$3)^AA304</f>
        <v/>
      </c>
      <c r="AC304" s="27">
        <f>IF(U304=0,"",ROUND(AB304/U304*100,1))</f>
        <v/>
      </c>
      <c r="AD304" s="29">
        <f>AB304*Assumptions!$B$4</f>
        <v/>
      </c>
      <c r="AE304" s="27">
        <f>IF(U304=0,"",ROUND(AD304/U304*100,1))</f>
        <v/>
      </c>
      <c r="AF304" s="29">
        <f>AB304-AD304</f>
        <v/>
      </c>
      <c r="AG304" s="27">
        <f>IF(U304=0,"",ROUND((AB304-AD304)/U304*100,1))</f>
        <v/>
      </c>
      <c r="AH304" s="34" t="inlineStr">
        <is>
          <t>NO TOTALS — list prints none; check page</t>
        </is>
      </c>
      <c r="AI304" s="31" t="inlineStr">
        <is>
          <t>https://bbsadvogados.com.br/wp-content/uploads/2025/04/Equipseg-Edital-Relacao-de-Credores-da-Administradora-Judicial-art.-7o2o-da-LRF.pdf</t>
        </is>
      </c>
      <c r="AJ304" s="30" t="inlineStr">
        <is>
          <t>p38 r7</t>
        </is>
      </c>
      <c r="AK304" s="30" t="inlineStr">
        <is>
          <t>p38: R$ 1.340.263,40</t>
        </is>
      </c>
      <c r="AL304" s="30" t="inlineStr">
        <is>
          <t>AJ list (art. 7 §2)</t>
        </is>
      </c>
      <c r="AM304" s="30" t="inlineStr">
        <is>
          <t>2025-04-08</t>
        </is>
      </c>
      <c r="AN304" s="30" t="inlineStr">
        <is>
          <t>NONE FOUND</t>
        </is>
      </c>
      <c r="AO304" s="32" t="inlineStr">
        <is>
          <t>0033736-15.2023.8.16.0185</t>
        </is>
      </c>
      <c r="AP304" s="32" t="inlineStr">
        <is>
          <t>TJPR</t>
        </is>
      </c>
      <c r="AQ304" s="32" t="inlineStr">
        <is>
          <t>Falência</t>
        </is>
      </c>
      <c r="AR304" s="32" t="inlineStr">
        <is>
          <t>not in DataJud</t>
        </is>
      </c>
      <c r="AS304" s="32" t="n">
        <v>2023</v>
      </c>
      <c r="AT304" s="32" t="inlineStr">
        <is>
          <t>falência proceeding (list/name says falida)</t>
        </is>
      </c>
      <c r="AU304" s="32" t="inlineStr"/>
      <c r="AV304" s="32" t="inlineStr">
        <is>
          <t>printed on the list (read twice)</t>
        </is>
      </c>
      <c r="AW304" s="32" t="inlineStr"/>
      <c r="AX304" s="32" t="inlineStr">
        <is>
          <t>SAO PAULO</t>
        </is>
      </c>
      <c r="AY304" s="32" t="inlineStr">
        <is>
          <t>SP</t>
        </is>
      </c>
      <c r="AZ304" s="32" t="inlineStr">
        <is>
          <t>Bancos múltiplos, com carteira comercial</t>
        </is>
      </c>
      <c r="BA304" s="32" t="inlineStr">
        <is>
          <t>não ME/EPP</t>
        </is>
      </c>
      <c r="BB304" s="33" t="n">
        <v>13924903000</v>
      </c>
      <c r="BC304" s="32" t="inlineStr">
        <is>
          <t>LARGE CORP</t>
        </is>
      </c>
      <c r="BD304" s="32" t="inlineStr">
        <is>
          <t>58160789</t>
        </is>
      </c>
      <c r="BE304" s="32" t="n">
        <v>1</v>
      </c>
      <c r="BF304" s="32" t="inlineStr">
        <is>
          <t>financial by name list prints no totals</t>
        </is>
      </c>
    </row>
    <row r="305">
      <c r="A305" s="17" t="inlineStr">
        <is>
          <t>BANCO BRADESCO S.A.</t>
        </is>
      </c>
      <c r="B305" s="18" t="n">
        <v>1263147.26</v>
      </c>
      <c r="C305" s="19" t="inlineStr">
        <is>
          <t>MUNDO BIZARRO IMPORTACAO E EXPORTACAO LTDA</t>
        </is>
      </c>
      <c r="D305" s="20" t="inlineStr">
        <is>
          <t>NEW</t>
        </is>
      </c>
      <c r="E305" s="21" t="inlineStr"/>
      <c r="F305" s="20" t="inlineStr"/>
      <c r="G305" s="21" t="inlineStr"/>
      <c r="H305" s="20" t="inlineStr"/>
      <c r="I305" s="22" t="inlineStr">
        <is>
          <t>Marcela Martins</t>
        </is>
      </c>
      <c r="J305" s="22" t="inlineStr">
        <is>
          <t>Superintendente de Recuperação de Crédito - Canais e Operações</t>
        </is>
      </c>
      <c r="K305" s="22" t="inlineStr">
        <is>
          <t>(11) 3684-5122</t>
        </is>
      </c>
      <c r="L305" s="22" t="inlineStr"/>
      <c r="M305" s="22" t="inlineStr"/>
      <c r="N305" s="22" t="inlineStr"/>
      <c r="O305" s="22" t="inlineStr"/>
      <c r="P305" s="22" t="inlineStr">
        <is>
          <t>Luis S</t>
        </is>
      </c>
      <c r="Q305" s="22" t="inlineStr">
        <is>
          <t>DRC - Departamento de Recuperação de Crédito - Gerente de Reestruturação de Crédito</t>
        </is>
      </c>
      <c r="R305" s="22" t="inlineStr"/>
      <c r="S305" s="22" t="inlineStr">
        <is>
          <t>sl@bradesco.com.br</t>
        </is>
      </c>
      <c r="T305" s="22" t="inlineStr">
        <is>
          <t>DM: DM; no work email in Apollo for DM; BACKUP: backup</t>
        </is>
      </c>
      <c r="U305" s="24" t="n">
        <v>1263147.26</v>
      </c>
      <c r="V305" s="40" t="inlineStr">
        <is>
          <t>D</t>
        </is>
      </c>
      <c r="W305" s="26" t="inlineStr"/>
      <c r="X305" s="27" t="inlineStr"/>
      <c r="Y305" s="27" t="inlineStr"/>
      <c r="Z305" s="26">
        <f>IF(W305&lt;&gt;"",W305,IFERROR(VLOOKUP(V305,Assumptions!$A$8:$F$12,2,FALSE),0))*Assumptions!$B$5</f>
        <v/>
      </c>
      <c r="AA305" s="28">
        <f>IF(V305="A",MAX(1,IF(X305&lt;&gt;"",X305,IFERROR(VLOOKUP(V305,Assumptions!$A$8:$F$12,3,FALSE),3))+IF(Y305&lt;&gt;"",Y305,IFERROR(VLOOKUP(V305,Assumptions!$A$8:$F$12,4,FALSE),8))/2-MAX(0,IF(AS305="",0,YEAR(TODAY())-AS305)-IFERROR(VLOOKUP(V305,Assumptions!$A$8:$F$12,5,FALSE),1.5))),IFERROR(VLOOKUP(V305,Assumptions!$A$8:$F$12,5,FALSE),2.5)+IF(X305&lt;&gt;"",X305,IFERROR(VLOOKUP(V305,Assumptions!$A$8:$F$12,3,FALSE),3))+IF(Y305&lt;&gt;"",Y305,IFERROR(VLOOKUP(V305,Assumptions!$A$8:$F$12,4,FALSE),8))/2)</f>
        <v/>
      </c>
      <c r="AB305" s="24">
        <f>U305*Z305/(1+Assumptions!$B$3)^AA305</f>
        <v/>
      </c>
      <c r="AC305" s="27">
        <f>IF(U305=0,"",ROUND(AB305/U305*100,1))</f>
        <v/>
      </c>
      <c r="AD305" s="29">
        <f>AB305*Assumptions!$B$4</f>
        <v/>
      </c>
      <c r="AE305" s="27">
        <f>IF(U305=0,"",ROUND(AD305/U305*100,1))</f>
        <v/>
      </c>
      <c r="AF305" s="29">
        <f>AB305-AD305</f>
        <v/>
      </c>
      <c r="AG305" s="27">
        <f>IF(U305=0,"",ROUND((AB305-AD305)/U305*100,1))</f>
        <v/>
      </c>
      <c r="AH305" s="34" t="inlineStr">
        <is>
          <t>NO TOTALS — list prints none; check page</t>
        </is>
      </c>
      <c r="AI305" s="31" t="inlineStr">
        <is>
          <t>https://administradorajudicialgs.com.br/wp-content/uploads/2024/10/relacao-de-credores-e-verificacao-de-credito-2025.pdf</t>
        </is>
      </c>
      <c r="AJ305" s="30" t="inlineStr">
        <is>
          <t>p16 r1; p17 r1</t>
        </is>
      </c>
      <c r="AK305" s="30" t="inlineStr">
        <is>
          <t>p16: R$ 1.263.147,26</t>
        </is>
      </c>
      <c r="AL305" s="30" t="inlineStr">
        <is>
          <t>AJ list (art. 7 §2)</t>
        </is>
      </c>
      <c r="AM305" s="30" t="inlineStr">
        <is>
          <t>2025-04-24</t>
        </is>
      </c>
      <c r="AN305" s="30" t="inlineStr">
        <is>
          <t>NONE FOUND</t>
        </is>
      </c>
      <c r="AO305" s="32" t="inlineStr">
        <is>
          <t>5100227-29.2022.8.24.0023</t>
        </is>
      </c>
      <c r="AP305" s="32" t="inlineStr">
        <is>
          <t>TJSC</t>
        </is>
      </c>
      <c r="AQ305" s="32" t="inlineStr">
        <is>
          <t>Falência</t>
        </is>
      </c>
      <c r="AR305" s="32" t="inlineStr">
        <is>
          <t>not in DataJud</t>
        </is>
      </c>
      <c r="AS305" s="32" t="n">
        <v>2022</v>
      </c>
      <c r="AT305" s="32" t="inlineStr">
        <is>
          <t>falência proceeding (list/name says falida)</t>
        </is>
      </c>
      <c r="AU305" s="32" t="inlineStr">
        <is>
          <t>05.316.275/0001-52</t>
        </is>
      </c>
      <c r="AV305" s="32" t="inlineStr">
        <is>
          <t>printed on the list (read twice)</t>
        </is>
      </c>
      <c r="AW305" s="32" t="inlineStr"/>
      <c r="AX305" s="32" t="inlineStr">
        <is>
          <t>OSASCO</t>
        </is>
      </c>
      <c r="AY305" s="32" t="inlineStr">
        <is>
          <t>SP</t>
        </is>
      </c>
      <c r="AZ305" s="32" t="inlineStr">
        <is>
          <t>Bancos múltiplos, com carteira comercial</t>
        </is>
      </c>
      <c r="BA305" s="32" t="inlineStr">
        <is>
          <t>não ME/EPP</t>
        </is>
      </c>
      <c r="BB305" s="33" t="n">
        <v>93770000000</v>
      </c>
      <c r="BC305" s="32" t="inlineStr">
        <is>
          <t>LARGE CORP</t>
        </is>
      </c>
      <c r="BD305" s="32" t="inlineStr">
        <is>
          <t>60746948</t>
        </is>
      </c>
      <c r="BE305" s="32" t="n">
        <v>1</v>
      </c>
      <c r="BF305" s="32" t="inlineStr">
        <is>
          <t>list prints no totals</t>
        </is>
      </c>
    </row>
    <row r="306">
      <c r="A306" s="17" t="inlineStr">
        <is>
          <t>DSX SECURITIZADORA S/A (</t>
        </is>
      </c>
      <c r="B306" s="18" t="n">
        <v>678577.46</v>
      </c>
      <c r="C306" s="19" t="inlineStr">
        <is>
          <t>VECTOR INDÚSTRIA DE PRODUTOS METALÚRGICOS LTDA.</t>
        </is>
      </c>
      <c r="D306" s="20" t="inlineStr">
        <is>
          <t>NEW</t>
        </is>
      </c>
      <c r="E306" s="21" t="inlineStr"/>
      <c r="F306" s="20" t="inlineStr"/>
      <c r="G306" s="21" t="inlineStr"/>
      <c r="H306" s="20" t="inlineStr"/>
      <c r="I306" s="22" t="inlineStr">
        <is>
          <t>Giovani Martins</t>
        </is>
      </c>
      <c r="J306" s="22" t="inlineStr">
        <is>
          <t>Gestor Financeiro e Controladoria</t>
        </is>
      </c>
      <c r="K306" s="22" t="inlineStr"/>
      <c r="L306" s="22" t="inlineStr"/>
      <c r="M306" s="22" t="inlineStr"/>
      <c r="N306" s="22" t="inlineStr">
        <is>
          <t>giovani@dsxfidc.com.br</t>
        </is>
      </c>
      <c r="O306" s="22" t="inlineStr">
        <is>
          <t>extrapolated</t>
        </is>
      </c>
      <c r="P306" s="22" t="inlineStr"/>
      <c r="Q306" s="22" t="inlineStr"/>
      <c r="R306" s="22" t="inlineStr"/>
      <c r="S306" s="22" t="inlineStr"/>
      <c r="T306" s="22" t="inlineStr">
        <is>
          <t>DM: DM</t>
        </is>
      </c>
      <c r="U306" s="24" t="n">
        <v>678577.46</v>
      </c>
      <c r="V306" s="39" t="inlineStr">
        <is>
          <t>C</t>
        </is>
      </c>
      <c r="W306" s="26" t="inlineStr"/>
      <c r="X306" s="27" t="inlineStr"/>
      <c r="Y306" s="27" t="inlineStr"/>
      <c r="Z306" s="26">
        <f>IF(W306&lt;&gt;"",W306,IFERROR(VLOOKUP(V306,Assumptions!$A$8:$F$12,2,FALSE),0))*Assumptions!$B$5</f>
        <v/>
      </c>
      <c r="AA306" s="28">
        <f>IF(V306="A",MAX(1,IF(X306&lt;&gt;"",X306,IFERROR(VLOOKUP(V306,Assumptions!$A$8:$F$12,3,FALSE),3))+IF(Y306&lt;&gt;"",Y306,IFERROR(VLOOKUP(V306,Assumptions!$A$8:$F$12,4,FALSE),8))/2-MAX(0,IF(AS306="",0,YEAR(TODAY())-AS306)-IFERROR(VLOOKUP(V306,Assumptions!$A$8:$F$12,5,FALSE),1.5))),IFERROR(VLOOKUP(V306,Assumptions!$A$8:$F$12,5,FALSE),2.5)+IF(X306&lt;&gt;"",X306,IFERROR(VLOOKUP(V306,Assumptions!$A$8:$F$12,3,FALSE),3))+IF(Y306&lt;&gt;"",Y306,IFERROR(VLOOKUP(V306,Assumptions!$A$8:$F$12,4,FALSE),8))/2)</f>
        <v/>
      </c>
      <c r="AB306" s="24">
        <f>U306*Z306/(1+Assumptions!$B$3)^AA306</f>
        <v/>
      </c>
      <c r="AC306" s="27">
        <f>IF(U306=0,"",ROUND(AB306/U306*100,1))</f>
        <v/>
      </c>
      <c r="AD306" s="29">
        <f>AB306*Assumptions!$B$4</f>
        <v/>
      </c>
      <c r="AE306" s="27">
        <f>IF(U306=0,"",ROUND(AD306/U306*100,1))</f>
        <v/>
      </c>
      <c r="AF306" s="29">
        <f>AB306-AD306</f>
        <v/>
      </c>
      <c r="AG306" s="27">
        <f>IF(U306=0,"",ROUND((AB306-AD306)/U306*100,1))</f>
        <v/>
      </c>
      <c r="AH306" s="34" t="inlineStr">
        <is>
          <t>NO TOTALS — list prints none; check page</t>
        </is>
      </c>
      <c r="AI306" s="31" t="inlineStr">
        <is>
          <t>https://scalzilliaj.com.br/sgc/download.php?file=files/processo_documento/processo_documento15513401112022_1_.pdf&amp;nome=15 - Edital do art. 7º, §2º (segunda lista de credores) e do art. 53 da Lei 11.101/2005 (recebimento do plano)</t>
        </is>
      </c>
      <c r="AJ306" s="30" t="inlineStr">
        <is>
          <t>p6 r37</t>
        </is>
      </c>
      <c r="AK306" s="30" t="inlineStr">
        <is>
          <t>p6: R$ 678.577,46</t>
        </is>
      </c>
      <c r="AL306" s="30" t="inlineStr">
        <is>
          <t>AJ list (art. 7 §2)</t>
        </is>
      </c>
      <c r="AM306" s="30" t="inlineStr">
        <is>
          <t>2022-11-01</t>
        </is>
      </c>
      <c r="AN306" s="30" t="inlineStr">
        <is>
          <t>NONE FOUND</t>
        </is>
      </c>
      <c r="AO306" s="32" t="inlineStr">
        <is>
          <t>5014104-85.2021.8.21.0010</t>
        </is>
      </c>
      <c r="AP306" s="32" t="inlineStr">
        <is>
          <t>TJRS</t>
        </is>
      </c>
      <c r="AQ306" s="32" t="inlineStr">
        <is>
          <t>Recuperação judicial</t>
        </is>
      </c>
      <c r="AR306" s="32" t="inlineStr">
        <is>
          <t>DataJud: no closure/falência movement</t>
        </is>
      </c>
      <c r="AS306" s="32" t="n">
        <v>2021</v>
      </c>
      <c r="AT306" s="32" t="inlineStr">
        <is>
          <t>5y since filing; plan not in our documents</t>
        </is>
      </c>
      <c r="AU306" s="32" t="inlineStr">
        <is>
          <t>03.018.339/0001-03</t>
        </is>
      </c>
      <c r="AV306" s="32" t="inlineStr">
        <is>
          <t>printed on the list (read twice)</t>
        </is>
      </c>
      <c r="AW306" s="32" t="inlineStr"/>
      <c r="AX306" s="32" t="inlineStr"/>
      <c r="AY306" s="32" t="inlineStr"/>
      <c r="AZ306" s="32" t="inlineStr"/>
      <c r="BA306" s="32" t="inlineStr"/>
      <c r="BB306" s="33" t="inlineStr"/>
      <c r="BC306" s="32" t="inlineStr">
        <is>
          <t>UNKNOWN</t>
        </is>
      </c>
      <c r="BD306" s="32" t="inlineStr">
        <is>
          <t>23125558</t>
        </is>
      </c>
      <c r="BE306" s="32" t="n">
        <v>1</v>
      </c>
      <c r="BF306" s="32" t="inlineStr">
        <is>
          <t>financial by name list prints no totals no RFB record</t>
        </is>
      </c>
    </row>
    <row r="307">
      <c r="A307" s="17" t="inlineStr">
        <is>
          <t>ITAU UNIBANCO S.A.</t>
        </is>
      </c>
      <c r="B307" s="18" t="n">
        <v>585201.4</v>
      </c>
      <c r="C307" s="19" t="inlineStr">
        <is>
          <t>CONFECÇÕES ANDRIMALHAS LTDA</t>
        </is>
      </c>
      <c r="D307" s="20" t="inlineStr">
        <is>
          <t>NEW</t>
        </is>
      </c>
      <c r="E307" s="21" t="inlineStr"/>
      <c r="F307" s="20" t="inlineStr"/>
      <c r="G307" s="21" t="inlineStr"/>
      <c r="H307" s="20" t="inlineStr"/>
      <c r="I307" s="22" t="inlineStr">
        <is>
          <t>Murilo Gigliucci</t>
        </is>
      </c>
      <c r="J307" s="22" t="inlineStr">
        <is>
          <t>Superintendente de Reestruturação de Crédito</t>
        </is>
      </c>
      <c r="K307" s="22" t="inlineStr">
        <is>
          <t>(11) 3003-4828</t>
        </is>
      </c>
      <c r="L307" s="22" t="inlineStr"/>
      <c r="M307" s="22" t="inlineStr"/>
      <c r="N307" s="22" t="inlineStr">
        <is>
          <t>murilo.gigliucci@itau-unibanco.com.br</t>
        </is>
      </c>
      <c r="O307" s="22" t="inlineStr">
        <is>
          <t>verified</t>
        </is>
      </c>
      <c r="P307" s="22" t="inlineStr">
        <is>
          <t>Pedro Ornellas</t>
        </is>
      </c>
      <c r="Q307" s="22" t="inlineStr">
        <is>
          <t>Superintendente de Recuperação de Crédito</t>
        </is>
      </c>
      <c r="R307" s="22" t="inlineStr"/>
      <c r="S307" s="22" t="inlineStr">
        <is>
          <t>pedro.ornellas-geronimo@itau-unibanco.com.br</t>
        </is>
      </c>
      <c r="T307" s="22" t="inlineStr">
        <is>
          <t>DM: DM verified email; BACKUP: backup verified email</t>
        </is>
      </c>
      <c r="U307" s="24" t="n">
        <v>585201.4</v>
      </c>
      <c r="V307" s="39" t="inlineStr">
        <is>
          <t>C</t>
        </is>
      </c>
      <c r="W307" s="26" t="inlineStr"/>
      <c r="X307" s="27" t="inlineStr"/>
      <c r="Y307" s="27" t="inlineStr"/>
      <c r="Z307" s="26">
        <f>IF(W307&lt;&gt;"",W307,IFERROR(VLOOKUP(V307,Assumptions!$A$8:$F$12,2,FALSE),0))*Assumptions!$B$5</f>
        <v/>
      </c>
      <c r="AA307" s="28">
        <f>IF(V307="A",MAX(1,IF(X307&lt;&gt;"",X307,IFERROR(VLOOKUP(V307,Assumptions!$A$8:$F$12,3,FALSE),3))+IF(Y307&lt;&gt;"",Y307,IFERROR(VLOOKUP(V307,Assumptions!$A$8:$F$12,4,FALSE),8))/2-MAX(0,IF(AS307="",0,YEAR(TODAY())-AS307)-IFERROR(VLOOKUP(V307,Assumptions!$A$8:$F$12,5,FALSE),1.5))),IFERROR(VLOOKUP(V307,Assumptions!$A$8:$F$12,5,FALSE),2.5)+IF(X307&lt;&gt;"",X307,IFERROR(VLOOKUP(V307,Assumptions!$A$8:$F$12,3,FALSE),3))+IF(Y307&lt;&gt;"",Y307,IFERROR(VLOOKUP(V307,Assumptions!$A$8:$F$12,4,FALSE),8))/2)</f>
        <v/>
      </c>
      <c r="AB307" s="24">
        <f>U307*Z307/(1+Assumptions!$B$3)^AA307</f>
        <v/>
      </c>
      <c r="AC307" s="27">
        <f>IF(U307=0,"",ROUND(AB307/U307*100,1))</f>
        <v/>
      </c>
      <c r="AD307" s="29">
        <f>AB307*Assumptions!$B$4</f>
        <v/>
      </c>
      <c r="AE307" s="27">
        <f>IF(U307=0,"",ROUND(AD307/U307*100,1))</f>
        <v/>
      </c>
      <c r="AF307" s="29">
        <f>AB307-AD307</f>
        <v/>
      </c>
      <c r="AG307" s="27">
        <f>IF(U307=0,"",ROUND((AB307-AD307)/U307*100,1))</f>
        <v/>
      </c>
      <c r="AH307" s="35" t="inlineStr">
        <is>
          <t>PARTIAL — class III reconciled, other classes not</t>
        </is>
      </c>
      <c r="AI307" s="31" t="inlineStr">
        <is>
          <t>https://administradorajudicialgs.com.br/wp-content/uploads/2023/08/doc-06-relacao-credores-do-administrador-judicial-10-02-2015.pdf</t>
        </is>
      </c>
      <c r="AJ307" s="30" t="inlineStr">
        <is>
          <t>p1 r36</t>
        </is>
      </c>
      <c r="AK307" s="30" t="inlineStr">
        <is>
          <t>p1: R$ 585.201,40</t>
        </is>
      </c>
      <c r="AL307" s="30" t="inlineStr">
        <is>
          <t>AJ list (art. 7 §2)</t>
        </is>
      </c>
      <c r="AM307" s="30" t="inlineStr"/>
      <c r="AN307" s="30" t="inlineStr">
        <is>
          <t>NONE FOUND</t>
        </is>
      </c>
      <c r="AO307" s="32" t="inlineStr">
        <is>
          <t>0302174-63.2015.8.24.0025</t>
        </is>
      </c>
      <c r="AP307" s="32" t="inlineStr">
        <is>
          <t>TJSC</t>
        </is>
      </c>
      <c r="AQ307" s="32" t="inlineStr">
        <is>
          <t>Recuperação judicial</t>
        </is>
      </c>
      <c r="AR307" s="32" t="inlineStr">
        <is>
          <t>not in DataJud</t>
        </is>
      </c>
      <c r="AS307" s="32" t="n">
        <v>2015</v>
      </c>
      <c r="AT307" s="32" t="inlineStr">
        <is>
          <t>11y since filing; plan not in our documents; case no. from the portal record, not printed on the list</t>
        </is>
      </c>
      <c r="AU307" s="32" t="inlineStr"/>
      <c r="AV307" s="32" t="inlineStr">
        <is>
          <t>printed on the list (read twice)</t>
        </is>
      </c>
      <c r="AW307" s="32" t="inlineStr"/>
      <c r="AX307" s="32" t="inlineStr">
        <is>
          <t>SAO PAULO</t>
        </is>
      </c>
      <c r="AY307" s="32" t="inlineStr">
        <is>
          <t>SP</t>
        </is>
      </c>
      <c r="AZ307" s="32" t="inlineStr">
        <is>
          <t>Bancos comerciais</t>
        </is>
      </c>
      <c r="BA307" s="32" t="inlineStr">
        <is>
          <t>não ME/EPP</t>
        </is>
      </c>
      <c r="BB307" s="33" t="n">
        <v>76200000000</v>
      </c>
      <c r="BC307" s="32" t="inlineStr">
        <is>
          <t>LARGE CORP</t>
        </is>
      </c>
      <c r="BD307" s="32" t="inlineStr">
        <is>
          <t>60701190</t>
        </is>
      </c>
      <c r="BE307" s="32" t="n">
        <v>1</v>
      </c>
      <c r="BF307" s="32" t="inlineStr">
        <is>
          <t>financial by name class III reconciled (doc partial)</t>
        </is>
      </c>
    </row>
    <row r="308">
      <c r="A308" s="17" t="inlineStr">
        <is>
          <t>BANCO VOTORANTIM S.A.</t>
        </is>
      </c>
      <c r="B308" s="18" t="n">
        <v>582719.9</v>
      </c>
      <c r="C308" s="19" t="inlineStr">
        <is>
          <t>BLUTRAFOS BLUMENAU TRANSFORMADORES LTDA</t>
        </is>
      </c>
      <c r="D308" s="20" t="inlineStr">
        <is>
          <t>NEW</t>
        </is>
      </c>
      <c r="E308" s="21" t="inlineStr"/>
      <c r="F308" s="20" t="inlineStr"/>
      <c r="G308" s="21" t="inlineStr"/>
      <c r="H308" s="20" t="inlineStr"/>
      <c r="I308" s="22" t="inlineStr">
        <is>
          <t>Red Silva</t>
        </is>
      </c>
      <c r="J308" s="22" t="inlineStr">
        <is>
          <t>Special Assets - Banker Senior</t>
        </is>
      </c>
      <c r="K308" s="22" t="inlineStr">
        <is>
          <t>(11) 5171-2672</t>
        </is>
      </c>
      <c r="L308" s="22" t="inlineStr">
        <is>
          <t>(11) 5171-2488</t>
        </is>
      </c>
      <c r="M308" s="22" t="inlineStr"/>
      <c r="N308" s="22" t="inlineStr">
        <is>
          <t>red.silva@bv.com.br</t>
        </is>
      </c>
      <c r="O308" s="22" t="inlineStr">
        <is>
          <t>verified</t>
        </is>
      </c>
      <c r="P308" s="22" t="inlineStr">
        <is>
          <t>Caroline Oishi</t>
        </is>
      </c>
      <c r="Q308" s="22" t="inlineStr">
        <is>
          <t>Gerente Executivo de Recuperação de Crédito</t>
        </is>
      </c>
      <c r="R308" s="22" t="inlineStr"/>
      <c r="S308" s="22" t="inlineStr">
        <is>
          <t>caroline.oishi@bv.com.br</t>
        </is>
      </c>
      <c r="T308" s="22" t="inlineStr">
        <is>
          <t>DM: DM; BACKUP: backup</t>
        </is>
      </c>
      <c r="U308" s="24" t="n">
        <v>582719.9</v>
      </c>
      <c r="V308" s="39" t="inlineStr">
        <is>
          <t>C</t>
        </is>
      </c>
      <c r="W308" s="26" t="inlineStr"/>
      <c r="X308" s="27" t="inlineStr"/>
      <c r="Y308" s="27" t="inlineStr"/>
      <c r="Z308" s="26">
        <f>IF(W308&lt;&gt;"",W308,IFERROR(VLOOKUP(V308,Assumptions!$A$8:$F$12,2,FALSE),0))*Assumptions!$B$5</f>
        <v/>
      </c>
      <c r="AA308" s="28">
        <f>IF(V308="A",MAX(1,IF(X308&lt;&gt;"",X308,IFERROR(VLOOKUP(V308,Assumptions!$A$8:$F$12,3,FALSE),3))+IF(Y308&lt;&gt;"",Y308,IFERROR(VLOOKUP(V308,Assumptions!$A$8:$F$12,4,FALSE),8))/2-MAX(0,IF(AS308="",0,YEAR(TODAY())-AS308)-IFERROR(VLOOKUP(V308,Assumptions!$A$8:$F$12,5,FALSE),1.5))),IFERROR(VLOOKUP(V308,Assumptions!$A$8:$F$12,5,FALSE),2.5)+IF(X308&lt;&gt;"",X308,IFERROR(VLOOKUP(V308,Assumptions!$A$8:$F$12,3,FALSE),3))+IF(Y308&lt;&gt;"",Y308,IFERROR(VLOOKUP(V308,Assumptions!$A$8:$F$12,4,FALSE),8))/2)</f>
        <v/>
      </c>
      <c r="AB308" s="24">
        <f>U308*Z308/(1+Assumptions!$B$3)^AA308</f>
        <v/>
      </c>
      <c r="AC308" s="27">
        <f>IF(U308=0,"",ROUND(AB308/U308*100,1))</f>
        <v/>
      </c>
      <c r="AD308" s="29">
        <f>AB308*Assumptions!$B$4</f>
        <v/>
      </c>
      <c r="AE308" s="27">
        <f>IF(U308=0,"",ROUND(AD308/U308*100,1))</f>
        <v/>
      </c>
      <c r="AF308" s="29">
        <f>AB308-AD308</f>
        <v/>
      </c>
      <c r="AG308" s="27">
        <f>IF(U308=0,"",ROUND((AB308-AD308)/U308*100,1))</f>
        <v/>
      </c>
      <c r="AH308" s="30" t="inlineStr">
        <is>
          <t>OK — totals reconciled</t>
        </is>
      </c>
      <c r="AI308" s="31" t="inlineStr">
        <is>
          <t>https://administradorajudicialgs.com.br/wp-content/uploads/2023/08/advogados-sgrott-doc-22-relacao-de-credores-do-administrador-judicial-classe-iii-05-02-14.pdf</t>
        </is>
      </c>
      <c r="AJ308" s="30" t="inlineStr">
        <is>
          <t>p1 r36</t>
        </is>
      </c>
      <c r="AK308" s="30" t="inlineStr">
        <is>
          <t>p1: R$ 582.719,90</t>
        </is>
      </c>
      <c r="AL308" s="30" t="inlineStr">
        <is>
          <t>Unclassified list</t>
        </is>
      </c>
      <c r="AM308" s="30" t="inlineStr"/>
      <c r="AN308" s="30" t="inlineStr">
        <is>
          <t>NONE FOUND</t>
        </is>
      </c>
      <c r="AO308" s="32" t="inlineStr">
        <is>
          <t>0022845-08.2013.8.24.0008</t>
        </is>
      </c>
      <c r="AP308" s="32" t="inlineStr">
        <is>
          <t>TJSC</t>
        </is>
      </c>
      <c r="AQ308" s="32" t="inlineStr"/>
      <c r="AR308" s="32" t="inlineStr">
        <is>
          <t>not in DataJud</t>
        </is>
      </c>
      <c r="AS308" s="32" t="n">
        <v>2013</v>
      </c>
      <c r="AT308" s="32" t="inlineStr">
        <is>
          <t>13y since filing; plan not in our documents; case no. from the portal record, not printed on the list</t>
        </is>
      </c>
      <c r="AU308" s="32" t="inlineStr"/>
      <c r="AV308" s="32" t="inlineStr">
        <is>
          <t>portal page title / URL — not printed on the list</t>
        </is>
      </c>
      <c r="AW308" s="32" t="inlineStr"/>
      <c r="AX308" s="32" t="inlineStr">
        <is>
          <t>SAO PAULO</t>
        </is>
      </c>
      <c r="AY308" s="32" t="inlineStr">
        <is>
          <t>SP</t>
        </is>
      </c>
      <c r="AZ308" s="32" t="inlineStr">
        <is>
          <t>Bancos múltiplos, com carteira comercial</t>
        </is>
      </c>
      <c r="BA308" s="32" t="inlineStr">
        <is>
          <t>não ME/EPP</t>
        </is>
      </c>
      <c r="BB308" s="33" t="n">
        <v>8480372000</v>
      </c>
      <c r="BC308" s="32" t="inlineStr">
        <is>
          <t>LARGE CORP</t>
        </is>
      </c>
      <c r="BD308" s="32" t="inlineStr">
        <is>
          <t>59588111</t>
        </is>
      </c>
      <c r="BE308" s="32" t="n">
        <v>1</v>
      </c>
      <c r="BF308" s="32" t="inlineStr">
        <is>
          <t>financial by name</t>
        </is>
      </c>
    </row>
    <row r="309">
      <c r="A309" s="17" t="inlineStr">
        <is>
          <t>BANCO BRADESCO S.A.</t>
        </is>
      </c>
      <c r="B309" s="18" t="n">
        <v>571229.34</v>
      </c>
      <c r="C309" s="19" t="inlineStr">
        <is>
          <t>CONFECÇÕES ANDRIMALHAS LTDA</t>
        </is>
      </c>
      <c r="D309" s="20" t="inlineStr">
        <is>
          <t>NEW</t>
        </is>
      </c>
      <c r="E309" s="21" t="inlineStr"/>
      <c r="F309" s="20" t="inlineStr"/>
      <c r="G309" s="21" t="inlineStr"/>
      <c r="H309" s="20" t="inlineStr"/>
      <c r="I309" s="22" t="inlineStr">
        <is>
          <t>Marcela Martins</t>
        </is>
      </c>
      <c r="J309" s="22" t="inlineStr">
        <is>
          <t>Superintendente de Recuperação de Crédito - Canais e Operações</t>
        </is>
      </c>
      <c r="K309" s="22" t="inlineStr">
        <is>
          <t>(11) 3684-5122</t>
        </is>
      </c>
      <c r="L309" s="22" t="inlineStr"/>
      <c r="M309" s="22" t="inlineStr"/>
      <c r="N309" s="22" t="inlineStr"/>
      <c r="O309" s="22" t="inlineStr"/>
      <c r="P309" s="22" t="inlineStr">
        <is>
          <t>Luis S</t>
        </is>
      </c>
      <c r="Q309" s="22" t="inlineStr">
        <is>
          <t>DRC - Departamento de Recuperação de Crédito - Gerente de Reestruturação de Crédito</t>
        </is>
      </c>
      <c r="R309" s="22" t="inlineStr"/>
      <c r="S309" s="22" t="inlineStr">
        <is>
          <t>sl@bradesco.com.br</t>
        </is>
      </c>
      <c r="T309" s="22" t="inlineStr">
        <is>
          <t>DM: DM; no work email in Apollo for DM; BACKUP: backup</t>
        </is>
      </c>
      <c r="U309" s="24" t="n">
        <v>571229.34</v>
      </c>
      <c r="V309" s="39" t="inlineStr">
        <is>
          <t>C</t>
        </is>
      </c>
      <c r="W309" s="26" t="inlineStr"/>
      <c r="X309" s="27" t="inlineStr"/>
      <c r="Y309" s="27" t="inlineStr"/>
      <c r="Z309" s="26">
        <f>IF(W309&lt;&gt;"",W309,IFERROR(VLOOKUP(V309,Assumptions!$A$8:$F$12,2,FALSE),0))*Assumptions!$B$5</f>
        <v/>
      </c>
      <c r="AA309" s="28">
        <f>IF(V309="A",MAX(1,IF(X309&lt;&gt;"",X309,IFERROR(VLOOKUP(V309,Assumptions!$A$8:$F$12,3,FALSE),3))+IF(Y309&lt;&gt;"",Y309,IFERROR(VLOOKUP(V309,Assumptions!$A$8:$F$12,4,FALSE),8))/2-MAX(0,IF(AS309="",0,YEAR(TODAY())-AS309)-IFERROR(VLOOKUP(V309,Assumptions!$A$8:$F$12,5,FALSE),1.5))),IFERROR(VLOOKUP(V309,Assumptions!$A$8:$F$12,5,FALSE),2.5)+IF(X309&lt;&gt;"",X309,IFERROR(VLOOKUP(V309,Assumptions!$A$8:$F$12,3,FALSE),3))+IF(Y309&lt;&gt;"",Y309,IFERROR(VLOOKUP(V309,Assumptions!$A$8:$F$12,4,FALSE),8))/2)</f>
        <v/>
      </c>
      <c r="AB309" s="24">
        <f>U309*Z309/(1+Assumptions!$B$3)^AA309</f>
        <v/>
      </c>
      <c r="AC309" s="27">
        <f>IF(U309=0,"",ROUND(AB309/U309*100,1))</f>
        <v/>
      </c>
      <c r="AD309" s="29">
        <f>AB309*Assumptions!$B$4</f>
        <v/>
      </c>
      <c r="AE309" s="27">
        <f>IF(U309=0,"",ROUND(AD309/U309*100,1))</f>
        <v/>
      </c>
      <c r="AF309" s="29">
        <f>AB309-AD309</f>
        <v/>
      </c>
      <c r="AG309" s="27">
        <f>IF(U309=0,"",ROUND((AB309-AD309)/U309*100,1))</f>
        <v/>
      </c>
      <c r="AH309" s="35" t="inlineStr">
        <is>
          <t>PARTIAL — class III reconciled, other classes not</t>
        </is>
      </c>
      <c r="AI309" s="31" t="inlineStr">
        <is>
          <t>https://administradorajudicialgs.com.br/wp-content/uploads/2023/08/doc-06-relacao-credores-do-administrador-judicial-10-02-2015.pdf</t>
        </is>
      </c>
      <c r="AJ309" s="30" t="inlineStr">
        <is>
          <t>p1 r35</t>
        </is>
      </c>
      <c r="AK309" s="30" t="inlineStr">
        <is>
          <t>p1: R$ 571.229,34</t>
        </is>
      </c>
      <c r="AL309" s="30" t="inlineStr">
        <is>
          <t>AJ list (art. 7 §2)</t>
        </is>
      </c>
      <c r="AM309" s="30" t="inlineStr"/>
      <c r="AN309" s="30" t="inlineStr">
        <is>
          <t>NONE FOUND</t>
        </is>
      </c>
      <c r="AO309" s="32" t="inlineStr">
        <is>
          <t>0302174-63.2015.8.24.0025</t>
        </is>
      </c>
      <c r="AP309" s="32" t="inlineStr">
        <is>
          <t>TJSC</t>
        </is>
      </c>
      <c r="AQ309" s="32" t="inlineStr">
        <is>
          <t>Recuperação judicial</t>
        </is>
      </c>
      <c r="AR309" s="32" t="inlineStr">
        <is>
          <t>not in DataJud</t>
        </is>
      </c>
      <c r="AS309" s="32" t="n">
        <v>2015</v>
      </c>
      <c r="AT309" s="32" t="inlineStr">
        <is>
          <t>11y since filing; plan not in our documents; case no. from the portal record, not printed on the list</t>
        </is>
      </c>
      <c r="AU309" s="32" t="inlineStr"/>
      <c r="AV309" s="32" t="inlineStr">
        <is>
          <t>printed on the list (read twice)</t>
        </is>
      </c>
      <c r="AW309" s="32" t="inlineStr"/>
      <c r="AX309" s="32" t="inlineStr">
        <is>
          <t>OSASCO</t>
        </is>
      </c>
      <c r="AY309" s="32" t="inlineStr">
        <is>
          <t>SP</t>
        </is>
      </c>
      <c r="AZ309" s="32" t="inlineStr">
        <is>
          <t>Bancos múltiplos, com carteira comercial</t>
        </is>
      </c>
      <c r="BA309" s="32" t="inlineStr">
        <is>
          <t>não ME/EPP</t>
        </is>
      </c>
      <c r="BB309" s="33" t="n">
        <v>93770000000</v>
      </c>
      <c r="BC309" s="32" t="inlineStr">
        <is>
          <t>LARGE CORP</t>
        </is>
      </c>
      <c r="BD309" s="32" t="inlineStr">
        <is>
          <t>60746948</t>
        </is>
      </c>
      <c r="BE309" s="32" t="n">
        <v>1</v>
      </c>
      <c r="BF309" s="32" t="inlineStr">
        <is>
          <t>financial by name class III reconciled (doc partial)</t>
        </is>
      </c>
    </row>
    <row r="310">
      <c r="A310" s="17" t="inlineStr">
        <is>
          <t>KIRTON BANK S.A. - BANCO MULTIPLO</t>
        </is>
      </c>
      <c r="B310" s="18" t="n">
        <v>568877.29</v>
      </c>
      <c r="C310" s="19" t="inlineStr">
        <is>
          <t>DICARLO Móveis e Acessórios para Casa e Lojas Ltda</t>
        </is>
      </c>
      <c r="D310" s="20" t="inlineStr">
        <is>
          <t>NEW</t>
        </is>
      </c>
      <c r="E310" s="21" t="inlineStr"/>
      <c r="F310" s="20" t="inlineStr"/>
      <c r="G310" s="21" t="inlineStr"/>
      <c r="H310" s="20" t="inlineStr"/>
      <c r="I310" s="22" t="inlineStr">
        <is>
          <t>CLAYTON NEVES XAVIER</t>
        </is>
      </c>
      <c r="J310" s="23" t="inlineStr">
        <is>
          <t>Administrador (RFB partner)</t>
        </is>
      </c>
      <c r="K310" s="22" t="inlineStr">
        <is>
          <t>(11) 3684-3884</t>
        </is>
      </c>
      <c r="L310" s="22" t="inlineStr"/>
      <c r="M310" s="22" t="inlineStr"/>
      <c r="N310" s="22" t="inlineStr"/>
      <c r="O310" s="22" t="inlineStr"/>
      <c r="P310" s="22" t="inlineStr">
        <is>
          <t>CRISTIANO ADJUTO E CAMPOS</t>
        </is>
      </c>
      <c r="Q310" s="22" t="inlineStr">
        <is>
          <t>Administrador (RFB partner)</t>
        </is>
      </c>
      <c r="R310" s="22" t="inlineStr"/>
      <c r="S310" s="22" t="inlineStr"/>
      <c r="T310" s="22" t="inlineStr">
        <is>
          <t>DM = registered partner (RFB QSA); no Apollo match</t>
        </is>
      </c>
      <c r="U310" s="24" t="n">
        <v>568877.29</v>
      </c>
      <c r="V310" s="39" t="inlineStr">
        <is>
          <t>C</t>
        </is>
      </c>
      <c r="W310" s="26" t="inlineStr"/>
      <c r="X310" s="27" t="inlineStr"/>
      <c r="Y310" s="27" t="inlineStr"/>
      <c r="Z310" s="26">
        <f>IF(W310&lt;&gt;"",W310,IFERROR(VLOOKUP(V310,Assumptions!$A$8:$F$12,2,FALSE),0))*Assumptions!$B$5</f>
        <v/>
      </c>
      <c r="AA310" s="28">
        <f>IF(V310="A",MAX(1,IF(X310&lt;&gt;"",X310,IFERROR(VLOOKUP(V310,Assumptions!$A$8:$F$12,3,FALSE),3))+IF(Y310&lt;&gt;"",Y310,IFERROR(VLOOKUP(V310,Assumptions!$A$8:$F$12,4,FALSE),8))/2-MAX(0,IF(AS310="",0,YEAR(TODAY())-AS310)-IFERROR(VLOOKUP(V310,Assumptions!$A$8:$F$12,5,FALSE),1.5))),IFERROR(VLOOKUP(V310,Assumptions!$A$8:$F$12,5,FALSE),2.5)+IF(X310&lt;&gt;"",X310,IFERROR(VLOOKUP(V310,Assumptions!$A$8:$F$12,3,FALSE),3))+IF(Y310&lt;&gt;"",Y310,IFERROR(VLOOKUP(V310,Assumptions!$A$8:$F$12,4,FALSE),8))/2)</f>
        <v/>
      </c>
      <c r="AB310" s="24">
        <f>U310*Z310/(1+Assumptions!$B$3)^AA310</f>
        <v/>
      </c>
      <c r="AC310" s="27">
        <f>IF(U310=0,"",ROUND(AB310/U310*100,1))</f>
        <v/>
      </c>
      <c r="AD310" s="29">
        <f>AB310*Assumptions!$B$4</f>
        <v/>
      </c>
      <c r="AE310" s="27">
        <f>IF(U310=0,"",ROUND(AD310/U310*100,1))</f>
        <v/>
      </c>
      <c r="AF310" s="29">
        <f>AB310-AD310</f>
        <v/>
      </c>
      <c r="AG310" s="27">
        <f>IF(U310=0,"",ROUND((AB310-AD310)/U310*100,1))</f>
        <v/>
      </c>
      <c r="AH310" s="34" t="inlineStr">
        <is>
          <t>NO TOTALS — list prints none; check page</t>
        </is>
      </c>
      <c r="AI310" s="31" t="inlineStr">
        <is>
          <t>https://administradorajudicialgs.com.br/wp-content/uploads/2023/08/edital-quadro-geral-de-credores.pdf</t>
        </is>
      </c>
      <c r="AJ310" s="30" t="inlineStr">
        <is>
          <t>p2 r77</t>
        </is>
      </c>
      <c r="AK310" s="30" t="inlineStr">
        <is>
          <t>p2: R$ 568.877,29</t>
        </is>
      </c>
      <c r="AL310" s="30" t="inlineStr">
        <is>
          <t>QGC (art. 18)</t>
        </is>
      </c>
      <c r="AM310" s="30" t="inlineStr">
        <is>
          <t>2024-07-05</t>
        </is>
      </c>
      <c r="AN310" s="30" t="inlineStr">
        <is>
          <t>NONE FOUND</t>
        </is>
      </c>
      <c r="AO310" s="32" t="inlineStr">
        <is>
          <t>0301015-33.2016.8.24.0031</t>
        </is>
      </c>
      <c r="AP310" s="32" t="inlineStr">
        <is>
          <t>TJSC</t>
        </is>
      </c>
      <c r="AQ310" s="32" t="inlineStr">
        <is>
          <t>Recuperação judicial</t>
        </is>
      </c>
      <c r="AR310" s="32" t="inlineStr">
        <is>
          <t>not in DataJud</t>
        </is>
      </c>
      <c r="AS310" s="32" t="n">
        <v>2016</v>
      </c>
      <c r="AT310" s="32" t="inlineStr">
        <is>
          <t>10y since filing; plan not in our documents</t>
        </is>
      </c>
      <c r="AU310" s="32" t="inlineStr">
        <is>
          <t>01.314.776/0001-49</t>
        </is>
      </c>
      <c r="AV310" s="32" t="inlineStr">
        <is>
          <t>printed on the list (read twice)</t>
        </is>
      </c>
      <c r="AW310" s="32" t="inlineStr"/>
      <c r="AX310" s="32" t="inlineStr">
        <is>
          <t>OSASCO</t>
        </is>
      </c>
      <c r="AY310" s="32" t="inlineStr">
        <is>
          <t>SP</t>
        </is>
      </c>
      <c r="AZ310" s="32" t="inlineStr">
        <is>
          <t>Bancos múltiplos, com carteira comercial</t>
        </is>
      </c>
      <c r="BA310" s="32" t="inlineStr">
        <is>
          <t>não ME/EPP</t>
        </is>
      </c>
      <c r="BB310" s="33" t="n">
        <v>8778882000</v>
      </c>
      <c r="BC310" s="32" t="inlineStr">
        <is>
          <t>LARGE CORP</t>
        </is>
      </c>
      <c r="BD310" s="32" t="inlineStr">
        <is>
          <t>01701201</t>
        </is>
      </c>
      <c r="BE310" s="32" t="n">
        <v>1</v>
      </c>
      <c r="BF310" s="32" t="inlineStr">
        <is>
          <t>list prints no totals</t>
        </is>
      </c>
    </row>
    <row r="311">
      <c r="A311" s="17" t="inlineStr">
        <is>
          <t>MILANO SECURITIZADORA S.A. (</t>
        </is>
      </c>
      <c r="B311" s="18" t="n">
        <v>558919.72</v>
      </c>
      <c r="C311" s="19" t="inlineStr">
        <is>
          <t>VECTOR INDÚSTRIA DE PRODUTOS METALÚRGICOS LTDA.</t>
        </is>
      </c>
      <c r="D311" s="20" t="inlineStr">
        <is>
          <t>NEW</t>
        </is>
      </c>
      <c r="E311" s="21" t="inlineStr"/>
      <c r="F311" s="20" t="inlineStr"/>
      <c r="G311" s="21" t="inlineStr"/>
      <c r="H311" s="20" t="inlineStr"/>
      <c r="I311" s="22" t="inlineStr">
        <is>
          <t>Fabiana Peixoto</t>
        </is>
      </c>
      <c r="J311" s="22" t="inlineStr">
        <is>
          <t>Senior Sales Manager</t>
        </is>
      </c>
      <c r="K311" s="22" t="inlineStr"/>
      <c r="L311" s="22" t="inlineStr"/>
      <c r="M311" s="22" t="inlineStr"/>
      <c r="N311" s="22" t="inlineStr"/>
      <c r="O311" s="22" t="inlineStr"/>
      <c r="P311" s="22" t="inlineStr"/>
      <c r="Q311" s="22" t="inlineStr"/>
      <c r="R311" s="22" t="inlineStr"/>
      <c r="S311" s="22" t="inlineStr"/>
      <c r="T311" s="22" t="inlineStr">
        <is>
          <t>DM is not a finance role (Senior Sales Manager); DM: DM weak: sales, only person; no work email in Apollo for DM; NO ROUTE IN: no phone or email on file</t>
        </is>
      </c>
      <c r="U311" s="24" t="n">
        <v>558919.72</v>
      </c>
      <c r="V311" s="39" t="inlineStr">
        <is>
          <t>C</t>
        </is>
      </c>
      <c r="W311" s="26" t="inlineStr"/>
      <c r="X311" s="27" t="inlineStr"/>
      <c r="Y311" s="27" t="inlineStr"/>
      <c r="Z311" s="26">
        <f>IF(W311&lt;&gt;"",W311,IFERROR(VLOOKUP(V311,Assumptions!$A$8:$F$12,2,FALSE),0))*Assumptions!$B$5</f>
        <v/>
      </c>
      <c r="AA311" s="28">
        <f>IF(V311="A",MAX(1,IF(X311&lt;&gt;"",X311,IFERROR(VLOOKUP(V311,Assumptions!$A$8:$F$12,3,FALSE),3))+IF(Y311&lt;&gt;"",Y311,IFERROR(VLOOKUP(V311,Assumptions!$A$8:$F$12,4,FALSE),8))/2-MAX(0,IF(AS311="",0,YEAR(TODAY())-AS311)-IFERROR(VLOOKUP(V311,Assumptions!$A$8:$F$12,5,FALSE),1.5))),IFERROR(VLOOKUP(V311,Assumptions!$A$8:$F$12,5,FALSE),2.5)+IF(X311&lt;&gt;"",X311,IFERROR(VLOOKUP(V311,Assumptions!$A$8:$F$12,3,FALSE),3))+IF(Y311&lt;&gt;"",Y311,IFERROR(VLOOKUP(V311,Assumptions!$A$8:$F$12,4,FALSE),8))/2)</f>
        <v/>
      </c>
      <c r="AB311" s="24">
        <f>U311*Z311/(1+Assumptions!$B$3)^AA311</f>
        <v/>
      </c>
      <c r="AC311" s="27">
        <f>IF(U311=0,"",ROUND(AB311/U311*100,1))</f>
        <v/>
      </c>
      <c r="AD311" s="29">
        <f>AB311*Assumptions!$B$4</f>
        <v/>
      </c>
      <c r="AE311" s="27">
        <f>IF(U311=0,"",ROUND(AD311/U311*100,1))</f>
        <v/>
      </c>
      <c r="AF311" s="29">
        <f>AB311-AD311</f>
        <v/>
      </c>
      <c r="AG311" s="27">
        <f>IF(U311=0,"",ROUND((AB311-AD311)/U311*100,1))</f>
        <v/>
      </c>
      <c r="AH311" s="34" t="inlineStr">
        <is>
          <t>NO TOTALS — list prints none; check page</t>
        </is>
      </c>
      <c r="AI311" s="31" t="inlineStr">
        <is>
          <t>https://scalzilliaj.com.br/sgc/download.php?file=files/processo_documento/processo_documento15513401112022_1_.pdf&amp;nome=15 - Edital do art. 7º, §2º (segunda lista de credores) e do art. 53 da Lei 11.101/2005 (recebimento do plano)</t>
        </is>
      </c>
      <c r="AJ311" s="30" t="inlineStr">
        <is>
          <t>p8 r23</t>
        </is>
      </c>
      <c r="AK311" s="30" t="inlineStr">
        <is>
          <t>p8: R$ 558.919,72</t>
        </is>
      </c>
      <c r="AL311" s="30" t="inlineStr">
        <is>
          <t>AJ list (art. 7 §2)</t>
        </is>
      </c>
      <c r="AM311" s="30" t="inlineStr">
        <is>
          <t>2022-11-01</t>
        </is>
      </c>
      <c r="AN311" s="30" t="inlineStr">
        <is>
          <t>NONE FOUND</t>
        </is>
      </c>
      <c r="AO311" s="32" t="inlineStr">
        <is>
          <t>5014104-85.2021.8.21.0010</t>
        </is>
      </c>
      <c r="AP311" s="32" t="inlineStr">
        <is>
          <t>TJRS</t>
        </is>
      </c>
      <c r="AQ311" s="32" t="inlineStr">
        <is>
          <t>Recuperação judicial</t>
        </is>
      </c>
      <c r="AR311" s="32" t="inlineStr">
        <is>
          <t>DataJud: no closure/falência movement</t>
        </is>
      </c>
      <c r="AS311" s="32" t="n">
        <v>2021</v>
      </c>
      <c r="AT311" s="32" t="inlineStr">
        <is>
          <t>5y since filing; plan not in our documents</t>
        </is>
      </c>
      <c r="AU311" s="32" t="inlineStr">
        <is>
          <t>03.018.339/0001-03</t>
        </is>
      </c>
      <c r="AV311" s="32" t="inlineStr">
        <is>
          <t>printed on the list (read twice)</t>
        </is>
      </c>
      <c r="AW311" s="32" t="inlineStr"/>
      <c r="AX311" s="32" t="inlineStr"/>
      <c r="AY311" s="32" t="inlineStr"/>
      <c r="AZ311" s="32" t="inlineStr"/>
      <c r="BA311" s="32" t="inlineStr"/>
      <c r="BB311" s="33" t="inlineStr"/>
      <c r="BC311" s="32" t="inlineStr">
        <is>
          <t>UNKNOWN</t>
        </is>
      </c>
      <c r="BD311" s="32" t="inlineStr">
        <is>
          <t>27749786</t>
        </is>
      </c>
      <c r="BE311" s="32" t="n">
        <v>1</v>
      </c>
      <c r="BF311" s="32" t="inlineStr">
        <is>
          <t>financial by name list prints no totals no RFB record no route in</t>
        </is>
      </c>
    </row>
    <row r="312">
      <c r="A312" s="17" t="inlineStr">
        <is>
          <t>Banco Volvo (Brasil) S.A.</t>
        </is>
      </c>
      <c r="B312" s="18" t="n">
        <v>622937.34</v>
      </c>
      <c r="C312" s="19" t="inlineStr">
        <is>
          <t>GRUPO 3E</t>
        </is>
      </c>
      <c r="D312" s="20" t="inlineStr">
        <is>
          <t>NEW</t>
        </is>
      </c>
      <c r="E312" s="21" t="inlineStr"/>
      <c r="F312" s="20" t="inlineStr"/>
      <c r="G312" s="21" t="inlineStr"/>
      <c r="H312" s="20" t="inlineStr"/>
      <c r="I312" s="22" t="inlineStr">
        <is>
          <t>Fabio Moreira</t>
        </is>
      </c>
      <c r="J312" s="22" t="inlineStr">
        <is>
          <t>Analista Recuperação de Crédito</t>
        </is>
      </c>
      <c r="K312" s="22" t="inlineStr"/>
      <c r="L312" s="22" t="inlineStr"/>
      <c r="M312" s="22" t="inlineStr"/>
      <c r="N312" s="22" t="inlineStr">
        <is>
          <t>fabio.moreira@gasparimsantos.com.br</t>
        </is>
      </c>
      <c r="O312" s="22" t="inlineStr">
        <is>
          <t>verified</t>
        </is>
      </c>
      <c r="P312" s="22" t="inlineStr">
        <is>
          <t>Luis Fonseca</t>
        </is>
      </c>
      <c r="Q312" s="22" t="inlineStr">
        <is>
          <t>Gestor Jurídico | Recuperação de Crédito – Carteira Banco Volvo (Brasil) S/A</t>
        </is>
      </c>
      <c r="R312" s="22" t="inlineStr"/>
      <c r="S312" s="22" t="inlineStr"/>
      <c r="T312" s="22" t="inlineStr">
        <is>
          <t>DM: DM; VERIFY org: backup Luis is at law firm Alexandre N. Ferraz, Cicarelli &amp; Passold (outsourced Banco Volvo recovery portfolio); BACKUP: backup VERIFY org: law firm</t>
        </is>
      </c>
      <c r="U312" s="24" t="n">
        <v>622937.34</v>
      </c>
      <c r="V312" s="25" t="inlineStr">
        <is>
          <t>B</t>
        </is>
      </c>
      <c r="W312" s="26" t="n">
        <v>0.12</v>
      </c>
      <c r="X312" s="27" t="n">
        <v>2</v>
      </c>
      <c r="Y312" s="27" t="n">
        <v>13</v>
      </c>
      <c r="Z312" s="26">
        <f>IF(W312&lt;&gt;"",W312,IFERROR(VLOOKUP(V312,Assumptions!$A$8:$F$12,2,FALSE),0))*Assumptions!$B$5</f>
        <v/>
      </c>
      <c r="AA312" s="28">
        <f>IF(V312="A",MAX(1,IF(X312&lt;&gt;"",X312,IFERROR(VLOOKUP(V312,Assumptions!$A$8:$F$12,3,FALSE),3))+IF(Y312&lt;&gt;"",Y312,IFERROR(VLOOKUP(V312,Assumptions!$A$8:$F$12,4,FALSE),8))/2-MAX(0,IF(AS312="",0,YEAR(TODAY())-AS312)-IFERROR(VLOOKUP(V312,Assumptions!$A$8:$F$12,5,FALSE),1.5))),IFERROR(VLOOKUP(V312,Assumptions!$A$8:$F$12,5,FALSE),2.5)+IF(X312&lt;&gt;"",X312,IFERROR(VLOOKUP(V312,Assumptions!$A$8:$F$12,3,FALSE),3))+IF(Y312&lt;&gt;"",Y312,IFERROR(VLOOKUP(V312,Assumptions!$A$8:$F$12,4,FALSE),8))/2)</f>
        <v/>
      </c>
      <c r="AB312" s="24">
        <f>U312*Z312/(1+Assumptions!$B$3)^AA312</f>
        <v/>
      </c>
      <c r="AC312" s="27">
        <f>IF(U312=0,"",ROUND(AB312/U312*100,1))</f>
        <v/>
      </c>
      <c r="AD312" s="29">
        <f>AB312*Assumptions!$B$4</f>
        <v/>
      </c>
      <c r="AE312" s="27">
        <f>IF(U312=0,"",ROUND(AD312/U312*100,1))</f>
        <v/>
      </c>
      <c r="AF312" s="29">
        <f>AB312-AD312</f>
        <v/>
      </c>
      <c r="AG312" s="27">
        <f>IF(U312=0,"",ROUND((AB312-AD312)/U312*100,1))</f>
        <v/>
      </c>
      <c r="AH312" s="34" t="inlineStr">
        <is>
          <t>NO TOTALS — list prints none; check page</t>
        </is>
      </c>
      <c r="AI312" s="31" t="inlineStr">
        <is>
          <t>https://stenius.com.br/wp-content/uploads/2026/06/EDITAL-GRUPO-3E.pdf</t>
        </is>
      </c>
      <c r="AJ312" s="30" t="inlineStr">
        <is>
          <t>p10 r41</t>
        </is>
      </c>
      <c r="AK312" s="30" t="inlineStr">
        <is>
          <t>p10: R$ 622.937,34</t>
        </is>
      </c>
      <c r="AL312" s="30" t="inlineStr">
        <is>
          <t>Debtor list (art. 51)</t>
        </is>
      </c>
      <c r="AM312" s="30" t="inlineStr">
        <is>
          <t>2026-06-22</t>
        </is>
      </c>
      <c r="AN312" s="30" t="inlineStr">
        <is>
          <t>PLAN FILED (art. 53), not granted</t>
        </is>
      </c>
      <c r="AO312" s="32" t="inlineStr">
        <is>
          <t>5341375-33.2026.8.09.0049</t>
        </is>
      </c>
      <c r="AP312" s="32" t="inlineStr">
        <is>
          <t>TJGO</t>
        </is>
      </c>
      <c r="AQ312" s="32" t="inlineStr">
        <is>
          <t>Recuperação judicial</t>
        </is>
      </c>
      <c r="AR312" s="32" t="inlineStr">
        <is>
          <t>DataJud: no closure/falência movement</t>
        </is>
      </c>
      <c r="AS312" s="32" t="n">
        <v>2026</v>
      </c>
      <c r="AT312" s="32" t="inlineStr">
        <is>
          <t>plan filed (art. 53), not yet granted</t>
        </is>
      </c>
      <c r="AU312" s="32" t="inlineStr"/>
      <c r="AV312" s="32" t="inlineStr">
        <is>
          <t>printed on the list (read twice)</t>
        </is>
      </c>
      <c r="AW312" s="32" t="inlineStr">
        <is>
          <t>Plano de Recuperação Judicial Grupo 3E v2.0 (Métis), mov. 321, pp.24-25</t>
        </is>
      </c>
      <c r="AX312" s="32" t="inlineStr"/>
      <c r="AY312" s="32" t="inlineStr"/>
      <c r="AZ312" s="32" t="inlineStr"/>
      <c r="BA312" s="32" t="inlineStr"/>
      <c r="BB312" s="33" t="inlineStr"/>
      <c r="BC312" s="32" t="inlineStr">
        <is>
          <t>UNKNOWN</t>
        </is>
      </c>
      <c r="BD312" s="32" t="inlineStr">
        <is>
          <t>58017179</t>
        </is>
      </c>
      <c r="BE312" s="32" t="n">
        <v>1</v>
      </c>
      <c r="BF312" s="32" t="inlineStr">
        <is>
          <t>financial by name list prints no totals no RFB record</t>
        </is>
      </c>
    </row>
    <row r="313">
      <c r="A313" s="17" t="inlineStr">
        <is>
          <t>MAGGI ADMINISTRADORA DE CONSORCIOS LTDA</t>
        </is>
      </c>
      <c r="B313" s="18" t="n">
        <v>617038.73</v>
      </c>
      <c r="C313" s="19" t="inlineStr">
        <is>
          <t>GRUPO 3E</t>
        </is>
      </c>
      <c r="D313" s="20" t="inlineStr">
        <is>
          <t>NEW</t>
        </is>
      </c>
      <c r="E313" s="21" t="inlineStr"/>
      <c r="F313" s="20" t="inlineStr"/>
      <c r="G313" s="21" t="inlineStr"/>
      <c r="H313" s="20" t="inlineStr"/>
      <c r="I313" s="22" t="inlineStr">
        <is>
          <t>ANTONIO APARECIDO MONTEIRO DE CARVALHO</t>
        </is>
      </c>
      <c r="J313" s="23" t="inlineStr">
        <is>
          <t>Sócio-Administrador (RFB partner)</t>
        </is>
      </c>
      <c r="K313" s="22" t="inlineStr">
        <is>
          <t>(11) 4023-0001</t>
        </is>
      </c>
      <c r="L313" s="22" t="inlineStr"/>
      <c r="M313" s="22" t="inlineStr"/>
      <c r="N313" s="22" t="inlineStr"/>
      <c r="O313" s="22" t="inlineStr"/>
      <c r="P313" s="22" t="inlineStr">
        <is>
          <t>ANTONIO DE JESUS FRANCISCHINELLI</t>
        </is>
      </c>
      <c r="Q313" s="22" t="inlineStr">
        <is>
          <t>Sócio-Administrador (RFB partner)</t>
        </is>
      </c>
      <c r="R313" s="22" t="inlineStr"/>
      <c r="S313" s="22" t="inlineStr"/>
      <c r="T313" s="22" t="inlineStr">
        <is>
          <t>DM = registered partner (RFB QSA); Apollo pick demoted to backup (non-finance role)</t>
        </is>
      </c>
      <c r="U313" s="24" t="n">
        <v>617038.73</v>
      </c>
      <c r="V313" s="25" t="inlineStr">
        <is>
          <t>B</t>
        </is>
      </c>
      <c r="W313" s="26" t="n">
        <v>0.12</v>
      </c>
      <c r="X313" s="27" t="n">
        <v>2</v>
      </c>
      <c r="Y313" s="27" t="n">
        <v>13</v>
      </c>
      <c r="Z313" s="26">
        <f>IF(W313&lt;&gt;"",W313,IFERROR(VLOOKUP(V313,Assumptions!$A$8:$F$12,2,FALSE),0))*Assumptions!$B$5</f>
        <v/>
      </c>
      <c r="AA313" s="28">
        <f>IF(V313="A",MAX(1,IF(X313&lt;&gt;"",X313,IFERROR(VLOOKUP(V313,Assumptions!$A$8:$F$12,3,FALSE),3))+IF(Y313&lt;&gt;"",Y313,IFERROR(VLOOKUP(V313,Assumptions!$A$8:$F$12,4,FALSE),8))/2-MAX(0,IF(AS313="",0,YEAR(TODAY())-AS313)-IFERROR(VLOOKUP(V313,Assumptions!$A$8:$F$12,5,FALSE),1.5))),IFERROR(VLOOKUP(V313,Assumptions!$A$8:$F$12,5,FALSE),2.5)+IF(X313&lt;&gt;"",X313,IFERROR(VLOOKUP(V313,Assumptions!$A$8:$F$12,3,FALSE),3))+IF(Y313&lt;&gt;"",Y313,IFERROR(VLOOKUP(V313,Assumptions!$A$8:$F$12,4,FALSE),8))/2)</f>
        <v/>
      </c>
      <c r="AB313" s="24">
        <f>U313*Z313/(1+Assumptions!$B$3)^AA313</f>
        <v/>
      </c>
      <c r="AC313" s="27">
        <f>IF(U313=0,"",ROUND(AB313/U313*100,1))</f>
        <v/>
      </c>
      <c r="AD313" s="29">
        <f>AB313*Assumptions!$B$4</f>
        <v/>
      </c>
      <c r="AE313" s="27">
        <f>IF(U313=0,"",ROUND(AD313/U313*100,1))</f>
        <v/>
      </c>
      <c r="AF313" s="29">
        <f>AB313-AD313</f>
        <v/>
      </c>
      <c r="AG313" s="27">
        <f>IF(U313=0,"",ROUND((AB313-AD313)/U313*100,1))</f>
        <v/>
      </c>
      <c r="AH313" s="34" t="inlineStr">
        <is>
          <t>NO TOTALS — list prints none; check page</t>
        </is>
      </c>
      <c r="AI313" s="31" t="inlineStr">
        <is>
          <t>https://stenius.com.br/wp-content/uploads/2026/06/EDITAL-GRUPO-3E.pdf</t>
        </is>
      </c>
      <c r="AJ313" s="30" t="inlineStr">
        <is>
          <t>p15 r42</t>
        </is>
      </c>
      <c r="AK313" s="30" t="inlineStr">
        <is>
          <t>p15: R$ 617.038,73</t>
        </is>
      </c>
      <c r="AL313" s="30" t="inlineStr">
        <is>
          <t>Debtor list (art. 51)</t>
        </is>
      </c>
      <c r="AM313" s="30" t="inlineStr">
        <is>
          <t>2026-06-22</t>
        </is>
      </c>
      <c r="AN313" s="30" t="inlineStr">
        <is>
          <t>PLAN FILED (art. 53), not granted</t>
        </is>
      </c>
      <c r="AO313" s="32" t="inlineStr">
        <is>
          <t>5341375-33.2026.8.09.0049</t>
        </is>
      </c>
      <c r="AP313" s="32" t="inlineStr">
        <is>
          <t>TJGO</t>
        </is>
      </c>
      <c r="AQ313" s="32" t="inlineStr">
        <is>
          <t>Recuperação judicial</t>
        </is>
      </c>
      <c r="AR313" s="32" t="inlineStr">
        <is>
          <t>DataJud: no closure/falência movement</t>
        </is>
      </c>
      <c r="AS313" s="32" t="n">
        <v>2026</v>
      </c>
      <c r="AT313" s="32" t="inlineStr">
        <is>
          <t>plan filed (art. 53), not yet granted</t>
        </is>
      </c>
      <c r="AU313" s="32" t="inlineStr"/>
      <c r="AV313" s="32" t="inlineStr">
        <is>
          <t>printed on the list (read twice)</t>
        </is>
      </c>
      <c r="AW313" s="32" t="inlineStr">
        <is>
          <t>Plano de Recuperação Judicial Grupo 3E v2.0 (Métis), mov. 321, pp.24-25</t>
        </is>
      </c>
      <c r="AX313" s="32" t="inlineStr">
        <is>
          <t>ITU</t>
        </is>
      </c>
      <c r="AY313" s="32" t="inlineStr">
        <is>
          <t>SP</t>
        </is>
      </c>
      <c r="AZ313" s="32" t="inlineStr">
        <is>
          <t>Administração de consórcios para aquisição de bens e direitos</t>
        </is>
      </c>
      <c r="BA313" s="32" t="inlineStr">
        <is>
          <t>não ME/EPP</t>
        </is>
      </c>
      <c r="BB313" s="33" t="n">
        <v>8262000</v>
      </c>
      <c r="BC313" s="32" t="inlineStr">
        <is>
          <t>MID-MARKET</t>
        </is>
      </c>
      <c r="BD313" s="32" t="inlineStr">
        <is>
          <t>04250224</t>
        </is>
      </c>
      <c r="BE313" s="32" t="n">
        <v>1</v>
      </c>
      <c r="BF313" s="32" t="inlineStr">
        <is>
          <t>list prints no totals</t>
        </is>
      </c>
    </row>
    <row r="314">
      <c r="A314" s="17" t="inlineStr">
        <is>
          <t>DAX MERCANTIL SECURITIZADORA S/A</t>
        </is>
      </c>
      <c r="B314" s="18" t="n">
        <v>550679.88</v>
      </c>
      <c r="C314" s="19" t="inlineStr">
        <is>
          <t>BLUTRAFOS BLUMENAU TRANSFORMADORES LTDA</t>
        </is>
      </c>
      <c r="D314" s="20" t="inlineStr">
        <is>
          <t>NEW</t>
        </is>
      </c>
      <c r="E314" s="21" t="inlineStr"/>
      <c r="F314" s="20" t="inlineStr"/>
      <c r="G314" s="21" t="inlineStr"/>
      <c r="H314" s="20" t="inlineStr"/>
      <c r="I314" s="22" t="inlineStr">
        <is>
          <t>CARLOS GEOVANE CIRICO</t>
        </is>
      </c>
      <c r="J314" s="23" t="inlineStr">
        <is>
          <t>Diretor (RFB partner)</t>
        </is>
      </c>
      <c r="K314" s="22" t="inlineStr">
        <is>
          <t>(47) 8423-6458</t>
        </is>
      </c>
      <c r="L314" s="22" t="inlineStr"/>
      <c r="M314" s="22" t="inlineStr"/>
      <c r="N314" s="22" t="inlineStr"/>
      <c r="O314" s="22" t="inlineStr"/>
      <c r="P314" s="22" t="inlineStr"/>
      <c r="Q314" s="22" t="inlineStr"/>
      <c r="R314" s="22" t="inlineStr"/>
      <c r="S314" s="22" t="inlineStr"/>
      <c r="T314" s="22" t="inlineStr">
        <is>
          <t>DM = registered partner (RFB QSA); no Apollo match</t>
        </is>
      </c>
      <c r="U314" s="24" t="n">
        <v>550679.88</v>
      </c>
      <c r="V314" s="39" t="inlineStr">
        <is>
          <t>C</t>
        </is>
      </c>
      <c r="W314" s="26" t="inlineStr"/>
      <c r="X314" s="27" t="inlineStr"/>
      <c r="Y314" s="27" t="inlineStr"/>
      <c r="Z314" s="26">
        <f>IF(W314&lt;&gt;"",W314,IFERROR(VLOOKUP(V314,Assumptions!$A$8:$F$12,2,FALSE),0))*Assumptions!$B$5</f>
        <v/>
      </c>
      <c r="AA314" s="28">
        <f>IF(V314="A",MAX(1,IF(X314&lt;&gt;"",X314,IFERROR(VLOOKUP(V314,Assumptions!$A$8:$F$12,3,FALSE),3))+IF(Y314&lt;&gt;"",Y314,IFERROR(VLOOKUP(V314,Assumptions!$A$8:$F$12,4,FALSE),8))/2-MAX(0,IF(AS314="",0,YEAR(TODAY())-AS314)-IFERROR(VLOOKUP(V314,Assumptions!$A$8:$F$12,5,FALSE),1.5))),IFERROR(VLOOKUP(V314,Assumptions!$A$8:$F$12,5,FALSE),2.5)+IF(X314&lt;&gt;"",X314,IFERROR(VLOOKUP(V314,Assumptions!$A$8:$F$12,3,FALSE),3))+IF(Y314&lt;&gt;"",Y314,IFERROR(VLOOKUP(V314,Assumptions!$A$8:$F$12,4,FALSE),8))/2)</f>
        <v/>
      </c>
      <c r="AB314" s="24">
        <f>U314*Z314/(1+Assumptions!$B$3)^AA314</f>
        <v/>
      </c>
      <c r="AC314" s="27">
        <f>IF(U314=0,"",ROUND(AB314/U314*100,1))</f>
        <v/>
      </c>
      <c r="AD314" s="29">
        <f>AB314*Assumptions!$B$4</f>
        <v/>
      </c>
      <c r="AE314" s="27">
        <f>IF(U314=0,"",ROUND(AD314/U314*100,1))</f>
        <v/>
      </c>
      <c r="AF314" s="29">
        <f>AB314-AD314</f>
        <v/>
      </c>
      <c r="AG314" s="27">
        <f>IF(U314=0,"",ROUND((AB314-AD314)/U314*100,1))</f>
        <v/>
      </c>
      <c r="AH314" s="30" t="inlineStr">
        <is>
          <t>OK — totals reconciled</t>
        </is>
      </c>
      <c r="AI314" s="31" t="inlineStr">
        <is>
          <t>https://administradorajudicialgs.com.br/wp-content/uploads/2023/08/advogados-sgrott-doc-22-relacao-de-credores-do-administrador-judicial-classe-iii-05-02-14.pdf</t>
        </is>
      </c>
      <c r="AJ314" s="30" t="inlineStr">
        <is>
          <t>p5 r56</t>
        </is>
      </c>
      <c r="AK314" s="30" t="inlineStr">
        <is>
          <t>p5: R$ 550.679,88</t>
        </is>
      </c>
      <c r="AL314" s="30" t="inlineStr">
        <is>
          <t>Unclassified list</t>
        </is>
      </c>
      <c r="AM314" s="30" t="inlineStr"/>
      <c r="AN314" s="30" t="inlineStr">
        <is>
          <t>NONE FOUND</t>
        </is>
      </c>
      <c r="AO314" s="32" t="inlineStr">
        <is>
          <t>0022845-08.2013.8.24.0008</t>
        </is>
      </c>
      <c r="AP314" s="32" t="inlineStr">
        <is>
          <t>TJSC</t>
        </is>
      </c>
      <c r="AQ314" s="32" t="inlineStr"/>
      <c r="AR314" s="32" t="inlineStr">
        <is>
          <t>not in DataJud</t>
        </is>
      </c>
      <c r="AS314" s="32" t="n">
        <v>2013</v>
      </c>
      <c r="AT314" s="32" t="inlineStr">
        <is>
          <t>13y since filing; plan not in our documents; case no. from the portal record, not printed on the list</t>
        </is>
      </c>
      <c r="AU314" s="32" t="inlineStr"/>
      <c r="AV314" s="32" t="inlineStr">
        <is>
          <t>portal page title / URL — not printed on the list</t>
        </is>
      </c>
      <c r="AW314" s="32" t="inlineStr"/>
      <c r="AX314" s="32" t="inlineStr">
        <is>
          <t>JARAGUA DO SUL</t>
        </is>
      </c>
      <c r="AY314" s="32" t="inlineStr">
        <is>
          <t>SC</t>
        </is>
      </c>
      <c r="AZ314" s="32" t="inlineStr">
        <is>
          <t>Securitização de créditos</t>
        </is>
      </c>
      <c r="BA314" s="32" t="inlineStr">
        <is>
          <t>não ME/EPP</t>
        </is>
      </c>
      <c r="BB314" s="33" t="n">
        <v>6000000</v>
      </c>
      <c r="BC314" s="32" t="inlineStr">
        <is>
          <t>MID-MARKET</t>
        </is>
      </c>
      <c r="BD314" s="32" t="inlineStr">
        <is>
          <t>08928243</t>
        </is>
      </c>
      <c r="BE314" s="32" t="n">
        <v>1</v>
      </c>
      <c r="BF314" s="32" t="inlineStr"/>
    </row>
    <row r="315">
      <c r="A315" s="17" t="inlineStr">
        <is>
          <t>CONSORCIO BLUMENAU NORTE SHOPPING</t>
        </is>
      </c>
      <c r="B315" s="18" t="n">
        <v>542733.59</v>
      </c>
      <c r="C315" s="19" t="inlineStr">
        <is>
          <t>BLUTRAFOS BLUMENAU TRANSFORMADORES LTDA</t>
        </is>
      </c>
      <c r="D315" s="20" t="inlineStr">
        <is>
          <t>NEW</t>
        </is>
      </c>
      <c r="E315" s="21" t="inlineStr"/>
      <c r="F315" s="20" t="inlineStr"/>
      <c r="G315" s="21" t="inlineStr"/>
      <c r="H315" s="20" t="inlineStr"/>
      <c r="I315" s="22" t="inlineStr">
        <is>
          <t>Giuliano Bragaglia</t>
        </is>
      </c>
      <c r="J315" s="22" t="inlineStr">
        <is>
          <t>Superintendente Norte Shopping Blumenau</t>
        </is>
      </c>
      <c r="K315" s="22" t="inlineStr"/>
      <c r="L315" s="22" t="inlineStr"/>
      <c r="M315" s="22" t="inlineStr"/>
      <c r="N315" s="22" t="inlineStr"/>
      <c r="O315" s="22" t="inlineStr"/>
      <c r="P315" s="22" t="inlineStr"/>
      <c r="Q315" s="22" t="inlineStr"/>
      <c r="R315" s="22" t="inlineStr"/>
      <c r="S315" s="22" t="inlineStr"/>
      <c r="T315" s="22" t="inlineStr">
        <is>
          <t>DM: DM VERIFY org: Almeida Junior; VERIFY org: Almeida Junior Shopping Centers (operator of Norte Shopping Blumenau); superintendent; no work email in Apollo for DM; NO ROUTE IN: no phone or email on file</t>
        </is>
      </c>
      <c r="U315" s="24" t="n">
        <v>542733.59</v>
      </c>
      <c r="V315" s="39" t="inlineStr">
        <is>
          <t>C</t>
        </is>
      </c>
      <c r="W315" s="26" t="inlineStr"/>
      <c r="X315" s="27" t="inlineStr"/>
      <c r="Y315" s="27" t="inlineStr"/>
      <c r="Z315" s="26">
        <f>IF(W315&lt;&gt;"",W315,IFERROR(VLOOKUP(V315,Assumptions!$A$8:$F$12,2,FALSE),0))*Assumptions!$B$5</f>
        <v/>
      </c>
      <c r="AA315" s="28">
        <f>IF(V315="A",MAX(1,IF(X315&lt;&gt;"",X315,IFERROR(VLOOKUP(V315,Assumptions!$A$8:$F$12,3,FALSE),3))+IF(Y315&lt;&gt;"",Y315,IFERROR(VLOOKUP(V315,Assumptions!$A$8:$F$12,4,FALSE),8))/2-MAX(0,IF(AS315="",0,YEAR(TODAY())-AS315)-IFERROR(VLOOKUP(V315,Assumptions!$A$8:$F$12,5,FALSE),1.5))),IFERROR(VLOOKUP(V315,Assumptions!$A$8:$F$12,5,FALSE),2.5)+IF(X315&lt;&gt;"",X315,IFERROR(VLOOKUP(V315,Assumptions!$A$8:$F$12,3,FALSE),3))+IF(Y315&lt;&gt;"",Y315,IFERROR(VLOOKUP(V315,Assumptions!$A$8:$F$12,4,FALSE),8))/2)</f>
        <v/>
      </c>
      <c r="AB315" s="24">
        <f>U315*Z315/(1+Assumptions!$B$3)^AA315</f>
        <v/>
      </c>
      <c r="AC315" s="27">
        <f>IF(U315=0,"",ROUND(AB315/U315*100,1))</f>
        <v/>
      </c>
      <c r="AD315" s="29">
        <f>AB315*Assumptions!$B$4</f>
        <v/>
      </c>
      <c r="AE315" s="27">
        <f>IF(U315=0,"",ROUND(AD315/U315*100,1))</f>
        <v/>
      </c>
      <c r="AF315" s="29">
        <f>AB315-AD315</f>
        <v/>
      </c>
      <c r="AG315" s="27">
        <f>IF(U315=0,"",ROUND((AB315-AD315)/U315*100,1))</f>
        <v/>
      </c>
      <c r="AH315" s="30" t="inlineStr">
        <is>
          <t>OK — totals reconciled</t>
        </is>
      </c>
      <c r="AI315" s="31" t="inlineStr">
        <is>
          <t>https://administradorajudicialgs.com.br/wp-content/uploads/2023/08/advogados-sgrott-doc-22-relacao-de-credores-do-administrador-judicial-classe-iii-05-02-14.pdf</t>
        </is>
      </c>
      <c r="AJ315" s="30" t="inlineStr">
        <is>
          <t>p2 r13</t>
        </is>
      </c>
      <c r="AK315" s="30" t="inlineStr">
        <is>
          <t>p2: R$ 542.733,59</t>
        </is>
      </c>
      <c r="AL315" s="30" t="inlineStr">
        <is>
          <t>Unclassified list</t>
        </is>
      </c>
      <c r="AM315" s="30" t="inlineStr"/>
      <c r="AN315" s="30" t="inlineStr">
        <is>
          <t>NONE FOUND</t>
        </is>
      </c>
      <c r="AO315" s="32" t="inlineStr">
        <is>
          <t>0022845-08.2013.8.24.0008</t>
        </is>
      </c>
      <c r="AP315" s="32" t="inlineStr">
        <is>
          <t>TJSC</t>
        </is>
      </c>
      <c r="AQ315" s="32" t="inlineStr"/>
      <c r="AR315" s="32" t="inlineStr">
        <is>
          <t>not in DataJud</t>
        </is>
      </c>
      <c r="AS315" s="32" t="n">
        <v>2013</v>
      </c>
      <c r="AT315" s="32" t="inlineStr">
        <is>
          <t>13y since filing; plan not in our documents; case no. from the portal record, not printed on the list</t>
        </is>
      </c>
      <c r="AU315" s="32" t="inlineStr"/>
      <c r="AV315" s="32" t="inlineStr">
        <is>
          <t>portal page title / URL — not printed on the list</t>
        </is>
      </c>
      <c r="AW315" s="32" t="inlineStr"/>
      <c r="AX315" s="32" t="inlineStr"/>
      <c r="AY315" s="32" t="inlineStr"/>
      <c r="AZ315" s="32" t="inlineStr"/>
      <c r="BA315" s="32" t="inlineStr"/>
      <c r="BB315" s="33" t="inlineStr"/>
      <c r="BC315" s="32" t="inlineStr">
        <is>
          <t>UNKNOWN</t>
        </is>
      </c>
      <c r="BD315" s="32" t="inlineStr">
        <is>
          <t>14064928</t>
        </is>
      </c>
      <c r="BE315" s="32" t="n">
        <v>1</v>
      </c>
      <c r="BF315" s="32" t="inlineStr">
        <is>
          <t>financial by name no RFB record no route in</t>
        </is>
      </c>
    </row>
    <row r="316">
      <c r="A316" s="17" t="inlineStr">
        <is>
          <t>CREDIT BRASIL FUNDO DE INVESTIMENTO EM DIREITOS CREDITORIOS MULTISSETORIAL MASTER - EM LIQUIDACAO</t>
        </is>
      </c>
      <c r="B316" s="18" t="n">
        <v>526332.66</v>
      </c>
      <c r="C316" s="19" t="inlineStr">
        <is>
          <t>BLUTRAFOS BLUMENAU TRANSFORMADORES LTDA</t>
        </is>
      </c>
      <c r="D316" s="20" t="inlineStr">
        <is>
          <t>NEW</t>
        </is>
      </c>
      <c r="E316" s="21" t="inlineStr"/>
      <c r="F316" s="20" t="inlineStr"/>
      <c r="G316" s="21" t="inlineStr"/>
      <c r="H316" s="20" t="inlineStr"/>
      <c r="I316" s="22" t="inlineStr">
        <is>
          <t>Marcelo Brasil</t>
        </is>
      </c>
      <c r="J316" s="22" t="inlineStr">
        <is>
          <t>Chief Operating Officer</t>
        </is>
      </c>
      <c r="K316" s="22" t="inlineStr">
        <is>
          <t>(41) 3074-0909</t>
        </is>
      </c>
      <c r="L316" s="22" t="inlineStr"/>
      <c r="M316" s="22" t="inlineStr"/>
      <c r="N316" s="22" t="inlineStr">
        <is>
          <t>marcelo@ksfidc.com.br</t>
        </is>
      </c>
      <c r="O316" s="22" t="inlineStr">
        <is>
          <t>verified</t>
        </is>
      </c>
      <c r="P316" s="22" t="inlineStr"/>
      <c r="Q316" s="22" t="inlineStr"/>
      <c r="R316" s="22" t="inlineStr"/>
      <c r="S316" s="22" t="inlineStr"/>
      <c r="T316" s="22" t="inlineStr">
        <is>
          <t>DM is not a finance role (Chief Operating Officer); DM: DM verified email; Apollo org 'KS FIDC - Credit funds' - VERIFY org (fund em liquidação; may be unrelated)</t>
        </is>
      </c>
      <c r="U316" s="24" t="n">
        <v>526332.66</v>
      </c>
      <c r="V316" s="39" t="inlineStr">
        <is>
          <t>C</t>
        </is>
      </c>
      <c r="W316" s="26" t="inlineStr"/>
      <c r="X316" s="27" t="inlineStr"/>
      <c r="Y316" s="27" t="inlineStr"/>
      <c r="Z316" s="26">
        <f>IF(W316&lt;&gt;"",W316,IFERROR(VLOOKUP(V316,Assumptions!$A$8:$F$12,2,FALSE),0))*Assumptions!$B$5</f>
        <v/>
      </c>
      <c r="AA316" s="28">
        <f>IF(V316="A",MAX(1,IF(X316&lt;&gt;"",X316,IFERROR(VLOOKUP(V316,Assumptions!$A$8:$F$12,3,FALSE),3))+IF(Y316&lt;&gt;"",Y316,IFERROR(VLOOKUP(V316,Assumptions!$A$8:$F$12,4,FALSE),8))/2-MAX(0,IF(AS316="",0,YEAR(TODAY())-AS316)-IFERROR(VLOOKUP(V316,Assumptions!$A$8:$F$12,5,FALSE),1.5))),IFERROR(VLOOKUP(V316,Assumptions!$A$8:$F$12,5,FALSE),2.5)+IF(X316&lt;&gt;"",X316,IFERROR(VLOOKUP(V316,Assumptions!$A$8:$F$12,3,FALSE),3))+IF(Y316&lt;&gt;"",Y316,IFERROR(VLOOKUP(V316,Assumptions!$A$8:$F$12,4,FALSE),8))/2)</f>
        <v/>
      </c>
      <c r="AB316" s="24">
        <f>U316*Z316/(1+Assumptions!$B$3)^AA316</f>
        <v/>
      </c>
      <c r="AC316" s="27">
        <f>IF(U316=0,"",ROUND(AB316/U316*100,1))</f>
        <v/>
      </c>
      <c r="AD316" s="29">
        <f>AB316*Assumptions!$B$4</f>
        <v/>
      </c>
      <c r="AE316" s="27">
        <f>IF(U316=0,"",ROUND(AD316/U316*100,1))</f>
        <v/>
      </c>
      <c r="AF316" s="29">
        <f>AB316-AD316</f>
        <v/>
      </c>
      <c r="AG316" s="27">
        <f>IF(U316=0,"",ROUND((AB316-AD316)/U316*100,1))</f>
        <v/>
      </c>
      <c r="AH316" s="30" t="inlineStr">
        <is>
          <t>OK — totals reconciled</t>
        </is>
      </c>
      <c r="AI316" s="31" t="inlineStr">
        <is>
          <t>https://administradorajudicialgs.com.br/wp-content/uploads/2023/08/advogados-sgrott-doc-22-relacao-de-credores-do-administrador-judicial-classe-iii-05-02-14.pdf</t>
        </is>
      </c>
      <c r="AJ316" s="30" t="inlineStr">
        <is>
          <t>p2 r20</t>
        </is>
      </c>
      <c r="AK316" s="30" t="inlineStr">
        <is>
          <t>p2: R$ 526.332,66</t>
        </is>
      </c>
      <c r="AL316" s="30" t="inlineStr">
        <is>
          <t>Unclassified list</t>
        </is>
      </c>
      <c r="AM316" s="30" t="inlineStr"/>
      <c r="AN316" s="30" t="inlineStr">
        <is>
          <t>NONE FOUND</t>
        </is>
      </c>
      <c r="AO316" s="32" t="inlineStr">
        <is>
          <t>0022845-08.2013.8.24.0008</t>
        </is>
      </c>
      <c r="AP316" s="32" t="inlineStr">
        <is>
          <t>TJSC</t>
        </is>
      </c>
      <c r="AQ316" s="32" t="inlineStr"/>
      <c r="AR316" s="32" t="inlineStr">
        <is>
          <t>not in DataJud</t>
        </is>
      </c>
      <c r="AS316" s="32" t="n">
        <v>2013</v>
      </c>
      <c r="AT316" s="32" t="inlineStr">
        <is>
          <t>13y since filing; plan not in our documents; case no. from the portal record, not printed on the list</t>
        </is>
      </c>
      <c r="AU316" s="32" t="inlineStr"/>
      <c r="AV316" s="32" t="inlineStr">
        <is>
          <t>portal page title / URL — not printed on the list</t>
        </is>
      </c>
      <c r="AW316" s="32" t="inlineStr"/>
      <c r="AX316" s="32" t="inlineStr">
        <is>
          <t>SAO PAULO</t>
        </is>
      </c>
      <c r="AY316" s="32" t="inlineStr">
        <is>
          <t>SP</t>
        </is>
      </c>
      <c r="AZ316" s="32" t="inlineStr">
        <is>
          <t>Fundos de investimento, exceto previdenciários e imobiliários</t>
        </is>
      </c>
      <c r="BA316" s="32" t="inlineStr">
        <is>
          <t>não ME/EPP</t>
        </is>
      </c>
      <c r="BB316" s="33" t="inlineStr"/>
      <c r="BC316" s="32" t="inlineStr">
        <is>
          <t>UNKNOWN</t>
        </is>
      </c>
      <c r="BD316" s="32" t="inlineStr">
        <is>
          <t>12144737</t>
        </is>
      </c>
      <c r="BE316" s="32" t="n">
        <v>1</v>
      </c>
      <c r="BF316" s="32" t="inlineStr"/>
    </row>
    <row r="317">
      <c r="A317" s="17" t="inlineStr">
        <is>
          <t>PHD FUNDO DE INVESTIMENTO EM DIREITOS CREDITÓRIOS (</t>
        </is>
      </c>
      <c r="B317" s="18" t="n">
        <v>521700.43</v>
      </c>
      <c r="C317" s="19" t="inlineStr">
        <is>
          <t>VECTOR INDÚSTRIA DE PRODUTOS METALÚRGICOS LTDA.</t>
        </is>
      </c>
      <c r="D317" s="20" t="inlineStr">
        <is>
          <t>NEW</t>
        </is>
      </c>
      <c r="E317" s="21" t="inlineStr"/>
      <c r="F317" s="20" t="inlineStr"/>
      <c r="G317" s="21" t="inlineStr"/>
      <c r="H317" s="20" t="inlineStr"/>
      <c r="I317" s="22" t="inlineStr"/>
      <c r="J317" s="22" t="inlineStr"/>
      <c r="K317" s="22" t="inlineStr"/>
      <c r="L317" s="22" t="inlineStr"/>
      <c r="M317" s="22" t="inlineStr"/>
      <c r="N317" s="22" t="inlineStr"/>
      <c r="O317" s="22" t="inlineStr"/>
      <c r="P317" s="22" t="inlineStr"/>
      <c r="Q317" s="22" t="inlineStr"/>
      <c r="R317" s="22" t="inlineStr"/>
      <c r="S317" s="22" t="inlineStr"/>
      <c r="T317" s="22" t="inlineStr">
        <is>
          <t>no named contact found; NO ROUTE IN: no phone or email on file</t>
        </is>
      </c>
      <c r="U317" s="24" t="n">
        <v>521700.43</v>
      </c>
      <c r="V317" s="39" t="inlineStr">
        <is>
          <t>C</t>
        </is>
      </c>
      <c r="W317" s="26" t="inlineStr"/>
      <c r="X317" s="27" t="inlineStr"/>
      <c r="Y317" s="27" t="inlineStr"/>
      <c r="Z317" s="26">
        <f>IF(W317&lt;&gt;"",W317,IFERROR(VLOOKUP(V317,Assumptions!$A$8:$F$12,2,FALSE),0))*Assumptions!$B$5</f>
        <v/>
      </c>
      <c r="AA317" s="28">
        <f>IF(V317="A",MAX(1,IF(X317&lt;&gt;"",X317,IFERROR(VLOOKUP(V317,Assumptions!$A$8:$F$12,3,FALSE),3))+IF(Y317&lt;&gt;"",Y317,IFERROR(VLOOKUP(V317,Assumptions!$A$8:$F$12,4,FALSE),8))/2-MAX(0,IF(AS317="",0,YEAR(TODAY())-AS317)-IFERROR(VLOOKUP(V317,Assumptions!$A$8:$F$12,5,FALSE),1.5))),IFERROR(VLOOKUP(V317,Assumptions!$A$8:$F$12,5,FALSE),2.5)+IF(X317&lt;&gt;"",X317,IFERROR(VLOOKUP(V317,Assumptions!$A$8:$F$12,3,FALSE),3))+IF(Y317&lt;&gt;"",Y317,IFERROR(VLOOKUP(V317,Assumptions!$A$8:$F$12,4,FALSE),8))/2)</f>
        <v/>
      </c>
      <c r="AB317" s="24">
        <f>U317*Z317/(1+Assumptions!$B$3)^AA317</f>
        <v/>
      </c>
      <c r="AC317" s="27">
        <f>IF(U317=0,"",ROUND(AB317/U317*100,1))</f>
        <v/>
      </c>
      <c r="AD317" s="29">
        <f>AB317*Assumptions!$B$4</f>
        <v/>
      </c>
      <c r="AE317" s="27">
        <f>IF(U317=0,"",ROUND(AD317/U317*100,1))</f>
        <v/>
      </c>
      <c r="AF317" s="29">
        <f>AB317-AD317</f>
        <v/>
      </c>
      <c r="AG317" s="27">
        <f>IF(U317=0,"",ROUND((AB317-AD317)/U317*100,1))</f>
        <v/>
      </c>
      <c r="AH317" s="34" t="inlineStr">
        <is>
          <t>NO TOTALS — list prints none; check page</t>
        </is>
      </c>
      <c r="AI317" s="31" t="inlineStr">
        <is>
          <t>https://scalzilliaj.com.br/sgc/download.php?file=files/processo_documento/processo_documento15513401112022_1_.pdf&amp;nome=15 - Edital do art. 7º, §2º (segunda lista de credores) e do art. 53 da Lei 11.101/2005 (recebimento do plano)</t>
        </is>
      </c>
      <c r="AJ317" s="30" t="inlineStr">
        <is>
          <t>p9 r4</t>
        </is>
      </c>
      <c r="AK317" s="30" t="inlineStr">
        <is>
          <t>p9: R$ 521.700,43</t>
        </is>
      </c>
      <c r="AL317" s="30" t="inlineStr">
        <is>
          <t>AJ list (art. 7 §2)</t>
        </is>
      </c>
      <c r="AM317" s="30" t="inlineStr">
        <is>
          <t>2022-11-01</t>
        </is>
      </c>
      <c r="AN317" s="30" t="inlineStr">
        <is>
          <t>NONE FOUND</t>
        </is>
      </c>
      <c r="AO317" s="32" t="inlineStr">
        <is>
          <t>5014104-85.2021.8.21.0010</t>
        </is>
      </c>
      <c r="AP317" s="32" t="inlineStr">
        <is>
          <t>TJRS</t>
        </is>
      </c>
      <c r="AQ317" s="32" t="inlineStr">
        <is>
          <t>Recuperação judicial</t>
        </is>
      </c>
      <c r="AR317" s="32" t="inlineStr">
        <is>
          <t>DataJud: no closure/falência movement</t>
        </is>
      </c>
      <c r="AS317" s="32" t="n">
        <v>2021</v>
      </c>
      <c r="AT317" s="32" t="inlineStr">
        <is>
          <t>5y since filing; plan not in our documents</t>
        </is>
      </c>
      <c r="AU317" s="32" t="inlineStr">
        <is>
          <t>03.018.339/0001-03</t>
        </is>
      </c>
      <c r="AV317" s="32" t="inlineStr">
        <is>
          <t>printed on the list (read twice)</t>
        </is>
      </c>
      <c r="AW317" s="32" t="inlineStr"/>
      <c r="AX317" s="32" t="inlineStr"/>
      <c r="AY317" s="32" t="inlineStr"/>
      <c r="AZ317" s="32" t="inlineStr"/>
      <c r="BA317" s="32" t="inlineStr"/>
      <c r="BB317" s="33" t="inlineStr"/>
      <c r="BC317" s="32" t="inlineStr">
        <is>
          <t>UNKNOWN</t>
        </is>
      </c>
      <c r="BD317" s="32" t="inlineStr">
        <is>
          <t>39769038</t>
        </is>
      </c>
      <c r="BE317" s="32" t="n">
        <v>1</v>
      </c>
      <c r="BF317" s="32" t="inlineStr">
        <is>
          <t>financial by name list prints no totals no RFB record no route in</t>
        </is>
      </c>
    </row>
    <row r="318">
      <c r="A318" s="17" t="inlineStr">
        <is>
          <t>ITAU UNIBANCO S.A.</t>
        </is>
      </c>
      <c r="B318" s="18" t="n">
        <v>503296.89</v>
      </c>
      <c r="C318" s="19" t="inlineStr">
        <is>
          <t>Roque Materiais para Construção</t>
        </is>
      </c>
      <c r="D318" s="20" t="inlineStr">
        <is>
          <t>NEW</t>
        </is>
      </c>
      <c r="E318" s="21" t="inlineStr"/>
      <c r="F318" s="20" t="inlineStr"/>
      <c r="G318" s="21" t="inlineStr"/>
      <c r="H318" s="20" t="inlineStr"/>
      <c r="I318" s="22" t="inlineStr">
        <is>
          <t>Murilo Gigliucci</t>
        </is>
      </c>
      <c r="J318" s="22" t="inlineStr">
        <is>
          <t>Superintendente de Reestruturação de Crédito</t>
        </is>
      </c>
      <c r="K318" s="22" t="inlineStr">
        <is>
          <t>(11) 3003-4828</t>
        </is>
      </c>
      <c r="L318" s="22" t="inlineStr"/>
      <c r="M318" s="22" t="inlineStr"/>
      <c r="N318" s="22" t="inlineStr">
        <is>
          <t>murilo.gigliucci@itau-unibanco.com.br</t>
        </is>
      </c>
      <c r="O318" s="22" t="inlineStr">
        <is>
          <t>verified</t>
        </is>
      </c>
      <c r="P318" s="22" t="inlineStr">
        <is>
          <t>Pedro Ornellas</t>
        </is>
      </c>
      <c r="Q318" s="22" t="inlineStr">
        <is>
          <t>Superintendente de Recuperação de Crédito</t>
        </is>
      </c>
      <c r="R318" s="22" t="inlineStr"/>
      <c r="S318" s="22" t="inlineStr">
        <is>
          <t>pedro.ornellas-geronimo@itau-unibanco.com.br</t>
        </is>
      </c>
      <c r="T318" s="22" t="inlineStr">
        <is>
          <t>DM: DM verified email; BACKUP: backup verified email</t>
        </is>
      </c>
      <c r="U318" s="24" t="n">
        <v>503296.89</v>
      </c>
      <c r="V318" s="39" t="inlineStr">
        <is>
          <t>C</t>
        </is>
      </c>
      <c r="W318" s="26" t="inlineStr"/>
      <c r="X318" s="27" t="inlineStr"/>
      <c r="Y318" s="27" t="inlineStr"/>
      <c r="Z318" s="26">
        <f>IF(W318&lt;&gt;"",W318,IFERROR(VLOOKUP(V318,Assumptions!$A$8:$F$12,2,FALSE),0))*Assumptions!$B$5</f>
        <v/>
      </c>
      <c r="AA318" s="28">
        <f>IF(V318="A",MAX(1,IF(X318&lt;&gt;"",X318,IFERROR(VLOOKUP(V318,Assumptions!$A$8:$F$12,3,FALSE),3))+IF(Y318&lt;&gt;"",Y318,IFERROR(VLOOKUP(V318,Assumptions!$A$8:$F$12,4,FALSE),8))/2-MAX(0,IF(AS318="",0,YEAR(TODAY())-AS318)-IFERROR(VLOOKUP(V318,Assumptions!$A$8:$F$12,5,FALSE),1.5))),IFERROR(VLOOKUP(V318,Assumptions!$A$8:$F$12,5,FALSE),2.5)+IF(X318&lt;&gt;"",X318,IFERROR(VLOOKUP(V318,Assumptions!$A$8:$F$12,3,FALSE),3))+IF(Y318&lt;&gt;"",Y318,IFERROR(VLOOKUP(V318,Assumptions!$A$8:$F$12,4,FALSE),8))/2)</f>
        <v/>
      </c>
      <c r="AB318" s="24">
        <f>U318*Z318/(1+Assumptions!$B$3)^AA318</f>
        <v/>
      </c>
      <c r="AC318" s="27">
        <f>IF(U318=0,"",ROUND(AB318/U318*100,1))</f>
        <v/>
      </c>
      <c r="AD318" s="29">
        <f>AB318*Assumptions!$B$4</f>
        <v/>
      </c>
      <c r="AE318" s="27">
        <f>IF(U318=0,"",ROUND(AD318/U318*100,1))</f>
        <v/>
      </c>
      <c r="AF318" s="29">
        <f>AB318-AD318</f>
        <v/>
      </c>
      <c r="AG318" s="27">
        <f>IF(U318=0,"",ROUND((AB318-AD318)/U318*100,1))</f>
        <v/>
      </c>
      <c r="AH318" s="30" t="inlineStr">
        <is>
          <t>OK — totals reconciled</t>
        </is>
      </c>
      <c r="AI318" s="31" t="inlineStr">
        <is>
          <t>https://realbrasil.com.br/wp-content/uploads/2018/06/2_LISTA-DE-CREDORES-DA-RECUPERANDA_ROQUE.pdf</t>
        </is>
      </c>
      <c r="AJ318" s="30" t="inlineStr">
        <is>
          <t>p2 r7</t>
        </is>
      </c>
      <c r="AK318" s="30" t="inlineStr">
        <is>
          <t>p2: R$ 503.296,89</t>
        </is>
      </c>
      <c r="AL318" s="30" t="inlineStr">
        <is>
          <t>Unclassified list</t>
        </is>
      </c>
      <c r="AM318" s="30" t="inlineStr"/>
      <c r="AN318" s="30" t="inlineStr">
        <is>
          <t>NONE FOUND</t>
        </is>
      </c>
      <c r="AO318" s="32" t="inlineStr">
        <is>
          <t>0802426-35.2019.8.10.0000</t>
        </is>
      </c>
      <c r="AP318" s="32" t="inlineStr">
        <is>
          <t>TJMA</t>
        </is>
      </c>
      <c r="AQ318" s="32" t="inlineStr"/>
      <c r="AR318" s="32" t="inlineStr">
        <is>
          <t>not in DataJud</t>
        </is>
      </c>
      <c r="AS318" s="32" t="n">
        <v>2019</v>
      </c>
      <c r="AT318" s="32" t="inlineStr">
        <is>
          <t>7y since filing; plan not in our documents; case no. from the portal record, not printed on the list</t>
        </is>
      </c>
      <c r="AU318" s="32" t="inlineStr"/>
      <c r="AV318" s="32" t="inlineStr">
        <is>
          <t>portal page title / URL — not printed on the list</t>
        </is>
      </c>
      <c r="AW318" s="32" t="inlineStr"/>
      <c r="AX318" s="32" t="inlineStr">
        <is>
          <t>SAO PAULO</t>
        </is>
      </c>
      <c r="AY318" s="32" t="inlineStr">
        <is>
          <t>SP</t>
        </is>
      </c>
      <c r="AZ318" s="32" t="inlineStr">
        <is>
          <t>Bancos comerciais</t>
        </is>
      </c>
      <c r="BA318" s="32" t="inlineStr">
        <is>
          <t>não ME/EPP</t>
        </is>
      </c>
      <c r="BB318" s="33" t="n">
        <v>76200000000</v>
      </c>
      <c r="BC318" s="32" t="inlineStr">
        <is>
          <t>LARGE CORP</t>
        </is>
      </c>
      <c r="BD318" s="32" t="inlineStr">
        <is>
          <t>60701190</t>
        </is>
      </c>
      <c r="BE318" s="32" t="n">
        <v>1</v>
      </c>
      <c r="BF318" s="32" t="inlineStr"/>
    </row>
    <row r="319">
      <c r="A319" s="17" t="inlineStr">
        <is>
          <t>ARTEMUS FUNDO DE INVESTIMENTO EM DIREITOS CREDITORIOS MULTISSETORIAL (</t>
        </is>
      </c>
      <c r="B319" s="18" t="n">
        <v>440967.31</v>
      </c>
      <c r="C319" s="19" t="inlineStr">
        <is>
          <t>VECTOR INDÚSTRIA DE PRODUTOS METALÚRGICOS LTDA.</t>
        </is>
      </c>
      <c r="D319" s="20" t="inlineStr">
        <is>
          <t>NEW</t>
        </is>
      </c>
      <c r="E319" s="21" t="inlineStr"/>
      <c r="F319" s="20" t="inlineStr"/>
      <c r="G319" s="21" t="inlineStr"/>
      <c r="H319" s="20" t="inlineStr"/>
      <c r="I319" s="22" t="inlineStr"/>
      <c r="J319" s="22" t="inlineStr"/>
      <c r="K319" s="22" t="inlineStr"/>
      <c r="L319" s="22" t="inlineStr"/>
      <c r="M319" s="22" t="inlineStr"/>
      <c r="N319" s="22" t="inlineStr"/>
      <c r="O319" s="22" t="inlineStr"/>
      <c r="P319" s="22" t="inlineStr"/>
      <c r="Q319" s="22" t="inlineStr"/>
      <c r="R319" s="22" t="inlineStr"/>
      <c r="S319" s="22" t="inlineStr"/>
      <c r="T319" s="22" t="inlineStr">
        <is>
          <t>no named contact found; NO ROUTE IN: no phone or email on file</t>
        </is>
      </c>
      <c r="U319" s="24" t="n">
        <v>440967.31</v>
      </c>
      <c r="V319" s="39" t="inlineStr">
        <is>
          <t>C</t>
        </is>
      </c>
      <c r="W319" s="26" t="inlineStr"/>
      <c r="X319" s="27" t="inlineStr"/>
      <c r="Y319" s="27" t="inlineStr"/>
      <c r="Z319" s="26">
        <f>IF(W319&lt;&gt;"",W319,IFERROR(VLOOKUP(V319,Assumptions!$A$8:$F$12,2,FALSE),0))*Assumptions!$B$5</f>
        <v/>
      </c>
      <c r="AA319" s="28">
        <f>IF(V319="A",MAX(1,IF(X319&lt;&gt;"",X319,IFERROR(VLOOKUP(V319,Assumptions!$A$8:$F$12,3,FALSE),3))+IF(Y319&lt;&gt;"",Y319,IFERROR(VLOOKUP(V319,Assumptions!$A$8:$F$12,4,FALSE),8))/2-MAX(0,IF(AS319="",0,YEAR(TODAY())-AS319)-IFERROR(VLOOKUP(V319,Assumptions!$A$8:$F$12,5,FALSE),1.5))),IFERROR(VLOOKUP(V319,Assumptions!$A$8:$F$12,5,FALSE),2.5)+IF(X319&lt;&gt;"",X319,IFERROR(VLOOKUP(V319,Assumptions!$A$8:$F$12,3,FALSE),3))+IF(Y319&lt;&gt;"",Y319,IFERROR(VLOOKUP(V319,Assumptions!$A$8:$F$12,4,FALSE),8))/2)</f>
        <v/>
      </c>
      <c r="AB319" s="24">
        <f>U319*Z319/(1+Assumptions!$B$3)^AA319</f>
        <v/>
      </c>
      <c r="AC319" s="27">
        <f>IF(U319=0,"",ROUND(AB319/U319*100,1))</f>
        <v/>
      </c>
      <c r="AD319" s="29">
        <f>AB319*Assumptions!$B$4</f>
        <v/>
      </c>
      <c r="AE319" s="27">
        <f>IF(U319=0,"",ROUND(AD319/U319*100,1))</f>
        <v/>
      </c>
      <c r="AF319" s="29">
        <f>AB319-AD319</f>
        <v/>
      </c>
      <c r="AG319" s="27">
        <f>IF(U319=0,"",ROUND((AB319-AD319)/U319*100,1))</f>
        <v/>
      </c>
      <c r="AH319" s="34" t="inlineStr">
        <is>
          <t>NO TOTALS — list prints none; check page</t>
        </is>
      </c>
      <c r="AI319" s="31" t="inlineStr">
        <is>
          <t>https://scalzilliaj.com.br/sgc/download.php?file=files/processo_documento/processo_documento15513401112022_1_.pdf&amp;nome=15 - Edital do art. 7º, §2º (segunda lista de credores) e do art. 53 da Lei 11.101/2005 (recebimento do plano)</t>
        </is>
      </c>
      <c r="AJ319" s="30" t="inlineStr">
        <is>
          <t>p5 r33</t>
        </is>
      </c>
      <c r="AK319" s="30" t="inlineStr">
        <is>
          <t>p5: R$ 440.967,31</t>
        </is>
      </c>
      <c r="AL319" s="30" t="inlineStr">
        <is>
          <t>AJ list (art. 7 §2)</t>
        </is>
      </c>
      <c r="AM319" s="30" t="inlineStr">
        <is>
          <t>2022-11-01</t>
        </is>
      </c>
      <c r="AN319" s="30" t="inlineStr">
        <is>
          <t>NONE FOUND</t>
        </is>
      </c>
      <c r="AO319" s="32" t="inlineStr">
        <is>
          <t>5014104-85.2021.8.21.0010</t>
        </is>
      </c>
      <c r="AP319" s="32" t="inlineStr">
        <is>
          <t>TJRS</t>
        </is>
      </c>
      <c r="AQ319" s="32" t="inlineStr">
        <is>
          <t>Recuperação judicial</t>
        </is>
      </c>
      <c r="AR319" s="32" t="inlineStr">
        <is>
          <t>DataJud: no closure/falência movement</t>
        </is>
      </c>
      <c r="AS319" s="32" t="n">
        <v>2021</v>
      </c>
      <c r="AT319" s="32" t="inlineStr">
        <is>
          <t>5y since filing; plan not in our documents</t>
        </is>
      </c>
      <c r="AU319" s="32" t="inlineStr">
        <is>
          <t>03.018.339/0001-03</t>
        </is>
      </c>
      <c r="AV319" s="32" t="inlineStr">
        <is>
          <t>printed on the list (read twice)</t>
        </is>
      </c>
      <c r="AW319" s="32" t="inlineStr"/>
      <c r="AX319" s="32" t="inlineStr"/>
      <c r="AY319" s="32" t="inlineStr"/>
      <c r="AZ319" s="32" t="inlineStr"/>
      <c r="BA319" s="32" t="inlineStr"/>
      <c r="BB319" s="33" t="inlineStr"/>
      <c r="BC319" s="32" t="inlineStr">
        <is>
          <t>UNKNOWN</t>
        </is>
      </c>
      <c r="BD319" s="32" t="inlineStr">
        <is>
          <t>24506071</t>
        </is>
      </c>
      <c r="BE319" s="32" t="n">
        <v>1</v>
      </c>
      <c r="BF319" s="32" t="inlineStr">
        <is>
          <t>financial by name list prints no totals no RFB record no route in</t>
        </is>
      </c>
    </row>
    <row r="320">
      <c r="A320" s="17" t="inlineStr">
        <is>
          <t>ITAU UNIBANCO S.A.</t>
        </is>
      </c>
      <c r="B320" s="18" t="n">
        <v>799334.67</v>
      </c>
      <c r="C320" s="19" t="inlineStr">
        <is>
          <t>COPA FRUIT IMPORTAÇÃO E EXPORTAÇÃO S.A</t>
        </is>
      </c>
      <c r="D320" s="20" t="inlineStr">
        <is>
          <t>NEW</t>
        </is>
      </c>
      <c r="E320" s="21" t="inlineStr"/>
      <c r="F320" s="20" t="inlineStr"/>
      <c r="G320" s="21" t="inlineStr"/>
      <c r="H320" s="20" t="inlineStr"/>
      <c r="I320" s="22" t="inlineStr">
        <is>
          <t>Murilo Gigliucci</t>
        </is>
      </c>
      <c r="J320" s="22" t="inlineStr">
        <is>
          <t>Superintendente de Reestruturação de Crédito</t>
        </is>
      </c>
      <c r="K320" s="22" t="inlineStr">
        <is>
          <t>(11) 3003-4828</t>
        </is>
      </c>
      <c r="L320" s="22" t="inlineStr"/>
      <c r="M320" s="22" t="inlineStr"/>
      <c r="N320" s="22" t="inlineStr">
        <is>
          <t>murilo.gigliucci@itau-unibanco.com.br</t>
        </is>
      </c>
      <c r="O320" s="22" t="inlineStr">
        <is>
          <t>verified</t>
        </is>
      </c>
      <c r="P320" s="22" t="inlineStr">
        <is>
          <t>Pedro Ornellas</t>
        </is>
      </c>
      <c r="Q320" s="22" t="inlineStr">
        <is>
          <t>Superintendente de Recuperação de Crédito</t>
        </is>
      </c>
      <c r="R320" s="22" t="inlineStr"/>
      <c r="S320" s="22" t="inlineStr">
        <is>
          <t>pedro.ornellas-geronimo@itau-unibanco.com.br</t>
        </is>
      </c>
      <c r="T320" s="22" t="inlineStr">
        <is>
          <t>DM: DM verified email; BACKUP: backup verified email</t>
        </is>
      </c>
      <c r="U320" s="24" t="n">
        <v>799334.67</v>
      </c>
      <c r="V320" s="40" t="inlineStr">
        <is>
          <t>D</t>
        </is>
      </c>
      <c r="W320" s="26" t="inlineStr"/>
      <c r="X320" s="27" t="inlineStr"/>
      <c r="Y320" s="27" t="inlineStr"/>
      <c r="Z320" s="26">
        <f>IF(W320&lt;&gt;"",W320,IFERROR(VLOOKUP(V320,Assumptions!$A$8:$F$12,2,FALSE),0))*Assumptions!$B$5</f>
        <v/>
      </c>
      <c r="AA320" s="28">
        <f>IF(V320="A",MAX(1,IF(X320&lt;&gt;"",X320,IFERROR(VLOOKUP(V320,Assumptions!$A$8:$F$12,3,FALSE),3))+IF(Y320&lt;&gt;"",Y320,IFERROR(VLOOKUP(V320,Assumptions!$A$8:$F$12,4,FALSE),8))/2-MAX(0,IF(AS320="",0,YEAR(TODAY())-AS320)-IFERROR(VLOOKUP(V320,Assumptions!$A$8:$F$12,5,FALSE),1.5))),IFERROR(VLOOKUP(V320,Assumptions!$A$8:$F$12,5,FALSE),2.5)+IF(X320&lt;&gt;"",X320,IFERROR(VLOOKUP(V320,Assumptions!$A$8:$F$12,3,FALSE),3))+IF(Y320&lt;&gt;"",Y320,IFERROR(VLOOKUP(V320,Assumptions!$A$8:$F$12,4,FALSE),8))/2)</f>
        <v/>
      </c>
      <c r="AB320" s="24">
        <f>U320*Z320/(1+Assumptions!$B$3)^AA320</f>
        <v/>
      </c>
      <c r="AC320" s="27">
        <f>IF(U320=0,"",ROUND(AB320/U320*100,1))</f>
        <v/>
      </c>
      <c r="AD320" s="29">
        <f>AB320*Assumptions!$B$4</f>
        <v/>
      </c>
      <c r="AE320" s="27">
        <f>IF(U320=0,"",ROUND(AD320/U320*100,1))</f>
        <v/>
      </c>
      <c r="AF320" s="29">
        <f>AB320-AD320</f>
        <v/>
      </c>
      <c r="AG320" s="27">
        <f>IF(U320=0,"",ROUND((AB320-AD320)/U320*100,1))</f>
        <v/>
      </c>
      <c r="AH320" s="34" t="inlineStr">
        <is>
          <t>NO TOTALS — list prints none; check page</t>
        </is>
      </c>
      <c r="AI320" s="31" t="inlineStr">
        <is>
          <t>https://diligence.adm.br/wp-content/plugins/download-attachments/includes/download.php?id=4579</t>
        </is>
      </c>
      <c r="AJ320" s="30" t="inlineStr">
        <is>
          <t>p8 r8</t>
        </is>
      </c>
      <c r="AK320" s="30" t="inlineStr">
        <is>
          <t>p8: R$ 799.334,67</t>
        </is>
      </c>
      <c r="AL320" s="30" t="inlineStr">
        <is>
          <t>AJ list (art. 7 §2)</t>
        </is>
      </c>
      <c r="AM320" s="30" t="inlineStr">
        <is>
          <t>2024-06-11</t>
        </is>
      </c>
      <c r="AN320" s="30" t="inlineStr">
        <is>
          <t>NONE FOUND</t>
        </is>
      </c>
      <c r="AO320" s="32" t="inlineStr">
        <is>
          <t>0032731-52.2010.8.17.0001</t>
        </is>
      </c>
      <c r="AP320" s="32" t="inlineStr">
        <is>
          <t>TJPE</t>
        </is>
      </c>
      <c r="AQ320" s="32" t="inlineStr">
        <is>
          <t>Falência</t>
        </is>
      </c>
      <c r="AR320" s="32" t="inlineStr">
        <is>
          <t>not in DataJud</t>
        </is>
      </c>
      <c r="AS320" s="32" t="n">
        <v>2010</v>
      </c>
      <c r="AT320" s="32" t="inlineStr">
        <is>
          <t>falência proceeding (list/name says falida)</t>
        </is>
      </c>
      <c r="AU320" s="32" t="inlineStr">
        <is>
          <t>01.356.809/0001-13</t>
        </is>
      </c>
      <c r="AV320" s="32" t="inlineStr">
        <is>
          <t>printed on the list (read twice)</t>
        </is>
      </c>
      <c r="AW320" s="32" t="inlineStr"/>
      <c r="AX320" s="32" t="inlineStr">
        <is>
          <t>SAO PAULO</t>
        </is>
      </c>
      <c r="AY320" s="32" t="inlineStr">
        <is>
          <t>SP</t>
        </is>
      </c>
      <c r="AZ320" s="32" t="inlineStr">
        <is>
          <t>Bancos comerciais</t>
        </is>
      </c>
      <c r="BA320" s="32" t="inlineStr">
        <is>
          <t>não ME/EPP</t>
        </is>
      </c>
      <c r="BB320" s="33" t="n">
        <v>76200000000</v>
      </c>
      <c r="BC320" s="32" t="inlineStr">
        <is>
          <t>LARGE CORP</t>
        </is>
      </c>
      <c r="BD320" s="32" t="inlineStr">
        <is>
          <t>60701190</t>
        </is>
      </c>
      <c r="BE320" s="32" t="n">
        <v>1</v>
      </c>
      <c r="BF320" s="32" t="inlineStr">
        <is>
          <t>financial by name list prints no totals</t>
        </is>
      </c>
    </row>
    <row r="321">
      <c r="A321" s="17" t="inlineStr">
        <is>
          <t>BANCO VOTORANTIM S.A.</t>
        </is>
      </c>
      <c r="B321" s="18" t="n">
        <v>415020.29</v>
      </c>
      <c r="C321" s="19" t="inlineStr">
        <is>
          <t>FORMAPLAN FORMAS PLANEJADAS INDÚSTRIA E COMÉRCIO LTDA</t>
        </is>
      </c>
      <c r="D321" s="20" t="inlineStr">
        <is>
          <t>NEW</t>
        </is>
      </c>
      <c r="E321" s="21" t="inlineStr"/>
      <c r="F321" s="20" t="inlineStr"/>
      <c r="G321" s="21" t="inlineStr"/>
      <c r="H321" s="20" t="inlineStr"/>
      <c r="I321" s="22" t="inlineStr">
        <is>
          <t>Red Silva</t>
        </is>
      </c>
      <c r="J321" s="22" t="inlineStr">
        <is>
          <t>Special Assets - Banker Senior</t>
        </is>
      </c>
      <c r="K321" s="22" t="inlineStr">
        <is>
          <t>(11) 5171-2672</t>
        </is>
      </c>
      <c r="L321" s="22" t="inlineStr">
        <is>
          <t>(11) 5171-2488</t>
        </is>
      </c>
      <c r="M321" s="22" t="inlineStr"/>
      <c r="N321" s="22" t="inlineStr">
        <is>
          <t>red.silva@bv.com.br</t>
        </is>
      </c>
      <c r="O321" s="22" t="inlineStr">
        <is>
          <t>verified</t>
        </is>
      </c>
      <c r="P321" s="22" t="inlineStr">
        <is>
          <t>Caroline Oishi</t>
        </is>
      </c>
      <c r="Q321" s="22" t="inlineStr">
        <is>
          <t>Gerente Executivo de Recuperação de Crédito</t>
        </is>
      </c>
      <c r="R321" s="22" t="inlineStr"/>
      <c r="S321" s="22" t="inlineStr">
        <is>
          <t>caroline.oishi@bv.com.br</t>
        </is>
      </c>
      <c r="T321" s="22" t="inlineStr">
        <is>
          <t>DM: DM; BACKUP: backup</t>
        </is>
      </c>
      <c r="U321" s="24" t="n">
        <v>415020.29</v>
      </c>
      <c r="V321" s="39" t="inlineStr">
        <is>
          <t>C</t>
        </is>
      </c>
      <c r="W321" s="26" t="inlineStr"/>
      <c r="X321" s="27" t="inlineStr"/>
      <c r="Y321" s="27" t="inlineStr"/>
      <c r="Z321" s="26">
        <f>IF(W321&lt;&gt;"",W321,IFERROR(VLOOKUP(V321,Assumptions!$A$8:$F$12,2,FALSE),0))*Assumptions!$B$5</f>
        <v/>
      </c>
      <c r="AA321" s="28">
        <f>IF(V321="A",MAX(1,IF(X321&lt;&gt;"",X321,IFERROR(VLOOKUP(V321,Assumptions!$A$8:$F$12,3,FALSE),3))+IF(Y321&lt;&gt;"",Y321,IFERROR(VLOOKUP(V321,Assumptions!$A$8:$F$12,4,FALSE),8))/2-MAX(0,IF(AS321="",0,YEAR(TODAY())-AS321)-IFERROR(VLOOKUP(V321,Assumptions!$A$8:$F$12,5,FALSE),1.5))),IFERROR(VLOOKUP(V321,Assumptions!$A$8:$F$12,5,FALSE),2.5)+IF(X321&lt;&gt;"",X321,IFERROR(VLOOKUP(V321,Assumptions!$A$8:$F$12,3,FALSE),3))+IF(Y321&lt;&gt;"",Y321,IFERROR(VLOOKUP(V321,Assumptions!$A$8:$F$12,4,FALSE),8))/2)</f>
        <v/>
      </c>
      <c r="AB321" s="24">
        <f>U321*Z321/(1+Assumptions!$B$3)^AA321</f>
        <v/>
      </c>
      <c r="AC321" s="27">
        <f>IF(U321=0,"",ROUND(AB321/U321*100,1))</f>
        <v/>
      </c>
      <c r="AD321" s="29">
        <f>AB321*Assumptions!$B$4</f>
        <v/>
      </c>
      <c r="AE321" s="27">
        <f>IF(U321=0,"",ROUND(AD321/U321*100,1))</f>
        <v/>
      </c>
      <c r="AF321" s="29">
        <f>AB321-AD321</f>
        <v/>
      </c>
      <c r="AG321" s="27">
        <f>IF(U321=0,"",ROUND((AB321-AD321)/U321*100,1))</f>
        <v/>
      </c>
      <c r="AH321" s="35" t="inlineStr">
        <is>
          <t>PARTIAL — class III reconciled, other classes not</t>
        </is>
      </c>
      <c r="AI321" s="31" t="inlineStr">
        <is>
          <t>https://marquesadmjudicial.com.br/sgc/download.php?file=files/processo_documento/processo_documento15232121112024_1_.pdf&amp;nome=Relação de Credores</t>
        </is>
      </c>
      <c r="AJ321" s="30" t="inlineStr">
        <is>
          <t>p13 r10</t>
        </is>
      </c>
      <c r="AK321" s="30" t="inlineStr">
        <is>
          <t>p13: R$ 415.020,29</t>
        </is>
      </c>
      <c r="AL321" s="30" t="inlineStr">
        <is>
          <t>AJ list (art. 7 §2)</t>
        </is>
      </c>
      <c r="AM321" s="30" t="inlineStr">
        <is>
          <t>2021-01-22</t>
        </is>
      </c>
      <c r="AN321" s="30" t="inlineStr">
        <is>
          <t>NONE FOUND</t>
        </is>
      </c>
      <c r="AO321" s="32" t="inlineStr">
        <is>
          <t>0000410-68.2021.8.16.0174</t>
        </is>
      </c>
      <c r="AP321" s="32" t="inlineStr">
        <is>
          <t>TJPR</t>
        </is>
      </c>
      <c r="AQ321" s="32" t="inlineStr">
        <is>
          <t>Recuperação judicial</t>
        </is>
      </c>
      <c r="AR321" s="32" t="inlineStr">
        <is>
          <t>DataJud: no closure/falência movement</t>
        </is>
      </c>
      <c r="AS321" s="32" t="n">
        <v>2021</v>
      </c>
      <c r="AT321" s="32" t="inlineStr">
        <is>
          <t>5y since filing; plan not in our documents</t>
        </is>
      </c>
      <c r="AU321" s="32" t="inlineStr">
        <is>
          <t>00.262.371/0001-41</t>
        </is>
      </c>
      <c r="AV321" s="32" t="inlineStr">
        <is>
          <t>printed on the list (read twice)</t>
        </is>
      </c>
      <c r="AW321" s="32" t="inlineStr"/>
      <c r="AX321" s="32" t="inlineStr">
        <is>
          <t>SAO PAULO</t>
        </is>
      </c>
      <c r="AY321" s="32" t="inlineStr">
        <is>
          <t>SP</t>
        </is>
      </c>
      <c r="AZ321" s="32" t="inlineStr">
        <is>
          <t>Bancos múltiplos, com carteira comercial</t>
        </is>
      </c>
      <c r="BA321" s="32" t="inlineStr">
        <is>
          <t>não ME/EPP</t>
        </is>
      </c>
      <c r="BB321" s="33" t="n">
        <v>8480372000</v>
      </c>
      <c r="BC321" s="32" t="inlineStr">
        <is>
          <t>LARGE CORP</t>
        </is>
      </c>
      <c r="BD321" s="32" t="inlineStr">
        <is>
          <t>59588111</t>
        </is>
      </c>
      <c r="BE321" s="32" t="n">
        <v>1</v>
      </c>
      <c r="BF321" s="32" t="inlineStr">
        <is>
          <t>financial by name class III reconciled (doc partial)</t>
        </is>
      </c>
    </row>
    <row r="322">
      <c r="A322" s="17" t="inlineStr">
        <is>
          <t>BANCO SANTANDER (BRASIL) S.A.</t>
        </is>
      </c>
      <c r="B322" s="18" t="n">
        <v>710368.89</v>
      </c>
      <c r="C322" s="19" t="inlineStr">
        <is>
          <t>MUNDO BIZARRO IMPORTACAO E EXPORTACAO LTDA</t>
        </is>
      </c>
      <c r="D322" s="20" t="inlineStr">
        <is>
          <t>NEW</t>
        </is>
      </c>
      <c r="E322" s="21" t="inlineStr"/>
      <c r="F322" s="20" t="inlineStr"/>
      <c r="G322" s="21" t="inlineStr"/>
      <c r="H322" s="20" t="inlineStr"/>
      <c r="I322" s="22" t="inlineStr">
        <is>
          <t>Igor Puertas</t>
        </is>
      </c>
      <c r="J322" s="22" t="inlineStr">
        <is>
          <t>Distressed Assets | NPL</t>
        </is>
      </c>
      <c r="K322" s="22" t="inlineStr">
        <is>
          <t>(11) 4004-3535</t>
        </is>
      </c>
      <c r="L322" s="22" t="inlineStr"/>
      <c r="M322" s="22" t="inlineStr"/>
      <c r="N322" s="22" t="inlineStr">
        <is>
          <t>igor.puertas@santander.com.br</t>
        </is>
      </c>
      <c r="O322" s="22" t="inlineStr">
        <is>
          <t>verified</t>
        </is>
      </c>
      <c r="P322" s="22" t="inlineStr">
        <is>
          <t>Antonio Junior</t>
        </is>
      </c>
      <c r="Q322" s="22" t="inlineStr">
        <is>
          <t>Superintendente Recuperação de Crédito</t>
        </is>
      </c>
      <c r="R322" s="22" t="inlineStr"/>
      <c r="S322" s="22" t="inlineStr">
        <is>
          <t>antonio.pequeno.junior@santander.com.br</t>
        </is>
      </c>
      <c r="T322" s="22" t="inlineStr">
        <is>
          <t>DM: DM; BACKUP: backup</t>
        </is>
      </c>
      <c r="U322" s="24" t="n">
        <v>710368.89</v>
      </c>
      <c r="V322" s="40" t="inlineStr">
        <is>
          <t>D</t>
        </is>
      </c>
      <c r="W322" s="26" t="inlineStr"/>
      <c r="X322" s="27" t="inlineStr"/>
      <c r="Y322" s="27" t="inlineStr"/>
      <c r="Z322" s="26">
        <f>IF(W322&lt;&gt;"",W322,IFERROR(VLOOKUP(V322,Assumptions!$A$8:$F$12,2,FALSE),0))*Assumptions!$B$5</f>
        <v/>
      </c>
      <c r="AA322" s="28">
        <f>IF(V322="A",MAX(1,IF(X322&lt;&gt;"",X322,IFERROR(VLOOKUP(V322,Assumptions!$A$8:$F$12,3,FALSE),3))+IF(Y322&lt;&gt;"",Y322,IFERROR(VLOOKUP(V322,Assumptions!$A$8:$F$12,4,FALSE),8))/2-MAX(0,IF(AS322="",0,YEAR(TODAY())-AS322)-IFERROR(VLOOKUP(V322,Assumptions!$A$8:$F$12,5,FALSE),1.5))),IFERROR(VLOOKUP(V322,Assumptions!$A$8:$F$12,5,FALSE),2.5)+IF(X322&lt;&gt;"",X322,IFERROR(VLOOKUP(V322,Assumptions!$A$8:$F$12,3,FALSE),3))+IF(Y322&lt;&gt;"",Y322,IFERROR(VLOOKUP(V322,Assumptions!$A$8:$F$12,4,FALSE),8))/2)</f>
        <v/>
      </c>
      <c r="AB322" s="24">
        <f>U322*Z322/(1+Assumptions!$B$3)^AA322</f>
        <v/>
      </c>
      <c r="AC322" s="27">
        <f>IF(U322=0,"",ROUND(AB322/U322*100,1))</f>
        <v/>
      </c>
      <c r="AD322" s="29">
        <f>AB322*Assumptions!$B$4</f>
        <v/>
      </c>
      <c r="AE322" s="27">
        <f>IF(U322=0,"",ROUND(AD322/U322*100,1))</f>
        <v/>
      </c>
      <c r="AF322" s="29">
        <f>AB322-AD322</f>
        <v/>
      </c>
      <c r="AG322" s="27">
        <f>IF(U322=0,"",ROUND((AB322-AD322)/U322*100,1))</f>
        <v/>
      </c>
      <c r="AH322" s="34" t="inlineStr">
        <is>
          <t>NO TOTALS — list prints none; check page</t>
        </is>
      </c>
      <c r="AI322" s="31" t="inlineStr">
        <is>
          <t>https://administradorajudicialgs.com.br/wp-content/uploads/2024/10/relacao-de-credores-e-verificacao-de-credito-2025.pdf</t>
        </is>
      </c>
      <c r="AJ322" s="30" t="inlineStr">
        <is>
          <t>p16 r3; p17 r2</t>
        </is>
      </c>
      <c r="AK322" s="30" t="inlineStr">
        <is>
          <t>[rows shown ≠ face] p16: R$ 710.368,89; p17: R$ 710.368,89</t>
        </is>
      </c>
      <c r="AL322" s="30" t="inlineStr">
        <is>
          <t>AJ list (art. 7 §2)</t>
        </is>
      </c>
      <c r="AM322" s="30" t="inlineStr">
        <is>
          <t>2025-04-24</t>
        </is>
      </c>
      <c r="AN322" s="30" t="inlineStr">
        <is>
          <t>NONE FOUND</t>
        </is>
      </c>
      <c r="AO322" s="32" t="inlineStr">
        <is>
          <t>5100227-29.2022.8.24.0023</t>
        </is>
      </c>
      <c r="AP322" s="32" t="inlineStr">
        <is>
          <t>TJSC</t>
        </is>
      </c>
      <c r="AQ322" s="32" t="inlineStr">
        <is>
          <t>Falência</t>
        </is>
      </c>
      <c r="AR322" s="32" t="inlineStr">
        <is>
          <t>not in DataJud</t>
        </is>
      </c>
      <c r="AS322" s="32" t="n">
        <v>2022</v>
      </c>
      <c r="AT322" s="32" t="inlineStr">
        <is>
          <t>falência proceeding (list/name says falida)</t>
        </is>
      </c>
      <c r="AU322" s="32" t="inlineStr">
        <is>
          <t>05.316.275/0001-52</t>
        </is>
      </c>
      <c r="AV322" s="32" t="inlineStr">
        <is>
          <t>printed on the list (read twice)</t>
        </is>
      </c>
      <c r="AW322" s="32" t="inlineStr"/>
      <c r="AX322" s="32" t="inlineStr">
        <is>
          <t>SAO PAULO</t>
        </is>
      </c>
      <c r="AY322" s="32" t="inlineStr">
        <is>
          <t>SP</t>
        </is>
      </c>
      <c r="AZ322" s="32" t="inlineStr">
        <is>
          <t>Bancos múltiplos, com carteira comercial</t>
        </is>
      </c>
      <c r="BA322" s="32" t="inlineStr">
        <is>
          <t>não ME/EPP</t>
        </is>
      </c>
      <c r="BB322" s="33" t="n">
        <v>65000000000</v>
      </c>
      <c r="BC322" s="32" t="inlineStr">
        <is>
          <t>LARGE CORP</t>
        </is>
      </c>
      <c r="BD322" s="32" t="inlineStr">
        <is>
          <t>90400888</t>
        </is>
      </c>
      <c r="BE322" s="32" t="n">
        <v>1</v>
      </c>
      <c r="BF322" s="32" t="inlineStr">
        <is>
          <t>list prints no totals</t>
        </is>
      </c>
    </row>
    <row r="323">
      <c r="A323" s="17" t="inlineStr">
        <is>
          <t>BR CONSORCIOS ADMINISTRADORA DE CONSORCIOS LTDA</t>
        </is>
      </c>
      <c r="B323" s="18" t="n">
        <v>432821.52</v>
      </c>
      <c r="C323" s="19" t="inlineStr">
        <is>
          <t>GRUPO 3E</t>
        </is>
      </c>
      <c r="D323" s="20" t="inlineStr">
        <is>
          <t>NEW</t>
        </is>
      </c>
      <c r="E323" s="21" t="inlineStr"/>
      <c r="F323" s="20" t="inlineStr"/>
      <c r="G323" s="21" t="inlineStr"/>
      <c r="H323" s="20" t="inlineStr"/>
      <c r="I323" s="22" t="inlineStr">
        <is>
          <t>Victor Dantas</t>
        </is>
      </c>
      <c r="J323" s="22" t="inlineStr">
        <is>
          <t>Operational Manager</t>
        </is>
      </c>
      <c r="K323" s="22" t="inlineStr">
        <is>
          <t>(43) 3377-7400</t>
        </is>
      </c>
      <c r="L323" s="22" t="inlineStr"/>
      <c r="M323" s="22" t="inlineStr"/>
      <c r="N323" s="22" t="inlineStr">
        <is>
          <t>victor@brconsorcios.com</t>
        </is>
      </c>
      <c r="O323" s="22" t="inlineStr">
        <is>
          <t>verified</t>
        </is>
      </c>
      <c r="P323" s="22" t="inlineStr">
        <is>
          <t>HUMBERTO BARTOL MAZZOTTI</t>
        </is>
      </c>
      <c r="Q323" s="22" t="inlineStr">
        <is>
          <t>Administrador (RFB partner)</t>
        </is>
      </c>
      <c r="R323" s="22" t="inlineStr"/>
      <c r="S323" s="22" t="inlineStr"/>
      <c r="T323" s="22" t="inlineStr">
        <is>
          <t>DM: DM verified email</t>
        </is>
      </c>
      <c r="U323" s="24" t="n">
        <v>432821.52</v>
      </c>
      <c r="V323" s="25" t="inlineStr">
        <is>
          <t>B</t>
        </is>
      </c>
      <c r="W323" s="26" t="n">
        <v>0.12</v>
      </c>
      <c r="X323" s="27" t="n">
        <v>2</v>
      </c>
      <c r="Y323" s="27" t="n">
        <v>13</v>
      </c>
      <c r="Z323" s="26">
        <f>IF(W323&lt;&gt;"",W323,IFERROR(VLOOKUP(V323,Assumptions!$A$8:$F$12,2,FALSE),0))*Assumptions!$B$5</f>
        <v/>
      </c>
      <c r="AA323" s="28">
        <f>IF(V323="A",MAX(1,IF(X323&lt;&gt;"",X323,IFERROR(VLOOKUP(V323,Assumptions!$A$8:$F$12,3,FALSE),3))+IF(Y323&lt;&gt;"",Y323,IFERROR(VLOOKUP(V323,Assumptions!$A$8:$F$12,4,FALSE),8))/2-MAX(0,IF(AS323="",0,YEAR(TODAY())-AS323)-IFERROR(VLOOKUP(V323,Assumptions!$A$8:$F$12,5,FALSE),1.5))),IFERROR(VLOOKUP(V323,Assumptions!$A$8:$F$12,5,FALSE),2.5)+IF(X323&lt;&gt;"",X323,IFERROR(VLOOKUP(V323,Assumptions!$A$8:$F$12,3,FALSE),3))+IF(Y323&lt;&gt;"",Y323,IFERROR(VLOOKUP(V323,Assumptions!$A$8:$F$12,4,FALSE),8))/2)</f>
        <v/>
      </c>
      <c r="AB323" s="24">
        <f>U323*Z323/(1+Assumptions!$B$3)^AA323</f>
        <v/>
      </c>
      <c r="AC323" s="27">
        <f>IF(U323=0,"",ROUND(AB323/U323*100,1))</f>
        <v/>
      </c>
      <c r="AD323" s="29">
        <f>AB323*Assumptions!$B$4</f>
        <v/>
      </c>
      <c r="AE323" s="27">
        <f>IF(U323=0,"",ROUND(AD323/U323*100,1))</f>
        <v/>
      </c>
      <c r="AF323" s="29">
        <f>AB323-AD323</f>
        <v/>
      </c>
      <c r="AG323" s="27">
        <f>IF(U323=0,"",ROUND((AB323-AD323)/U323*100,1))</f>
        <v/>
      </c>
      <c r="AH323" s="34" t="inlineStr">
        <is>
          <t>NO TOTALS — list prints none; check page</t>
        </is>
      </c>
      <c r="AI323" s="31" t="inlineStr">
        <is>
          <t>https://stenius.com.br/wp-content/uploads/2026/06/EDITAL-GRUPO-3E.pdf</t>
        </is>
      </c>
      <c r="AJ323" s="30" t="inlineStr">
        <is>
          <t>p10 r71</t>
        </is>
      </c>
      <c r="AK323" s="30" t="inlineStr">
        <is>
          <t>p10: R$ 432.821,52</t>
        </is>
      </c>
      <c r="AL323" s="30" t="inlineStr">
        <is>
          <t>Debtor list (art. 51)</t>
        </is>
      </c>
      <c r="AM323" s="30" t="inlineStr">
        <is>
          <t>2026-06-22</t>
        </is>
      </c>
      <c r="AN323" s="30" t="inlineStr">
        <is>
          <t>PLAN FILED (art. 53), not granted</t>
        </is>
      </c>
      <c r="AO323" s="32" t="inlineStr">
        <is>
          <t>5341375-33.2026.8.09.0049</t>
        </is>
      </c>
      <c r="AP323" s="32" t="inlineStr">
        <is>
          <t>TJGO</t>
        </is>
      </c>
      <c r="AQ323" s="32" t="inlineStr">
        <is>
          <t>Recuperação judicial</t>
        </is>
      </c>
      <c r="AR323" s="32" t="inlineStr">
        <is>
          <t>DataJud: no closure/falência movement</t>
        </is>
      </c>
      <c r="AS323" s="32" t="n">
        <v>2026</v>
      </c>
      <c r="AT323" s="32" t="inlineStr">
        <is>
          <t>plan filed (art. 53), not yet granted</t>
        </is>
      </c>
      <c r="AU323" s="32" t="inlineStr"/>
      <c r="AV323" s="32" t="inlineStr">
        <is>
          <t>printed on the list (read twice)</t>
        </is>
      </c>
      <c r="AW323" s="32" t="inlineStr">
        <is>
          <t>Plano de Recuperação Judicial Grupo 3E v2.0 (Métis), mov. 321, pp.24-25</t>
        </is>
      </c>
      <c r="AX323" s="32" t="inlineStr">
        <is>
          <t>LONDRINA</t>
        </is>
      </c>
      <c r="AY323" s="32" t="inlineStr">
        <is>
          <t>PR</t>
        </is>
      </c>
      <c r="AZ323" s="32" t="inlineStr">
        <is>
          <t>Administração de consórcios para aquisição de bens e direitos</t>
        </is>
      </c>
      <c r="BA323" s="32" t="inlineStr">
        <is>
          <t>não ME/EPP</t>
        </is>
      </c>
      <c r="BB323" s="33" t="n">
        <v>6000000</v>
      </c>
      <c r="BC323" s="32" t="inlineStr">
        <is>
          <t>MID-MARKET</t>
        </is>
      </c>
      <c r="BD323" s="32" t="inlineStr">
        <is>
          <t>14723388</t>
        </is>
      </c>
      <c r="BE323" s="32" t="n">
        <v>1</v>
      </c>
      <c r="BF323" s="32" t="inlineStr">
        <is>
          <t>list prints no totals</t>
        </is>
      </c>
    </row>
    <row r="324">
      <c r="A324" s="17" t="inlineStr">
        <is>
          <t>PLATINUM FUNDO DE INVESTIMENTO EM DIREITOS CREDITORIOS MULTISSETORIAL (</t>
        </is>
      </c>
      <c r="B324" s="18" t="n">
        <v>364774.81</v>
      </c>
      <c r="C324" s="19" t="inlineStr">
        <is>
          <t>VECTOR INDÚSTRIA DE PRODUTOS METALÚRGICOS LTDA.</t>
        </is>
      </c>
      <c r="D324" s="20" t="inlineStr">
        <is>
          <t>NEW</t>
        </is>
      </c>
      <c r="E324" s="21" t="inlineStr"/>
      <c r="F324" s="20" t="inlineStr"/>
      <c r="G324" s="21" t="inlineStr"/>
      <c r="H324" s="20" t="inlineStr"/>
      <c r="I324" s="22" t="inlineStr"/>
      <c r="J324" s="22" t="inlineStr"/>
      <c r="K324" s="22" t="inlineStr"/>
      <c r="L324" s="22" t="inlineStr"/>
      <c r="M324" s="22" t="inlineStr"/>
      <c r="N324" s="22" t="inlineStr"/>
      <c r="O324" s="22" t="inlineStr"/>
      <c r="P324" s="22" t="inlineStr"/>
      <c r="Q324" s="22" t="inlineStr"/>
      <c r="R324" s="22" t="inlineStr"/>
      <c r="S324" s="22" t="inlineStr"/>
      <c r="T324" s="22" t="inlineStr">
        <is>
          <t>no named contact found; NO ROUTE IN: no phone or email on file</t>
        </is>
      </c>
      <c r="U324" s="24" t="n">
        <v>364774.81</v>
      </c>
      <c r="V324" s="39" t="inlineStr">
        <is>
          <t>C</t>
        </is>
      </c>
      <c r="W324" s="26" t="inlineStr"/>
      <c r="X324" s="27" t="inlineStr"/>
      <c r="Y324" s="27" t="inlineStr"/>
      <c r="Z324" s="26">
        <f>IF(W324&lt;&gt;"",W324,IFERROR(VLOOKUP(V324,Assumptions!$A$8:$F$12,2,FALSE),0))*Assumptions!$B$5</f>
        <v/>
      </c>
      <c r="AA324" s="28">
        <f>IF(V324="A",MAX(1,IF(X324&lt;&gt;"",X324,IFERROR(VLOOKUP(V324,Assumptions!$A$8:$F$12,3,FALSE),3))+IF(Y324&lt;&gt;"",Y324,IFERROR(VLOOKUP(V324,Assumptions!$A$8:$F$12,4,FALSE),8))/2-MAX(0,IF(AS324="",0,YEAR(TODAY())-AS324)-IFERROR(VLOOKUP(V324,Assumptions!$A$8:$F$12,5,FALSE),1.5))),IFERROR(VLOOKUP(V324,Assumptions!$A$8:$F$12,5,FALSE),2.5)+IF(X324&lt;&gt;"",X324,IFERROR(VLOOKUP(V324,Assumptions!$A$8:$F$12,3,FALSE),3))+IF(Y324&lt;&gt;"",Y324,IFERROR(VLOOKUP(V324,Assumptions!$A$8:$F$12,4,FALSE),8))/2)</f>
        <v/>
      </c>
      <c r="AB324" s="24">
        <f>U324*Z324/(1+Assumptions!$B$3)^AA324</f>
        <v/>
      </c>
      <c r="AC324" s="27">
        <f>IF(U324=0,"",ROUND(AB324/U324*100,1))</f>
        <v/>
      </c>
      <c r="AD324" s="29">
        <f>AB324*Assumptions!$B$4</f>
        <v/>
      </c>
      <c r="AE324" s="27">
        <f>IF(U324=0,"",ROUND(AD324/U324*100,1))</f>
        <v/>
      </c>
      <c r="AF324" s="29">
        <f>AB324-AD324</f>
        <v/>
      </c>
      <c r="AG324" s="27">
        <f>IF(U324=0,"",ROUND((AB324-AD324)/U324*100,1))</f>
        <v/>
      </c>
      <c r="AH324" s="34" t="inlineStr">
        <is>
          <t>NO TOTALS — list prints none; check page</t>
        </is>
      </c>
      <c r="AI324" s="31" t="inlineStr">
        <is>
          <t>https://scalzilliaj.com.br/sgc/download.php?file=files/processo_documento/processo_documento15513401112022_1_.pdf&amp;nome=15 - Edital do art. 7º, §2º (segunda lista de credores) e do art. 53 da Lei 11.101/2005 (recebimento do plano)</t>
        </is>
      </c>
      <c r="AJ324" s="30" t="inlineStr">
        <is>
          <t>p9 r7</t>
        </is>
      </c>
      <c r="AK324" s="30" t="inlineStr">
        <is>
          <t>p9: R$ 364.774,81</t>
        </is>
      </c>
      <c r="AL324" s="30" t="inlineStr">
        <is>
          <t>AJ list (art. 7 §2)</t>
        </is>
      </c>
      <c r="AM324" s="30" t="inlineStr">
        <is>
          <t>2022-11-01</t>
        </is>
      </c>
      <c r="AN324" s="30" t="inlineStr">
        <is>
          <t>NONE FOUND</t>
        </is>
      </c>
      <c r="AO324" s="32" t="inlineStr">
        <is>
          <t>5014104-85.2021.8.21.0010</t>
        </is>
      </c>
      <c r="AP324" s="32" t="inlineStr">
        <is>
          <t>TJRS</t>
        </is>
      </c>
      <c r="AQ324" s="32" t="inlineStr">
        <is>
          <t>Recuperação judicial</t>
        </is>
      </c>
      <c r="AR324" s="32" t="inlineStr">
        <is>
          <t>DataJud: no closure/falência movement</t>
        </is>
      </c>
      <c r="AS324" s="32" t="n">
        <v>2021</v>
      </c>
      <c r="AT324" s="32" t="inlineStr">
        <is>
          <t>5y since filing; plan not in our documents</t>
        </is>
      </c>
      <c r="AU324" s="32" t="inlineStr">
        <is>
          <t>03.018.339/0001-03</t>
        </is>
      </c>
      <c r="AV324" s="32" t="inlineStr">
        <is>
          <t>printed on the list (read twice)</t>
        </is>
      </c>
      <c r="AW324" s="32" t="inlineStr"/>
      <c r="AX324" s="32" t="inlineStr"/>
      <c r="AY324" s="32" t="inlineStr"/>
      <c r="AZ324" s="32" t="inlineStr"/>
      <c r="BA324" s="32" t="inlineStr"/>
      <c r="BB324" s="33" t="inlineStr"/>
      <c r="BC324" s="32" t="inlineStr">
        <is>
          <t>UNKNOWN</t>
        </is>
      </c>
      <c r="BD324" s="32" t="inlineStr">
        <is>
          <t>10774307</t>
        </is>
      </c>
      <c r="BE324" s="32" t="n">
        <v>1</v>
      </c>
      <c r="BF324" s="32" t="inlineStr">
        <is>
          <t>financial by name list prints no totals no RFB record no route in</t>
        </is>
      </c>
    </row>
    <row r="325">
      <c r="A325" s="17" t="inlineStr">
        <is>
          <t>BANCO SOFISA S.A.</t>
        </is>
      </c>
      <c r="B325" s="18" t="n">
        <v>665953</v>
      </c>
      <c r="C325" s="19" t="inlineStr">
        <is>
          <t>Mannes</t>
        </is>
      </c>
      <c r="D325" s="20" t="inlineStr">
        <is>
          <t>NEW</t>
        </is>
      </c>
      <c r="E325" s="21" t="inlineStr"/>
      <c r="F325" s="20" t="inlineStr"/>
      <c r="G325" s="21" t="inlineStr"/>
      <c r="H325" s="20" t="inlineStr"/>
      <c r="I325" s="22" t="inlineStr">
        <is>
          <t>Tiago Hendo</t>
        </is>
      </c>
      <c r="J325" s="22" t="inlineStr">
        <is>
          <t>Gerente de Reestruturação de Crédito</t>
        </is>
      </c>
      <c r="K325" s="22" t="inlineStr">
        <is>
          <t>(11) 3176-5500</t>
        </is>
      </c>
      <c r="L325" s="22" t="inlineStr"/>
      <c r="M325" s="22" t="inlineStr"/>
      <c r="N325" s="22" t="inlineStr"/>
      <c r="O325" s="22" t="inlineStr"/>
      <c r="P325" s="22" t="inlineStr">
        <is>
          <t>Rafael Nurnberg</t>
        </is>
      </c>
      <c r="Q325" s="22" t="inlineStr">
        <is>
          <t>Superintendente Executivo de Crédito e Cobrança Varejo (PF e PJ)</t>
        </is>
      </c>
      <c r="R325" s="22" t="inlineStr"/>
      <c r="S325" s="22" t="inlineStr">
        <is>
          <t>rnurnberg@sofisa.com.br</t>
        </is>
      </c>
      <c r="T325" s="22" t="inlineStr">
        <is>
          <t>DM: DM email unavailable; no work email in Apollo for DM; BACKUP: backup verified email</t>
        </is>
      </c>
      <c r="U325" s="24" t="n">
        <v>665953</v>
      </c>
      <c r="V325" s="40" t="inlineStr">
        <is>
          <t>D</t>
        </is>
      </c>
      <c r="W325" s="26" t="inlineStr"/>
      <c r="X325" s="27" t="inlineStr"/>
      <c r="Y325" s="27" t="inlineStr"/>
      <c r="Z325" s="26">
        <f>IF(W325&lt;&gt;"",W325,IFERROR(VLOOKUP(V325,Assumptions!$A$8:$F$12,2,FALSE),0))*Assumptions!$B$5</f>
        <v/>
      </c>
      <c r="AA325" s="28">
        <f>IF(V325="A",MAX(1,IF(X325&lt;&gt;"",X325,IFERROR(VLOOKUP(V325,Assumptions!$A$8:$F$12,3,FALSE),3))+IF(Y325&lt;&gt;"",Y325,IFERROR(VLOOKUP(V325,Assumptions!$A$8:$F$12,4,FALSE),8))/2-MAX(0,IF(AS325="",0,YEAR(TODAY())-AS325)-IFERROR(VLOOKUP(V325,Assumptions!$A$8:$F$12,5,FALSE),1.5))),IFERROR(VLOOKUP(V325,Assumptions!$A$8:$F$12,5,FALSE),2.5)+IF(X325&lt;&gt;"",X325,IFERROR(VLOOKUP(V325,Assumptions!$A$8:$F$12,3,FALSE),3))+IF(Y325&lt;&gt;"",Y325,IFERROR(VLOOKUP(V325,Assumptions!$A$8:$F$12,4,FALSE),8))/2)</f>
        <v/>
      </c>
      <c r="AB325" s="24">
        <f>U325*Z325/(1+Assumptions!$B$3)^AA325</f>
        <v/>
      </c>
      <c r="AC325" s="27">
        <f>IF(U325=0,"",ROUND(AB325/U325*100,1))</f>
        <v/>
      </c>
      <c r="AD325" s="29">
        <f>AB325*Assumptions!$B$4</f>
        <v/>
      </c>
      <c r="AE325" s="27">
        <f>IF(U325=0,"",ROUND(AD325/U325*100,1))</f>
        <v/>
      </c>
      <c r="AF325" s="29">
        <f>AB325-AD325</f>
        <v/>
      </c>
      <c r="AG325" s="27">
        <f>IF(U325=0,"",ROUND((AB325-AD325)/U325*100,1))</f>
        <v/>
      </c>
      <c r="AH325" s="36" t="inlineStr">
        <is>
          <t>CHECK — source is not a statutory creditor list</t>
        </is>
      </c>
      <c r="AI325" s="31" t="inlineStr">
        <is>
          <t>https://administradorajudicialgs.com.br/wp-content/uploads/2024/12/relacao-de-credores-da-falida.pdf</t>
        </is>
      </c>
      <c r="AJ325" s="30" t="inlineStr">
        <is>
          <t>p13 r10</t>
        </is>
      </c>
      <c r="AK325" s="30" t="inlineStr">
        <is>
          <t>p13: R$ 665.953,00</t>
        </is>
      </c>
      <c r="AL325" s="30" t="inlineStr">
        <is>
          <t>Other filing — NOT an art. 7/51 list</t>
        </is>
      </c>
      <c r="AM325" s="30" t="inlineStr">
        <is>
          <t>2025-03-25</t>
        </is>
      </c>
      <c r="AN325" s="30" t="inlineStr">
        <is>
          <t>NONE FOUND</t>
        </is>
      </c>
      <c r="AO325" s="32" t="inlineStr">
        <is>
          <t>0005010-50.2013.8.24.0026</t>
        </is>
      </c>
      <c r="AP325" s="32" t="inlineStr">
        <is>
          <t>TJSC</t>
        </is>
      </c>
      <c r="AQ325" s="32" t="inlineStr">
        <is>
          <t>Falência</t>
        </is>
      </c>
      <c r="AR325" s="32" t="inlineStr">
        <is>
          <t>not in DataJud</t>
        </is>
      </c>
      <c r="AS325" s="32" t="n">
        <v>2013</v>
      </c>
      <c r="AT325" s="32" t="inlineStr">
        <is>
          <t>falência proceeding (list/name says falida)</t>
        </is>
      </c>
      <c r="AU325" s="32" t="inlineStr"/>
      <c r="AV325" s="32" t="inlineStr">
        <is>
          <t>printed on the list (read twice)</t>
        </is>
      </c>
      <c r="AW325" s="32" t="inlineStr"/>
      <c r="AX325" s="32" t="inlineStr">
        <is>
          <t>SAO PAULO</t>
        </is>
      </c>
      <c r="AY325" s="32" t="inlineStr">
        <is>
          <t>SP</t>
        </is>
      </c>
      <c r="AZ325" s="32" t="inlineStr">
        <is>
          <t>Bancos múltiplos, com carteira comercial</t>
        </is>
      </c>
      <c r="BA325" s="32" t="inlineStr">
        <is>
          <t>não ME/EPP</t>
        </is>
      </c>
      <c r="BB325" s="33" t="n">
        <v>1021700100</v>
      </c>
      <c r="BC325" s="32" t="inlineStr">
        <is>
          <t>LARGE CORP</t>
        </is>
      </c>
      <c r="BD325" s="32" t="inlineStr">
        <is>
          <t>60889128</t>
        </is>
      </c>
      <c r="BE325" s="32" t="n">
        <v>1</v>
      </c>
      <c r="BF325" s="32" t="inlineStr">
        <is>
          <t>financial by name list prints no totals case no. corrected by reader</t>
        </is>
      </c>
    </row>
    <row r="326">
      <c r="A326" s="17" t="inlineStr">
        <is>
          <t>ACL FACTORING FOMENTO MERCANTIL LTDA</t>
        </is>
      </c>
      <c r="B326" s="18" t="n">
        <v>354247.16</v>
      </c>
      <c r="C326" s="19" t="inlineStr">
        <is>
          <t>GRUPO ARNON DE MELLO</t>
        </is>
      </c>
      <c r="D326" s="20" t="inlineStr">
        <is>
          <t>NEW</t>
        </is>
      </c>
      <c r="E326" s="21" t="inlineStr"/>
      <c r="F326" s="20" t="inlineStr"/>
      <c r="G326" s="21" t="inlineStr"/>
      <c r="H326" s="20" t="inlineStr"/>
      <c r="I326" s="22" t="inlineStr"/>
      <c r="J326" s="22" t="inlineStr"/>
      <c r="K326" s="22" t="inlineStr"/>
      <c r="L326" s="22" t="inlineStr"/>
      <c r="M326" s="22" t="inlineStr"/>
      <c r="N326" s="22" t="inlineStr"/>
      <c r="O326" s="22" t="inlineStr"/>
      <c r="P326" s="22" t="inlineStr"/>
      <c r="Q326" s="22" t="inlineStr"/>
      <c r="R326" s="22" t="inlineStr"/>
      <c r="S326" s="22" t="inlineStr"/>
      <c r="T326" s="22" t="inlineStr">
        <is>
          <t>no named contact found; NO ROUTE IN: no phone or email on file</t>
        </is>
      </c>
      <c r="U326" s="24" t="n">
        <v>354247.16</v>
      </c>
      <c r="V326" s="39" t="inlineStr">
        <is>
          <t>C</t>
        </is>
      </c>
      <c r="W326" s="26" t="inlineStr"/>
      <c r="X326" s="27" t="inlineStr"/>
      <c r="Y326" s="27" t="inlineStr"/>
      <c r="Z326" s="26">
        <f>IF(W326&lt;&gt;"",W326,IFERROR(VLOOKUP(V326,Assumptions!$A$8:$F$12,2,FALSE),0))*Assumptions!$B$5</f>
        <v/>
      </c>
      <c r="AA326" s="28">
        <f>IF(V326="A",MAX(1,IF(X326&lt;&gt;"",X326,IFERROR(VLOOKUP(V326,Assumptions!$A$8:$F$12,3,FALSE),3))+IF(Y326&lt;&gt;"",Y326,IFERROR(VLOOKUP(V326,Assumptions!$A$8:$F$12,4,FALSE),8))/2-MAX(0,IF(AS326="",0,YEAR(TODAY())-AS326)-IFERROR(VLOOKUP(V326,Assumptions!$A$8:$F$12,5,FALSE),1.5))),IFERROR(VLOOKUP(V326,Assumptions!$A$8:$F$12,5,FALSE),2.5)+IF(X326&lt;&gt;"",X326,IFERROR(VLOOKUP(V326,Assumptions!$A$8:$F$12,3,FALSE),3))+IF(Y326&lt;&gt;"",Y326,IFERROR(VLOOKUP(V326,Assumptions!$A$8:$F$12,4,FALSE),8))/2)</f>
        <v/>
      </c>
      <c r="AB326" s="24">
        <f>U326*Z326/(1+Assumptions!$B$3)^AA326</f>
        <v/>
      </c>
      <c r="AC326" s="27">
        <f>IF(U326=0,"",ROUND(AB326/U326*100,1))</f>
        <v/>
      </c>
      <c r="AD326" s="29">
        <f>AB326*Assumptions!$B$4</f>
        <v/>
      </c>
      <c r="AE326" s="27">
        <f>IF(U326=0,"",ROUND(AD326/U326*100,1))</f>
        <v/>
      </c>
      <c r="AF326" s="29">
        <f>AB326-AD326</f>
        <v/>
      </c>
      <c r="AG326" s="27">
        <f>IF(U326=0,"",ROUND((AB326-AD326)/U326*100,1))</f>
        <v/>
      </c>
      <c r="AH326" s="34" t="inlineStr">
        <is>
          <t>NO TOTALS — list prints none; check page</t>
        </is>
      </c>
      <c r="AI326" s="31" t="inlineStr">
        <is>
          <t>https://recuperacaojudicial.squarespace.com/s/RJ-Grupo-Arnon-de-Melo-Lista-de-Credores-Consolidada-abril-2022.pdf</t>
        </is>
      </c>
      <c r="AJ326" s="30" t="inlineStr">
        <is>
          <t>p7 r2</t>
        </is>
      </c>
      <c r="AK326" s="30" t="inlineStr">
        <is>
          <t>p7: R$ 354.247,16</t>
        </is>
      </c>
      <c r="AL326" s="30" t="inlineStr">
        <is>
          <t>AJ list (art. 7 §2)</t>
        </is>
      </c>
      <c r="AM326" s="30" t="inlineStr"/>
      <c r="AN326" s="30" t="inlineStr">
        <is>
          <t>NONE FOUND</t>
        </is>
      </c>
      <c r="AO326" s="32" t="inlineStr">
        <is>
          <t>0700256-03.2019.8.02.0066</t>
        </is>
      </c>
      <c r="AP326" s="32" t="inlineStr">
        <is>
          <t>TJAL</t>
        </is>
      </c>
      <c r="AQ326" s="32" t="inlineStr">
        <is>
          <t>Recuperação judicial</t>
        </is>
      </c>
      <c r="AR326" s="32" t="inlineStr">
        <is>
          <t>not in DataJud</t>
        </is>
      </c>
      <c r="AS326" s="32" t="n">
        <v>2019</v>
      </c>
      <c r="AT326" s="32" t="inlineStr">
        <is>
          <t>7y since filing; plan not in our documents</t>
        </is>
      </c>
      <c r="AU326" s="32" t="inlineStr">
        <is>
          <t>12.503.801/0001-59</t>
        </is>
      </c>
      <c r="AV326" s="32" t="inlineStr">
        <is>
          <t>printed on the list (read twice)</t>
        </is>
      </c>
      <c r="AW326" s="32" t="inlineStr"/>
      <c r="AX326" s="32" t="inlineStr"/>
      <c r="AY326" s="32" t="inlineStr"/>
      <c r="AZ326" s="32" t="inlineStr"/>
      <c r="BA326" s="32" t="inlineStr"/>
      <c r="BB326" s="33" t="inlineStr"/>
      <c r="BC326" s="32" t="inlineStr">
        <is>
          <t>UNKNOWN</t>
        </is>
      </c>
      <c r="BD326" s="32" t="inlineStr">
        <is>
          <t>70018759</t>
        </is>
      </c>
      <c r="BE326" s="32" t="n">
        <v>1</v>
      </c>
      <c r="BF326" s="32" t="inlineStr">
        <is>
          <t>financial by name list prints no totals no RFB record no route in</t>
        </is>
      </c>
    </row>
    <row r="327">
      <c r="A327" s="17" t="inlineStr">
        <is>
          <t>BANCO TOPÁZIO S/A</t>
        </is>
      </c>
      <c r="B327" s="18" t="n">
        <v>629629.22</v>
      </c>
      <c r="C327" s="19" t="inlineStr">
        <is>
          <t>Mannes</t>
        </is>
      </c>
      <c r="D327" s="20" t="inlineStr">
        <is>
          <t>NEW</t>
        </is>
      </c>
      <c r="E327" s="21" t="inlineStr"/>
      <c r="F327" s="20" t="inlineStr"/>
      <c r="G327" s="21" t="inlineStr"/>
      <c r="H327" s="20" t="inlineStr"/>
      <c r="I327" s="22" t="inlineStr">
        <is>
          <t>Rogerio Nascimento</t>
        </is>
      </c>
      <c r="J327" s="22" t="inlineStr">
        <is>
          <t>Gerente de Credito e Cobrança</t>
        </is>
      </c>
      <c r="K327" s="22" t="inlineStr"/>
      <c r="L327" s="22" t="inlineStr"/>
      <c r="M327" s="22" t="inlineStr"/>
      <c r="N327" s="22" t="inlineStr">
        <is>
          <t>rogerio.nascimento@bancotopazio.com.br</t>
        </is>
      </c>
      <c r="O327" s="22" t="inlineStr">
        <is>
          <t>verified</t>
        </is>
      </c>
      <c r="P327" s="22" t="inlineStr">
        <is>
          <t>Gustavo Farias</t>
        </is>
      </c>
      <c r="Q327" s="22" t="inlineStr">
        <is>
          <t>Analista de Recuperação de Crédito</t>
        </is>
      </c>
      <c r="R327" s="22" t="inlineStr"/>
      <c r="S327" s="22" t="inlineStr"/>
      <c r="T327" s="22" t="inlineStr">
        <is>
          <t>DM: DM verified email; BACKUP: backup email unavailable</t>
        </is>
      </c>
      <c r="U327" s="24" t="n">
        <v>629629.22</v>
      </c>
      <c r="V327" s="40" t="inlineStr">
        <is>
          <t>D</t>
        </is>
      </c>
      <c r="W327" s="26" t="inlineStr"/>
      <c r="X327" s="27" t="inlineStr"/>
      <c r="Y327" s="27" t="inlineStr"/>
      <c r="Z327" s="26">
        <f>IF(W327&lt;&gt;"",W327,IFERROR(VLOOKUP(V327,Assumptions!$A$8:$F$12,2,FALSE),0))*Assumptions!$B$5</f>
        <v/>
      </c>
      <c r="AA327" s="28">
        <f>IF(V327="A",MAX(1,IF(X327&lt;&gt;"",X327,IFERROR(VLOOKUP(V327,Assumptions!$A$8:$F$12,3,FALSE),3))+IF(Y327&lt;&gt;"",Y327,IFERROR(VLOOKUP(V327,Assumptions!$A$8:$F$12,4,FALSE),8))/2-MAX(0,IF(AS327="",0,YEAR(TODAY())-AS327)-IFERROR(VLOOKUP(V327,Assumptions!$A$8:$F$12,5,FALSE),1.5))),IFERROR(VLOOKUP(V327,Assumptions!$A$8:$F$12,5,FALSE),2.5)+IF(X327&lt;&gt;"",X327,IFERROR(VLOOKUP(V327,Assumptions!$A$8:$F$12,3,FALSE),3))+IF(Y327&lt;&gt;"",Y327,IFERROR(VLOOKUP(V327,Assumptions!$A$8:$F$12,4,FALSE),8))/2)</f>
        <v/>
      </c>
      <c r="AB327" s="24">
        <f>U327*Z327/(1+Assumptions!$B$3)^AA327</f>
        <v/>
      </c>
      <c r="AC327" s="27">
        <f>IF(U327=0,"",ROUND(AB327/U327*100,1))</f>
        <v/>
      </c>
      <c r="AD327" s="29">
        <f>AB327*Assumptions!$B$4</f>
        <v/>
      </c>
      <c r="AE327" s="27">
        <f>IF(U327=0,"",ROUND(AD327/U327*100,1))</f>
        <v/>
      </c>
      <c r="AF327" s="29">
        <f>AB327-AD327</f>
        <v/>
      </c>
      <c r="AG327" s="27">
        <f>IF(U327=0,"",ROUND((AB327-AD327)/U327*100,1))</f>
        <v/>
      </c>
      <c r="AH327" s="36" t="inlineStr">
        <is>
          <t>CHECK — source is not a statutory creditor list</t>
        </is>
      </c>
      <c r="AI327" s="31" t="inlineStr">
        <is>
          <t>https://administradorajudicialgs.com.br/wp-content/uploads/2024/12/relacao-de-credores-da-falida.pdf</t>
        </is>
      </c>
      <c r="AJ327" s="30" t="inlineStr">
        <is>
          <t>p13 r11</t>
        </is>
      </c>
      <c r="AK327" s="30" t="inlineStr">
        <is>
          <t>p13: R$ 629.629,22</t>
        </is>
      </c>
      <c r="AL327" s="30" t="inlineStr">
        <is>
          <t>Other filing — NOT an art. 7/51 list</t>
        </is>
      </c>
      <c r="AM327" s="30" t="inlineStr">
        <is>
          <t>2025-03-25</t>
        </is>
      </c>
      <c r="AN327" s="30" t="inlineStr">
        <is>
          <t>NONE FOUND</t>
        </is>
      </c>
      <c r="AO327" s="32" t="inlineStr">
        <is>
          <t>0005010-50.2013.8.24.0026</t>
        </is>
      </c>
      <c r="AP327" s="32" t="inlineStr">
        <is>
          <t>TJSC</t>
        </is>
      </c>
      <c r="AQ327" s="32" t="inlineStr">
        <is>
          <t>Falência</t>
        </is>
      </c>
      <c r="AR327" s="32" t="inlineStr">
        <is>
          <t>not in DataJud</t>
        </is>
      </c>
      <c r="AS327" s="32" t="n">
        <v>2013</v>
      </c>
      <c r="AT327" s="32" t="inlineStr">
        <is>
          <t>falência proceeding (list/name says falida)</t>
        </is>
      </c>
      <c r="AU327" s="32" t="inlineStr"/>
      <c r="AV327" s="32" t="inlineStr">
        <is>
          <t>printed on the list (read twice)</t>
        </is>
      </c>
      <c r="AW327" s="32" t="inlineStr"/>
      <c r="AX327" s="32" t="inlineStr"/>
      <c r="AY327" s="32" t="inlineStr"/>
      <c r="AZ327" s="32" t="inlineStr"/>
      <c r="BA327" s="32" t="inlineStr"/>
      <c r="BB327" s="33" t="inlineStr"/>
      <c r="BC327" s="32" t="inlineStr">
        <is>
          <t>UNKNOWN</t>
        </is>
      </c>
      <c r="BD327" s="32" t="inlineStr">
        <is>
          <t>07679404</t>
        </is>
      </c>
      <c r="BE327" s="32" t="n">
        <v>1</v>
      </c>
      <c r="BF327" s="32" t="inlineStr">
        <is>
          <t>financial by name list prints no totals case no. corrected by reader no RFB record</t>
        </is>
      </c>
    </row>
    <row r="328">
      <c r="A328" s="17" t="inlineStr">
        <is>
          <t>COOPERATIVA DE CRÉDITO RURAL DO ALTO PAJEU LTDA.</t>
        </is>
      </c>
      <c r="B328" s="18" t="n">
        <v>334273.09</v>
      </c>
      <c r="C328" s="19" t="inlineStr">
        <is>
          <t>AGROPECUÁRIA SERROTE REDONDO</t>
        </is>
      </c>
      <c r="D328" s="20" t="inlineStr">
        <is>
          <t>NEW</t>
        </is>
      </c>
      <c r="E328" s="21" t="inlineStr"/>
      <c r="F328" s="20" t="inlineStr"/>
      <c r="G328" s="21" t="inlineStr"/>
      <c r="H328" s="20" t="inlineStr"/>
      <c r="I328" s="22" t="inlineStr"/>
      <c r="J328" s="22" t="inlineStr"/>
      <c r="K328" s="22" t="inlineStr"/>
      <c r="L328" s="22" t="inlineStr"/>
      <c r="M328" s="22" t="inlineStr"/>
      <c r="N328" s="22" t="inlineStr"/>
      <c r="O328" s="22" t="inlineStr"/>
      <c r="P328" s="22" t="inlineStr"/>
      <c r="Q328" s="22" t="inlineStr"/>
      <c r="R328" s="22" t="inlineStr"/>
      <c r="S328" s="22" t="inlineStr"/>
      <c r="T328" s="22" t="inlineStr">
        <is>
          <t>no named contact found; NO ROUTE IN: no phone or email on file</t>
        </is>
      </c>
      <c r="U328" s="24" t="n">
        <v>334273.09</v>
      </c>
      <c r="V328" s="39" t="inlineStr">
        <is>
          <t>C</t>
        </is>
      </c>
      <c r="W328" s="26" t="inlineStr"/>
      <c r="X328" s="27" t="inlineStr"/>
      <c r="Y328" s="27" t="inlineStr"/>
      <c r="Z328" s="26">
        <f>IF(W328&lt;&gt;"",W328,IFERROR(VLOOKUP(V328,Assumptions!$A$8:$F$12,2,FALSE),0))*Assumptions!$B$5</f>
        <v/>
      </c>
      <c r="AA328" s="28">
        <f>IF(V328="A",MAX(1,IF(X328&lt;&gt;"",X328,IFERROR(VLOOKUP(V328,Assumptions!$A$8:$F$12,3,FALSE),3))+IF(Y328&lt;&gt;"",Y328,IFERROR(VLOOKUP(V328,Assumptions!$A$8:$F$12,4,FALSE),8))/2-MAX(0,IF(AS328="",0,YEAR(TODAY())-AS328)-IFERROR(VLOOKUP(V328,Assumptions!$A$8:$F$12,5,FALSE),1.5))),IFERROR(VLOOKUP(V328,Assumptions!$A$8:$F$12,5,FALSE),2.5)+IF(X328&lt;&gt;"",X328,IFERROR(VLOOKUP(V328,Assumptions!$A$8:$F$12,3,FALSE),3))+IF(Y328&lt;&gt;"",Y328,IFERROR(VLOOKUP(V328,Assumptions!$A$8:$F$12,4,FALSE),8))/2)</f>
        <v/>
      </c>
      <c r="AB328" s="24">
        <f>U328*Z328/(1+Assumptions!$B$3)^AA328</f>
        <v/>
      </c>
      <c r="AC328" s="27">
        <f>IF(U328=0,"",ROUND(AB328/U328*100,1))</f>
        <v/>
      </c>
      <c r="AD328" s="29">
        <f>AB328*Assumptions!$B$4</f>
        <v/>
      </c>
      <c r="AE328" s="27">
        <f>IF(U328=0,"",ROUND(AD328/U328*100,1))</f>
        <v/>
      </c>
      <c r="AF328" s="29">
        <f>AB328-AD328</f>
        <v/>
      </c>
      <c r="AG328" s="27">
        <f>IF(U328=0,"",ROUND((AB328-AD328)/U328*100,1))</f>
        <v/>
      </c>
      <c r="AH328" s="30" t="inlineStr">
        <is>
          <t>OK — totals reconciled</t>
        </is>
      </c>
      <c r="AI328" s="31" t="inlineStr">
        <is>
          <t>https://lrflideres.com.br/wp-content/plugins/download-attachments/includes/download.php?id=5001</t>
        </is>
      </c>
      <c r="AJ328" s="30" t="inlineStr">
        <is>
          <t>p1 r29</t>
        </is>
      </c>
      <c r="AK328" s="30" t="inlineStr">
        <is>
          <t>p1: R$ 334.273,09</t>
        </is>
      </c>
      <c r="AL328" s="30" t="inlineStr">
        <is>
          <t>Unclassified list</t>
        </is>
      </c>
      <c r="AM328" s="30" t="inlineStr"/>
      <c r="AN328" s="30" t="inlineStr">
        <is>
          <t>NONE FOUND</t>
        </is>
      </c>
      <c r="AO328" s="32" t="inlineStr">
        <is>
          <t>0000206-69.2013.8.17.1340</t>
        </is>
      </c>
      <c r="AP328" s="32" t="inlineStr">
        <is>
          <t>TJPE</t>
        </is>
      </c>
      <c r="AQ328" s="32" t="inlineStr"/>
      <c r="AR328" s="32" t="inlineStr">
        <is>
          <t>not in DataJud</t>
        </is>
      </c>
      <c r="AS328" s="32" t="n">
        <v>2013</v>
      </c>
      <c r="AT328" s="32" t="inlineStr">
        <is>
          <t>13y since filing; plan not in our documents; case no. from the portal record, not printed on the list</t>
        </is>
      </c>
      <c r="AU328" s="32" t="inlineStr"/>
      <c r="AV328" s="32" t="inlineStr">
        <is>
          <t>portal page title / URL — not printed on the list</t>
        </is>
      </c>
      <c r="AW328" s="32" t="inlineStr"/>
      <c r="AX328" s="32" t="inlineStr"/>
      <c r="AY328" s="32" t="inlineStr"/>
      <c r="AZ328" s="32" t="inlineStr"/>
      <c r="BA328" s="32" t="inlineStr"/>
      <c r="BB328" s="33" t="inlineStr"/>
      <c r="BC328" s="32" t="inlineStr">
        <is>
          <t>UNKNOWN</t>
        </is>
      </c>
      <c r="BD328" s="32" t="inlineStr">
        <is>
          <t>03732359</t>
        </is>
      </c>
      <c r="BE328" s="32" t="n">
        <v>1</v>
      </c>
      <c r="BF328" s="32" t="inlineStr">
        <is>
          <t>ALT_VALUE:334.273,09 financial by name no RFB record no route in</t>
        </is>
      </c>
    </row>
    <row r="329">
      <c r="A329" s="17" t="inlineStr">
        <is>
          <t>BANCO FIBRA SA</t>
        </is>
      </c>
      <c r="B329" s="18" t="n">
        <v>604310.64</v>
      </c>
      <c r="C329" s="19" t="inlineStr">
        <is>
          <t>VISÃO ASSESSORIA CONTÁBIL SC LTDA</t>
        </is>
      </c>
      <c r="D329" s="20" t="inlineStr">
        <is>
          <t>NEW</t>
        </is>
      </c>
      <c r="E329" s="21" t="inlineStr"/>
      <c r="F329" s="20" t="inlineStr"/>
      <c r="G329" s="21" t="inlineStr"/>
      <c r="H329" s="20" t="inlineStr"/>
      <c r="I329" s="22" t="inlineStr">
        <is>
          <t>Carlota Schwarz</t>
        </is>
      </c>
      <c r="J329" s="22" t="inlineStr">
        <is>
          <t>Superintendente de Reestruturação de Crédito</t>
        </is>
      </c>
      <c r="K329" s="22" t="inlineStr">
        <is>
          <t>(11) 3847-6943</t>
        </is>
      </c>
      <c r="L329" s="22" t="inlineStr"/>
      <c r="M329" s="22" t="inlineStr"/>
      <c r="N329" s="22" t="inlineStr">
        <is>
          <t>carlota.schwarz@bancofibra.com.br</t>
        </is>
      </c>
      <c r="O329" s="22" t="inlineStr">
        <is>
          <t>verified</t>
        </is>
      </c>
      <c r="P329" s="22" t="inlineStr">
        <is>
          <t>Augusto Cardoso</t>
        </is>
      </c>
      <c r="Q329" s="22" t="inlineStr">
        <is>
          <t>Gerente de Recuperação de Crédito e Cobrança</t>
        </is>
      </c>
      <c r="R329" s="22" t="inlineStr"/>
      <c r="S329" s="22" t="inlineStr">
        <is>
          <t>acardoso@bancofibra.com.br</t>
        </is>
      </c>
      <c r="T329" s="22" t="inlineStr">
        <is>
          <t>DM: DM; BACKUP: backup</t>
        </is>
      </c>
      <c r="U329" s="24" t="n">
        <v>604310.64</v>
      </c>
      <c r="V329" s="40" t="inlineStr">
        <is>
          <t>D</t>
        </is>
      </c>
      <c r="W329" s="26" t="inlineStr"/>
      <c r="X329" s="27" t="inlineStr"/>
      <c r="Y329" s="27" t="inlineStr"/>
      <c r="Z329" s="26">
        <f>IF(W329&lt;&gt;"",W329,IFERROR(VLOOKUP(V329,Assumptions!$A$8:$F$12,2,FALSE),0))*Assumptions!$B$5</f>
        <v/>
      </c>
      <c r="AA329" s="28">
        <f>IF(V329="A",MAX(1,IF(X329&lt;&gt;"",X329,IFERROR(VLOOKUP(V329,Assumptions!$A$8:$F$12,3,FALSE),3))+IF(Y329&lt;&gt;"",Y329,IFERROR(VLOOKUP(V329,Assumptions!$A$8:$F$12,4,FALSE),8))/2-MAX(0,IF(AS329="",0,YEAR(TODAY())-AS329)-IFERROR(VLOOKUP(V329,Assumptions!$A$8:$F$12,5,FALSE),1.5))),IFERROR(VLOOKUP(V329,Assumptions!$A$8:$F$12,5,FALSE),2.5)+IF(X329&lt;&gt;"",X329,IFERROR(VLOOKUP(V329,Assumptions!$A$8:$F$12,3,FALSE),3))+IF(Y329&lt;&gt;"",Y329,IFERROR(VLOOKUP(V329,Assumptions!$A$8:$F$12,4,FALSE),8))/2)</f>
        <v/>
      </c>
      <c r="AB329" s="24">
        <f>U329*Z329/(1+Assumptions!$B$3)^AA329</f>
        <v/>
      </c>
      <c r="AC329" s="27">
        <f>IF(U329=0,"",ROUND(AB329/U329*100,1))</f>
        <v/>
      </c>
      <c r="AD329" s="29">
        <f>AB329*Assumptions!$B$4</f>
        <v/>
      </c>
      <c r="AE329" s="27">
        <f>IF(U329=0,"",ROUND(AD329/U329*100,1))</f>
        <v/>
      </c>
      <c r="AF329" s="29">
        <f>AB329-AD329</f>
        <v/>
      </c>
      <c r="AG329" s="27">
        <f>IF(U329=0,"",ROUND((AB329-AD329)/U329*100,1))</f>
        <v/>
      </c>
      <c r="AH329" s="34" t="inlineStr">
        <is>
          <t>NO TOTALS — list prints none; check page</t>
        </is>
      </c>
      <c r="AI329" s="31" t="inlineStr">
        <is>
          <t>https://bbsadvogados.com.br/wp-content/uploads/2025/09/Edital-Relacao-de-Credores-da-Administradora-Judicial-art.-7o2o-da-LRF.-Visao-14-02-2025.pdf</t>
        </is>
      </c>
      <c r="AJ329" s="30" t="inlineStr">
        <is>
          <t>p2 r3</t>
        </is>
      </c>
      <c r="AK329" s="30" t="inlineStr">
        <is>
          <t>p2: R$ 604.310,64</t>
        </is>
      </c>
      <c r="AL329" s="30" t="inlineStr">
        <is>
          <t>AJ list (art. 7 §2)</t>
        </is>
      </c>
      <c r="AM329" s="30" t="inlineStr">
        <is>
          <t>2025-02-14</t>
        </is>
      </c>
      <c r="AN329" s="30" t="inlineStr">
        <is>
          <t>NONE FOUND</t>
        </is>
      </c>
      <c r="AO329" s="32" t="inlineStr">
        <is>
          <t>0003232-89.2024.8.16.0185</t>
        </is>
      </c>
      <c r="AP329" s="32" t="inlineStr">
        <is>
          <t>TJPR</t>
        </is>
      </c>
      <c r="AQ329" s="32" t="inlineStr">
        <is>
          <t>Falência</t>
        </is>
      </c>
      <c r="AR329" s="32" t="inlineStr">
        <is>
          <t>not in DataJud</t>
        </is>
      </c>
      <c r="AS329" s="32" t="n">
        <v>2024</v>
      </c>
      <c r="AT329" s="32" t="inlineStr">
        <is>
          <t>falência proceeding (list/name says falida)</t>
        </is>
      </c>
      <c r="AU329" s="32" t="inlineStr">
        <is>
          <t>05.059.250/0001-10</t>
        </is>
      </c>
      <c r="AV329" s="32" t="inlineStr">
        <is>
          <t>printed on the list (read twice)</t>
        </is>
      </c>
      <c r="AW329" s="32" t="inlineStr"/>
      <c r="AX329" s="32" t="inlineStr">
        <is>
          <t>SAO PAULO</t>
        </is>
      </c>
      <c r="AY329" s="32" t="inlineStr">
        <is>
          <t>SP</t>
        </is>
      </c>
      <c r="AZ329" s="32" t="inlineStr">
        <is>
          <t>Bancos múltiplos, com carteira comercial</t>
        </is>
      </c>
      <c r="BA329" s="32" t="inlineStr">
        <is>
          <t>não ME/EPP</t>
        </is>
      </c>
      <c r="BB329" s="33" t="n">
        <v>1207776000</v>
      </c>
      <c r="BC329" s="32" t="inlineStr">
        <is>
          <t>LARGE CORP</t>
        </is>
      </c>
      <c r="BD329" s="32" t="inlineStr">
        <is>
          <t>58616418</t>
        </is>
      </c>
      <c r="BE329" s="32" t="n">
        <v>1</v>
      </c>
      <c r="BF329" s="32" t="inlineStr">
        <is>
          <t>financial by name list prints no totals</t>
        </is>
      </c>
    </row>
    <row r="330">
      <c r="A330" s="17" t="inlineStr">
        <is>
          <t>RED - FUNDO DE INVESTIMENTO EM DIREITOS CREDITORIOS MULTISETORIAL LP (</t>
        </is>
      </c>
      <c r="B330" s="18" t="n">
        <v>325723.67</v>
      </c>
      <c r="C330" s="19" t="inlineStr">
        <is>
          <t>VECTOR INDÚSTRIA DE PRODUTOS METALÚRGICOS LTDA.</t>
        </is>
      </c>
      <c r="D330" s="20" t="inlineStr">
        <is>
          <t>NEW</t>
        </is>
      </c>
      <c r="E330" s="21" t="inlineStr"/>
      <c r="F330" s="20" t="inlineStr"/>
      <c r="G330" s="21" t="inlineStr"/>
      <c r="H330" s="20" t="inlineStr"/>
      <c r="I330" s="22" t="inlineStr">
        <is>
          <t>Camila Benedett</t>
        </is>
      </c>
      <c r="J330" s="22" t="inlineStr">
        <is>
          <t>Especialista Jurídico - Contratos | Imobiliário | FIDC</t>
        </is>
      </c>
      <c r="K330" s="22" t="inlineStr"/>
      <c r="L330" s="22" t="inlineStr"/>
      <c r="M330" s="22" t="inlineStr"/>
      <c r="N330" s="22" t="inlineStr">
        <is>
          <t>camila.benedett@redasset.com.br</t>
        </is>
      </c>
      <c r="O330" s="22" t="inlineStr">
        <is>
          <t>extrapolated</t>
        </is>
      </c>
      <c r="P330" s="22" t="inlineStr"/>
      <c r="Q330" s="22" t="inlineStr"/>
      <c r="R330" s="22" t="inlineStr"/>
      <c r="S330" s="22" t="inlineStr"/>
      <c r="T330" s="22" t="inlineStr">
        <is>
          <t>DM is not a finance role (Especialista Jurídico - Contra); DM: DM extrapolated email; VERIFY org: RED Asset (gestora of RED FIDC?)</t>
        </is>
      </c>
      <c r="U330" s="24" t="n">
        <v>325723.67</v>
      </c>
      <c r="V330" s="39" t="inlineStr">
        <is>
          <t>C</t>
        </is>
      </c>
      <c r="W330" s="26" t="inlineStr"/>
      <c r="X330" s="27" t="inlineStr"/>
      <c r="Y330" s="27" t="inlineStr"/>
      <c r="Z330" s="26">
        <f>IF(W330&lt;&gt;"",W330,IFERROR(VLOOKUP(V330,Assumptions!$A$8:$F$12,2,FALSE),0))*Assumptions!$B$5</f>
        <v/>
      </c>
      <c r="AA330" s="28">
        <f>IF(V330="A",MAX(1,IF(X330&lt;&gt;"",X330,IFERROR(VLOOKUP(V330,Assumptions!$A$8:$F$12,3,FALSE),3))+IF(Y330&lt;&gt;"",Y330,IFERROR(VLOOKUP(V330,Assumptions!$A$8:$F$12,4,FALSE),8))/2-MAX(0,IF(AS330="",0,YEAR(TODAY())-AS330)-IFERROR(VLOOKUP(V330,Assumptions!$A$8:$F$12,5,FALSE),1.5))),IFERROR(VLOOKUP(V330,Assumptions!$A$8:$F$12,5,FALSE),2.5)+IF(X330&lt;&gt;"",X330,IFERROR(VLOOKUP(V330,Assumptions!$A$8:$F$12,3,FALSE),3))+IF(Y330&lt;&gt;"",Y330,IFERROR(VLOOKUP(V330,Assumptions!$A$8:$F$12,4,FALSE),8))/2)</f>
        <v/>
      </c>
      <c r="AB330" s="24">
        <f>U330*Z330/(1+Assumptions!$B$3)^AA330</f>
        <v/>
      </c>
      <c r="AC330" s="27">
        <f>IF(U330=0,"",ROUND(AB330/U330*100,1))</f>
        <v/>
      </c>
      <c r="AD330" s="29">
        <f>AB330*Assumptions!$B$4</f>
        <v/>
      </c>
      <c r="AE330" s="27">
        <f>IF(U330=0,"",ROUND(AD330/U330*100,1))</f>
        <v/>
      </c>
      <c r="AF330" s="29">
        <f>AB330-AD330</f>
        <v/>
      </c>
      <c r="AG330" s="27">
        <f>IF(U330=0,"",ROUND((AB330-AD330)/U330*100,1))</f>
        <v/>
      </c>
      <c r="AH330" s="34" t="inlineStr">
        <is>
          <t>NO TOTALS — list prints none; check page</t>
        </is>
      </c>
      <c r="AI330" s="31" t="inlineStr">
        <is>
          <t>https://scalzilliaj.com.br/sgc/download.php?file=files/processo_documento/processo_documento15513401112022_1_.pdf&amp;nome=15 - Edital do art. 7º, §2º (segunda lista de credores) e do art. 53 da Lei 11.101/2005 (recebimento do plano)</t>
        </is>
      </c>
      <c r="AJ330" s="30" t="inlineStr">
        <is>
          <t>p9 r13</t>
        </is>
      </c>
      <c r="AK330" s="30" t="inlineStr">
        <is>
          <t>p9: R$ 325.723,67</t>
        </is>
      </c>
      <c r="AL330" s="30" t="inlineStr">
        <is>
          <t>AJ list (art. 7 §2)</t>
        </is>
      </c>
      <c r="AM330" s="30" t="inlineStr">
        <is>
          <t>2022-11-01</t>
        </is>
      </c>
      <c r="AN330" s="30" t="inlineStr">
        <is>
          <t>NONE FOUND</t>
        </is>
      </c>
      <c r="AO330" s="32" t="inlineStr">
        <is>
          <t>5014104-85.2021.8.21.0010</t>
        </is>
      </c>
      <c r="AP330" s="32" t="inlineStr">
        <is>
          <t>TJRS</t>
        </is>
      </c>
      <c r="AQ330" s="32" t="inlineStr">
        <is>
          <t>Recuperação judicial</t>
        </is>
      </c>
      <c r="AR330" s="32" t="inlineStr">
        <is>
          <t>DataJud: no closure/falência movement</t>
        </is>
      </c>
      <c r="AS330" s="32" t="n">
        <v>2021</v>
      </c>
      <c r="AT330" s="32" t="inlineStr">
        <is>
          <t>5y since filing; plan not in our documents</t>
        </is>
      </c>
      <c r="AU330" s="32" t="inlineStr">
        <is>
          <t>03.018.339/0001-03</t>
        </is>
      </c>
      <c r="AV330" s="32" t="inlineStr">
        <is>
          <t>printed on the list (read twice)</t>
        </is>
      </c>
      <c r="AW330" s="32" t="inlineStr"/>
      <c r="AX330" s="32" t="inlineStr"/>
      <c r="AY330" s="32" t="inlineStr"/>
      <c r="AZ330" s="32" t="inlineStr"/>
      <c r="BA330" s="32" t="inlineStr"/>
      <c r="BB330" s="33" t="inlineStr"/>
      <c r="BC330" s="32" t="inlineStr">
        <is>
          <t>UNKNOWN</t>
        </is>
      </c>
      <c r="BD330" s="32" t="inlineStr">
        <is>
          <t>08632394</t>
        </is>
      </c>
      <c r="BE330" s="32" t="n">
        <v>1</v>
      </c>
      <c r="BF330" s="32" t="inlineStr">
        <is>
          <t>financial by name list prints no totals no RFB record</t>
        </is>
      </c>
    </row>
    <row r="331">
      <c r="A331" s="17" t="inlineStr">
        <is>
          <t>BPLACE SECURITIZADORA S.A. (</t>
        </is>
      </c>
      <c r="B331" s="18" t="n">
        <v>303480.05</v>
      </c>
      <c r="C331" s="19" t="inlineStr">
        <is>
          <t>VECTOR INDÚSTRIA DE PRODUTOS METALÚRGICOS LTDA.</t>
        </is>
      </c>
      <c r="D331" s="20" t="inlineStr">
        <is>
          <t>NEW</t>
        </is>
      </c>
      <c r="E331" s="21" t="inlineStr"/>
      <c r="F331" s="20" t="inlineStr"/>
      <c r="G331" s="21" t="inlineStr"/>
      <c r="H331" s="20" t="inlineStr"/>
      <c r="I331" s="22" t="inlineStr">
        <is>
          <t>Renan Iop</t>
        </is>
      </c>
      <c r="J331" s="22" t="inlineStr">
        <is>
          <t>Managing Partner</t>
        </is>
      </c>
      <c r="K331" s="22" t="inlineStr"/>
      <c r="L331" s="22" t="inlineStr"/>
      <c r="M331" s="22" t="inlineStr"/>
      <c r="N331" s="22" t="inlineStr">
        <is>
          <t>renan.iop@bplace.com.br</t>
        </is>
      </c>
      <c r="O331" s="22" t="inlineStr">
        <is>
          <t>verified</t>
        </is>
      </c>
      <c r="P331" s="22" t="inlineStr">
        <is>
          <t>Luis Oliveira</t>
        </is>
      </c>
      <c r="Q331" s="22" t="inlineStr">
        <is>
          <t>Managing Partner</t>
        </is>
      </c>
      <c r="R331" s="22" t="inlineStr"/>
      <c r="S331" s="22" t="inlineStr">
        <is>
          <t>luis.oliveira@bplace.com.br</t>
        </is>
      </c>
      <c r="T331" s="22" t="inlineStr">
        <is>
          <t>DM: DM; VERIFY org: BPlace Capital (assumed = Bplace Securitizadora); BACKUP: backup2; backup email is pattern-guessed</t>
        </is>
      </c>
      <c r="U331" s="24" t="n">
        <v>303480.05</v>
      </c>
      <c r="V331" s="39" t="inlineStr">
        <is>
          <t>C</t>
        </is>
      </c>
      <c r="W331" s="26" t="inlineStr"/>
      <c r="X331" s="27" t="inlineStr"/>
      <c r="Y331" s="27" t="inlineStr"/>
      <c r="Z331" s="26">
        <f>IF(W331&lt;&gt;"",W331,IFERROR(VLOOKUP(V331,Assumptions!$A$8:$F$12,2,FALSE),0))*Assumptions!$B$5</f>
        <v/>
      </c>
      <c r="AA331" s="28">
        <f>IF(V331="A",MAX(1,IF(X331&lt;&gt;"",X331,IFERROR(VLOOKUP(V331,Assumptions!$A$8:$F$12,3,FALSE),3))+IF(Y331&lt;&gt;"",Y331,IFERROR(VLOOKUP(V331,Assumptions!$A$8:$F$12,4,FALSE),8))/2-MAX(0,IF(AS331="",0,YEAR(TODAY())-AS331)-IFERROR(VLOOKUP(V331,Assumptions!$A$8:$F$12,5,FALSE),1.5))),IFERROR(VLOOKUP(V331,Assumptions!$A$8:$F$12,5,FALSE),2.5)+IF(X331&lt;&gt;"",X331,IFERROR(VLOOKUP(V331,Assumptions!$A$8:$F$12,3,FALSE),3))+IF(Y331&lt;&gt;"",Y331,IFERROR(VLOOKUP(V331,Assumptions!$A$8:$F$12,4,FALSE),8))/2)</f>
        <v/>
      </c>
      <c r="AB331" s="24">
        <f>U331*Z331/(1+Assumptions!$B$3)^AA331</f>
        <v/>
      </c>
      <c r="AC331" s="27">
        <f>IF(U331=0,"",ROUND(AB331/U331*100,1))</f>
        <v/>
      </c>
      <c r="AD331" s="29">
        <f>AB331*Assumptions!$B$4</f>
        <v/>
      </c>
      <c r="AE331" s="27">
        <f>IF(U331=0,"",ROUND(AD331/U331*100,1))</f>
        <v/>
      </c>
      <c r="AF331" s="29">
        <f>AB331-AD331</f>
        <v/>
      </c>
      <c r="AG331" s="27">
        <f>IF(U331=0,"",ROUND((AB331-AD331)/U331*100,1))</f>
        <v/>
      </c>
      <c r="AH331" s="34" t="inlineStr">
        <is>
          <t>NO TOTALS — list prints none; check page</t>
        </is>
      </c>
      <c r="AI331" s="31" t="inlineStr">
        <is>
          <t>https://scalzilliaj.com.br/sgc/download.php?file=files/processo_documento/processo_documento15513401112022_1_.pdf&amp;nome=15 - Edital do art. 7º, §2º (segunda lista de credores) e do art. 53 da Lei 11.101/2005 (recebimento do plano)</t>
        </is>
      </c>
      <c r="AJ331" s="30" t="inlineStr">
        <is>
          <t>p6 r4</t>
        </is>
      </c>
      <c r="AK331" s="30" t="inlineStr">
        <is>
          <t>p6: R$ 303.480,05</t>
        </is>
      </c>
      <c r="AL331" s="30" t="inlineStr">
        <is>
          <t>AJ list (art. 7 §2)</t>
        </is>
      </c>
      <c r="AM331" s="30" t="inlineStr">
        <is>
          <t>2022-11-01</t>
        </is>
      </c>
      <c r="AN331" s="30" t="inlineStr">
        <is>
          <t>NONE FOUND</t>
        </is>
      </c>
      <c r="AO331" s="32" t="inlineStr">
        <is>
          <t>5014104-85.2021.8.21.0010</t>
        </is>
      </c>
      <c r="AP331" s="32" t="inlineStr">
        <is>
          <t>TJRS</t>
        </is>
      </c>
      <c r="AQ331" s="32" t="inlineStr">
        <is>
          <t>Recuperação judicial</t>
        </is>
      </c>
      <c r="AR331" s="32" t="inlineStr">
        <is>
          <t>DataJud: no closure/falência movement</t>
        </is>
      </c>
      <c r="AS331" s="32" t="n">
        <v>2021</v>
      </c>
      <c r="AT331" s="32" t="inlineStr">
        <is>
          <t>5y since filing; plan not in our documents</t>
        </is>
      </c>
      <c r="AU331" s="32" t="inlineStr">
        <is>
          <t>03.018.339/0001-03</t>
        </is>
      </c>
      <c r="AV331" s="32" t="inlineStr">
        <is>
          <t>printed on the list (read twice)</t>
        </is>
      </c>
      <c r="AW331" s="32" t="inlineStr"/>
      <c r="AX331" s="32" t="inlineStr"/>
      <c r="AY331" s="32" t="inlineStr"/>
      <c r="AZ331" s="32" t="inlineStr"/>
      <c r="BA331" s="32" t="inlineStr"/>
      <c r="BB331" s="33" t="inlineStr"/>
      <c r="BC331" s="32" t="inlineStr">
        <is>
          <t>UNKNOWN</t>
        </is>
      </c>
      <c r="BD331" s="32" t="inlineStr">
        <is>
          <t>27695272</t>
        </is>
      </c>
      <c r="BE331" s="32" t="n">
        <v>1</v>
      </c>
      <c r="BF331" s="32" t="inlineStr">
        <is>
          <t>financial by name list prints no totals no RFB record</t>
        </is>
      </c>
    </row>
    <row r="332">
      <c r="A332" s="17" t="inlineStr">
        <is>
          <t>BANCO BRADESCO S.A.</t>
        </is>
      </c>
      <c r="B332" s="18" t="n">
        <v>299688.41</v>
      </c>
      <c r="C332" s="19" t="inlineStr">
        <is>
          <t>Grupo Mastter</t>
        </is>
      </c>
      <c r="D332" s="20" t="inlineStr">
        <is>
          <t>NEW</t>
        </is>
      </c>
      <c r="E332" s="21" t="inlineStr"/>
      <c r="F332" s="20" t="inlineStr"/>
      <c r="G332" s="21" t="inlineStr"/>
      <c r="H332" s="20" t="inlineStr"/>
      <c r="I332" s="22" t="inlineStr">
        <is>
          <t>Marcela Martins</t>
        </is>
      </c>
      <c r="J332" s="22" t="inlineStr">
        <is>
          <t>Superintendente de Recuperação de Crédito - Canais e Operações</t>
        </is>
      </c>
      <c r="K332" s="22" t="inlineStr">
        <is>
          <t>(11) 3684-5122</t>
        </is>
      </c>
      <c r="L332" s="22" t="inlineStr"/>
      <c r="M332" s="22" t="inlineStr"/>
      <c r="N332" s="22" t="inlineStr"/>
      <c r="O332" s="22" t="inlineStr"/>
      <c r="P332" s="22" t="inlineStr">
        <is>
          <t>Luis S</t>
        </is>
      </c>
      <c r="Q332" s="22" t="inlineStr">
        <is>
          <t>DRC - Departamento de Recuperação de Crédito - Gerente de Reestruturação de Crédito</t>
        </is>
      </c>
      <c r="R332" s="22" t="inlineStr"/>
      <c r="S332" s="22" t="inlineStr">
        <is>
          <t>sl@bradesco.com.br</t>
        </is>
      </c>
      <c r="T332" s="22" t="inlineStr">
        <is>
          <t>DM: DM; no work email in Apollo for DM; BACKUP: backup</t>
        </is>
      </c>
      <c r="U332" s="24" t="n">
        <v>299688.41</v>
      </c>
      <c r="V332" s="39" t="inlineStr">
        <is>
          <t>C</t>
        </is>
      </c>
      <c r="W332" s="26" t="inlineStr"/>
      <c r="X332" s="27" t="inlineStr"/>
      <c r="Y332" s="27" t="inlineStr"/>
      <c r="Z332" s="26">
        <f>IF(W332&lt;&gt;"",W332,IFERROR(VLOOKUP(V332,Assumptions!$A$8:$F$12,2,FALSE),0))*Assumptions!$B$5</f>
        <v/>
      </c>
      <c r="AA332" s="28">
        <f>IF(V332="A",MAX(1,IF(X332&lt;&gt;"",X332,IFERROR(VLOOKUP(V332,Assumptions!$A$8:$F$12,3,FALSE),3))+IF(Y332&lt;&gt;"",Y332,IFERROR(VLOOKUP(V332,Assumptions!$A$8:$F$12,4,FALSE),8))/2-MAX(0,IF(AS332="",0,YEAR(TODAY())-AS332)-IFERROR(VLOOKUP(V332,Assumptions!$A$8:$F$12,5,FALSE),1.5))),IFERROR(VLOOKUP(V332,Assumptions!$A$8:$F$12,5,FALSE),2.5)+IF(X332&lt;&gt;"",X332,IFERROR(VLOOKUP(V332,Assumptions!$A$8:$F$12,3,FALSE),3))+IF(Y332&lt;&gt;"",Y332,IFERROR(VLOOKUP(V332,Assumptions!$A$8:$F$12,4,FALSE),8))/2)</f>
        <v/>
      </c>
      <c r="AB332" s="24">
        <f>U332*Z332/(1+Assumptions!$B$3)^AA332</f>
        <v/>
      </c>
      <c r="AC332" s="27">
        <f>IF(U332=0,"",ROUND(AB332/U332*100,1))</f>
        <v/>
      </c>
      <c r="AD332" s="29">
        <f>AB332*Assumptions!$B$4</f>
        <v/>
      </c>
      <c r="AE332" s="27">
        <f>IF(U332=0,"",ROUND(AD332/U332*100,1))</f>
        <v/>
      </c>
      <c r="AF332" s="29">
        <f>AB332-AD332</f>
        <v/>
      </c>
      <c r="AG332" s="27">
        <f>IF(U332=0,"",ROUND((AB332-AD332)/U332*100,1))</f>
        <v/>
      </c>
      <c r="AH332" s="34" t="inlineStr">
        <is>
          <t>NO TOTALS — list prints none; check page</t>
        </is>
      </c>
      <c r="AI332" s="31" t="inlineStr">
        <is>
          <t>https://realbrasil.com.br/wp-content/uploads/2017/05/Relação-de-Credores_-Mastter-1.pdf</t>
        </is>
      </c>
      <c r="AJ332" s="30" t="inlineStr">
        <is>
          <t>p13 r13; p13 r15</t>
        </is>
      </c>
      <c r="AK332" s="30" t="inlineStr">
        <is>
          <t>p13: R$ 298.489,42; p13: R$ 1.198,99</t>
        </is>
      </c>
      <c r="AL332" s="30" t="inlineStr">
        <is>
          <t>Debtor list (art. 51)</t>
        </is>
      </c>
      <c r="AM332" s="30" t="inlineStr">
        <is>
          <t>2016-02-10</t>
        </is>
      </c>
      <c r="AN332" s="30" t="inlineStr">
        <is>
          <t>NONE FOUND</t>
        </is>
      </c>
      <c r="AO332" s="32" t="inlineStr">
        <is>
          <t>0801893-91.2016.8.12.0011</t>
        </is>
      </c>
      <c r="AP332" s="32" t="inlineStr">
        <is>
          <t>TJMS</t>
        </is>
      </c>
      <c r="AQ332" s="32" t="inlineStr">
        <is>
          <t>Recuperação judicial</t>
        </is>
      </c>
      <c r="AR332" s="32" t="inlineStr">
        <is>
          <t>not in DataJud</t>
        </is>
      </c>
      <c r="AS332" s="32" t="n">
        <v>2016</v>
      </c>
      <c r="AT332" s="32" t="inlineStr">
        <is>
          <t>10y since filing; plan not in our documents; case no. from the portal record, not printed on the list</t>
        </is>
      </c>
      <c r="AU332" s="32" t="inlineStr"/>
      <c r="AV332" s="32" t="inlineStr">
        <is>
          <t>printed on the list (read twice)</t>
        </is>
      </c>
      <c r="AW332" s="32" t="inlineStr"/>
      <c r="AX332" s="32" t="inlineStr">
        <is>
          <t>OSASCO</t>
        </is>
      </c>
      <c r="AY332" s="32" t="inlineStr">
        <is>
          <t>SP</t>
        </is>
      </c>
      <c r="AZ332" s="32" t="inlineStr">
        <is>
          <t>Bancos múltiplos, com carteira comercial</t>
        </is>
      </c>
      <c r="BA332" s="32" t="inlineStr">
        <is>
          <t>não ME/EPP</t>
        </is>
      </c>
      <c r="BB332" s="33" t="n">
        <v>93770000000</v>
      </c>
      <c r="BC332" s="32" t="inlineStr">
        <is>
          <t>LARGE CORP</t>
        </is>
      </c>
      <c r="BD332" s="32" t="inlineStr">
        <is>
          <t>60746948</t>
        </is>
      </c>
      <c r="BE332" s="32" t="n">
        <v>2</v>
      </c>
      <c r="BF332" s="32" t="inlineStr">
        <is>
          <t>ALT_VALUE:R$1.198,99 ALT_VALUE:R$298.489,42 list prints no totals</t>
        </is>
      </c>
    </row>
    <row r="333">
      <c r="A333" s="17" t="inlineStr">
        <is>
          <t>LUGUS SECURITIZADORA S/A (</t>
        </is>
      </c>
      <c r="B333" s="18" t="n">
        <v>275417.56</v>
      </c>
      <c r="C333" s="19" t="inlineStr">
        <is>
          <t>VECTOR INDÚSTRIA DE PRODUTOS METALÚRGICOS LTDA.</t>
        </is>
      </c>
      <c r="D333" s="20" t="inlineStr">
        <is>
          <t>NEW</t>
        </is>
      </c>
      <c r="E333" s="21" t="inlineStr"/>
      <c r="F333" s="20" t="inlineStr"/>
      <c r="G333" s="21" t="inlineStr"/>
      <c r="H333" s="20" t="inlineStr"/>
      <c r="I333" s="22" t="inlineStr"/>
      <c r="J333" s="22" t="inlineStr"/>
      <c r="K333" s="22" t="inlineStr"/>
      <c r="L333" s="22" t="inlineStr"/>
      <c r="M333" s="22" t="inlineStr"/>
      <c r="N333" s="22" t="inlineStr"/>
      <c r="O333" s="22" t="inlineStr"/>
      <c r="P333" s="22" t="inlineStr"/>
      <c r="Q333" s="22" t="inlineStr"/>
      <c r="R333" s="22" t="inlineStr"/>
      <c r="S333" s="22" t="inlineStr"/>
      <c r="T333" s="22" t="inlineStr">
        <is>
          <t>no named contact found; NO ROUTE IN: no phone or email on file</t>
        </is>
      </c>
      <c r="U333" s="24" t="n">
        <v>275417.56</v>
      </c>
      <c r="V333" s="39" t="inlineStr">
        <is>
          <t>C</t>
        </is>
      </c>
      <c r="W333" s="26" t="inlineStr"/>
      <c r="X333" s="27" t="inlineStr"/>
      <c r="Y333" s="27" t="inlineStr"/>
      <c r="Z333" s="26">
        <f>IF(W333&lt;&gt;"",W333,IFERROR(VLOOKUP(V333,Assumptions!$A$8:$F$12,2,FALSE),0))*Assumptions!$B$5</f>
        <v/>
      </c>
      <c r="AA333" s="28">
        <f>IF(V333="A",MAX(1,IF(X333&lt;&gt;"",X333,IFERROR(VLOOKUP(V333,Assumptions!$A$8:$F$12,3,FALSE),3))+IF(Y333&lt;&gt;"",Y333,IFERROR(VLOOKUP(V333,Assumptions!$A$8:$F$12,4,FALSE),8))/2-MAX(0,IF(AS333="",0,YEAR(TODAY())-AS333)-IFERROR(VLOOKUP(V333,Assumptions!$A$8:$F$12,5,FALSE),1.5))),IFERROR(VLOOKUP(V333,Assumptions!$A$8:$F$12,5,FALSE),2.5)+IF(X333&lt;&gt;"",X333,IFERROR(VLOOKUP(V333,Assumptions!$A$8:$F$12,3,FALSE),3))+IF(Y333&lt;&gt;"",Y333,IFERROR(VLOOKUP(V333,Assumptions!$A$8:$F$12,4,FALSE),8))/2)</f>
        <v/>
      </c>
      <c r="AB333" s="24">
        <f>U333*Z333/(1+Assumptions!$B$3)^AA333</f>
        <v/>
      </c>
      <c r="AC333" s="27">
        <f>IF(U333=0,"",ROUND(AB333/U333*100,1))</f>
        <v/>
      </c>
      <c r="AD333" s="29">
        <f>AB333*Assumptions!$B$4</f>
        <v/>
      </c>
      <c r="AE333" s="27">
        <f>IF(U333=0,"",ROUND(AD333/U333*100,1))</f>
        <v/>
      </c>
      <c r="AF333" s="29">
        <f>AB333-AD333</f>
        <v/>
      </c>
      <c r="AG333" s="27">
        <f>IF(U333=0,"",ROUND((AB333-AD333)/U333*100,1))</f>
        <v/>
      </c>
      <c r="AH333" s="34" t="inlineStr">
        <is>
          <t>NO TOTALS — list prints none; check page</t>
        </is>
      </c>
      <c r="AI333" s="31" t="inlineStr">
        <is>
          <t>https://scalzilliaj.com.br/sgc/download.php?file=files/processo_documento/processo_documento15513401112022_1_.pdf&amp;nome=15 - Edital do art. 7º, §2º (segunda lista de credores) e do art. 53 da Lei 11.101/2005 (recebimento do plano)</t>
        </is>
      </c>
      <c r="AJ333" s="30" t="inlineStr">
        <is>
          <t>p8 r8</t>
        </is>
      </c>
      <c r="AK333" s="30" t="inlineStr">
        <is>
          <t>p8: R$ 275.417,56</t>
        </is>
      </c>
      <c r="AL333" s="30" t="inlineStr">
        <is>
          <t>AJ list (art. 7 §2)</t>
        </is>
      </c>
      <c r="AM333" s="30" t="inlineStr">
        <is>
          <t>2022-11-01</t>
        </is>
      </c>
      <c r="AN333" s="30" t="inlineStr">
        <is>
          <t>NONE FOUND</t>
        </is>
      </c>
      <c r="AO333" s="32" t="inlineStr">
        <is>
          <t>5014104-85.2021.8.21.0010</t>
        </is>
      </c>
      <c r="AP333" s="32" t="inlineStr">
        <is>
          <t>TJRS</t>
        </is>
      </c>
      <c r="AQ333" s="32" t="inlineStr">
        <is>
          <t>Recuperação judicial</t>
        </is>
      </c>
      <c r="AR333" s="32" t="inlineStr">
        <is>
          <t>DataJud: no closure/falência movement</t>
        </is>
      </c>
      <c r="AS333" s="32" t="n">
        <v>2021</v>
      </c>
      <c r="AT333" s="32" t="inlineStr">
        <is>
          <t>5y since filing; plan not in our documents</t>
        </is>
      </c>
      <c r="AU333" s="32" t="inlineStr">
        <is>
          <t>03.018.339/0001-03</t>
        </is>
      </c>
      <c r="AV333" s="32" t="inlineStr">
        <is>
          <t>printed on the list (read twice)</t>
        </is>
      </c>
      <c r="AW333" s="32" t="inlineStr"/>
      <c r="AX333" s="32" t="inlineStr"/>
      <c r="AY333" s="32" t="inlineStr"/>
      <c r="AZ333" s="32" t="inlineStr"/>
      <c r="BA333" s="32" t="inlineStr"/>
      <c r="BB333" s="33" t="inlineStr"/>
      <c r="BC333" s="32" t="inlineStr">
        <is>
          <t>UNKNOWN</t>
        </is>
      </c>
      <c r="BD333" s="32" t="inlineStr">
        <is>
          <t>34548181</t>
        </is>
      </c>
      <c r="BE333" s="32" t="n">
        <v>1</v>
      </c>
      <c r="BF333" s="32" t="inlineStr">
        <is>
          <t>financial by name list prints no totals no RFB record no route in</t>
        </is>
      </c>
    </row>
    <row r="334">
      <c r="A334" s="17" t="inlineStr">
        <is>
          <t>BANCO SANTANDER (BRASIL) S.A.</t>
        </is>
      </c>
      <c r="B334" s="18" t="n">
        <v>496312.38</v>
      </c>
      <c r="C334" s="19" t="inlineStr">
        <is>
          <t>Albertina Martins Pereira Freccia ME / Roberto Brunato Freccia Ltda. / Sofia Freccia Confecções Ltda.</t>
        </is>
      </c>
      <c r="D334" s="20" t="inlineStr">
        <is>
          <t>NEW</t>
        </is>
      </c>
      <c r="E334" s="21" t="inlineStr"/>
      <c r="F334" s="20" t="inlineStr"/>
      <c r="G334" s="21" t="inlineStr"/>
      <c r="H334" s="20" t="inlineStr"/>
      <c r="I334" s="22" t="inlineStr">
        <is>
          <t>Igor Puertas</t>
        </is>
      </c>
      <c r="J334" s="22" t="inlineStr">
        <is>
          <t>Distressed Assets | NPL</t>
        </is>
      </c>
      <c r="K334" s="22" t="inlineStr">
        <is>
          <t>(11) 4004-3535</t>
        </is>
      </c>
      <c r="L334" s="22" t="inlineStr"/>
      <c r="M334" s="22" t="inlineStr"/>
      <c r="N334" s="22" t="inlineStr">
        <is>
          <t>igor.puertas@santander.com.br</t>
        </is>
      </c>
      <c r="O334" s="22" t="inlineStr">
        <is>
          <t>verified</t>
        </is>
      </c>
      <c r="P334" s="22" t="inlineStr">
        <is>
          <t>Antonio Junior</t>
        </is>
      </c>
      <c r="Q334" s="22" t="inlineStr">
        <is>
          <t>Superintendente Recuperação de Crédito</t>
        </is>
      </c>
      <c r="R334" s="22" t="inlineStr"/>
      <c r="S334" s="22" t="inlineStr">
        <is>
          <t>antonio.pequeno.junior@santander.com.br</t>
        </is>
      </c>
      <c r="T334" s="22" t="inlineStr">
        <is>
          <t>DM: DM; BACKUP: backup</t>
        </is>
      </c>
      <c r="U334" s="24" t="n">
        <v>496312.38</v>
      </c>
      <c r="V334" s="40" t="inlineStr">
        <is>
          <t>D</t>
        </is>
      </c>
      <c r="W334" s="26" t="inlineStr"/>
      <c r="X334" s="27" t="inlineStr"/>
      <c r="Y334" s="27" t="inlineStr"/>
      <c r="Z334" s="26">
        <f>IF(W334&lt;&gt;"",W334,IFERROR(VLOOKUP(V334,Assumptions!$A$8:$F$12,2,FALSE),0))*Assumptions!$B$5</f>
        <v/>
      </c>
      <c r="AA334" s="28">
        <f>IF(V334="A",MAX(1,IF(X334&lt;&gt;"",X334,IFERROR(VLOOKUP(V334,Assumptions!$A$8:$F$12,3,FALSE),3))+IF(Y334&lt;&gt;"",Y334,IFERROR(VLOOKUP(V334,Assumptions!$A$8:$F$12,4,FALSE),8))/2-MAX(0,IF(AS334="",0,YEAR(TODAY())-AS334)-IFERROR(VLOOKUP(V334,Assumptions!$A$8:$F$12,5,FALSE),1.5))),IFERROR(VLOOKUP(V334,Assumptions!$A$8:$F$12,5,FALSE),2.5)+IF(X334&lt;&gt;"",X334,IFERROR(VLOOKUP(V334,Assumptions!$A$8:$F$12,3,FALSE),3))+IF(Y334&lt;&gt;"",Y334,IFERROR(VLOOKUP(V334,Assumptions!$A$8:$F$12,4,FALSE),8))/2)</f>
        <v/>
      </c>
      <c r="AB334" s="24">
        <f>U334*Z334/(1+Assumptions!$B$3)^AA334</f>
        <v/>
      </c>
      <c r="AC334" s="27">
        <f>IF(U334=0,"",ROUND(AB334/U334*100,1))</f>
        <v/>
      </c>
      <c r="AD334" s="29">
        <f>AB334*Assumptions!$B$4</f>
        <v/>
      </c>
      <c r="AE334" s="27">
        <f>IF(U334=0,"",ROUND(AD334/U334*100,1))</f>
        <v/>
      </c>
      <c r="AF334" s="29">
        <f>AB334-AD334</f>
        <v/>
      </c>
      <c r="AG334" s="27">
        <f>IF(U334=0,"",ROUND((AB334-AD334)/U334*100,1))</f>
        <v/>
      </c>
      <c r="AH334" s="34" t="inlineStr">
        <is>
          <t>NO TOTALS — list prints none; check page</t>
        </is>
      </c>
      <c r="AI334" s="31" t="inlineStr">
        <is>
          <t>https://administradorajudicialgs.com.br/wp-content/uploads/2023/08/relacao-de-credores-da-recuperanda-2.pdf</t>
        </is>
      </c>
      <c r="AJ334" s="30" t="inlineStr">
        <is>
          <t>p3 r11; p3 r12</t>
        </is>
      </c>
      <c r="AK334" s="30" t="inlineStr">
        <is>
          <t>p3: R$ 324.366,11; p3: R$ 171.946,27</t>
        </is>
      </c>
      <c r="AL334" s="30" t="inlineStr">
        <is>
          <t>Unclassified list</t>
        </is>
      </c>
      <c r="AM334" s="30" t="inlineStr">
        <is>
          <t>2019-11-11</t>
        </is>
      </c>
      <c r="AN334" s="30" t="inlineStr">
        <is>
          <t>NONE FOUND</t>
        </is>
      </c>
      <c r="AO334" s="32" t="inlineStr">
        <is>
          <t>5003439-20.2020.8.24.0282</t>
        </is>
      </c>
      <c r="AP334" s="32" t="inlineStr">
        <is>
          <t>TJSC</t>
        </is>
      </c>
      <c r="AQ334" s="32" t="inlineStr">
        <is>
          <t>Falência</t>
        </is>
      </c>
      <c r="AR334" s="32" t="inlineStr">
        <is>
          <t>not in DataJud</t>
        </is>
      </c>
      <c r="AS334" s="32" t="n">
        <v>2020</v>
      </c>
      <c r="AT334" s="32" t="inlineStr">
        <is>
          <t>falência proceeding (list/name says falida)</t>
        </is>
      </c>
      <c r="AU334" s="32" t="inlineStr"/>
      <c r="AV334" s="32" t="inlineStr">
        <is>
          <t>printed on the list (read twice)</t>
        </is>
      </c>
      <c r="AW334" s="32" t="inlineStr"/>
      <c r="AX334" s="32" t="inlineStr">
        <is>
          <t>SAO PAULO</t>
        </is>
      </c>
      <c r="AY334" s="32" t="inlineStr">
        <is>
          <t>SP</t>
        </is>
      </c>
      <c r="AZ334" s="32" t="inlineStr">
        <is>
          <t>Bancos múltiplos, com carteira comercial</t>
        </is>
      </c>
      <c r="BA334" s="32" t="inlineStr">
        <is>
          <t>não ME/EPP</t>
        </is>
      </c>
      <c r="BB334" s="33" t="n">
        <v>65000000000</v>
      </c>
      <c r="BC334" s="32" t="inlineStr">
        <is>
          <t>LARGE CORP</t>
        </is>
      </c>
      <c r="BD334" s="32" t="inlineStr">
        <is>
          <t>90400888</t>
        </is>
      </c>
      <c r="BE334" s="32" t="n">
        <v>2</v>
      </c>
      <c r="BF334" s="32" t="inlineStr">
        <is>
          <t>list prints no totals</t>
        </is>
      </c>
    </row>
    <row r="335">
      <c r="A335" s="17" t="inlineStr">
        <is>
          <t>M&amp;T CAPITAL SECURITIZADORA S/A (FIDEM BANK) (</t>
        </is>
      </c>
      <c r="B335" s="18" t="n">
        <v>264374.51</v>
      </c>
      <c r="C335" s="19" t="inlineStr">
        <is>
          <t>VECTOR INDÚSTRIA DE PRODUTOS METALÚRGICOS LTDA.</t>
        </is>
      </c>
      <c r="D335" s="20" t="inlineStr">
        <is>
          <t>NEW</t>
        </is>
      </c>
      <c r="E335" s="21" t="inlineStr"/>
      <c r="F335" s="20" t="inlineStr"/>
      <c r="G335" s="21" t="inlineStr"/>
      <c r="H335" s="20" t="inlineStr"/>
      <c r="I335" s="22" t="inlineStr">
        <is>
          <t>Bruno Fonseca</t>
        </is>
      </c>
      <c r="J335" s="22" t="inlineStr">
        <is>
          <t>Head de Negócios</t>
        </is>
      </c>
      <c r="K335" s="22" t="inlineStr"/>
      <c r="L335" s="22" t="inlineStr"/>
      <c r="M335" s="22" t="inlineStr"/>
      <c r="N335" s="22" t="inlineStr">
        <is>
          <t>bruno.fonseca@fidemcred.com.br</t>
        </is>
      </c>
      <c r="O335" s="22" t="inlineStr">
        <is>
          <t>verified</t>
        </is>
      </c>
      <c r="P335" s="22" t="inlineStr">
        <is>
          <t>Aline Monteblanco</t>
        </is>
      </c>
      <c r="Q335" s="22" t="inlineStr">
        <is>
          <t>Collections Analyst</t>
        </is>
      </c>
      <c r="R335" s="22" t="inlineStr"/>
      <c r="S335" s="22" t="inlineStr">
        <is>
          <t>aline.monteblanco@fidembank.com</t>
        </is>
      </c>
      <c r="T335" s="22" t="inlineStr">
        <is>
          <t>DM is not a finance role (Head de Negócios); DM: DM verified email (fidemcred.com.br); BACKUP: backup verified email</t>
        </is>
      </c>
      <c r="U335" s="24" t="n">
        <v>264374.51</v>
      </c>
      <c r="V335" s="39" t="inlineStr">
        <is>
          <t>C</t>
        </is>
      </c>
      <c r="W335" s="26" t="inlineStr"/>
      <c r="X335" s="27" t="inlineStr"/>
      <c r="Y335" s="27" t="inlineStr"/>
      <c r="Z335" s="26">
        <f>IF(W335&lt;&gt;"",W335,IFERROR(VLOOKUP(V335,Assumptions!$A$8:$F$12,2,FALSE),0))*Assumptions!$B$5</f>
        <v/>
      </c>
      <c r="AA335" s="28">
        <f>IF(V335="A",MAX(1,IF(X335&lt;&gt;"",X335,IFERROR(VLOOKUP(V335,Assumptions!$A$8:$F$12,3,FALSE),3))+IF(Y335&lt;&gt;"",Y335,IFERROR(VLOOKUP(V335,Assumptions!$A$8:$F$12,4,FALSE),8))/2-MAX(0,IF(AS335="",0,YEAR(TODAY())-AS335)-IFERROR(VLOOKUP(V335,Assumptions!$A$8:$F$12,5,FALSE),1.5))),IFERROR(VLOOKUP(V335,Assumptions!$A$8:$F$12,5,FALSE),2.5)+IF(X335&lt;&gt;"",X335,IFERROR(VLOOKUP(V335,Assumptions!$A$8:$F$12,3,FALSE),3))+IF(Y335&lt;&gt;"",Y335,IFERROR(VLOOKUP(V335,Assumptions!$A$8:$F$12,4,FALSE),8))/2)</f>
        <v/>
      </c>
      <c r="AB335" s="24">
        <f>U335*Z335/(1+Assumptions!$B$3)^AA335</f>
        <v/>
      </c>
      <c r="AC335" s="27">
        <f>IF(U335=0,"",ROUND(AB335/U335*100,1))</f>
        <v/>
      </c>
      <c r="AD335" s="29">
        <f>AB335*Assumptions!$B$4</f>
        <v/>
      </c>
      <c r="AE335" s="27">
        <f>IF(U335=0,"",ROUND(AD335/U335*100,1))</f>
        <v/>
      </c>
      <c r="AF335" s="29">
        <f>AB335-AD335</f>
        <v/>
      </c>
      <c r="AG335" s="27">
        <f>IF(U335=0,"",ROUND((AB335-AD335)/U335*100,1))</f>
        <v/>
      </c>
      <c r="AH335" s="34" t="inlineStr">
        <is>
          <t>NO TOTALS — list prints none; check page</t>
        </is>
      </c>
      <c r="AI335" s="31" t="inlineStr">
        <is>
          <t>https://scalzilliaj.com.br/sgc/download.php?file=files/processo_documento/processo_documento15513401112022_1_.pdf&amp;nome=15 - Edital do art. 7º, §2º (segunda lista de credores) e do art. 53 da Lei 11.101/2005 (recebimento do plano)</t>
        </is>
      </c>
      <c r="AJ335" s="30" t="inlineStr">
        <is>
          <t>p8 r11</t>
        </is>
      </c>
      <c r="AK335" s="30" t="inlineStr">
        <is>
          <t>p8: R$ 264.374,51</t>
        </is>
      </c>
      <c r="AL335" s="30" t="inlineStr">
        <is>
          <t>AJ list (art. 7 §2)</t>
        </is>
      </c>
      <c r="AM335" s="30" t="inlineStr">
        <is>
          <t>2022-11-01</t>
        </is>
      </c>
      <c r="AN335" s="30" t="inlineStr">
        <is>
          <t>NONE FOUND</t>
        </is>
      </c>
      <c r="AO335" s="32" t="inlineStr">
        <is>
          <t>5014104-85.2021.8.21.0010</t>
        </is>
      </c>
      <c r="AP335" s="32" t="inlineStr">
        <is>
          <t>TJRS</t>
        </is>
      </c>
      <c r="AQ335" s="32" t="inlineStr">
        <is>
          <t>Recuperação judicial</t>
        </is>
      </c>
      <c r="AR335" s="32" t="inlineStr">
        <is>
          <t>DataJud: no closure/falência movement</t>
        </is>
      </c>
      <c r="AS335" s="32" t="n">
        <v>2021</v>
      </c>
      <c r="AT335" s="32" t="inlineStr">
        <is>
          <t>5y since filing; plan not in our documents</t>
        </is>
      </c>
      <c r="AU335" s="32" t="inlineStr">
        <is>
          <t>03.018.339/0001-03</t>
        </is>
      </c>
      <c r="AV335" s="32" t="inlineStr">
        <is>
          <t>printed on the list (read twice)</t>
        </is>
      </c>
      <c r="AW335" s="32" t="inlineStr"/>
      <c r="AX335" s="32" t="inlineStr"/>
      <c r="AY335" s="32" t="inlineStr"/>
      <c r="AZ335" s="32" t="inlineStr"/>
      <c r="BA335" s="32" t="inlineStr"/>
      <c r="BB335" s="33" t="inlineStr"/>
      <c r="BC335" s="32" t="inlineStr">
        <is>
          <t>UNKNOWN</t>
        </is>
      </c>
      <c r="BD335" s="32" t="inlineStr">
        <is>
          <t>34816202</t>
        </is>
      </c>
      <c r="BE335" s="32" t="n">
        <v>1</v>
      </c>
      <c r="BF335" s="32" t="inlineStr">
        <is>
          <t>financial by name list prints no totals no RFB record</t>
        </is>
      </c>
    </row>
    <row r="336">
      <c r="A336" s="17" t="inlineStr">
        <is>
          <t>BANCO CITIBANK S A</t>
        </is>
      </c>
      <c r="B336" s="18" t="n">
        <v>481718.88</v>
      </c>
      <c r="C336" s="19" t="inlineStr">
        <is>
          <t>Mannes</t>
        </is>
      </c>
      <c r="D336" s="20" t="inlineStr">
        <is>
          <t>NEW</t>
        </is>
      </c>
      <c r="E336" s="21" t="inlineStr"/>
      <c r="F336" s="20" t="inlineStr"/>
      <c r="G336" s="21" t="inlineStr"/>
      <c r="H336" s="20" t="inlineStr"/>
      <c r="I336" s="22" t="inlineStr">
        <is>
          <t>Daniela Finardi</t>
        </is>
      </c>
      <c r="J336" s="22" t="inlineStr">
        <is>
          <t>Credit Portfolio Sr Manager</t>
        </is>
      </c>
      <c r="K336" s="22" t="inlineStr">
        <is>
          <t>(11) 4009-0000</t>
        </is>
      </c>
      <c r="L336" s="22" t="inlineStr"/>
      <c r="M336" s="22" t="inlineStr"/>
      <c r="N336" s="22" t="inlineStr"/>
      <c r="O336" s="22" t="inlineStr"/>
      <c r="P336" s="22" t="inlineStr">
        <is>
          <t>ANDRE DEL BEL CURY</t>
        </is>
      </c>
      <c r="Q336" s="22" t="inlineStr">
        <is>
          <t>Presidente (RFB partner)</t>
        </is>
      </c>
      <c r="R336" s="22" t="inlineStr"/>
      <c r="S336" s="22" t="inlineStr"/>
      <c r="T336" s="22" t="inlineStr">
        <is>
          <t>DM: DM; no work email in Apollo for DM</t>
        </is>
      </c>
      <c r="U336" s="24" t="n">
        <v>481718.88</v>
      </c>
      <c r="V336" s="40" t="inlineStr">
        <is>
          <t>D</t>
        </is>
      </c>
      <c r="W336" s="26" t="inlineStr"/>
      <c r="X336" s="27" t="inlineStr"/>
      <c r="Y336" s="27" t="inlineStr"/>
      <c r="Z336" s="26">
        <f>IF(W336&lt;&gt;"",W336,IFERROR(VLOOKUP(V336,Assumptions!$A$8:$F$12,2,FALSE),0))*Assumptions!$B$5</f>
        <v/>
      </c>
      <c r="AA336" s="28">
        <f>IF(V336="A",MAX(1,IF(X336&lt;&gt;"",X336,IFERROR(VLOOKUP(V336,Assumptions!$A$8:$F$12,3,FALSE),3))+IF(Y336&lt;&gt;"",Y336,IFERROR(VLOOKUP(V336,Assumptions!$A$8:$F$12,4,FALSE),8))/2-MAX(0,IF(AS336="",0,YEAR(TODAY())-AS336)-IFERROR(VLOOKUP(V336,Assumptions!$A$8:$F$12,5,FALSE),1.5))),IFERROR(VLOOKUP(V336,Assumptions!$A$8:$F$12,5,FALSE),2.5)+IF(X336&lt;&gt;"",X336,IFERROR(VLOOKUP(V336,Assumptions!$A$8:$F$12,3,FALSE),3))+IF(Y336&lt;&gt;"",Y336,IFERROR(VLOOKUP(V336,Assumptions!$A$8:$F$12,4,FALSE),8))/2)</f>
        <v/>
      </c>
      <c r="AB336" s="24">
        <f>U336*Z336/(1+Assumptions!$B$3)^AA336</f>
        <v/>
      </c>
      <c r="AC336" s="27">
        <f>IF(U336=0,"",ROUND(AB336/U336*100,1))</f>
        <v/>
      </c>
      <c r="AD336" s="29">
        <f>AB336*Assumptions!$B$4</f>
        <v/>
      </c>
      <c r="AE336" s="27">
        <f>IF(U336=0,"",ROUND(AD336/U336*100,1))</f>
        <v/>
      </c>
      <c r="AF336" s="29">
        <f>AB336-AD336</f>
        <v/>
      </c>
      <c r="AG336" s="27">
        <f>IF(U336=0,"",ROUND((AB336-AD336)/U336*100,1))</f>
        <v/>
      </c>
      <c r="AH336" s="36" t="inlineStr">
        <is>
          <t>CHECK — source is not a statutory creditor list</t>
        </is>
      </c>
      <c r="AI336" s="31" t="inlineStr">
        <is>
          <t>https://administradorajudicialgs.com.br/wp-content/uploads/2024/12/relacao-de-credores-da-falida.pdf</t>
        </is>
      </c>
      <c r="AJ336" s="30" t="inlineStr">
        <is>
          <t>p14 r55</t>
        </is>
      </c>
      <c r="AK336" s="30" t="inlineStr">
        <is>
          <t>p14: R$ 481.718,88</t>
        </is>
      </c>
      <c r="AL336" s="30" t="inlineStr">
        <is>
          <t>Other filing — NOT an art. 7/51 list</t>
        </is>
      </c>
      <c r="AM336" s="30" t="inlineStr">
        <is>
          <t>2025-03-25</t>
        </is>
      </c>
      <c r="AN336" s="30" t="inlineStr">
        <is>
          <t>NONE FOUND</t>
        </is>
      </c>
      <c r="AO336" s="32" t="inlineStr">
        <is>
          <t>0005010-50.2013.8.24.0026</t>
        </is>
      </c>
      <c r="AP336" s="32" t="inlineStr">
        <is>
          <t>TJSC</t>
        </is>
      </c>
      <c r="AQ336" s="32" t="inlineStr">
        <is>
          <t>Falência</t>
        </is>
      </c>
      <c r="AR336" s="32" t="inlineStr">
        <is>
          <t>not in DataJud</t>
        </is>
      </c>
      <c r="AS336" s="32" t="n">
        <v>2013</v>
      </c>
      <c r="AT336" s="32" t="inlineStr">
        <is>
          <t>falência proceeding (list/name says falida)</t>
        </is>
      </c>
      <c r="AU336" s="32" t="inlineStr"/>
      <c r="AV336" s="32" t="inlineStr">
        <is>
          <t>printed on the list (read twice)</t>
        </is>
      </c>
      <c r="AW336" s="32" t="inlineStr"/>
      <c r="AX336" s="32" t="inlineStr">
        <is>
          <t>SAO PAULO</t>
        </is>
      </c>
      <c r="AY336" s="32" t="inlineStr">
        <is>
          <t>SP</t>
        </is>
      </c>
      <c r="AZ336" s="32" t="inlineStr">
        <is>
          <t>Bancos múltiplos, com carteira comercial</t>
        </is>
      </c>
      <c r="BA336" s="32" t="inlineStr">
        <is>
          <t>não ME/EPP</t>
        </is>
      </c>
      <c r="BB336" s="33" t="n">
        <v>4469688000</v>
      </c>
      <c r="BC336" s="32" t="inlineStr">
        <is>
          <t>LARGE CORP</t>
        </is>
      </c>
      <c r="BD336" s="32" t="inlineStr">
        <is>
          <t>33479023</t>
        </is>
      </c>
      <c r="BE336" s="32" t="n">
        <v>1</v>
      </c>
      <c r="BF336" s="32" t="inlineStr">
        <is>
          <t>list prints no totals case no. corrected by reader</t>
        </is>
      </c>
    </row>
    <row r="337">
      <c r="A337" s="17" t="inlineStr">
        <is>
          <t>BANCO MERCANTIL DO BRASIL SA</t>
        </is>
      </c>
      <c r="B337" s="18" t="n">
        <v>258786.52</v>
      </c>
      <c r="C337" s="19" t="inlineStr">
        <is>
          <t>CONFECÇÕES ANDRIMALHAS LTDA</t>
        </is>
      </c>
      <c r="D337" s="20" t="inlineStr">
        <is>
          <t>NEW</t>
        </is>
      </c>
      <c r="E337" s="21" t="inlineStr"/>
      <c r="F337" s="20" t="inlineStr"/>
      <c r="G337" s="21" t="inlineStr"/>
      <c r="H337" s="20" t="inlineStr"/>
      <c r="I337" s="22" t="inlineStr">
        <is>
          <t>LUIZ HENRIQUE ANDRADE DE ARAUJO</t>
        </is>
      </c>
      <c r="J337" s="23" t="inlineStr">
        <is>
          <t>Presidente (RFB partner)</t>
        </is>
      </c>
      <c r="K337" s="22" t="inlineStr">
        <is>
          <t>(31) 3057-5342</t>
        </is>
      </c>
      <c r="L337" s="22" t="inlineStr"/>
      <c r="M337" s="22" t="inlineStr"/>
      <c r="N337" s="22" t="inlineStr"/>
      <c r="O337" s="22" t="inlineStr"/>
      <c r="P337" s="22" t="inlineStr">
        <is>
          <t>ANDERSON ADEILSON DE OLIVEIRA</t>
        </is>
      </c>
      <c r="Q337" s="22" t="inlineStr">
        <is>
          <t>Diretor (RFB partner)</t>
        </is>
      </c>
      <c r="R337" s="22" t="inlineStr"/>
      <c r="S337" s="22" t="inlineStr"/>
      <c r="T337" s="22" t="inlineStr">
        <is>
          <t>DM = registered partner (RFB QSA); no Apollo match</t>
        </is>
      </c>
      <c r="U337" s="24" t="n">
        <v>258786.52</v>
      </c>
      <c r="V337" s="39" t="inlineStr">
        <is>
          <t>C</t>
        </is>
      </c>
      <c r="W337" s="26" t="inlineStr"/>
      <c r="X337" s="27" t="inlineStr"/>
      <c r="Y337" s="27" t="inlineStr"/>
      <c r="Z337" s="26">
        <f>IF(W337&lt;&gt;"",W337,IFERROR(VLOOKUP(V337,Assumptions!$A$8:$F$12,2,FALSE),0))*Assumptions!$B$5</f>
        <v/>
      </c>
      <c r="AA337" s="28">
        <f>IF(V337="A",MAX(1,IF(X337&lt;&gt;"",X337,IFERROR(VLOOKUP(V337,Assumptions!$A$8:$F$12,3,FALSE),3))+IF(Y337&lt;&gt;"",Y337,IFERROR(VLOOKUP(V337,Assumptions!$A$8:$F$12,4,FALSE),8))/2-MAX(0,IF(AS337="",0,YEAR(TODAY())-AS337)-IFERROR(VLOOKUP(V337,Assumptions!$A$8:$F$12,5,FALSE),1.5))),IFERROR(VLOOKUP(V337,Assumptions!$A$8:$F$12,5,FALSE),2.5)+IF(X337&lt;&gt;"",X337,IFERROR(VLOOKUP(V337,Assumptions!$A$8:$F$12,3,FALSE),3))+IF(Y337&lt;&gt;"",Y337,IFERROR(VLOOKUP(V337,Assumptions!$A$8:$F$12,4,FALSE),8))/2)</f>
        <v/>
      </c>
      <c r="AB337" s="24">
        <f>U337*Z337/(1+Assumptions!$B$3)^AA337</f>
        <v/>
      </c>
      <c r="AC337" s="27">
        <f>IF(U337=0,"",ROUND(AB337/U337*100,1))</f>
        <v/>
      </c>
      <c r="AD337" s="29">
        <f>AB337*Assumptions!$B$4</f>
        <v/>
      </c>
      <c r="AE337" s="27">
        <f>IF(U337=0,"",ROUND(AD337/U337*100,1))</f>
        <v/>
      </c>
      <c r="AF337" s="29">
        <f>AB337-AD337</f>
        <v/>
      </c>
      <c r="AG337" s="27">
        <f>IF(U337=0,"",ROUND((AB337-AD337)/U337*100,1))</f>
        <v/>
      </c>
      <c r="AH337" s="35" t="inlineStr">
        <is>
          <t>PARTIAL — class III reconciled, other classes not</t>
        </is>
      </c>
      <c r="AI337" s="31" t="inlineStr">
        <is>
          <t>https://administradorajudicialgs.com.br/wp-content/uploads/2023/08/doc-06-relacao-credores-do-administrador-judicial-10-02-2015.pdf</t>
        </is>
      </c>
      <c r="AJ337" s="30" t="inlineStr">
        <is>
          <t>p1 r37</t>
        </is>
      </c>
      <c r="AK337" s="30" t="inlineStr">
        <is>
          <t>p1: R$ 258.786,52</t>
        </is>
      </c>
      <c r="AL337" s="30" t="inlineStr">
        <is>
          <t>AJ list (art. 7 §2)</t>
        </is>
      </c>
      <c r="AM337" s="30" t="inlineStr"/>
      <c r="AN337" s="30" t="inlineStr">
        <is>
          <t>NONE FOUND</t>
        </is>
      </c>
      <c r="AO337" s="32" t="inlineStr">
        <is>
          <t>0302174-63.2015.8.24.0025</t>
        </is>
      </c>
      <c r="AP337" s="32" t="inlineStr">
        <is>
          <t>TJSC</t>
        </is>
      </c>
      <c r="AQ337" s="32" t="inlineStr">
        <is>
          <t>Recuperação judicial</t>
        </is>
      </c>
      <c r="AR337" s="32" t="inlineStr">
        <is>
          <t>not in DataJud</t>
        </is>
      </c>
      <c r="AS337" s="32" t="n">
        <v>2015</v>
      </c>
      <c r="AT337" s="32" t="inlineStr">
        <is>
          <t>11y since filing; plan not in our documents; case no. from the portal record, not printed on the list</t>
        </is>
      </c>
      <c r="AU337" s="32" t="inlineStr"/>
      <c r="AV337" s="32" t="inlineStr">
        <is>
          <t>printed on the list (read twice)</t>
        </is>
      </c>
      <c r="AW337" s="32" t="inlineStr"/>
      <c r="AX337" s="32" t="inlineStr">
        <is>
          <t>BELO HORIZONTE</t>
        </is>
      </c>
      <c r="AY337" s="32" t="inlineStr">
        <is>
          <t>MG</t>
        </is>
      </c>
      <c r="AZ337" s="32" t="inlineStr">
        <is>
          <t>Bancos múltiplos, com carteira comercial</t>
        </is>
      </c>
      <c r="BA337" s="32" t="inlineStr">
        <is>
          <t>não ME/EPP</t>
        </is>
      </c>
      <c r="BB337" s="33" t="n">
        <v>952710400</v>
      </c>
      <c r="BC337" s="32" t="inlineStr">
        <is>
          <t>LARGE CORP</t>
        </is>
      </c>
      <c r="BD337" s="32" t="inlineStr">
        <is>
          <t>17184037</t>
        </is>
      </c>
      <c r="BE337" s="32" t="n">
        <v>1</v>
      </c>
      <c r="BF337" s="32" t="inlineStr">
        <is>
          <t>financial by name class III reconciled (doc partial)</t>
        </is>
      </c>
    </row>
    <row r="338">
      <c r="A338" s="17" t="inlineStr">
        <is>
          <t>BANCO BRADESCO S.A.</t>
        </is>
      </c>
      <c r="B338" s="18" t="n">
        <v>253941.9</v>
      </c>
      <c r="C338" s="19" t="inlineStr">
        <is>
          <t>HOSPITAL SANTA MÔNICA LTDA</t>
        </is>
      </c>
      <c r="D338" s="20" t="inlineStr">
        <is>
          <t>NEW</t>
        </is>
      </c>
      <c r="E338" s="21" t="inlineStr"/>
      <c r="F338" s="20" t="inlineStr"/>
      <c r="G338" s="21" t="inlineStr"/>
      <c r="H338" s="20" t="inlineStr"/>
      <c r="I338" s="22" t="inlineStr">
        <is>
          <t>Marcela Martins</t>
        </is>
      </c>
      <c r="J338" s="22" t="inlineStr">
        <is>
          <t>Superintendente de Recuperação de Crédito - Canais e Operações</t>
        </is>
      </c>
      <c r="K338" s="22" t="inlineStr">
        <is>
          <t>(11) 3684-5122</t>
        </is>
      </c>
      <c r="L338" s="22" t="inlineStr"/>
      <c r="M338" s="22" t="inlineStr"/>
      <c r="N338" s="22" t="inlineStr"/>
      <c r="O338" s="22" t="inlineStr"/>
      <c r="P338" s="22" t="inlineStr">
        <is>
          <t>Luis S</t>
        </is>
      </c>
      <c r="Q338" s="22" t="inlineStr">
        <is>
          <t>DRC - Departamento de Recuperação de Crédito - Gerente de Reestruturação de Crédito</t>
        </is>
      </c>
      <c r="R338" s="22" t="inlineStr"/>
      <c r="S338" s="22" t="inlineStr">
        <is>
          <t>sl@bradesco.com.br</t>
        </is>
      </c>
      <c r="T338" s="22" t="inlineStr">
        <is>
          <t>DM: DM; no work email in Apollo for DM; BACKUP: backup</t>
        </is>
      </c>
      <c r="U338" s="24" t="n">
        <v>253941.9</v>
      </c>
      <c r="V338" s="39" t="inlineStr">
        <is>
          <t>C</t>
        </is>
      </c>
      <c r="W338" s="26" t="inlineStr"/>
      <c r="X338" s="27" t="inlineStr"/>
      <c r="Y338" s="27" t="inlineStr"/>
      <c r="Z338" s="26">
        <f>IF(W338&lt;&gt;"",W338,IFERROR(VLOOKUP(V338,Assumptions!$A$8:$F$12,2,FALSE),0))*Assumptions!$B$5</f>
        <v/>
      </c>
      <c r="AA338" s="28">
        <f>IF(V338="A",MAX(1,IF(X338&lt;&gt;"",X338,IFERROR(VLOOKUP(V338,Assumptions!$A$8:$F$12,3,FALSE),3))+IF(Y338&lt;&gt;"",Y338,IFERROR(VLOOKUP(V338,Assumptions!$A$8:$F$12,4,FALSE),8))/2-MAX(0,IF(AS338="",0,YEAR(TODAY())-AS338)-IFERROR(VLOOKUP(V338,Assumptions!$A$8:$F$12,5,FALSE),1.5))),IFERROR(VLOOKUP(V338,Assumptions!$A$8:$F$12,5,FALSE),2.5)+IF(X338&lt;&gt;"",X338,IFERROR(VLOOKUP(V338,Assumptions!$A$8:$F$12,3,FALSE),3))+IF(Y338&lt;&gt;"",Y338,IFERROR(VLOOKUP(V338,Assumptions!$A$8:$F$12,4,FALSE),8))/2)</f>
        <v/>
      </c>
      <c r="AB338" s="24">
        <f>U338*Z338/(1+Assumptions!$B$3)^AA338</f>
        <v/>
      </c>
      <c r="AC338" s="27">
        <f>IF(U338=0,"",ROUND(AB338/U338*100,1))</f>
        <v/>
      </c>
      <c r="AD338" s="29">
        <f>AB338*Assumptions!$B$4</f>
        <v/>
      </c>
      <c r="AE338" s="27">
        <f>IF(U338=0,"",ROUND(AD338/U338*100,1))</f>
        <v/>
      </c>
      <c r="AF338" s="29">
        <f>AB338-AD338</f>
        <v/>
      </c>
      <c r="AG338" s="27">
        <f>IF(U338=0,"",ROUND((AB338-AD338)/U338*100,1))</f>
        <v/>
      </c>
      <c r="AH338" s="34" t="inlineStr">
        <is>
          <t>NO TOTALS — list prints none; check page</t>
        </is>
      </c>
      <c r="AI338" s="31" t="inlineStr">
        <is>
          <t>https://ricardobiancardi.com.br/wp-content/uploads/2024/12/Edital-1-relacao-de-credores-pub.-02.12.24-.pdf</t>
        </is>
      </c>
      <c r="AJ338" s="30" t="inlineStr">
        <is>
          <t>p3 r1; p3 r2; p3 r3</t>
        </is>
      </c>
      <c r="AK338" s="30" t="inlineStr">
        <is>
          <t>p3: R$ 39.706,32; p3: R$ 153.449,69; p3: R$ 60.785,89</t>
        </is>
      </c>
      <c r="AL338" s="30" t="inlineStr">
        <is>
          <t>Debtor list (art. 51)</t>
        </is>
      </c>
      <c r="AM338" s="30" t="inlineStr">
        <is>
          <t>2024-12-02</t>
        </is>
      </c>
      <c r="AN338" s="30" t="inlineStr">
        <is>
          <t>NONE FOUND</t>
        </is>
      </c>
      <c r="AO338" s="32" t="inlineStr">
        <is>
          <t>0041309-42.2014.8.08.0024</t>
        </is>
      </c>
      <c r="AP338" s="32" t="inlineStr">
        <is>
          <t>TJES</t>
        </is>
      </c>
      <c r="AQ338" s="32" t="inlineStr">
        <is>
          <t>Recuperação judicial</t>
        </is>
      </c>
      <c r="AR338" s="32" t="inlineStr">
        <is>
          <t>not in DataJud</t>
        </is>
      </c>
      <c r="AS338" s="32" t="n">
        <v>2014</v>
      </c>
      <c r="AT338" s="32" t="inlineStr">
        <is>
          <t>12y since filing; plan not in our documents; atypical debtor (associação/clube/hospital/produtor rural): admissibility or claim subjection may be contested</t>
        </is>
      </c>
      <c r="AU338" s="32" t="inlineStr"/>
      <c r="AV338" s="32" t="inlineStr">
        <is>
          <t>printed on the list (read twice)</t>
        </is>
      </c>
      <c r="AW338" s="32" t="inlineStr"/>
      <c r="AX338" s="32" t="inlineStr">
        <is>
          <t>OSASCO</t>
        </is>
      </c>
      <c r="AY338" s="32" t="inlineStr">
        <is>
          <t>SP</t>
        </is>
      </c>
      <c r="AZ338" s="32" t="inlineStr">
        <is>
          <t>Bancos múltiplos, com carteira comercial</t>
        </is>
      </c>
      <c r="BA338" s="32" t="inlineStr">
        <is>
          <t>não ME/EPP</t>
        </is>
      </c>
      <c r="BB338" s="33" t="n">
        <v>93770000000</v>
      </c>
      <c r="BC338" s="32" t="inlineStr">
        <is>
          <t>LARGE CORP</t>
        </is>
      </c>
      <c r="BD338" s="32" t="inlineStr">
        <is>
          <t>60746948</t>
        </is>
      </c>
      <c r="BE338" s="32" t="n">
        <v>3</v>
      </c>
      <c r="BF338" s="32" t="inlineStr">
        <is>
          <t>financial by name list prints no totals</t>
        </is>
      </c>
    </row>
    <row r="339">
      <c r="A339" s="17" t="inlineStr">
        <is>
          <t>META FUNDO DE INVESTIMENTO EM DIREITOS CREDITÓRIOS MULTISSETORIAL LP (</t>
        </is>
      </c>
      <c r="B339" s="18" t="n">
        <v>252513.58</v>
      </c>
      <c r="C339" s="19" t="inlineStr">
        <is>
          <t>VECTOR INDÚSTRIA DE PRODUTOS METALÚRGICOS LTDA.</t>
        </is>
      </c>
      <c r="D339" s="20" t="inlineStr">
        <is>
          <t>NEW</t>
        </is>
      </c>
      <c r="E339" s="21" t="inlineStr"/>
      <c r="F339" s="20" t="inlineStr"/>
      <c r="G339" s="21" t="inlineStr"/>
      <c r="H339" s="20" t="inlineStr"/>
      <c r="I339" s="22" t="inlineStr">
        <is>
          <t>Fabio Fontanezzi</t>
        </is>
      </c>
      <c r="J339" s="22" t="inlineStr">
        <is>
          <t>Commercial Superintendent</t>
        </is>
      </c>
      <c r="K339" s="22" t="inlineStr"/>
      <c r="L339" s="22" t="inlineStr"/>
      <c r="M339" s="22" t="inlineStr"/>
      <c r="N339" s="22" t="inlineStr">
        <is>
          <t>fabio@metafidc.com.br</t>
        </is>
      </c>
      <c r="O339" s="22" t="inlineStr">
        <is>
          <t>verified</t>
        </is>
      </c>
      <c r="P339" s="22" t="inlineStr">
        <is>
          <t>Eduardo Januario</t>
        </is>
      </c>
      <c r="Q339" s="22" t="inlineStr">
        <is>
          <t>Gerente Comercial SC</t>
        </is>
      </c>
      <c r="R339" s="22" t="inlineStr"/>
      <c r="S339" s="22" t="inlineStr">
        <is>
          <t>eduardo@metafidc.com.br</t>
        </is>
      </c>
      <c r="T339" s="22" t="inlineStr">
        <is>
          <t>DM is not a finance role (Commercial Superintendent); DM: DM; BACKUP: backup VERIFY org: Grupo One7 (email @metafidc.com.br); backup email is pattern-guessed</t>
        </is>
      </c>
      <c r="U339" s="24" t="n">
        <v>252513.58</v>
      </c>
      <c r="V339" s="39" t="inlineStr">
        <is>
          <t>C</t>
        </is>
      </c>
      <c r="W339" s="26" t="inlineStr"/>
      <c r="X339" s="27" t="inlineStr"/>
      <c r="Y339" s="27" t="inlineStr"/>
      <c r="Z339" s="26">
        <f>IF(W339&lt;&gt;"",W339,IFERROR(VLOOKUP(V339,Assumptions!$A$8:$F$12,2,FALSE),0))*Assumptions!$B$5</f>
        <v/>
      </c>
      <c r="AA339" s="28">
        <f>IF(V339="A",MAX(1,IF(X339&lt;&gt;"",X339,IFERROR(VLOOKUP(V339,Assumptions!$A$8:$F$12,3,FALSE),3))+IF(Y339&lt;&gt;"",Y339,IFERROR(VLOOKUP(V339,Assumptions!$A$8:$F$12,4,FALSE),8))/2-MAX(0,IF(AS339="",0,YEAR(TODAY())-AS339)-IFERROR(VLOOKUP(V339,Assumptions!$A$8:$F$12,5,FALSE),1.5))),IFERROR(VLOOKUP(V339,Assumptions!$A$8:$F$12,5,FALSE),2.5)+IF(X339&lt;&gt;"",X339,IFERROR(VLOOKUP(V339,Assumptions!$A$8:$F$12,3,FALSE),3))+IF(Y339&lt;&gt;"",Y339,IFERROR(VLOOKUP(V339,Assumptions!$A$8:$F$12,4,FALSE),8))/2)</f>
        <v/>
      </c>
      <c r="AB339" s="24">
        <f>U339*Z339/(1+Assumptions!$B$3)^AA339</f>
        <v/>
      </c>
      <c r="AC339" s="27">
        <f>IF(U339=0,"",ROUND(AB339/U339*100,1))</f>
        <v/>
      </c>
      <c r="AD339" s="29">
        <f>AB339*Assumptions!$B$4</f>
        <v/>
      </c>
      <c r="AE339" s="27">
        <f>IF(U339=0,"",ROUND(AD339/U339*100,1))</f>
        <v/>
      </c>
      <c r="AF339" s="29">
        <f>AB339-AD339</f>
        <v/>
      </c>
      <c r="AG339" s="27">
        <f>IF(U339=0,"",ROUND((AB339-AD339)/U339*100,1))</f>
        <v/>
      </c>
      <c r="AH339" s="34" t="inlineStr">
        <is>
          <t>NO TOTALS — list prints none; check page</t>
        </is>
      </c>
      <c r="AI339" s="31" t="inlineStr">
        <is>
          <t>https://scalzilliaj.com.br/sgc/download.php?file=files/processo_documento/processo_documento15513401112022_1_.pdf&amp;nome=15 - Edital do art. 7º, §2º (segunda lista de credores) e do art. 53 da Lei 11.101/2005 (recebimento do plano)</t>
        </is>
      </c>
      <c r="AJ339" s="30" t="inlineStr">
        <is>
          <t>p8 r21</t>
        </is>
      </c>
      <c r="AK339" s="30" t="inlineStr">
        <is>
          <t>p8: R$ 252.513,58</t>
        </is>
      </c>
      <c r="AL339" s="30" t="inlineStr">
        <is>
          <t>AJ list (art. 7 §2)</t>
        </is>
      </c>
      <c r="AM339" s="30" t="inlineStr">
        <is>
          <t>2022-11-01</t>
        </is>
      </c>
      <c r="AN339" s="30" t="inlineStr">
        <is>
          <t>NONE FOUND</t>
        </is>
      </c>
      <c r="AO339" s="32" t="inlineStr">
        <is>
          <t>5014104-85.2021.8.21.0010</t>
        </is>
      </c>
      <c r="AP339" s="32" t="inlineStr">
        <is>
          <t>TJRS</t>
        </is>
      </c>
      <c r="AQ339" s="32" t="inlineStr">
        <is>
          <t>Recuperação judicial</t>
        </is>
      </c>
      <c r="AR339" s="32" t="inlineStr">
        <is>
          <t>DataJud: no closure/falência movement</t>
        </is>
      </c>
      <c r="AS339" s="32" t="n">
        <v>2021</v>
      </c>
      <c r="AT339" s="32" t="inlineStr">
        <is>
          <t>5y since filing; plan not in our documents</t>
        </is>
      </c>
      <c r="AU339" s="32" t="inlineStr">
        <is>
          <t>03.018.339/0001-03</t>
        </is>
      </c>
      <c r="AV339" s="32" t="inlineStr">
        <is>
          <t>printed on the list (read twice)</t>
        </is>
      </c>
      <c r="AW339" s="32" t="inlineStr"/>
      <c r="AX339" s="32" t="inlineStr"/>
      <c r="AY339" s="32" t="inlineStr"/>
      <c r="AZ339" s="32" t="inlineStr"/>
      <c r="BA339" s="32" t="inlineStr"/>
      <c r="BB339" s="33" t="inlineStr"/>
      <c r="BC339" s="32" t="inlineStr">
        <is>
          <t>UNKNOWN</t>
        </is>
      </c>
      <c r="BD339" s="32" t="inlineStr">
        <is>
          <t>62285390</t>
        </is>
      </c>
      <c r="BE339" s="32" t="n">
        <v>1</v>
      </c>
      <c r="BF339" s="32" t="inlineStr">
        <is>
          <t>financial by name list prints no totals no RFB record</t>
        </is>
      </c>
    </row>
    <row r="340">
      <c r="A340" s="17" t="inlineStr">
        <is>
          <t>BANCO COOPERATIVO SICOOB S.A.</t>
        </is>
      </c>
      <c r="B340" s="18" t="n">
        <v>448885.44</v>
      </c>
      <c r="C340" s="19" t="inlineStr">
        <is>
          <t>MUNDO BIZARRO IMPORTACAO E EXPORTACAO LTDA</t>
        </is>
      </c>
      <c r="D340" s="20" t="inlineStr">
        <is>
          <t>NEW</t>
        </is>
      </c>
      <c r="E340" s="21" t="inlineStr"/>
      <c r="F340" s="20" t="inlineStr"/>
      <c r="G340" s="21" t="inlineStr"/>
      <c r="H340" s="20" t="inlineStr"/>
      <c r="I340" s="22" t="inlineStr">
        <is>
          <t>Mauricio Reis</t>
        </is>
      </c>
      <c r="J340" s="22" t="inlineStr">
        <is>
          <t>Superintendente de Operações e Produtos de Crédito, Consórcios, Cobrança e de Recuperação de Ativos</t>
        </is>
      </c>
      <c r="K340" s="22" t="inlineStr">
        <is>
          <t>(61) 3217-5200</t>
        </is>
      </c>
      <c r="L340" s="22" t="inlineStr"/>
      <c r="M340" s="22" t="inlineStr"/>
      <c r="N340" s="22" t="inlineStr">
        <is>
          <t>mauricio.reis@sicoob.com.br</t>
        </is>
      </c>
      <c r="O340" s="22" t="inlineStr">
        <is>
          <t>verified</t>
        </is>
      </c>
      <c r="P340" s="22" t="inlineStr">
        <is>
          <t>MARCO AURELIO BORGES DE ALMADA ABREU</t>
        </is>
      </c>
      <c r="Q340" s="22" t="inlineStr">
        <is>
          <t>Presidente (RFB partner)</t>
        </is>
      </c>
      <c r="R340" s="22" t="inlineStr"/>
      <c r="S340" s="22" t="inlineStr"/>
      <c r="T340" s="22" t="inlineStr">
        <is>
          <t>DM: DM verified email</t>
        </is>
      </c>
      <c r="U340" s="24" t="n">
        <v>448885.44</v>
      </c>
      <c r="V340" s="40" t="inlineStr">
        <is>
          <t>D</t>
        </is>
      </c>
      <c r="W340" s="26" t="inlineStr"/>
      <c r="X340" s="27" t="inlineStr"/>
      <c r="Y340" s="27" t="inlineStr"/>
      <c r="Z340" s="26">
        <f>IF(W340&lt;&gt;"",W340,IFERROR(VLOOKUP(V340,Assumptions!$A$8:$F$12,2,FALSE),0))*Assumptions!$B$5</f>
        <v/>
      </c>
      <c r="AA340" s="28">
        <f>IF(V340="A",MAX(1,IF(X340&lt;&gt;"",X340,IFERROR(VLOOKUP(V340,Assumptions!$A$8:$F$12,3,FALSE),3))+IF(Y340&lt;&gt;"",Y340,IFERROR(VLOOKUP(V340,Assumptions!$A$8:$F$12,4,FALSE),8))/2-MAX(0,IF(AS340="",0,YEAR(TODAY())-AS340)-IFERROR(VLOOKUP(V340,Assumptions!$A$8:$F$12,5,FALSE),1.5))),IFERROR(VLOOKUP(V340,Assumptions!$A$8:$F$12,5,FALSE),2.5)+IF(X340&lt;&gt;"",X340,IFERROR(VLOOKUP(V340,Assumptions!$A$8:$F$12,3,FALSE),3))+IF(Y340&lt;&gt;"",Y340,IFERROR(VLOOKUP(V340,Assumptions!$A$8:$F$12,4,FALSE),8))/2)</f>
        <v/>
      </c>
      <c r="AB340" s="24">
        <f>U340*Z340/(1+Assumptions!$B$3)^AA340</f>
        <v/>
      </c>
      <c r="AC340" s="27">
        <f>IF(U340=0,"",ROUND(AB340/U340*100,1))</f>
        <v/>
      </c>
      <c r="AD340" s="29">
        <f>AB340*Assumptions!$B$4</f>
        <v/>
      </c>
      <c r="AE340" s="27">
        <f>IF(U340=0,"",ROUND(AD340/U340*100,1))</f>
        <v/>
      </c>
      <c r="AF340" s="29">
        <f>AB340-AD340</f>
        <v/>
      </c>
      <c r="AG340" s="27">
        <f>IF(U340=0,"",ROUND((AB340-AD340)/U340*100,1))</f>
        <v/>
      </c>
      <c r="AH340" s="34" t="inlineStr">
        <is>
          <t>NO TOTALS — list prints none; check page</t>
        </is>
      </c>
      <c r="AI340" s="31" t="inlineStr">
        <is>
          <t>https://administradorajudicialgs.com.br/wp-content/uploads/2024/10/relacao-de-credores-e-verificacao-de-credito-2025.pdf</t>
        </is>
      </c>
      <c r="AJ340" s="30" t="inlineStr">
        <is>
          <t>p16 r5</t>
        </is>
      </c>
      <c r="AK340" s="30" t="inlineStr">
        <is>
          <t>p16: R$ 448.885,44</t>
        </is>
      </c>
      <c r="AL340" s="30" t="inlineStr">
        <is>
          <t>AJ list (art. 7 §2)</t>
        </is>
      </c>
      <c r="AM340" s="30" t="inlineStr">
        <is>
          <t>2025-04-24</t>
        </is>
      </c>
      <c r="AN340" s="30" t="inlineStr">
        <is>
          <t>NONE FOUND</t>
        </is>
      </c>
      <c r="AO340" s="32" t="inlineStr">
        <is>
          <t>5100227-29.2022.8.24.0023</t>
        </is>
      </c>
      <c r="AP340" s="32" t="inlineStr">
        <is>
          <t>TJSC</t>
        </is>
      </c>
      <c r="AQ340" s="32" t="inlineStr">
        <is>
          <t>Falência</t>
        </is>
      </c>
      <c r="AR340" s="32" t="inlineStr">
        <is>
          <t>not in DataJud</t>
        </is>
      </c>
      <c r="AS340" s="32" t="n">
        <v>2022</v>
      </c>
      <c r="AT340" s="32" t="inlineStr">
        <is>
          <t>falência proceeding (list/name says falida)</t>
        </is>
      </c>
      <c r="AU340" s="32" t="inlineStr">
        <is>
          <t>05.316.275/0001-52</t>
        </is>
      </c>
      <c r="AV340" s="32" t="inlineStr">
        <is>
          <t>printed on the list (read twice)</t>
        </is>
      </c>
      <c r="AW340" s="32" t="inlineStr"/>
      <c r="AX340" s="32" t="inlineStr">
        <is>
          <t>BRASILIA</t>
        </is>
      </c>
      <c r="AY340" s="32" t="inlineStr">
        <is>
          <t>DF</t>
        </is>
      </c>
      <c r="AZ340" s="32" t="inlineStr">
        <is>
          <t>Bancos cooperativos</t>
        </is>
      </c>
      <c r="BA340" s="32" t="inlineStr">
        <is>
          <t>não ME/EPP</t>
        </is>
      </c>
      <c r="BB340" s="33" t="n">
        <v>6198490000</v>
      </c>
      <c r="BC340" s="32" t="inlineStr">
        <is>
          <t>LARGE CORP</t>
        </is>
      </c>
      <c r="BD340" s="32" t="inlineStr">
        <is>
          <t>02038232</t>
        </is>
      </c>
      <c r="BE340" s="32" t="n">
        <v>1</v>
      </c>
      <c r="BF340" s="32" t="inlineStr">
        <is>
          <t>list prints no totals</t>
        </is>
      </c>
    </row>
    <row r="341">
      <c r="A341" s="17" t="inlineStr">
        <is>
          <t>BANCO SANTANDER (BRASIL) S.A.</t>
        </is>
      </c>
      <c r="B341" s="18" t="n">
        <v>233956.22</v>
      </c>
      <c r="C341" s="19" t="inlineStr">
        <is>
          <t>Roque Materiais para Construção</t>
        </is>
      </c>
      <c r="D341" s="20" t="inlineStr">
        <is>
          <t>NEW</t>
        </is>
      </c>
      <c r="E341" s="21" t="inlineStr"/>
      <c r="F341" s="20" t="inlineStr"/>
      <c r="G341" s="21" t="inlineStr"/>
      <c r="H341" s="20" t="inlineStr"/>
      <c r="I341" s="22" t="inlineStr">
        <is>
          <t>Igor Puertas</t>
        </is>
      </c>
      <c r="J341" s="22" t="inlineStr">
        <is>
          <t>Distressed Assets | NPL</t>
        </is>
      </c>
      <c r="K341" s="22" t="inlineStr">
        <is>
          <t>(11) 4004-3535</t>
        </is>
      </c>
      <c r="L341" s="22" t="inlineStr"/>
      <c r="M341" s="22" t="inlineStr"/>
      <c r="N341" s="22" t="inlineStr">
        <is>
          <t>igor.puertas@santander.com.br</t>
        </is>
      </c>
      <c r="O341" s="22" t="inlineStr">
        <is>
          <t>verified</t>
        </is>
      </c>
      <c r="P341" s="22" t="inlineStr">
        <is>
          <t>Antonio Junior</t>
        </is>
      </c>
      <c r="Q341" s="22" t="inlineStr">
        <is>
          <t>Superintendente Recuperação de Crédito</t>
        </is>
      </c>
      <c r="R341" s="22" t="inlineStr"/>
      <c r="S341" s="22" t="inlineStr">
        <is>
          <t>antonio.pequeno.junior@santander.com.br</t>
        </is>
      </c>
      <c r="T341" s="22" t="inlineStr">
        <is>
          <t>DM: DM; BACKUP: backup</t>
        </is>
      </c>
      <c r="U341" s="24" t="n">
        <v>233956.22</v>
      </c>
      <c r="V341" s="39" t="inlineStr">
        <is>
          <t>C</t>
        </is>
      </c>
      <c r="W341" s="26" t="inlineStr"/>
      <c r="X341" s="27" t="inlineStr"/>
      <c r="Y341" s="27" t="inlineStr"/>
      <c r="Z341" s="26">
        <f>IF(W341&lt;&gt;"",W341,IFERROR(VLOOKUP(V341,Assumptions!$A$8:$F$12,2,FALSE),0))*Assumptions!$B$5</f>
        <v/>
      </c>
      <c r="AA341" s="28">
        <f>IF(V341="A",MAX(1,IF(X341&lt;&gt;"",X341,IFERROR(VLOOKUP(V341,Assumptions!$A$8:$F$12,3,FALSE),3))+IF(Y341&lt;&gt;"",Y341,IFERROR(VLOOKUP(V341,Assumptions!$A$8:$F$12,4,FALSE),8))/2-MAX(0,IF(AS341="",0,YEAR(TODAY())-AS341)-IFERROR(VLOOKUP(V341,Assumptions!$A$8:$F$12,5,FALSE),1.5))),IFERROR(VLOOKUP(V341,Assumptions!$A$8:$F$12,5,FALSE),2.5)+IF(X341&lt;&gt;"",X341,IFERROR(VLOOKUP(V341,Assumptions!$A$8:$F$12,3,FALSE),3))+IF(Y341&lt;&gt;"",Y341,IFERROR(VLOOKUP(V341,Assumptions!$A$8:$F$12,4,FALSE),8))/2)</f>
        <v/>
      </c>
      <c r="AB341" s="24">
        <f>U341*Z341/(1+Assumptions!$B$3)^AA341</f>
        <v/>
      </c>
      <c r="AC341" s="27">
        <f>IF(U341=0,"",ROUND(AB341/U341*100,1))</f>
        <v/>
      </c>
      <c r="AD341" s="29">
        <f>AB341*Assumptions!$B$4</f>
        <v/>
      </c>
      <c r="AE341" s="27">
        <f>IF(U341=0,"",ROUND(AD341/U341*100,1))</f>
        <v/>
      </c>
      <c r="AF341" s="29">
        <f>AB341-AD341</f>
        <v/>
      </c>
      <c r="AG341" s="27">
        <f>IF(U341=0,"",ROUND((AB341-AD341)/U341*100,1))</f>
        <v/>
      </c>
      <c r="AH341" s="30" t="inlineStr">
        <is>
          <t>OK — totals reconciled</t>
        </is>
      </c>
      <c r="AI341" s="31" t="inlineStr">
        <is>
          <t>https://realbrasil.com.br/wp-content/uploads/2018/06/2_LISTA-DE-CREDORES-DA-RECUPERANDA_ROQUE.pdf</t>
        </is>
      </c>
      <c r="AJ341" s="30" t="inlineStr">
        <is>
          <t>p2 r8</t>
        </is>
      </c>
      <c r="AK341" s="30" t="inlineStr">
        <is>
          <t>p2: R$ 233.956,22</t>
        </is>
      </c>
      <c r="AL341" s="30" t="inlineStr">
        <is>
          <t>Unclassified list</t>
        </is>
      </c>
      <c r="AM341" s="30" t="inlineStr"/>
      <c r="AN341" s="30" t="inlineStr">
        <is>
          <t>NONE FOUND</t>
        </is>
      </c>
      <c r="AO341" s="32" t="inlineStr">
        <is>
          <t>0802426-35.2019.8.10.0000</t>
        </is>
      </c>
      <c r="AP341" s="32" t="inlineStr">
        <is>
          <t>TJMA</t>
        </is>
      </c>
      <c r="AQ341" s="32" t="inlineStr"/>
      <c r="AR341" s="32" t="inlineStr">
        <is>
          <t>not in DataJud</t>
        </is>
      </c>
      <c r="AS341" s="32" t="n">
        <v>2019</v>
      </c>
      <c r="AT341" s="32" t="inlineStr">
        <is>
          <t>7y since filing; plan not in our documents; case no. from the portal record, not printed on the list</t>
        </is>
      </c>
      <c r="AU341" s="32" t="inlineStr"/>
      <c r="AV341" s="32" t="inlineStr">
        <is>
          <t>portal page title / URL — not printed on the list</t>
        </is>
      </c>
      <c r="AW341" s="32" t="inlineStr"/>
      <c r="AX341" s="32" t="inlineStr">
        <is>
          <t>SAO PAULO</t>
        </is>
      </c>
      <c r="AY341" s="32" t="inlineStr">
        <is>
          <t>SP</t>
        </is>
      </c>
      <c r="AZ341" s="32" t="inlineStr">
        <is>
          <t>Bancos múltiplos, com carteira comercial</t>
        </is>
      </c>
      <c r="BA341" s="32" t="inlineStr">
        <is>
          <t>não ME/EPP</t>
        </is>
      </c>
      <c r="BB341" s="33" t="n">
        <v>65000000000</v>
      </c>
      <c r="BC341" s="32" t="inlineStr">
        <is>
          <t>LARGE CORP</t>
        </is>
      </c>
      <c r="BD341" s="32" t="inlineStr">
        <is>
          <t>90400888</t>
        </is>
      </c>
      <c r="BE341" s="32" t="n">
        <v>1</v>
      </c>
      <c r="BF341" s="32" t="inlineStr"/>
    </row>
    <row r="342">
      <c r="A342" s="17" t="inlineStr">
        <is>
          <t>SB CREDITO FUNDO DE INVESTIMENTO EM DIREITOS CREDITORIOS MULTISSETORIAL (</t>
        </is>
      </c>
      <c r="B342" s="18" t="n">
        <v>229189.08</v>
      </c>
      <c r="C342" s="19" t="inlineStr">
        <is>
          <t>VECTOR INDÚSTRIA DE PRODUTOS METALÚRGICOS LTDA.</t>
        </is>
      </c>
      <c r="D342" s="20" t="inlineStr">
        <is>
          <t>NEW</t>
        </is>
      </c>
      <c r="E342" s="21" t="inlineStr"/>
      <c r="F342" s="20" t="inlineStr"/>
      <c r="G342" s="21" t="inlineStr"/>
      <c r="H342" s="20" t="inlineStr"/>
      <c r="I342" s="22" t="inlineStr">
        <is>
          <t>Elaine Souza</t>
        </is>
      </c>
      <c r="J342" s="22" t="inlineStr">
        <is>
          <t>Analista Financeiro de Tesouraria FIDC</t>
        </is>
      </c>
      <c r="K342" s="22" t="inlineStr"/>
      <c r="L342" s="22" t="inlineStr"/>
      <c r="M342" s="22" t="inlineStr"/>
      <c r="N342" s="22" t="inlineStr">
        <is>
          <t>elaine.souza@sbcredito.com.br</t>
        </is>
      </c>
      <c r="O342" s="22" t="inlineStr">
        <is>
          <t>verified</t>
        </is>
      </c>
      <c r="P342" s="22" t="inlineStr"/>
      <c r="Q342" s="22" t="inlineStr"/>
      <c r="R342" s="22" t="inlineStr"/>
      <c r="S342" s="22" t="inlineStr"/>
      <c r="T342" s="22" t="inlineStr">
        <is>
          <t>DM: DM</t>
        </is>
      </c>
      <c r="U342" s="24" t="n">
        <v>229189.08</v>
      </c>
      <c r="V342" s="39" t="inlineStr">
        <is>
          <t>C</t>
        </is>
      </c>
      <c r="W342" s="26" t="inlineStr"/>
      <c r="X342" s="27" t="inlineStr"/>
      <c r="Y342" s="27" t="inlineStr"/>
      <c r="Z342" s="26">
        <f>IF(W342&lt;&gt;"",W342,IFERROR(VLOOKUP(V342,Assumptions!$A$8:$F$12,2,FALSE),0))*Assumptions!$B$5</f>
        <v/>
      </c>
      <c r="AA342" s="28">
        <f>IF(V342="A",MAX(1,IF(X342&lt;&gt;"",X342,IFERROR(VLOOKUP(V342,Assumptions!$A$8:$F$12,3,FALSE),3))+IF(Y342&lt;&gt;"",Y342,IFERROR(VLOOKUP(V342,Assumptions!$A$8:$F$12,4,FALSE),8))/2-MAX(0,IF(AS342="",0,YEAR(TODAY())-AS342)-IFERROR(VLOOKUP(V342,Assumptions!$A$8:$F$12,5,FALSE),1.5))),IFERROR(VLOOKUP(V342,Assumptions!$A$8:$F$12,5,FALSE),2.5)+IF(X342&lt;&gt;"",X342,IFERROR(VLOOKUP(V342,Assumptions!$A$8:$F$12,3,FALSE),3))+IF(Y342&lt;&gt;"",Y342,IFERROR(VLOOKUP(V342,Assumptions!$A$8:$F$12,4,FALSE),8))/2)</f>
        <v/>
      </c>
      <c r="AB342" s="24">
        <f>U342*Z342/(1+Assumptions!$B$3)^AA342</f>
        <v/>
      </c>
      <c r="AC342" s="27">
        <f>IF(U342=0,"",ROUND(AB342/U342*100,1))</f>
        <v/>
      </c>
      <c r="AD342" s="29">
        <f>AB342*Assumptions!$B$4</f>
        <v/>
      </c>
      <c r="AE342" s="27">
        <f>IF(U342=0,"",ROUND(AD342/U342*100,1))</f>
        <v/>
      </c>
      <c r="AF342" s="29">
        <f>AB342-AD342</f>
        <v/>
      </c>
      <c r="AG342" s="27">
        <f>IF(U342=0,"",ROUND((AB342-AD342)/U342*100,1))</f>
        <v/>
      </c>
      <c r="AH342" s="34" t="inlineStr">
        <is>
          <t>NO TOTALS — list prints none; check page</t>
        </is>
      </c>
      <c r="AI342" s="31" t="inlineStr">
        <is>
          <t>https://scalzilliaj.com.br/sgc/download.php?file=files/processo_documento/processo_documento15513401112022_1_.pdf&amp;nome=15 - Edital do art. 7º, §2º (segunda lista de credores) e do art. 53 da Lei 11.101/2005 (recebimento do plano)</t>
        </is>
      </c>
      <c r="AJ342" s="30" t="inlineStr">
        <is>
          <t>p9 r28</t>
        </is>
      </c>
      <c r="AK342" s="30" t="inlineStr">
        <is>
          <t>p9: R$ 229.189,08</t>
        </is>
      </c>
      <c r="AL342" s="30" t="inlineStr">
        <is>
          <t>AJ list (art. 7 §2)</t>
        </is>
      </c>
      <c r="AM342" s="30" t="inlineStr">
        <is>
          <t>2022-11-01</t>
        </is>
      </c>
      <c r="AN342" s="30" t="inlineStr">
        <is>
          <t>NONE FOUND</t>
        </is>
      </c>
      <c r="AO342" s="32" t="inlineStr">
        <is>
          <t>5014104-85.2021.8.21.0010</t>
        </is>
      </c>
      <c r="AP342" s="32" t="inlineStr">
        <is>
          <t>TJRS</t>
        </is>
      </c>
      <c r="AQ342" s="32" t="inlineStr">
        <is>
          <t>Recuperação judicial</t>
        </is>
      </c>
      <c r="AR342" s="32" t="inlineStr">
        <is>
          <t>DataJud: no closure/falência movement</t>
        </is>
      </c>
      <c r="AS342" s="32" t="n">
        <v>2021</v>
      </c>
      <c r="AT342" s="32" t="inlineStr">
        <is>
          <t>5y since filing; plan not in our documents</t>
        </is>
      </c>
      <c r="AU342" s="32" t="inlineStr">
        <is>
          <t>03.018.339/0001-03</t>
        </is>
      </c>
      <c r="AV342" s="32" t="inlineStr">
        <is>
          <t>printed on the list (read twice)</t>
        </is>
      </c>
      <c r="AW342" s="32" t="inlineStr"/>
      <c r="AX342" s="32" t="inlineStr"/>
      <c r="AY342" s="32" t="inlineStr"/>
      <c r="AZ342" s="32" t="inlineStr"/>
      <c r="BA342" s="32" t="inlineStr"/>
      <c r="BB342" s="33" t="inlineStr"/>
      <c r="BC342" s="32" t="inlineStr">
        <is>
          <t>UNKNOWN</t>
        </is>
      </c>
      <c r="BD342" s="32" t="inlineStr">
        <is>
          <t>23956882</t>
        </is>
      </c>
      <c r="BE342" s="32" t="n">
        <v>1</v>
      </c>
      <c r="BF342" s="32" t="inlineStr">
        <is>
          <t>financial by name list prints no totals no RFB record</t>
        </is>
      </c>
    </row>
    <row r="343">
      <c r="A343" s="17" t="inlineStr">
        <is>
          <t>RANDON ADMINISTRADORA DE CONSÓRCIO LTDA</t>
        </is>
      </c>
      <c r="B343" s="18" t="n">
        <v>219518.57</v>
      </c>
      <c r="C343" s="19" t="inlineStr">
        <is>
          <t>TRANSLOCOMOTIVA TRANSPORTES RODOVIÁRIOS E DISTRIBUIÇÃO DE CARGAS LTDA.</t>
        </is>
      </c>
      <c r="D343" s="20" t="inlineStr">
        <is>
          <t>NEW</t>
        </is>
      </c>
      <c r="E343" s="21" t="inlineStr"/>
      <c r="F343" s="20" t="inlineStr"/>
      <c r="G343" s="21" t="inlineStr"/>
      <c r="H343" s="20" t="inlineStr"/>
      <c r="I343" s="22" t="inlineStr">
        <is>
          <t>Candida Kuyava</t>
        </is>
      </c>
      <c r="J343" s="22" t="inlineStr">
        <is>
          <t>Legal Coordinator</t>
        </is>
      </c>
      <c r="K343" s="22" t="inlineStr"/>
      <c r="L343" s="22" t="inlineStr"/>
      <c r="M343" s="22" t="inlineStr"/>
      <c r="N343" s="22" t="inlineStr">
        <is>
          <t>candida.kuyava@randon.com.br</t>
        </is>
      </c>
      <c r="O343" s="22" t="inlineStr">
        <is>
          <t>verified</t>
        </is>
      </c>
      <c r="P343" s="22" t="inlineStr">
        <is>
          <t>Felipe Corso</t>
        </is>
      </c>
      <c r="Q343" s="22" t="inlineStr">
        <is>
          <t>Legal Analyst</t>
        </is>
      </c>
      <c r="R343" s="22" t="inlineStr"/>
      <c r="S343" s="22" t="inlineStr">
        <is>
          <t>felipe.corso@randon.com.br</t>
        </is>
      </c>
      <c r="T343" s="22" t="inlineStr">
        <is>
          <t>DM: DM; BACKUP: backup</t>
        </is>
      </c>
      <c r="U343" s="24" t="n">
        <v>219518.57</v>
      </c>
      <c r="V343" s="39" t="inlineStr">
        <is>
          <t>C</t>
        </is>
      </c>
      <c r="W343" s="26" t="inlineStr"/>
      <c r="X343" s="27" t="inlineStr"/>
      <c r="Y343" s="27" t="inlineStr"/>
      <c r="Z343" s="26">
        <f>IF(W343&lt;&gt;"",W343,IFERROR(VLOOKUP(V343,Assumptions!$A$8:$F$12,2,FALSE),0))*Assumptions!$B$5</f>
        <v/>
      </c>
      <c r="AA343" s="28">
        <f>IF(V343="A",MAX(1,IF(X343&lt;&gt;"",X343,IFERROR(VLOOKUP(V343,Assumptions!$A$8:$F$12,3,FALSE),3))+IF(Y343&lt;&gt;"",Y343,IFERROR(VLOOKUP(V343,Assumptions!$A$8:$F$12,4,FALSE),8))/2-MAX(0,IF(AS343="",0,YEAR(TODAY())-AS343)-IFERROR(VLOOKUP(V343,Assumptions!$A$8:$F$12,5,FALSE),1.5))),IFERROR(VLOOKUP(V343,Assumptions!$A$8:$F$12,5,FALSE),2.5)+IF(X343&lt;&gt;"",X343,IFERROR(VLOOKUP(V343,Assumptions!$A$8:$F$12,3,FALSE),3))+IF(Y343&lt;&gt;"",Y343,IFERROR(VLOOKUP(V343,Assumptions!$A$8:$F$12,4,FALSE),8))/2)</f>
        <v/>
      </c>
      <c r="AB343" s="24">
        <f>U343*Z343/(1+Assumptions!$B$3)^AA343</f>
        <v/>
      </c>
      <c r="AC343" s="27">
        <f>IF(U343=0,"",ROUND(AB343/U343*100,1))</f>
        <v/>
      </c>
      <c r="AD343" s="29">
        <f>AB343*Assumptions!$B$4</f>
        <v/>
      </c>
      <c r="AE343" s="27">
        <f>IF(U343=0,"",ROUND(AD343/U343*100,1))</f>
        <v/>
      </c>
      <c r="AF343" s="29">
        <f>AB343-AD343</f>
        <v/>
      </c>
      <c r="AG343" s="27">
        <f>IF(U343=0,"",ROUND((AB343-AD343)/U343*100,1))</f>
        <v/>
      </c>
      <c r="AH343" s="34" t="inlineStr">
        <is>
          <t>NO TOTALS — list prints none; check page</t>
        </is>
      </c>
      <c r="AI343" s="31" t="inlineStr">
        <is>
          <t>https://ativosajce.com.br/admin/download.php?file=files/processo_documento/processo_documento18430011062025_1_.pdf&amp;nome=Relação de Credores - Art. 52º § 1º, da Lei nº 11.101/2005 - 13/08/2020</t>
        </is>
      </c>
      <c r="AJ343" s="30" t="inlineStr">
        <is>
          <t>p3 r16</t>
        </is>
      </c>
      <c r="AK343" s="30" t="inlineStr">
        <is>
          <t>p3: R$ 219.518,57</t>
        </is>
      </c>
      <c r="AL343" s="30" t="inlineStr">
        <is>
          <t>AJ list (art. 7 §2)</t>
        </is>
      </c>
      <c r="AM343" s="30" t="inlineStr">
        <is>
          <t>2020-07-19</t>
        </is>
      </c>
      <c r="AN343" s="30" t="inlineStr">
        <is>
          <t>NONE FOUND</t>
        </is>
      </c>
      <c r="AO343" s="32" t="inlineStr">
        <is>
          <t>1000117-72.2020.8.26.0260</t>
        </is>
      </c>
      <c r="AP343" s="32" t="inlineStr">
        <is>
          <t>TJSP</t>
        </is>
      </c>
      <c r="AQ343" s="32" t="inlineStr">
        <is>
          <t>Recuperação judicial</t>
        </is>
      </c>
      <c r="AR343" s="32" t="inlineStr">
        <is>
          <t>DataJud: no closure/falência movement</t>
        </is>
      </c>
      <c r="AS343" s="32" t="n">
        <v>2020</v>
      </c>
      <c r="AT343" s="32" t="inlineStr">
        <is>
          <t>6y since filing; plan not in our documents; case no. from the portal record, not printed on the list</t>
        </is>
      </c>
      <c r="AU343" s="32" t="inlineStr"/>
      <c r="AV343" s="32" t="inlineStr">
        <is>
          <t>printed on the list (read twice)</t>
        </is>
      </c>
      <c r="AW343" s="32" t="inlineStr"/>
      <c r="AX343" s="32" t="inlineStr"/>
      <c r="AY343" s="32" t="inlineStr"/>
      <c r="AZ343" s="32" t="inlineStr"/>
      <c r="BA343" s="32" t="inlineStr"/>
      <c r="BB343" s="33" t="inlineStr"/>
      <c r="BC343" s="32" t="inlineStr">
        <is>
          <t>UNKNOWN</t>
        </is>
      </c>
      <c r="BD343" s="32" t="inlineStr">
        <is>
          <t>91108027</t>
        </is>
      </c>
      <c r="BE343" s="32" t="n">
        <v>1</v>
      </c>
      <c r="BF343" s="32" t="inlineStr">
        <is>
          <t>financial by name list prints no totals no RFB record</t>
        </is>
      </c>
    </row>
    <row r="344">
      <c r="A344" s="17" t="inlineStr">
        <is>
          <t>KIRTON BANK S.A. - BANCO MULTIPLO</t>
        </is>
      </c>
      <c r="B344" s="18" t="n">
        <v>385691.42</v>
      </c>
      <c r="C344" s="19" t="inlineStr">
        <is>
          <t>Mannes</t>
        </is>
      </c>
      <c r="D344" s="20" t="inlineStr">
        <is>
          <t>NEW</t>
        </is>
      </c>
      <c r="E344" s="21" t="inlineStr"/>
      <c r="F344" s="20" t="inlineStr"/>
      <c r="G344" s="21" t="inlineStr"/>
      <c r="H344" s="20" t="inlineStr"/>
      <c r="I344" s="22" t="inlineStr">
        <is>
          <t>CLAYTON NEVES XAVIER</t>
        </is>
      </c>
      <c r="J344" s="23" t="inlineStr">
        <is>
          <t>Administrador (RFB partner)</t>
        </is>
      </c>
      <c r="K344" s="22" t="inlineStr">
        <is>
          <t>(11) 3684-3884</t>
        </is>
      </c>
      <c r="L344" s="22" t="inlineStr"/>
      <c r="M344" s="22" t="inlineStr"/>
      <c r="N344" s="22" t="inlineStr"/>
      <c r="O344" s="22" t="inlineStr"/>
      <c r="P344" s="22" t="inlineStr">
        <is>
          <t>CRISTIANO ADJUTO E CAMPOS</t>
        </is>
      </c>
      <c r="Q344" s="22" t="inlineStr">
        <is>
          <t>Administrador (RFB partner)</t>
        </is>
      </c>
      <c r="R344" s="22" t="inlineStr"/>
      <c r="S344" s="22" t="inlineStr"/>
      <c r="T344" s="22" t="inlineStr">
        <is>
          <t>DM = registered partner (RFB QSA); no Apollo match</t>
        </is>
      </c>
      <c r="U344" s="24" t="n">
        <v>385691.42</v>
      </c>
      <c r="V344" s="40" t="inlineStr">
        <is>
          <t>D</t>
        </is>
      </c>
      <c r="W344" s="26" t="inlineStr"/>
      <c r="X344" s="27" t="inlineStr"/>
      <c r="Y344" s="27" t="inlineStr"/>
      <c r="Z344" s="26">
        <f>IF(W344&lt;&gt;"",W344,IFERROR(VLOOKUP(V344,Assumptions!$A$8:$F$12,2,FALSE),0))*Assumptions!$B$5</f>
        <v/>
      </c>
      <c r="AA344" s="28">
        <f>IF(V344="A",MAX(1,IF(X344&lt;&gt;"",X344,IFERROR(VLOOKUP(V344,Assumptions!$A$8:$F$12,3,FALSE),3))+IF(Y344&lt;&gt;"",Y344,IFERROR(VLOOKUP(V344,Assumptions!$A$8:$F$12,4,FALSE),8))/2-MAX(0,IF(AS344="",0,YEAR(TODAY())-AS344)-IFERROR(VLOOKUP(V344,Assumptions!$A$8:$F$12,5,FALSE),1.5))),IFERROR(VLOOKUP(V344,Assumptions!$A$8:$F$12,5,FALSE),2.5)+IF(X344&lt;&gt;"",X344,IFERROR(VLOOKUP(V344,Assumptions!$A$8:$F$12,3,FALSE),3))+IF(Y344&lt;&gt;"",Y344,IFERROR(VLOOKUP(V344,Assumptions!$A$8:$F$12,4,FALSE),8))/2)</f>
        <v/>
      </c>
      <c r="AB344" s="24">
        <f>U344*Z344/(1+Assumptions!$B$3)^AA344</f>
        <v/>
      </c>
      <c r="AC344" s="27">
        <f>IF(U344=0,"",ROUND(AB344/U344*100,1))</f>
        <v/>
      </c>
      <c r="AD344" s="29">
        <f>AB344*Assumptions!$B$4</f>
        <v/>
      </c>
      <c r="AE344" s="27">
        <f>IF(U344=0,"",ROUND(AD344/U344*100,1))</f>
        <v/>
      </c>
      <c r="AF344" s="29">
        <f>AB344-AD344</f>
        <v/>
      </c>
      <c r="AG344" s="27">
        <f>IF(U344=0,"",ROUND((AB344-AD344)/U344*100,1))</f>
        <v/>
      </c>
      <c r="AH344" s="36" t="inlineStr">
        <is>
          <t>CHECK — source is not a statutory creditor list</t>
        </is>
      </c>
      <c r="AI344" s="31" t="inlineStr">
        <is>
          <t>https://administradorajudicialgs.com.br/wp-content/uploads/2024/12/relacao-de-credores-da-falida.pdf</t>
        </is>
      </c>
      <c r="AJ344" s="30" t="inlineStr">
        <is>
          <t>p15 r17</t>
        </is>
      </c>
      <c r="AK344" s="30" t="inlineStr">
        <is>
          <t>p15: R$ 385.691,42</t>
        </is>
      </c>
      <c r="AL344" s="30" t="inlineStr">
        <is>
          <t>Other filing — NOT an art. 7/51 list</t>
        </is>
      </c>
      <c r="AM344" s="30" t="inlineStr">
        <is>
          <t>2025-03-25</t>
        </is>
      </c>
      <c r="AN344" s="30" t="inlineStr">
        <is>
          <t>NONE FOUND</t>
        </is>
      </c>
      <c r="AO344" s="32" t="inlineStr">
        <is>
          <t>0005010-50.2013.8.24.0026</t>
        </is>
      </c>
      <c r="AP344" s="32" t="inlineStr">
        <is>
          <t>TJSC</t>
        </is>
      </c>
      <c r="AQ344" s="32" t="inlineStr">
        <is>
          <t>Falência</t>
        </is>
      </c>
      <c r="AR344" s="32" t="inlineStr">
        <is>
          <t>not in DataJud</t>
        </is>
      </c>
      <c r="AS344" s="32" t="n">
        <v>2013</v>
      </c>
      <c r="AT344" s="32" t="inlineStr">
        <is>
          <t>falência proceeding (list/name says falida)</t>
        </is>
      </c>
      <c r="AU344" s="32" t="inlineStr"/>
      <c r="AV344" s="32" t="inlineStr">
        <is>
          <t>printed on the list (read twice)</t>
        </is>
      </c>
      <c r="AW344" s="32" t="inlineStr"/>
      <c r="AX344" s="32" t="inlineStr">
        <is>
          <t>OSASCO</t>
        </is>
      </c>
      <c r="AY344" s="32" t="inlineStr">
        <is>
          <t>SP</t>
        </is>
      </c>
      <c r="AZ344" s="32" t="inlineStr">
        <is>
          <t>Bancos múltiplos, com carteira comercial</t>
        </is>
      </c>
      <c r="BA344" s="32" t="inlineStr">
        <is>
          <t>não ME/EPP</t>
        </is>
      </c>
      <c r="BB344" s="33" t="n">
        <v>8778882000</v>
      </c>
      <c r="BC344" s="32" t="inlineStr">
        <is>
          <t>LARGE CORP</t>
        </is>
      </c>
      <c r="BD344" s="32" t="inlineStr">
        <is>
          <t>01701201</t>
        </is>
      </c>
      <c r="BE344" s="32" t="n">
        <v>1</v>
      </c>
      <c r="BF344" s="32" t="inlineStr">
        <is>
          <t>list prints no totals case no. corrected by reader</t>
        </is>
      </c>
    </row>
    <row r="345">
      <c r="A345" s="17" t="inlineStr">
        <is>
          <t>META FUNDO DE INVESTIMENTO EM DIREITOS CREDITORIOS (</t>
        </is>
      </c>
      <c r="B345" s="18" t="n">
        <v>205684.95</v>
      </c>
      <c r="C345" s="19" t="inlineStr">
        <is>
          <t>VECTOR INDÚSTRIA DE PRODUTOS METALÚRGICOS LTDA.</t>
        </is>
      </c>
      <c r="D345" s="20" t="inlineStr">
        <is>
          <t>NEW</t>
        </is>
      </c>
      <c r="E345" s="21" t="inlineStr"/>
      <c r="F345" s="20" t="inlineStr"/>
      <c r="G345" s="21" t="inlineStr"/>
      <c r="H345" s="20" t="inlineStr"/>
      <c r="I345" s="22" t="inlineStr">
        <is>
          <t>Fabio Fontanezzi</t>
        </is>
      </c>
      <c r="J345" s="22" t="inlineStr">
        <is>
          <t>Commercial Superintendent</t>
        </is>
      </c>
      <c r="K345" s="22" t="inlineStr"/>
      <c r="L345" s="22" t="inlineStr"/>
      <c r="M345" s="22" t="inlineStr"/>
      <c r="N345" s="22" t="inlineStr">
        <is>
          <t>fabio@metafidc.com.br</t>
        </is>
      </c>
      <c r="O345" s="22" t="inlineStr">
        <is>
          <t>verified</t>
        </is>
      </c>
      <c r="P345" s="22" t="inlineStr">
        <is>
          <t>Eduardo Januario</t>
        </is>
      </c>
      <c r="Q345" s="22" t="inlineStr">
        <is>
          <t>Gerente Comercial SC</t>
        </is>
      </c>
      <c r="R345" s="22" t="inlineStr"/>
      <c r="S345" s="22" t="inlineStr">
        <is>
          <t>eduardo@metafidc.com.br</t>
        </is>
      </c>
      <c r="T345" s="22" t="inlineStr">
        <is>
          <t>DM is not a finance role (Commercial Superintendent); DM: DM; BACKUP: backup VERIFY org: Grupo One7 (email @metafidc.com.br); backup email is pattern-guessed</t>
        </is>
      </c>
      <c r="U345" s="24" t="n">
        <v>205684.95</v>
      </c>
      <c r="V345" s="39" t="inlineStr">
        <is>
          <t>C</t>
        </is>
      </c>
      <c r="W345" s="26" t="inlineStr"/>
      <c r="X345" s="27" t="inlineStr"/>
      <c r="Y345" s="27" t="inlineStr"/>
      <c r="Z345" s="26">
        <f>IF(W345&lt;&gt;"",W345,IFERROR(VLOOKUP(V345,Assumptions!$A$8:$F$12,2,FALSE),0))*Assumptions!$B$5</f>
        <v/>
      </c>
      <c r="AA345" s="28">
        <f>IF(V345="A",MAX(1,IF(X345&lt;&gt;"",X345,IFERROR(VLOOKUP(V345,Assumptions!$A$8:$F$12,3,FALSE),3))+IF(Y345&lt;&gt;"",Y345,IFERROR(VLOOKUP(V345,Assumptions!$A$8:$F$12,4,FALSE),8))/2-MAX(0,IF(AS345="",0,YEAR(TODAY())-AS345)-IFERROR(VLOOKUP(V345,Assumptions!$A$8:$F$12,5,FALSE),1.5))),IFERROR(VLOOKUP(V345,Assumptions!$A$8:$F$12,5,FALSE),2.5)+IF(X345&lt;&gt;"",X345,IFERROR(VLOOKUP(V345,Assumptions!$A$8:$F$12,3,FALSE),3))+IF(Y345&lt;&gt;"",Y345,IFERROR(VLOOKUP(V345,Assumptions!$A$8:$F$12,4,FALSE),8))/2)</f>
        <v/>
      </c>
      <c r="AB345" s="24">
        <f>U345*Z345/(1+Assumptions!$B$3)^AA345</f>
        <v/>
      </c>
      <c r="AC345" s="27">
        <f>IF(U345=0,"",ROUND(AB345/U345*100,1))</f>
        <v/>
      </c>
      <c r="AD345" s="29">
        <f>AB345*Assumptions!$B$4</f>
        <v/>
      </c>
      <c r="AE345" s="27">
        <f>IF(U345=0,"",ROUND(AD345/U345*100,1))</f>
        <v/>
      </c>
      <c r="AF345" s="29">
        <f>AB345-AD345</f>
        <v/>
      </c>
      <c r="AG345" s="27">
        <f>IF(U345=0,"",ROUND((AB345-AD345)/U345*100,1))</f>
        <v/>
      </c>
      <c r="AH345" s="34" t="inlineStr">
        <is>
          <t>NO TOTALS — list prints none; check page</t>
        </is>
      </c>
      <c r="AI345" s="31" t="inlineStr">
        <is>
          <t>https://scalzilliaj.com.br/sgc/download.php?file=files/processo_documento/processo_documento15513401112022_1_.pdf&amp;nome=15 - Edital do art. 7º, §2º (segunda lista de credores) e do art. 53 da Lei 11.101/2005 (recebimento do plano)</t>
        </is>
      </c>
      <c r="AJ345" s="30" t="inlineStr">
        <is>
          <t>p8 r20</t>
        </is>
      </c>
      <c r="AK345" s="30" t="inlineStr">
        <is>
          <t>p8: R$ 205.684,95</t>
        </is>
      </c>
      <c r="AL345" s="30" t="inlineStr">
        <is>
          <t>AJ list (art. 7 §2)</t>
        </is>
      </c>
      <c r="AM345" s="30" t="inlineStr">
        <is>
          <t>2022-11-01</t>
        </is>
      </c>
      <c r="AN345" s="30" t="inlineStr">
        <is>
          <t>NONE FOUND</t>
        </is>
      </c>
      <c r="AO345" s="32" t="inlineStr">
        <is>
          <t>5014104-85.2021.8.21.0010</t>
        </is>
      </c>
      <c r="AP345" s="32" t="inlineStr">
        <is>
          <t>TJRS</t>
        </is>
      </c>
      <c r="AQ345" s="32" t="inlineStr">
        <is>
          <t>Recuperação judicial</t>
        </is>
      </c>
      <c r="AR345" s="32" t="inlineStr">
        <is>
          <t>DataJud: no closure/falência movement</t>
        </is>
      </c>
      <c r="AS345" s="32" t="n">
        <v>2021</v>
      </c>
      <c r="AT345" s="32" t="inlineStr">
        <is>
          <t>5y since filing; plan not in our documents</t>
        </is>
      </c>
      <c r="AU345" s="32" t="inlineStr">
        <is>
          <t>03.018.339/0001-03</t>
        </is>
      </c>
      <c r="AV345" s="32" t="inlineStr">
        <is>
          <t>printed on the list (read twice)</t>
        </is>
      </c>
      <c r="AW345" s="32" t="inlineStr"/>
      <c r="AX345" s="32" t="inlineStr"/>
      <c r="AY345" s="32" t="inlineStr"/>
      <c r="AZ345" s="32" t="inlineStr"/>
      <c r="BA345" s="32" t="inlineStr"/>
      <c r="BB345" s="33" t="inlineStr"/>
      <c r="BC345" s="32" t="inlineStr">
        <is>
          <t>UNKNOWN</t>
        </is>
      </c>
      <c r="BD345" s="32" t="inlineStr">
        <is>
          <t>29953928</t>
        </is>
      </c>
      <c r="BE345" s="32" t="n">
        <v>1</v>
      </c>
      <c r="BF345" s="32" t="inlineStr">
        <is>
          <t>financial by name list prints no totals no RFB record</t>
        </is>
      </c>
    </row>
    <row r="346">
      <c r="A346" s="17" t="inlineStr">
        <is>
          <t>FUNDO DE INVESTIMENTOS EM DIREITOS CREDITÓRIOS - EXODUS III</t>
        </is>
      </c>
      <c r="B346" s="18" t="n">
        <v>332680</v>
      </c>
      <c r="C346" s="19" t="inlineStr">
        <is>
          <t>Mannes</t>
        </is>
      </c>
      <c r="D346" s="20" t="inlineStr">
        <is>
          <t>NEW</t>
        </is>
      </c>
      <c r="E346" s="21" t="inlineStr"/>
      <c r="F346" s="20" t="inlineStr"/>
      <c r="G346" s="21" t="inlineStr"/>
      <c r="H346" s="20" t="inlineStr"/>
      <c r="I346" s="22" t="inlineStr"/>
      <c r="J346" s="22" t="inlineStr"/>
      <c r="K346" s="22" t="inlineStr"/>
      <c r="L346" s="22" t="inlineStr"/>
      <c r="M346" s="22" t="inlineStr"/>
      <c r="N346" s="22" t="inlineStr"/>
      <c r="O346" s="22" t="inlineStr"/>
      <c r="P346" s="22" t="inlineStr"/>
      <c r="Q346" s="22" t="inlineStr"/>
      <c r="R346" s="22" t="inlineStr"/>
      <c r="S346" s="22" t="inlineStr"/>
      <c r="T346" s="22" t="inlineStr">
        <is>
          <t>no named contact found; NO ROUTE IN: no phone or email on file</t>
        </is>
      </c>
      <c r="U346" s="24" t="n">
        <v>332680</v>
      </c>
      <c r="V346" s="40" t="inlineStr">
        <is>
          <t>D</t>
        </is>
      </c>
      <c r="W346" s="26" t="inlineStr"/>
      <c r="X346" s="27" t="inlineStr"/>
      <c r="Y346" s="27" t="inlineStr"/>
      <c r="Z346" s="26">
        <f>IF(W346&lt;&gt;"",W346,IFERROR(VLOOKUP(V346,Assumptions!$A$8:$F$12,2,FALSE),0))*Assumptions!$B$5</f>
        <v/>
      </c>
      <c r="AA346" s="28">
        <f>IF(V346="A",MAX(1,IF(X346&lt;&gt;"",X346,IFERROR(VLOOKUP(V346,Assumptions!$A$8:$F$12,3,FALSE),3))+IF(Y346&lt;&gt;"",Y346,IFERROR(VLOOKUP(V346,Assumptions!$A$8:$F$12,4,FALSE),8))/2-MAX(0,IF(AS346="",0,YEAR(TODAY())-AS346)-IFERROR(VLOOKUP(V346,Assumptions!$A$8:$F$12,5,FALSE),1.5))),IFERROR(VLOOKUP(V346,Assumptions!$A$8:$F$12,5,FALSE),2.5)+IF(X346&lt;&gt;"",X346,IFERROR(VLOOKUP(V346,Assumptions!$A$8:$F$12,3,FALSE),3))+IF(Y346&lt;&gt;"",Y346,IFERROR(VLOOKUP(V346,Assumptions!$A$8:$F$12,4,FALSE),8))/2)</f>
        <v/>
      </c>
      <c r="AB346" s="24">
        <f>U346*Z346/(1+Assumptions!$B$3)^AA346</f>
        <v/>
      </c>
      <c r="AC346" s="27">
        <f>IF(U346=0,"",ROUND(AB346/U346*100,1))</f>
        <v/>
      </c>
      <c r="AD346" s="29">
        <f>AB346*Assumptions!$B$4</f>
        <v/>
      </c>
      <c r="AE346" s="27">
        <f>IF(U346=0,"",ROUND(AD346/U346*100,1))</f>
        <v/>
      </c>
      <c r="AF346" s="29">
        <f>AB346-AD346</f>
        <v/>
      </c>
      <c r="AG346" s="27">
        <f>IF(U346=0,"",ROUND((AB346-AD346)/U346*100,1))</f>
        <v/>
      </c>
      <c r="AH346" s="36" t="inlineStr">
        <is>
          <t>CHECK — source is not a statutory creditor list</t>
        </is>
      </c>
      <c r="AI346" s="31" t="inlineStr">
        <is>
          <t>https://administradorajudicialgs.com.br/wp-content/uploads/2024/12/relacao-de-credores-da-falida.pdf</t>
        </is>
      </c>
      <c r="AJ346" s="30" t="inlineStr">
        <is>
          <t>p14 r56</t>
        </is>
      </c>
      <c r="AK346" s="30" t="inlineStr">
        <is>
          <t>p14: R$ 332.680,00</t>
        </is>
      </c>
      <c r="AL346" s="30" t="inlineStr">
        <is>
          <t>Other filing — NOT an art. 7/51 list</t>
        </is>
      </c>
      <c r="AM346" s="30" t="inlineStr">
        <is>
          <t>2025-03-25</t>
        </is>
      </c>
      <c r="AN346" s="30" t="inlineStr">
        <is>
          <t>NONE FOUND</t>
        </is>
      </c>
      <c r="AO346" s="32" t="inlineStr">
        <is>
          <t>0005010-50.2013.8.24.0026</t>
        </is>
      </c>
      <c r="AP346" s="32" t="inlineStr">
        <is>
          <t>TJSC</t>
        </is>
      </c>
      <c r="AQ346" s="32" t="inlineStr">
        <is>
          <t>Falência</t>
        </is>
      </c>
      <c r="AR346" s="32" t="inlineStr">
        <is>
          <t>not in DataJud</t>
        </is>
      </c>
      <c r="AS346" s="32" t="n">
        <v>2013</v>
      </c>
      <c r="AT346" s="32" t="inlineStr">
        <is>
          <t>falência proceeding (list/name says falida)</t>
        </is>
      </c>
      <c r="AU346" s="32" t="inlineStr"/>
      <c r="AV346" s="32" t="inlineStr">
        <is>
          <t>printed on the list (read twice)</t>
        </is>
      </c>
      <c r="AW346" s="32" t="inlineStr"/>
      <c r="AX346" s="32" t="inlineStr"/>
      <c r="AY346" s="32" t="inlineStr"/>
      <c r="AZ346" s="32" t="inlineStr"/>
      <c r="BA346" s="32" t="inlineStr"/>
      <c r="BB346" s="33" t="inlineStr"/>
      <c r="BC346" s="32" t="inlineStr">
        <is>
          <t>UNKNOWN</t>
        </is>
      </c>
      <c r="BD346" s="32" t="inlineStr">
        <is>
          <t>33918160</t>
        </is>
      </c>
      <c r="BE346" s="32" t="n">
        <v>1</v>
      </c>
      <c r="BF346" s="32" t="inlineStr">
        <is>
          <t>financial by name list prints no totals case no. corrected by reader no RFB record no route in</t>
        </is>
      </c>
    </row>
  </sheetData>
  <autoFilter ref="A1:BF346"/>
  <conditionalFormatting sqref="D2:D346">
    <cfRule type="cellIs" priority="1" operator="equal" dxfId="0">
      <formula>"SETTLED"</formula>
    </cfRule>
    <cfRule type="cellIs" priority="2" operator="equal" dxfId="0">
      <formula>"CESSÃO SIGNED"</formula>
    </cfRule>
    <cfRule type="cellIs" priority="3" operator="equal" dxfId="0">
      <formula>"SUBSTITUTED IN LIST"</formula>
    </cfRule>
    <cfRule type="cellIs" priority="4" operator="equal" dxfId="1">
      <formula>"TERMS AGREED"</formula>
    </cfRule>
    <cfRule type="cellIs" priority="5" operator="equal" dxfId="1">
      <formula>"INTERESTED"</formula>
    </cfRule>
    <cfRule type="cellIs" priority="6" operator="equal" dxfId="2">
      <formula>"DEAD"</formula>
    </cfRule>
    <cfRule type="cellIs" priority="7" operator="equal" dxfId="2">
      <formula>"NOT INTERESTED"</formula>
    </cfRule>
  </conditionalFormatting>
  <conditionalFormatting sqref="G2:G346">
    <cfRule type="expression" priority="8" dxfId="2">
      <formula>AND(G2&lt;&gt;"",G2&lt;TODAY(),D2&lt;&gt;"DEAD",D2&lt;&gt;"SETTLED")</formula>
    </cfRule>
    <cfRule type="expression" priority="9" dxfId="3">
      <formula>G2=TODAY()</formula>
    </cfRule>
  </conditionalFormatting>
  <dataValidations count="2">
    <dataValidation sqref="D2:D346" showDropDown="0" showInputMessage="0" showErrorMessage="1" allowBlank="1" error="Pick a status from the list" type="list" errorStyle="stop">
      <formula1>"NEW,QUEUED,EMAILED,CALLED,VOICEMAIL,CONNECTED,INTERESTED,NOT INTERESTED,CALL BACK,DEAD,TERMS AGREED,CESSÃO SIGNED,SUBSTITUTED IN LIST,SETTLED"</formula1>
    </dataValidation>
    <dataValidation sqref="V2:V346" showDropDown="0" showInputMessage="0" showErrorMessage="1" allowBlank="1" error="Band must be A, B, C, D or U" type="list" errorStyle="stop">
      <formula1>"A,B,C,D,U"</formula1>
    </dataValidation>
  </dataValidations>
  <hyperlinks>
    <hyperlink xmlns:r="http://schemas.openxmlformats.org/officeDocument/2006/relationships" ref="AI2" r:id="rId1"/>
    <hyperlink xmlns:r="http://schemas.openxmlformats.org/officeDocument/2006/relationships" ref="AI3" r:id="rId2"/>
    <hyperlink xmlns:r="http://schemas.openxmlformats.org/officeDocument/2006/relationships" ref="AI4" r:id="rId3"/>
    <hyperlink xmlns:r="http://schemas.openxmlformats.org/officeDocument/2006/relationships" ref="AI5" r:id="rId4"/>
    <hyperlink xmlns:r="http://schemas.openxmlformats.org/officeDocument/2006/relationships" ref="AI6" r:id="rId5"/>
    <hyperlink xmlns:r="http://schemas.openxmlformats.org/officeDocument/2006/relationships" ref="AI7" r:id="rId6"/>
    <hyperlink xmlns:r="http://schemas.openxmlformats.org/officeDocument/2006/relationships" ref="AI8" r:id="rId7"/>
    <hyperlink xmlns:r="http://schemas.openxmlformats.org/officeDocument/2006/relationships" ref="AI9" r:id="rId8"/>
    <hyperlink xmlns:r="http://schemas.openxmlformats.org/officeDocument/2006/relationships" ref="AI10" r:id="rId9"/>
    <hyperlink xmlns:r="http://schemas.openxmlformats.org/officeDocument/2006/relationships" ref="AI11" r:id="rId10"/>
    <hyperlink xmlns:r="http://schemas.openxmlformats.org/officeDocument/2006/relationships" ref="AI12" r:id="rId11"/>
    <hyperlink xmlns:r="http://schemas.openxmlformats.org/officeDocument/2006/relationships" ref="AI13" r:id="rId12"/>
    <hyperlink xmlns:r="http://schemas.openxmlformats.org/officeDocument/2006/relationships" ref="AI14" r:id="rId13"/>
    <hyperlink xmlns:r="http://schemas.openxmlformats.org/officeDocument/2006/relationships" ref="AI15" r:id="rId14"/>
    <hyperlink xmlns:r="http://schemas.openxmlformats.org/officeDocument/2006/relationships" ref="AI16" r:id="rId15"/>
    <hyperlink xmlns:r="http://schemas.openxmlformats.org/officeDocument/2006/relationships" ref="AI17" r:id="rId16"/>
    <hyperlink xmlns:r="http://schemas.openxmlformats.org/officeDocument/2006/relationships" ref="AI18" r:id="rId17"/>
    <hyperlink xmlns:r="http://schemas.openxmlformats.org/officeDocument/2006/relationships" ref="AI19" r:id="rId18"/>
    <hyperlink xmlns:r="http://schemas.openxmlformats.org/officeDocument/2006/relationships" ref="AI20" r:id="rId19"/>
    <hyperlink xmlns:r="http://schemas.openxmlformats.org/officeDocument/2006/relationships" ref="AI21" r:id="rId20"/>
    <hyperlink xmlns:r="http://schemas.openxmlformats.org/officeDocument/2006/relationships" ref="AI22" r:id="rId21"/>
    <hyperlink xmlns:r="http://schemas.openxmlformats.org/officeDocument/2006/relationships" ref="AI23" r:id="rId22"/>
    <hyperlink xmlns:r="http://schemas.openxmlformats.org/officeDocument/2006/relationships" ref="AI24" r:id="rId23"/>
    <hyperlink xmlns:r="http://schemas.openxmlformats.org/officeDocument/2006/relationships" ref="AI25" r:id="rId24"/>
    <hyperlink xmlns:r="http://schemas.openxmlformats.org/officeDocument/2006/relationships" ref="AI26" r:id="rId25"/>
    <hyperlink xmlns:r="http://schemas.openxmlformats.org/officeDocument/2006/relationships" ref="AI27" r:id="rId26"/>
    <hyperlink xmlns:r="http://schemas.openxmlformats.org/officeDocument/2006/relationships" ref="AI28" r:id="rId27"/>
    <hyperlink xmlns:r="http://schemas.openxmlformats.org/officeDocument/2006/relationships" ref="AI29" r:id="rId28"/>
    <hyperlink xmlns:r="http://schemas.openxmlformats.org/officeDocument/2006/relationships" ref="AI30" r:id="rId29"/>
    <hyperlink xmlns:r="http://schemas.openxmlformats.org/officeDocument/2006/relationships" ref="AI31" r:id="rId30"/>
    <hyperlink xmlns:r="http://schemas.openxmlformats.org/officeDocument/2006/relationships" ref="AI32" r:id="rId31"/>
    <hyperlink xmlns:r="http://schemas.openxmlformats.org/officeDocument/2006/relationships" ref="AI33" r:id="rId32"/>
    <hyperlink xmlns:r="http://schemas.openxmlformats.org/officeDocument/2006/relationships" ref="AI34" r:id="rId33"/>
    <hyperlink xmlns:r="http://schemas.openxmlformats.org/officeDocument/2006/relationships" ref="AI35" r:id="rId34"/>
    <hyperlink xmlns:r="http://schemas.openxmlformats.org/officeDocument/2006/relationships" ref="AI36" r:id="rId35"/>
    <hyperlink xmlns:r="http://schemas.openxmlformats.org/officeDocument/2006/relationships" ref="AI37" r:id="rId36"/>
    <hyperlink xmlns:r="http://schemas.openxmlformats.org/officeDocument/2006/relationships" ref="AI38" r:id="rId37"/>
    <hyperlink xmlns:r="http://schemas.openxmlformats.org/officeDocument/2006/relationships" ref="AI39" r:id="rId38"/>
    <hyperlink xmlns:r="http://schemas.openxmlformats.org/officeDocument/2006/relationships" ref="AI40" r:id="rId39"/>
    <hyperlink xmlns:r="http://schemas.openxmlformats.org/officeDocument/2006/relationships" ref="AI41" r:id="rId40"/>
    <hyperlink xmlns:r="http://schemas.openxmlformats.org/officeDocument/2006/relationships" ref="AI42" r:id="rId41"/>
    <hyperlink xmlns:r="http://schemas.openxmlformats.org/officeDocument/2006/relationships" ref="AI43" r:id="rId42"/>
    <hyperlink xmlns:r="http://schemas.openxmlformats.org/officeDocument/2006/relationships" ref="AI44" r:id="rId43"/>
    <hyperlink xmlns:r="http://schemas.openxmlformats.org/officeDocument/2006/relationships" ref="AI45" r:id="rId44"/>
    <hyperlink xmlns:r="http://schemas.openxmlformats.org/officeDocument/2006/relationships" ref="AI46" r:id="rId45"/>
    <hyperlink xmlns:r="http://schemas.openxmlformats.org/officeDocument/2006/relationships" ref="AI47" r:id="rId46"/>
    <hyperlink xmlns:r="http://schemas.openxmlformats.org/officeDocument/2006/relationships" ref="AI48" r:id="rId47"/>
    <hyperlink xmlns:r="http://schemas.openxmlformats.org/officeDocument/2006/relationships" ref="AI49" r:id="rId48"/>
    <hyperlink xmlns:r="http://schemas.openxmlformats.org/officeDocument/2006/relationships" ref="AI50" r:id="rId49"/>
    <hyperlink xmlns:r="http://schemas.openxmlformats.org/officeDocument/2006/relationships" ref="AI51" r:id="rId50"/>
    <hyperlink xmlns:r="http://schemas.openxmlformats.org/officeDocument/2006/relationships" ref="AI52" r:id="rId51"/>
    <hyperlink xmlns:r="http://schemas.openxmlformats.org/officeDocument/2006/relationships" ref="AI53" r:id="rId52"/>
    <hyperlink xmlns:r="http://schemas.openxmlformats.org/officeDocument/2006/relationships" ref="AI54" r:id="rId53"/>
    <hyperlink xmlns:r="http://schemas.openxmlformats.org/officeDocument/2006/relationships" ref="AI55" r:id="rId54"/>
    <hyperlink xmlns:r="http://schemas.openxmlformats.org/officeDocument/2006/relationships" ref="AI56" r:id="rId55"/>
    <hyperlink xmlns:r="http://schemas.openxmlformats.org/officeDocument/2006/relationships" ref="AI57" r:id="rId56"/>
    <hyperlink xmlns:r="http://schemas.openxmlformats.org/officeDocument/2006/relationships" ref="AI58" r:id="rId57"/>
    <hyperlink xmlns:r="http://schemas.openxmlformats.org/officeDocument/2006/relationships" ref="AI59" r:id="rId58"/>
    <hyperlink xmlns:r="http://schemas.openxmlformats.org/officeDocument/2006/relationships" ref="AI60" r:id="rId59"/>
    <hyperlink xmlns:r="http://schemas.openxmlformats.org/officeDocument/2006/relationships" ref="AI61" r:id="rId60"/>
    <hyperlink xmlns:r="http://schemas.openxmlformats.org/officeDocument/2006/relationships" ref="AI62" r:id="rId61"/>
    <hyperlink xmlns:r="http://schemas.openxmlformats.org/officeDocument/2006/relationships" ref="AI63" r:id="rId62"/>
    <hyperlink xmlns:r="http://schemas.openxmlformats.org/officeDocument/2006/relationships" ref="AI64" r:id="rId63"/>
    <hyperlink xmlns:r="http://schemas.openxmlformats.org/officeDocument/2006/relationships" ref="AI65" r:id="rId64"/>
    <hyperlink xmlns:r="http://schemas.openxmlformats.org/officeDocument/2006/relationships" ref="AI66" r:id="rId65"/>
    <hyperlink xmlns:r="http://schemas.openxmlformats.org/officeDocument/2006/relationships" ref="AI67" r:id="rId66"/>
    <hyperlink xmlns:r="http://schemas.openxmlformats.org/officeDocument/2006/relationships" ref="AI68" r:id="rId67"/>
    <hyperlink xmlns:r="http://schemas.openxmlformats.org/officeDocument/2006/relationships" ref="AI69" r:id="rId68"/>
    <hyperlink xmlns:r="http://schemas.openxmlformats.org/officeDocument/2006/relationships" ref="AI70" r:id="rId69"/>
    <hyperlink xmlns:r="http://schemas.openxmlformats.org/officeDocument/2006/relationships" ref="AI71" r:id="rId70"/>
    <hyperlink xmlns:r="http://schemas.openxmlformats.org/officeDocument/2006/relationships" ref="AI72" r:id="rId71"/>
    <hyperlink xmlns:r="http://schemas.openxmlformats.org/officeDocument/2006/relationships" ref="AI73" r:id="rId72"/>
    <hyperlink xmlns:r="http://schemas.openxmlformats.org/officeDocument/2006/relationships" ref="AI74" r:id="rId73"/>
    <hyperlink xmlns:r="http://schemas.openxmlformats.org/officeDocument/2006/relationships" ref="AI75" r:id="rId74"/>
    <hyperlink xmlns:r="http://schemas.openxmlformats.org/officeDocument/2006/relationships" ref="AI76" r:id="rId75"/>
    <hyperlink xmlns:r="http://schemas.openxmlformats.org/officeDocument/2006/relationships" ref="AI77" r:id="rId76"/>
    <hyperlink xmlns:r="http://schemas.openxmlformats.org/officeDocument/2006/relationships" ref="AI78" r:id="rId77"/>
    <hyperlink xmlns:r="http://schemas.openxmlformats.org/officeDocument/2006/relationships" ref="AI79" r:id="rId78"/>
    <hyperlink xmlns:r="http://schemas.openxmlformats.org/officeDocument/2006/relationships" ref="AI80" r:id="rId79"/>
    <hyperlink xmlns:r="http://schemas.openxmlformats.org/officeDocument/2006/relationships" ref="AI81" r:id="rId80"/>
    <hyperlink xmlns:r="http://schemas.openxmlformats.org/officeDocument/2006/relationships" ref="AI82" r:id="rId81"/>
    <hyperlink xmlns:r="http://schemas.openxmlformats.org/officeDocument/2006/relationships" ref="AI83" r:id="rId82"/>
    <hyperlink xmlns:r="http://schemas.openxmlformats.org/officeDocument/2006/relationships" ref="AI84" r:id="rId83"/>
    <hyperlink xmlns:r="http://schemas.openxmlformats.org/officeDocument/2006/relationships" ref="AI85" r:id="rId84"/>
    <hyperlink xmlns:r="http://schemas.openxmlformats.org/officeDocument/2006/relationships" ref="AI86" r:id="rId85"/>
    <hyperlink xmlns:r="http://schemas.openxmlformats.org/officeDocument/2006/relationships" ref="AI87" r:id="rId86"/>
    <hyperlink xmlns:r="http://schemas.openxmlformats.org/officeDocument/2006/relationships" ref="AI88" r:id="rId87"/>
    <hyperlink xmlns:r="http://schemas.openxmlformats.org/officeDocument/2006/relationships" ref="AI89" r:id="rId88"/>
    <hyperlink xmlns:r="http://schemas.openxmlformats.org/officeDocument/2006/relationships" ref="AI90" r:id="rId89"/>
    <hyperlink xmlns:r="http://schemas.openxmlformats.org/officeDocument/2006/relationships" ref="AI91" r:id="rId90"/>
    <hyperlink xmlns:r="http://schemas.openxmlformats.org/officeDocument/2006/relationships" ref="AI92" r:id="rId91"/>
    <hyperlink xmlns:r="http://schemas.openxmlformats.org/officeDocument/2006/relationships" ref="AI93" r:id="rId92"/>
    <hyperlink xmlns:r="http://schemas.openxmlformats.org/officeDocument/2006/relationships" ref="AI94" r:id="rId93"/>
    <hyperlink xmlns:r="http://schemas.openxmlformats.org/officeDocument/2006/relationships" ref="AI95" r:id="rId94"/>
    <hyperlink xmlns:r="http://schemas.openxmlformats.org/officeDocument/2006/relationships" ref="AI96" r:id="rId95"/>
    <hyperlink xmlns:r="http://schemas.openxmlformats.org/officeDocument/2006/relationships" ref="AI97" r:id="rId96"/>
    <hyperlink xmlns:r="http://schemas.openxmlformats.org/officeDocument/2006/relationships" ref="AI98" r:id="rId97"/>
    <hyperlink xmlns:r="http://schemas.openxmlformats.org/officeDocument/2006/relationships" ref="AI99" r:id="rId98"/>
    <hyperlink xmlns:r="http://schemas.openxmlformats.org/officeDocument/2006/relationships" ref="AI100" r:id="rId99"/>
    <hyperlink xmlns:r="http://schemas.openxmlformats.org/officeDocument/2006/relationships" ref="AI101" r:id="rId100"/>
    <hyperlink xmlns:r="http://schemas.openxmlformats.org/officeDocument/2006/relationships" ref="AI102" r:id="rId101"/>
    <hyperlink xmlns:r="http://schemas.openxmlformats.org/officeDocument/2006/relationships" ref="AI103" r:id="rId102"/>
    <hyperlink xmlns:r="http://schemas.openxmlformats.org/officeDocument/2006/relationships" ref="AI104" r:id="rId103"/>
    <hyperlink xmlns:r="http://schemas.openxmlformats.org/officeDocument/2006/relationships" ref="AI105" r:id="rId104"/>
    <hyperlink xmlns:r="http://schemas.openxmlformats.org/officeDocument/2006/relationships" ref="AI106" r:id="rId105"/>
    <hyperlink xmlns:r="http://schemas.openxmlformats.org/officeDocument/2006/relationships" ref="AI107" r:id="rId106"/>
    <hyperlink xmlns:r="http://schemas.openxmlformats.org/officeDocument/2006/relationships" ref="AI108" r:id="rId107"/>
    <hyperlink xmlns:r="http://schemas.openxmlformats.org/officeDocument/2006/relationships" ref="AI109" r:id="rId108"/>
    <hyperlink xmlns:r="http://schemas.openxmlformats.org/officeDocument/2006/relationships" ref="AI110" r:id="rId109"/>
    <hyperlink xmlns:r="http://schemas.openxmlformats.org/officeDocument/2006/relationships" ref="AI111" r:id="rId110"/>
    <hyperlink xmlns:r="http://schemas.openxmlformats.org/officeDocument/2006/relationships" ref="AI112" r:id="rId111"/>
    <hyperlink xmlns:r="http://schemas.openxmlformats.org/officeDocument/2006/relationships" ref="AI113" r:id="rId112"/>
    <hyperlink xmlns:r="http://schemas.openxmlformats.org/officeDocument/2006/relationships" ref="AI114" r:id="rId113"/>
    <hyperlink xmlns:r="http://schemas.openxmlformats.org/officeDocument/2006/relationships" ref="AI115" r:id="rId114"/>
    <hyperlink xmlns:r="http://schemas.openxmlformats.org/officeDocument/2006/relationships" ref="AI116" r:id="rId115"/>
    <hyperlink xmlns:r="http://schemas.openxmlformats.org/officeDocument/2006/relationships" ref="AI117" r:id="rId116"/>
    <hyperlink xmlns:r="http://schemas.openxmlformats.org/officeDocument/2006/relationships" ref="AI118" r:id="rId117"/>
    <hyperlink xmlns:r="http://schemas.openxmlformats.org/officeDocument/2006/relationships" ref="AI119" r:id="rId118"/>
    <hyperlink xmlns:r="http://schemas.openxmlformats.org/officeDocument/2006/relationships" ref="AI120" r:id="rId119"/>
    <hyperlink xmlns:r="http://schemas.openxmlformats.org/officeDocument/2006/relationships" ref="AI121" r:id="rId120"/>
    <hyperlink xmlns:r="http://schemas.openxmlformats.org/officeDocument/2006/relationships" ref="AI122" r:id="rId121"/>
    <hyperlink xmlns:r="http://schemas.openxmlformats.org/officeDocument/2006/relationships" ref="AI123" r:id="rId122"/>
    <hyperlink xmlns:r="http://schemas.openxmlformats.org/officeDocument/2006/relationships" ref="AI124" r:id="rId123"/>
    <hyperlink xmlns:r="http://schemas.openxmlformats.org/officeDocument/2006/relationships" ref="AI125" r:id="rId124"/>
    <hyperlink xmlns:r="http://schemas.openxmlformats.org/officeDocument/2006/relationships" ref="AI126" r:id="rId125"/>
    <hyperlink xmlns:r="http://schemas.openxmlformats.org/officeDocument/2006/relationships" ref="AI127" r:id="rId126"/>
    <hyperlink xmlns:r="http://schemas.openxmlformats.org/officeDocument/2006/relationships" ref="AI128" r:id="rId127"/>
    <hyperlink xmlns:r="http://schemas.openxmlformats.org/officeDocument/2006/relationships" ref="AI129" r:id="rId128"/>
    <hyperlink xmlns:r="http://schemas.openxmlformats.org/officeDocument/2006/relationships" ref="AI130" r:id="rId129"/>
    <hyperlink xmlns:r="http://schemas.openxmlformats.org/officeDocument/2006/relationships" ref="AI131" r:id="rId130"/>
    <hyperlink xmlns:r="http://schemas.openxmlformats.org/officeDocument/2006/relationships" ref="AI132" r:id="rId131"/>
    <hyperlink xmlns:r="http://schemas.openxmlformats.org/officeDocument/2006/relationships" ref="AI133" r:id="rId132"/>
    <hyperlink xmlns:r="http://schemas.openxmlformats.org/officeDocument/2006/relationships" ref="AI134" r:id="rId133"/>
    <hyperlink xmlns:r="http://schemas.openxmlformats.org/officeDocument/2006/relationships" ref="AI135" r:id="rId134"/>
    <hyperlink xmlns:r="http://schemas.openxmlformats.org/officeDocument/2006/relationships" ref="AI136" r:id="rId135"/>
    <hyperlink xmlns:r="http://schemas.openxmlformats.org/officeDocument/2006/relationships" ref="AI137" r:id="rId136"/>
    <hyperlink xmlns:r="http://schemas.openxmlformats.org/officeDocument/2006/relationships" ref="AI138" r:id="rId137"/>
    <hyperlink xmlns:r="http://schemas.openxmlformats.org/officeDocument/2006/relationships" ref="AI139" r:id="rId138"/>
    <hyperlink xmlns:r="http://schemas.openxmlformats.org/officeDocument/2006/relationships" ref="AI140" r:id="rId139"/>
    <hyperlink xmlns:r="http://schemas.openxmlformats.org/officeDocument/2006/relationships" ref="AI141" r:id="rId140"/>
    <hyperlink xmlns:r="http://schemas.openxmlformats.org/officeDocument/2006/relationships" ref="AI142" r:id="rId141"/>
    <hyperlink xmlns:r="http://schemas.openxmlformats.org/officeDocument/2006/relationships" ref="AI143" r:id="rId142"/>
    <hyperlink xmlns:r="http://schemas.openxmlformats.org/officeDocument/2006/relationships" ref="AI144" r:id="rId143"/>
    <hyperlink xmlns:r="http://schemas.openxmlformats.org/officeDocument/2006/relationships" ref="AI145" r:id="rId144"/>
    <hyperlink xmlns:r="http://schemas.openxmlformats.org/officeDocument/2006/relationships" ref="AI146" r:id="rId145"/>
    <hyperlink xmlns:r="http://schemas.openxmlformats.org/officeDocument/2006/relationships" ref="AI147" r:id="rId146"/>
    <hyperlink xmlns:r="http://schemas.openxmlformats.org/officeDocument/2006/relationships" ref="AI148" r:id="rId147"/>
    <hyperlink xmlns:r="http://schemas.openxmlformats.org/officeDocument/2006/relationships" ref="AI149" r:id="rId148"/>
    <hyperlink xmlns:r="http://schemas.openxmlformats.org/officeDocument/2006/relationships" ref="AI150" r:id="rId149"/>
    <hyperlink xmlns:r="http://schemas.openxmlformats.org/officeDocument/2006/relationships" ref="AI151" r:id="rId150"/>
    <hyperlink xmlns:r="http://schemas.openxmlformats.org/officeDocument/2006/relationships" ref="AI152" r:id="rId151"/>
    <hyperlink xmlns:r="http://schemas.openxmlformats.org/officeDocument/2006/relationships" ref="AI153" r:id="rId152"/>
    <hyperlink xmlns:r="http://schemas.openxmlformats.org/officeDocument/2006/relationships" ref="AI154" r:id="rId153"/>
    <hyperlink xmlns:r="http://schemas.openxmlformats.org/officeDocument/2006/relationships" ref="AI155" r:id="rId154"/>
    <hyperlink xmlns:r="http://schemas.openxmlformats.org/officeDocument/2006/relationships" ref="AI156" r:id="rId155"/>
    <hyperlink xmlns:r="http://schemas.openxmlformats.org/officeDocument/2006/relationships" ref="AI157" r:id="rId156"/>
    <hyperlink xmlns:r="http://schemas.openxmlformats.org/officeDocument/2006/relationships" ref="AI158" r:id="rId157"/>
    <hyperlink xmlns:r="http://schemas.openxmlformats.org/officeDocument/2006/relationships" ref="AI159" r:id="rId158"/>
    <hyperlink xmlns:r="http://schemas.openxmlformats.org/officeDocument/2006/relationships" ref="AI160" r:id="rId159"/>
    <hyperlink xmlns:r="http://schemas.openxmlformats.org/officeDocument/2006/relationships" ref="AI161" r:id="rId160"/>
    <hyperlink xmlns:r="http://schemas.openxmlformats.org/officeDocument/2006/relationships" ref="AI162" r:id="rId161"/>
    <hyperlink xmlns:r="http://schemas.openxmlformats.org/officeDocument/2006/relationships" ref="AI163" r:id="rId162"/>
    <hyperlink xmlns:r="http://schemas.openxmlformats.org/officeDocument/2006/relationships" ref="AI164" r:id="rId163"/>
    <hyperlink xmlns:r="http://schemas.openxmlformats.org/officeDocument/2006/relationships" ref="AI165" r:id="rId164"/>
    <hyperlink xmlns:r="http://schemas.openxmlformats.org/officeDocument/2006/relationships" ref="AI166" r:id="rId165"/>
    <hyperlink xmlns:r="http://schemas.openxmlformats.org/officeDocument/2006/relationships" ref="AI167" r:id="rId166"/>
    <hyperlink xmlns:r="http://schemas.openxmlformats.org/officeDocument/2006/relationships" ref="AI168" r:id="rId167"/>
    <hyperlink xmlns:r="http://schemas.openxmlformats.org/officeDocument/2006/relationships" ref="AI169" r:id="rId168"/>
    <hyperlink xmlns:r="http://schemas.openxmlformats.org/officeDocument/2006/relationships" ref="AI170" r:id="rId169"/>
    <hyperlink xmlns:r="http://schemas.openxmlformats.org/officeDocument/2006/relationships" ref="AI171" r:id="rId170"/>
    <hyperlink xmlns:r="http://schemas.openxmlformats.org/officeDocument/2006/relationships" ref="AI172" r:id="rId171"/>
    <hyperlink xmlns:r="http://schemas.openxmlformats.org/officeDocument/2006/relationships" ref="AI173" r:id="rId172"/>
    <hyperlink xmlns:r="http://schemas.openxmlformats.org/officeDocument/2006/relationships" ref="AI174" r:id="rId173"/>
    <hyperlink xmlns:r="http://schemas.openxmlformats.org/officeDocument/2006/relationships" ref="AI175" r:id="rId174"/>
    <hyperlink xmlns:r="http://schemas.openxmlformats.org/officeDocument/2006/relationships" ref="AI176" r:id="rId175"/>
    <hyperlink xmlns:r="http://schemas.openxmlformats.org/officeDocument/2006/relationships" ref="AI177" r:id="rId176"/>
    <hyperlink xmlns:r="http://schemas.openxmlformats.org/officeDocument/2006/relationships" ref="AI178" r:id="rId177"/>
    <hyperlink xmlns:r="http://schemas.openxmlformats.org/officeDocument/2006/relationships" ref="AI179" r:id="rId178"/>
    <hyperlink xmlns:r="http://schemas.openxmlformats.org/officeDocument/2006/relationships" ref="AI180" r:id="rId179"/>
    <hyperlink xmlns:r="http://schemas.openxmlformats.org/officeDocument/2006/relationships" ref="AI181" r:id="rId180"/>
    <hyperlink xmlns:r="http://schemas.openxmlformats.org/officeDocument/2006/relationships" ref="AI182" r:id="rId181"/>
    <hyperlink xmlns:r="http://schemas.openxmlformats.org/officeDocument/2006/relationships" ref="AI183" r:id="rId182"/>
    <hyperlink xmlns:r="http://schemas.openxmlformats.org/officeDocument/2006/relationships" ref="AI184" r:id="rId183"/>
    <hyperlink xmlns:r="http://schemas.openxmlformats.org/officeDocument/2006/relationships" ref="AI185" r:id="rId184"/>
    <hyperlink xmlns:r="http://schemas.openxmlformats.org/officeDocument/2006/relationships" ref="AI186" r:id="rId185"/>
    <hyperlink xmlns:r="http://schemas.openxmlformats.org/officeDocument/2006/relationships" ref="AI187" r:id="rId186"/>
    <hyperlink xmlns:r="http://schemas.openxmlformats.org/officeDocument/2006/relationships" ref="AI188" r:id="rId187"/>
    <hyperlink xmlns:r="http://schemas.openxmlformats.org/officeDocument/2006/relationships" ref="AI189" r:id="rId188"/>
    <hyperlink xmlns:r="http://schemas.openxmlformats.org/officeDocument/2006/relationships" ref="AI190" r:id="rId189"/>
    <hyperlink xmlns:r="http://schemas.openxmlformats.org/officeDocument/2006/relationships" ref="AI191" r:id="rId190"/>
    <hyperlink xmlns:r="http://schemas.openxmlformats.org/officeDocument/2006/relationships" ref="AI192" r:id="rId191"/>
    <hyperlink xmlns:r="http://schemas.openxmlformats.org/officeDocument/2006/relationships" ref="AI193" r:id="rId192"/>
    <hyperlink xmlns:r="http://schemas.openxmlformats.org/officeDocument/2006/relationships" ref="AI194" r:id="rId193"/>
    <hyperlink xmlns:r="http://schemas.openxmlformats.org/officeDocument/2006/relationships" ref="AI195" r:id="rId194"/>
    <hyperlink xmlns:r="http://schemas.openxmlformats.org/officeDocument/2006/relationships" ref="AI196" r:id="rId195"/>
    <hyperlink xmlns:r="http://schemas.openxmlformats.org/officeDocument/2006/relationships" ref="AI197" r:id="rId196"/>
    <hyperlink xmlns:r="http://schemas.openxmlformats.org/officeDocument/2006/relationships" ref="AI198" r:id="rId197"/>
    <hyperlink xmlns:r="http://schemas.openxmlformats.org/officeDocument/2006/relationships" ref="AI199" r:id="rId198"/>
    <hyperlink xmlns:r="http://schemas.openxmlformats.org/officeDocument/2006/relationships" ref="AI200" r:id="rId199"/>
    <hyperlink xmlns:r="http://schemas.openxmlformats.org/officeDocument/2006/relationships" ref="AI201" r:id="rId200"/>
    <hyperlink xmlns:r="http://schemas.openxmlformats.org/officeDocument/2006/relationships" ref="AI202" r:id="rId201"/>
    <hyperlink xmlns:r="http://schemas.openxmlformats.org/officeDocument/2006/relationships" ref="AI203" r:id="rId202"/>
    <hyperlink xmlns:r="http://schemas.openxmlformats.org/officeDocument/2006/relationships" ref="AI204" r:id="rId203"/>
    <hyperlink xmlns:r="http://schemas.openxmlformats.org/officeDocument/2006/relationships" ref="AI205" r:id="rId204"/>
    <hyperlink xmlns:r="http://schemas.openxmlformats.org/officeDocument/2006/relationships" ref="AI206" r:id="rId205"/>
    <hyperlink xmlns:r="http://schemas.openxmlformats.org/officeDocument/2006/relationships" ref="AI207" r:id="rId206"/>
    <hyperlink xmlns:r="http://schemas.openxmlformats.org/officeDocument/2006/relationships" ref="AI208" r:id="rId207"/>
    <hyperlink xmlns:r="http://schemas.openxmlformats.org/officeDocument/2006/relationships" ref="AI209" r:id="rId208"/>
    <hyperlink xmlns:r="http://schemas.openxmlformats.org/officeDocument/2006/relationships" ref="AI210" r:id="rId209"/>
    <hyperlink xmlns:r="http://schemas.openxmlformats.org/officeDocument/2006/relationships" ref="AI211" r:id="rId210"/>
    <hyperlink xmlns:r="http://schemas.openxmlformats.org/officeDocument/2006/relationships" ref="AI212" r:id="rId211"/>
    <hyperlink xmlns:r="http://schemas.openxmlformats.org/officeDocument/2006/relationships" ref="AI213" r:id="rId212"/>
    <hyperlink xmlns:r="http://schemas.openxmlformats.org/officeDocument/2006/relationships" ref="AI214" r:id="rId213"/>
    <hyperlink xmlns:r="http://schemas.openxmlformats.org/officeDocument/2006/relationships" ref="AI215" r:id="rId214"/>
    <hyperlink xmlns:r="http://schemas.openxmlformats.org/officeDocument/2006/relationships" ref="AI216" r:id="rId215"/>
    <hyperlink xmlns:r="http://schemas.openxmlformats.org/officeDocument/2006/relationships" ref="AI217" r:id="rId216"/>
    <hyperlink xmlns:r="http://schemas.openxmlformats.org/officeDocument/2006/relationships" ref="AI218" r:id="rId217"/>
    <hyperlink xmlns:r="http://schemas.openxmlformats.org/officeDocument/2006/relationships" ref="AI219" r:id="rId218"/>
    <hyperlink xmlns:r="http://schemas.openxmlformats.org/officeDocument/2006/relationships" ref="AI220" r:id="rId219"/>
    <hyperlink xmlns:r="http://schemas.openxmlformats.org/officeDocument/2006/relationships" ref="AI221" r:id="rId220"/>
    <hyperlink xmlns:r="http://schemas.openxmlformats.org/officeDocument/2006/relationships" ref="AI222" r:id="rId221"/>
    <hyperlink xmlns:r="http://schemas.openxmlformats.org/officeDocument/2006/relationships" ref="AI223" r:id="rId222"/>
    <hyperlink xmlns:r="http://schemas.openxmlformats.org/officeDocument/2006/relationships" ref="AI224" r:id="rId223"/>
    <hyperlink xmlns:r="http://schemas.openxmlformats.org/officeDocument/2006/relationships" ref="AI225" r:id="rId224"/>
    <hyperlink xmlns:r="http://schemas.openxmlformats.org/officeDocument/2006/relationships" ref="AI226" r:id="rId225"/>
    <hyperlink xmlns:r="http://schemas.openxmlformats.org/officeDocument/2006/relationships" ref="AI227" r:id="rId226"/>
    <hyperlink xmlns:r="http://schemas.openxmlformats.org/officeDocument/2006/relationships" ref="AI228" r:id="rId227"/>
    <hyperlink xmlns:r="http://schemas.openxmlformats.org/officeDocument/2006/relationships" ref="AI229" r:id="rId228"/>
    <hyperlink xmlns:r="http://schemas.openxmlformats.org/officeDocument/2006/relationships" ref="AI230" r:id="rId229"/>
    <hyperlink xmlns:r="http://schemas.openxmlformats.org/officeDocument/2006/relationships" ref="AI231" r:id="rId230"/>
    <hyperlink xmlns:r="http://schemas.openxmlformats.org/officeDocument/2006/relationships" ref="AI232" r:id="rId231"/>
    <hyperlink xmlns:r="http://schemas.openxmlformats.org/officeDocument/2006/relationships" ref="AI233" r:id="rId232"/>
    <hyperlink xmlns:r="http://schemas.openxmlformats.org/officeDocument/2006/relationships" ref="AI234" r:id="rId233"/>
    <hyperlink xmlns:r="http://schemas.openxmlformats.org/officeDocument/2006/relationships" ref="AI235" r:id="rId234"/>
    <hyperlink xmlns:r="http://schemas.openxmlformats.org/officeDocument/2006/relationships" ref="AI236" r:id="rId235"/>
    <hyperlink xmlns:r="http://schemas.openxmlformats.org/officeDocument/2006/relationships" ref="AI237" r:id="rId236"/>
    <hyperlink xmlns:r="http://schemas.openxmlformats.org/officeDocument/2006/relationships" ref="AI238" r:id="rId237"/>
    <hyperlink xmlns:r="http://schemas.openxmlformats.org/officeDocument/2006/relationships" ref="AI239" r:id="rId238"/>
    <hyperlink xmlns:r="http://schemas.openxmlformats.org/officeDocument/2006/relationships" ref="AI240" r:id="rId239"/>
    <hyperlink xmlns:r="http://schemas.openxmlformats.org/officeDocument/2006/relationships" ref="AI241" r:id="rId240"/>
    <hyperlink xmlns:r="http://schemas.openxmlformats.org/officeDocument/2006/relationships" ref="AI242" r:id="rId241"/>
    <hyperlink xmlns:r="http://schemas.openxmlformats.org/officeDocument/2006/relationships" ref="AI243" r:id="rId242"/>
    <hyperlink xmlns:r="http://schemas.openxmlformats.org/officeDocument/2006/relationships" ref="AI244" r:id="rId243"/>
    <hyperlink xmlns:r="http://schemas.openxmlformats.org/officeDocument/2006/relationships" ref="AI245" r:id="rId244"/>
    <hyperlink xmlns:r="http://schemas.openxmlformats.org/officeDocument/2006/relationships" ref="AI246" r:id="rId245"/>
    <hyperlink xmlns:r="http://schemas.openxmlformats.org/officeDocument/2006/relationships" ref="AI247" r:id="rId246"/>
    <hyperlink xmlns:r="http://schemas.openxmlformats.org/officeDocument/2006/relationships" ref="AI248" r:id="rId247"/>
    <hyperlink xmlns:r="http://schemas.openxmlformats.org/officeDocument/2006/relationships" ref="AI249" r:id="rId248"/>
    <hyperlink xmlns:r="http://schemas.openxmlformats.org/officeDocument/2006/relationships" ref="AI250" r:id="rId249"/>
    <hyperlink xmlns:r="http://schemas.openxmlformats.org/officeDocument/2006/relationships" ref="AI251" r:id="rId250"/>
    <hyperlink xmlns:r="http://schemas.openxmlformats.org/officeDocument/2006/relationships" ref="AI252" r:id="rId251"/>
    <hyperlink xmlns:r="http://schemas.openxmlformats.org/officeDocument/2006/relationships" ref="AI253" r:id="rId252"/>
    <hyperlink xmlns:r="http://schemas.openxmlformats.org/officeDocument/2006/relationships" ref="AI254" r:id="rId253"/>
    <hyperlink xmlns:r="http://schemas.openxmlformats.org/officeDocument/2006/relationships" ref="AI255" r:id="rId254"/>
    <hyperlink xmlns:r="http://schemas.openxmlformats.org/officeDocument/2006/relationships" ref="AI256" r:id="rId255"/>
    <hyperlink xmlns:r="http://schemas.openxmlformats.org/officeDocument/2006/relationships" ref="AI257" r:id="rId256"/>
    <hyperlink xmlns:r="http://schemas.openxmlformats.org/officeDocument/2006/relationships" ref="AI258" r:id="rId257"/>
    <hyperlink xmlns:r="http://schemas.openxmlformats.org/officeDocument/2006/relationships" ref="AI259" r:id="rId258"/>
    <hyperlink xmlns:r="http://schemas.openxmlformats.org/officeDocument/2006/relationships" ref="AI260" r:id="rId259"/>
    <hyperlink xmlns:r="http://schemas.openxmlformats.org/officeDocument/2006/relationships" ref="AI261" r:id="rId260"/>
    <hyperlink xmlns:r="http://schemas.openxmlformats.org/officeDocument/2006/relationships" ref="AI262" r:id="rId261"/>
    <hyperlink xmlns:r="http://schemas.openxmlformats.org/officeDocument/2006/relationships" ref="AI263" r:id="rId262"/>
    <hyperlink xmlns:r="http://schemas.openxmlformats.org/officeDocument/2006/relationships" ref="AI264" r:id="rId263"/>
    <hyperlink xmlns:r="http://schemas.openxmlformats.org/officeDocument/2006/relationships" ref="AI265" r:id="rId264"/>
    <hyperlink xmlns:r="http://schemas.openxmlformats.org/officeDocument/2006/relationships" ref="AI266" r:id="rId265"/>
    <hyperlink xmlns:r="http://schemas.openxmlformats.org/officeDocument/2006/relationships" ref="AI267" r:id="rId266"/>
    <hyperlink xmlns:r="http://schemas.openxmlformats.org/officeDocument/2006/relationships" ref="AI268" r:id="rId267"/>
    <hyperlink xmlns:r="http://schemas.openxmlformats.org/officeDocument/2006/relationships" ref="AI269" r:id="rId268"/>
    <hyperlink xmlns:r="http://schemas.openxmlformats.org/officeDocument/2006/relationships" ref="AI270" r:id="rId269"/>
    <hyperlink xmlns:r="http://schemas.openxmlformats.org/officeDocument/2006/relationships" ref="AI271" r:id="rId270"/>
    <hyperlink xmlns:r="http://schemas.openxmlformats.org/officeDocument/2006/relationships" ref="AI272" r:id="rId271"/>
    <hyperlink xmlns:r="http://schemas.openxmlformats.org/officeDocument/2006/relationships" ref="AI273" r:id="rId272"/>
    <hyperlink xmlns:r="http://schemas.openxmlformats.org/officeDocument/2006/relationships" ref="AI274" r:id="rId273"/>
    <hyperlink xmlns:r="http://schemas.openxmlformats.org/officeDocument/2006/relationships" ref="AI275" r:id="rId274"/>
    <hyperlink xmlns:r="http://schemas.openxmlformats.org/officeDocument/2006/relationships" ref="AI276" r:id="rId275"/>
    <hyperlink xmlns:r="http://schemas.openxmlformats.org/officeDocument/2006/relationships" ref="AI277" r:id="rId276"/>
    <hyperlink xmlns:r="http://schemas.openxmlformats.org/officeDocument/2006/relationships" ref="AI278" r:id="rId277"/>
    <hyperlink xmlns:r="http://schemas.openxmlformats.org/officeDocument/2006/relationships" ref="AI279" r:id="rId278"/>
    <hyperlink xmlns:r="http://schemas.openxmlformats.org/officeDocument/2006/relationships" ref="AI280" r:id="rId279"/>
    <hyperlink xmlns:r="http://schemas.openxmlformats.org/officeDocument/2006/relationships" ref="AI281" r:id="rId280"/>
    <hyperlink xmlns:r="http://schemas.openxmlformats.org/officeDocument/2006/relationships" ref="AI282" r:id="rId281"/>
    <hyperlink xmlns:r="http://schemas.openxmlformats.org/officeDocument/2006/relationships" ref="AI283" r:id="rId282"/>
    <hyperlink xmlns:r="http://schemas.openxmlformats.org/officeDocument/2006/relationships" ref="AI284" r:id="rId283"/>
    <hyperlink xmlns:r="http://schemas.openxmlformats.org/officeDocument/2006/relationships" ref="AI285" r:id="rId284"/>
    <hyperlink xmlns:r="http://schemas.openxmlformats.org/officeDocument/2006/relationships" ref="AI286" r:id="rId285"/>
    <hyperlink xmlns:r="http://schemas.openxmlformats.org/officeDocument/2006/relationships" ref="AI287" r:id="rId286"/>
    <hyperlink xmlns:r="http://schemas.openxmlformats.org/officeDocument/2006/relationships" ref="AI288" r:id="rId287"/>
    <hyperlink xmlns:r="http://schemas.openxmlformats.org/officeDocument/2006/relationships" ref="AI289" r:id="rId288"/>
    <hyperlink xmlns:r="http://schemas.openxmlformats.org/officeDocument/2006/relationships" ref="AI290" r:id="rId289"/>
    <hyperlink xmlns:r="http://schemas.openxmlformats.org/officeDocument/2006/relationships" ref="AI291" r:id="rId290"/>
    <hyperlink xmlns:r="http://schemas.openxmlformats.org/officeDocument/2006/relationships" ref="AI292" r:id="rId291"/>
    <hyperlink xmlns:r="http://schemas.openxmlformats.org/officeDocument/2006/relationships" ref="AI293" r:id="rId292"/>
    <hyperlink xmlns:r="http://schemas.openxmlformats.org/officeDocument/2006/relationships" ref="AI294" r:id="rId293"/>
    <hyperlink xmlns:r="http://schemas.openxmlformats.org/officeDocument/2006/relationships" ref="AI295" r:id="rId294"/>
    <hyperlink xmlns:r="http://schemas.openxmlformats.org/officeDocument/2006/relationships" ref="AI296" r:id="rId295"/>
    <hyperlink xmlns:r="http://schemas.openxmlformats.org/officeDocument/2006/relationships" ref="AI297" r:id="rId296"/>
    <hyperlink xmlns:r="http://schemas.openxmlformats.org/officeDocument/2006/relationships" ref="AI298" r:id="rId297"/>
    <hyperlink xmlns:r="http://schemas.openxmlformats.org/officeDocument/2006/relationships" ref="AI299" r:id="rId298"/>
    <hyperlink xmlns:r="http://schemas.openxmlformats.org/officeDocument/2006/relationships" ref="AI300" r:id="rId299"/>
    <hyperlink xmlns:r="http://schemas.openxmlformats.org/officeDocument/2006/relationships" ref="AI301" r:id="rId300"/>
    <hyperlink xmlns:r="http://schemas.openxmlformats.org/officeDocument/2006/relationships" ref="AI302" r:id="rId301"/>
    <hyperlink xmlns:r="http://schemas.openxmlformats.org/officeDocument/2006/relationships" ref="AI303" r:id="rId302"/>
    <hyperlink xmlns:r="http://schemas.openxmlformats.org/officeDocument/2006/relationships" ref="AI304" r:id="rId303"/>
    <hyperlink xmlns:r="http://schemas.openxmlformats.org/officeDocument/2006/relationships" ref="AI305" r:id="rId304"/>
    <hyperlink xmlns:r="http://schemas.openxmlformats.org/officeDocument/2006/relationships" ref="AI306" r:id="rId305"/>
    <hyperlink xmlns:r="http://schemas.openxmlformats.org/officeDocument/2006/relationships" ref="AI307" r:id="rId306"/>
    <hyperlink xmlns:r="http://schemas.openxmlformats.org/officeDocument/2006/relationships" ref="AI308" r:id="rId307"/>
    <hyperlink xmlns:r="http://schemas.openxmlformats.org/officeDocument/2006/relationships" ref="AI309" r:id="rId308"/>
    <hyperlink xmlns:r="http://schemas.openxmlformats.org/officeDocument/2006/relationships" ref="AI310" r:id="rId309"/>
    <hyperlink xmlns:r="http://schemas.openxmlformats.org/officeDocument/2006/relationships" ref="AI311" r:id="rId310"/>
    <hyperlink xmlns:r="http://schemas.openxmlformats.org/officeDocument/2006/relationships" ref="AI312" r:id="rId311"/>
    <hyperlink xmlns:r="http://schemas.openxmlformats.org/officeDocument/2006/relationships" ref="AI313" r:id="rId312"/>
    <hyperlink xmlns:r="http://schemas.openxmlformats.org/officeDocument/2006/relationships" ref="AI314" r:id="rId313"/>
    <hyperlink xmlns:r="http://schemas.openxmlformats.org/officeDocument/2006/relationships" ref="AI315" r:id="rId314"/>
    <hyperlink xmlns:r="http://schemas.openxmlformats.org/officeDocument/2006/relationships" ref="AI316" r:id="rId315"/>
    <hyperlink xmlns:r="http://schemas.openxmlformats.org/officeDocument/2006/relationships" ref="AI317" r:id="rId316"/>
    <hyperlink xmlns:r="http://schemas.openxmlformats.org/officeDocument/2006/relationships" ref="AI318" r:id="rId317"/>
    <hyperlink xmlns:r="http://schemas.openxmlformats.org/officeDocument/2006/relationships" ref="AI319" r:id="rId318"/>
    <hyperlink xmlns:r="http://schemas.openxmlformats.org/officeDocument/2006/relationships" ref="AI320" r:id="rId319"/>
    <hyperlink xmlns:r="http://schemas.openxmlformats.org/officeDocument/2006/relationships" ref="AI321" r:id="rId320"/>
    <hyperlink xmlns:r="http://schemas.openxmlformats.org/officeDocument/2006/relationships" ref="AI322" r:id="rId321"/>
    <hyperlink xmlns:r="http://schemas.openxmlformats.org/officeDocument/2006/relationships" ref="AI323" r:id="rId322"/>
    <hyperlink xmlns:r="http://schemas.openxmlformats.org/officeDocument/2006/relationships" ref="AI324" r:id="rId323"/>
    <hyperlink xmlns:r="http://schemas.openxmlformats.org/officeDocument/2006/relationships" ref="AI325" r:id="rId324"/>
    <hyperlink xmlns:r="http://schemas.openxmlformats.org/officeDocument/2006/relationships" ref="AI326" r:id="rId325"/>
    <hyperlink xmlns:r="http://schemas.openxmlformats.org/officeDocument/2006/relationships" ref="AI327" r:id="rId326"/>
    <hyperlink xmlns:r="http://schemas.openxmlformats.org/officeDocument/2006/relationships" ref="AI328" r:id="rId327"/>
    <hyperlink xmlns:r="http://schemas.openxmlformats.org/officeDocument/2006/relationships" ref="AI329" r:id="rId328"/>
    <hyperlink xmlns:r="http://schemas.openxmlformats.org/officeDocument/2006/relationships" ref="AI330" r:id="rId329"/>
    <hyperlink xmlns:r="http://schemas.openxmlformats.org/officeDocument/2006/relationships" ref="AI331" r:id="rId330"/>
    <hyperlink xmlns:r="http://schemas.openxmlformats.org/officeDocument/2006/relationships" ref="AI332" r:id="rId331"/>
    <hyperlink xmlns:r="http://schemas.openxmlformats.org/officeDocument/2006/relationships" ref="AI333" r:id="rId332"/>
    <hyperlink xmlns:r="http://schemas.openxmlformats.org/officeDocument/2006/relationships" ref="AI334" r:id="rId333"/>
    <hyperlink xmlns:r="http://schemas.openxmlformats.org/officeDocument/2006/relationships" ref="AI335" r:id="rId334"/>
    <hyperlink xmlns:r="http://schemas.openxmlformats.org/officeDocument/2006/relationships" ref="AI336" r:id="rId335"/>
    <hyperlink xmlns:r="http://schemas.openxmlformats.org/officeDocument/2006/relationships" ref="AI337" r:id="rId336"/>
    <hyperlink xmlns:r="http://schemas.openxmlformats.org/officeDocument/2006/relationships" ref="AI338" r:id="rId337"/>
    <hyperlink xmlns:r="http://schemas.openxmlformats.org/officeDocument/2006/relationships" ref="AI339" r:id="rId338"/>
    <hyperlink xmlns:r="http://schemas.openxmlformats.org/officeDocument/2006/relationships" ref="AI340" r:id="rId339"/>
    <hyperlink xmlns:r="http://schemas.openxmlformats.org/officeDocument/2006/relationships" ref="AI341" r:id="rId340"/>
    <hyperlink xmlns:r="http://schemas.openxmlformats.org/officeDocument/2006/relationships" ref="AI342" r:id="rId341"/>
    <hyperlink xmlns:r="http://schemas.openxmlformats.org/officeDocument/2006/relationships" ref="AI343" r:id="rId342"/>
    <hyperlink xmlns:r="http://schemas.openxmlformats.org/officeDocument/2006/relationships" ref="AI344" r:id="rId343"/>
    <hyperlink xmlns:r="http://schemas.openxmlformats.org/officeDocument/2006/relationships" ref="AI345" r:id="rId344"/>
    <hyperlink xmlns:r="http://schemas.openxmlformats.org/officeDocument/2006/relationships" ref="AI346" r:id="rId34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F8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0" customWidth="1" min="1" max="1"/>
    <col width="17" customWidth="1" min="2" max="2"/>
    <col width="36" customWidth="1" min="3" max="3"/>
    <col width="18" customWidth="1" min="4" max="4"/>
    <col width="11" customWidth="1" min="5" max="5"/>
    <col width="22" customWidth="1" min="6" max="6"/>
    <col width="11" customWidth="1" min="7" max="7"/>
    <col width="38" customWidth="1" min="8" max="8"/>
    <col width="30" customWidth="1" min="9" max="9"/>
    <col width="26" customWidth="1" min="10" max="10"/>
    <col width="16" customWidth="1" min="11" max="11"/>
    <col width="16" customWidth="1" min="12" max="12"/>
    <col width="16" customWidth="1" min="13" max="13"/>
    <col width="30" customWidth="1" min="14" max="14"/>
    <col width="12" customWidth="1" min="15" max="15"/>
    <col width="28" customWidth="1" min="16" max="16"/>
    <col width="24" customWidth="1" min="17" max="17"/>
    <col width="16" customWidth="1" min="18" max="18"/>
    <col width="28" customWidth="1" min="19" max="19"/>
    <col width="40" customWidth="1" min="20" max="20"/>
    <col width="17" customWidth="1" min="21" max="21"/>
    <col width="8" customWidth="1" min="22" max="22"/>
    <col width="10" customWidth="1" min="23" max="23"/>
    <col width="8" customWidth="1" min="24" max="24"/>
    <col width="8" customWidth="1" min="25" max="25"/>
    <col width="9" customWidth="1" min="26" max="26"/>
    <col width="8" customWidth="1" min="27" max="27"/>
    <col width="17" customWidth="1" min="28" max="28"/>
    <col width="7" customWidth="1" min="29" max="29"/>
    <col width="17" customWidth="1" min="30" max="30"/>
    <col width="7" customWidth="1" min="31" max="31"/>
    <col width="16" customWidth="1" min="32" max="32"/>
    <col width="8" customWidth="1" min="33" max="33"/>
    <col width="26" customWidth="1" min="34" max="34"/>
    <col width="50" customWidth="1" min="35" max="35"/>
    <col width="16" customWidth="1" min="36" max="36"/>
    <col width="30" customWidth="1" min="37" max="37"/>
    <col width="22" customWidth="1" min="38" max="38"/>
    <col width="11" customWidth="1" min="39" max="39"/>
    <col width="20" customWidth="1" min="40" max="40"/>
    <col width="26" customWidth="1" min="41" max="41"/>
    <col width="7" customWidth="1" min="42" max="42"/>
    <col width="18" customWidth="1" min="43" max="43"/>
    <col width="20" customWidth="1" min="44" max="44"/>
    <col width="7" customWidth="1" min="45" max="45"/>
    <col width="44" customWidth="1" min="46" max="46"/>
    <col width="19" customWidth="1" min="47" max="47"/>
    <col width="30" customWidth="1" min="48" max="48"/>
    <col width="30" customWidth="1" min="49" max="49"/>
    <col width="18" customWidth="1" min="50" max="50"/>
    <col width="5" customWidth="1" min="51" max="51"/>
    <col width="34" customWidth="1" min="52" max="52"/>
    <col width="10" customWidth="1" min="53" max="53"/>
    <col width="15" customWidth="1" min="54" max="54"/>
    <col width="13" customWidth="1" min="55" max="55"/>
    <col width="10" customWidth="1" min="56" max="56"/>
    <col width="6" customWidth="1" min="57" max="57"/>
    <col width="34" customWidth="1" min="58" max="58"/>
  </cols>
  <sheetData>
    <row r="1" ht="34" customHeight="1">
      <c r="A1" s="16" t="inlineStr">
        <is>
          <t>CREDITOR — company owed money</t>
        </is>
      </c>
      <c r="B1" s="16" t="inlineStr">
        <is>
          <t>AMOUNT OWED (R$)</t>
        </is>
      </c>
      <c r="C1" s="16" t="inlineStr">
        <is>
          <t>DEBTOR — company in RJ</t>
        </is>
      </c>
      <c r="D1" s="16" t="inlineStr">
        <is>
          <t>STATUS</t>
        </is>
      </c>
      <c r="E1" s="16" t="inlineStr">
        <is>
          <t>LAST TOUCH</t>
        </is>
      </c>
      <c r="F1" s="16" t="inlineStr">
        <is>
          <t>NEXT ACTION</t>
        </is>
      </c>
      <c r="G1" s="16" t="inlineStr">
        <is>
          <t>NEXT DATE</t>
        </is>
      </c>
      <c r="H1" s="16" t="inlineStr">
        <is>
          <t>NOTES</t>
        </is>
      </c>
      <c r="I1" s="16" t="inlineStr">
        <is>
          <t>DECISION MAKER</t>
        </is>
      </c>
      <c r="J1" s="16" t="inlineStr">
        <is>
          <t>Role</t>
        </is>
      </c>
      <c r="K1" s="16" t="inlineStr">
        <is>
          <t>Company phone 1</t>
        </is>
      </c>
      <c r="L1" s="16" t="inlineStr">
        <is>
          <t>Company phone 2</t>
        </is>
      </c>
      <c r="M1" s="16" t="inlineStr">
        <is>
          <t>Mobile (Apollo; reveal pending)</t>
        </is>
      </c>
      <c r="N1" s="16" t="inlineStr">
        <is>
          <t>Email</t>
        </is>
      </c>
      <c r="O1" s="16" t="inlineStr">
        <is>
          <t>Email status</t>
        </is>
      </c>
      <c r="P1" s="16" t="inlineStr">
        <is>
          <t>BACKUP CONTACT</t>
        </is>
      </c>
      <c r="Q1" s="16" t="inlineStr">
        <is>
          <t>Backup role</t>
        </is>
      </c>
      <c r="R1" s="16" t="inlineStr">
        <is>
          <t>Backup phone</t>
        </is>
      </c>
      <c r="S1" s="16" t="inlineStr">
        <is>
          <t>Backup email</t>
        </is>
      </c>
      <c r="T1" s="16" t="inlineStr">
        <is>
          <t>Contact note</t>
        </is>
      </c>
      <c r="U1" s="16" t="inlineStr">
        <is>
          <t>FACE VALUE (as printed)</t>
        </is>
      </c>
      <c r="V1" s="16" t="inlineStr">
        <is>
          <t>DEBTOR BAND</t>
        </is>
      </c>
      <c r="W1" s="16" t="inlineStr">
        <is>
          <t>Plan: class III recovery</t>
        </is>
      </c>
      <c r="X1" s="16" t="inlineStr">
        <is>
          <t>Plan: grace (y)</t>
        </is>
      </c>
      <c r="Y1" s="16" t="inlineStr">
        <is>
          <t>Plan: term (y)</t>
        </is>
      </c>
      <c r="Z1" s="16" t="inlineStr">
        <is>
          <t>Exp. recovery %</t>
        </is>
      </c>
      <c r="AA1" s="16" t="inlineStr">
        <is>
          <t>Years to payment</t>
        </is>
      </c>
      <c r="AB1" s="16" t="inlineStr">
        <is>
          <t>FUND PRICE @ IRR (model, R$)</t>
        </is>
      </c>
      <c r="AC1" s="16" t="inlineStr">
        <is>
          <t>Fund ¢/R$</t>
        </is>
      </c>
      <c r="AD1" s="16" t="inlineStr">
        <is>
          <t>OUR QUOTE (model, R$)</t>
        </is>
      </c>
      <c r="AE1" s="16" t="inlineStr">
        <is>
          <t>Quote ¢/R$</t>
        </is>
      </c>
      <c r="AF1" s="16" t="inlineStr">
        <is>
          <t>OUR ÁGIO (model, R$)</t>
        </is>
      </c>
      <c r="AG1" s="16" t="inlineStr">
        <is>
          <t>Ágio pts of face</t>
        </is>
      </c>
      <c r="AH1" s="16" t="inlineStr">
        <is>
          <t>PROOF QUALITY</t>
        </is>
      </c>
      <c r="AI1" s="16" t="inlineStr">
        <is>
          <t>PROOF: source document</t>
        </is>
      </c>
      <c r="AJ1" s="16" t="inlineStr">
        <is>
          <t>Page / row (extractor index)</t>
        </is>
      </c>
      <c r="AK1" s="16" t="inlineStr">
        <is>
          <t>Value as printed</t>
        </is>
      </c>
      <c r="AL1" s="16" t="inlineStr">
        <is>
          <t>Which list</t>
        </is>
      </c>
      <c r="AM1" s="16" t="inlineStr">
        <is>
          <t>List date</t>
        </is>
      </c>
      <c r="AN1" s="16" t="inlineStr">
        <is>
          <t>Plan evidence</t>
        </is>
      </c>
      <c r="AO1" s="16" t="inlineStr">
        <is>
          <t>Case number</t>
        </is>
      </c>
      <c r="AP1" s="16" t="inlineStr">
        <is>
          <t>Court</t>
        </is>
      </c>
      <c r="AQ1" s="16" t="inlineStr">
        <is>
          <t>Proceeding</t>
        </is>
      </c>
      <c r="AR1" s="16" t="inlineStr">
        <is>
          <t>Stage (DataJud)</t>
        </is>
      </c>
      <c r="AS1" s="16" t="inlineStr">
        <is>
          <t>Filed</t>
        </is>
      </c>
      <c r="AT1" s="16" t="inlineStr">
        <is>
          <t>Band reason</t>
        </is>
      </c>
      <c r="AU1" s="16" t="inlineStr">
        <is>
          <t>Debtor CNPJ (lead entity)</t>
        </is>
      </c>
      <c r="AV1" s="16" t="inlineStr">
        <is>
          <t>Debtor source</t>
        </is>
      </c>
      <c r="AW1" s="16" t="inlineStr">
        <is>
          <t>Plan terms source</t>
        </is>
      </c>
      <c r="AX1" s="16" t="inlineStr">
        <is>
          <t>City</t>
        </is>
      </c>
      <c r="AY1" s="16" t="inlineStr">
        <is>
          <t>UF</t>
        </is>
      </c>
      <c r="AZ1" s="16" t="inlineStr">
        <is>
          <t>Sector</t>
        </is>
      </c>
      <c r="BA1" s="16" t="inlineStr">
        <is>
          <t>Size</t>
        </is>
      </c>
      <c r="BB1" s="16" t="inlineStr">
        <is>
          <t>Capital (R$)</t>
        </is>
      </c>
      <c r="BC1" s="16" t="inlineStr">
        <is>
          <t>Seller fit</t>
        </is>
      </c>
      <c r="BD1" s="16" t="inlineStr">
        <is>
          <t>CNPJ root</t>
        </is>
      </c>
      <c r="BE1" s="16" t="inlineStr">
        <is>
          <t>Claims</t>
        </is>
      </c>
      <c r="BF1" s="16" t="inlineStr">
        <is>
          <t>Flags</t>
        </is>
      </c>
    </row>
    <row r="2">
      <c r="A2" s="17" t="inlineStr">
        <is>
          <t>CAIXA ECONOMICA FEDERAL</t>
        </is>
      </c>
      <c r="B2" s="18" t="n">
        <v>426018950.32</v>
      </c>
      <c r="C2" s="19" t="inlineStr">
        <is>
          <t>GRUPO EGESA (Egesa Engenharia S.A. + 9 group companies; see group members)</t>
        </is>
      </c>
      <c r="D2" s="20" t="inlineStr">
        <is>
          <t>NEW</t>
        </is>
      </c>
      <c r="E2" s="21" t="inlineStr"/>
      <c r="F2" s="20" t="inlineStr"/>
      <c r="G2" s="21" t="inlineStr"/>
      <c r="H2" s="20" t="inlineStr"/>
      <c r="I2" s="22" t="inlineStr">
        <is>
          <t>Livia Serikaku</t>
        </is>
      </c>
      <c r="J2" s="22" t="inlineStr">
        <is>
          <t>Gerente de Clientes e Negócios | Recuperação de Crédito</t>
        </is>
      </c>
      <c r="K2" s="22" t="inlineStr">
        <is>
          <t>(00) 4004-0104</t>
        </is>
      </c>
      <c r="L2" s="22" t="inlineStr"/>
      <c r="M2" s="22" t="inlineStr"/>
      <c r="N2" s="22" t="inlineStr"/>
      <c r="O2" s="22" t="inlineStr"/>
      <c r="P2" s="22" t="inlineStr">
        <is>
          <t>CARLOS ANTONIO VIEIRA FERNANDES</t>
        </is>
      </c>
      <c r="Q2" s="22" t="inlineStr">
        <is>
          <t>Presidente (RFB partner)</t>
        </is>
      </c>
      <c r="R2" s="22" t="inlineStr"/>
      <c r="S2" s="22" t="inlineStr"/>
      <c r="T2" s="22" t="inlineStr">
        <is>
          <t>DM: DM email unavailable; no work email in Apollo for DM</t>
        </is>
      </c>
      <c r="U2" s="24" t="n">
        <v>426018950.32</v>
      </c>
      <c r="V2" s="25" t="inlineStr">
        <is>
          <t>B</t>
        </is>
      </c>
      <c r="W2" s="26" t="inlineStr"/>
      <c r="X2" s="27" t="inlineStr"/>
      <c r="Y2" s="27" t="inlineStr"/>
      <c r="Z2" s="26">
        <f>IF(W2&lt;&gt;"",W2,IFERROR(VLOOKUP(V2,Assumptions!$A$8:$F$12,2,FALSE),0))</f>
        <v/>
      </c>
      <c r="AA2" s="28">
        <f>IF(V2="A",MAX(1,IF(X2&lt;&gt;"",X2,IFERROR(VLOOKUP(V2,Assumptions!$A$8:$F$12,3,FALSE),3))+IF(Y2&lt;&gt;"",Y2,IFERROR(VLOOKUP(V2,Assumptions!$A$8:$F$12,4,FALSE),8))/2-MAX(0,IF(AS2="",0,YEAR(TODAY())-AS2)-IFERROR(VLOOKUP(V2,Assumptions!$A$8:$F$12,5,FALSE),1.5))),IFERROR(VLOOKUP(V2,Assumptions!$A$8:$F$12,5,FALSE),2.5)+IF(X2&lt;&gt;"",X2,IFERROR(VLOOKUP(V2,Assumptions!$A$8:$F$12,3,FALSE),3))+IF(Y2&lt;&gt;"",Y2,IFERROR(VLOOKUP(V2,Assumptions!$A$8:$F$12,4,FALSE),8))/2)</f>
        <v/>
      </c>
      <c r="AB2" s="24">
        <f>U2*Z2/(1+Assumptions!$B$3)^AA2</f>
        <v/>
      </c>
      <c r="AC2" s="27">
        <f>IF(U2=0,"",ROUND(AB2/U2*100,1))</f>
        <v/>
      </c>
      <c r="AD2" s="29">
        <f>AB2*Assumptions!$B$4</f>
        <v/>
      </c>
      <c r="AE2" s="27">
        <f>IF(U2=0,"",ROUND(AD2/U2*100,1))</f>
        <v/>
      </c>
      <c r="AF2" s="29">
        <f>AB2-AD2</f>
        <v/>
      </c>
      <c r="AG2" s="27">
        <f>IF(U2=0,"",ROUND((AB2-AD2)/U2*100,1))</f>
        <v/>
      </c>
      <c r="AH2" s="30" t="inlineStr">
        <is>
          <t>OK — totals reconciled</t>
        </is>
      </c>
      <c r="AI2" s="31" t="inlineStr">
        <is>
          <t>https://scalzilliaj.com.br/sgc/download.php?file=files/processo_documento/processo_documento09514021082025_1_.pdf&amp;nome=04 - Relação de credores das Recuperandas</t>
        </is>
      </c>
      <c r="AJ2" s="30" t="inlineStr">
        <is>
          <t>p63 r17</t>
        </is>
      </c>
      <c r="AK2" s="30" t="inlineStr">
        <is>
          <t>p63: R$ 426.018.950,32</t>
        </is>
      </c>
      <c r="AL2" s="30" t="inlineStr">
        <is>
          <t>Debtor list (art. 51)</t>
        </is>
      </c>
      <c r="AM2" s="30" t="inlineStr"/>
      <c r="AN2" s="30" t="inlineStr">
        <is>
          <t>NONE FOUND</t>
        </is>
      </c>
      <c r="AO2" s="32" t="inlineStr">
        <is>
          <t>5088952-81.2025.8.13.0024</t>
        </is>
      </c>
      <c r="AP2" s="32" t="inlineStr">
        <is>
          <t>TJMG</t>
        </is>
      </c>
      <c r="AQ2" s="32" t="inlineStr"/>
      <c r="AR2" s="32" t="inlineStr">
        <is>
          <t>DataJud: no closure/falência movement</t>
        </is>
      </c>
      <c r="AS2" s="32" t="n">
        <v>2025</v>
      </c>
      <c r="AT2" s="32" t="inlineStr">
        <is>
          <t>live case, no plan document yet; case no. from the portal record, not printed on the list</t>
        </is>
      </c>
      <c r="AU2" s="32" t="inlineStr"/>
      <c r="AV2" s="32" t="inlineStr">
        <is>
          <t>portal page title / URL — not printed on the list</t>
        </is>
      </c>
      <c r="AW2" s="32" t="inlineStr"/>
      <c r="AX2" s="32" t="inlineStr">
        <is>
          <t>BRASILIA</t>
        </is>
      </c>
      <c r="AY2" s="32" t="inlineStr">
        <is>
          <t>DF</t>
        </is>
      </c>
      <c r="AZ2" s="32" t="inlineStr">
        <is>
          <t>Caixas econômicas</t>
        </is>
      </c>
      <c r="BA2" s="32" t="inlineStr">
        <is>
          <t>não ME/EPP</t>
        </is>
      </c>
      <c r="BB2" s="33" t="n">
        <v>105300000000</v>
      </c>
      <c r="BC2" s="32" t="inlineStr">
        <is>
          <t>LARGE CORP</t>
        </is>
      </c>
      <c r="BD2" s="32" t="inlineStr">
        <is>
          <t>00360305</t>
        </is>
      </c>
      <c r="BE2" s="32" t="n">
        <v>1</v>
      </c>
      <c r="BF2" s="32" t="inlineStr">
        <is>
          <t>financial by name case no. corrected by reader case no. from portal record</t>
        </is>
      </c>
    </row>
    <row r="3">
      <c r="A3" s="17" t="inlineStr">
        <is>
          <t>PETROLEO BRASILEIRO S A PETROBRAS</t>
        </is>
      </c>
      <c r="B3" s="18" t="n">
        <v>330054762.86</v>
      </c>
      <c r="C3" s="19" t="inlineStr">
        <is>
          <t>GRUPO EGESA (Egesa Engenharia S.A. + 9 group companies; see group members)</t>
        </is>
      </c>
      <c r="D3" s="20" t="inlineStr">
        <is>
          <t>NEW</t>
        </is>
      </c>
      <c r="E3" s="21" t="inlineStr"/>
      <c r="F3" s="20" t="inlineStr"/>
      <c r="G3" s="21" t="inlineStr"/>
      <c r="H3" s="20" t="inlineStr"/>
      <c r="I3" s="22" t="inlineStr">
        <is>
          <t>MAGDA MARIA DE REGINA CHAMBRIARD</t>
        </is>
      </c>
      <c r="J3" s="23" t="inlineStr">
        <is>
          <t>Presidente (RFB partner)</t>
        </is>
      </c>
      <c r="K3" s="22" t="inlineStr">
        <is>
          <t>(21) 2166-0000</t>
        </is>
      </c>
      <c r="L3" s="22" t="inlineStr"/>
      <c r="M3" s="22" t="inlineStr"/>
      <c r="N3" s="22" t="inlineStr"/>
      <c r="O3" s="22" t="inlineStr"/>
      <c r="P3" s="22" t="inlineStr">
        <is>
          <t>ANGELICA GARCIA COBAS LAUREANO</t>
        </is>
      </c>
      <c r="Q3" s="22" t="inlineStr">
        <is>
          <t>Diretor (RFB partner)</t>
        </is>
      </c>
      <c r="R3" s="22" t="inlineStr"/>
      <c r="S3" s="22" t="inlineStr"/>
      <c r="T3" s="22" t="inlineStr">
        <is>
          <t>DM = registered partner (RFB QSA); no Apollo match</t>
        </is>
      </c>
      <c r="U3" s="24" t="n">
        <v>330054762.86</v>
      </c>
      <c r="V3" s="25" t="inlineStr">
        <is>
          <t>B</t>
        </is>
      </c>
      <c r="W3" s="26" t="inlineStr"/>
      <c r="X3" s="27" t="inlineStr"/>
      <c r="Y3" s="27" t="inlineStr"/>
      <c r="Z3" s="26">
        <f>IF(W3&lt;&gt;"",W3,IFERROR(VLOOKUP(V3,Assumptions!$A$8:$F$12,2,FALSE),0))</f>
        <v/>
      </c>
      <c r="AA3" s="28">
        <f>IF(V3="A",MAX(1,IF(X3&lt;&gt;"",X3,IFERROR(VLOOKUP(V3,Assumptions!$A$8:$F$12,3,FALSE),3))+IF(Y3&lt;&gt;"",Y3,IFERROR(VLOOKUP(V3,Assumptions!$A$8:$F$12,4,FALSE),8))/2-MAX(0,IF(AS3="",0,YEAR(TODAY())-AS3)-IFERROR(VLOOKUP(V3,Assumptions!$A$8:$F$12,5,FALSE),1.5))),IFERROR(VLOOKUP(V3,Assumptions!$A$8:$F$12,5,FALSE),2.5)+IF(X3&lt;&gt;"",X3,IFERROR(VLOOKUP(V3,Assumptions!$A$8:$F$12,3,FALSE),3))+IF(Y3&lt;&gt;"",Y3,IFERROR(VLOOKUP(V3,Assumptions!$A$8:$F$12,4,FALSE),8))/2)</f>
        <v/>
      </c>
      <c r="AB3" s="24">
        <f>U3*Z3/(1+Assumptions!$B$3)^AA3</f>
        <v/>
      </c>
      <c r="AC3" s="27">
        <f>IF(U3=0,"",ROUND(AB3/U3*100,1))</f>
        <v/>
      </c>
      <c r="AD3" s="29">
        <f>AB3*Assumptions!$B$4</f>
        <v/>
      </c>
      <c r="AE3" s="27">
        <f>IF(U3=0,"",ROUND(AD3/U3*100,1))</f>
        <v/>
      </c>
      <c r="AF3" s="29">
        <f>AB3-AD3</f>
        <v/>
      </c>
      <c r="AG3" s="27">
        <f>IF(U3=0,"",ROUND((AB3-AD3)/U3*100,1))</f>
        <v/>
      </c>
      <c r="AH3" s="30" t="inlineStr">
        <is>
          <t>OK — totals reconciled</t>
        </is>
      </c>
      <c r="AI3" s="31" t="inlineStr">
        <is>
          <t>https://scalzilliaj.com.br/sgc/download.php?file=files/processo_documento/processo_documento09514021082025_1_.pdf&amp;nome=04 - Relação de credores das Recuperandas</t>
        </is>
      </c>
      <c r="AJ3" s="30" t="inlineStr">
        <is>
          <t>p71 r9</t>
        </is>
      </c>
      <c r="AK3" s="30" t="inlineStr">
        <is>
          <t>p71: R$ 330.054.762,86</t>
        </is>
      </c>
      <c r="AL3" s="30" t="inlineStr">
        <is>
          <t>Debtor list (art. 51)</t>
        </is>
      </c>
      <c r="AM3" s="30" t="inlineStr"/>
      <c r="AN3" s="30" t="inlineStr">
        <is>
          <t>NONE FOUND</t>
        </is>
      </c>
      <c r="AO3" s="32" t="inlineStr">
        <is>
          <t>5088952-81.2025.8.13.0024</t>
        </is>
      </c>
      <c r="AP3" s="32" t="inlineStr">
        <is>
          <t>TJMG</t>
        </is>
      </c>
      <c r="AQ3" s="32" t="inlineStr"/>
      <c r="AR3" s="32" t="inlineStr">
        <is>
          <t>DataJud: no closure/falência movement</t>
        </is>
      </c>
      <c r="AS3" s="32" t="n">
        <v>2025</v>
      </c>
      <c r="AT3" s="32" t="inlineStr">
        <is>
          <t>live case, no plan document yet; case no. from the portal record, not printed on the list</t>
        </is>
      </c>
      <c r="AU3" s="32" t="inlineStr"/>
      <c r="AV3" s="32" t="inlineStr">
        <is>
          <t>portal page title / URL — not printed on the list</t>
        </is>
      </c>
      <c r="AW3" s="32" t="inlineStr"/>
      <c r="AX3" s="32" t="inlineStr">
        <is>
          <t>RIO DE JANEIRO</t>
        </is>
      </c>
      <c r="AY3" s="32" t="inlineStr">
        <is>
          <t>RJ</t>
        </is>
      </c>
      <c r="AZ3" s="32" t="inlineStr">
        <is>
          <t>Extração de petróleo e gás natural</t>
        </is>
      </c>
      <c r="BA3" s="32" t="inlineStr">
        <is>
          <t>não ME/EPP</t>
        </is>
      </c>
      <c r="BB3" s="33" t="n">
        <v>205431960000</v>
      </c>
      <c r="BC3" s="32" t="inlineStr">
        <is>
          <t>LARGE CORP</t>
        </is>
      </c>
      <c r="BD3" s="32" t="inlineStr">
        <is>
          <t>33000167</t>
        </is>
      </c>
      <c r="BE3" s="32" t="n">
        <v>1</v>
      </c>
      <c r="BF3" s="32" t="inlineStr">
        <is>
          <t>case no. corrected by reader case no. from portal record</t>
        </is>
      </c>
    </row>
    <row r="4">
      <c r="A4" s="17" t="inlineStr">
        <is>
          <t>CAIXA ECONOMICA FEDERAL</t>
        </is>
      </c>
      <c r="B4" s="18" t="n">
        <v>62052412.02</v>
      </c>
      <c r="C4" s="19" t="inlineStr">
        <is>
          <t>ASSOCIAÇÃO DE CARIDADE SANTA CASA DO RIO GRANDE</t>
        </is>
      </c>
      <c r="D4" s="20" t="inlineStr">
        <is>
          <t>NEW</t>
        </is>
      </c>
      <c r="E4" s="21" t="inlineStr"/>
      <c r="F4" s="20" t="inlineStr"/>
      <c r="G4" s="21" t="inlineStr"/>
      <c r="H4" s="20" t="inlineStr"/>
      <c r="I4" s="22" t="inlineStr">
        <is>
          <t>Livia Serikaku</t>
        </is>
      </c>
      <c r="J4" s="22" t="inlineStr">
        <is>
          <t>Gerente de Clientes e Negócios | Recuperação de Crédito</t>
        </is>
      </c>
      <c r="K4" s="22" t="inlineStr">
        <is>
          <t>(00) 4004-0104</t>
        </is>
      </c>
      <c r="L4" s="22" t="inlineStr"/>
      <c r="M4" s="22" t="inlineStr"/>
      <c r="N4" s="22" t="inlineStr"/>
      <c r="O4" s="22" t="inlineStr"/>
      <c r="P4" s="22" t="inlineStr">
        <is>
          <t>CARLOS ANTONIO VIEIRA FERNANDES</t>
        </is>
      </c>
      <c r="Q4" s="22" t="inlineStr">
        <is>
          <t>Presidente (RFB partner)</t>
        </is>
      </c>
      <c r="R4" s="22" t="inlineStr"/>
      <c r="S4" s="22" t="inlineStr"/>
      <c r="T4" s="22" t="inlineStr">
        <is>
          <t>DM: DM email unavailable; no work email in Apollo for DM</t>
        </is>
      </c>
      <c r="U4" s="24" t="n">
        <v>62052412.02</v>
      </c>
      <c r="V4" s="25" t="inlineStr">
        <is>
          <t>B</t>
        </is>
      </c>
      <c r="W4" s="26" t="inlineStr"/>
      <c r="X4" s="27" t="inlineStr"/>
      <c r="Y4" s="27" t="inlineStr"/>
      <c r="Z4" s="26">
        <f>IF(W4&lt;&gt;"",W4,IFERROR(VLOOKUP(V4,Assumptions!$A$8:$F$12,2,FALSE),0))</f>
        <v/>
      </c>
      <c r="AA4" s="28">
        <f>IF(V4="A",MAX(1,IF(X4&lt;&gt;"",X4,IFERROR(VLOOKUP(V4,Assumptions!$A$8:$F$12,3,FALSE),3))+IF(Y4&lt;&gt;"",Y4,IFERROR(VLOOKUP(V4,Assumptions!$A$8:$F$12,4,FALSE),8))/2-MAX(0,IF(AS4="",0,YEAR(TODAY())-AS4)-IFERROR(VLOOKUP(V4,Assumptions!$A$8:$F$12,5,FALSE),1.5))),IFERROR(VLOOKUP(V4,Assumptions!$A$8:$F$12,5,FALSE),2.5)+IF(X4&lt;&gt;"",X4,IFERROR(VLOOKUP(V4,Assumptions!$A$8:$F$12,3,FALSE),3))+IF(Y4&lt;&gt;"",Y4,IFERROR(VLOOKUP(V4,Assumptions!$A$8:$F$12,4,FALSE),8))/2)</f>
        <v/>
      </c>
      <c r="AB4" s="24">
        <f>U4*Z4/(1+Assumptions!$B$3)^AA4</f>
        <v/>
      </c>
      <c r="AC4" s="27">
        <f>IF(U4=0,"",ROUND(AB4/U4*100,1))</f>
        <v/>
      </c>
      <c r="AD4" s="29">
        <f>AB4*Assumptions!$B$4</f>
        <v/>
      </c>
      <c r="AE4" s="27">
        <f>IF(U4=0,"",ROUND(AD4/U4*100,1))</f>
        <v/>
      </c>
      <c r="AF4" s="29">
        <f>AB4-AD4</f>
        <v/>
      </c>
      <c r="AG4" s="27">
        <f>IF(U4=0,"",ROUND((AB4-AD4)/U4*100,1))</f>
        <v/>
      </c>
      <c r="AH4" s="34" t="inlineStr">
        <is>
          <t>NO TOTALS — list prints none; check page</t>
        </is>
      </c>
      <c r="AI4" s="31" t="inlineStr">
        <is>
          <t>https://scalzilliaj.com.br/sgc/download.php?file=files/processo_documento/processo_documento09120721032023_1_.pdf&amp;nome=15 - Edital do art. 7º, §2º e 53 da Lei 11.101/2005 (segunda lista de credores e recebimento do plano))</t>
        </is>
      </c>
      <c r="AJ4" s="30" t="inlineStr">
        <is>
          <t>p26 r16</t>
        </is>
      </c>
      <c r="AK4" s="30" t="inlineStr">
        <is>
          <t>p26: R$ 62.052.412,02</t>
        </is>
      </c>
      <c r="AL4" s="30" t="inlineStr">
        <is>
          <t>AJ list (art. 7 §2)</t>
        </is>
      </c>
      <c r="AM4" s="30" t="inlineStr">
        <is>
          <t>2023-03-21</t>
        </is>
      </c>
      <c r="AN4" s="30" t="inlineStr">
        <is>
          <t>NONE FOUND</t>
        </is>
      </c>
      <c r="AO4" s="32" t="inlineStr">
        <is>
          <t>5012306-16.2022.8.21.0023</t>
        </is>
      </c>
      <c r="AP4" s="32" t="inlineStr">
        <is>
          <t>TJRS</t>
        </is>
      </c>
      <c r="AQ4" s="32" t="inlineStr">
        <is>
          <t>Recuperação judicial</t>
        </is>
      </c>
      <c r="AR4" s="32" t="inlineStr">
        <is>
          <t>DataJud: no closure/falência movement</t>
        </is>
      </c>
      <c r="AS4" s="32" t="n">
        <v>2022</v>
      </c>
      <c r="AT4" s="32" t="inlineStr">
        <is>
          <t>live case, no plan document yet; atypical debtor (associação/clube/hospital/produtor rural): admissibility or claim subjection may be contested</t>
        </is>
      </c>
      <c r="AU4" s="32" t="inlineStr"/>
      <c r="AV4" s="32" t="inlineStr">
        <is>
          <t>printed on the list (read twice)</t>
        </is>
      </c>
      <c r="AW4" s="32" t="inlineStr"/>
      <c r="AX4" s="32" t="inlineStr">
        <is>
          <t>BRASILIA</t>
        </is>
      </c>
      <c r="AY4" s="32" t="inlineStr">
        <is>
          <t>DF</t>
        </is>
      </c>
      <c r="AZ4" s="32" t="inlineStr">
        <is>
          <t>Caixas econômicas</t>
        </is>
      </c>
      <c r="BA4" s="32" t="inlineStr">
        <is>
          <t>não ME/EPP</t>
        </is>
      </c>
      <c r="BB4" s="33" t="n">
        <v>105300000000</v>
      </c>
      <c r="BC4" s="32" t="inlineStr">
        <is>
          <t>LARGE CORP</t>
        </is>
      </c>
      <c r="BD4" s="32" t="inlineStr">
        <is>
          <t>00360305</t>
        </is>
      </c>
      <c r="BE4" s="32" t="n">
        <v>1</v>
      </c>
      <c r="BF4" s="32" t="inlineStr">
        <is>
          <t>financial by name list prints no totals</t>
        </is>
      </c>
    </row>
    <row r="5">
      <c r="A5" s="17" t="inlineStr">
        <is>
          <t>BANCO DO BRASIL SA</t>
        </is>
      </c>
      <c r="B5" s="18" t="n">
        <v>49456863.81</v>
      </c>
      <c r="C5" s="19" t="inlineStr">
        <is>
          <t>Grupo Rech</t>
        </is>
      </c>
      <c r="D5" s="20" t="inlineStr">
        <is>
          <t>NEW</t>
        </is>
      </c>
      <c r="E5" s="21" t="inlineStr"/>
      <c r="F5" s="20" t="inlineStr"/>
      <c r="G5" s="21" t="inlineStr"/>
      <c r="H5" s="20" t="inlineStr"/>
      <c r="I5" s="22" t="inlineStr">
        <is>
          <t>Thiago Cavichioli</t>
        </is>
      </c>
      <c r="J5" s="22" t="inlineStr">
        <is>
          <t>Gerente de Cobrança e Recuperação de Crédito</t>
        </is>
      </c>
      <c r="K5" s="22" t="inlineStr">
        <is>
          <t>(61) 3493-9002</t>
        </is>
      </c>
      <c r="L5" s="22" t="inlineStr"/>
      <c r="M5" s="22" t="inlineStr"/>
      <c r="N5" s="22" t="inlineStr">
        <is>
          <t>thiago.cavichioli@bb.com.br</t>
        </is>
      </c>
      <c r="O5" s="22" t="inlineStr">
        <is>
          <t>verified</t>
        </is>
      </c>
      <c r="P5" s="22" t="inlineStr">
        <is>
          <t>Suelen Mondador</t>
        </is>
      </c>
      <c r="Q5" s="22" t="inlineStr">
        <is>
          <t>Gerente Especialista em Recuperação de Crédito</t>
        </is>
      </c>
      <c r="R5" s="22" t="inlineStr"/>
      <c r="S5" s="22" t="inlineStr">
        <is>
          <t>suelenmondador@bb.com.br</t>
        </is>
      </c>
      <c r="T5" s="22" t="inlineStr">
        <is>
          <t>DM: DM verified email; BACKUP: backup verified email</t>
        </is>
      </c>
      <c r="U5" s="24" t="n">
        <v>49456863.81</v>
      </c>
      <c r="V5" s="25" t="inlineStr">
        <is>
          <t>B</t>
        </is>
      </c>
      <c r="W5" s="26" t="inlineStr"/>
      <c r="X5" s="27" t="inlineStr"/>
      <c r="Y5" s="27" t="inlineStr"/>
      <c r="Z5" s="26">
        <f>IF(W5&lt;&gt;"",W5,IFERROR(VLOOKUP(V5,Assumptions!$A$8:$F$12,2,FALSE),0))</f>
        <v/>
      </c>
      <c r="AA5" s="28">
        <f>IF(V5="A",MAX(1,IF(X5&lt;&gt;"",X5,IFERROR(VLOOKUP(V5,Assumptions!$A$8:$F$12,3,FALSE),3))+IF(Y5&lt;&gt;"",Y5,IFERROR(VLOOKUP(V5,Assumptions!$A$8:$F$12,4,FALSE),8))/2-MAX(0,IF(AS5="",0,YEAR(TODAY())-AS5)-IFERROR(VLOOKUP(V5,Assumptions!$A$8:$F$12,5,FALSE),1.5))),IFERROR(VLOOKUP(V5,Assumptions!$A$8:$F$12,5,FALSE),2.5)+IF(X5&lt;&gt;"",X5,IFERROR(VLOOKUP(V5,Assumptions!$A$8:$F$12,3,FALSE),3))+IF(Y5&lt;&gt;"",Y5,IFERROR(VLOOKUP(V5,Assumptions!$A$8:$F$12,4,FALSE),8))/2)</f>
        <v/>
      </c>
      <c r="AB5" s="24">
        <f>U5*Z5/(1+Assumptions!$B$3)^AA5</f>
        <v/>
      </c>
      <c r="AC5" s="27">
        <f>IF(U5=0,"",ROUND(AB5/U5*100,1))</f>
        <v/>
      </c>
      <c r="AD5" s="29">
        <f>AB5*Assumptions!$B$4</f>
        <v/>
      </c>
      <c r="AE5" s="27">
        <f>IF(U5=0,"",ROUND(AD5/U5*100,1))</f>
        <v/>
      </c>
      <c r="AF5" s="29">
        <f>AB5-AD5</f>
        <v/>
      </c>
      <c r="AG5" s="27">
        <f>IF(U5=0,"",ROUND((AB5-AD5)/U5*100,1))</f>
        <v/>
      </c>
      <c r="AH5" s="36" t="inlineStr">
        <is>
          <t>CHECK — source is not a statutory creditor list</t>
        </is>
      </c>
      <c r="AI5" s="31" t="inlineStr">
        <is>
          <t>https://credibilita.com.br/wp-content/uploads/2025/09/Relacao-Credores-29.04.2026.pdf</t>
        </is>
      </c>
      <c r="AJ5" s="30" t="inlineStr">
        <is>
          <t>p1 r10</t>
        </is>
      </c>
      <c r="AK5" s="30" t="inlineStr">
        <is>
          <t>p1: R$ 49.456.863,81</t>
        </is>
      </c>
      <c r="AL5" s="30" t="inlineStr">
        <is>
          <t>Quorum list — NOT an art. 7/51 list</t>
        </is>
      </c>
      <c r="AM5" s="30" t="inlineStr"/>
      <c r="AN5" s="30" t="inlineStr">
        <is>
          <t>NONE FOUND</t>
        </is>
      </c>
      <c r="AO5" s="32" t="inlineStr">
        <is>
          <t>5057720-48.2025.8.24.0023</t>
        </is>
      </c>
      <c r="AP5" s="32" t="inlineStr">
        <is>
          <t>TJSC</t>
        </is>
      </c>
      <c r="AQ5" s="32" t="inlineStr"/>
      <c r="AR5" s="32" t="inlineStr">
        <is>
          <t>not in DataJud</t>
        </is>
      </c>
      <c r="AS5" s="32" t="n">
        <v>2025</v>
      </c>
      <c r="AT5" s="32" t="inlineStr">
        <is>
          <t>live case, no plan document yet; case no. from the portal record, not printed on the list</t>
        </is>
      </c>
      <c r="AU5" s="32" t="inlineStr"/>
      <c r="AV5" s="32" t="inlineStr">
        <is>
          <t>portal page title / URL — not printed on the list</t>
        </is>
      </c>
      <c r="AW5" s="32" t="inlineStr"/>
      <c r="AX5" s="32" t="inlineStr">
        <is>
          <t>BRASILIA</t>
        </is>
      </c>
      <c r="AY5" s="32" t="inlineStr">
        <is>
          <t>DF</t>
        </is>
      </c>
      <c r="AZ5" s="32" t="inlineStr">
        <is>
          <t>Bancos múltiplos, com carteira comercial</t>
        </is>
      </c>
      <c r="BA5" s="32" t="inlineStr">
        <is>
          <t>não ME/EPP</t>
        </is>
      </c>
      <c r="BB5" s="33" t="n">
        <v>120000000000</v>
      </c>
      <c r="BC5" s="32" t="inlineStr">
        <is>
          <t>LARGE CORP</t>
        </is>
      </c>
      <c r="BD5" s="32" t="inlineStr">
        <is>
          <t>00000000</t>
        </is>
      </c>
      <c r="BE5" s="32" t="n">
        <v>1</v>
      </c>
      <c r="BF5" s="32" t="inlineStr">
        <is>
          <t>list prints no totals case no. corrected by reader</t>
        </is>
      </c>
    </row>
    <row r="6">
      <c r="A6" s="17" t="inlineStr">
        <is>
          <t>BANCO DO BRASIL SA</t>
        </is>
      </c>
      <c r="B6" s="18" t="n">
        <v>43161497.61</v>
      </c>
      <c r="C6" s="19" t="inlineStr">
        <is>
          <t>Grupo Conduscabos</t>
        </is>
      </c>
      <c r="D6" s="20" t="inlineStr">
        <is>
          <t>NEW</t>
        </is>
      </c>
      <c r="E6" s="21" t="inlineStr"/>
      <c r="F6" s="20" t="inlineStr"/>
      <c r="G6" s="21" t="inlineStr"/>
      <c r="H6" s="20" t="inlineStr"/>
      <c r="I6" s="22" t="inlineStr">
        <is>
          <t>Thiago Cavichioli</t>
        </is>
      </c>
      <c r="J6" s="22" t="inlineStr">
        <is>
          <t>Gerente de Cobrança e Recuperação de Crédito</t>
        </is>
      </c>
      <c r="K6" s="22" t="inlineStr">
        <is>
          <t>(61) 3493-9002</t>
        </is>
      </c>
      <c r="L6" s="22" t="inlineStr"/>
      <c r="M6" s="22" t="inlineStr"/>
      <c r="N6" s="22" t="inlineStr">
        <is>
          <t>thiago.cavichioli@bb.com.br</t>
        </is>
      </c>
      <c r="O6" s="22" t="inlineStr">
        <is>
          <t>verified</t>
        </is>
      </c>
      <c r="P6" s="22" t="inlineStr">
        <is>
          <t>Suelen Mondador</t>
        </is>
      </c>
      <c r="Q6" s="22" t="inlineStr">
        <is>
          <t>Gerente Especialista em Recuperação de Crédito</t>
        </is>
      </c>
      <c r="R6" s="22" t="inlineStr"/>
      <c r="S6" s="22" t="inlineStr">
        <is>
          <t>suelenmondador@bb.com.br</t>
        </is>
      </c>
      <c r="T6" s="22" t="inlineStr">
        <is>
          <t>DM: DM verified email; BACKUP: backup verified email</t>
        </is>
      </c>
      <c r="U6" s="24" t="n">
        <v>43161497.61</v>
      </c>
      <c r="V6" s="25" t="inlineStr">
        <is>
          <t>B</t>
        </is>
      </c>
      <c r="W6" s="26" t="inlineStr"/>
      <c r="X6" s="27" t="inlineStr"/>
      <c r="Y6" s="27" t="inlineStr"/>
      <c r="Z6" s="26">
        <f>IF(W6&lt;&gt;"",W6,IFERROR(VLOOKUP(V6,Assumptions!$A$8:$F$12,2,FALSE),0))</f>
        <v/>
      </c>
      <c r="AA6" s="28">
        <f>IF(V6="A",MAX(1,IF(X6&lt;&gt;"",X6,IFERROR(VLOOKUP(V6,Assumptions!$A$8:$F$12,3,FALSE),3))+IF(Y6&lt;&gt;"",Y6,IFERROR(VLOOKUP(V6,Assumptions!$A$8:$F$12,4,FALSE),8))/2-MAX(0,IF(AS6="",0,YEAR(TODAY())-AS6)-IFERROR(VLOOKUP(V6,Assumptions!$A$8:$F$12,5,FALSE),1.5))),IFERROR(VLOOKUP(V6,Assumptions!$A$8:$F$12,5,FALSE),2.5)+IF(X6&lt;&gt;"",X6,IFERROR(VLOOKUP(V6,Assumptions!$A$8:$F$12,3,FALSE),3))+IF(Y6&lt;&gt;"",Y6,IFERROR(VLOOKUP(V6,Assumptions!$A$8:$F$12,4,FALSE),8))/2)</f>
        <v/>
      </c>
      <c r="AB6" s="24">
        <f>U6*Z6/(1+Assumptions!$B$3)^AA6</f>
        <v/>
      </c>
      <c r="AC6" s="27">
        <f>IF(U6=0,"",ROUND(AB6/U6*100,1))</f>
        <v/>
      </c>
      <c r="AD6" s="29">
        <f>AB6*Assumptions!$B$4</f>
        <v/>
      </c>
      <c r="AE6" s="27">
        <f>IF(U6=0,"",ROUND(AD6/U6*100,1))</f>
        <v/>
      </c>
      <c r="AF6" s="29">
        <f>AB6-AD6</f>
        <v/>
      </c>
      <c r="AG6" s="27">
        <f>IF(U6=0,"",ROUND((AB6-AD6)/U6*100,1))</f>
        <v/>
      </c>
      <c r="AH6" s="34" t="inlineStr">
        <is>
          <t>NO TOTALS — list prints none; check page</t>
        </is>
      </c>
      <c r="AI6" s="31" t="inlineStr">
        <is>
          <t>https://assistjud.com.br/wp-content/uploads/elementor/forms/65098c80a5824.pdf</t>
        </is>
      </c>
      <c r="AJ6" s="30" t="inlineStr">
        <is>
          <t>p5 r9; p17 r3</t>
        </is>
      </c>
      <c r="AK6" s="30" t="inlineStr">
        <is>
          <t>p5: R$ 34.976.748,87; p17: R$ 8.184.748,74</t>
        </is>
      </c>
      <c r="AL6" s="30" t="inlineStr">
        <is>
          <t>AJ list (art. 7 §2)</t>
        </is>
      </c>
      <c r="AM6" s="30" t="inlineStr">
        <is>
          <t>2023-09-18</t>
        </is>
      </c>
      <c r="AN6" s="30" t="inlineStr">
        <is>
          <t>NONE FOUND</t>
        </is>
      </c>
      <c r="AO6" s="32" t="inlineStr">
        <is>
          <t>8005129-09.2023.8.05.0039</t>
        </is>
      </c>
      <c r="AP6" s="32" t="inlineStr">
        <is>
          <t>TJBA</t>
        </is>
      </c>
      <c r="AQ6" s="32" t="inlineStr">
        <is>
          <t>Recuperação judicial</t>
        </is>
      </c>
      <c r="AR6" s="32" t="inlineStr">
        <is>
          <t>DataJud: no closure/falência movement</t>
        </is>
      </c>
      <c r="AS6" s="32" t="n">
        <v>2023</v>
      </c>
      <c r="AT6" s="32" t="inlineStr">
        <is>
          <t>live case, no plan document yet</t>
        </is>
      </c>
      <c r="AU6" s="32" t="inlineStr"/>
      <c r="AV6" s="32" t="inlineStr">
        <is>
          <t>printed on the list (read twice)</t>
        </is>
      </c>
      <c r="AW6" s="32" t="inlineStr"/>
      <c r="AX6" s="32" t="inlineStr">
        <is>
          <t>BRASILIA</t>
        </is>
      </c>
      <c r="AY6" s="32" t="inlineStr">
        <is>
          <t>DF</t>
        </is>
      </c>
      <c r="AZ6" s="32" t="inlineStr">
        <is>
          <t>Bancos múltiplos, com carteira comercial</t>
        </is>
      </c>
      <c r="BA6" s="32" t="inlineStr">
        <is>
          <t>não ME/EPP</t>
        </is>
      </c>
      <c r="BB6" s="33" t="n">
        <v>120000000000</v>
      </c>
      <c r="BC6" s="32" t="inlineStr">
        <is>
          <t>LARGE CORP</t>
        </is>
      </c>
      <c r="BD6" s="32" t="inlineStr">
        <is>
          <t>00000000</t>
        </is>
      </c>
      <c r="BE6" s="32" t="n">
        <v>2</v>
      </c>
      <c r="BF6" s="32" t="inlineStr">
        <is>
          <t>financial by name list prints no totals</t>
        </is>
      </c>
    </row>
    <row r="7">
      <c r="A7" s="17" t="inlineStr">
        <is>
          <t>CAIXA ECONOMICA FEDERAL</t>
        </is>
      </c>
      <c r="B7" s="18" t="n">
        <v>31052221.17</v>
      </c>
      <c r="C7" s="19" t="inlineStr">
        <is>
          <t>Grupo Rech</t>
        </is>
      </c>
      <c r="D7" s="20" t="inlineStr">
        <is>
          <t>NEW</t>
        </is>
      </c>
      <c r="E7" s="21" t="inlineStr"/>
      <c r="F7" s="20" t="inlineStr"/>
      <c r="G7" s="21" t="inlineStr"/>
      <c r="H7" s="20" t="inlineStr"/>
      <c r="I7" s="22" t="inlineStr">
        <is>
          <t>Livia Serikaku</t>
        </is>
      </c>
      <c r="J7" s="22" t="inlineStr">
        <is>
          <t>Gerente de Clientes e Negócios | Recuperação de Crédito</t>
        </is>
      </c>
      <c r="K7" s="22" t="inlineStr">
        <is>
          <t>(00) 4004-0104</t>
        </is>
      </c>
      <c r="L7" s="22" t="inlineStr"/>
      <c r="M7" s="22" t="inlineStr"/>
      <c r="N7" s="22" t="inlineStr"/>
      <c r="O7" s="22" t="inlineStr"/>
      <c r="P7" s="22" t="inlineStr">
        <is>
          <t>CARLOS ANTONIO VIEIRA FERNANDES</t>
        </is>
      </c>
      <c r="Q7" s="22" t="inlineStr">
        <is>
          <t>Presidente (RFB partner)</t>
        </is>
      </c>
      <c r="R7" s="22" t="inlineStr"/>
      <c r="S7" s="22" t="inlineStr"/>
      <c r="T7" s="22" t="inlineStr">
        <is>
          <t>DM: DM email unavailable; no work email in Apollo for DM</t>
        </is>
      </c>
      <c r="U7" s="24" t="n">
        <v>31052221.17</v>
      </c>
      <c r="V7" s="25" t="inlineStr">
        <is>
          <t>B</t>
        </is>
      </c>
      <c r="W7" s="26" t="inlineStr"/>
      <c r="X7" s="27" t="inlineStr"/>
      <c r="Y7" s="27" t="inlineStr"/>
      <c r="Z7" s="26">
        <f>IF(W7&lt;&gt;"",W7,IFERROR(VLOOKUP(V7,Assumptions!$A$8:$F$12,2,FALSE),0))</f>
        <v/>
      </c>
      <c r="AA7" s="28">
        <f>IF(V7="A",MAX(1,IF(X7&lt;&gt;"",X7,IFERROR(VLOOKUP(V7,Assumptions!$A$8:$F$12,3,FALSE),3))+IF(Y7&lt;&gt;"",Y7,IFERROR(VLOOKUP(V7,Assumptions!$A$8:$F$12,4,FALSE),8))/2-MAX(0,IF(AS7="",0,YEAR(TODAY())-AS7)-IFERROR(VLOOKUP(V7,Assumptions!$A$8:$F$12,5,FALSE),1.5))),IFERROR(VLOOKUP(V7,Assumptions!$A$8:$F$12,5,FALSE),2.5)+IF(X7&lt;&gt;"",X7,IFERROR(VLOOKUP(V7,Assumptions!$A$8:$F$12,3,FALSE),3))+IF(Y7&lt;&gt;"",Y7,IFERROR(VLOOKUP(V7,Assumptions!$A$8:$F$12,4,FALSE),8))/2)</f>
        <v/>
      </c>
      <c r="AB7" s="24">
        <f>U7*Z7/(1+Assumptions!$B$3)^AA7</f>
        <v/>
      </c>
      <c r="AC7" s="27">
        <f>IF(U7=0,"",ROUND(AB7/U7*100,1))</f>
        <v/>
      </c>
      <c r="AD7" s="29">
        <f>AB7*Assumptions!$B$4</f>
        <v/>
      </c>
      <c r="AE7" s="27">
        <f>IF(U7=0,"",ROUND(AD7/U7*100,1))</f>
        <v/>
      </c>
      <c r="AF7" s="29">
        <f>AB7-AD7</f>
        <v/>
      </c>
      <c r="AG7" s="27">
        <f>IF(U7=0,"",ROUND((AB7-AD7)/U7*100,1))</f>
        <v/>
      </c>
      <c r="AH7" s="36" t="inlineStr">
        <is>
          <t>CHECK — source is not a statutory creditor list</t>
        </is>
      </c>
      <c r="AI7" s="31" t="inlineStr">
        <is>
          <t>https://credibilita.com.br/wp-content/uploads/2025/09/Relacao-Credores-29.04.2026.pdf</t>
        </is>
      </c>
      <c r="AJ7" s="30" t="inlineStr">
        <is>
          <t>p1 r18</t>
        </is>
      </c>
      <c r="AK7" s="30" t="inlineStr">
        <is>
          <t>p1: R$ 31.052.221,17</t>
        </is>
      </c>
      <c r="AL7" s="30" t="inlineStr">
        <is>
          <t>Quorum list — NOT an art. 7/51 list</t>
        </is>
      </c>
      <c r="AM7" s="30" t="inlineStr"/>
      <c r="AN7" s="30" t="inlineStr">
        <is>
          <t>NONE FOUND</t>
        </is>
      </c>
      <c r="AO7" s="32" t="inlineStr">
        <is>
          <t>5057720-48.2025.8.24.0023</t>
        </is>
      </c>
      <c r="AP7" s="32" t="inlineStr">
        <is>
          <t>TJSC</t>
        </is>
      </c>
      <c r="AQ7" s="32" t="inlineStr"/>
      <c r="AR7" s="32" t="inlineStr">
        <is>
          <t>not in DataJud</t>
        </is>
      </c>
      <c r="AS7" s="32" t="n">
        <v>2025</v>
      </c>
      <c r="AT7" s="32" t="inlineStr">
        <is>
          <t>live case, no plan document yet; case no. from the portal record, not printed on the list</t>
        </is>
      </c>
      <c r="AU7" s="32" t="inlineStr"/>
      <c r="AV7" s="32" t="inlineStr">
        <is>
          <t>portal page title / URL — not printed on the list</t>
        </is>
      </c>
      <c r="AW7" s="32" t="inlineStr"/>
      <c r="AX7" s="32" t="inlineStr">
        <is>
          <t>BRASILIA</t>
        </is>
      </c>
      <c r="AY7" s="32" t="inlineStr">
        <is>
          <t>DF</t>
        </is>
      </c>
      <c r="AZ7" s="32" t="inlineStr">
        <is>
          <t>Caixas econômicas</t>
        </is>
      </c>
      <c r="BA7" s="32" t="inlineStr">
        <is>
          <t>não ME/EPP</t>
        </is>
      </c>
      <c r="BB7" s="33" t="n">
        <v>105300000000</v>
      </c>
      <c r="BC7" s="32" t="inlineStr">
        <is>
          <t>LARGE CORP</t>
        </is>
      </c>
      <c r="BD7" s="32" t="inlineStr">
        <is>
          <t>00360305</t>
        </is>
      </c>
      <c r="BE7" s="32" t="n">
        <v>1</v>
      </c>
      <c r="BF7" s="32" t="inlineStr">
        <is>
          <t>list prints no totals case no. corrected by reader</t>
        </is>
      </c>
    </row>
    <row r="8">
      <c r="A8" s="17" t="inlineStr">
        <is>
          <t>CAIXA ECONOMICA FEDERAL</t>
        </is>
      </c>
      <c r="B8" s="18" t="n">
        <v>29895475.21</v>
      </c>
      <c r="C8" s="19" t="inlineStr">
        <is>
          <t>GRUPO GLP</t>
        </is>
      </c>
      <c r="D8" s="20" t="inlineStr">
        <is>
          <t>NEW</t>
        </is>
      </c>
      <c r="E8" s="21" t="inlineStr"/>
      <c r="F8" s="20" t="inlineStr"/>
      <c r="G8" s="21" t="inlineStr"/>
      <c r="H8" s="20" t="inlineStr"/>
      <c r="I8" s="22" t="inlineStr">
        <is>
          <t>Livia Serikaku</t>
        </is>
      </c>
      <c r="J8" s="22" t="inlineStr">
        <is>
          <t>Gerente de Clientes e Negócios | Recuperação de Crédito</t>
        </is>
      </c>
      <c r="K8" s="22" t="inlineStr">
        <is>
          <t>(00) 4004-0104</t>
        </is>
      </c>
      <c r="L8" s="22" t="inlineStr"/>
      <c r="M8" s="22" t="inlineStr"/>
      <c r="N8" s="22" t="inlineStr"/>
      <c r="O8" s="22" t="inlineStr"/>
      <c r="P8" s="22" t="inlineStr">
        <is>
          <t>CARLOS ANTONIO VIEIRA FERNANDES</t>
        </is>
      </c>
      <c r="Q8" s="22" t="inlineStr">
        <is>
          <t>Presidente (RFB partner)</t>
        </is>
      </c>
      <c r="R8" s="22" t="inlineStr"/>
      <c r="S8" s="22" t="inlineStr"/>
      <c r="T8" s="22" t="inlineStr">
        <is>
          <t>DM: DM email unavailable; no work email in Apollo for DM</t>
        </is>
      </c>
      <c r="U8" s="24" t="n">
        <v>29895475.21</v>
      </c>
      <c r="V8" s="25" t="inlineStr">
        <is>
          <t>B</t>
        </is>
      </c>
      <c r="W8" s="26" t="inlineStr"/>
      <c r="X8" s="27" t="inlineStr"/>
      <c r="Y8" s="27" t="inlineStr"/>
      <c r="Z8" s="26">
        <f>IF(W8&lt;&gt;"",W8,IFERROR(VLOOKUP(V8,Assumptions!$A$8:$F$12,2,FALSE),0))</f>
        <v/>
      </c>
      <c r="AA8" s="28">
        <f>IF(V8="A",MAX(1,IF(X8&lt;&gt;"",X8,IFERROR(VLOOKUP(V8,Assumptions!$A$8:$F$12,3,FALSE),3))+IF(Y8&lt;&gt;"",Y8,IFERROR(VLOOKUP(V8,Assumptions!$A$8:$F$12,4,FALSE),8))/2-MAX(0,IF(AS8="",0,YEAR(TODAY())-AS8)-IFERROR(VLOOKUP(V8,Assumptions!$A$8:$F$12,5,FALSE),1.5))),IFERROR(VLOOKUP(V8,Assumptions!$A$8:$F$12,5,FALSE),2.5)+IF(X8&lt;&gt;"",X8,IFERROR(VLOOKUP(V8,Assumptions!$A$8:$F$12,3,FALSE),3))+IF(Y8&lt;&gt;"",Y8,IFERROR(VLOOKUP(V8,Assumptions!$A$8:$F$12,4,FALSE),8))/2)</f>
        <v/>
      </c>
      <c r="AB8" s="24">
        <f>U8*Z8/(1+Assumptions!$B$3)^AA8</f>
        <v/>
      </c>
      <c r="AC8" s="27">
        <f>IF(U8=0,"",ROUND(AB8/U8*100,1))</f>
        <v/>
      </c>
      <c r="AD8" s="29">
        <f>AB8*Assumptions!$B$4</f>
        <v/>
      </c>
      <c r="AE8" s="27">
        <f>IF(U8=0,"",ROUND(AD8/U8*100,1))</f>
        <v/>
      </c>
      <c r="AF8" s="29">
        <f>AB8-AD8</f>
        <v/>
      </c>
      <c r="AG8" s="27">
        <f>IF(U8=0,"",ROUND((AB8-AD8)/U8*100,1))</f>
        <v/>
      </c>
      <c r="AH8" s="30" t="inlineStr">
        <is>
          <t>OK — totals reconciled</t>
        </is>
      </c>
      <c r="AI8" s="31" t="inlineStr">
        <is>
          <t>https://recuperasolucoes.com/wp-content/plugins/download-attachments/includes/download.php?id=1597</t>
        </is>
      </c>
      <c r="AJ8" s="30" t="inlineStr">
        <is>
          <t>p13 r10</t>
        </is>
      </c>
      <c r="AK8" s="30" t="inlineStr">
        <is>
          <t>p13: R$ 29.895.475,21</t>
        </is>
      </c>
      <c r="AL8" s="30" t="inlineStr">
        <is>
          <t>Debtor list (art. 51)</t>
        </is>
      </c>
      <c r="AM8" s="30" t="inlineStr">
        <is>
          <t>2026-05-21</t>
        </is>
      </c>
      <c r="AN8" s="30" t="inlineStr">
        <is>
          <t>NONE FOUND</t>
        </is>
      </c>
      <c r="AO8" s="32" t="inlineStr">
        <is>
          <t>0001639-09.2026.8.17.2810</t>
        </is>
      </c>
      <c r="AP8" s="32" t="inlineStr">
        <is>
          <t>TJPE</t>
        </is>
      </c>
      <c r="AQ8" s="32" t="inlineStr">
        <is>
          <t>Recuperação judicial</t>
        </is>
      </c>
      <c r="AR8" s="32" t="inlineStr">
        <is>
          <t>DataJud: no closure/falência movement</t>
        </is>
      </c>
      <c r="AS8" s="32" t="n">
        <v>2026</v>
      </c>
      <c r="AT8" s="32" t="inlineStr">
        <is>
          <t>live case, no plan document yet</t>
        </is>
      </c>
      <c r="AU8" s="32" t="inlineStr"/>
      <c r="AV8" s="32" t="inlineStr">
        <is>
          <t>printed on the list (read twice)</t>
        </is>
      </c>
      <c r="AW8" s="32" t="inlineStr"/>
      <c r="AX8" s="32" t="inlineStr">
        <is>
          <t>BRASILIA</t>
        </is>
      </c>
      <c r="AY8" s="32" t="inlineStr">
        <is>
          <t>DF</t>
        </is>
      </c>
      <c r="AZ8" s="32" t="inlineStr">
        <is>
          <t>Caixas econômicas</t>
        </is>
      </c>
      <c r="BA8" s="32" t="inlineStr">
        <is>
          <t>não ME/EPP</t>
        </is>
      </c>
      <c r="BB8" s="33" t="n">
        <v>105300000000</v>
      </c>
      <c r="BC8" s="32" t="inlineStr">
        <is>
          <t>LARGE CORP</t>
        </is>
      </c>
      <c r="BD8" s="32" t="inlineStr">
        <is>
          <t>00360305</t>
        </is>
      </c>
      <c r="BE8" s="32" t="n">
        <v>1</v>
      </c>
      <c r="BF8" s="32" t="inlineStr">
        <is>
          <t>financial by name</t>
        </is>
      </c>
    </row>
    <row r="9">
      <c r="A9" s="17" t="inlineStr">
        <is>
          <t>BANCO DO ESTADO DO RIO GRANDE DO SUL - BANRISUL (</t>
        </is>
      </c>
      <c r="B9" s="18" t="n">
        <v>16715841.17</v>
      </c>
      <c r="C9" s="19" t="inlineStr">
        <is>
          <t>ASSOCIAÇÃO DE CARIDADE SANTA CASA DO RIO GRANDE</t>
        </is>
      </c>
      <c r="D9" s="20" t="inlineStr">
        <is>
          <t>NEW</t>
        </is>
      </c>
      <c r="E9" s="21" t="inlineStr"/>
      <c r="F9" s="20" t="inlineStr"/>
      <c r="G9" s="21" t="inlineStr"/>
      <c r="H9" s="20" t="inlineStr"/>
      <c r="I9" s="22" t="inlineStr"/>
      <c r="J9" s="22" t="inlineStr"/>
      <c r="K9" s="22" t="inlineStr"/>
      <c r="L9" s="22" t="inlineStr"/>
      <c r="M9" s="22" t="inlineStr"/>
      <c r="N9" s="22" t="inlineStr"/>
      <c r="O9" s="22" t="inlineStr"/>
      <c r="P9" s="22" t="inlineStr"/>
      <c r="Q9" s="22" t="inlineStr"/>
      <c r="R9" s="22" t="inlineStr"/>
      <c r="S9" s="22" t="inlineStr"/>
      <c r="T9" s="22" t="inlineStr">
        <is>
          <t>no named contact found; NO ROUTE IN: no phone or email on file</t>
        </is>
      </c>
      <c r="U9" s="24" t="n">
        <v>16715841.17</v>
      </c>
      <c r="V9" s="25" t="inlineStr">
        <is>
          <t>B</t>
        </is>
      </c>
      <c r="W9" s="26" t="inlineStr"/>
      <c r="X9" s="27" t="inlineStr"/>
      <c r="Y9" s="27" t="inlineStr"/>
      <c r="Z9" s="26">
        <f>IF(W9&lt;&gt;"",W9,IFERROR(VLOOKUP(V9,Assumptions!$A$8:$F$12,2,FALSE),0))</f>
        <v/>
      </c>
      <c r="AA9" s="28">
        <f>IF(V9="A",MAX(1,IF(X9&lt;&gt;"",X9,IFERROR(VLOOKUP(V9,Assumptions!$A$8:$F$12,3,FALSE),3))+IF(Y9&lt;&gt;"",Y9,IFERROR(VLOOKUP(V9,Assumptions!$A$8:$F$12,4,FALSE),8))/2-MAX(0,IF(AS9="",0,YEAR(TODAY())-AS9)-IFERROR(VLOOKUP(V9,Assumptions!$A$8:$F$12,5,FALSE),1.5))),IFERROR(VLOOKUP(V9,Assumptions!$A$8:$F$12,5,FALSE),2.5)+IF(X9&lt;&gt;"",X9,IFERROR(VLOOKUP(V9,Assumptions!$A$8:$F$12,3,FALSE),3))+IF(Y9&lt;&gt;"",Y9,IFERROR(VLOOKUP(V9,Assumptions!$A$8:$F$12,4,FALSE),8))/2)</f>
        <v/>
      </c>
      <c r="AB9" s="24">
        <f>U9*Z9/(1+Assumptions!$B$3)^AA9</f>
        <v/>
      </c>
      <c r="AC9" s="27">
        <f>IF(U9=0,"",ROUND(AB9/U9*100,1))</f>
        <v/>
      </c>
      <c r="AD9" s="29">
        <f>AB9*Assumptions!$B$4</f>
        <v/>
      </c>
      <c r="AE9" s="27">
        <f>IF(U9=0,"",ROUND(AD9/U9*100,1))</f>
        <v/>
      </c>
      <c r="AF9" s="29">
        <f>AB9-AD9</f>
        <v/>
      </c>
      <c r="AG9" s="27">
        <f>IF(U9=0,"",ROUND((AB9-AD9)/U9*100,1))</f>
        <v/>
      </c>
      <c r="AH9" s="34" t="inlineStr">
        <is>
          <t>NO TOTALS — list prints none; check page</t>
        </is>
      </c>
      <c r="AI9" s="31" t="inlineStr">
        <is>
          <t>https://scalzilliaj.com.br/sgc/download.php?file=files/processo_documento/processo_documento09120721032023_1_.pdf&amp;nome=15 - Edital do art. 7º, §2º e 53 da Lei 11.101/2005 (segunda lista de credores e recebimento do plano))</t>
        </is>
      </c>
      <c r="AJ9" s="30" t="inlineStr">
        <is>
          <t>p25 r62</t>
        </is>
      </c>
      <c r="AK9" s="30" t="inlineStr">
        <is>
          <t>p25: R$ 16.715.841,17</t>
        </is>
      </c>
      <c r="AL9" s="30" t="inlineStr">
        <is>
          <t>AJ list (art. 7 §2)</t>
        </is>
      </c>
      <c r="AM9" s="30" t="inlineStr">
        <is>
          <t>2023-03-21</t>
        </is>
      </c>
      <c r="AN9" s="30" t="inlineStr">
        <is>
          <t>NONE FOUND</t>
        </is>
      </c>
      <c r="AO9" s="32" t="inlineStr">
        <is>
          <t>5012306-16.2022.8.21.0023</t>
        </is>
      </c>
      <c r="AP9" s="32" t="inlineStr">
        <is>
          <t>TJRS</t>
        </is>
      </c>
      <c r="AQ9" s="32" t="inlineStr">
        <is>
          <t>Recuperação judicial</t>
        </is>
      </c>
      <c r="AR9" s="32" t="inlineStr">
        <is>
          <t>DataJud: no closure/falência movement</t>
        </is>
      </c>
      <c r="AS9" s="32" t="n">
        <v>2022</v>
      </c>
      <c r="AT9" s="32" t="inlineStr">
        <is>
          <t>live case, no plan document yet; atypical debtor (associação/clube/hospital/produtor rural): admissibility or claim subjection may be contested</t>
        </is>
      </c>
      <c r="AU9" s="32" t="inlineStr"/>
      <c r="AV9" s="32" t="inlineStr">
        <is>
          <t>printed on the list (read twice)</t>
        </is>
      </c>
      <c r="AW9" s="32" t="inlineStr"/>
      <c r="AX9" s="32" t="inlineStr"/>
      <c r="AY9" s="32" t="inlineStr"/>
      <c r="AZ9" s="32" t="inlineStr"/>
      <c r="BA9" s="32" t="inlineStr"/>
      <c r="BB9" s="33" t="inlineStr"/>
      <c r="BC9" s="32" t="inlineStr">
        <is>
          <t>UNKNOWN</t>
        </is>
      </c>
      <c r="BD9" s="32" t="inlineStr">
        <is>
          <t>92702067</t>
        </is>
      </c>
      <c r="BE9" s="32" t="n">
        <v>1</v>
      </c>
      <c r="BF9" s="32" t="inlineStr">
        <is>
          <t>financial by name public by name list prints no totals no RFB record no route in</t>
        </is>
      </c>
    </row>
    <row r="10">
      <c r="A10" s="17" t="inlineStr">
        <is>
          <t>CAIXA ECONOMICA FEDERAL</t>
        </is>
      </c>
      <c r="B10" s="18" t="n">
        <v>13335951.83</v>
      </c>
      <c r="C10" s="19" t="inlineStr">
        <is>
          <t>GRUPO ADLIM</t>
        </is>
      </c>
      <c r="D10" s="20" t="inlineStr">
        <is>
          <t>NEW</t>
        </is>
      </c>
      <c r="E10" s="21" t="inlineStr"/>
      <c r="F10" s="20" t="inlineStr"/>
      <c r="G10" s="21" t="inlineStr"/>
      <c r="H10" s="20" t="inlineStr"/>
      <c r="I10" s="22" t="inlineStr">
        <is>
          <t>Livia Serikaku</t>
        </is>
      </c>
      <c r="J10" s="22" t="inlineStr">
        <is>
          <t>Gerente de Clientes e Negócios | Recuperação de Crédito</t>
        </is>
      </c>
      <c r="K10" s="22" t="inlineStr">
        <is>
          <t>(00) 4004-0104</t>
        </is>
      </c>
      <c r="L10" s="22" t="inlineStr"/>
      <c r="M10" s="22" t="inlineStr"/>
      <c r="N10" s="22" t="inlineStr"/>
      <c r="O10" s="22" t="inlineStr"/>
      <c r="P10" s="22" t="inlineStr">
        <is>
          <t>CARLOS ANTONIO VIEIRA FERNANDES</t>
        </is>
      </c>
      <c r="Q10" s="22" t="inlineStr">
        <is>
          <t>Presidente (RFB partner)</t>
        </is>
      </c>
      <c r="R10" s="22" t="inlineStr"/>
      <c r="S10" s="22" t="inlineStr"/>
      <c r="T10" s="22" t="inlineStr">
        <is>
          <t>DM: DM email unavailable; no work email in Apollo for DM</t>
        </is>
      </c>
      <c r="U10" s="24" t="n">
        <v>13335951.83</v>
      </c>
      <c r="V10" s="25" t="inlineStr">
        <is>
          <t>B</t>
        </is>
      </c>
      <c r="W10" s="26" t="inlineStr"/>
      <c r="X10" s="27" t="inlineStr"/>
      <c r="Y10" s="27" t="inlineStr"/>
      <c r="Z10" s="26">
        <f>IF(W10&lt;&gt;"",W10,IFERROR(VLOOKUP(V10,Assumptions!$A$8:$F$12,2,FALSE),0))</f>
        <v/>
      </c>
      <c r="AA10" s="28">
        <f>IF(V10="A",MAX(1,IF(X10&lt;&gt;"",X10,IFERROR(VLOOKUP(V10,Assumptions!$A$8:$F$12,3,FALSE),3))+IF(Y10&lt;&gt;"",Y10,IFERROR(VLOOKUP(V10,Assumptions!$A$8:$F$12,4,FALSE),8))/2-MAX(0,IF(AS10="",0,YEAR(TODAY())-AS10)-IFERROR(VLOOKUP(V10,Assumptions!$A$8:$F$12,5,FALSE),1.5))),IFERROR(VLOOKUP(V10,Assumptions!$A$8:$F$12,5,FALSE),2.5)+IF(X10&lt;&gt;"",X10,IFERROR(VLOOKUP(V10,Assumptions!$A$8:$F$12,3,FALSE),3))+IF(Y10&lt;&gt;"",Y10,IFERROR(VLOOKUP(V10,Assumptions!$A$8:$F$12,4,FALSE),8))/2)</f>
        <v/>
      </c>
      <c r="AB10" s="24">
        <f>U10*Z10/(1+Assumptions!$B$3)^AA10</f>
        <v/>
      </c>
      <c r="AC10" s="27">
        <f>IF(U10=0,"",ROUND(AB10/U10*100,1))</f>
        <v/>
      </c>
      <c r="AD10" s="29">
        <f>AB10*Assumptions!$B$4</f>
        <v/>
      </c>
      <c r="AE10" s="27">
        <f>IF(U10=0,"",ROUND(AD10/U10*100,1))</f>
        <v/>
      </c>
      <c r="AF10" s="29">
        <f>AB10-AD10</f>
        <v/>
      </c>
      <c r="AG10" s="27">
        <f>IF(U10=0,"",ROUND((AB10-AD10)/U10*100,1))</f>
        <v/>
      </c>
      <c r="AH10" s="35" t="inlineStr">
        <is>
          <t>PARTIAL — class III reconciled, other classes not</t>
        </is>
      </c>
      <c r="AI10" s="31" t="inlineStr">
        <is>
          <t>https://lrflideres.com.br/wp-content/plugins/download-attachments/includes/download.php?id=6051</t>
        </is>
      </c>
      <c r="AJ10" s="30" t="inlineStr">
        <is>
          <t>p66 r74; p85 r24; p97 r23</t>
        </is>
      </c>
      <c r="AK10" s="30" t="inlineStr">
        <is>
          <t>p66: R$ 8997846,92; p85: R$ 743735,91; p97: R$ 3594369,00</t>
        </is>
      </c>
      <c r="AL10" s="30" t="inlineStr">
        <is>
          <t>AJ list (art. 7 §2)</t>
        </is>
      </c>
      <c r="AM10" s="30" t="inlineStr">
        <is>
          <t>2024-08-12</t>
        </is>
      </c>
      <c r="AN10" s="30" t="inlineStr">
        <is>
          <t>NONE FOUND</t>
        </is>
      </c>
      <c r="AO10" s="32" t="inlineStr">
        <is>
          <t>0019761-43.2024.8.17.2001</t>
        </is>
      </c>
      <c r="AP10" s="32" t="inlineStr">
        <is>
          <t>TJPE</t>
        </is>
      </c>
      <c r="AQ10" s="32" t="inlineStr">
        <is>
          <t>Recuperação judicial</t>
        </is>
      </c>
      <c r="AR10" s="32" t="inlineStr">
        <is>
          <t>DataJud: no closure/falência movement</t>
        </is>
      </c>
      <c r="AS10" s="32" t="n">
        <v>2024</v>
      </c>
      <c r="AT10" s="32" t="inlineStr">
        <is>
          <t>live case, no plan document yet</t>
        </is>
      </c>
      <c r="AU10" s="32" t="inlineStr"/>
      <c r="AV10" s="32" t="inlineStr">
        <is>
          <t>printed on the list (read twice)</t>
        </is>
      </c>
      <c r="AW10" s="32" t="inlineStr"/>
      <c r="AX10" s="32" t="inlineStr">
        <is>
          <t>BRASILIA</t>
        </is>
      </c>
      <c r="AY10" s="32" t="inlineStr">
        <is>
          <t>DF</t>
        </is>
      </c>
      <c r="AZ10" s="32" t="inlineStr">
        <is>
          <t>Caixas econômicas</t>
        </is>
      </c>
      <c r="BA10" s="32" t="inlineStr">
        <is>
          <t>não ME/EPP</t>
        </is>
      </c>
      <c r="BB10" s="33" t="n">
        <v>105300000000</v>
      </c>
      <c r="BC10" s="32" t="inlineStr">
        <is>
          <t>LARGE CORP</t>
        </is>
      </c>
      <c r="BD10" s="32" t="inlineStr">
        <is>
          <t>00360305</t>
        </is>
      </c>
      <c r="BE10" s="32" t="n">
        <v>3</v>
      </c>
      <c r="BF10" s="32" t="inlineStr">
        <is>
          <t>financial by name class III reconciled (doc partial)</t>
        </is>
      </c>
    </row>
    <row r="11">
      <c r="A11" s="17" t="inlineStr">
        <is>
          <t>CAIXA ECONOMICA FEDERAL</t>
        </is>
      </c>
      <c r="B11" s="18" t="n">
        <v>12089694.64</v>
      </c>
      <c r="C11" s="19" t="inlineStr">
        <is>
          <t>GRUPO DP4</t>
        </is>
      </c>
      <c r="D11" s="20" t="inlineStr">
        <is>
          <t>NEW</t>
        </is>
      </c>
      <c r="E11" s="21" t="inlineStr"/>
      <c r="F11" s="20" t="inlineStr"/>
      <c r="G11" s="21" t="inlineStr"/>
      <c r="H11" s="20" t="inlineStr"/>
      <c r="I11" s="22" t="inlineStr">
        <is>
          <t>Livia Serikaku</t>
        </is>
      </c>
      <c r="J11" s="22" t="inlineStr">
        <is>
          <t>Gerente de Clientes e Negócios | Recuperação de Crédito</t>
        </is>
      </c>
      <c r="K11" s="22" t="inlineStr">
        <is>
          <t>(00) 4004-0104</t>
        </is>
      </c>
      <c r="L11" s="22" t="inlineStr"/>
      <c r="M11" s="22" t="inlineStr"/>
      <c r="N11" s="22" t="inlineStr"/>
      <c r="O11" s="22" t="inlineStr"/>
      <c r="P11" s="22" t="inlineStr">
        <is>
          <t>CARLOS ANTONIO VIEIRA FERNANDES</t>
        </is>
      </c>
      <c r="Q11" s="22" t="inlineStr">
        <is>
          <t>Presidente (RFB partner)</t>
        </is>
      </c>
      <c r="R11" s="22" t="inlineStr"/>
      <c r="S11" s="22" t="inlineStr"/>
      <c r="T11" s="22" t="inlineStr">
        <is>
          <t>DM: DM email unavailable; no work email in Apollo for DM</t>
        </is>
      </c>
      <c r="U11" s="24" t="n">
        <v>12089694.64</v>
      </c>
      <c r="V11" s="25" t="inlineStr">
        <is>
          <t>B</t>
        </is>
      </c>
      <c r="W11" s="26" t="inlineStr"/>
      <c r="X11" s="27" t="inlineStr"/>
      <c r="Y11" s="27" t="inlineStr"/>
      <c r="Z11" s="26">
        <f>IF(W11&lt;&gt;"",W11,IFERROR(VLOOKUP(V11,Assumptions!$A$8:$F$12,2,FALSE),0))</f>
        <v/>
      </c>
      <c r="AA11" s="28">
        <f>IF(V11="A",MAX(1,IF(X11&lt;&gt;"",X11,IFERROR(VLOOKUP(V11,Assumptions!$A$8:$F$12,3,FALSE),3))+IF(Y11&lt;&gt;"",Y11,IFERROR(VLOOKUP(V11,Assumptions!$A$8:$F$12,4,FALSE),8))/2-MAX(0,IF(AS11="",0,YEAR(TODAY())-AS11)-IFERROR(VLOOKUP(V11,Assumptions!$A$8:$F$12,5,FALSE),1.5))),IFERROR(VLOOKUP(V11,Assumptions!$A$8:$F$12,5,FALSE),2.5)+IF(X11&lt;&gt;"",X11,IFERROR(VLOOKUP(V11,Assumptions!$A$8:$F$12,3,FALSE),3))+IF(Y11&lt;&gt;"",Y11,IFERROR(VLOOKUP(V11,Assumptions!$A$8:$F$12,4,FALSE),8))/2)</f>
        <v/>
      </c>
      <c r="AB11" s="24">
        <f>U11*Z11/(1+Assumptions!$B$3)^AA11</f>
        <v/>
      </c>
      <c r="AC11" s="27">
        <f>IF(U11=0,"",ROUND(AB11/U11*100,1))</f>
        <v/>
      </c>
      <c r="AD11" s="29">
        <f>AB11*Assumptions!$B$4</f>
        <v/>
      </c>
      <c r="AE11" s="27">
        <f>IF(U11=0,"",ROUND(AD11/U11*100,1))</f>
        <v/>
      </c>
      <c r="AF11" s="29">
        <f>AB11-AD11</f>
        <v/>
      </c>
      <c r="AG11" s="27">
        <f>IF(U11=0,"",ROUND((AB11-AD11)/U11*100,1))</f>
        <v/>
      </c>
      <c r="AH11" s="35" t="inlineStr">
        <is>
          <t>PARTIAL — class III reconciled, other classes not</t>
        </is>
      </c>
      <c r="AI11" s="31" t="inlineStr">
        <is>
          <t>https://marquesadmjudicial.com.br/sgc/download.php?file=files/processo_documento/processo_documento15293208032024_1_.pdf&amp;nome=Relação Nominal de Credores da AJ-Sintética</t>
        </is>
      </c>
      <c r="AJ11" s="30" t="inlineStr">
        <is>
          <t>p22 r10</t>
        </is>
      </c>
      <c r="AK11" s="30" t="inlineStr">
        <is>
          <t>p22: R$ 12.089.694,64</t>
        </is>
      </c>
      <c r="AL11" s="30" t="inlineStr">
        <is>
          <t>AJ list (art. 7 §2)</t>
        </is>
      </c>
      <c r="AM11" s="30" t="inlineStr">
        <is>
          <t>2023-03-02</t>
        </is>
      </c>
      <c r="AN11" s="30" t="inlineStr">
        <is>
          <t>NONE FOUND</t>
        </is>
      </c>
      <c r="AO11" s="32" t="inlineStr">
        <is>
          <t>0005010-98.2023.8.16.0001</t>
        </is>
      </c>
      <c r="AP11" s="32" t="inlineStr">
        <is>
          <t>TJPR</t>
        </is>
      </c>
      <c r="AQ11" s="32" t="inlineStr">
        <is>
          <t>Recuperação judicial</t>
        </is>
      </c>
      <c r="AR11" s="32" t="inlineStr">
        <is>
          <t>DataJud: no closure/falência movement</t>
        </is>
      </c>
      <c r="AS11" s="32" t="n">
        <v>2023</v>
      </c>
      <c r="AT11" s="32" t="inlineStr">
        <is>
          <t>live case, no plan document yet</t>
        </is>
      </c>
      <c r="AU11" s="32" t="inlineStr"/>
      <c r="AV11" s="32" t="inlineStr">
        <is>
          <t>printed on the list (read twice)</t>
        </is>
      </c>
      <c r="AW11" s="32" t="inlineStr"/>
      <c r="AX11" s="32" t="inlineStr">
        <is>
          <t>BRASILIA</t>
        </is>
      </c>
      <c r="AY11" s="32" t="inlineStr">
        <is>
          <t>DF</t>
        </is>
      </c>
      <c r="AZ11" s="32" t="inlineStr">
        <is>
          <t>Caixas econômicas</t>
        </is>
      </c>
      <c r="BA11" s="32" t="inlineStr">
        <is>
          <t>não ME/EPP</t>
        </is>
      </c>
      <c r="BB11" s="33" t="n">
        <v>105300000000</v>
      </c>
      <c r="BC11" s="32" t="inlineStr">
        <is>
          <t>LARGE CORP</t>
        </is>
      </c>
      <c r="BD11" s="32" t="inlineStr">
        <is>
          <t>00360305</t>
        </is>
      </c>
      <c r="BE11" s="32" t="n">
        <v>1</v>
      </c>
      <c r="BF11" s="32" t="inlineStr">
        <is>
          <t>financial by name class III reconciled (doc partial)</t>
        </is>
      </c>
    </row>
    <row r="12">
      <c r="A12" s="17" t="inlineStr">
        <is>
          <t>BANCO DO BRASIL SA</t>
        </is>
      </c>
      <c r="B12" s="18" t="n">
        <v>11024401.03</v>
      </c>
      <c r="C12" s="19" t="inlineStr">
        <is>
          <t>CENTURY CONSTRUÇÕES COMÉRCIO E SERVIÇOS LTDA.</t>
        </is>
      </c>
      <c r="D12" s="20" t="inlineStr">
        <is>
          <t>NEW</t>
        </is>
      </c>
      <c r="E12" s="21" t="inlineStr"/>
      <c r="F12" s="20" t="inlineStr"/>
      <c r="G12" s="21" t="inlineStr"/>
      <c r="H12" s="20" t="inlineStr"/>
      <c r="I12" s="22" t="inlineStr">
        <is>
          <t>Thiago Cavichioli</t>
        </is>
      </c>
      <c r="J12" s="22" t="inlineStr">
        <is>
          <t>Gerente de Cobrança e Recuperação de Crédito</t>
        </is>
      </c>
      <c r="K12" s="22" t="inlineStr">
        <is>
          <t>(61) 3493-9002</t>
        </is>
      </c>
      <c r="L12" s="22" t="inlineStr"/>
      <c r="M12" s="22" t="inlineStr"/>
      <c r="N12" s="22" t="inlineStr">
        <is>
          <t>thiago.cavichioli@bb.com.br</t>
        </is>
      </c>
      <c r="O12" s="22" t="inlineStr">
        <is>
          <t>verified</t>
        </is>
      </c>
      <c r="P12" s="22" t="inlineStr">
        <is>
          <t>Suelen Mondador</t>
        </is>
      </c>
      <c r="Q12" s="22" t="inlineStr">
        <is>
          <t>Gerente Especialista em Recuperação de Crédito</t>
        </is>
      </c>
      <c r="R12" s="22" t="inlineStr"/>
      <c r="S12" s="22" t="inlineStr">
        <is>
          <t>suelenmondador@bb.com.br</t>
        </is>
      </c>
      <c r="T12" s="22" t="inlineStr">
        <is>
          <t>DM: DM verified email; BACKUP: backup verified email</t>
        </is>
      </c>
      <c r="U12" s="24" t="n">
        <v>11024401.03</v>
      </c>
      <c r="V12" s="25" t="inlineStr">
        <is>
          <t>B</t>
        </is>
      </c>
      <c r="W12" s="26" t="inlineStr"/>
      <c r="X12" s="27" t="inlineStr"/>
      <c r="Y12" s="27" t="inlineStr"/>
      <c r="Z12" s="26">
        <f>IF(W12&lt;&gt;"",W12,IFERROR(VLOOKUP(V12,Assumptions!$A$8:$F$12,2,FALSE),0))</f>
        <v/>
      </c>
      <c r="AA12" s="28">
        <f>IF(V12="A",MAX(1,IF(X12&lt;&gt;"",X12,IFERROR(VLOOKUP(V12,Assumptions!$A$8:$F$12,3,FALSE),3))+IF(Y12&lt;&gt;"",Y12,IFERROR(VLOOKUP(V12,Assumptions!$A$8:$F$12,4,FALSE),8))/2-MAX(0,IF(AS12="",0,YEAR(TODAY())-AS12)-IFERROR(VLOOKUP(V12,Assumptions!$A$8:$F$12,5,FALSE),1.5))),IFERROR(VLOOKUP(V12,Assumptions!$A$8:$F$12,5,FALSE),2.5)+IF(X12&lt;&gt;"",X12,IFERROR(VLOOKUP(V12,Assumptions!$A$8:$F$12,3,FALSE),3))+IF(Y12&lt;&gt;"",Y12,IFERROR(VLOOKUP(V12,Assumptions!$A$8:$F$12,4,FALSE),8))/2)</f>
        <v/>
      </c>
      <c r="AB12" s="24">
        <f>U12*Z12/(1+Assumptions!$B$3)^AA12</f>
        <v/>
      </c>
      <c r="AC12" s="27">
        <f>IF(U12=0,"",ROUND(AB12/U12*100,1))</f>
        <v/>
      </c>
      <c r="AD12" s="29">
        <f>AB12*Assumptions!$B$4</f>
        <v/>
      </c>
      <c r="AE12" s="27">
        <f>IF(U12=0,"",ROUND(AD12/U12*100,1))</f>
        <v/>
      </c>
      <c r="AF12" s="29">
        <f>AB12-AD12</f>
        <v/>
      </c>
      <c r="AG12" s="27">
        <f>IF(U12=0,"",ROUND((AB12-AD12)/U12*100,1))</f>
        <v/>
      </c>
      <c r="AH12" s="34" t="inlineStr">
        <is>
          <t>NO TOTALS — list prints none; check page</t>
        </is>
      </c>
      <c r="AI12" s="31" t="inlineStr">
        <is>
          <t>https://ativosajce.com.br/admin/download.php?file=files/processo_documento/processo_documento16022716122025_1_.pdf&amp;nome=Relação de credores - art. 52, §1º da Lei 11.101/05 - 15/12/2025</t>
        </is>
      </c>
      <c r="AJ12" s="30" t="inlineStr">
        <is>
          <t>p2 r19</t>
        </is>
      </c>
      <c r="AK12" s="30" t="inlineStr">
        <is>
          <t>p2: R$ 11.024.401,03</t>
        </is>
      </c>
      <c r="AL12" s="30" t="inlineStr">
        <is>
          <t>Unclassified list</t>
        </is>
      </c>
      <c r="AM12" s="30" t="inlineStr"/>
      <c r="AN12" s="30" t="inlineStr">
        <is>
          <t>NONE FOUND</t>
        </is>
      </c>
      <c r="AO12" s="32" t="inlineStr">
        <is>
          <t>4054599-35.2025.8.26.0100</t>
        </is>
      </c>
      <c r="AP12" s="32" t="inlineStr">
        <is>
          <t>TJSP</t>
        </is>
      </c>
      <c r="AQ12" s="32" t="inlineStr">
        <is>
          <t>Recuperação judicial</t>
        </is>
      </c>
      <c r="AR12" s="32" t="inlineStr">
        <is>
          <t>DataJud: no closure/falência movement</t>
        </is>
      </c>
      <c r="AS12" s="32" t="n">
        <v>2025</v>
      </c>
      <c r="AT12" s="32" t="inlineStr">
        <is>
          <t>live case, no plan document yet; case no. from the portal record, not printed on the list</t>
        </is>
      </c>
      <c r="AU12" s="32" t="inlineStr">
        <is>
          <t>03.299.563/0001-10</t>
        </is>
      </c>
      <c r="AV12" s="32" t="inlineStr">
        <is>
          <t>printed on the list (read twice)</t>
        </is>
      </c>
      <c r="AW12" s="32" t="inlineStr"/>
      <c r="AX12" s="32" t="inlineStr">
        <is>
          <t>BRASILIA</t>
        </is>
      </c>
      <c r="AY12" s="32" t="inlineStr">
        <is>
          <t>DF</t>
        </is>
      </c>
      <c r="AZ12" s="32" t="inlineStr">
        <is>
          <t>Bancos múltiplos, com carteira comercial</t>
        </is>
      </c>
      <c r="BA12" s="32" t="inlineStr">
        <is>
          <t>não ME/EPP</t>
        </is>
      </c>
      <c r="BB12" s="33" t="n">
        <v>120000000000</v>
      </c>
      <c r="BC12" s="32" t="inlineStr">
        <is>
          <t>LARGE CORP</t>
        </is>
      </c>
      <c r="BD12" s="32" t="inlineStr">
        <is>
          <t>00000000</t>
        </is>
      </c>
      <c r="BE12" s="32" t="n">
        <v>1</v>
      </c>
      <c r="BF12" s="32" t="inlineStr">
        <is>
          <t>list prints no totals</t>
        </is>
      </c>
    </row>
    <row r="13">
      <c r="A13" s="17" t="inlineStr">
        <is>
          <t>BANCO DO BRASIL SA</t>
        </is>
      </c>
      <c r="B13" s="18" t="n">
        <v>10935147.95</v>
      </c>
      <c r="C13" s="19" t="inlineStr">
        <is>
          <t>Grupo Gomiero</t>
        </is>
      </c>
      <c r="D13" s="20" t="inlineStr">
        <is>
          <t>NEW</t>
        </is>
      </c>
      <c r="E13" s="21" t="inlineStr"/>
      <c r="F13" s="20" t="inlineStr"/>
      <c r="G13" s="21" t="inlineStr"/>
      <c r="H13" s="20" t="inlineStr"/>
      <c r="I13" s="22" t="inlineStr">
        <is>
          <t>Thiago Cavichioli</t>
        </is>
      </c>
      <c r="J13" s="22" t="inlineStr">
        <is>
          <t>Gerente de Cobrança e Recuperação de Crédito</t>
        </is>
      </c>
      <c r="K13" s="22" t="inlineStr">
        <is>
          <t>(61) 3493-9002</t>
        </is>
      </c>
      <c r="L13" s="22" t="inlineStr"/>
      <c r="M13" s="22" t="inlineStr"/>
      <c r="N13" s="22" t="inlineStr">
        <is>
          <t>thiago.cavichioli@bb.com.br</t>
        </is>
      </c>
      <c r="O13" s="22" t="inlineStr">
        <is>
          <t>verified</t>
        </is>
      </c>
      <c r="P13" s="22" t="inlineStr">
        <is>
          <t>Suelen Mondador</t>
        </is>
      </c>
      <c r="Q13" s="22" t="inlineStr">
        <is>
          <t>Gerente Especialista em Recuperação de Crédito</t>
        </is>
      </c>
      <c r="R13" s="22" t="inlineStr"/>
      <c r="S13" s="22" t="inlineStr">
        <is>
          <t>suelenmondador@bb.com.br</t>
        </is>
      </c>
      <c r="T13" s="22" t="inlineStr">
        <is>
          <t>DM: DM verified email; BACKUP: backup verified email</t>
        </is>
      </c>
      <c r="U13" s="24" t="n">
        <v>10935147.95</v>
      </c>
      <c r="V13" s="25" t="inlineStr">
        <is>
          <t>B</t>
        </is>
      </c>
      <c r="W13" s="26" t="inlineStr"/>
      <c r="X13" s="27" t="inlineStr"/>
      <c r="Y13" s="27" t="inlineStr"/>
      <c r="Z13" s="26">
        <f>IF(W13&lt;&gt;"",W13,IFERROR(VLOOKUP(V13,Assumptions!$A$8:$F$12,2,FALSE),0))</f>
        <v/>
      </c>
      <c r="AA13" s="28">
        <f>IF(V13="A",MAX(1,IF(X13&lt;&gt;"",X13,IFERROR(VLOOKUP(V13,Assumptions!$A$8:$F$12,3,FALSE),3))+IF(Y13&lt;&gt;"",Y13,IFERROR(VLOOKUP(V13,Assumptions!$A$8:$F$12,4,FALSE),8))/2-MAX(0,IF(AS13="",0,YEAR(TODAY())-AS13)-IFERROR(VLOOKUP(V13,Assumptions!$A$8:$F$12,5,FALSE),1.5))),IFERROR(VLOOKUP(V13,Assumptions!$A$8:$F$12,5,FALSE),2.5)+IF(X13&lt;&gt;"",X13,IFERROR(VLOOKUP(V13,Assumptions!$A$8:$F$12,3,FALSE),3))+IF(Y13&lt;&gt;"",Y13,IFERROR(VLOOKUP(V13,Assumptions!$A$8:$F$12,4,FALSE),8))/2)</f>
        <v/>
      </c>
      <c r="AB13" s="24">
        <f>U13*Z13/(1+Assumptions!$B$3)^AA13</f>
        <v/>
      </c>
      <c r="AC13" s="27">
        <f>IF(U13=0,"",ROUND(AB13/U13*100,1))</f>
        <v/>
      </c>
      <c r="AD13" s="29">
        <f>AB13*Assumptions!$B$4</f>
        <v/>
      </c>
      <c r="AE13" s="27">
        <f>IF(U13=0,"",ROUND(AD13/U13*100,1))</f>
        <v/>
      </c>
      <c r="AF13" s="29">
        <f>AB13-AD13</f>
        <v/>
      </c>
      <c r="AG13" s="27">
        <f>IF(U13=0,"",ROUND((AB13-AD13)/U13*100,1))</f>
        <v/>
      </c>
      <c r="AH13" s="35" t="inlineStr">
        <is>
          <t>PARTIAL — class III reconciled, other classes not</t>
        </is>
      </c>
      <c r="AI13" s="31" t="inlineStr">
        <is>
          <t>https://marquesadmjudicial.com.br/sgc/download.php?file=files/processo_documento/processo_documento09391327032025_1_.pdf&amp;nome=Relação Nominal de Credores AJ</t>
        </is>
      </c>
      <c r="AJ13" s="30" t="inlineStr">
        <is>
          <t>p4 r4</t>
        </is>
      </c>
      <c r="AK13" s="30" t="inlineStr">
        <is>
          <t>p4: R$ 10.935.147,95</t>
        </is>
      </c>
      <c r="AL13" s="30" t="inlineStr">
        <is>
          <t>AJ list (art. 7 §2)</t>
        </is>
      </c>
      <c r="AM13" s="30" t="inlineStr">
        <is>
          <t>2025-03-21</t>
        </is>
      </c>
      <c r="AN13" s="30" t="inlineStr">
        <is>
          <t>NONE FOUND</t>
        </is>
      </c>
      <c r="AO13" s="32" t="inlineStr">
        <is>
          <t>0044747-14.2024.8.16.0021</t>
        </is>
      </c>
      <c r="AP13" s="32" t="inlineStr">
        <is>
          <t>TJPR</t>
        </is>
      </c>
      <c r="AQ13" s="32" t="inlineStr">
        <is>
          <t>Recuperação judicial</t>
        </is>
      </c>
      <c r="AR13" s="32" t="inlineStr">
        <is>
          <t>DataJud: no closure/falência movement</t>
        </is>
      </c>
      <c r="AS13" s="32" t="n">
        <v>2024</v>
      </c>
      <c r="AT13" s="32" t="inlineStr">
        <is>
          <t>live case, no plan document yet</t>
        </is>
      </c>
      <c r="AU13" s="32" t="inlineStr">
        <is>
          <t>57.650.709/0001-50</t>
        </is>
      </c>
      <c r="AV13" s="32" t="inlineStr">
        <is>
          <t>printed on the list (read twice)</t>
        </is>
      </c>
      <c r="AW13" s="32" t="inlineStr"/>
      <c r="AX13" s="32" t="inlineStr">
        <is>
          <t>BRASILIA</t>
        </is>
      </c>
      <c r="AY13" s="32" t="inlineStr">
        <is>
          <t>DF</t>
        </is>
      </c>
      <c r="AZ13" s="32" t="inlineStr">
        <is>
          <t>Bancos múltiplos, com carteira comercial</t>
        </is>
      </c>
      <c r="BA13" s="32" t="inlineStr">
        <is>
          <t>não ME/EPP</t>
        </is>
      </c>
      <c r="BB13" s="33" t="n">
        <v>120000000000</v>
      </c>
      <c r="BC13" s="32" t="inlineStr">
        <is>
          <t>LARGE CORP</t>
        </is>
      </c>
      <c r="BD13" s="32" t="inlineStr">
        <is>
          <t>00000000</t>
        </is>
      </c>
      <c r="BE13" s="32" t="n">
        <v>1</v>
      </c>
      <c r="BF13" s="32" t="inlineStr">
        <is>
          <t>NAME_MISSING class III reconciled (doc partial)</t>
        </is>
      </c>
    </row>
    <row r="14">
      <c r="A14" s="17" t="inlineStr">
        <is>
          <t>BANCO DO BRASIL SA</t>
        </is>
      </c>
      <c r="B14" s="18" t="n">
        <v>29399788.89</v>
      </c>
      <c r="C14" s="19" t="inlineStr">
        <is>
          <t>GRUPO 3E</t>
        </is>
      </c>
      <c r="D14" s="20" t="inlineStr">
        <is>
          <t>NEW</t>
        </is>
      </c>
      <c r="E14" s="21" t="inlineStr"/>
      <c r="F14" s="20" t="inlineStr"/>
      <c r="G14" s="21" t="inlineStr"/>
      <c r="H14" s="20" t="inlineStr"/>
      <c r="I14" s="22" t="inlineStr">
        <is>
          <t>Thiago Cavichioli</t>
        </is>
      </c>
      <c r="J14" s="22" t="inlineStr">
        <is>
          <t>Gerente de Cobrança e Recuperação de Crédito</t>
        </is>
      </c>
      <c r="K14" s="22" t="inlineStr">
        <is>
          <t>(61) 3493-9002</t>
        </is>
      </c>
      <c r="L14" s="22" t="inlineStr"/>
      <c r="M14" s="22" t="inlineStr"/>
      <c r="N14" s="22" t="inlineStr">
        <is>
          <t>thiago.cavichioli@bb.com.br</t>
        </is>
      </c>
      <c r="O14" s="22" t="inlineStr">
        <is>
          <t>verified</t>
        </is>
      </c>
      <c r="P14" s="22" t="inlineStr">
        <is>
          <t>Suelen Mondador</t>
        </is>
      </c>
      <c r="Q14" s="22" t="inlineStr">
        <is>
          <t>Gerente Especialista em Recuperação de Crédito</t>
        </is>
      </c>
      <c r="R14" s="22" t="inlineStr"/>
      <c r="S14" s="22" t="inlineStr">
        <is>
          <t>suelenmondador@bb.com.br</t>
        </is>
      </c>
      <c r="T14" s="22" t="inlineStr">
        <is>
          <t>DM: DM verified email; BACKUP: backup verified email</t>
        </is>
      </c>
      <c r="U14" s="24" t="n">
        <v>29399788.89</v>
      </c>
      <c r="V14" s="25" t="inlineStr">
        <is>
          <t>B</t>
        </is>
      </c>
      <c r="W14" s="26" t="n">
        <v>0.12</v>
      </c>
      <c r="X14" s="27" t="n">
        <v>2</v>
      </c>
      <c r="Y14" s="27" t="n">
        <v>13</v>
      </c>
      <c r="Z14" s="26">
        <f>IF(W14&lt;&gt;"",W14,IFERROR(VLOOKUP(V14,Assumptions!$A$8:$F$12,2,FALSE),0))</f>
        <v/>
      </c>
      <c r="AA14" s="28">
        <f>IF(V14="A",MAX(1,IF(X14&lt;&gt;"",X14,IFERROR(VLOOKUP(V14,Assumptions!$A$8:$F$12,3,FALSE),3))+IF(Y14&lt;&gt;"",Y14,IFERROR(VLOOKUP(V14,Assumptions!$A$8:$F$12,4,FALSE),8))/2-MAX(0,IF(AS14="",0,YEAR(TODAY())-AS14)-IFERROR(VLOOKUP(V14,Assumptions!$A$8:$F$12,5,FALSE),1.5))),IFERROR(VLOOKUP(V14,Assumptions!$A$8:$F$12,5,FALSE),2.5)+IF(X14&lt;&gt;"",X14,IFERROR(VLOOKUP(V14,Assumptions!$A$8:$F$12,3,FALSE),3))+IF(Y14&lt;&gt;"",Y14,IFERROR(VLOOKUP(V14,Assumptions!$A$8:$F$12,4,FALSE),8))/2)</f>
        <v/>
      </c>
      <c r="AB14" s="24">
        <f>U14*Z14/(1+Assumptions!$B$3)^AA14</f>
        <v/>
      </c>
      <c r="AC14" s="27">
        <f>IF(U14=0,"",ROUND(AB14/U14*100,1))</f>
        <v/>
      </c>
      <c r="AD14" s="29">
        <f>AB14*Assumptions!$B$4</f>
        <v/>
      </c>
      <c r="AE14" s="27">
        <f>IF(U14=0,"",ROUND(AD14/U14*100,1))</f>
        <v/>
      </c>
      <c r="AF14" s="29">
        <f>AB14-AD14</f>
        <v/>
      </c>
      <c r="AG14" s="27">
        <f>IF(U14=0,"",ROUND((AB14-AD14)/U14*100,1))</f>
        <v/>
      </c>
      <c r="AH14" s="34" t="inlineStr">
        <is>
          <t>NO TOTALS — list prints none; check page</t>
        </is>
      </c>
      <c r="AI14" s="31" t="inlineStr">
        <is>
          <t>https://stenius.com.br/wp-content/uploads/2026/06/EDITAL-GRUPO-3E.pdf</t>
        </is>
      </c>
      <c r="AJ14" s="30" t="inlineStr">
        <is>
          <t>p10 r35</t>
        </is>
      </c>
      <c r="AK14" s="30" t="inlineStr">
        <is>
          <t>p10: R$ 29.399.788,89</t>
        </is>
      </c>
      <c r="AL14" s="30" t="inlineStr">
        <is>
          <t>Debtor list (art. 51)</t>
        </is>
      </c>
      <c r="AM14" s="30" t="inlineStr">
        <is>
          <t>2026-06-22</t>
        </is>
      </c>
      <c r="AN14" s="30" t="inlineStr">
        <is>
          <t>PLAN FILED (art. 53), not granted</t>
        </is>
      </c>
      <c r="AO14" s="32" t="inlineStr">
        <is>
          <t>5341375-33.2026.8.09.0049</t>
        </is>
      </c>
      <c r="AP14" s="32" t="inlineStr">
        <is>
          <t>TJGO</t>
        </is>
      </c>
      <c r="AQ14" s="32" t="inlineStr">
        <is>
          <t>Recuperação judicial</t>
        </is>
      </c>
      <c r="AR14" s="32" t="inlineStr">
        <is>
          <t>DataJud: no closure/falência movement</t>
        </is>
      </c>
      <c r="AS14" s="32" t="n">
        <v>2026</v>
      </c>
      <c r="AT14" s="32" t="inlineStr">
        <is>
          <t>plan filed (art. 53), not yet granted</t>
        </is>
      </c>
      <c r="AU14" s="32" t="inlineStr"/>
      <c r="AV14" s="32" t="inlineStr">
        <is>
          <t>printed on the list (read twice)</t>
        </is>
      </c>
      <c r="AW14" s="32" t="inlineStr">
        <is>
          <t>Plano de Recuperação Judicial Grupo 3E v2.0 (Métis), mov. 321, pp.24-25</t>
        </is>
      </c>
      <c r="AX14" s="32" t="inlineStr">
        <is>
          <t>BRASILIA</t>
        </is>
      </c>
      <c r="AY14" s="32" t="inlineStr">
        <is>
          <t>DF</t>
        </is>
      </c>
      <c r="AZ14" s="32" t="inlineStr">
        <is>
          <t>Bancos múltiplos, com carteira comercial</t>
        </is>
      </c>
      <c r="BA14" s="32" t="inlineStr">
        <is>
          <t>não ME/EPP</t>
        </is>
      </c>
      <c r="BB14" s="33" t="n">
        <v>120000000000</v>
      </c>
      <c r="BC14" s="32" t="inlineStr">
        <is>
          <t>LARGE CORP</t>
        </is>
      </c>
      <c r="BD14" s="32" t="inlineStr">
        <is>
          <t>00000000</t>
        </is>
      </c>
      <c r="BE14" s="32" t="n">
        <v>1</v>
      </c>
      <c r="BF14" s="32" t="inlineStr">
        <is>
          <t>financial by name list prints no totals</t>
        </is>
      </c>
    </row>
    <row r="15">
      <c r="A15" s="17" t="inlineStr">
        <is>
          <t>BANCO DO BRASIL SA</t>
        </is>
      </c>
      <c r="B15" s="18" t="n">
        <v>6252701.01</v>
      </c>
      <c r="C15" s="19" t="inlineStr">
        <is>
          <t>GRUPO CATTAN</t>
        </is>
      </c>
      <c r="D15" s="20" t="inlineStr">
        <is>
          <t>NEW</t>
        </is>
      </c>
      <c r="E15" s="21" t="inlineStr"/>
      <c r="F15" s="20" t="inlineStr"/>
      <c r="G15" s="21" t="inlineStr"/>
      <c r="H15" s="20" t="inlineStr"/>
      <c r="I15" s="22" t="inlineStr">
        <is>
          <t>Thiago Cavichioli</t>
        </is>
      </c>
      <c r="J15" s="22" t="inlineStr">
        <is>
          <t>Gerente de Cobrança e Recuperação de Crédito</t>
        </is>
      </c>
      <c r="K15" s="22" t="inlineStr">
        <is>
          <t>(61) 3493-9002</t>
        </is>
      </c>
      <c r="L15" s="22" t="inlineStr"/>
      <c r="M15" s="22" t="inlineStr"/>
      <c r="N15" s="22" t="inlineStr">
        <is>
          <t>thiago.cavichioli@bb.com.br</t>
        </is>
      </c>
      <c r="O15" s="22" t="inlineStr">
        <is>
          <t>verified</t>
        </is>
      </c>
      <c r="P15" s="22" t="inlineStr">
        <is>
          <t>Suelen Mondador</t>
        </is>
      </c>
      <c r="Q15" s="22" t="inlineStr">
        <is>
          <t>Gerente Especialista em Recuperação de Crédito</t>
        </is>
      </c>
      <c r="R15" s="22" t="inlineStr"/>
      <c r="S15" s="22" t="inlineStr">
        <is>
          <t>suelenmondador@bb.com.br</t>
        </is>
      </c>
      <c r="T15" s="22" t="inlineStr">
        <is>
          <t>DM: DM verified email; BACKUP: backup verified email</t>
        </is>
      </c>
      <c r="U15" s="24" t="n">
        <v>6252701.01</v>
      </c>
      <c r="V15" s="25" t="inlineStr">
        <is>
          <t>B</t>
        </is>
      </c>
      <c r="W15" s="26" t="inlineStr"/>
      <c r="X15" s="27" t="inlineStr"/>
      <c r="Y15" s="27" t="inlineStr"/>
      <c r="Z15" s="26">
        <f>IF(W15&lt;&gt;"",W15,IFERROR(VLOOKUP(V15,Assumptions!$A$8:$F$12,2,FALSE),0))</f>
        <v/>
      </c>
      <c r="AA15" s="28">
        <f>IF(V15="A",MAX(1,IF(X15&lt;&gt;"",X15,IFERROR(VLOOKUP(V15,Assumptions!$A$8:$F$12,3,FALSE),3))+IF(Y15&lt;&gt;"",Y15,IFERROR(VLOOKUP(V15,Assumptions!$A$8:$F$12,4,FALSE),8))/2-MAX(0,IF(AS15="",0,YEAR(TODAY())-AS15)-IFERROR(VLOOKUP(V15,Assumptions!$A$8:$F$12,5,FALSE),1.5))),IFERROR(VLOOKUP(V15,Assumptions!$A$8:$F$12,5,FALSE),2.5)+IF(X15&lt;&gt;"",X15,IFERROR(VLOOKUP(V15,Assumptions!$A$8:$F$12,3,FALSE),3))+IF(Y15&lt;&gt;"",Y15,IFERROR(VLOOKUP(V15,Assumptions!$A$8:$F$12,4,FALSE),8))/2)</f>
        <v/>
      </c>
      <c r="AB15" s="24">
        <f>U15*Z15/(1+Assumptions!$B$3)^AA15</f>
        <v/>
      </c>
      <c r="AC15" s="27">
        <f>IF(U15=0,"",ROUND(AB15/U15*100,1))</f>
        <v/>
      </c>
      <c r="AD15" s="29">
        <f>AB15*Assumptions!$B$4</f>
        <v/>
      </c>
      <c r="AE15" s="27">
        <f>IF(U15=0,"",ROUND(AD15/U15*100,1))</f>
        <v/>
      </c>
      <c r="AF15" s="29">
        <f>AB15-AD15</f>
        <v/>
      </c>
      <c r="AG15" s="27">
        <f>IF(U15=0,"",ROUND((AB15-AD15)/U15*100,1))</f>
        <v/>
      </c>
      <c r="AH15" s="35" t="inlineStr">
        <is>
          <t>PARTIAL — class III reconciled, other classes not</t>
        </is>
      </c>
      <c r="AI15" s="31" t="inlineStr">
        <is>
          <t>https://lrflideres.com.br/wp-content/plugins/download-attachments/includes/download.php?id=4023</t>
        </is>
      </c>
      <c r="AJ15" s="30" t="inlineStr">
        <is>
          <t>p4 r56; p7 r77; p8 r82; p9 r58</t>
        </is>
      </c>
      <c r="AK15" s="30" t="inlineStr">
        <is>
          <t>p4: R$ 1.137.317,04; p7: R$ 3.511.725,73; p8: R$ 1.400.000,00; p9: R$ 203.658,24</t>
        </is>
      </c>
      <c r="AL15" s="30" t="inlineStr">
        <is>
          <t>Debtor list (art. 51)</t>
        </is>
      </c>
      <c r="AM15" s="30" t="inlineStr"/>
      <c r="AN15" s="30" t="inlineStr">
        <is>
          <t>NONE FOUND</t>
        </is>
      </c>
      <c r="AO15" s="32" t="inlineStr">
        <is>
          <t>0002484-82.2022.8.17.2001</t>
        </is>
      </c>
      <c r="AP15" s="32" t="inlineStr">
        <is>
          <t>TJPE</t>
        </is>
      </c>
      <c r="AQ15" s="32" t="inlineStr">
        <is>
          <t>Recuperação judicial</t>
        </is>
      </c>
      <c r="AR15" s="32" t="inlineStr">
        <is>
          <t>DataJud: no closure/falência movement</t>
        </is>
      </c>
      <c r="AS15" s="32" t="n">
        <v>2022</v>
      </c>
      <c r="AT15" s="32" t="inlineStr">
        <is>
          <t>live case, no plan document yet</t>
        </is>
      </c>
      <c r="AU15" s="32" t="inlineStr"/>
      <c r="AV15" s="32" t="inlineStr">
        <is>
          <t>printed on the list (read twice)</t>
        </is>
      </c>
      <c r="AW15" s="32" t="inlineStr"/>
      <c r="AX15" s="32" t="inlineStr">
        <is>
          <t>BRASILIA</t>
        </is>
      </c>
      <c r="AY15" s="32" t="inlineStr">
        <is>
          <t>DF</t>
        </is>
      </c>
      <c r="AZ15" s="32" t="inlineStr">
        <is>
          <t>Bancos múltiplos, com carteira comercial</t>
        </is>
      </c>
      <c r="BA15" s="32" t="inlineStr">
        <is>
          <t>não ME/EPP</t>
        </is>
      </c>
      <c r="BB15" s="33" t="n">
        <v>120000000000</v>
      </c>
      <c r="BC15" s="32" t="inlineStr">
        <is>
          <t>LARGE CORP</t>
        </is>
      </c>
      <c r="BD15" s="32" t="inlineStr">
        <is>
          <t>00000000</t>
        </is>
      </c>
      <c r="BE15" s="32" t="n">
        <v>4</v>
      </c>
      <c r="BF15" s="32" t="inlineStr">
        <is>
          <t>financial by name class III reconciled (doc partial)</t>
        </is>
      </c>
    </row>
    <row r="16">
      <c r="A16" s="17" t="inlineStr">
        <is>
          <t>BANCO DO BRASIL SA</t>
        </is>
      </c>
      <c r="B16" s="18" t="n">
        <v>11716157.97</v>
      </c>
      <c r="C16" s="37" t="inlineStr">
        <is>
          <t>(debtor not identified — see proof)</t>
        </is>
      </c>
      <c r="D16" s="20" t="inlineStr">
        <is>
          <t>NEW</t>
        </is>
      </c>
      <c r="E16" s="21" t="inlineStr"/>
      <c r="F16" s="20" t="inlineStr"/>
      <c r="G16" s="21" t="inlineStr"/>
      <c r="H16" s="20" t="inlineStr"/>
      <c r="I16" s="22" t="inlineStr">
        <is>
          <t>Thiago Cavichioli</t>
        </is>
      </c>
      <c r="J16" s="22" t="inlineStr">
        <is>
          <t>Gerente de Cobrança e Recuperação de Crédito</t>
        </is>
      </c>
      <c r="K16" s="22" t="inlineStr">
        <is>
          <t>(61) 3493-9002</t>
        </is>
      </c>
      <c r="L16" s="22" t="inlineStr"/>
      <c r="M16" s="22" t="inlineStr"/>
      <c r="N16" s="22" t="inlineStr">
        <is>
          <t>thiago.cavichioli@bb.com.br</t>
        </is>
      </c>
      <c r="O16" s="22" t="inlineStr">
        <is>
          <t>verified</t>
        </is>
      </c>
      <c r="P16" s="22" t="inlineStr">
        <is>
          <t>Suelen Mondador</t>
        </is>
      </c>
      <c r="Q16" s="22" t="inlineStr">
        <is>
          <t>Gerente Especialista em Recuperação de Crédito</t>
        </is>
      </c>
      <c r="R16" s="22" t="inlineStr"/>
      <c r="S16" s="22" t="inlineStr">
        <is>
          <t>suelenmondador@bb.com.br</t>
        </is>
      </c>
      <c r="T16" s="22" t="inlineStr">
        <is>
          <t>DM: DM verified email; BACKUP: backup verified email</t>
        </is>
      </c>
      <c r="U16" s="24" t="n">
        <v>11716157.97</v>
      </c>
      <c r="V16" s="38" t="inlineStr">
        <is>
          <t>U</t>
        </is>
      </c>
      <c r="W16" s="26" t="inlineStr"/>
      <c r="X16" s="27" t="inlineStr"/>
      <c r="Y16" s="27" t="inlineStr"/>
      <c r="Z16" s="26">
        <f>IF(W16&lt;&gt;"",W16,IFERROR(VLOOKUP(V16,Assumptions!$A$8:$F$12,2,FALSE),0))</f>
        <v/>
      </c>
      <c r="AA16" s="28">
        <f>IF(V16="A",MAX(1,IF(X16&lt;&gt;"",X16,IFERROR(VLOOKUP(V16,Assumptions!$A$8:$F$12,3,FALSE),3))+IF(Y16&lt;&gt;"",Y16,IFERROR(VLOOKUP(V16,Assumptions!$A$8:$F$12,4,FALSE),8))/2-MAX(0,IF(AS16="",0,YEAR(TODAY())-AS16)-IFERROR(VLOOKUP(V16,Assumptions!$A$8:$F$12,5,FALSE),1.5))),IFERROR(VLOOKUP(V16,Assumptions!$A$8:$F$12,5,FALSE),2.5)+IF(X16&lt;&gt;"",X16,IFERROR(VLOOKUP(V16,Assumptions!$A$8:$F$12,3,FALSE),3))+IF(Y16&lt;&gt;"",Y16,IFERROR(VLOOKUP(V16,Assumptions!$A$8:$F$12,4,FALSE),8))/2)</f>
        <v/>
      </c>
      <c r="AB16" s="24">
        <f>U16*Z16/(1+Assumptions!$B$3)^AA16</f>
        <v/>
      </c>
      <c r="AC16" s="27">
        <f>IF(U16=0,"",ROUND(AB16/U16*100,1))</f>
        <v/>
      </c>
      <c r="AD16" s="29">
        <f>AB16*Assumptions!$B$4</f>
        <v/>
      </c>
      <c r="AE16" s="27">
        <f>IF(U16=0,"",ROUND(AD16/U16*100,1))</f>
        <v/>
      </c>
      <c r="AF16" s="29">
        <f>AB16-AD16</f>
        <v/>
      </c>
      <c r="AG16" s="27">
        <f>IF(U16=0,"",ROUND((AB16-AD16)/U16*100,1))</f>
        <v/>
      </c>
      <c r="AH16" s="30" t="inlineStr">
        <is>
          <t>OK — totals reconciled</t>
        </is>
      </c>
      <c r="AI16" s="31" t="inlineStr">
        <is>
          <t>https://ajruiz.com.br/sites/default/files/public/arquivos-processos/2023-11/4_relacao_de_credores_analitica_art._51_iii_da_lre.pdf</t>
        </is>
      </c>
      <c r="AJ16" s="30" t="inlineStr">
        <is>
          <t>p2 r13</t>
        </is>
      </c>
      <c r="AK16" s="30" t="inlineStr">
        <is>
          <t>p2: R$ 11.716.157,97</t>
        </is>
      </c>
      <c r="AL16" s="30" t="inlineStr">
        <is>
          <t>Unclassified list</t>
        </is>
      </c>
      <c r="AM16" s="30" t="inlineStr"/>
      <c r="AN16" s="30" t="inlineStr">
        <is>
          <t>NONE FOUND</t>
        </is>
      </c>
      <c r="AO16" s="32" t="inlineStr">
        <is>
          <t>(not printed)</t>
        </is>
      </c>
      <c r="AP16" s="32" t="inlineStr"/>
      <c r="AQ16" s="32" t="inlineStr"/>
      <c r="AR16" s="32" t="inlineStr"/>
      <c r="AS16" s="32" t="inlineStr"/>
      <c r="AT16" s="32" t="inlineStr">
        <is>
          <t>RJ case number not identified on the document</t>
        </is>
      </c>
      <c r="AU16" s="32" t="inlineStr"/>
      <c r="AV16" s="32" t="inlineStr">
        <is>
          <t>not identified</t>
        </is>
      </c>
      <c r="AW16" s="32" t="inlineStr"/>
      <c r="AX16" s="32" t="inlineStr">
        <is>
          <t>BRASILIA</t>
        </is>
      </c>
      <c r="AY16" s="32" t="inlineStr">
        <is>
          <t>DF</t>
        </is>
      </c>
      <c r="AZ16" s="32" t="inlineStr">
        <is>
          <t>Bancos múltiplos, com carteira comercial</t>
        </is>
      </c>
      <c r="BA16" s="32" t="inlineStr">
        <is>
          <t>não ME/EPP</t>
        </is>
      </c>
      <c r="BB16" s="33" t="n">
        <v>120000000000</v>
      </c>
      <c r="BC16" s="32" t="inlineStr">
        <is>
          <t>LARGE CORP</t>
        </is>
      </c>
      <c r="BD16" s="32" t="inlineStr">
        <is>
          <t>00000000</t>
        </is>
      </c>
      <c r="BE16" s="32" t="n">
        <v>1</v>
      </c>
      <c r="BF16" s="32" t="inlineStr">
        <is>
          <t>ALT_VALUE:BANCOS case no. corrected by reader</t>
        </is>
      </c>
    </row>
    <row r="17">
      <c r="A17" s="17" t="inlineStr">
        <is>
          <t>BANCO DO BRASIL SA</t>
        </is>
      </c>
      <c r="B17" s="18" t="n">
        <v>5925881.1</v>
      </c>
      <c r="C17" s="19" t="inlineStr">
        <is>
          <t>Grupo Agromeal</t>
        </is>
      </c>
      <c r="D17" s="20" t="inlineStr">
        <is>
          <t>NEW</t>
        </is>
      </c>
      <c r="E17" s="21" t="inlineStr"/>
      <c r="F17" s="20" t="inlineStr"/>
      <c r="G17" s="21" t="inlineStr"/>
      <c r="H17" s="20" t="inlineStr"/>
      <c r="I17" s="22" t="inlineStr">
        <is>
          <t>Thiago Cavichioli</t>
        </is>
      </c>
      <c r="J17" s="22" t="inlineStr">
        <is>
          <t>Gerente de Cobrança e Recuperação de Crédito</t>
        </is>
      </c>
      <c r="K17" s="22" t="inlineStr">
        <is>
          <t>(61) 3493-9002</t>
        </is>
      </c>
      <c r="L17" s="22" t="inlineStr"/>
      <c r="M17" s="22" t="inlineStr"/>
      <c r="N17" s="22" t="inlineStr">
        <is>
          <t>thiago.cavichioli@bb.com.br</t>
        </is>
      </c>
      <c r="O17" s="22" t="inlineStr">
        <is>
          <t>verified</t>
        </is>
      </c>
      <c r="P17" s="22" t="inlineStr">
        <is>
          <t>Suelen Mondador</t>
        </is>
      </c>
      <c r="Q17" s="22" t="inlineStr">
        <is>
          <t>Gerente Especialista em Recuperação de Crédito</t>
        </is>
      </c>
      <c r="R17" s="22" t="inlineStr"/>
      <c r="S17" s="22" t="inlineStr">
        <is>
          <t>suelenmondador@bb.com.br</t>
        </is>
      </c>
      <c r="T17" s="22" t="inlineStr">
        <is>
          <t>DM: DM verified email; BACKUP: backup verified email</t>
        </is>
      </c>
      <c r="U17" s="24" t="n">
        <v>5925881.1</v>
      </c>
      <c r="V17" s="25" t="inlineStr">
        <is>
          <t>B</t>
        </is>
      </c>
      <c r="W17" s="26" t="inlineStr"/>
      <c r="X17" s="27" t="inlineStr"/>
      <c r="Y17" s="27" t="inlineStr"/>
      <c r="Z17" s="26">
        <f>IF(W17&lt;&gt;"",W17,IFERROR(VLOOKUP(V17,Assumptions!$A$8:$F$12,2,FALSE),0))</f>
        <v/>
      </c>
      <c r="AA17" s="28">
        <f>IF(V17="A",MAX(1,IF(X17&lt;&gt;"",X17,IFERROR(VLOOKUP(V17,Assumptions!$A$8:$F$12,3,FALSE),3))+IF(Y17&lt;&gt;"",Y17,IFERROR(VLOOKUP(V17,Assumptions!$A$8:$F$12,4,FALSE),8))/2-MAX(0,IF(AS17="",0,YEAR(TODAY())-AS17)-IFERROR(VLOOKUP(V17,Assumptions!$A$8:$F$12,5,FALSE),1.5))),IFERROR(VLOOKUP(V17,Assumptions!$A$8:$F$12,5,FALSE),2.5)+IF(X17&lt;&gt;"",X17,IFERROR(VLOOKUP(V17,Assumptions!$A$8:$F$12,3,FALSE),3))+IF(Y17&lt;&gt;"",Y17,IFERROR(VLOOKUP(V17,Assumptions!$A$8:$F$12,4,FALSE),8))/2)</f>
        <v/>
      </c>
      <c r="AB17" s="24">
        <f>U17*Z17/(1+Assumptions!$B$3)^AA17</f>
        <v/>
      </c>
      <c r="AC17" s="27">
        <f>IF(U17=0,"",ROUND(AB17/U17*100,1))</f>
        <v/>
      </c>
      <c r="AD17" s="29">
        <f>AB17*Assumptions!$B$4</f>
        <v/>
      </c>
      <c r="AE17" s="27">
        <f>IF(U17=0,"",ROUND(AD17/U17*100,1))</f>
        <v/>
      </c>
      <c r="AF17" s="29">
        <f>AB17-AD17</f>
        <v/>
      </c>
      <c r="AG17" s="27">
        <f>IF(U17=0,"",ROUND((AB17-AD17)/U17*100,1))</f>
        <v/>
      </c>
      <c r="AH17" s="35" t="inlineStr">
        <is>
          <t>PARTIAL — class III reconciled, other classes not</t>
        </is>
      </c>
      <c r="AI17" s="31" t="inlineStr">
        <is>
          <t>https://marquesadmjudicial.com.br/sgc/download.php?file=files/processo_documento/processo_documento17040729052024_1_.pdf&amp;nome=Relação Nominal de Credores AJ-Sintética</t>
        </is>
      </c>
      <c r="AJ17" s="30" t="inlineStr">
        <is>
          <t>p10 r3</t>
        </is>
      </c>
      <c r="AK17" s="30" t="inlineStr">
        <is>
          <t>p10: R$ 5.925.881,10</t>
        </is>
      </c>
      <c r="AL17" s="30" t="inlineStr">
        <is>
          <t>AJ list (art. 7 §2)</t>
        </is>
      </c>
      <c r="AM17" s="30" t="inlineStr">
        <is>
          <t>2024-05-27</t>
        </is>
      </c>
      <c r="AN17" s="30" t="inlineStr">
        <is>
          <t>NONE FOUND</t>
        </is>
      </c>
      <c r="AO17" s="32" t="inlineStr">
        <is>
          <t>0003971-03.2023.8.16.0119</t>
        </is>
      </c>
      <c r="AP17" s="32" t="inlineStr">
        <is>
          <t>TJPR</t>
        </is>
      </c>
      <c r="AQ17" s="32" t="inlineStr">
        <is>
          <t>Recuperação judicial</t>
        </is>
      </c>
      <c r="AR17" s="32" t="inlineStr">
        <is>
          <t>DataJud: no closure/falência movement</t>
        </is>
      </c>
      <c r="AS17" s="32" t="n">
        <v>2023</v>
      </c>
      <c r="AT17" s="32" t="inlineStr">
        <is>
          <t>live case, no plan document yet</t>
        </is>
      </c>
      <c r="AU17" s="32" t="inlineStr">
        <is>
          <t>11.624.776/0001-07</t>
        </is>
      </c>
      <c r="AV17" s="32" t="inlineStr">
        <is>
          <t>printed on the list (read twice)</t>
        </is>
      </c>
      <c r="AW17" s="32" t="inlineStr"/>
      <c r="AX17" s="32" t="inlineStr">
        <is>
          <t>BRASILIA</t>
        </is>
      </c>
      <c r="AY17" s="32" t="inlineStr">
        <is>
          <t>DF</t>
        </is>
      </c>
      <c r="AZ17" s="32" t="inlineStr">
        <is>
          <t>Bancos múltiplos, com carteira comercial</t>
        </is>
      </c>
      <c r="BA17" s="32" t="inlineStr">
        <is>
          <t>não ME/EPP</t>
        </is>
      </c>
      <c r="BB17" s="33" t="n">
        <v>120000000000</v>
      </c>
      <c r="BC17" s="32" t="inlineStr">
        <is>
          <t>LARGE CORP</t>
        </is>
      </c>
      <c r="BD17" s="32" t="inlineStr">
        <is>
          <t>00000000</t>
        </is>
      </c>
      <c r="BE17" s="32" t="n">
        <v>1</v>
      </c>
      <c r="BF17" s="32" t="inlineStr">
        <is>
          <t>financial by name class III reconciled (doc partial)</t>
        </is>
      </c>
    </row>
    <row r="18">
      <c r="A18" s="17" t="inlineStr">
        <is>
          <t>BANCO DO NORDESTE DO BRASIL SA</t>
        </is>
      </c>
      <c r="B18" s="18" t="n">
        <v>5413142.01</v>
      </c>
      <c r="C18" s="19" t="inlineStr">
        <is>
          <t>Grupo Arruda (ARRUDA &amp; MELO REPRESENTACAO DE ALIMENTOS E BEBIDAS LTDA, ARRUDA &amp; MELO COMERCIO E DISTRIBUICAO DE ALIMENTOS E BEBIDAS LTDA, ARRUDA &amp; MELO COMERCIO E DISTRIBUICAO DE ALIMENTOS E BEBIDAS DA BAHIA LTDA)</t>
        </is>
      </c>
      <c r="D18" s="20" t="inlineStr">
        <is>
          <t>NEW</t>
        </is>
      </c>
      <c r="E18" s="21" t="inlineStr"/>
      <c r="F18" s="20" t="inlineStr"/>
      <c r="G18" s="21" t="inlineStr"/>
      <c r="H18" s="20" t="inlineStr"/>
      <c r="I18" s="22" t="inlineStr">
        <is>
          <t>Layslan Medeiros</t>
        </is>
      </c>
      <c r="J18" s="22" t="inlineStr">
        <is>
          <t>Gerente Executivo Operacional e de Recuperação de Crédito</t>
        </is>
      </c>
      <c r="K18" s="22" t="inlineStr">
        <is>
          <t>(85) 3299-3000</t>
        </is>
      </c>
      <c r="L18" s="22" t="inlineStr"/>
      <c r="M18" s="22" t="inlineStr"/>
      <c r="N18" s="22" t="inlineStr"/>
      <c r="O18" s="22" t="inlineStr"/>
      <c r="P18" s="22" t="inlineStr">
        <is>
          <t>Alexsander Farias</t>
        </is>
      </c>
      <c r="Q18" s="22" t="inlineStr">
        <is>
          <t>Gerente de Recuperação de Crédito</t>
        </is>
      </c>
      <c r="R18" s="22" t="inlineStr"/>
      <c r="S18" s="22" t="inlineStr">
        <is>
          <t>alexsander@bnb.gov.br</t>
        </is>
      </c>
      <c r="T18" s="22" t="inlineStr">
        <is>
          <t>DM: DM; no work email in Apollo for DM; BACKUP: backup</t>
        </is>
      </c>
      <c r="U18" s="24" t="n">
        <v>5413142.01</v>
      </c>
      <c r="V18" s="25" t="inlineStr">
        <is>
          <t>B</t>
        </is>
      </c>
      <c r="W18" s="26" t="inlineStr"/>
      <c r="X18" s="27" t="inlineStr"/>
      <c r="Y18" s="27" t="inlineStr"/>
      <c r="Z18" s="26">
        <f>IF(W18&lt;&gt;"",W18,IFERROR(VLOOKUP(V18,Assumptions!$A$8:$F$12,2,FALSE),0))</f>
        <v/>
      </c>
      <c r="AA18" s="28">
        <f>IF(V18="A",MAX(1,IF(X18&lt;&gt;"",X18,IFERROR(VLOOKUP(V18,Assumptions!$A$8:$F$12,3,FALSE),3))+IF(Y18&lt;&gt;"",Y18,IFERROR(VLOOKUP(V18,Assumptions!$A$8:$F$12,4,FALSE),8))/2-MAX(0,IF(AS18="",0,YEAR(TODAY())-AS18)-IFERROR(VLOOKUP(V18,Assumptions!$A$8:$F$12,5,FALSE),1.5))),IFERROR(VLOOKUP(V18,Assumptions!$A$8:$F$12,5,FALSE),2.5)+IF(X18&lt;&gt;"",X18,IFERROR(VLOOKUP(V18,Assumptions!$A$8:$F$12,3,FALSE),3))+IF(Y18&lt;&gt;"",Y18,IFERROR(VLOOKUP(V18,Assumptions!$A$8:$F$12,4,FALSE),8))/2)</f>
        <v/>
      </c>
      <c r="AB18" s="24">
        <f>U18*Z18/(1+Assumptions!$B$3)^AA18</f>
        <v/>
      </c>
      <c r="AC18" s="27">
        <f>IF(U18=0,"",ROUND(AB18/U18*100,1))</f>
        <v/>
      </c>
      <c r="AD18" s="29">
        <f>AB18*Assumptions!$B$4</f>
        <v/>
      </c>
      <c r="AE18" s="27">
        <f>IF(U18=0,"",ROUND(AD18/U18*100,1))</f>
        <v/>
      </c>
      <c r="AF18" s="29">
        <f>AB18-AD18</f>
        <v/>
      </c>
      <c r="AG18" s="27">
        <f>IF(U18=0,"",ROUND((AB18-AD18)/U18*100,1))</f>
        <v/>
      </c>
      <c r="AH18" s="30" t="inlineStr">
        <is>
          <t>OK — totals reconciled</t>
        </is>
      </c>
      <c r="AI18" s="31" t="inlineStr">
        <is>
          <t>https://diligence.adm.br/wp-content/uploads/2025/06/Edital-1a-Lista-de-Credores.pdf</t>
        </is>
      </c>
      <c r="AJ18" s="30" t="inlineStr">
        <is>
          <t>p5 r66</t>
        </is>
      </c>
      <c r="AK18" s="30" t="inlineStr">
        <is>
          <t>p5: R$ 5.413.142,01</t>
        </is>
      </c>
      <c r="AL18" s="30" t="inlineStr">
        <is>
          <t>Debtor list (art. 51)</t>
        </is>
      </c>
      <c r="AM18" s="30" t="inlineStr">
        <is>
          <t>2025-06-10</t>
        </is>
      </c>
      <c r="AN18" s="30" t="inlineStr">
        <is>
          <t>NONE FOUND</t>
        </is>
      </c>
      <c r="AO18" s="32" t="inlineStr">
        <is>
          <t>0008526-45.2025.8.17.2001</t>
        </is>
      </c>
      <c r="AP18" s="32" t="inlineStr">
        <is>
          <t>TJPE</t>
        </is>
      </c>
      <c r="AQ18" s="32" t="inlineStr">
        <is>
          <t>Recuperação judicial</t>
        </is>
      </c>
      <c r="AR18" s="32" t="inlineStr">
        <is>
          <t>DataJud: no closure/falência movement</t>
        </is>
      </c>
      <c r="AS18" s="32" t="n">
        <v>2025</v>
      </c>
      <c r="AT18" s="32" t="inlineStr">
        <is>
          <t>live case, no plan document yet</t>
        </is>
      </c>
      <c r="AU18" s="32" t="inlineStr"/>
      <c r="AV18" s="32" t="inlineStr">
        <is>
          <t>printed on the list (read twice)</t>
        </is>
      </c>
      <c r="AW18" s="32" t="inlineStr"/>
      <c r="AX18" s="32" t="inlineStr">
        <is>
          <t>FORTALEZA</t>
        </is>
      </c>
      <c r="AY18" s="32" t="inlineStr">
        <is>
          <t>CE</t>
        </is>
      </c>
      <c r="AZ18" s="32" t="inlineStr">
        <is>
          <t>Bancos múltiplos, com carteira comercial</t>
        </is>
      </c>
      <c r="BA18" s="32" t="inlineStr">
        <is>
          <t>não ME/EPP</t>
        </is>
      </c>
      <c r="BB18" s="33" t="n">
        <v>15139032000</v>
      </c>
      <c r="BC18" s="32" t="inlineStr">
        <is>
          <t>LARGE CORP</t>
        </is>
      </c>
      <c r="BD18" s="32" t="inlineStr">
        <is>
          <t>07237373</t>
        </is>
      </c>
      <c r="BE18" s="32" t="n">
        <v>1</v>
      </c>
      <c r="BF18" s="32" t="inlineStr">
        <is>
          <t>financial by name</t>
        </is>
      </c>
    </row>
    <row r="19">
      <c r="A19" s="17" t="inlineStr">
        <is>
          <t>CAIXA ECONOMICA FEDERAL</t>
        </is>
      </c>
      <c r="B19" s="18" t="n">
        <v>5341268.62</v>
      </c>
      <c r="C19" s="19" t="inlineStr">
        <is>
          <t>GRUPO DIAGSON</t>
        </is>
      </c>
      <c r="D19" s="20" t="inlineStr">
        <is>
          <t>NEW</t>
        </is>
      </c>
      <c r="E19" s="21" t="inlineStr"/>
      <c r="F19" s="20" t="inlineStr"/>
      <c r="G19" s="21" t="inlineStr"/>
      <c r="H19" s="20" t="inlineStr"/>
      <c r="I19" s="22" t="inlineStr">
        <is>
          <t>Livia Serikaku</t>
        </is>
      </c>
      <c r="J19" s="22" t="inlineStr">
        <is>
          <t>Gerente de Clientes e Negócios | Recuperação de Crédito</t>
        </is>
      </c>
      <c r="K19" s="22" t="inlineStr">
        <is>
          <t>(00) 4004-0104</t>
        </is>
      </c>
      <c r="L19" s="22" t="inlineStr"/>
      <c r="M19" s="22" t="inlineStr"/>
      <c r="N19" s="22" t="inlineStr"/>
      <c r="O19" s="22" t="inlineStr"/>
      <c r="P19" s="22" t="inlineStr">
        <is>
          <t>CARLOS ANTONIO VIEIRA FERNANDES</t>
        </is>
      </c>
      <c r="Q19" s="22" t="inlineStr">
        <is>
          <t>Presidente (RFB partner)</t>
        </is>
      </c>
      <c r="R19" s="22" t="inlineStr"/>
      <c r="S19" s="22" t="inlineStr"/>
      <c r="T19" s="22" t="inlineStr">
        <is>
          <t>DM: DM email unavailable; no work email in Apollo for DM</t>
        </is>
      </c>
      <c r="U19" s="24" t="n">
        <v>5341268.62</v>
      </c>
      <c r="V19" s="25" t="inlineStr">
        <is>
          <t>B</t>
        </is>
      </c>
      <c r="W19" s="26" t="inlineStr"/>
      <c r="X19" s="27" t="inlineStr"/>
      <c r="Y19" s="27" t="inlineStr"/>
      <c r="Z19" s="26">
        <f>IF(W19&lt;&gt;"",W19,IFERROR(VLOOKUP(V19,Assumptions!$A$8:$F$12,2,FALSE),0))</f>
        <v/>
      </c>
      <c r="AA19" s="28">
        <f>IF(V19="A",MAX(1,IF(X19&lt;&gt;"",X19,IFERROR(VLOOKUP(V19,Assumptions!$A$8:$F$12,3,FALSE),3))+IF(Y19&lt;&gt;"",Y19,IFERROR(VLOOKUP(V19,Assumptions!$A$8:$F$12,4,FALSE),8))/2-MAX(0,IF(AS19="",0,YEAR(TODAY())-AS19)-IFERROR(VLOOKUP(V19,Assumptions!$A$8:$F$12,5,FALSE),1.5))),IFERROR(VLOOKUP(V19,Assumptions!$A$8:$F$12,5,FALSE),2.5)+IF(X19&lt;&gt;"",X19,IFERROR(VLOOKUP(V19,Assumptions!$A$8:$F$12,3,FALSE),3))+IF(Y19&lt;&gt;"",Y19,IFERROR(VLOOKUP(V19,Assumptions!$A$8:$F$12,4,FALSE),8))/2)</f>
        <v/>
      </c>
      <c r="AB19" s="24">
        <f>U19*Z19/(1+Assumptions!$B$3)^AA19</f>
        <v/>
      </c>
      <c r="AC19" s="27">
        <f>IF(U19=0,"",ROUND(AB19/U19*100,1))</f>
        <v/>
      </c>
      <c r="AD19" s="29">
        <f>AB19*Assumptions!$B$4</f>
        <v/>
      </c>
      <c r="AE19" s="27">
        <f>IF(U19=0,"",ROUND(AD19/U19*100,1))</f>
        <v/>
      </c>
      <c r="AF19" s="29">
        <f>AB19-AD19</f>
        <v/>
      </c>
      <c r="AG19" s="27">
        <f>IF(U19=0,"",ROUND((AB19-AD19)/U19*100,1))</f>
        <v/>
      </c>
      <c r="AH19" s="35" t="inlineStr">
        <is>
          <t>PARTIAL — class III reconciled, other classes not</t>
        </is>
      </c>
      <c r="AI19" s="31" t="inlineStr">
        <is>
          <t>https://lrflideres.com.br/wp-content/plugins/download-attachments/includes/download.php?id=7418</t>
        </is>
      </c>
      <c r="AJ19" s="30" t="inlineStr">
        <is>
          <t>p2 r44</t>
        </is>
      </c>
      <c r="AK19" s="30" t="inlineStr">
        <is>
          <t>p2: R$ 5.341.268,62</t>
        </is>
      </c>
      <c r="AL19" s="30" t="inlineStr">
        <is>
          <t>Debtor list (art. 51)</t>
        </is>
      </c>
      <c r="AM19" s="30" t="inlineStr">
        <is>
          <t>2026-07-28</t>
        </is>
      </c>
      <c r="AN19" s="30" t="inlineStr">
        <is>
          <t>NONE FOUND</t>
        </is>
      </c>
      <c r="AO19" s="32" t="inlineStr">
        <is>
          <t>0822279-56.2026.8.15.2001</t>
        </is>
      </c>
      <c r="AP19" s="32" t="inlineStr">
        <is>
          <t>TJPB</t>
        </is>
      </c>
      <c r="AQ19" s="32" t="inlineStr">
        <is>
          <t>Recuperação judicial</t>
        </is>
      </c>
      <c r="AR19" s="32" t="inlineStr">
        <is>
          <t>DataJud: no closure/falência movement</t>
        </is>
      </c>
      <c r="AS19" s="32" t="n">
        <v>2026</v>
      </c>
      <c r="AT19" s="32" t="inlineStr">
        <is>
          <t>live case, no plan document yet</t>
        </is>
      </c>
      <c r="AU19" s="32" t="inlineStr">
        <is>
          <t>00.149.703/0001-86</t>
        </is>
      </c>
      <c r="AV19" s="32" t="inlineStr">
        <is>
          <t>printed on the list (read twice)</t>
        </is>
      </c>
      <c r="AW19" s="32" t="inlineStr"/>
      <c r="AX19" s="32" t="inlineStr">
        <is>
          <t>BRASILIA</t>
        </is>
      </c>
      <c r="AY19" s="32" t="inlineStr">
        <is>
          <t>DF</t>
        </is>
      </c>
      <c r="AZ19" s="32" t="inlineStr">
        <is>
          <t>Caixas econômicas</t>
        </is>
      </c>
      <c r="BA19" s="32" t="inlineStr">
        <is>
          <t>não ME/EPP</t>
        </is>
      </c>
      <c r="BB19" s="33" t="n">
        <v>105300000000</v>
      </c>
      <c r="BC19" s="32" t="inlineStr">
        <is>
          <t>LARGE CORP</t>
        </is>
      </c>
      <c r="BD19" s="32" t="inlineStr">
        <is>
          <t>00360305</t>
        </is>
      </c>
      <c r="BE19" s="32" t="n">
        <v>1</v>
      </c>
      <c r="BF19" s="32" t="inlineStr">
        <is>
          <t>financial by name class III reconciled (doc partial)</t>
        </is>
      </c>
    </row>
    <row r="20">
      <c r="A20" s="17" t="inlineStr">
        <is>
          <t>CAIXA ECONOMICA FEDERAL</t>
        </is>
      </c>
      <c r="B20" s="18" t="n">
        <v>4902057.29</v>
      </c>
      <c r="C20" s="19" t="inlineStr">
        <is>
          <t>GRUPO IMPLASVERDE</t>
        </is>
      </c>
      <c r="D20" s="20" t="inlineStr">
        <is>
          <t>NEW</t>
        </is>
      </c>
      <c r="E20" s="21" t="inlineStr"/>
      <c r="F20" s="20" t="inlineStr"/>
      <c r="G20" s="21" t="inlineStr"/>
      <c r="H20" s="20" t="inlineStr"/>
      <c r="I20" s="22" t="inlineStr">
        <is>
          <t>Livia Serikaku</t>
        </is>
      </c>
      <c r="J20" s="22" t="inlineStr">
        <is>
          <t>Gerente de Clientes e Negócios | Recuperação de Crédito</t>
        </is>
      </c>
      <c r="K20" s="22" t="inlineStr">
        <is>
          <t>(00) 4004-0104</t>
        </is>
      </c>
      <c r="L20" s="22" t="inlineStr"/>
      <c r="M20" s="22" t="inlineStr"/>
      <c r="N20" s="22" t="inlineStr"/>
      <c r="O20" s="22" t="inlineStr"/>
      <c r="P20" s="22" t="inlineStr">
        <is>
          <t>CARLOS ANTONIO VIEIRA FERNANDES</t>
        </is>
      </c>
      <c r="Q20" s="22" t="inlineStr">
        <is>
          <t>Presidente (RFB partner)</t>
        </is>
      </c>
      <c r="R20" s="22" t="inlineStr"/>
      <c r="S20" s="22" t="inlineStr"/>
      <c r="T20" s="22" t="inlineStr">
        <is>
          <t>DM: DM email unavailable; no work email in Apollo for DM</t>
        </is>
      </c>
      <c r="U20" s="24" t="n">
        <v>4902057.29</v>
      </c>
      <c r="V20" s="25" t="inlineStr">
        <is>
          <t>B</t>
        </is>
      </c>
      <c r="W20" s="26" t="inlineStr"/>
      <c r="X20" s="27" t="inlineStr"/>
      <c r="Y20" s="27" t="inlineStr"/>
      <c r="Z20" s="26">
        <f>IF(W20&lt;&gt;"",W20,IFERROR(VLOOKUP(V20,Assumptions!$A$8:$F$12,2,FALSE),0))</f>
        <v/>
      </c>
      <c r="AA20" s="28">
        <f>IF(V20="A",MAX(1,IF(X20&lt;&gt;"",X20,IFERROR(VLOOKUP(V20,Assumptions!$A$8:$F$12,3,FALSE),3))+IF(Y20&lt;&gt;"",Y20,IFERROR(VLOOKUP(V20,Assumptions!$A$8:$F$12,4,FALSE),8))/2-MAX(0,IF(AS20="",0,YEAR(TODAY())-AS20)-IFERROR(VLOOKUP(V20,Assumptions!$A$8:$F$12,5,FALSE),1.5))),IFERROR(VLOOKUP(V20,Assumptions!$A$8:$F$12,5,FALSE),2.5)+IF(X20&lt;&gt;"",X20,IFERROR(VLOOKUP(V20,Assumptions!$A$8:$F$12,3,FALSE),3))+IF(Y20&lt;&gt;"",Y20,IFERROR(VLOOKUP(V20,Assumptions!$A$8:$F$12,4,FALSE),8))/2)</f>
        <v/>
      </c>
      <c r="AB20" s="24">
        <f>U20*Z20/(1+Assumptions!$B$3)^AA20</f>
        <v/>
      </c>
      <c r="AC20" s="27">
        <f>IF(U20=0,"",ROUND(AB20/U20*100,1))</f>
        <v/>
      </c>
      <c r="AD20" s="29">
        <f>AB20*Assumptions!$B$4</f>
        <v/>
      </c>
      <c r="AE20" s="27">
        <f>IF(U20=0,"",ROUND(AD20/U20*100,1))</f>
        <v/>
      </c>
      <c r="AF20" s="29">
        <f>AB20-AD20</f>
        <v/>
      </c>
      <c r="AG20" s="27">
        <f>IF(U20=0,"",ROUND((AB20-AD20)/U20*100,1))</f>
        <v/>
      </c>
      <c r="AH20" s="30" t="inlineStr">
        <is>
          <t>OK — totals reconciled</t>
        </is>
      </c>
      <c r="AI20" s="31" t="inlineStr">
        <is>
          <t>http://recuperacaojudicial.squarespace.com/s/LISTA-DE-CREDORES-CONSOLIDADA-ATE-04102024.pdf</t>
        </is>
      </c>
      <c r="AJ20" s="30" t="inlineStr">
        <is>
          <t>p6 r10; p8 r10</t>
        </is>
      </c>
      <c r="AK20" s="30" t="inlineStr">
        <is>
          <t>p6: R$ 4.155.025,49; p8: R$ 747.031,80</t>
        </is>
      </c>
      <c r="AL20" s="30" t="inlineStr">
        <is>
          <t>AJ list (art. 7 §2)</t>
        </is>
      </c>
      <c r="AM20" s="30" t="inlineStr">
        <is>
          <t>2024-10-04</t>
        </is>
      </c>
      <c r="AN20" s="30" t="inlineStr">
        <is>
          <t>NONE FOUND</t>
        </is>
      </c>
      <c r="AO20" s="32" t="inlineStr">
        <is>
          <t>0800778-16.2023.8.20.5104</t>
        </is>
      </c>
      <c r="AP20" s="32" t="inlineStr">
        <is>
          <t>TJRN</t>
        </is>
      </c>
      <c r="AQ20" s="32" t="inlineStr">
        <is>
          <t>Recuperação judicial</t>
        </is>
      </c>
      <c r="AR20" s="32" t="inlineStr">
        <is>
          <t>DataJud: no closure/falência movement</t>
        </is>
      </c>
      <c r="AS20" s="32" t="n">
        <v>2023</v>
      </c>
      <c r="AT20" s="32" t="inlineStr">
        <is>
          <t>live case, no plan document yet</t>
        </is>
      </c>
      <c r="AU20" s="32" t="inlineStr"/>
      <c r="AV20" s="32" t="inlineStr">
        <is>
          <t>printed on the list (read twice)</t>
        </is>
      </c>
      <c r="AW20" s="32" t="inlineStr"/>
      <c r="AX20" s="32" t="inlineStr">
        <is>
          <t>BRASILIA</t>
        </is>
      </c>
      <c r="AY20" s="32" t="inlineStr">
        <is>
          <t>DF</t>
        </is>
      </c>
      <c r="AZ20" s="32" t="inlineStr">
        <is>
          <t>Caixas econômicas</t>
        </is>
      </c>
      <c r="BA20" s="32" t="inlineStr">
        <is>
          <t>não ME/EPP</t>
        </is>
      </c>
      <c r="BB20" s="33" t="n">
        <v>105300000000</v>
      </c>
      <c r="BC20" s="32" t="inlineStr">
        <is>
          <t>LARGE CORP</t>
        </is>
      </c>
      <c r="BD20" s="32" t="inlineStr">
        <is>
          <t>00360305</t>
        </is>
      </c>
      <c r="BE20" s="32" t="n">
        <v>2</v>
      </c>
      <c r="BF20" s="32" t="inlineStr">
        <is>
          <t>financial by name</t>
        </is>
      </c>
    </row>
    <row r="21">
      <c r="A21" s="17" t="inlineStr">
        <is>
          <t>BANCO DO BRASIL SA</t>
        </is>
      </c>
      <c r="B21" s="18" t="n">
        <v>4749717.54</v>
      </c>
      <c r="C21" s="19" t="inlineStr">
        <is>
          <t>GRUPO IMPLASVERDE</t>
        </is>
      </c>
      <c r="D21" s="20" t="inlineStr">
        <is>
          <t>NEW</t>
        </is>
      </c>
      <c r="E21" s="21" t="inlineStr"/>
      <c r="F21" s="20" t="inlineStr"/>
      <c r="G21" s="21" t="inlineStr"/>
      <c r="H21" s="20" t="inlineStr"/>
      <c r="I21" s="22" t="inlineStr">
        <is>
          <t>Thiago Cavichioli</t>
        </is>
      </c>
      <c r="J21" s="22" t="inlineStr">
        <is>
          <t>Gerente de Cobrança e Recuperação de Crédito</t>
        </is>
      </c>
      <c r="K21" s="22" t="inlineStr">
        <is>
          <t>(61) 3493-9002</t>
        </is>
      </c>
      <c r="L21" s="22" t="inlineStr"/>
      <c r="M21" s="22" t="inlineStr"/>
      <c r="N21" s="22" t="inlineStr">
        <is>
          <t>thiago.cavichioli@bb.com.br</t>
        </is>
      </c>
      <c r="O21" s="22" t="inlineStr">
        <is>
          <t>verified</t>
        </is>
      </c>
      <c r="P21" s="22" t="inlineStr">
        <is>
          <t>Suelen Mondador</t>
        </is>
      </c>
      <c r="Q21" s="22" t="inlineStr">
        <is>
          <t>Gerente Especialista em Recuperação de Crédito</t>
        </is>
      </c>
      <c r="R21" s="22" t="inlineStr"/>
      <c r="S21" s="22" t="inlineStr">
        <is>
          <t>suelenmondador@bb.com.br</t>
        </is>
      </c>
      <c r="T21" s="22" t="inlineStr">
        <is>
          <t>DM: DM verified email; BACKUP: backup verified email</t>
        </is>
      </c>
      <c r="U21" s="24" t="n">
        <v>4749717.54</v>
      </c>
      <c r="V21" s="25" t="inlineStr">
        <is>
          <t>B</t>
        </is>
      </c>
      <c r="W21" s="26" t="inlineStr"/>
      <c r="X21" s="27" t="inlineStr"/>
      <c r="Y21" s="27" t="inlineStr"/>
      <c r="Z21" s="26">
        <f>IF(W21&lt;&gt;"",W21,IFERROR(VLOOKUP(V21,Assumptions!$A$8:$F$12,2,FALSE),0))</f>
        <v/>
      </c>
      <c r="AA21" s="28">
        <f>IF(V21="A",MAX(1,IF(X21&lt;&gt;"",X21,IFERROR(VLOOKUP(V21,Assumptions!$A$8:$F$12,3,FALSE),3))+IF(Y21&lt;&gt;"",Y21,IFERROR(VLOOKUP(V21,Assumptions!$A$8:$F$12,4,FALSE),8))/2-MAX(0,IF(AS21="",0,YEAR(TODAY())-AS21)-IFERROR(VLOOKUP(V21,Assumptions!$A$8:$F$12,5,FALSE),1.5))),IFERROR(VLOOKUP(V21,Assumptions!$A$8:$F$12,5,FALSE),2.5)+IF(X21&lt;&gt;"",X21,IFERROR(VLOOKUP(V21,Assumptions!$A$8:$F$12,3,FALSE),3))+IF(Y21&lt;&gt;"",Y21,IFERROR(VLOOKUP(V21,Assumptions!$A$8:$F$12,4,FALSE),8))/2)</f>
        <v/>
      </c>
      <c r="AB21" s="24">
        <f>U21*Z21/(1+Assumptions!$B$3)^AA21</f>
        <v/>
      </c>
      <c r="AC21" s="27">
        <f>IF(U21=0,"",ROUND(AB21/U21*100,1))</f>
        <v/>
      </c>
      <c r="AD21" s="29">
        <f>AB21*Assumptions!$B$4</f>
        <v/>
      </c>
      <c r="AE21" s="27">
        <f>IF(U21=0,"",ROUND(AD21/U21*100,1))</f>
        <v/>
      </c>
      <c r="AF21" s="29">
        <f>AB21-AD21</f>
        <v/>
      </c>
      <c r="AG21" s="27">
        <f>IF(U21=0,"",ROUND((AB21-AD21)/U21*100,1))</f>
        <v/>
      </c>
      <c r="AH21" s="30" t="inlineStr">
        <is>
          <t>OK — totals reconciled</t>
        </is>
      </c>
      <c r="AI21" s="31" t="inlineStr">
        <is>
          <t>http://recuperacaojudicial.squarespace.com/s/LISTA-DE-CREDORES-CONSOLIDADA-ATE-04102024.pdf</t>
        </is>
      </c>
      <c r="AJ21" s="30" t="inlineStr">
        <is>
          <t>p6 r4; p8 r6</t>
        </is>
      </c>
      <c r="AK21" s="30" t="inlineStr">
        <is>
          <t>p6: R$ 3.894.882,35; p8: R$ 854.835,19</t>
        </is>
      </c>
      <c r="AL21" s="30" t="inlineStr">
        <is>
          <t>AJ list (art. 7 §2)</t>
        </is>
      </c>
      <c r="AM21" s="30" t="inlineStr">
        <is>
          <t>2024-10-04</t>
        </is>
      </c>
      <c r="AN21" s="30" t="inlineStr">
        <is>
          <t>NONE FOUND</t>
        </is>
      </c>
      <c r="AO21" s="32" t="inlineStr">
        <is>
          <t>0800778-16.2023.8.20.5104</t>
        </is>
      </c>
      <c r="AP21" s="32" t="inlineStr">
        <is>
          <t>TJRN</t>
        </is>
      </c>
      <c r="AQ21" s="32" t="inlineStr">
        <is>
          <t>Recuperação judicial</t>
        </is>
      </c>
      <c r="AR21" s="32" t="inlineStr">
        <is>
          <t>DataJud: no closure/falência movement</t>
        </is>
      </c>
      <c r="AS21" s="32" t="n">
        <v>2023</v>
      </c>
      <c r="AT21" s="32" t="inlineStr">
        <is>
          <t>live case, no plan document yet</t>
        </is>
      </c>
      <c r="AU21" s="32" t="inlineStr"/>
      <c r="AV21" s="32" t="inlineStr">
        <is>
          <t>printed on the list (read twice)</t>
        </is>
      </c>
      <c r="AW21" s="32" t="inlineStr"/>
      <c r="AX21" s="32" t="inlineStr">
        <is>
          <t>BRASILIA</t>
        </is>
      </c>
      <c r="AY21" s="32" t="inlineStr">
        <is>
          <t>DF</t>
        </is>
      </c>
      <c r="AZ21" s="32" t="inlineStr">
        <is>
          <t>Bancos múltiplos, com carteira comercial</t>
        </is>
      </c>
      <c r="BA21" s="32" t="inlineStr">
        <is>
          <t>não ME/EPP</t>
        </is>
      </c>
      <c r="BB21" s="33" t="n">
        <v>120000000000</v>
      </c>
      <c r="BC21" s="32" t="inlineStr">
        <is>
          <t>LARGE CORP</t>
        </is>
      </c>
      <c r="BD21" s="32" t="inlineStr">
        <is>
          <t>00000000</t>
        </is>
      </c>
      <c r="BE21" s="32" t="n">
        <v>2</v>
      </c>
      <c r="BF21" s="32" t="inlineStr">
        <is>
          <t>financial by name</t>
        </is>
      </c>
    </row>
    <row r="22">
      <c r="A22" s="17" t="inlineStr">
        <is>
          <t>BANCO DO BRASIL SA</t>
        </is>
      </c>
      <c r="B22" s="18" t="n">
        <v>4719186.39</v>
      </c>
      <c r="C22" s="19" t="inlineStr">
        <is>
          <t>GRUPO D&amp;D</t>
        </is>
      </c>
      <c r="D22" s="20" t="inlineStr">
        <is>
          <t>NEW</t>
        </is>
      </c>
      <c r="E22" s="21" t="inlineStr"/>
      <c r="F22" s="20" t="inlineStr"/>
      <c r="G22" s="21" t="inlineStr"/>
      <c r="H22" s="20" t="inlineStr"/>
      <c r="I22" s="22" t="inlineStr">
        <is>
          <t>Thiago Cavichioli</t>
        </is>
      </c>
      <c r="J22" s="22" t="inlineStr">
        <is>
          <t>Gerente de Cobrança e Recuperação de Crédito</t>
        </is>
      </c>
      <c r="K22" s="22" t="inlineStr">
        <is>
          <t>(61) 3493-9002</t>
        </is>
      </c>
      <c r="L22" s="22" t="inlineStr"/>
      <c r="M22" s="22" t="inlineStr"/>
      <c r="N22" s="22" t="inlineStr">
        <is>
          <t>thiago.cavichioli@bb.com.br</t>
        </is>
      </c>
      <c r="O22" s="22" t="inlineStr">
        <is>
          <t>verified</t>
        </is>
      </c>
      <c r="P22" s="22" t="inlineStr">
        <is>
          <t>Suelen Mondador</t>
        </is>
      </c>
      <c r="Q22" s="22" t="inlineStr">
        <is>
          <t>Gerente Especialista em Recuperação de Crédito</t>
        </is>
      </c>
      <c r="R22" s="22" t="inlineStr"/>
      <c r="S22" s="22" t="inlineStr">
        <is>
          <t>suelenmondador@bb.com.br</t>
        </is>
      </c>
      <c r="T22" s="22" t="inlineStr">
        <is>
          <t>DM: DM verified email; BACKUP: backup verified email</t>
        </is>
      </c>
      <c r="U22" s="24" t="n">
        <v>4719186.39</v>
      </c>
      <c r="V22" s="25" t="inlineStr">
        <is>
          <t>B</t>
        </is>
      </c>
      <c r="W22" s="26" t="inlineStr"/>
      <c r="X22" s="27" t="inlineStr"/>
      <c r="Y22" s="27" t="inlineStr"/>
      <c r="Z22" s="26">
        <f>IF(W22&lt;&gt;"",W22,IFERROR(VLOOKUP(V22,Assumptions!$A$8:$F$12,2,FALSE),0))</f>
        <v/>
      </c>
      <c r="AA22" s="28">
        <f>IF(V22="A",MAX(1,IF(X22&lt;&gt;"",X22,IFERROR(VLOOKUP(V22,Assumptions!$A$8:$F$12,3,FALSE),3))+IF(Y22&lt;&gt;"",Y22,IFERROR(VLOOKUP(V22,Assumptions!$A$8:$F$12,4,FALSE),8))/2-MAX(0,IF(AS22="",0,YEAR(TODAY())-AS22)-IFERROR(VLOOKUP(V22,Assumptions!$A$8:$F$12,5,FALSE),1.5))),IFERROR(VLOOKUP(V22,Assumptions!$A$8:$F$12,5,FALSE),2.5)+IF(X22&lt;&gt;"",X22,IFERROR(VLOOKUP(V22,Assumptions!$A$8:$F$12,3,FALSE),3))+IF(Y22&lt;&gt;"",Y22,IFERROR(VLOOKUP(V22,Assumptions!$A$8:$F$12,4,FALSE),8))/2)</f>
        <v/>
      </c>
      <c r="AB22" s="24">
        <f>U22*Z22/(1+Assumptions!$B$3)^AA22</f>
        <v/>
      </c>
      <c r="AC22" s="27">
        <f>IF(U22=0,"",ROUND(AB22/U22*100,1))</f>
        <v/>
      </c>
      <c r="AD22" s="29">
        <f>AB22*Assumptions!$B$4</f>
        <v/>
      </c>
      <c r="AE22" s="27">
        <f>IF(U22=0,"",ROUND(AD22/U22*100,1))</f>
        <v/>
      </c>
      <c r="AF22" s="29">
        <f>AB22-AD22</f>
        <v/>
      </c>
      <c r="AG22" s="27">
        <f>IF(U22=0,"",ROUND((AB22-AD22)/U22*100,1))</f>
        <v/>
      </c>
      <c r="AH22" s="35" t="inlineStr">
        <is>
          <t>PARTIAL — class III reconciled, other classes not</t>
        </is>
      </c>
      <c r="AI22" s="31" t="inlineStr">
        <is>
          <t>https://marquesadmjudicial.com.br/sgc/download.php?file=files/processo_documento/processo_documento20014127022025_1_.pdf&amp;nome=Relação Nominal de Credores</t>
        </is>
      </c>
      <c r="AJ22" s="30" t="inlineStr">
        <is>
          <t>p4 r8</t>
        </is>
      </c>
      <c r="AK22" s="30" t="inlineStr">
        <is>
          <t>p4: R$ 4.719.186,39</t>
        </is>
      </c>
      <c r="AL22" s="30" t="inlineStr">
        <is>
          <t>AJ list (art. 7 §2)</t>
        </is>
      </c>
      <c r="AM22" s="30" t="inlineStr">
        <is>
          <t>2024-11-08</t>
        </is>
      </c>
      <c r="AN22" s="30" t="inlineStr">
        <is>
          <t>NONE FOUND</t>
        </is>
      </c>
      <c r="AO22" s="32" t="inlineStr">
        <is>
          <t>0001943-40.2024.8.16.0115</t>
        </is>
      </c>
      <c r="AP22" s="32" t="inlineStr">
        <is>
          <t>TJPR</t>
        </is>
      </c>
      <c r="AQ22" s="32" t="inlineStr">
        <is>
          <t>Recuperação judicial</t>
        </is>
      </c>
      <c r="AR22" s="32" t="inlineStr">
        <is>
          <t>DataJud: no closure/falência movement</t>
        </is>
      </c>
      <c r="AS22" s="32" t="n">
        <v>2024</v>
      </c>
      <c r="AT22" s="32" t="inlineStr">
        <is>
          <t>live case, no plan document yet</t>
        </is>
      </c>
      <c r="AU22" s="32" t="inlineStr"/>
      <c r="AV22" s="32" t="inlineStr">
        <is>
          <t>printed on the list (read twice)</t>
        </is>
      </c>
      <c r="AW22" s="32" t="inlineStr"/>
      <c r="AX22" s="32" t="inlineStr">
        <is>
          <t>BRASILIA</t>
        </is>
      </c>
      <c r="AY22" s="32" t="inlineStr">
        <is>
          <t>DF</t>
        </is>
      </c>
      <c r="AZ22" s="32" t="inlineStr">
        <is>
          <t>Bancos múltiplos, com carteira comercial</t>
        </is>
      </c>
      <c r="BA22" s="32" t="inlineStr">
        <is>
          <t>não ME/EPP</t>
        </is>
      </c>
      <c r="BB22" s="33" t="n">
        <v>120000000000</v>
      </c>
      <c r="BC22" s="32" t="inlineStr">
        <is>
          <t>LARGE CORP</t>
        </is>
      </c>
      <c r="BD22" s="32" t="inlineStr">
        <is>
          <t>00000000</t>
        </is>
      </c>
      <c r="BE22" s="32" t="n">
        <v>1</v>
      </c>
      <c r="BF22" s="32" t="inlineStr">
        <is>
          <t>financial by name class III reconciled (doc partial)</t>
        </is>
      </c>
    </row>
    <row r="23">
      <c r="A23" s="17" t="inlineStr">
        <is>
          <t>CAIXA ECONOMICA FEDERAL</t>
        </is>
      </c>
      <c r="B23" s="18" t="n">
        <v>4585036.12</v>
      </c>
      <c r="C23" s="19" t="inlineStr">
        <is>
          <t>Grupo Conduscabos</t>
        </is>
      </c>
      <c r="D23" s="20" t="inlineStr">
        <is>
          <t>NEW</t>
        </is>
      </c>
      <c r="E23" s="21" t="inlineStr"/>
      <c r="F23" s="20" t="inlineStr"/>
      <c r="G23" s="21" t="inlineStr"/>
      <c r="H23" s="20" t="inlineStr"/>
      <c r="I23" s="22" t="inlineStr">
        <is>
          <t>Livia Serikaku</t>
        </is>
      </c>
      <c r="J23" s="22" t="inlineStr">
        <is>
          <t>Gerente de Clientes e Negócios | Recuperação de Crédito</t>
        </is>
      </c>
      <c r="K23" s="22" t="inlineStr">
        <is>
          <t>(00) 4004-0104</t>
        </is>
      </c>
      <c r="L23" s="22" t="inlineStr"/>
      <c r="M23" s="22" t="inlineStr"/>
      <c r="N23" s="22" t="inlineStr"/>
      <c r="O23" s="22" t="inlineStr"/>
      <c r="P23" s="22" t="inlineStr">
        <is>
          <t>CARLOS ANTONIO VIEIRA FERNANDES</t>
        </is>
      </c>
      <c r="Q23" s="22" t="inlineStr">
        <is>
          <t>Presidente (RFB partner)</t>
        </is>
      </c>
      <c r="R23" s="22" t="inlineStr"/>
      <c r="S23" s="22" t="inlineStr"/>
      <c r="T23" s="22" t="inlineStr">
        <is>
          <t>DM: DM email unavailable; no work email in Apollo for DM</t>
        </is>
      </c>
      <c r="U23" s="24" t="n">
        <v>4585036.12</v>
      </c>
      <c r="V23" s="25" t="inlineStr">
        <is>
          <t>B</t>
        </is>
      </c>
      <c r="W23" s="26" t="inlineStr"/>
      <c r="X23" s="27" t="inlineStr"/>
      <c r="Y23" s="27" t="inlineStr"/>
      <c r="Z23" s="26">
        <f>IF(W23&lt;&gt;"",W23,IFERROR(VLOOKUP(V23,Assumptions!$A$8:$F$12,2,FALSE),0))</f>
        <v/>
      </c>
      <c r="AA23" s="28">
        <f>IF(V23="A",MAX(1,IF(X23&lt;&gt;"",X23,IFERROR(VLOOKUP(V23,Assumptions!$A$8:$F$12,3,FALSE),3))+IF(Y23&lt;&gt;"",Y23,IFERROR(VLOOKUP(V23,Assumptions!$A$8:$F$12,4,FALSE),8))/2-MAX(0,IF(AS23="",0,YEAR(TODAY())-AS23)-IFERROR(VLOOKUP(V23,Assumptions!$A$8:$F$12,5,FALSE),1.5))),IFERROR(VLOOKUP(V23,Assumptions!$A$8:$F$12,5,FALSE),2.5)+IF(X23&lt;&gt;"",X23,IFERROR(VLOOKUP(V23,Assumptions!$A$8:$F$12,3,FALSE),3))+IF(Y23&lt;&gt;"",Y23,IFERROR(VLOOKUP(V23,Assumptions!$A$8:$F$12,4,FALSE),8))/2)</f>
        <v/>
      </c>
      <c r="AB23" s="24">
        <f>U23*Z23/(1+Assumptions!$B$3)^AA23</f>
        <v/>
      </c>
      <c r="AC23" s="27">
        <f>IF(U23=0,"",ROUND(AB23/U23*100,1))</f>
        <v/>
      </c>
      <c r="AD23" s="29">
        <f>AB23*Assumptions!$B$4</f>
        <v/>
      </c>
      <c r="AE23" s="27">
        <f>IF(U23=0,"",ROUND(AD23/U23*100,1))</f>
        <v/>
      </c>
      <c r="AF23" s="29">
        <f>AB23-AD23</f>
        <v/>
      </c>
      <c r="AG23" s="27">
        <f>IF(U23=0,"",ROUND((AB23-AD23)/U23*100,1))</f>
        <v/>
      </c>
      <c r="AH23" s="34" t="inlineStr">
        <is>
          <t>NO TOTALS — list prints none; check page</t>
        </is>
      </c>
      <c r="AI23" s="31" t="inlineStr">
        <is>
          <t>https://assistjud.com.br/wp-content/uploads/elementor/forms/65098c80a5824.pdf</t>
        </is>
      </c>
      <c r="AJ23" s="30" t="inlineStr">
        <is>
          <t>p6 r3; p17 r8</t>
        </is>
      </c>
      <c r="AK23" s="30" t="inlineStr">
        <is>
          <t>p6: R$ 2.911.118,12; p17: R$ 1.673.918,00</t>
        </is>
      </c>
      <c r="AL23" s="30" t="inlineStr">
        <is>
          <t>AJ list (art. 7 §2)</t>
        </is>
      </c>
      <c r="AM23" s="30" t="inlineStr">
        <is>
          <t>2023-09-18</t>
        </is>
      </c>
      <c r="AN23" s="30" t="inlineStr">
        <is>
          <t>NONE FOUND</t>
        </is>
      </c>
      <c r="AO23" s="32" t="inlineStr">
        <is>
          <t>8005129-09.2023.8.05.0039</t>
        </is>
      </c>
      <c r="AP23" s="32" t="inlineStr">
        <is>
          <t>TJBA</t>
        </is>
      </c>
      <c r="AQ23" s="32" t="inlineStr">
        <is>
          <t>Recuperação judicial</t>
        </is>
      </c>
      <c r="AR23" s="32" t="inlineStr">
        <is>
          <t>DataJud: no closure/falência movement</t>
        </is>
      </c>
      <c r="AS23" s="32" t="n">
        <v>2023</v>
      </c>
      <c r="AT23" s="32" t="inlineStr">
        <is>
          <t>live case, no plan document yet</t>
        </is>
      </c>
      <c r="AU23" s="32" t="inlineStr"/>
      <c r="AV23" s="32" t="inlineStr">
        <is>
          <t>printed on the list (read twice)</t>
        </is>
      </c>
      <c r="AW23" s="32" t="inlineStr"/>
      <c r="AX23" s="32" t="inlineStr">
        <is>
          <t>BRASILIA</t>
        </is>
      </c>
      <c r="AY23" s="32" t="inlineStr">
        <is>
          <t>DF</t>
        </is>
      </c>
      <c r="AZ23" s="32" t="inlineStr">
        <is>
          <t>Caixas econômicas</t>
        </is>
      </c>
      <c r="BA23" s="32" t="inlineStr">
        <is>
          <t>não ME/EPP</t>
        </is>
      </c>
      <c r="BB23" s="33" t="n">
        <v>105300000000</v>
      </c>
      <c r="BC23" s="32" t="inlineStr">
        <is>
          <t>LARGE CORP</t>
        </is>
      </c>
      <c r="BD23" s="32" t="inlineStr">
        <is>
          <t>00360305</t>
        </is>
      </c>
      <c r="BE23" s="32" t="n">
        <v>2</v>
      </c>
      <c r="BF23" s="32" t="inlineStr">
        <is>
          <t>financial by name list prints no totals</t>
        </is>
      </c>
    </row>
    <row r="24">
      <c r="A24" s="17" t="inlineStr">
        <is>
          <t>CAIXA ECONOMICA FEDERAL</t>
        </is>
      </c>
      <c r="B24" s="18" t="n">
        <v>4561019.96</v>
      </c>
      <c r="C24" s="19" t="inlineStr">
        <is>
          <t>GRUPO DIVINA</t>
        </is>
      </c>
      <c r="D24" s="20" t="inlineStr">
        <is>
          <t>NEW</t>
        </is>
      </c>
      <c r="E24" s="21" t="inlineStr"/>
      <c r="F24" s="20" t="inlineStr"/>
      <c r="G24" s="21" t="inlineStr"/>
      <c r="H24" s="20" t="inlineStr"/>
      <c r="I24" s="22" t="inlineStr">
        <is>
          <t>Livia Serikaku</t>
        </is>
      </c>
      <c r="J24" s="22" t="inlineStr">
        <is>
          <t>Gerente de Clientes e Negócios | Recuperação de Crédito</t>
        </is>
      </c>
      <c r="K24" s="22" t="inlineStr">
        <is>
          <t>(00) 4004-0104</t>
        </is>
      </c>
      <c r="L24" s="22" t="inlineStr"/>
      <c r="M24" s="22" t="inlineStr"/>
      <c r="N24" s="22" t="inlineStr"/>
      <c r="O24" s="22" t="inlineStr"/>
      <c r="P24" s="22" t="inlineStr">
        <is>
          <t>CARLOS ANTONIO VIEIRA FERNANDES</t>
        </is>
      </c>
      <c r="Q24" s="22" t="inlineStr">
        <is>
          <t>Presidente (RFB partner)</t>
        </is>
      </c>
      <c r="R24" s="22" t="inlineStr"/>
      <c r="S24" s="22" t="inlineStr"/>
      <c r="T24" s="22" t="inlineStr">
        <is>
          <t>DM: DM email unavailable; no work email in Apollo for DM</t>
        </is>
      </c>
      <c r="U24" s="24" t="n">
        <v>4561019.96</v>
      </c>
      <c r="V24" s="25" t="inlineStr">
        <is>
          <t>B</t>
        </is>
      </c>
      <c r="W24" s="26" t="inlineStr"/>
      <c r="X24" s="27" t="inlineStr"/>
      <c r="Y24" s="27" t="inlineStr"/>
      <c r="Z24" s="26">
        <f>IF(W24&lt;&gt;"",W24,IFERROR(VLOOKUP(V24,Assumptions!$A$8:$F$12,2,FALSE),0))</f>
        <v/>
      </c>
      <c r="AA24" s="28">
        <f>IF(V24="A",MAX(1,IF(X24&lt;&gt;"",X24,IFERROR(VLOOKUP(V24,Assumptions!$A$8:$F$12,3,FALSE),3))+IF(Y24&lt;&gt;"",Y24,IFERROR(VLOOKUP(V24,Assumptions!$A$8:$F$12,4,FALSE),8))/2-MAX(0,IF(AS24="",0,YEAR(TODAY())-AS24)-IFERROR(VLOOKUP(V24,Assumptions!$A$8:$F$12,5,FALSE),1.5))),IFERROR(VLOOKUP(V24,Assumptions!$A$8:$F$12,5,FALSE),2.5)+IF(X24&lt;&gt;"",X24,IFERROR(VLOOKUP(V24,Assumptions!$A$8:$F$12,3,FALSE),3))+IF(Y24&lt;&gt;"",Y24,IFERROR(VLOOKUP(V24,Assumptions!$A$8:$F$12,4,FALSE),8))/2)</f>
        <v/>
      </c>
      <c r="AB24" s="24">
        <f>U24*Z24/(1+Assumptions!$B$3)^AA24</f>
        <v/>
      </c>
      <c r="AC24" s="27">
        <f>IF(U24=0,"",ROUND(AB24/U24*100,1))</f>
        <v/>
      </c>
      <c r="AD24" s="29">
        <f>AB24*Assumptions!$B$4</f>
        <v/>
      </c>
      <c r="AE24" s="27">
        <f>IF(U24=0,"",ROUND(AD24/U24*100,1))</f>
        <v/>
      </c>
      <c r="AF24" s="29">
        <f>AB24-AD24</f>
        <v/>
      </c>
      <c r="AG24" s="27">
        <f>IF(U24=0,"",ROUND((AB24-AD24)/U24*100,1))</f>
        <v/>
      </c>
      <c r="AH24" s="35" t="inlineStr">
        <is>
          <t>PARTIAL — class III reconciled, other classes not</t>
        </is>
      </c>
      <c r="AI24" s="31" t="inlineStr">
        <is>
          <t>https://lrflideres.com.br/wp-content/plugins/download-attachments/includes/download.php?id=6252</t>
        </is>
      </c>
      <c r="AJ24" s="30" t="inlineStr">
        <is>
          <t>p2 r15; p2 r24</t>
        </is>
      </c>
      <c r="AK24" s="30" t="inlineStr">
        <is>
          <t>p2: R$ 3.112.473,02; p2: R$ 1.448.546,94</t>
        </is>
      </c>
      <c r="AL24" s="30" t="inlineStr">
        <is>
          <t>AJ list (art. 7 §2)</t>
        </is>
      </c>
      <c r="AM24" s="30" t="inlineStr">
        <is>
          <t>2024-11-27</t>
        </is>
      </c>
      <c r="AN24" s="30" t="inlineStr">
        <is>
          <t>NONE FOUND</t>
        </is>
      </c>
      <c r="AO24" s="32" t="inlineStr">
        <is>
          <t>0000721-61.2024.8.17.2620</t>
        </is>
      </c>
      <c r="AP24" s="32" t="inlineStr">
        <is>
          <t>TJPE</t>
        </is>
      </c>
      <c r="AQ24" s="32" t="inlineStr">
        <is>
          <t>Recuperação judicial</t>
        </is>
      </c>
      <c r="AR24" s="32" t="inlineStr">
        <is>
          <t>DataJud: no closure/falência movement</t>
        </is>
      </c>
      <c r="AS24" s="32" t="n">
        <v>2024</v>
      </c>
      <c r="AT24" s="32" t="inlineStr">
        <is>
          <t>live case, no plan document yet</t>
        </is>
      </c>
      <c r="AU24" s="32" t="inlineStr">
        <is>
          <t>08.785.522/0001-58</t>
        </is>
      </c>
      <c r="AV24" s="32" t="inlineStr">
        <is>
          <t>printed on the list (read twice)</t>
        </is>
      </c>
      <c r="AW24" s="32" t="inlineStr"/>
      <c r="AX24" s="32" t="inlineStr">
        <is>
          <t>BRASILIA</t>
        </is>
      </c>
      <c r="AY24" s="32" t="inlineStr">
        <is>
          <t>DF</t>
        </is>
      </c>
      <c r="AZ24" s="32" t="inlineStr">
        <is>
          <t>Caixas econômicas</t>
        </is>
      </c>
      <c r="BA24" s="32" t="inlineStr">
        <is>
          <t>não ME/EPP</t>
        </is>
      </c>
      <c r="BB24" s="33" t="n">
        <v>105300000000</v>
      </c>
      <c r="BC24" s="32" t="inlineStr">
        <is>
          <t>LARGE CORP</t>
        </is>
      </c>
      <c r="BD24" s="32" t="inlineStr">
        <is>
          <t>00360305</t>
        </is>
      </c>
      <c r="BE24" s="32" t="n">
        <v>2</v>
      </c>
      <c r="BF24" s="32" t="inlineStr">
        <is>
          <t>financial by name class III reconciled (doc partial)</t>
        </is>
      </c>
    </row>
    <row r="25">
      <c r="A25" s="17" t="inlineStr">
        <is>
          <t>CAIXA ECONOMICA FEDERAL</t>
        </is>
      </c>
      <c r="B25" s="18" t="n">
        <v>4362147.27</v>
      </c>
      <c r="C25" s="19" t="inlineStr">
        <is>
          <t>REAL DISTRIBUIDORA ÚNICA RIO COMÉRCIO DE REFRIGERAÇÃO LTDA.</t>
        </is>
      </c>
      <c r="D25" s="20" t="inlineStr">
        <is>
          <t>NEW</t>
        </is>
      </c>
      <c r="E25" s="21" t="inlineStr"/>
      <c r="F25" s="20" t="inlineStr"/>
      <c r="G25" s="21" t="inlineStr"/>
      <c r="H25" s="20" t="inlineStr"/>
      <c r="I25" s="22" t="inlineStr">
        <is>
          <t>Livia Serikaku</t>
        </is>
      </c>
      <c r="J25" s="22" t="inlineStr">
        <is>
          <t>Gerente de Clientes e Negócios | Recuperação de Crédito</t>
        </is>
      </c>
      <c r="K25" s="22" t="inlineStr">
        <is>
          <t>(00) 4004-0104</t>
        </is>
      </c>
      <c r="L25" s="22" t="inlineStr"/>
      <c r="M25" s="22" t="inlineStr"/>
      <c r="N25" s="22" t="inlineStr"/>
      <c r="O25" s="22" t="inlineStr"/>
      <c r="P25" s="22" t="inlineStr">
        <is>
          <t>CARLOS ANTONIO VIEIRA FERNANDES</t>
        </is>
      </c>
      <c r="Q25" s="22" t="inlineStr">
        <is>
          <t>Presidente (RFB partner)</t>
        </is>
      </c>
      <c r="R25" s="22" t="inlineStr"/>
      <c r="S25" s="22" t="inlineStr"/>
      <c r="T25" s="22" t="inlineStr">
        <is>
          <t>DM: DM email unavailable; no work email in Apollo for DM</t>
        </is>
      </c>
      <c r="U25" s="24" t="n">
        <v>4362147.27</v>
      </c>
      <c r="V25" s="25" t="inlineStr">
        <is>
          <t>B</t>
        </is>
      </c>
      <c r="W25" s="26" t="inlineStr"/>
      <c r="X25" s="27" t="inlineStr"/>
      <c r="Y25" s="27" t="inlineStr"/>
      <c r="Z25" s="26">
        <f>IF(W25&lt;&gt;"",W25,IFERROR(VLOOKUP(V25,Assumptions!$A$8:$F$12,2,FALSE),0))</f>
        <v/>
      </c>
      <c r="AA25" s="28">
        <f>IF(V25="A",MAX(1,IF(X25&lt;&gt;"",X25,IFERROR(VLOOKUP(V25,Assumptions!$A$8:$F$12,3,FALSE),3))+IF(Y25&lt;&gt;"",Y25,IFERROR(VLOOKUP(V25,Assumptions!$A$8:$F$12,4,FALSE),8))/2-MAX(0,IF(AS25="",0,YEAR(TODAY())-AS25)-IFERROR(VLOOKUP(V25,Assumptions!$A$8:$F$12,5,FALSE),1.5))),IFERROR(VLOOKUP(V25,Assumptions!$A$8:$F$12,5,FALSE),2.5)+IF(X25&lt;&gt;"",X25,IFERROR(VLOOKUP(V25,Assumptions!$A$8:$F$12,3,FALSE),3))+IF(Y25&lt;&gt;"",Y25,IFERROR(VLOOKUP(V25,Assumptions!$A$8:$F$12,4,FALSE),8))/2)</f>
        <v/>
      </c>
      <c r="AB25" s="24">
        <f>U25*Z25/(1+Assumptions!$B$3)^AA25</f>
        <v/>
      </c>
      <c r="AC25" s="27">
        <f>IF(U25=0,"",ROUND(AB25/U25*100,1))</f>
        <v/>
      </c>
      <c r="AD25" s="29">
        <f>AB25*Assumptions!$B$4</f>
        <v/>
      </c>
      <c r="AE25" s="27">
        <f>IF(U25=0,"",ROUND(AD25/U25*100,1))</f>
        <v/>
      </c>
      <c r="AF25" s="29">
        <f>AB25-AD25</f>
        <v/>
      </c>
      <c r="AG25" s="27">
        <f>IF(U25=0,"",ROUND((AB25-AD25)/U25*100,1))</f>
        <v/>
      </c>
      <c r="AH25" s="30" t="inlineStr">
        <is>
          <t>OK — totals reconciled</t>
        </is>
      </c>
      <c r="AI25" s="31" t="inlineStr">
        <is>
          <t>https://inova-aj.com.br/wp-content/uploads/2026/08/1a-Relacao-de-Credores-Real.pdf</t>
        </is>
      </c>
      <c r="AJ25" s="30" t="inlineStr">
        <is>
          <t>p1 r19</t>
        </is>
      </c>
      <c r="AK25" s="30" t="inlineStr">
        <is>
          <t>p1: R$ 4.362.147,27</t>
        </is>
      </c>
      <c r="AL25" s="30" t="inlineStr">
        <is>
          <t>AJ list (art. 7 §2)</t>
        </is>
      </c>
      <c r="AM25" s="30" t="inlineStr">
        <is>
          <t>2023-06-05</t>
        </is>
      </c>
      <c r="AN25" s="30" t="inlineStr">
        <is>
          <t>NONE FOUND</t>
        </is>
      </c>
      <c r="AO25" s="32" t="inlineStr">
        <is>
          <t>0873061-47.2023.8.19.0001</t>
        </is>
      </c>
      <c r="AP25" s="32" t="inlineStr">
        <is>
          <t>TJRJ</t>
        </is>
      </c>
      <c r="AQ25" s="32" t="inlineStr">
        <is>
          <t>Recuperação judicial</t>
        </is>
      </c>
      <c r="AR25" s="32" t="inlineStr">
        <is>
          <t>not in DataJud</t>
        </is>
      </c>
      <c r="AS25" s="32" t="n">
        <v>2023</v>
      </c>
      <c r="AT25" s="32" t="inlineStr">
        <is>
          <t>live case, no plan document yet; case no. from the portal record, not printed on the list</t>
        </is>
      </c>
      <c r="AU25" s="32" t="inlineStr"/>
      <c r="AV25" s="32" t="inlineStr">
        <is>
          <t>printed on the list (read twice)</t>
        </is>
      </c>
      <c r="AW25" s="32" t="inlineStr"/>
      <c r="AX25" s="32" t="inlineStr">
        <is>
          <t>BRASILIA</t>
        </is>
      </c>
      <c r="AY25" s="32" t="inlineStr">
        <is>
          <t>DF</t>
        </is>
      </c>
      <c r="AZ25" s="32" t="inlineStr">
        <is>
          <t>Caixas econômicas</t>
        </is>
      </c>
      <c r="BA25" s="32" t="inlineStr">
        <is>
          <t>não ME/EPP</t>
        </is>
      </c>
      <c r="BB25" s="33" t="n">
        <v>105300000000</v>
      </c>
      <c r="BC25" s="32" t="inlineStr">
        <is>
          <t>LARGE CORP</t>
        </is>
      </c>
      <c r="BD25" s="32" t="inlineStr">
        <is>
          <t>00360305</t>
        </is>
      </c>
      <c r="BE25" s="32" t="n">
        <v>1</v>
      </c>
      <c r="BF25" s="32" t="inlineStr">
        <is>
          <t>ALT_VALUE:R$3.171.752,40</t>
        </is>
      </c>
    </row>
    <row r="26">
      <c r="A26" s="17" t="inlineStr">
        <is>
          <t>CAIXA ECONOMICA FEDERAL</t>
        </is>
      </c>
      <c r="B26" s="18" t="n">
        <v>4312799.65</v>
      </c>
      <c r="C26" s="19" t="inlineStr">
        <is>
          <t>Cerealista Safrasul Ltda</t>
        </is>
      </c>
      <c r="D26" s="20" t="inlineStr">
        <is>
          <t>NEW</t>
        </is>
      </c>
      <c r="E26" s="21" t="inlineStr"/>
      <c r="F26" s="20" t="inlineStr"/>
      <c r="G26" s="21" t="inlineStr"/>
      <c r="H26" s="20" t="inlineStr"/>
      <c r="I26" s="22" t="inlineStr">
        <is>
          <t>Livia Serikaku</t>
        </is>
      </c>
      <c r="J26" s="22" t="inlineStr">
        <is>
          <t>Gerente de Clientes e Negócios | Recuperação de Crédito</t>
        </is>
      </c>
      <c r="K26" s="22" t="inlineStr">
        <is>
          <t>(00) 4004-0104</t>
        </is>
      </c>
      <c r="L26" s="22" t="inlineStr"/>
      <c r="M26" s="22" t="inlineStr"/>
      <c r="N26" s="22" t="inlineStr"/>
      <c r="O26" s="22" t="inlineStr"/>
      <c r="P26" s="22" t="inlineStr">
        <is>
          <t>CARLOS ANTONIO VIEIRA FERNANDES</t>
        </is>
      </c>
      <c r="Q26" s="22" t="inlineStr">
        <is>
          <t>Presidente (RFB partner)</t>
        </is>
      </c>
      <c r="R26" s="22" t="inlineStr"/>
      <c r="S26" s="22" t="inlineStr"/>
      <c r="T26" s="22" t="inlineStr">
        <is>
          <t>DM: DM email unavailable; no work email in Apollo for DM</t>
        </is>
      </c>
      <c r="U26" s="24" t="n">
        <v>4312799.65</v>
      </c>
      <c r="V26" s="25" t="inlineStr">
        <is>
          <t>B</t>
        </is>
      </c>
      <c r="W26" s="26" t="inlineStr"/>
      <c r="X26" s="27" t="inlineStr"/>
      <c r="Y26" s="27" t="inlineStr"/>
      <c r="Z26" s="26">
        <f>IF(W26&lt;&gt;"",W26,IFERROR(VLOOKUP(V26,Assumptions!$A$8:$F$12,2,FALSE),0))</f>
        <v/>
      </c>
      <c r="AA26" s="28">
        <f>IF(V26="A",MAX(1,IF(X26&lt;&gt;"",X26,IFERROR(VLOOKUP(V26,Assumptions!$A$8:$F$12,3,FALSE),3))+IF(Y26&lt;&gt;"",Y26,IFERROR(VLOOKUP(V26,Assumptions!$A$8:$F$12,4,FALSE),8))/2-MAX(0,IF(AS26="",0,YEAR(TODAY())-AS26)-IFERROR(VLOOKUP(V26,Assumptions!$A$8:$F$12,5,FALSE),1.5))),IFERROR(VLOOKUP(V26,Assumptions!$A$8:$F$12,5,FALSE),2.5)+IF(X26&lt;&gt;"",X26,IFERROR(VLOOKUP(V26,Assumptions!$A$8:$F$12,3,FALSE),3))+IF(Y26&lt;&gt;"",Y26,IFERROR(VLOOKUP(V26,Assumptions!$A$8:$F$12,4,FALSE),8))/2)</f>
        <v/>
      </c>
      <c r="AB26" s="24">
        <f>U26*Z26/(1+Assumptions!$B$3)^AA26</f>
        <v/>
      </c>
      <c r="AC26" s="27">
        <f>IF(U26=0,"",ROUND(AB26/U26*100,1))</f>
        <v/>
      </c>
      <c r="AD26" s="29">
        <f>AB26*Assumptions!$B$4</f>
        <v/>
      </c>
      <c r="AE26" s="27">
        <f>IF(U26=0,"",ROUND(AD26/U26*100,1))</f>
        <v/>
      </c>
      <c r="AF26" s="29">
        <f>AB26-AD26</f>
        <v/>
      </c>
      <c r="AG26" s="27">
        <f>IF(U26=0,"",ROUND((AB26-AD26)/U26*100,1))</f>
        <v/>
      </c>
      <c r="AH26" s="34" t="inlineStr">
        <is>
          <t>NO TOTALS — list prints none; check page</t>
        </is>
      </c>
      <c r="AI26" s="31" t="inlineStr">
        <is>
          <t>https://ajruiz.com.br/sites/default/files/public/arquivos-processos/2026-01/safrasul_relacao_de_credores_recuperanda.pdf</t>
        </is>
      </c>
      <c r="AJ26" s="30" t="inlineStr">
        <is>
          <t>p8 r20</t>
        </is>
      </c>
      <c r="AK26" s="30" t="inlineStr">
        <is>
          <t>p8: R$ 4.312.799,65</t>
        </is>
      </c>
      <c r="AL26" s="30" t="inlineStr">
        <is>
          <t>AJ list (art. 7 §2)</t>
        </is>
      </c>
      <c r="AM26" s="30" t="inlineStr">
        <is>
          <t>2026-01-14</t>
        </is>
      </c>
      <c r="AN26" s="30" t="inlineStr">
        <is>
          <t>NONE FOUND</t>
        </is>
      </c>
      <c r="AO26" s="32" t="inlineStr">
        <is>
          <t>4000167-23.2025.8.26.0373</t>
        </is>
      </c>
      <c r="AP26" s="32" t="inlineStr">
        <is>
          <t>TJSP</t>
        </is>
      </c>
      <c r="AQ26" s="32" t="inlineStr">
        <is>
          <t>Recuperação judicial</t>
        </is>
      </c>
      <c r="AR26" s="32" t="inlineStr">
        <is>
          <t>DataJud: no closure/falência movement</t>
        </is>
      </c>
      <c r="AS26" s="32" t="n">
        <v>2025</v>
      </c>
      <c r="AT26" s="32" t="inlineStr">
        <is>
          <t>live case, no plan document yet</t>
        </is>
      </c>
      <c r="AU26" s="32" t="inlineStr"/>
      <c r="AV26" s="32" t="inlineStr">
        <is>
          <t>printed on the list (read twice)</t>
        </is>
      </c>
      <c r="AW26" s="32" t="inlineStr"/>
      <c r="AX26" s="32" t="inlineStr">
        <is>
          <t>BRASILIA</t>
        </is>
      </c>
      <c r="AY26" s="32" t="inlineStr">
        <is>
          <t>DF</t>
        </is>
      </c>
      <c r="AZ26" s="32" t="inlineStr">
        <is>
          <t>Caixas econômicas</t>
        </is>
      </c>
      <c r="BA26" s="32" t="inlineStr">
        <is>
          <t>não ME/EPP</t>
        </is>
      </c>
      <c r="BB26" s="33" t="n">
        <v>105300000000</v>
      </c>
      <c r="BC26" s="32" t="inlineStr">
        <is>
          <t>LARGE CORP</t>
        </is>
      </c>
      <c r="BD26" s="32" t="inlineStr">
        <is>
          <t>00360305</t>
        </is>
      </c>
      <c r="BE26" s="32" t="n">
        <v>1</v>
      </c>
      <c r="BF26" s="32" t="inlineStr">
        <is>
          <t>financial by name list prints no totals</t>
        </is>
      </c>
    </row>
    <row r="27">
      <c r="A27" s="17" t="inlineStr">
        <is>
          <t>COMPANHIA DE AGUA E ESGOTOS DA PARAIBA CAGEPA</t>
        </is>
      </c>
      <c r="B27" s="18" t="n">
        <v>3641949.67</v>
      </c>
      <c r="C27" s="19" t="inlineStr">
        <is>
          <t>TREZE FUTEBOL CLUBE</t>
        </is>
      </c>
      <c r="D27" s="20" t="inlineStr">
        <is>
          <t>NEW</t>
        </is>
      </c>
      <c r="E27" s="21" t="inlineStr"/>
      <c r="F27" s="20" t="inlineStr"/>
      <c r="G27" s="21" t="inlineStr"/>
      <c r="H27" s="20" t="inlineStr"/>
      <c r="I27" s="22" t="inlineStr">
        <is>
          <t>Dilvany Marcos</t>
        </is>
      </c>
      <c r="J27" s="22" t="inlineStr">
        <is>
          <t>Subgerencia de Cobranças de Órg. Públicos</t>
        </is>
      </c>
      <c r="K27" s="22" t="inlineStr">
        <is>
          <t>(83) 3218-1200</t>
        </is>
      </c>
      <c r="L27" s="22" t="inlineStr">
        <is>
          <t>(83) 3218-1225</t>
        </is>
      </c>
      <c r="M27" s="22" t="inlineStr"/>
      <c r="N27" s="22" t="inlineStr"/>
      <c r="O27" s="22" t="inlineStr"/>
      <c r="P27" s="22" t="inlineStr">
        <is>
          <t>Alecsandro Gomes</t>
        </is>
      </c>
      <c r="Q27" s="22" t="inlineStr">
        <is>
          <t>Técnico Em Contabilidade</t>
        </is>
      </c>
      <c r="R27" s="22" t="inlineStr"/>
      <c r="S27" s="22" t="inlineStr">
        <is>
          <t>alecsandro@cagepa.pb.gov.br</t>
        </is>
      </c>
      <c r="T27" s="22" t="inlineStr">
        <is>
          <t>DM: DM (state-owned water co); no work email in Apollo for DM; BACKUP: backup</t>
        </is>
      </c>
      <c r="U27" s="24" t="n">
        <v>3641949.67</v>
      </c>
      <c r="V27" s="25" t="inlineStr">
        <is>
          <t>B</t>
        </is>
      </c>
      <c r="W27" s="26" t="inlineStr"/>
      <c r="X27" s="27" t="inlineStr"/>
      <c r="Y27" s="27" t="inlineStr"/>
      <c r="Z27" s="26">
        <f>IF(W27&lt;&gt;"",W27,IFERROR(VLOOKUP(V27,Assumptions!$A$8:$F$12,2,FALSE),0))</f>
        <v/>
      </c>
      <c r="AA27" s="28">
        <f>IF(V27="A",MAX(1,IF(X27&lt;&gt;"",X27,IFERROR(VLOOKUP(V27,Assumptions!$A$8:$F$12,3,FALSE),3))+IF(Y27&lt;&gt;"",Y27,IFERROR(VLOOKUP(V27,Assumptions!$A$8:$F$12,4,FALSE),8))/2-MAX(0,IF(AS27="",0,YEAR(TODAY())-AS27)-IFERROR(VLOOKUP(V27,Assumptions!$A$8:$F$12,5,FALSE),1.5))),IFERROR(VLOOKUP(V27,Assumptions!$A$8:$F$12,5,FALSE),2.5)+IF(X27&lt;&gt;"",X27,IFERROR(VLOOKUP(V27,Assumptions!$A$8:$F$12,3,FALSE),3))+IF(Y27&lt;&gt;"",Y27,IFERROR(VLOOKUP(V27,Assumptions!$A$8:$F$12,4,FALSE),8))/2)</f>
        <v/>
      </c>
      <c r="AB27" s="24">
        <f>U27*Z27/(1+Assumptions!$B$3)^AA27</f>
        <v/>
      </c>
      <c r="AC27" s="27">
        <f>IF(U27=0,"",ROUND(AB27/U27*100,1))</f>
        <v/>
      </c>
      <c r="AD27" s="29">
        <f>AB27*Assumptions!$B$4</f>
        <v/>
      </c>
      <c r="AE27" s="27">
        <f>IF(U27=0,"",ROUND(AD27/U27*100,1))</f>
        <v/>
      </c>
      <c r="AF27" s="29">
        <f>AB27-AD27</f>
        <v/>
      </c>
      <c r="AG27" s="27">
        <f>IF(U27=0,"",ROUND((AB27-AD27)/U27*100,1))</f>
        <v/>
      </c>
      <c r="AH27" s="30" t="inlineStr">
        <is>
          <t>OK — totals reconciled</t>
        </is>
      </c>
      <c r="AI27" s="31" t="inlineStr">
        <is>
          <t>https://lrflideres.com.br/wp-content/plugins/download-attachments/includes/download.php?id=5828</t>
        </is>
      </c>
      <c r="AJ27" s="30" t="inlineStr">
        <is>
          <t>p3 r16</t>
        </is>
      </c>
      <c r="AK27" s="30" t="inlineStr">
        <is>
          <t>p3: R$ 3.641.949,67</t>
        </is>
      </c>
      <c r="AL27" s="30" t="inlineStr">
        <is>
          <t>AJ list (art. 7 §2)</t>
        </is>
      </c>
      <c r="AM27" s="30" t="inlineStr">
        <is>
          <t>2024-04-18</t>
        </is>
      </c>
      <c r="AN27" s="30" t="inlineStr">
        <is>
          <t>NONE FOUND</t>
        </is>
      </c>
      <c r="AO27" s="32" t="inlineStr">
        <is>
          <t>0829315-43.2023.8.15.0001</t>
        </is>
      </c>
      <c r="AP27" s="32" t="inlineStr">
        <is>
          <t>TJPB</t>
        </is>
      </c>
      <c r="AQ27" s="32" t="inlineStr">
        <is>
          <t>Recuperação judicial</t>
        </is>
      </c>
      <c r="AR27" s="32" t="inlineStr">
        <is>
          <t>DataJud: no closure/falência movement</t>
        </is>
      </c>
      <c r="AS27" s="32" t="n">
        <v>2023</v>
      </c>
      <c r="AT27" s="32" t="inlineStr">
        <is>
          <t>live case, no plan document yet; atypical debtor (associação/clube/hospital/produtor rural): admissibility or claim subjection may be contested</t>
        </is>
      </c>
      <c r="AU27" s="32" t="inlineStr"/>
      <c r="AV27" s="32" t="inlineStr">
        <is>
          <t>printed on the list (read twice)</t>
        </is>
      </c>
      <c r="AW27" s="32" t="inlineStr"/>
      <c r="AX27" s="32" t="inlineStr">
        <is>
          <t>JOAO PESSOA</t>
        </is>
      </c>
      <c r="AY27" s="32" t="inlineStr">
        <is>
          <t>PB</t>
        </is>
      </c>
      <c r="AZ27" s="32" t="inlineStr">
        <is>
          <t>Captação, tratamento e distribuição de água</t>
        </is>
      </c>
      <c r="BA27" s="32" t="inlineStr">
        <is>
          <t>não ME/EPP</t>
        </is>
      </c>
      <c r="BB27" s="33" t="n">
        <v>1140408200</v>
      </c>
      <c r="BC27" s="32" t="inlineStr">
        <is>
          <t>LARGE CORP</t>
        </is>
      </c>
      <c r="BD27" s="32" t="inlineStr">
        <is>
          <t>09123654</t>
        </is>
      </c>
      <c r="BE27" s="32" t="n">
        <v>1</v>
      </c>
      <c r="BF27" s="32" t="inlineStr"/>
    </row>
    <row r="28">
      <c r="A28" s="17" t="inlineStr">
        <is>
          <t>CAIXA ECONOMICA FEDERAL</t>
        </is>
      </c>
      <c r="B28" s="18" t="n">
        <v>3336220</v>
      </c>
      <c r="C28" s="19" t="inlineStr">
        <is>
          <t>FLAVOUR MIX IND. E REP. ALIM. E INGR. QUÍMICOS LTDA.</t>
        </is>
      </c>
      <c r="D28" s="20" t="inlineStr">
        <is>
          <t>NEW</t>
        </is>
      </c>
      <c r="E28" s="21" t="inlineStr"/>
      <c r="F28" s="20" t="inlineStr"/>
      <c r="G28" s="21" t="inlineStr"/>
      <c r="H28" s="20" t="inlineStr"/>
      <c r="I28" s="22" t="inlineStr">
        <is>
          <t>Livia Serikaku</t>
        </is>
      </c>
      <c r="J28" s="22" t="inlineStr">
        <is>
          <t>Gerente de Clientes e Negócios | Recuperação de Crédito</t>
        </is>
      </c>
      <c r="K28" s="22" t="inlineStr">
        <is>
          <t>(00) 4004-0104</t>
        </is>
      </c>
      <c r="L28" s="22" t="inlineStr"/>
      <c r="M28" s="22" t="inlineStr"/>
      <c r="N28" s="22" t="inlineStr"/>
      <c r="O28" s="22" t="inlineStr"/>
      <c r="P28" s="22" t="inlineStr">
        <is>
          <t>CARLOS ANTONIO VIEIRA FERNANDES</t>
        </is>
      </c>
      <c r="Q28" s="22" t="inlineStr">
        <is>
          <t>Presidente (RFB partner)</t>
        </is>
      </c>
      <c r="R28" s="22" t="inlineStr"/>
      <c r="S28" s="22" t="inlineStr"/>
      <c r="T28" s="22" t="inlineStr">
        <is>
          <t>DM: DM email unavailable; no work email in Apollo for DM</t>
        </is>
      </c>
      <c r="U28" s="24" t="n">
        <v>3336220</v>
      </c>
      <c r="V28" s="25" t="inlineStr">
        <is>
          <t>B</t>
        </is>
      </c>
      <c r="W28" s="26" t="inlineStr"/>
      <c r="X28" s="27" t="inlineStr"/>
      <c r="Y28" s="27" t="inlineStr"/>
      <c r="Z28" s="26">
        <f>IF(W28&lt;&gt;"",W28,IFERROR(VLOOKUP(V28,Assumptions!$A$8:$F$12,2,FALSE),0))</f>
        <v/>
      </c>
      <c r="AA28" s="28">
        <f>IF(V28="A",MAX(1,IF(X28&lt;&gt;"",X28,IFERROR(VLOOKUP(V28,Assumptions!$A$8:$F$12,3,FALSE),3))+IF(Y28&lt;&gt;"",Y28,IFERROR(VLOOKUP(V28,Assumptions!$A$8:$F$12,4,FALSE),8))/2-MAX(0,IF(AS28="",0,YEAR(TODAY())-AS28)-IFERROR(VLOOKUP(V28,Assumptions!$A$8:$F$12,5,FALSE),1.5))),IFERROR(VLOOKUP(V28,Assumptions!$A$8:$F$12,5,FALSE),2.5)+IF(X28&lt;&gt;"",X28,IFERROR(VLOOKUP(V28,Assumptions!$A$8:$F$12,3,FALSE),3))+IF(Y28&lt;&gt;"",Y28,IFERROR(VLOOKUP(V28,Assumptions!$A$8:$F$12,4,FALSE),8))/2)</f>
        <v/>
      </c>
      <c r="AB28" s="24">
        <f>U28*Z28/(1+Assumptions!$B$3)^AA28</f>
        <v/>
      </c>
      <c r="AC28" s="27">
        <f>IF(U28=0,"",ROUND(AB28/U28*100,1))</f>
        <v/>
      </c>
      <c r="AD28" s="29">
        <f>AB28*Assumptions!$B$4</f>
        <v/>
      </c>
      <c r="AE28" s="27">
        <f>IF(U28=0,"",ROUND(AD28/U28*100,1))</f>
        <v/>
      </c>
      <c r="AF28" s="29">
        <f>AB28-AD28</f>
        <v/>
      </c>
      <c r="AG28" s="27">
        <f>IF(U28=0,"",ROUND((AB28-AD28)/U28*100,1))</f>
        <v/>
      </c>
      <c r="AH28" s="34" t="inlineStr">
        <is>
          <t>NO TOTALS — list prints none; check page</t>
        </is>
      </c>
      <c r="AI28" s="31" t="inlineStr">
        <is>
          <t>https://ativosajce.com.br/admin/download.php?file=files/processo_documento/processo_documento13422625032025_1_.pdf&amp;nome=Relação de Credores - Art. 52º § 1º, da Lei nº 11.101/2005 - 25/02/2025</t>
        </is>
      </c>
      <c r="AJ28" s="30" t="inlineStr">
        <is>
          <t>p3 r32</t>
        </is>
      </c>
      <c r="AK28" s="30" t="inlineStr">
        <is>
          <t>p3: R$ 3.336.220,00</t>
        </is>
      </c>
      <c r="AL28" s="30" t="inlineStr">
        <is>
          <t>Unclassified list</t>
        </is>
      </c>
      <c r="AM28" s="30" t="inlineStr">
        <is>
          <t>2025-02-28</t>
        </is>
      </c>
      <c r="AN28" s="30" t="inlineStr">
        <is>
          <t>NONE FOUND</t>
        </is>
      </c>
      <c r="AO28" s="32" t="inlineStr">
        <is>
          <t>1000119-75.2025.8.26.0354</t>
        </is>
      </c>
      <c r="AP28" s="32" t="inlineStr">
        <is>
          <t>TJSP</t>
        </is>
      </c>
      <c r="AQ28" s="32" t="inlineStr">
        <is>
          <t>Recuperação judicial</t>
        </is>
      </c>
      <c r="AR28" s="32" t="inlineStr">
        <is>
          <t>DataJud: no closure/falência movement</t>
        </is>
      </c>
      <c r="AS28" s="32" t="n">
        <v>2025</v>
      </c>
      <c r="AT28" s="32" t="inlineStr">
        <is>
          <t>live case, no plan document yet; case no. from the portal record, not printed on the list</t>
        </is>
      </c>
      <c r="AU28" s="32" t="inlineStr">
        <is>
          <t>09.357.504/0001-38</t>
        </is>
      </c>
      <c r="AV28" s="32" t="inlineStr">
        <is>
          <t>printed on the list (read twice)</t>
        </is>
      </c>
      <c r="AW28" s="32" t="inlineStr"/>
      <c r="AX28" s="32" t="inlineStr">
        <is>
          <t>BRASILIA</t>
        </is>
      </c>
      <c r="AY28" s="32" t="inlineStr">
        <is>
          <t>DF</t>
        </is>
      </c>
      <c r="AZ28" s="32" t="inlineStr">
        <is>
          <t>Caixas econômicas</t>
        </is>
      </c>
      <c r="BA28" s="32" t="inlineStr">
        <is>
          <t>não ME/EPP</t>
        </is>
      </c>
      <c r="BB28" s="33" t="n">
        <v>105300000000</v>
      </c>
      <c r="BC28" s="32" t="inlineStr">
        <is>
          <t>LARGE CORP</t>
        </is>
      </c>
      <c r="BD28" s="32" t="inlineStr">
        <is>
          <t>00360305</t>
        </is>
      </c>
      <c r="BE28" s="32" t="n">
        <v>1</v>
      </c>
      <c r="BF28" s="32" t="inlineStr">
        <is>
          <t>financial by name list prints no totals</t>
        </is>
      </c>
    </row>
    <row r="29">
      <c r="A29" s="17" t="inlineStr">
        <is>
          <t>BANCO DO NORDESTE DO BRASIL SA</t>
        </is>
      </c>
      <c r="B29" s="18" t="n">
        <v>3330393.67</v>
      </c>
      <c r="C29" s="19" t="inlineStr">
        <is>
          <t>GRUPO GLP</t>
        </is>
      </c>
      <c r="D29" s="20" t="inlineStr">
        <is>
          <t>NEW</t>
        </is>
      </c>
      <c r="E29" s="21" t="inlineStr"/>
      <c r="F29" s="20" t="inlineStr"/>
      <c r="G29" s="21" t="inlineStr"/>
      <c r="H29" s="20" t="inlineStr"/>
      <c r="I29" s="22" t="inlineStr">
        <is>
          <t>Layslan Medeiros</t>
        </is>
      </c>
      <c r="J29" s="22" t="inlineStr">
        <is>
          <t>Gerente Executivo Operacional e de Recuperação de Crédito</t>
        </is>
      </c>
      <c r="K29" s="22" t="inlineStr">
        <is>
          <t>(85) 3299-3000</t>
        </is>
      </c>
      <c r="L29" s="22" t="inlineStr"/>
      <c r="M29" s="22" t="inlineStr"/>
      <c r="N29" s="22" t="inlineStr"/>
      <c r="O29" s="22" t="inlineStr"/>
      <c r="P29" s="22" t="inlineStr">
        <is>
          <t>Alexsander Farias</t>
        </is>
      </c>
      <c r="Q29" s="22" t="inlineStr">
        <is>
          <t>Gerente de Recuperação de Crédito</t>
        </is>
      </c>
      <c r="R29" s="22" t="inlineStr"/>
      <c r="S29" s="22" t="inlineStr">
        <is>
          <t>alexsander@bnb.gov.br</t>
        </is>
      </c>
      <c r="T29" s="22" t="inlineStr">
        <is>
          <t>DM: DM; no work email in Apollo for DM; BACKUP: backup</t>
        </is>
      </c>
      <c r="U29" s="24" t="n">
        <v>3330393.67</v>
      </c>
      <c r="V29" s="25" t="inlineStr">
        <is>
          <t>B</t>
        </is>
      </c>
      <c r="W29" s="26" t="inlineStr"/>
      <c r="X29" s="27" t="inlineStr"/>
      <c r="Y29" s="27" t="inlineStr"/>
      <c r="Z29" s="26">
        <f>IF(W29&lt;&gt;"",W29,IFERROR(VLOOKUP(V29,Assumptions!$A$8:$F$12,2,FALSE),0))</f>
        <v/>
      </c>
      <c r="AA29" s="28">
        <f>IF(V29="A",MAX(1,IF(X29&lt;&gt;"",X29,IFERROR(VLOOKUP(V29,Assumptions!$A$8:$F$12,3,FALSE),3))+IF(Y29&lt;&gt;"",Y29,IFERROR(VLOOKUP(V29,Assumptions!$A$8:$F$12,4,FALSE),8))/2-MAX(0,IF(AS29="",0,YEAR(TODAY())-AS29)-IFERROR(VLOOKUP(V29,Assumptions!$A$8:$F$12,5,FALSE),1.5))),IFERROR(VLOOKUP(V29,Assumptions!$A$8:$F$12,5,FALSE),2.5)+IF(X29&lt;&gt;"",X29,IFERROR(VLOOKUP(V29,Assumptions!$A$8:$F$12,3,FALSE),3))+IF(Y29&lt;&gt;"",Y29,IFERROR(VLOOKUP(V29,Assumptions!$A$8:$F$12,4,FALSE),8))/2)</f>
        <v/>
      </c>
      <c r="AB29" s="24">
        <f>U29*Z29/(1+Assumptions!$B$3)^AA29</f>
        <v/>
      </c>
      <c r="AC29" s="27">
        <f>IF(U29=0,"",ROUND(AB29/U29*100,1))</f>
        <v/>
      </c>
      <c r="AD29" s="29">
        <f>AB29*Assumptions!$B$4</f>
        <v/>
      </c>
      <c r="AE29" s="27">
        <f>IF(U29=0,"",ROUND(AD29/U29*100,1))</f>
        <v/>
      </c>
      <c r="AF29" s="29">
        <f>AB29-AD29</f>
        <v/>
      </c>
      <c r="AG29" s="27">
        <f>IF(U29=0,"",ROUND((AB29-AD29)/U29*100,1))</f>
        <v/>
      </c>
      <c r="AH29" s="30" t="inlineStr">
        <is>
          <t>OK — totals reconciled</t>
        </is>
      </c>
      <c r="AI29" s="31" t="inlineStr">
        <is>
          <t>https://recuperasolucoes.com/wp-content/plugins/download-attachments/includes/download.php?id=1597</t>
        </is>
      </c>
      <c r="AJ29" s="30" t="inlineStr">
        <is>
          <t>p13 r5</t>
        </is>
      </c>
      <c r="AK29" s="30" t="inlineStr">
        <is>
          <t>p13: R$ 3.330.393,67</t>
        </is>
      </c>
      <c r="AL29" s="30" t="inlineStr">
        <is>
          <t>Debtor list (art. 51)</t>
        </is>
      </c>
      <c r="AM29" s="30" t="inlineStr">
        <is>
          <t>2026-05-21</t>
        </is>
      </c>
      <c r="AN29" s="30" t="inlineStr">
        <is>
          <t>NONE FOUND</t>
        </is>
      </c>
      <c r="AO29" s="32" t="inlineStr">
        <is>
          <t>0001639-09.2026.8.17.2810</t>
        </is>
      </c>
      <c r="AP29" s="32" t="inlineStr">
        <is>
          <t>TJPE</t>
        </is>
      </c>
      <c r="AQ29" s="32" t="inlineStr">
        <is>
          <t>Recuperação judicial</t>
        </is>
      </c>
      <c r="AR29" s="32" t="inlineStr">
        <is>
          <t>DataJud: no closure/falência movement</t>
        </is>
      </c>
      <c r="AS29" s="32" t="n">
        <v>2026</v>
      </c>
      <c r="AT29" s="32" t="inlineStr">
        <is>
          <t>live case, no plan document yet</t>
        </is>
      </c>
      <c r="AU29" s="32" t="inlineStr"/>
      <c r="AV29" s="32" t="inlineStr">
        <is>
          <t>printed on the list (read twice)</t>
        </is>
      </c>
      <c r="AW29" s="32" t="inlineStr"/>
      <c r="AX29" s="32" t="inlineStr">
        <is>
          <t>FORTALEZA</t>
        </is>
      </c>
      <c r="AY29" s="32" t="inlineStr">
        <is>
          <t>CE</t>
        </is>
      </c>
      <c r="AZ29" s="32" t="inlineStr">
        <is>
          <t>Bancos múltiplos, com carteira comercial</t>
        </is>
      </c>
      <c r="BA29" s="32" t="inlineStr">
        <is>
          <t>não ME/EPP</t>
        </is>
      </c>
      <c r="BB29" s="33" t="n">
        <v>15139032000</v>
      </c>
      <c r="BC29" s="32" t="inlineStr">
        <is>
          <t>LARGE CORP</t>
        </is>
      </c>
      <c r="BD29" s="32" t="inlineStr">
        <is>
          <t>07237373</t>
        </is>
      </c>
      <c r="BE29" s="32" t="n">
        <v>1</v>
      </c>
      <c r="BF29" s="32" t="inlineStr"/>
    </row>
    <row r="30">
      <c r="A30" s="17" t="inlineStr">
        <is>
          <t>BANCO DO BRASIL SA</t>
        </is>
      </c>
      <c r="B30" s="18" t="n">
        <v>2961832.77</v>
      </c>
      <c r="C30" s="19" t="inlineStr">
        <is>
          <t>JA SANTOS IMPORTACAO E EXPORTACAO DE FERRAMENTAS LTDA</t>
        </is>
      </c>
      <c r="D30" s="20" t="inlineStr">
        <is>
          <t>NEW</t>
        </is>
      </c>
      <c r="E30" s="21" t="inlineStr"/>
      <c r="F30" s="20" t="inlineStr"/>
      <c r="G30" s="21" t="inlineStr"/>
      <c r="H30" s="20" t="inlineStr"/>
      <c r="I30" s="22" t="inlineStr">
        <is>
          <t>Thiago Cavichioli</t>
        </is>
      </c>
      <c r="J30" s="22" t="inlineStr">
        <is>
          <t>Gerente de Cobrança e Recuperação de Crédito</t>
        </is>
      </c>
      <c r="K30" s="22" t="inlineStr">
        <is>
          <t>(61) 3493-9002</t>
        </is>
      </c>
      <c r="L30" s="22" t="inlineStr"/>
      <c r="M30" s="22" t="inlineStr"/>
      <c r="N30" s="22" t="inlineStr">
        <is>
          <t>thiago.cavichioli@bb.com.br</t>
        </is>
      </c>
      <c r="O30" s="22" t="inlineStr">
        <is>
          <t>verified</t>
        </is>
      </c>
      <c r="P30" s="22" t="inlineStr">
        <is>
          <t>Suelen Mondador</t>
        </is>
      </c>
      <c r="Q30" s="22" t="inlineStr">
        <is>
          <t>Gerente Especialista em Recuperação de Crédito</t>
        </is>
      </c>
      <c r="R30" s="22" t="inlineStr"/>
      <c r="S30" s="22" t="inlineStr">
        <is>
          <t>suelenmondador@bb.com.br</t>
        </is>
      </c>
      <c r="T30" s="22" t="inlineStr">
        <is>
          <t>DM: DM verified email; BACKUP: backup verified email</t>
        </is>
      </c>
      <c r="U30" s="24" t="n">
        <v>2961832.77</v>
      </c>
      <c r="V30" s="25" t="inlineStr">
        <is>
          <t>B</t>
        </is>
      </c>
      <c r="W30" s="26" t="inlineStr"/>
      <c r="X30" s="27" t="inlineStr"/>
      <c r="Y30" s="27" t="inlineStr"/>
      <c r="Z30" s="26">
        <f>IF(W30&lt;&gt;"",W30,IFERROR(VLOOKUP(V30,Assumptions!$A$8:$F$12,2,FALSE),0))</f>
        <v/>
      </c>
      <c r="AA30" s="28">
        <f>IF(V30="A",MAX(1,IF(X30&lt;&gt;"",X30,IFERROR(VLOOKUP(V30,Assumptions!$A$8:$F$12,3,FALSE),3))+IF(Y30&lt;&gt;"",Y30,IFERROR(VLOOKUP(V30,Assumptions!$A$8:$F$12,4,FALSE),8))/2-MAX(0,IF(AS30="",0,YEAR(TODAY())-AS30)-IFERROR(VLOOKUP(V30,Assumptions!$A$8:$F$12,5,FALSE),1.5))),IFERROR(VLOOKUP(V30,Assumptions!$A$8:$F$12,5,FALSE),2.5)+IF(X30&lt;&gt;"",X30,IFERROR(VLOOKUP(V30,Assumptions!$A$8:$F$12,3,FALSE),3))+IF(Y30&lt;&gt;"",Y30,IFERROR(VLOOKUP(V30,Assumptions!$A$8:$F$12,4,FALSE),8))/2)</f>
        <v/>
      </c>
      <c r="AB30" s="24">
        <f>U30*Z30/(1+Assumptions!$B$3)^AA30</f>
        <v/>
      </c>
      <c r="AC30" s="27">
        <f>IF(U30=0,"",ROUND(AB30/U30*100,1))</f>
        <v/>
      </c>
      <c r="AD30" s="29">
        <f>AB30*Assumptions!$B$4</f>
        <v/>
      </c>
      <c r="AE30" s="27">
        <f>IF(U30=0,"",ROUND(AD30/U30*100,1))</f>
        <v/>
      </c>
      <c r="AF30" s="29">
        <f>AB30-AD30</f>
        <v/>
      </c>
      <c r="AG30" s="27">
        <f>IF(U30=0,"",ROUND((AB30-AD30)/U30*100,1))</f>
        <v/>
      </c>
      <c r="AH30" s="30" t="inlineStr">
        <is>
          <t>OK — totals reconciled</t>
        </is>
      </c>
      <c r="AI30" s="31" t="inlineStr">
        <is>
          <t>https://vivanteaj.com.br/wp-content/uploads/2024/11/1a-lista-de-credores-JA-Santos.pdf</t>
        </is>
      </c>
      <c r="AJ30" s="30" t="inlineStr">
        <is>
          <t>p1 r3; p1 r4</t>
        </is>
      </c>
      <c r="AK30" s="30" t="inlineStr">
        <is>
          <t>p1: R$ 818.650,84; p1: R$ 2.143.181,93</t>
        </is>
      </c>
      <c r="AL30" s="30" t="inlineStr">
        <is>
          <t>Unclassified list</t>
        </is>
      </c>
      <c r="AM30" s="30" t="inlineStr">
        <is>
          <t>2022-11-02</t>
        </is>
      </c>
      <c r="AN30" s="30" t="inlineStr">
        <is>
          <t>PLAN FILED (art. 53), not granted</t>
        </is>
      </c>
      <c r="AO30" s="32" t="inlineStr">
        <is>
          <t>1018313-46.2024.8.26.0100</t>
        </is>
      </c>
      <c r="AP30" s="32" t="inlineStr">
        <is>
          <t>TJSP</t>
        </is>
      </c>
      <c r="AQ30" s="32" t="inlineStr">
        <is>
          <t>Recuperação judicial</t>
        </is>
      </c>
      <c r="AR30" s="32" t="inlineStr">
        <is>
          <t>DataJud: no closure/falência movement</t>
        </is>
      </c>
      <c r="AS30" s="32" t="n">
        <v>2024</v>
      </c>
      <c r="AT30" s="32" t="inlineStr">
        <is>
          <t>plan filed (art. 53), not yet granted; case no. from the portal record, not printed on the list</t>
        </is>
      </c>
      <c r="AU30" s="32" t="inlineStr">
        <is>
          <t>15.408.785/0001-03</t>
        </is>
      </c>
      <c r="AV30" s="32" t="inlineStr">
        <is>
          <t>printed on the list (read twice)</t>
        </is>
      </c>
      <c r="AW30" s="32" t="inlineStr"/>
      <c r="AX30" s="32" t="inlineStr">
        <is>
          <t>BRASILIA</t>
        </is>
      </c>
      <c r="AY30" s="32" t="inlineStr">
        <is>
          <t>DF</t>
        </is>
      </c>
      <c r="AZ30" s="32" t="inlineStr">
        <is>
          <t>Bancos múltiplos, com carteira comercial</t>
        </is>
      </c>
      <c r="BA30" s="32" t="inlineStr">
        <is>
          <t>não ME/EPP</t>
        </is>
      </c>
      <c r="BB30" s="33" t="n">
        <v>120000000000</v>
      </c>
      <c r="BC30" s="32" t="inlineStr">
        <is>
          <t>LARGE CORP</t>
        </is>
      </c>
      <c r="BD30" s="32" t="inlineStr">
        <is>
          <t>00000000</t>
        </is>
      </c>
      <c r="BE30" s="32" t="n">
        <v>2</v>
      </c>
      <c r="BF30" s="32" t="inlineStr">
        <is>
          <t>financial by name</t>
        </is>
      </c>
    </row>
    <row r="31">
      <c r="A31" s="17" t="inlineStr">
        <is>
          <t>BANCO DO BRASIL SA</t>
        </is>
      </c>
      <c r="B31" s="18" t="n">
        <v>2869597.33</v>
      </c>
      <c r="C31" s="19" t="inlineStr">
        <is>
          <t>Grupo Pisebem</t>
        </is>
      </c>
      <c r="D31" s="20" t="inlineStr">
        <is>
          <t>NEW</t>
        </is>
      </c>
      <c r="E31" s="21" t="inlineStr"/>
      <c r="F31" s="20" t="inlineStr"/>
      <c r="G31" s="21" t="inlineStr"/>
      <c r="H31" s="20" t="inlineStr"/>
      <c r="I31" s="22" t="inlineStr">
        <is>
          <t>Thiago Cavichioli</t>
        </is>
      </c>
      <c r="J31" s="22" t="inlineStr">
        <is>
          <t>Gerente de Cobrança e Recuperação de Crédito</t>
        </is>
      </c>
      <c r="K31" s="22" t="inlineStr">
        <is>
          <t>(61) 3493-9002</t>
        </is>
      </c>
      <c r="L31" s="22" t="inlineStr"/>
      <c r="M31" s="22" t="inlineStr"/>
      <c r="N31" s="22" t="inlineStr">
        <is>
          <t>thiago.cavichioli@bb.com.br</t>
        </is>
      </c>
      <c r="O31" s="22" t="inlineStr">
        <is>
          <t>verified</t>
        </is>
      </c>
      <c r="P31" s="22" t="inlineStr">
        <is>
          <t>Suelen Mondador</t>
        </is>
      </c>
      <c r="Q31" s="22" t="inlineStr">
        <is>
          <t>Gerente Especialista em Recuperação de Crédito</t>
        </is>
      </c>
      <c r="R31" s="22" t="inlineStr"/>
      <c r="S31" s="22" t="inlineStr">
        <is>
          <t>suelenmondador@bb.com.br</t>
        </is>
      </c>
      <c r="T31" s="22" t="inlineStr">
        <is>
          <t>DM: DM verified email; BACKUP: backup verified email</t>
        </is>
      </c>
      <c r="U31" s="24" t="n">
        <v>2869597.33</v>
      </c>
      <c r="V31" s="25" t="inlineStr">
        <is>
          <t>B</t>
        </is>
      </c>
      <c r="W31" s="26" t="inlineStr"/>
      <c r="X31" s="27" t="inlineStr"/>
      <c r="Y31" s="27" t="inlineStr"/>
      <c r="Z31" s="26">
        <f>IF(W31&lt;&gt;"",W31,IFERROR(VLOOKUP(V31,Assumptions!$A$8:$F$12,2,FALSE),0))</f>
        <v/>
      </c>
      <c r="AA31" s="28">
        <f>IF(V31="A",MAX(1,IF(X31&lt;&gt;"",X31,IFERROR(VLOOKUP(V31,Assumptions!$A$8:$F$12,3,FALSE),3))+IF(Y31&lt;&gt;"",Y31,IFERROR(VLOOKUP(V31,Assumptions!$A$8:$F$12,4,FALSE),8))/2-MAX(0,IF(AS31="",0,YEAR(TODAY())-AS31)-IFERROR(VLOOKUP(V31,Assumptions!$A$8:$F$12,5,FALSE),1.5))),IFERROR(VLOOKUP(V31,Assumptions!$A$8:$F$12,5,FALSE),2.5)+IF(X31&lt;&gt;"",X31,IFERROR(VLOOKUP(V31,Assumptions!$A$8:$F$12,3,FALSE),3))+IF(Y31&lt;&gt;"",Y31,IFERROR(VLOOKUP(V31,Assumptions!$A$8:$F$12,4,FALSE),8))/2)</f>
        <v/>
      </c>
      <c r="AB31" s="24">
        <f>U31*Z31/(1+Assumptions!$B$3)^AA31</f>
        <v/>
      </c>
      <c r="AC31" s="27">
        <f>IF(U31=0,"",ROUND(AB31/U31*100,1))</f>
        <v/>
      </c>
      <c r="AD31" s="29">
        <f>AB31*Assumptions!$B$4</f>
        <v/>
      </c>
      <c r="AE31" s="27">
        <f>IF(U31=0,"",ROUND(AD31/U31*100,1))</f>
        <v/>
      </c>
      <c r="AF31" s="29">
        <f>AB31-AD31</f>
        <v/>
      </c>
      <c r="AG31" s="27">
        <f>IF(U31=0,"",ROUND((AB31-AD31)/U31*100,1))</f>
        <v/>
      </c>
      <c r="AH31" s="34" t="inlineStr">
        <is>
          <t>NO TOTALS — list prints none; check page</t>
        </is>
      </c>
      <c r="AI31" s="31" t="inlineStr">
        <is>
          <t>https://recuperacaojudicial.squarespace.com/s/EDITAL-COM-A-2-LISTA-DE-CREDORES-E-INFORMANDO-A-APRESENTACO-DO-PRJ_1532.pdf</t>
        </is>
      </c>
      <c r="AJ31" s="30" t="inlineStr">
        <is>
          <t>p2 r4</t>
        </is>
      </c>
      <c r="AK31" s="30" t="inlineStr">
        <is>
          <t>p2: R$ 2.869.597,33</t>
        </is>
      </c>
      <c r="AL31" s="30" t="inlineStr">
        <is>
          <t>AJ list (art. 7 §2)</t>
        </is>
      </c>
      <c r="AM31" s="30" t="inlineStr"/>
      <c r="AN31" s="30" t="inlineStr">
        <is>
          <t>NONE FOUND</t>
        </is>
      </c>
      <c r="AO31" s="32" t="inlineStr">
        <is>
          <t>0700707-87.2025.8.02.0043</t>
        </is>
      </c>
      <c r="AP31" s="32" t="inlineStr">
        <is>
          <t>TJAL</t>
        </is>
      </c>
      <c r="AQ31" s="32" t="inlineStr"/>
      <c r="AR31" s="32" t="inlineStr">
        <is>
          <t>DataJud: no closure/falência movement</t>
        </is>
      </c>
      <c r="AS31" s="32" t="n">
        <v>2025</v>
      </c>
      <c r="AT31" s="32" t="inlineStr">
        <is>
          <t>live case, no plan document yet</t>
        </is>
      </c>
      <c r="AU31" s="32" t="inlineStr"/>
      <c r="AV31" s="32" t="inlineStr">
        <is>
          <t>portal page title / URL — not printed on the list</t>
        </is>
      </c>
      <c r="AW31" s="32" t="inlineStr"/>
      <c r="AX31" s="32" t="inlineStr">
        <is>
          <t>BRASILIA</t>
        </is>
      </c>
      <c r="AY31" s="32" t="inlineStr">
        <is>
          <t>DF</t>
        </is>
      </c>
      <c r="AZ31" s="32" t="inlineStr">
        <is>
          <t>Bancos múltiplos, com carteira comercial</t>
        </is>
      </c>
      <c r="BA31" s="32" t="inlineStr">
        <is>
          <t>não ME/EPP</t>
        </is>
      </c>
      <c r="BB31" s="33" t="n">
        <v>120000000000</v>
      </c>
      <c r="BC31" s="32" t="inlineStr">
        <is>
          <t>LARGE CORP</t>
        </is>
      </c>
      <c r="BD31" s="32" t="inlineStr">
        <is>
          <t>00000000</t>
        </is>
      </c>
      <c r="BE31" s="32" t="n">
        <v>1</v>
      </c>
      <c r="BF31" s="32" t="inlineStr">
        <is>
          <t>financial by name list prints no totals case no. corrected by reader</t>
        </is>
      </c>
    </row>
    <row r="32">
      <c r="A32" s="17" t="inlineStr">
        <is>
          <t>BANCO DO BRASIL SA</t>
        </is>
      </c>
      <c r="B32" s="18" t="n">
        <v>2864591.61</v>
      </c>
      <c r="C32" s="19" t="inlineStr">
        <is>
          <t>Grupo Arruda (ARRUDA &amp; MELO REPRESENTACAO DE ALIMENTOS E BEBIDAS LTDA, ARRUDA &amp; MELO COMERCIO E DISTRIBUICAO DE ALIMENTOS E BEBIDAS LTDA, ARRUDA &amp; MELO COMERCIO E DISTRIBUICAO DE ALIMENTOS E BEBIDAS DA BAHIA LTDA)</t>
        </is>
      </c>
      <c r="D32" s="20" t="inlineStr">
        <is>
          <t>NEW</t>
        </is>
      </c>
      <c r="E32" s="21" t="inlineStr"/>
      <c r="F32" s="20" t="inlineStr"/>
      <c r="G32" s="21" t="inlineStr"/>
      <c r="H32" s="20" t="inlineStr"/>
      <c r="I32" s="22" t="inlineStr">
        <is>
          <t>Thiago Cavichioli</t>
        </is>
      </c>
      <c r="J32" s="22" t="inlineStr">
        <is>
          <t>Gerente de Cobrança e Recuperação de Crédito</t>
        </is>
      </c>
      <c r="K32" s="22" t="inlineStr">
        <is>
          <t>(61) 3493-9002</t>
        </is>
      </c>
      <c r="L32" s="22" t="inlineStr"/>
      <c r="M32" s="22" t="inlineStr"/>
      <c r="N32" s="22" t="inlineStr">
        <is>
          <t>thiago.cavichioli@bb.com.br</t>
        </is>
      </c>
      <c r="O32" s="22" t="inlineStr">
        <is>
          <t>verified</t>
        </is>
      </c>
      <c r="P32" s="22" t="inlineStr">
        <is>
          <t>Suelen Mondador</t>
        </is>
      </c>
      <c r="Q32" s="22" t="inlineStr">
        <is>
          <t>Gerente Especialista em Recuperação de Crédito</t>
        </is>
      </c>
      <c r="R32" s="22" t="inlineStr"/>
      <c r="S32" s="22" t="inlineStr">
        <is>
          <t>suelenmondador@bb.com.br</t>
        </is>
      </c>
      <c r="T32" s="22" t="inlineStr">
        <is>
          <t>DM: DM verified email; BACKUP: backup verified email</t>
        </is>
      </c>
      <c r="U32" s="24" t="n">
        <v>2864591.61</v>
      </c>
      <c r="V32" s="25" t="inlineStr">
        <is>
          <t>B</t>
        </is>
      </c>
      <c r="W32" s="26" t="inlineStr"/>
      <c r="X32" s="27" t="inlineStr"/>
      <c r="Y32" s="27" t="inlineStr"/>
      <c r="Z32" s="26">
        <f>IF(W32&lt;&gt;"",W32,IFERROR(VLOOKUP(V32,Assumptions!$A$8:$F$12,2,FALSE),0))</f>
        <v/>
      </c>
      <c r="AA32" s="28">
        <f>IF(V32="A",MAX(1,IF(X32&lt;&gt;"",X32,IFERROR(VLOOKUP(V32,Assumptions!$A$8:$F$12,3,FALSE),3))+IF(Y32&lt;&gt;"",Y32,IFERROR(VLOOKUP(V32,Assumptions!$A$8:$F$12,4,FALSE),8))/2-MAX(0,IF(AS32="",0,YEAR(TODAY())-AS32)-IFERROR(VLOOKUP(V32,Assumptions!$A$8:$F$12,5,FALSE),1.5))),IFERROR(VLOOKUP(V32,Assumptions!$A$8:$F$12,5,FALSE),2.5)+IF(X32&lt;&gt;"",X32,IFERROR(VLOOKUP(V32,Assumptions!$A$8:$F$12,3,FALSE),3))+IF(Y32&lt;&gt;"",Y32,IFERROR(VLOOKUP(V32,Assumptions!$A$8:$F$12,4,FALSE),8))/2)</f>
        <v/>
      </c>
      <c r="AB32" s="24">
        <f>U32*Z32/(1+Assumptions!$B$3)^AA32</f>
        <v/>
      </c>
      <c r="AC32" s="27">
        <f>IF(U32=0,"",ROUND(AB32/U32*100,1))</f>
        <v/>
      </c>
      <c r="AD32" s="29">
        <f>AB32*Assumptions!$B$4</f>
        <v/>
      </c>
      <c r="AE32" s="27">
        <f>IF(U32=0,"",ROUND(AD32/U32*100,1))</f>
        <v/>
      </c>
      <c r="AF32" s="29">
        <f>AB32-AD32</f>
        <v/>
      </c>
      <c r="AG32" s="27">
        <f>IF(U32=0,"",ROUND((AB32-AD32)/U32*100,1))</f>
        <v/>
      </c>
      <c r="AH32" s="30" t="inlineStr">
        <is>
          <t>OK — totals reconciled</t>
        </is>
      </c>
      <c r="AI32" s="31" t="inlineStr">
        <is>
          <t>https://diligence.adm.br/wp-content/uploads/2025/06/Edital-1a-Lista-de-Credores.pdf</t>
        </is>
      </c>
      <c r="AJ32" s="30" t="inlineStr">
        <is>
          <t>p5 r51</t>
        </is>
      </c>
      <c r="AK32" s="30" t="inlineStr">
        <is>
          <t>p5: R$ 2.864.591,61</t>
        </is>
      </c>
      <c r="AL32" s="30" t="inlineStr">
        <is>
          <t>Debtor list (art. 51)</t>
        </is>
      </c>
      <c r="AM32" s="30" t="inlineStr">
        <is>
          <t>2025-06-10</t>
        </is>
      </c>
      <c r="AN32" s="30" t="inlineStr">
        <is>
          <t>NONE FOUND</t>
        </is>
      </c>
      <c r="AO32" s="32" t="inlineStr">
        <is>
          <t>0008526-45.2025.8.17.2001</t>
        </is>
      </c>
      <c r="AP32" s="32" t="inlineStr">
        <is>
          <t>TJPE</t>
        </is>
      </c>
      <c r="AQ32" s="32" t="inlineStr">
        <is>
          <t>Recuperação judicial</t>
        </is>
      </c>
      <c r="AR32" s="32" t="inlineStr">
        <is>
          <t>DataJud: no closure/falência movement</t>
        </is>
      </c>
      <c r="AS32" s="32" t="n">
        <v>2025</v>
      </c>
      <c r="AT32" s="32" t="inlineStr">
        <is>
          <t>live case, no plan document yet</t>
        </is>
      </c>
      <c r="AU32" s="32" t="inlineStr"/>
      <c r="AV32" s="32" t="inlineStr">
        <is>
          <t>printed on the list (read twice)</t>
        </is>
      </c>
      <c r="AW32" s="32" t="inlineStr"/>
      <c r="AX32" s="32" t="inlineStr">
        <is>
          <t>BRASILIA</t>
        </is>
      </c>
      <c r="AY32" s="32" t="inlineStr">
        <is>
          <t>DF</t>
        </is>
      </c>
      <c r="AZ32" s="32" t="inlineStr">
        <is>
          <t>Bancos múltiplos, com carteira comercial</t>
        </is>
      </c>
      <c r="BA32" s="32" t="inlineStr">
        <is>
          <t>não ME/EPP</t>
        </is>
      </c>
      <c r="BB32" s="33" t="n">
        <v>120000000000</v>
      </c>
      <c r="BC32" s="32" t="inlineStr">
        <is>
          <t>LARGE CORP</t>
        </is>
      </c>
      <c r="BD32" s="32" t="inlineStr">
        <is>
          <t>00000000</t>
        </is>
      </c>
      <c r="BE32" s="32" t="n">
        <v>1</v>
      </c>
      <c r="BF32" s="32" t="inlineStr">
        <is>
          <t>financial by name</t>
        </is>
      </c>
    </row>
    <row r="33">
      <c r="A33" s="17" t="inlineStr">
        <is>
          <t>Banco Do Estado Do Rio Grande Do Sul S.A.</t>
        </is>
      </c>
      <c r="B33" s="18" t="n">
        <v>2796663.42</v>
      </c>
      <c r="C33" s="19" t="inlineStr">
        <is>
          <t>GRUPO DP4</t>
        </is>
      </c>
      <c r="D33" s="20" t="inlineStr">
        <is>
          <t>NEW</t>
        </is>
      </c>
      <c r="E33" s="21" t="inlineStr"/>
      <c r="F33" s="20" t="inlineStr"/>
      <c r="G33" s="21" t="inlineStr"/>
      <c r="H33" s="20" t="inlineStr"/>
      <c r="I33" s="22" t="inlineStr"/>
      <c r="J33" s="22" t="inlineStr"/>
      <c r="K33" s="22" t="inlineStr"/>
      <c r="L33" s="22" t="inlineStr"/>
      <c r="M33" s="22" t="inlineStr"/>
      <c r="N33" s="22" t="inlineStr"/>
      <c r="O33" s="22" t="inlineStr"/>
      <c r="P33" s="22" t="inlineStr"/>
      <c r="Q33" s="22" t="inlineStr"/>
      <c r="R33" s="22" t="inlineStr"/>
      <c r="S33" s="22" t="inlineStr"/>
      <c r="T33" s="22" t="inlineStr">
        <is>
          <t>no named contact found; NO ROUTE IN: no phone or email on file</t>
        </is>
      </c>
      <c r="U33" s="24" t="n">
        <v>2796663.42</v>
      </c>
      <c r="V33" s="25" t="inlineStr">
        <is>
          <t>B</t>
        </is>
      </c>
      <c r="W33" s="26" t="inlineStr"/>
      <c r="X33" s="27" t="inlineStr"/>
      <c r="Y33" s="27" t="inlineStr"/>
      <c r="Z33" s="26">
        <f>IF(W33&lt;&gt;"",W33,IFERROR(VLOOKUP(V33,Assumptions!$A$8:$F$12,2,FALSE),0))</f>
        <v/>
      </c>
      <c r="AA33" s="28">
        <f>IF(V33="A",MAX(1,IF(X33&lt;&gt;"",X33,IFERROR(VLOOKUP(V33,Assumptions!$A$8:$F$12,3,FALSE),3))+IF(Y33&lt;&gt;"",Y33,IFERROR(VLOOKUP(V33,Assumptions!$A$8:$F$12,4,FALSE),8))/2-MAX(0,IF(AS33="",0,YEAR(TODAY())-AS33)-IFERROR(VLOOKUP(V33,Assumptions!$A$8:$F$12,5,FALSE),1.5))),IFERROR(VLOOKUP(V33,Assumptions!$A$8:$F$12,5,FALSE),2.5)+IF(X33&lt;&gt;"",X33,IFERROR(VLOOKUP(V33,Assumptions!$A$8:$F$12,3,FALSE),3))+IF(Y33&lt;&gt;"",Y33,IFERROR(VLOOKUP(V33,Assumptions!$A$8:$F$12,4,FALSE),8))/2)</f>
        <v/>
      </c>
      <c r="AB33" s="24">
        <f>U33*Z33/(1+Assumptions!$B$3)^AA33</f>
        <v/>
      </c>
      <c r="AC33" s="27">
        <f>IF(U33=0,"",ROUND(AB33/U33*100,1))</f>
        <v/>
      </c>
      <c r="AD33" s="29">
        <f>AB33*Assumptions!$B$4</f>
        <v/>
      </c>
      <c r="AE33" s="27">
        <f>IF(U33=0,"",ROUND(AD33/U33*100,1))</f>
        <v/>
      </c>
      <c r="AF33" s="29">
        <f>AB33-AD33</f>
        <v/>
      </c>
      <c r="AG33" s="27">
        <f>IF(U33=0,"",ROUND((AB33-AD33)/U33*100,1))</f>
        <v/>
      </c>
      <c r="AH33" s="35" t="inlineStr">
        <is>
          <t>PARTIAL — class III reconciled, other classes not</t>
        </is>
      </c>
      <c r="AI33" s="31" t="inlineStr">
        <is>
          <t>https://marquesadmjudicial.com.br/sgc/download.php?file=files/processo_documento/processo_documento15293208032024_1_.pdf&amp;nome=Relação Nominal de Credores da AJ-Sintética</t>
        </is>
      </c>
      <c r="AJ33" s="30" t="inlineStr">
        <is>
          <t>p20 r11</t>
        </is>
      </c>
      <c r="AK33" s="30" t="inlineStr">
        <is>
          <t>p20: R$ 2.796.663,42</t>
        </is>
      </c>
      <c r="AL33" s="30" t="inlineStr">
        <is>
          <t>AJ list (art. 7 §2)</t>
        </is>
      </c>
      <c r="AM33" s="30" t="inlineStr">
        <is>
          <t>2023-03-02</t>
        </is>
      </c>
      <c r="AN33" s="30" t="inlineStr">
        <is>
          <t>NONE FOUND</t>
        </is>
      </c>
      <c r="AO33" s="32" t="inlineStr">
        <is>
          <t>0005010-98.2023.8.16.0001</t>
        </is>
      </c>
      <c r="AP33" s="32" t="inlineStr">
        <is>
          <t>TJPR</t>
        </is>
      </c>
      <c r="AQ33" s="32" t="inlineStr">
        <is>
          <t>Recuperação judicial</t>
        </is>
      </c>
      <c r="AR33" s="32" t="inlineStr">
        <is>
          <t>DataJud: no closure/falência movement</t>
        </is>
      </c>
      <c r="AS33" s="32" t="n">
        <v>2023</v>
      </c>
      <c r="AT33" s="32" t="inlineStr">
        <is>
          <t>live case, no plan document yet</t>
        </is>
      </c>
      <c r="AU33" s="32" t="inlineStr"/>
      <c r="AV33" s="32" t="inlineStr">
        <is>
          <t>printed on the list (read twice)</t>
        </is>
      </c>
      <c r="AW33" s="32" t="inlineStr"/>
      <c r="AX33" s="32" t="inlineStr"/>
      <c r="AY33" s="32" t="inlineStr"/>
      <c r="AZ33" s="32" t="inlineStr"/>
      <c r="BA33" s="32" t="inlineStr"/>
      <c r="BB33" s="33" t="inlineStr"/>
      <c r="BC33" s="32" t="inlineStr">
        <is>
          <t>UNKNOWN</t>
        </is>
      </c>
      <c r="BD33" s="32" t="inlineStr">
        <is>
          <t>92702067</t>
        </is>
      </c>
      <c r="BE33" s="32" t="n">
        <v>1</v>
      </c>
      <c r="BF33" s="32" t="inlineStr">
        <is>
          <t>financial by name public by name class III reconciled (doc partial) no RFB record no route in</t>
        </is>
      </c>
    </row>
    <row r="34">
      <c r="A34" s="17" t="inlineStr">
        <is>
          <t>CAIXA ECONOMICA FEDERAL</t>
        </is>
      </c>
      <c r="B34" s="18" t="n">
        <v>11652776.23</v>
      </c>
      <c r="C34" s="19" t="inlineStr">
        <is>
          <t>GRUPO 3E</t>
        </is>
      </c>
      <c r="D34" s="20" t="inlineStr">
        <is>
          <t>NEW</t>
        </is>
      </c>
      <c r="E34" s="21" t="inlineStr"/>
      <c r="F34" s="20" t="inlineStr"/>
      <c r="G34" s="21" t="inlineStr"/>
      <c r="H34" s="20" t="inlineStr"/>
      <c r="I34" s="22" t="inlineStr">
        <is>
          <t>Livia Serikaku</t>
        </is>
      </c>
      <c r="J34" s="22" t="inlineStr">
        <is>
          <t>Gerente de Clientes e Negócios | Recuperação de Crédito</t>
        </is>
      </c>
      <c r="K34" s="22" t="inlineStr">
        <is>
          <t>(00) 4004-0104</t>
        </is>
      </c>
      <c r="L34" s="22" t="inlineStr"/>
      <c r="M34" s="22" t="inlineStr"/>
      <c r="N34" s="22" t="inlineStr"/>
      <c r="O34" s="22" t="inlineStr"/>
      <c r="P34" s="22" t="inlineStr">
        <is>
          <t>CARLOS ANTONIO VIEIRA FERNANDES</t>
        </is>
      </c>
      <c r="Q34" s="22" t="inlineStr">
        <is>
          <t>Presidente (RFB partner)</t>
        </is>
      </c>
      <c r="R34" s="22" t="inlineStr"/>
      <c r="S34" s="22" t="inlineStr"/>
      <c r="T34" s="22" t="inlineStr">
        <is>
          <t>DM: DM email unavailable; no work email in Apollo for DM</t>
        </is>
      </c>
      <c r="U34" s="24" t="n">
        <v>11652776.23</v>
      </c>
      <c r="V34" s="25" t="inlineStr">
        <is>
          <t>B</t>
        </is>
      </c>
      <c r="W34" s="26" t="n">
        <v>0.12</v>
      </c>
      <c r="X34" s="27" t="n">
        <v>2</v>
      </c>
      <c r="Y34" s="27" t="n">
        <v>13</v>
      </c>
      <c r="Z34" s="26">
        <f>IF(W34&lt;&gt;"",W34,IFERROR(VLOOKUP(V34,Assumptions!$A$8:$F$12,2,FALSE),0))</f>
        <v/>
      </c>
      <c r="AA34" s="28">
        <f>IF(V34="A",MAX(1,IF(X34&lt;&gt;"",X34,IFERROR(VLOOKUP(V34,Assumptions!$A$8:$F$12,3,FALSE),3))+IF(Y34&lt;&gt;"",Y34,IFERROR(VLOOKUP(V34,Assumptions!$A$8:$F$12,4,FALSE),8))/2-MAX(0,IF(AS34="",0,YEAR(TODAY())-AS34)-IFERROR(VLOOKUP(V34,Assumptions!$A$8:$F$12,5,FALSE),1.5))),IFERROR(VLOOKUP(V34,Assumptions!$A$8:$F$12,5,FALSE),2.5)+IF(X34&lt;&gt;"",X34,IFERROR(VLOOKUP(V34,Assumptions!$A$8:$F$12,3,FALSE),3))+IF(Y34&lt;&gt;"",Y34,IFERROR(VLOOKUP(V34,Assumptions!$A$8:$F$12,4,FALSE),8))/2)</f>
        <v/>
      </c>
      <c r="AB34" s="24">
        <f>U34*Z34/(1+Assumptions!$B$3)^AA34</f>
        <v/>
      </c>
      <c r="AC34" s="27">
        <f>IF(U34=0,"",ROUND(AB34/U34*100,1))</f>
        <v/>
      </c>
      <c r="AD34" s="29">
        <f>AB34*Assumptions!$B$4</f>
        <v/>
      </c>
      <c r="AE34" s="27">
        <f>IF(U34=0,"",ROUND(AD34/U34*100,1))</f>
        <v/>
      </c>
      <c r="AF34" s="29">
        <f>AB34-AD34</f>
        <v/>
      </c>
      <c r="AG34" s="27">
        <f>IF(U34=0,"",ROUND((AB34-AD34)/U34*100,1))</f>
        <v/>
      </c>
      <c r="AH34" s="34" t="inlineStr">
        <is>
          <t>NO TOTALS — list prints none; check page</t>
        </is>
      </c>
      <c r="AI34" s="31" t="inlineStr">
        <is>
          <t>https://stenius.com.br/wp-content/uploads/2026/06/EDITAL-GRUPO-3E.pdf</t>
        </is>
      </c>
      <c r="AJ34" s="30" t="inlineStr">
        <is>
          <t>p11 r27</t>
        </is>
      </c>
      <c r="AK34" s="30" t="inlineStr">
        <is>
          <t>p11: R$ 11.652.776,23</t>
        </is>
      </c>
      <c r="AL34" s="30" t="inlineStr">
        <is>
          <t>Debtor list (art. 51)</t>
        </is>
      </c>
      <c r="AM34" s="30" t="inlineStr">
        <is>
          <t>2026-06-22</t>
        </is>
      </c>
      <c r="AN34" s="30" t="inlineStr">
        <is>
          <t>PLAN FILED (art. 53), not granted</t>
        </is>
      </c>
      <c r="AO34" s="32" t="inlineStr">
        <is>
          <t>5341375-33.2026.8.09.0049</t>
        </is>
      </c>
      <c r="AP34" s="32" t="inlineStr">
        <is>
          <t>TJGO</t>
        </is>
      </c>
      <c r="AQ34" s="32" t="inlineStr">
        <is>
          <t>Recuperação judicial</t>
        </is>
      </c>
      <c r="AR34" s="32" t="inlineStr">
        <is>
          <t>DataJud: no closure/falência movement</t>
        </is>
      </c>
      <c r="AS34" s="32" t="n">
        <v>2026</v>
      </c>
      <c r="AT34" s="32" t="inlineStr">
        <is>
          <t>plan filed (art. 53), not yet granted</t>
        </is>
      </c>
      <c r="AU34" s="32" t="inlineStr"/>
      <c r="AV34" s="32" t="inlineStr">
        <is>
          <t>printed on the list (read twice)</t>
        </is>
      </c>
      <c r="AW34" s="32" t="inlineStr">
        <is>
          <t>Plano de Recuperação Judicial Grupo 3E v2.0 (Métis), mov. 321, pp.24-25</t>
        </is>
      </c>
      <c r="AX34" s="32" t="inlineStr">
        <is>
          <t>BRASILIA</t>
        </is>
      </c>
      <c r="AY34" s="32" t="inlineStr">
        <is>
          <t>DF</t>
        </is>
      </c>
      <c r="AZ34" s="32" t="inlineStr">
        <is>
          <t>Caixas econômicas</t>
        </is>
      </c>
      <c r="BA34" s="32" t="inlineStr">
        <is>
          <t>não ME/EPP</t>
        </is>
      </c>
      <c r="BB34" s="33" t="n">
        <v>105300000000</v>
      </c>
      <c r="BC34" s="32" t="inlineStr">
        <is>
          <t>LARGE CORP</t>
        </is>
      </c>
      <c r="BD34" s="32" t="inlineStr">
        <is>
          <t>00360305</t>
        </is>
      </c>
      <c r="BE34" s="32" t="n">
        <v>1</v>
      </c>
      <c r="BF34" s="32" t="inlineStr">
        <is>
          <t>financial by name list prints no totals</t>
        </is>
      </c>
    </row>
    <row r="35">
      <c r="A35" s="17" t="inlineStr">
        <is>
          <t>BANCO DO BRASIL SA</t>
        </is>
      </c>
      <c r="B35" s="18" t="n">
        <v>2653205.78</v>
      </c>
      <c r="C35" s="19" t="inlineStr">
        <is>
          <t>FLAVOUR MIX IND. E REP. ALIM. E INGR. QUÍMICOS LTDA.</t>
        </is>
      </c>
      <c r="D35" s="20" t="inlineStr">
        <is>
          <t>NEW</t>
        </is>
      </c>
      <c r="E35" s="21" t="inlineStr"/>
      <c r="F35" s="20" t="inlineStr"/>
      <c r="G35" s="21" t="inlineStr"/>
      <c r="H35" s="20" t="inlineStr"/>
      <c r="I35" s="22" t="inlineStr">
        <is>
          <t>Thiago Cavichioli</t>
        </is>
      </c>
      <c r="J35" s="22" t="inlineStr">
        <is>
          <t>Gerente de Cobrança e Recuperação de Crédito</t>
        </is>
      </c>
      <c r="K35" s="22" t="inlineStr">
        <is>
          <t>(61) 3493-9002</t>
        </is>
      </c>
      <c r="L35" s="22" t="inlineStr"/>
      <c r="M35" s="22" t="inlineStr"/>
      <c r="N35" s="22" t="inlineStr">
        <is>
          <t>thiago.cavichioli@bb.com.br</t>
        </is>
      </c>
      <c r="O35" s="22" t="inlineStr">
        <is>
          <t>verified</t>
        </is>
      </c>
      <c r="P35" s="22" t="inlineStr">
        <is>
          <t>Suelen Mondador</t>
        </is>
      </c>
      <c r="Q35" s="22" t="inlineStr">
        <is>
          <t>Gerente Especialista em Recuperação de Crédito</t>
        </is>
      </c>
      <c r="R35" s="22" t="inlineStr"/>
      <c r="S35" s="22" t="inlineStr">
        <is>
          <t>suelenmondador@bb.com.br</t>
        </is>
      </c>
      <c r="T35" s="22" t="inlineStr">
        <is>
          <t>DM: DM verified email; BACKUP: backup verified email</t>
        </is>
      </c>
      <c r="U35" s="24" t="n">
        <v>2653205.78</v>
      </c>
      <c r="V35" s="25" t="inlineStr">
        <is>
          <t>B</t>
        </is>
      </c>
      <c r="W35" s="26" t="inlineStr"/>
      <c r="X35" s="27" t="inlineStr"/>
      <c r="Y35" s="27" t="inlineStr"/>
      <c r="Z35" s="26">
        <f>IF(W35&lt;&gt;"",W35,IFERROR(VLOOKUP(V35,Assumptions!$A$8:$F$12,2,FALSE),0))</f>
        <v/>
      </c>
      <c r="AA35" s="28">
        <f>IF(V35="A",MAX(1,IF(X35&lt;&gt;"",X35,IFERROR(VLOOKUP(V35,Assumptions!$A$8:$F$12,3,FALSE),3))+IF(Y35&lt;&gt;"",Y35,IFERROR(VLOOKUP(V35,Assumptions!$A$8:$F$12,4,FALSE),8))/2-MAX(0,IF(AS35="",0,YEAR(TODAY())-AS35)-IFERROR(VLOOKUP(V35,Assumptions!$A$8:$F$12,5,FALSE),1.5))),IFERROR(VLOOKUP(V35,Assumptions!$A$8:$F$12,5,FALSE),2.5)+IF(X35&lt;&gt;"",X35,IFERROR(VLOOKUP(V35,Assumptions!$A$8:$F$12,3,FALSE),3))+IF(Y35&lt;&gt;"",Y35,IFERROR(VLOOKUP(V35,Assumptions!$A$8:$F$12,4,FALSE),8))/2)</f>
        <v/>
      </c>
      <c r="AB35" s="24">
        <f>U35*Z35/(1+Assumptions!$B$3)^AA35</f>
        <v/>
      </c>
      <c r="AC35" s="27">
        <f>IF(U35=0,"",ROUND(AB35/U35*100,1))</f>
        <v/>
      </c>
      <c r="AD35" s="29">
        <f>AB35*Assumptions!$B$4</f>
        <v/>
      </c>
      <c r="AE35" s="27">
        <f>IF(U35=0,"",ROUND(AD35/U35*100,1))</f>
        <v/>
      </c>
      <c r="AF35" s="29">
        <f>AB35-AD35</f>
        <v/>
      </c>
      <c r="AG35" s="27">
        <f>IF(U35=0,"",ROUND((AB35-AD35)/U35*100,1))</f>
        <v/>
      </c>
      <c r="AH35" s="34" t="inlineStr">
        <is>
          <t>NO TOTALS — list prints none; check page</t>
        </is>
      </c>
      <c r="AI35" s="31" t="inlineStr">
        <is>
          <t>https://ativosajce.com.br/admin/download.php?file=files/processo_documento/processo_documento13422625032025_1_.pdf&amp;nome=Relação de Credores - Art. 52º § 1º, da Lei nº 11.101/2005 - 25/02/2025</t>
        </is>
      </c>
      <c r="AJ35" s="30" t="inlineStr">
        <is>
          <t>p3 r17; p3 r18; p3 r19; p3 r20</t>
        </is>
      </c>
      <c r="AK35" s="30" t="inlineStr">
        <is>
          <t>p3: R$ 220.846,00; p3: R$ 326.104,88; p3: R$ 400.000,00; p3: R$ 1.706.254,90</t>
        </is>
      </c>
      <c r="AL35" s="30" t="inlineStr">
        <is>
          <t>Unclassified list</t>
        </is>
      </c>
      <c r="AM35" s="30" t="inlineStr">
        <is>
          <t>2025-02-28</t>
        </is>
      </c>
      <c r="AN35" s="30" t="inlineStr">
        <is>
          <t>NONE FOUND</t>
        </is>
      </c>
      <c r="AO35" s="32" t="inlineStr">
        <is>
          <t>1000119-75.2025.8.26.0354</t>
        </is>
      </c>
      <c r="AP35" s="32" t="inlineStr">
        <is>
          <t>TJSP</t>
        </is>
      </c>
      <c r="AQ35" s="32" t="inlineStr">
        <is>
          <t>Recuperação judicial</t>
        </is>
      </c>
      <c r="AR35" s="32" t="inlineStr">
        <is>
          <t>DataJud: no closure/falência movement</t>
        </is>
      </c>
      <c r="AS35" s="32" t="n">
        <v>2025</v>
      </c>
      <c r="AT35" s="32" t="inlineStr">
        <is>
          <t>live case, no plan document yet; case no. from the portal record, not printed on the list</t>
        </is>
      </c>
      <c r="AU35" s="32" t="inlineStr">
        <is>
          <t>09.357.504/0001-38</t>
        </is>
      </c>
      <c r="AV35" s="32" t="inlineStr">
        <is>
          <t>printed on the list (read twice)</t>
        </is>
      </c>
      <c r="AW35" s="32" t="inlineStr"/>
      <c r="AX35" s="32" t="inlineStr">
        <is>
          <t>BRASILIA</t>
        </is>
      </c>
      <c r="AY35" s="32" t="inlineStr">
        <is>
          <t>DF</t>
        </is>
      </c>
      <c r="AZ35" s="32" t="inlineStr">
        <is>
          <t>Bancos múltiplos, com carteira comercial</t>
        </is>
      </c>
      <c r="BA35" s="32" t="inlineStr">
        <is>
          <t>não ME/EPP</t>
        </is>
      </c>
      <c r="BB35" s="33" t="n">
        <v>120000000000</v>
      </c>
      <c r="BC35" s="32" t="inlineStr">
        <is>
          <t>LARGE CORP</t>
        </is>
      </c>
      <c r="BD35" s="32" t="inlineStr">
        <is>
          <t>00000000</t>
        </is>
      </c>
      <c r="BE35" s="32" t="n">
        <v>4</v>
      </c>
      <c r="BF35" s="32" t="inlineStr">
        <is>
          <t>financial by name list prints no totals</t>
        </is>
      </c>
    </row>
    <row r="36">
      <c r="A36" s="17" t="inlineStr">
        <is>
          <t>BANCO DO BRASIL SA</t>
        </is>
      </c>
      <c r="B36" s="18" t="n">
        <v>2646391.58</v>
      </c>
      <c r="C36" s="19" t="inlineStr">
        <is>
          <t>Cerealista Safrasul Ltda</t>
        </is>
      </c>
      <c r="D36" s="20" t="inlineStr">
        <is>
          <t>NEW</t>
        </is>
      </c>
      <c r="E36" s="21" t="inlineStr"/>
      <c r="F36" s="20" t="inlineStr"/>
      <c r="G36" s="21" t="inlineStr"/>
      <c r="H36" s="20" t="inlineStr"/>
      <c r="I36" s="22" t="inlineStr">
        <is>
          <t>Thiago Cavichioli</t>
        </is>
      </c>
      <c r="J36" s="22" t="inlineStr">
        <is>
          <t>Gerente de Cobrança e Recuperação de Crédito</t>
        </is>
      </c>
      <c r="K36" s="22" t="inlineStr">
        <is>
          <t>(61) 3493-9002</t>
        </is>
      </c>
      <c r="L36" s="22" t="inlineStr"/>
      <c r="M36" s="22" t="inlineStr"/>
      <c r="N36" s="22" t="inlineStr">
        <is>
          <t>thiago.cavichioli@bb.com.br</t>
        </is>
      </c>
      <c r="O36" s="22" t="inlineStr">
        <is>
          <t>verified</t>
        </is>
      </c>
      <c r="P36" s="22" t="inlineStr">
        <is>
          <t>Suelen Mondador</t>
        </is>
      </c>
      <c r="Q36" s="22" t="inlineStr">
        <is>
          <t>Gerente Especialista em Recuperação de Crédito</t>
        </is>
      </c>
      <c r="R36" s="22" t="inlineStr"/>
      <c r="S36" s="22" t="inlineStr">
        <is>
          <t>suelenmondador@bb.com.br</t>
        </is>
      </c>
      <c r="T36" s="22" t="inlineStr">
        <is>
          <t>DM: DM verified email; BACKUP: backup verified email</t>
        </is>
      </c>
      <c r="U36" s="24" t="n">
        <v>2646391.58</v>
      </c>
      <c r="V36" s="25" t="inlineStr">
        <is>
          <t>B</t>
        </is>
      </c>
      <c r="W36" s="26" t="inlineStr"/>
      <c r="X36" s="27" t="inlineStr"/>
      <c r="Y36" s="27" t="inlineStr"/>
      <c r="Z36" s="26">
        <f>IF(W36&lt;&gt;"",W36,IFERROR(VLOOKUP(V36,Assumptions!$A$8:$F$12,2,FALSE),0))</f>
        <v/>
      </c>
      <c r="AA36" s="28">
        <f>IF(V36="A",MAX(1,IF(X36&lt;&gt;"",X36,IFERROR(VLOOKUP(V36,Assumptions!$A$8:$F$12,3,FALSE),3))+IF(Y36&lt;&gt;"",Y36,IFERROR(VLOOKUP(V36,Assumptions!$A$8:$F$12,4,FALSE),8))/2-MAX(0,IF(AS36="",0,YEAR(TODAY())-AS36)-IFERROR(VLOOKUP(V36,Assumptions!$A$8:$F$12,5,FALSE),1.5))),IFERROR(VLOOKUP(V36,Assumptions!$A$8:$F$12,5,FALSE),2.5)+IF(X36&lt;&gt;"",X36,IFERROR(VLOOKUP(V36,Assumptions!$A$8:$F$12,3,FALSE),3))+IF(Y36&lt;&gt;"",Y36,IFERROR(VLOOKUP(V36,Assumptions!$A$8:$F$12,4,FALSE),8))/2)</f>
        <v/>
      </c>
      <c r="AB36" s="24">
        <f>U36*Z36/(1+Assumptions!$B$3)^AA36</f>
        <v/>
      </c>
      <c r="AC36" s="27">
        <f>IF(U36=0,"",ROUND(AB36/U36*100,1))</f>
        <v/>
      </c>
      <c r="AD36" s="29">
        <f>AB36*Assumptions!$B$4</f>
        <v/>
      </c>
      <c r="AE36" s="27">
        <f>IF(U36=0,"",ROUND(AD36/U36*100,1))</f>
        <v/>
      </c>
      <c r="AF36" s="29">
        <f>AB36-AD36</f>
        <v/>
      </c>
      <c r="AG36" s="27">
        <f>IF(U36=0,"",ROUND((AB36-AD36)/U36*100,1))</f>
        <v/>
      </c>
      <c r="AH36" s="34" t="inlineStr">
        <is>
          <t>NO TOTALS — list prints none; check page</t>
        </is>
      </c>
      <c r="AI36" s="31" t="inlineStr">
        <is>
          <t>https://ajruiz.com.br/sites/default/files/public/arquivos-processos/2026-01/safrasul_relacao_de_credores_recuperanda.pdf</t>
        </is>
      </c>
      <c r="AJ36" s="30" t="inlineStr">
        <is>
          <t>p8 r1</t>
        </is>
      </c>
      <c r="AK36" s="30" t="inlineStr">
        <is>
          <t>p8: R$ 2.646.391,58</t>
        </is>
      </c>
      <c r="AL36" s="30" t="inlineStr">
        <is>
          <t>AJ list (art. 7 §2)</t>
        </is>
      </c>
      <c r="AM36" s="30" t="inlineStr">
        <is>
          <t>2026-01-14</t>
        </is>
      </c>
      <c r="AN36" s="30" t="inlineStr">
        <is>
          <t>NONE FOUND</t>
        </is>
      </c>
      <c r="AO36" s="32" t="inlineStr">
        <is>
          <t>4000167-23.2025.8.26.0373</t>
        </is>
      </c>
      <c r="AP36" s="32" t="inlineStr">
        <is>
          <t>TJSP</t>
        </is>
      </c>
      <c r="AQ36" s="32" t="inlineStr">
        <is>
          <t>Recuperação judicial</t>
        </is>
      </c>
      <c r="AR36" s="32" t="inlineStr">
        <is>
          <t>DataJud: no closure/falência movement</t>
        </is>
      </c>
      <c r="AS36" s="32" t="n">
        <v>2025</v>
      </c>
      <c r="AT36" s="32" t="inlineStr">
        <is>
          <t>live case, no plan document yet</t>
        </is>
      </c>
      <c r="AU36" s="32" t="inlineStr"/>
      <c r="AV36" s="32" t="inlineStr">
        <is>
          <t>printed on the list (read twice)</t>
        </is>
      </c>
      <c r="AW36" s="32" t="inlineStr"/>
      <c r="AX36" s="32" t="inlineStr">
        <is>
          <t>BRASILIA</t>
        </is>
      </c>
      <c r="AY36" s="32" t="inlineStr">
        <is>
          <t>DF</t>
        </is>
      </c>
      <c r="AZ36" s="32" t="inlineStr">
        <is>
          <t>Bancos múltiplos, com carteira comercial</t>
        </is>
      </c>
      <c r="BA36" s="32" t="inlineStr">
        <is>
          <t>não ME/EPP</t>
        </is>
      </c>
      <c r="BB36" s="33" t="n">
        <v>120000000000</v>
      </c>
      <c r="BC36" s="32" t="inlineStr">
        <is>
          <t>LARGE CORP</t>
        </is>
      </c>
      <c r="BD36" s="32" t="inlineStr">
        <is>
          <t>00000000</t>
        </is>
      </c>
      <c r="BE36" s="32" t="n">
        <v>1</v>
      </c>
      <c r="BF36" s="32" t="inlineStr">
        <is>
          <t>financial by name list prints no totals</t>
        </is>
      </c>
    </row>
    <row r="37">
      <c r="A37" s="17" t="inlineStr">
        <is>
          <t>BANCO DO BRASIL SA</t>
        </is>
      </c>
      <c r="B37" s="18" t="n">
        <v>2502948.23</v>
      </c>
      <c r="C37" s="19" t="inlineStr">
        <is>
          <t>GRUPO DIAGSON</t>
        </is>
      </c>
      <c r="D37" s="20" t="inlineStr">
        <is>
          <t>NEW</t>
        </is>
      </c>
      <c r="E37" s="21" t="inlineStr"/>
      <c r="F37" s="20" t="inlineStr"/>
      <c r="G37" s="21" t="inlineStr"/>
      <c r="H37" s="20" t="inlineStr"/>
      <c r="I37" s="22" t="inlineStr">
        <is>
          <t>Thiago Cavichioli</t>
        </is>
      </c>
      <c r="J37" s="22" t="inlineStr">
        <is>
          <t>Gerente de Cobrança e Recuperação de Crédito</t>
        </is>
      </c>
      <c r="K37" s="22" t="inlineStr">
        <is>
          <t>(61) 3493-9002</t>
        </is>
      </c>
      <c r="L37" s="22" t="inlineStr"/>
      <c r="M37" s="22" t="inlineStr"/>
      <c r="N37" s="22" t="inlineStr">
        <is>
          <t>thiago.cavichioli@bb.com.br</t>
        </is>
      </c>
      <c r="O37" s="22" t="inlineStr">
        <is>
          <t>verified</t>
        </is>
      </c>
      <c r="P37" s="22" t="inlineStr">
        <is>
          <t>Suelen Mondador</t>
        </is>
      </c>
      <c r="Q37" s="22" t="inlineStr">
        <is>
          <t>Gerente Especialista em Recuperação de Crédito</t>
        </is>
      </c>
      <c r="R37" s="22" t="inlineStr"/>
      <c r="S37" s="22" t="inlineStr">
        <is>
          <t>suelenmondador@bb.com.br</t>
        </is>
      </c>
      <c r="T37" s="22" t="inlineStr">
        <is>
          <t>DM: DM verified email; BACKUP: backup verified email</t>
        </is>
      </c>
      <c r="U37" s="24" t="n">
        <v>2502948.23</v>
      </c>
      <c r="V37" s="25" t="inlineStr">
        <is>
          <t>B</t>
        </is>
      </c>
      <c r="W37" s="26" t="inlineStr"/>
      <c r="X37" s="27" t="inlineStr"/>
      <c r="Y37" s="27" t="inlineStr"/>
      <c r="Z37" s="26">
        <f>IF(W37&lt;&gt;"",W37,IFERROR(VLOOKUP(V37,Assumptions!$A$8:$F$12,2,FALSE),0))</f>
        <v/>
      </c>
      <c r="AA37" s="28">
        <f>IF(V37="A",MAX(1,IF(X37&lt;&gt;"",X37,IFERROR(VLOOKUP(V37,Assumptions!$A$8:$F$12,3,FALSE),3))+IF(Y37&lt;&gt;"",Y37,IFERROR(VLOOKUP(V37,Assumptions!$A$8:$F$12,4,FALSE),8))/2-MAX(0,IF(AS37="",0,YEAR(TODAY())-AS37)-IFERROR(VLOOKUP(V37,Assumptions!$A$8:$F$12,5,FALSE),1.5))),IFERROR(VLOOKUP(V37,Assumptions!$A$8:$F$12,5,FALSE),2.5)+IF(X37&lt;&gt;"",X37,IFERROR(VLOOKUP(V37,Assumptions!$A$8:$F$12,3,FALSE),3))+IF(Y37&lt;&gt;"",Y37,IFERROR(VLOOKUP(V37,Assumptions!$A$8:$F$12,4,FALSE),8))/2)</f>
        <v/>
      </c>
      <c r="AB37" s="24">
        <f>U37*Z37/(1+Assumptions!$B$3)^AA37</f>
        <v/>
      </c>
      <c r="AC37" s="27">
        <f>IF(U37=0,"",ROUND(AB37/U37*100,1))</f>
        <v/>
      </c>
      <c r="AD37" s="29">
        <f>AB37*Assumptions!$B$4</f>
        <v/>
      </c>
      <c r="AE37" s="27">
        <f>IF(U37=0,"",ROUND(AD37/U37*100,1))</f>
        <v/>
      </c>
      <c r="AF37" s="29">
        <f>AB37-AD37</f>
        <v/>
      </c>
      <c r="AG37" s="27">
        <f>IF(U37=0,"",ROUND((AB37-AD37)/U37*100,1))</f>
        <v/>
      </c>
      <c r="AH37" s="35" t="inlineStr">
        <is>
          <t>PARTIAL — class III reconciled, other classes not</t>
        </is>
      </c>
      <c r="AI37" s="31" t="inlineStr">
        <is>
          <t>https://lrflideres.com.br/wp-content/plugins/download-attachments/includes/download.php?id=7418</t>
        </is>
      </c>
      <c r="AJ37" s="30" t="inlineStr">
        <is>
          <t>p2 r40</t>
        </is>
      </c>
      <c r="AK37" s="30" t="inlineStr">
        <is>
          <t>p2: R$ 2.502.948,23</t>
        </is>
      </c>
      <c r="AL37" s="30" t="inlineStr">
        <is>
          <t>Debtor list (art. 51)</t>
        </is>
      </c>
      <c r="AM37" s="30" t="inlineStr">
        <is>
          <t>2026-07-28</t>
        </is>
      </c>
      <c r="AN37" s="30" t="inlineStr">
        <is>
          <t>NONE FOUND</t>
        </is>
      </c>
      <c r="AO37" s="32" t="inlineStr">
        <is>
          <t>0822279-56.2026.8.15.2001</t>
        </is>
      </c>
      <c r="AP37" s="32" t="inlineStr">
        <is>
          <t>TJPB</t>
        </is>
      </c>
      <c r="AQ37" s="32" t="inlineStr">
        <is>
          <t>Recuperação judicial</t>
        </is>
      </c>
      <c r="AR37" s="32" t="inlineStr">
        <is>
          <t>DataJud: no closure/falência movement</t>
        </is>
      </c>
      <c r="AS37" s="32" t="n">
        <v>2026</v>
      </c>
      <c r="AT37" s="32" t="inlineStr">
        <is>
          <t>live case, no plan document yet</t>
        </is>
      </c>
      <c r="AU37" s="32" t="inlineStr">
        <is>
          <t>00.149.703/0001-86</t>
        </is>
      </c>
      <c r="AV37" s="32" t="inlineStr">
        <is>
          <t>printed on the list (read twice)</t>
        </is>
      </c>
      <c r="AW37" s="32" t="inlineStr"/>
      <c r="AX37" s="32" t="inlineStr">
        <is>
          <t>BRASILIA</t>
        </is>
      </c>
      <c r="AY37" s="32" t="inlineStr">
        <is>
          <t>DF</t>
        </is>
      </c>
      <c r="AZ37" s="32" t="inlineStr">
        <is>
          <t>Bancos múltiplos, com carteira comercial</t>
        </is>
      </c>
      <c r="BA37" s="32" t="inlineStr">
        <is>
          <t>não ME/EPP</t>
        </is>
      </c>
      <c r="BB37" s="33" t="n">
        <v>120000000000</v>
      </c>
      <c r="BC37" s="32" t="inlineStr">
        <is>
          <t>LARGE CORP</t>
        </is>
      </c>
      <c r="BD37" s="32" t="inlineStr">
        <is>
          <t>00000000</t>
        </is>
      </c>
      <c r="BE37" s="32" t="n">
        <v>1</v>
      </c>
      <c r="BF37" s="32" t="inlineStr">
        <is>
          <t>financial by name class III reconciled (doc partial)</t>
        </is>
      </c>
    </row>
    <row r="38">
      <c r="A38" s="17" t="inlineStr">
        <is>
          <t>BANCO DO NORDESTE DO BRASIL SA</t>
        </is>
      </c>
      <c r="B38" s="18" t="n">
        <v>2341598.97</v>
      </c>
      <c r="C38" s="19" t="inlineStr">
        <is>
          <t>GRUPO DIAGSON</t>
        </is>
      </c>
      <c r="D38" s="20" t="inlineStr">
        <is>
          <t>NEW</t>
        </is>
      </c>
      <c r="E38" s="21" t="inlineStr"/>
      <c r="F38" s="20" t="inlineStr"/>
      <c r="G38" s="21" t="inlineStr"/>
      <c r="H38" s="20" t="inlineStr"/>
      <c r="I38" s="22" t="inlineStr">
        <is>
          <t>Layslan Medeiros</t>
        </is>
      </c>
      <c r="J38" s="22" t="inlineStr">
        <is>
          <t>Gerente Executivo Operacional e de Recuperação de Crédito</t>
        </is>
      </c>
      <c r="K38" s="22" t="inlineStr">
        <is>
          <t>(85) 3299-3000</t>
        </is>
      </c>
      <c r="L38" s="22" t="inlineStr"/>
      <c r="M38" s="22" t="inlineStr"/>
      <c r="N38" s="22" t="inlineStr"/>
      <c r="O38" s="22" t="inlineStr"/>
      <c r="P38" s="22" t="inlineStr">
        <is>
          <t>Alexsander Farias</t>
        </is>
      </c>
      <c r="Q38" s="22" t="inlineStr">
        <is>
          <t>Gerente de Recuperação de Crédito</t>
        </is>
      </c>
      <c r="R38" s="22" t="inlineStr"/>
      <c r="S38" s="22" t="inlineStr">
        <is>
          <t>alexsander@bnb.gov.br</t>
        </is>
      </c>
      <c r="T38" s="22" t="inlineStr">
        <is>
          <t>DM: DM; no work email in Apollo for DM; BACKUP: backup</t>
        </is>
      </c>
      <c r="U38" s="24" t="n">
        <v>2341598.97</v>
      </c>
      <c r="V38" s="25" t="inlineStr">
        <is>
          <t>B</t>
        </is>
      </c>
      <c r="W38" s="26" t="inlineStr"/>
      <c r="X38" s="27" t="inlineStr"/>
      <c r="Y38" s="27" t="inlineStr"/>
      <c r="Z38" s="26">
        <f>IF(W38&lt;&gt;"",W38,IFERROR(VLOOKUP(V38,Assumptions!$A$8:$F$12,2,FALSE),0))</f>
        <v/>
      </c>
      <c r="AA38" s="28">
        <f>IF(V38="A",MAX(1,IF(X38&lt;&gt;"",X38,IFERROR(VLOOKUP(V38,Assumptions!$A$8:$F$12,3,FALSE),3))+IF(Y38&lt;&gt;"",Y38,IFERROR(VLOOKUP(V38,Assumptions!$A$8:$F$12,4,FALSE),8))/2-MAX(0,IF(AS38="",0,YEAR(TODAY())-AS38)-IFERROR(VLOOKUP(V38,Assumptions!$A$8:$F$12,5,FALSE),1.5))),IFERROR(VLOOKUP(V38,Assumptions!$A$8:$F$12,5,FALSE),2.5)+IF(X38&lt;&gt;"",X38,IFERROR(VLOOKUP(V38,Assumptions!$A$8:$F$12,3,FALSE),3))+IF(Y38&lt;&gt;"",Y38,IFERROR(VLOOKUP(V38,Assumptions!$A$8:$F$12,4,FALSE),8))/2)</f>
        <v/>
      </c>
      <c r="AB38" s="24">
        <f>U38*Z38/(1+Assumptions!$B$3)^AA38</f>
        <v/>
      </c>
      <c r="AC38" s="27">
        <f>IF(U38=0,"",ROUND(AB38/U38*100,1))</f>
        <v/>
      </c>
      <c r="AD38" s="29">
        <f>AB38*Assumptions!$B$4</f>
        <v/>
      </c>
      <c r="AE38" s="27">
        <f>IF(U38=0,"",ROUND(AD38/U38*100,1))</f>
        <v/>
      </c>
      <c r="AF38" s="29">
        <f>AB38-AD38</f>
        <v/>
      </c>
      <c r="AG38" s="27">
        <f>IF(U38=0,"",ROUND((AB38-AD38)/U38*100,1))</f>
        <v/>
      </c>
      <c r="AH38" s="35" t="inlineStr">
        <is>
          <t>PARTIAL — class III reconciled, other classes not</t>
        </is>
      </c>
      <c r="AI38" s="31" t="inlineStr">
        <is>
          <t>https://lrflideres.com.br/wp-content/plugins/download-attachments/includes/download.php?id=7418</t>
        </is>
      </c>
      <c r="AJ38" s="30" t="inlineStr">
        <is>
          <t>p2 r41</t>
        </is>
      </c>
      <c r="AK38" s="30" t="inlineStr">
        <is>
          <t>p2: R$ 2.341.598,97</t>
        </is>
      </c>
      <c r="AL38" s="30" t="inlineStr">
        <is>
          <t>Debtor list (art. 51)</t>
        </is>
      </c>
      <c r="AM38" s="30" t="inlineStr">
        <is>
          <t>2026-07-28</t>
        </is>
      </c>
      <c r="AN38" s="30" t="inlineStr">
        <is>
          <t>NONE FOUND</t>
        </is>
      </c>
      <c r="AO38" s="32" t="inlineStr">
        <is>
          <t>0822279-56.2026.8.15.2001</t>
        </is>
      </c>
      <c r="AP38" s="32" t="inlineStr">
        <is>
          <t>TJPB</t>
        </is>
      </c>
      <c r="AQ38" s="32" t="inlineStr">
        <is>
          <t>Recuperação judicial</t>
        </is>
      </c>
      <c r="AR38" s="32" t="inlineStr">
        <is>
          <t>DataJud: no closure/falência movement</t>
        </is>
      </c>
      <c r="AS38" s="32" t="n">
        <v>2026</v>
      </c>
      <c r="AT38" s="32" t="inlineStr">
        <is>
          <t>live case, no plan document yet</t>
        </is>
      </c>
      <c r="AU38" s="32" t="inlineStr">
        <is>
          <t>00.149.703/0001-86</t>
        </is>
      </c>
      <c r="AV38" s="32" t="inlineStr">
        <is>
          <t>printed on the list (read twice)</t>
        </is>
      </c>
      <c r="AW38" s="32" t="inlineStr"/>
      <c r="AX38" s="32" t="inlineStr">
        <is>
          <t>FORTALEZA</t>
        </is>
      </c>
      <c r="AY38" s="32" t="inlineStr">
        <is>
          <t>CE</t>
        </is>
      </c>
      <c r="AZ38" s="32" t="inlineStr">
        <is>
          <t>Bancos múltiplos, com carteira comercial</t>
        </is>
      </c>
      <c r="BA38" s="32" t="inlineStr">
        <is>
          <t>não ME/EPP</t>
        </is>
      </c>
      <c r="BB38" s="33" t="n">
        <v>15139032000</v>
      </c>
      <c r="BC38" s="32" t="inlineStr">
        <is>
          <t>LARGE CORP</t>
        </is>
      </c>
      <c r="BD38" s="32" t="inlineStr">
        <is>
          <t>07237373</t>
        </is>
      </c>
      <c r="BE38" s="32" t="n">
        <v>1</v>
      </c>
      <c r="BF38" s="32" t="inlineStr">
        <is>
          <t>financial by name class III reconciled (doc partial)</t>
        </is>
      </c>
    </row>
    <row r="39">
      <c r="A39" s="17" t="inlineStr">
        <is>
          <t>BANCO DO BRASIL SA</t>
        </is>
      </c>
      <c r="B39" s="18" t="n">
        <v>2120288.66</v>
      </c>
      <c r="C39" s="19" t="inlineStr">
        <is>
          <t>B1 COMÉRCIO DE MANUFATURADOS LTDA</t>
        </is>
      </c>
      <c r="D39" s="20" t="inlineStr">
        <is>
          <t>NEW</t>
        </is>
      </c>
      <c r="E39" s="21" t="inlineStr"/>
      <c r="F39" s="20" t="inlineStr"/>
      <c r="G39" s="21" t="inlineStr"/>
      <c r="H39" s="20" t="inlineStr"/>
      <c r="I39" s="22" t="inlineStr">
        <is>
          <t>Thiago Cavichioli</t>
        </is>
      </c>
      <c r="J39" s="22" t="inlineStr">
        <is>
          <t>Gerente de Cobrança e Recuperação de Crédito</t>
        </is>
      </c>
      <c r="K39" s="22" t="inlineStr">
        <is>
          <t>(61) 3493-9002</t>
        </is>
      </c>
      <c r="L39" s="22" t="inlineStr"/>
      <c r="M39" s="22" t="inlineStr"/>
      <c r="N39" s="22" t="inlineStr">
        <is>
          <t>thiago.cavichioli@bb.com.br</t>
        </is>
      </c>
      <c r="O39" s="22" t="inlineStr">
        <is>
          <t>verified</t>
        </is>
      </c>
      <c r="P39" s="22" t="inlineStr">
        <is>
          <t>Suelen Mondador</t>
        </is>
      </c>
      <c r="Q39" s="22" t="inlineStr">
        <is>
          <t>Gerente Especialista em Recuperação de Crédito</t>
        </is>
      </c>
      <c r="R39" s="22" t="inlineStr"/>
      <c r="S39" s="22" t="inlineStr">
        <is>
          <t>suelenmondador@bb.com.br</t>
        </is>
      </c>
      <c r="T39" s="22" t="inlineStr">
        <is>
          <t>DM: DM verified email; BACKUP: backup verified email</t>
        </is>
      </c>
      <c r="U39" s="24" t="n">
        <v>2120288.66</v>
      </c>
      <c r="V39" s="25" t="inlineStr">
        <is>
          <t>B</t>
        </is>
      </c>
      <c r="W39" s="26" t="inlineStr"/>
      <c r="X39" s="27" t="inlineStr"/>
      <c r="Y39" s="27" t="inlineStr"/>
      <c r="Z39" s="26">
        <f>IF(W39&lt;&gt;"",W39,IFERROR(VLOOKUP(V39,Assumptions!$A$8:$F$12,2,FALSE),0))</f>
        <v/>
      </c>
      <c r="AA39" s="28">
        <f>IF(V39="A",MAX(1,IF(X39&lt;&gt;"",X39,IFERROR(VLOOKUP(V39,Assumptions!$A$8:$F$12,3,FALSE),3))+IF(Y39&lt;&gt;"",Y39,IFERROR(VLOOKUP(V39,Assumptions!$A$8:$F$12,4,FALSE),8))/2-MAX(0,IF(AS39="",0,YEAR(TODAY())-AS39)-IFERROR(VLOOKUP(V39,Assumptions!$A$8:$F$12,5,FALSE),1.5))),IFERROR(VLOOKUP(V39,Assumptions!$A$8:$F$12,5,FALSE),2.5)+IF(X39&lt;&gt;"",X39,IFERROR(VLOOKUP(V39,Assumptions!$A$8:$F$12,3,FALSE),3))+IF(Y39&lt;&gt;"",Y39,IFERROR(VLOOKUP(V39,Assumptions!$A$8:$F$12,4,FALSE),8))/2)</f>
        <v/>
      </c>
      <c r="AB39" s="24">
        <f>U39*Z39/(1+Assumptions!$B$3)^AA39</f>
        <v/>
      </c>
      <c r="AC39" s="27">
        <f>IF(U39=0,"",ROUND(AB39/U39*100,1))</f>
        <v/>
      </c>
      <c r="AD39" s="29">
        <f>AB39*Assumptions!$B$4</f>
        <v/>
      </c>
      <c r="AE39" s="27">
        <f>IF(U39=0,"",ROUND(AD39/U39*100,1))</f>
        <v/>
      </c>
      <c r="AF39" s="29">
        <f>AB39-AD39</f>
        <v/>
      </c>
      <c r="AG39" s="27">
        <f>IF(U39=0,"",ROUND((AB39-AD39)/U39*100,1))</f>
        <v/>
      </c>
      <c r="AH39" s="34" t="inlineStr">
        <is>
          <t>NO TOTALS — list prints none; check page</t>
        </is>
      </c>
      <c r="AI39" s="31" t="inlineStr">
        <is>
          <t>https://marquesadmjudicial.com.br/sgc/download.php?file=files/processo_documento/processo_documento18581929042026_1_.pdf&amp;nome=3º Edital - Relação de Credores e PRJ</t>
        </is>
      </c>
      <c r="AJ39" s="30" t="inlineStr">
        <is>
          <t>p1 r37</t>
        </is>
      </c>
      <c r="AK39" s="30" t="inlineStr">
        <is>
          <t>p1: R$ 2.120.288,66</t>
        </is>
      </c>
      <c r="AL39" s="30" t="inlineStr">
        <is>
          <t>AJ list (art. 7 §2)</t>
        </is>
      </c>
      <c r="AM39" s="30" t="inlineStr">
        <is>
          <t>2025-09-12</t>
        </is>
      </c>
      <c r="AN39" s="30" t="inlineStr">
        <is>
          <t>NONE FOUND</t>
        </is>
      </c>
      <c r="AO39" s="32" t="inlineStr">
        <is>
          <t>0043030-30.2025.8.16.0021</t>
        </is>
      </c>
      <c r="AP39" s="32" t="inlineStr">
        <is>
          <t>TJPR</t>
        </is>
      </c>
      <c r="AQ39" s="32" t="inlineStr">
        <is>
          <t>Recuperação judicial</t>
        </is>
      </c>
      <c r="AR39" s="32" t="inlineStr">
        <is>
          <t>DataJud: no closure/falência movement</t>
        </is>
      </c>
      <c r="AS39" s="32" t="n">
        <v>2025</v>
      </c>
      <c r="AT39" s="32" t="inlineStr">
        <is>
          <t>live case, no plan document yet</t>
        </is>
      </c>
      <c r="AU39" s="32" t="inlineStr">
        <is>
          <t>29.448.809/0001-62</t>
        </is>
      </c>
      <c r="AV39" s="32" t="inlineStr">
        <is>
          <t>printed on the list (read twice)</t>
        </is>
      </c>
      <c r="AW39" s="32" t="inlineStr"/>
      <c r="AX39" s="32" t="inlineStr">
        <is>
          <t>BRASILIA</t>
        </is>
      </c>
      <c r="AY39" s="32" t="inlineStr">
        <is>
          <t>DF</t>
        </is>
      </c>
      <c r="AZ39" s="32" t="inlineStr">
        <is>
          <t>Bancos múltiplos, com carteira comercial</t>
        </is>
      </c>
      <c r="BA39" s="32" t="inlineStr">
        <is>
          <t>não ME/EPP</t>
        </is>
      </c>
      <c r="BB39" s="33" t="n">
        <v>120000000000</v>
      </c>
      <c r="BC39" s="32" t="inlineStr">
        <is>
          <t>LARGE CORP</t>
        </is>
      </c>
      <c r="BD39" s="32" t="inlineStr">
        <is>
          <t>00000000</t>
        </is>
      </c>
      <c r="BE39" s="32" t="n">
        <v>1</v>
      </c>
      <c r="BF39" s="32" t="inlineStr">
        <is>
          <t>financial by name list prints no totals</t>
        </is>
      </c>
    </row>
    <row r="40">
      <c r="A40" s="17" t="inlineStr">
        <is>
          <t>BANCO DO BRASIL SA</t>
        </is>
      </c>
      <c r="B40" s="18" t="n">
        <v>2023755.17</v>
      </c>
      <c r="C40" s="19" t="inlineStr">
        <is>
          <t>GRUPO DP4</t>
        </is>
      </c>
      <c r="D40" s="20" t="inlineStr">
        <is>
          <t>NEW</t>
        </is>
      </c>
      <c r="E40" s="21" t="inlineStr"/>
      <c r="F40" s="20" t="inlineStr"/>
      <c r="G40" s="21" t="inlineStr"/>
      <c r="H40" s="20" t="inlineStr"/>
      <c r="I40" s="22" t="inlineStr">
        <is>
          <t>Thiago Cavichioli</t>
        </is>
      </c>
      <c r="J40" s="22" t="inlineStr">
        <is>
          <t>Gerente de Cobrança e Recuperação de Crédito</t>
        </is>
      </c>
      <c r="K40" s="22" t="inlineStr">
        <is>
          <t>(61) 3493-9002</t>
        </is>
      </c>
      <c r="L40" s="22" t="inlineStr"/>
      <c r="M40" s="22" t="inlineStr"/>
      <c r="N40" s="22" t="inlineStr">
        <is>
          <t>thiago.cavichioli@bb.com.br</t>
        </is>
      </c>
      <c r="O40" s="22" t="inlineStr">
        <is>
          <t>verified</t>
        </is>
      </c>
      <c r="P40" s="22" t="inlineStr">
        <is>
          <t>Suelen Mondador</t>
        </is>
      </c>
      <c r="Q40" s="22" t="inlineStr">
        <is>
          <t>Gerente Especialista em Recuperação de Crédito</t>
        </is>
      </c>
      <c r="R40" s="22" t="inlineStr"/>
      <c r="S40" s="22" t="inlineStr">
        <is>
          <t>suelenmondador@bb.com.br</t>
        </is>
      </c>
      <c r="T40" s="22" t="inlineStr">
        <is>
          <t>DM: DM verified email; BACKUP: backup verified email</t>
        </is>
      </c>
      <c r="U40" s="24" t="n">
        <v>2023755.17</v>
      </c>
      <c r="V40" s="25" t="inlineStr">
        <is>
          <t>B</t>
        </is>
      </c>
      <c r="W40" s="26" t="inlineStr"/>
      <c r="X40" s="27" t="inlineStr"/>
      <c r="Y40" s="27" t="inlineStr"/>
      <c r="Z40" s="26">
        <f>IF(W40&lt;&gt;"",W40,IFERROR(VLOOKUP(V40,Assumptions!$A$8:$F$12,2,FALSE),0))</f>
        <v/>
      </c>
      <c r="AA40" s="28">
        <f>IF(V40="A",MAX(1,IF(X40&lt;&gt;"",X40,IFERROR(VLOOKUP(V40,Assumptions!$A$8:$F$12,3,FALSE),3))+IF(Y40&lt;&gt;"",Y40,IFERROR(VLOOKUP(V40,Assumptions!$A$8:$F$12,4,FALSE),8))/2-MAX(0,IF(AS40="",0,YEAR(TODAY())-AS40)-IFERROR(VLOOKUP(V40,Assumptions!$A$8:$F$12,5,FALSE),1.5))),IFERROR(VLOOKUP(V40,Assumptions!$A$8:$F$12,5,FALSE),2.5)+IF(X40&lt;&gt;"",X40,IFERROR(VLOOKUP(V40,Assumptions!$A$8:$F$12,3,FALSE),3))+IF(Y40&lt;&gt;"",Y40,IFERROR(VLOOKUP(V40,Assumptions!$A$8:$F$12,4,FALSE),8))/2)</f>
        <v/>
      </c>
      <c r="AB40" s="24">
        <f>U40*Z40/(1+Assumptions!$B$3)^AA40</f>
        <v/>
      </c>
      <c r="AC40" s="27">
        <f>IF(U40=0,"",ROUND(AB40/U40*100,1))</f>
        <v/>
      </c>
      <c r="AD40" s="29">
        <f>AB40*Assumptions!$B$4</f>
        <v/>
      </c>
      <c r="AE40" s="27">
        <f>IF(U40=0,"",ROUND(AD40/U40*100,1))</f>
        <v/>
      </c>
      <c r="AF40" s="29">
        <f>AB40-AD40</f>
        <v/>
      </c>
      <c r="AG40" s="27">
        <f>IF(U40=0,"",ROUND((AB40-AD40)/U40*100,1))</f>
        <v/>
      </c>
      <c r="AH40" s="35" t="inlineStr">
        <is>
          <t>PARTIAL — class III reconciled, other classes not</t>
        </is>
      </c>
      <c r="AI40" s="31" t="inlineStr">
        <is>
          <t>https://marquesadmjudicial.com.br/sgc/download.php?file=files/processo_documento/processo_documento15293208032024_1_.pdf&amp;nome=Relação Nominal de Credores da AJ-Sintética</t>
        </is>
      </c>
      <c r="AJ40" s="30" t="inlineStr">
        <is>
          <t>p20 r10</t>
        </is>
      </c>
      <c r="AK40" s="30" t="inlineStr">
        <is>
          <t>p20: R$ 2.023.755,17</t>
        </is>
      </c>
      <c r="AL40" s="30" t="inlineStr">
        <is>
          <t>AJ list (art. 7 §2)</t>
        </is>
      </c>
      <c r="AM40" s="30" t="inlineStr">
        <is>
          <t>2023-03-02</t>
        </is>
      </c>
      <c r="AN40" s="30" t="inlineStr">
        <is>
          <t>NONE FOUND</t>
        </is>
      </c>
      <c r="AO40" s="32" t="inlineStr">
        <is>
          <t>0005010-98.2023.8.16.0001</t>
        </is>
      </c>
      <c r="AP40" s="32" t="inlineStr">
        <is>
          <t>TJPR</t>
        </is>
      </c>
      <c r="AQ40" s="32" t="inlineStr">
        <is>
          <t>Recuperação judicial</t>
        </is>
      </c>
      <c r="AR40" s="32" t="inlineStr">
        <is>
          <t>DataJud: no closure/falência movement</t>
        </is>
      </c>
      <c r="AS40" s="32" t="n">
        <v>2023</v>
      </c>
      <c r="AT40" s="32" t="inlineStr">
        <is>
          <t>live case, no plan document yet</t>
        </is>
      </c>
      <c r="AU40" s="32" t="inlineStr"/>
      <c r="AV40" s="32" t="inlineStr">
        <is>
          <t>printed on the list (read twice)</t>
        </is>
      </c>
      <c r="AW40" s="32" t="inlineStr"/>
      <c r="AX40" s="32" t="inlineStr">
        <is>
          <t>BRASILIA</t>
        </is>
      </c>
      <c r="AY40" s="32" t="inlineStr">
        <is>
          <t>DF</t>
        </is>
      </c>
      <c r="AZ40" s="32" t="inlineStr">
        <is>
          <t>Bancos múltiplos, com carteira comercial</t>
        </is>
      </c>
      <c r="BA40" s="32" t="inlineStr">
        <is>
          <t>não ME/EPP</t>
        </is>
      </c>
      <c r="BB40" s="33" t="n">
        <v>120000000000</v>
      </c>
      <c r="BC40" s="32" t="inlineStr">
        <is>
          <t>LARGE CORP</t>
        </is>
      </c>
      <c r="BD40" s="32" t="inlineStr">
        <is>
          <t>00000000</t>
        </is>
      </c>
      <c r="BE40" s="32" t="n">
        <v>1</v>
      </c>
      <c r="BF40" s="32" t="inlineStr">
        <is>
          <t>financial by name class III reconciled (doc partial)</t>
        </is>
      </c>
    </row>
    <row r="41">
      <c r="A41" s="17" t="inlineStr">
        <is>
          <t>CAIXA ECONOMICA FEDERAL</t>
        </is>
      </c>
      <c r="B41" s="18" t="n">
        <v>3489161.6</v>
      </c>
      <c r="C41" s="37" t="inlineStr">
        <is>
          <t>(debtor not identified — see proof)</t>
        </is>
      </c>
      <c r="D41" s="20" t="inlineStr">
        <is>
          <t>NEW</t>
        </is>
      </c>
      <c r="E41" s="21" t="inlineStr"/>
      <c r="F41" s="20" t="inlineStr"/>
      <c r="G41" s="21" t="inlineStr"/>
      <c r="H41" s="20" t="inlineStr"/>
      <c r="I41" s="22" t="inlineStr">
        <is>
          <t>Livia Serikaku</t>
        </is>
      </c>
      <c r="J41" s="22" t="inlineStr">
        <is>
          <t>Gerente de Clientes e Negócios | Recuperação de Crédito</t>
        </is>
      </c>
      <c r="K41" s="22" t="inlineStr">
        <is>
          <t>(00) 4004-0104</t>
        </is>
      </c>
      <c r="L41" s="22" t="inlineStr"/>
      <c r="M41" s="22" t="inlineStr"/>
      <c r="N41" s="22" t="inlineStr"/>
      <c r="O41" s="22" t="inlineStr"/>
      <c r="P41" s="22" t="inlineStr">
        <is>
          <t>CARLOS ANTONIO VIEIRA FERNANDES</t>
        </is>
      </c>
      <c r="Q41" s="22" t="inlineStr">
        <is>
          <t>Presidente (RFB partner)</t>
        </is>
      </c>
      <c r="R41" s="22" t="inlineStr"/>
      <c r="S41" s="22" t="inlineStr"/>
      <c r="T41" s="22" t="inlineStr">
        <is>
          <t>DM: DM email unavailable; no work email in Apollo for DM</t>
        </is>
      </c>
      <c r="U41" s="24" t="n">
        <v>3489161.6</v>
      </c>
      <c r="V41" s="38" t="inlineStr">
        <is>
          <t>U</t>
        </is>
      </c>
      <c r="W41" s="26" t="inlineStr"/>
      <c r="X41" s="27" t="inlineStr"/>
      <c r="Y41" s="27" t="inlineStr"/>
      <c r="Z41" s="26">
        <f>IF(W41&lt;&gt;"",W41,IFERROR(VLOOKUP(V41,Assumptions!$A$8:$F$12,2,FALSE),0))</f>
        <v/>
      </c>
      <c r="AA41" s="28">
        <f>IF(V41="A",MAX(1,IF(X41&lt;&gt;"",X41,IFERROR(VLOOKUP(V41,Assumptions!$A$8:$F$12,3,FALSE),3))+IF(Y41&lt;&gt;"",Y41,IFERROR(VLOOKUP(V41,Assumptions!$A$8:$F$12,4,FALSE),8))/2-MAX(0,IF(AS41="",0,YEAR(TODAY())-AS41)-IFERROR(VLOOKUP(V41,Assumptions!$A$8:$F$12,5,FALSE),1.5))),IFERROR(VLOOKUP(V41,Assumptions!$A$8:$F$12,5,FALSE),2.5)+IF(X41&lt;&gt;"",X41,IFERROR(VLOOKUP(V41,Assumptions!$A$8:$F$12,3,FALSE),3))+IF(Y41&lt;&gt;"",Y41,IFERROR(VLOOKUP(V41,Assumptions!$A$8:$F$12,4,FALSE),8))/2)</f>
        <v/>
      </c>
      <c r="AB41" s="24">
        <f>U41*Z41/(1+Assumptions!$B$3)^AA41</f>
        <v/>
      </c>
      <c r="AC41" s="27">
        <f>IF(U41=0,"",ROUND(AB41/U41*100,1))</f>
        <v/>
      </c>
      <c r="AD41" s="29">
        <f>AB41*Assumptions!$B$4</f>
        <v/>
      </c>
      <c r="AE41" s="27">
        <f>IF(U41=0,"",ROUND(AD41/U41*100,1))</f>
        <v/>
      </c>
      <c r="AF41" s="29">
        <f>AB41-AD41</f>
        <v/>
      </c>
      <c r="AG41" s="27">
        <f>IF(U41=0,"",ROUND((AB41-AD41)/U41*100,1))</f>
        <v/>
      </c>
      <c r="AH41" s="30" t="inlineStr">
        <is>
          <t>OK — totals reconciled</t>
        </is>
      </c>
      <c r="AI41" s="31" t="inlineStr">
        <is>
          <t>https://ajruiz.com.br/sites/default/files/public/arquivos-processos/2023-11/4_relacao_de_credores_analitica_art._51_iii_da_lre.pdf</t>
        </is>
      </c>
      <c r="AJ41" s="30" t="inlineStr">
        <is>
          <t>p2 r24</t>
        </is>
      </c>
      <c r="AK41" s="30" t="inlineStr">
        <is>
          <t>p2: R$ 3.489.161,60</t>
        </is>
      </c>
      <c r="AL41" s="30" t="inlineStr">
        <is>
          <t>Unclassified list</t>
        </is>
      </c>
      <c r="AM41" s="30" t="inlineStr"/>
      <c r="AN41" s="30" t="inlineStr">
        <is>
          <t>NONE FOUND</t>
        </is>
      </c>
      <c r="AO41" s="32" t="inlineStr">
        <is>
          <t>(not printed)</t>
        </is>
      </c>
      <c r="AP41" s="32" t="inlineStr"/>
      <c r="AQ41" s="32" t="inlineStr"/>
      <c r="AR41" s="32" t="inlineStr"/>
      <c r="AS41" s="32" t="inlineStr"/>
      <c r="AT41" s="32" t="inlineStr">
        <is>
          <t>RJ case number not identified on the document</t>
        </is>
      </c>
      <c r="AU41" s="32" t="inlineStr"/>
      <c r="AV41" s="32" t="inlineStr">
        <is>
          <t>not identified</t>
        </is>
      </c>
      <c r="AW41" s="32" t="inlineStr"/>
      <c r="AX41" s="32" t="inlineStr">
        <is>
          <t>BRASILIA</t>
        </is>
      </c>
      <c r="AY41" s="32" t="inlineStr">
        <is>
          <t>DF</t>
        </is>
      </c>
      <c r="AZ41" s="32" t="inlineStr">
        <is>
          <t>Caixas econômicas</t>
        </is>
      </c>
      <c r="BA41" s="32" t="inlineStr">
        <is>
          <t>não ME/EPP</t>
        </is>
      </c>
      <c r="BB41" s="33" t="n">
        <v>105300000000</v>
      </c>
      <c r="BC41" s="32" t="inlineStr">
        <is>
          <t>LARGE CORP</t>
        </is>
      </c>
      <c r="BD41" s="32" t="inlineStr">
        <is>
          <t>00360305</t>
        </is>
      </c>
      <c r="BE41" s="32" t="n">
        <v>1</v>
      </c>
      <c r="BF41" s="32" t="inlineStr">
        <is>
          <t>ALT_VALUE:BANCOS case no. corrected by reader</t>
        </is>
      </c>
    </row>
    <row r="42">
      <c r="A42" s="17" t="inlineStr">
        <is>
          <t>CAIXA ECONOMICA FEDERAL</t>
        </is>
      </c>
      <c r="B42" s="18" t="n">
        <v>1850337.87</v>
      </c>
      <c r="C42" s="19" t="inlineStr">
        <is>
          <t>GRUPO BE EIGHT</t>
        </is>
      </c>
      <c r="D42" s="20" t="inlineStr">
        <is>
          <t>NEW</t>
        </is>
      </c>
      <c r="E42" s="21" t="inlineStr"/>
      <c r="F42" s="20" t="inlineStr"/>
      <c r="G42" s="21" t="inlineStr"/>
      <c r="H42" s="20" t="inlineStr"/>
      <c r="I42" s="22" t="inlineStr">
        <is>
          <t>Livia Serikaku</t>
        </is>
      </c>
      <c r="J42" s="22" t="inlineStr">
        <is>
          <t>Gerente de Clientes e Negócios | Recuperação de Crédito</t>
        </is>
      </c>
      <c r="K42" s="22" t="inlineStr">
        <is>
          <t>(00) 4004-0104</t>
        </is>
      </c>
      <c r="L42" s="22" t="inlineStr"/>
      <c r="M42" s="22" t="inlineStr"/>
      <c r="N42" s="22" t="inlineStr"/>
      <c r="O42" s="22" t="inlineStr"/>
      <c r="P42" s="22" t="inlineStr">
        <is>
          <t>CARLOS ANTONIO VIEIRA FERNANDES</t>
        </is>
      </c>
      <c r="Q42" s="22" t="inlineStr">
        <is>
          <t>Presidente (RFB partner)</t>
        </is>
      </c>
      <c r="R42" s="22" t="inlineStr"/>
      <c r="S42" s="22" t="inlineStr"/>
      <c r="T42" s="22" t="inlineStr">
        <is>
          <t>DM: DM email unavailable; no work email in Apollo for DM</t>
        </is>
      </c>
      <c r="U42" s="24" t="n">
        <v>1850337.87</v>
      </c>
      <c r="V42" s="25" t="inlineStr">
        <is>
          <t>B</t>
        </is>
      </c>
      <c r="W42" s="26" t="inlineStr"/>
      <c r="X42" s="27" t="inlineStr"/>
      <c r="Y42" s="27" t="inlineStr"/>
      <c r="Z42" s="26">
        <f>IF(W42&lt;&gt;"",W42,IFERROR(VLOOKUP(V42,Assumptions!$A$8:$F$12,2,FALSE),0))</f>
        <v/>
      </c>
      <c r="AA42" s="28">
        <f>IF(V42="A",MAX(1,IF(X42&lt;&gt;"",X42,IFERROR(VLOOKUP(V42,Assumptions!$A$8:$F$12,3,FALSE),3))+IF(Y42&lt;&gt;"",Y42,IFERROR(VLOOKUP(V42,Assumptions!$A$8:$F$12,4,FALSE),8))/2-MAX(0,IF(AS42="",0,YEAR(TODAY())-AS42)-IFERROR(VLOOKUP(V42,Assumptions!$A$8:$F$12,5,FALSE),1.5))),IFERROR(VLOOKUP(V42,Assumptions!$A$8:$F$12,5,FALSE),2.5)+IF(X42&lt;&gt;"",X42,IFERROR(VLOOKUP(V42,Assumptions!$A$8:$F$12,3,FALSE),3))+IF(Y42&lt;&gt;"",Y42,IFERROR(VLOOKUP(V42,Assumptions!$A$8:$F$12,4,FALSE),8))/2)</f>
        <v/>
      </c>
      <c r="AB42" s="24">
        <f>U42*Z42/(1+Assumptions!$B$3)^AA42</f>
        <v/>
      </c>
      <c r="AC42" s="27">
        <f>IF(U42=0,"",ROUND(AB42/U42*100,1))</f>
        <v/>
      </c>
      <c r="AD42" s="29">
        <f>AB42*Assumptions!$B$4</f>
        <v/>
      </c>
      <c r="AE42" s="27">
        <f>IF(U42=0,"",ROUND(AD42/U42*100,1))</f>
        <v/>
      </c>
      <c r="AF42" s="29">
        <f>AB42-AD42</f>
        <v/>
      </c>
      <c r="AG42" s="27">
        <f>IF(U42=0,"",ROUND((AB42-AD42)/U42*100,1))</f>
        <v/>
      </c>
      <c r="AH42" s="34" t="inlineStr">
        <is>
          <t>NO TOTALS — list prints none; check page</t>
        </is>
      </c>
      <c r="AI42" s="31" t="inlineStr">
        <is>
          <t>https://marquesadmjudicial.com.br/sgc/download.php?file=files/processo_documento/processo_documento09444722082025_1_.pdf&amp;nome=2° Edital - Relação de Credores AJ e PRJ</t>
        </is>
      </c>
      <c r="AJ42" s="30" t="inlineStr">
        <is>
          <t>p2 r152</t>
        </is>
      </c>
      <c r="AK42" s="30" t="inlineStr">
        <is>
          <t>p2: R$ 1.850.337,87</t>
        </is>
      </c>
      <c r="AL42" s="30" t="inlineStr">
        <is>
          <t>AJ list (art. 7 §2)</t>
        </is>
      </c>
      <c r="AM42" s="30" t="inlineStr">
        <is>
          <t>2025-04-08</t>
        </is>
      </c>
      <c r="AN42" s="30" t="inlineStr">
        <is>
          <t>NONE FOUND</t>
        </is>
      </c>
      <c r="AO42" s="32" t="inlineStr">
        <is>
          <t>0008897-71.2025.8.16.0017</t>
        </is>
      </c>
      <c r="AP42" s="32" t="inlineStr">
        <is>
          <t>TJPR</t>
        </is>
      </c>
      <c r="AQ42" s="32" t="inlineStr">
        <is>
          <t>Recuperação judicial</t>
        </is>
      </c>
      <c r="AR42" s="32" t="inlineStr">
        <is>
          <t>DataJud: no closure/falência movement</t>
        </is>
      </c>
      <c r="AS42" s="32" t="n">
        <v>2025</v>
      </c>
      <c r="AT42" s="32" t="inlineStr">
        <is>
          <t>live case, no plan document yet</t>
        </is>
      </c>
      <c r="AU42" s="32" t="inlineStr">
        <is>
          <t>02.790.680/0001-10</t>
        </is>
      </c>
      <c r="AV42" s="32" t="inlineStr">
        <is>
          <t>printed on the list (read twice)</t>
        </is>
      </c>
      <c r="AW42" s="32" t="inlineStr"/>
      <c r="AX42" s="32" t="inlineStr">
        <is>
          <t>BRASILIA</t>
        </is>
      </c>
      <c r="AY42" s="32" t="inlineStr">
        <is>
          <t>DF</t>
        </is>
      </c>
      <c r="AZ42" s="32" t="inlineStr">
        <is>
          <t>Caixas econômicas</t>
        </is>
      </c>
      <c r="BA42" s="32" t="inlineStr">
        <is>
          <t>não ME/EPP</t>
        </is>
      </c>
      <c r="BB42" s="33" t="n">
        <v>105300000000</v>
      </c>
      <c r="BC42" s="32" t="inlineStr">
        <is>
          <t>LARGE CORP</t>
        </is>
      </c>
      <c r="BD42" s="32" t="inlineStr">
        <is>
          <t>00360305</t>
        </is>
      </c>
      <c r="BE42" s="32" t="n">
        <v>1</v>
      </c>
      <c r="BF42" s="32" t="inlineStr">
        <is>
          <t>financial by name list prints no totals</t>
        </is>
      </c>
    </row>
    <row r="43">
      <c r="A43" s="17" t="inlineStr">
        <is>
          <t>Banestes SA Banco Do Estado Do Espirito Santo</t>
        </is>
      </c>
      <c r="B43" s="18" t="n">
        <v>1843833.89</v>
      </c>
      <c r="C43" s="19" t="inlineStr">
        <is>
          <t>GRUPO DP4</t>
        </is>
      </c>
      <c r="D43" s="20" t="inlineStr">
        <is>
          <t>NEW</t>
        </is>
      </c>
      <c r="E43" s="21" t="inlineStr"/>
      <c r="F43" s="20" t="inlineStr"/>
      <c r="G43" s="21" t="inlineStr"/>
      <c r="H43" s="20" t="inlineStr"/>
      <c r="I43" s="22" t="inlineStr"/>
      <c r="J43" s="22" t="inlineStr"/>
      <c r="K43" s="22" t="inlineStr"/>
      <c r="L43" s="22" t="inlineStr"/>
      <c r="M43" s="22" t="inlineStr"/>
      <c r="N43" s="22" t="inlineStr"/>
      <c r="O43" s="22" t="inlineStr"/>
      <c r="P43" s="22" t="inlineStr"/>
      <c r="Q43" s="22" t="inlineStr"/>
      <c r="R43" s="22" t="inlineStr"/>
      <c r="S43" s="22" t="inlineStr"/>
      <c r="T43" s="22" t="inlineStr">
        <is>
          <t>no named contact found; NO ROUTE IN: no phone or email on file</t>
        </is>
      </c>
      <c r="U43" s="24" t="n">
        <v>1843833.89</v>
      </c>
      <c r="V43" s="25" t="inlineStr">
        <is>
          <t>B</t>
        </is>
      </c>
      <c r="W43" s="26" t="inlineStr"/>
      <c r="X43" s="27" t="inlineStr"/>
      <c r="Y43" s="27" t="inlineStr"/>
      <c r="Z43" s="26">
        <f>IF(W43&lt;&gt;"",W43,IFERROR(VLOOKUP(V43,Assumptions!$A$8:$F$12,2,FALSE),0))</f>
        <v/>
      </c>
      <c r="AA43" s="28">
        <f>IF(V43="A",MAX(1,IF(X43&lt;&gt;"",X43,IFERROR(VLOOKUP(V43,Assumptions!$A$8:$F$12,3,FALSE),3))+IF(Y43&lt;&gt;"",Y43,IFERROR(VLOOKUP(V43,Assumptions!$A$8:$F$12,4,FALSE),8))/2-MAX(0,IF(AS43="",0,YEAR(TODAY())-AS43)-IFERROR(VLOOKUP(V43,Assumptions!$A$8:$F$12,5,FALSE),1.5))),IFERROR(VLOOKUP(V43,Assumptions!$A$8:$F$12,5,FALSE),2.5)+IF(X43&lt;&gt;"",X43,IFERROR(VLOOKUP(V43,Assumptions!$A$8:$F$12,3,FALSE),3))+IF(Y43&lt;&gt;"",Y43,IFERROR(VLOOKUP(V43,Assumptions!$A$8:$F$12,4,FALSE),8))/2)</f>
        <v/>
      </c>
      <c r="AB43" s="24">
        <f>U43*Z43/(1+Assumptions!$B$3)^AA43</f>
        <v/>
      </c>
      <c r="AC43" s="27">
        <f>IF(U43=0,"",ROUND(AB43/U43*100,1))</f>
        <v/>
      </c>
      <c r="AD43" s="29">
        <f>AB43*Assumptions!$B$4</f>
        <v/>
      </c>
      <c r="AE43" s="27">
        <f>IF(U43=0,"",ROUND(AD43/U43*100,1))</f>
        <v/>
      </c>
      <c r="AF43" s="29">
        <f>AB43-AD43</f>
        <v/>
      </c>
      <c r="AG43" s="27">
        <f>IF(U43=0,"",ROUND((AB43-AD43)/U43*100,1))</f>
        <v/>
      </c>
      <c r="AH43" s="35" t="inlineStr">
        <is>
          <t>PARTIAL — class III reconciled, other classes not</t>
        </is>
      </c>
      <c r="AI43" s="31" t="inlineStr">
        <is>
          <t>https://marquesadmjudicial.com.br/sgc/download.php?file=files/processo_documento/processo_documento15293208032024_1_.pdf&amp;nome=Relação Nominal de Credores da AJ-Sintética</t>
        </is>
      </c>
      <c r="AJ43" s="30" t="inlineStr">
        <is>
          <t>p21 r7</t>
        </is>
      </c>
      <c r="AK43" s="30" t="inlineStr">
        <is>
          <t>p21: R$ 1.843.833,89</t>
        </is>
      </c>
      <c r="AL43" s="30" t="inlineStr">
        <is>
          <t>AJ list (art. 7 §2)</t>
        </is>
      </c>
      <c r="AM43" s="30" t="inlineStr">
        <is>
          <t>2023-03-02</t>
        </is>
      </c>
      <c r="AN43" s="30" t="inlineStr">
        <is>
          <t>NONE FOUND</t>
        </is>
      </c>
      <c r="AO43" s="32" t="inlineStr">
        <is>
          <t>0005010-98.2023.8.16.0001</t>
        </is>
      </c>
      <c r="AP43" s="32" t="inlineStr">
        <is>
          <t>TJPR</t>
        </is>
      </c>
      <c r="AQ43" s="32" t="inlineStr">
        <is>
          <t>Recuperação judicial</t>
        </is>
      </c>
      <c r="AR43" s="32" t="inlineStr">
        <is>
          <t>DataJud: no closure/falência movement</t>
        </is>
      </c>
      <c r="AS43" s="32" t="n">
        <v>2023</v>
      </c>
      <c r="AT43" s="32" t="inlineStr">
        <is>
          <t>live case, no plan document yet</t>
        </is>
      </c>
      <c r="AU43" s="32" t="inlineStr"/>
      <c r="AV43" s="32" t="inlineStr">
        <is>
          <t>printed on the list (read twice)</t>
        </is>
      </c>
      <c r="AW43" s="32" t="inlineStr"/>
      <c r="AX43" s="32" t="inlineStr"/>
      <c r="AY43" s="32" t="inlineStr"/>
      <c r="AZ43" s="32" t="inlineStr"/>
      <c r="BA43" s="32" t="inlineStr"/>
      <c r="BB43" s="33" t="inlineStr"/>
      <c r="BC43" s="32" t="inlineStr">
        <is>
          <t>UNKNOWN</t>
        </is>
      </c>
      <c r="BD43" s="32" t="inlineStr">
        <is>
          <t>28127603</t>
        </is>
      </c>
      <c r="BE43" s="32" t="n">
        <v>1</v>
      </c>
      <c r="BF43" s="32" t="inlineStr">
        <is>
          <t>financial by name public by name class III reconciled (doc partial) no RFB record no route in</t>
        </is>
      </c>
    </row>
    <row r="44">
      <c r="A44" s="17" t="inlineStr">
        <is>
          <t>BANCO DO BRASIL SA</t>
        </is>
      </c>
      <c r="B44" s="18" t="n">
        <v>1800000</v>
      </c>
      <c r="C44" s="19" t="inlineStr">
        <is>
          <t>Grupo Tendas</t>
        </is>
      </c>
      <c r="D44" s="20" t="inlineStr">
        <is>
          <t>NEW</t>
        </is>
      </c>
      <c r="E44" s="21" t="inlineStr"/>
      <c r="F44" s="20" t="inlineStr"/>
      <c r="G44" s="21" t="inlineStr"/>
      <c r="H44" s="20" t="inlineStr"/>
      <c r="I44" s="22" t="inlineStr">
        <is>
          <t>Thiago Cavichioli</t>
        </is>
      </c>
      <c r="J44" s="22" t="inlineStr">
        <is>
          <t>Gerente de Cobrança e Recuperação de Crédito</t>
        </is>
      </c>
      <c r="K44" s="22" t="inlineStr">
        <is>
          <t>(61) 3493-9002</t>
        </is>
      </c>
      <c r="L44" s="22" t="inlineStr"/>
      <c r="M44" s="22" t="inlineStr"/>
      <c r="N44" s="22" t="inlineStr">
        <is>
          <t>thiago.cavichioli@bb.com.br</t>
        </is>
      </c>
      <c r="O44" s="22" t="inlineStr">
        <is>
          <t>verified</t>
        </is>
      </c>
      <c r="P44" s="22" t="inlineStr">
        <is>
          <t>Suelen Mondador</t>
        </is>
      </c>
      <c r="Q44" s="22" t="inlineStr">
        <is>
          <t>Gerente Especialista em Recuperação de Crédito</t>
        </is>
      </c>
      <c r="R44" s="22" t="inlineStr"/>
      <c r="S44" s="22" t="inlineStr">
        <is>
          <t>suelenmondador@bb.com.br</t>
        </is>
      </c>
      <c r="T44" s="22" t="inlineStr">
        <is>
          <t>DM: DM verified email; BACKUP: backup verified email</t>
        </is>
      </c>
      <c r="U44" s="24" t="n">
        <v>1800000</v>
      </c>
      <c r="V44" s="25" t="inlineStr">
        <is>
          <t>B</t>
        </is>
      </c>
      <c r="W44" s="26" t="inlineStr"/>
      <c r="X44" s="27" t="inlineStr"/>
      <c r="Y44" s="27" t="inlineStr"/>
      <c r="Z44" s="26">
        <f>IF(W44&lt;&gt;"",W44,IFERROR(VLOOKUP(V44,Assumptions!$A$8:$F$12,2,FALSE),0))</f>
        <v/>
      </c>
      <c r="AA44" s="28">
        <f>IF(V44="A",MAX(1,IF(X44&lt;&gt;"",X44,IFERROR(VLOOKUP(V44,Assumptions!$A$8:$F$12,3,FALSE),3))+IF(Y44&lt;&gt;"",Y44,IFERROR(VLOOKUP(V44,Assumptions!$A$8:$F$12,4,FALSE),8))/2-MAX(0,IF(AS44="",0,YEAR(TODAY())-AS44)-IFERROR(VLOOKUP(V44,Assumptions!$A$8:$F$12,5,FALSE),1.5))),IFERROR(VLOOKUP(V44,Assumptions!$A$8:$F$12,5,FALSE),2.5)+IF(X44&lt;&gt;"",X44,IFERROR(VLOOKUP(V44,Assumptions!$A$8:$F$12,3,FALSE),3))+IF(Y44&lt;&gt;"",Y44,IFERROR(VLOOKUP(V44,Assumptions!$A$8:$F$12,4,FALSE),8))/2)</f>
        <v/>
      </c>
      <c r="AB44" s="24">
        <f>U44*Z44/(1+Assumptions!$B$3)^AA44</f>
        <v/>
      </c>
      <c r="AC44" s="27">
        <f>IF(U44=0,"",ROUND(AB44/U44*100,1))</f>
        <v/>
      </c>
      <c r="AD44" s="29">
        <f>AB44*Assumptions!$B$4</f>
        <v/>
      </c>
      <c r="AE44" s="27">
        <f>IF(U44=0,"",ROUND(AD44/U44*100,1))</f>
        <v/>
      </c>
      <c r="AF44" s="29">
        <f>AB44-AD44</f>
        <v/>
      </c>
      <c r="AG44" s="27">
        <f>IF(U44=0,"",ROUND((AB44-AD44)/U44*100,1))</f>
        <v/>
      </c>
      <c r="AH44" s="34" t="inlineStr">
        <is>
          <t>NO TOTALS — list prints none; check page</t>
        </is>
      </c>
      <c r="AI44" s="31" t="inlineStr">
        <is>
          <t>https://stenius.com.br/wp-content/uploads/2026/08/1°-EDITAL-GRUPO-TENDAS.pdf</t>
        </is>
      </c>
      <c r="AJ44" s="30" t="inlineStr">
        <is>
          <t>p5 r20</t>
        </is>
      </c>
      <c r="AK44" s="30" t="inlineStr">
        <is>
          <t>p5: R$ 1.800.000,00</t>
        </is>
      </c>
      <c r="AL44" s="30" t="inlineStr">
        <is>
          <t>AJ list (art. 7 §2)</t>
        </is>
      </c>
      <c r="AM44" s="30" t="inlineStr">
        <is>
          <t>2026-08-13</t>
        </is>
      </c>
      <c r="AN44" s="30" t="inlineStr">
        <is>
          <t>NONE FOUND</t>
        </is>
      </c>
      <c r="AO44" s="32" t="inlineStr">
        <is>
          <t>5401053-70.2026.8.09.0051</t>
        </is>
      </c>
      <c r="AP44" s="32" t="inlineStr">
        <is>
          <t>TJGO</t>
        </is>
      </c>
      <c r="AQ44" s="32" t="inlineStr">
        <is>
          <t>Recuperação judicial</t>
        </is>
      </c>
      <c r="AR44" s="32" t="inlineStr">
        <is>
          <t>DataJud: no closure/falência movement</t>
        </is>
      </c>
      <c r="AS44" s="32" t="n">
        <v>2026</v>
      </c>
      <c r="AT44" s="32" t="inlineStr">
        <is>
          <t>live case, no plan document yet</t>
        </is>
      </c>
      <c r="AU44" s="32" t="inlineStr">
        <is>
          <t>05.047.886/0001-42</t>
        </is>
      </c>
      <c r="AV44" s="32" t="inlineStr">
        <is>
          <t>printed on the list (read twice)</t>
        </is>
      </c>
      <c r="AW44" s="32" t="inlineStr"/>
      <c r="AX44" s="32" t="inlineStr">
        <is>
          <t>BRASILIA</t>
        </is>
      </c>
      <c r="AY44" s="32" t="inlineStr">
        <is>
          <t>DF</t>
        </is>
      </c>
      <c r="AZ44" s="32" t="inlineStr">
        <is>
          <t>Bancos múltiplos, com carteira comercial</t>
        </is>
      </c>
      <c r="BA44" s="32" t="inlineStr">
        <is>
          <t>não ME/EPP</t>
        </is>
      </c>
      <c r="BB44" s="33" t="n">
        <v>120000000000</v>
      </c>
      <c r="BC44" s="32" t="inlineStr">
        <is>
          <t>LARGE CORP</t>
        </is>
      </c>
      <c r="BD44" s="32" t="inlineStr">
        <is>
          <t>00000000</t>
        </is>
      </c>
      <c r="BE44" s="32" t="n">
        <v>1</v>
      </c>
      <c r="BF44" s="32" t="inlineStr">
        <is>
          <t>financial by name list prints no totals</t>
        </is>
      </c>
    </row>
    <row r="45">
      <c r="A45" s="17" t="inlineStr">
        <is>
          <t>BANCO DO NORDESTE DO BRASIL SA</t>
        </is>
      </c>
      <c r="B45" s="18" t="n">
        <v>1794937.22</v>
      </c>
      <c r="C45" s="19" t="inlineStr">
        <is>
          <t>Grupo Conduscabos</t>
        </is>
      </c>
      <c r="D45" s="20" t="inlineStr">
        <is>
          <t>NEW</t>
        </is>
      </c>
      <c r="E45" s="21" t="inlineStr"/>
      <c r="F45" s="20" t="inlineStr"/>
      <c r="G45" s="21" t="inlineStr"/>
      <c r="H45" s="20" t="inlineStr"/>
      <c r="I45" s="22" t="inlineStr">
        <is>
          <t>Layslan Medeiros</t>
        </is>
      </c>
      <c r="J45" s="22" t="inlineStr">
        <is>
          <t>Gerente Executivo Operacional e de Recuperação de Crédito</t>
        </is>
      </c>
      <c r="K45" s="22" t="inlineStr">
        <is>
          <t>(85) 3299-3000</t>
        </is>
      </c>
      <c r="L45" s="22" t="inlineStr"/>
      <c r="M45" s="22" t="inlineStr"/>
      <c r="N45" s="22" t="inlineStr"/>
      <c r="O45" s="22" t="inlineStr"/>
      <c r="P45" s="22" t="inlineStr">
        <is>
          <t>Alexsander Farias</t>
        </is>
      </c>
      <c r="Q45" s="22" t="inlineStr">
        <is>
          <t>Gerente de Recuperação de Crédito</t>
        </is>
      </c>
      <c r="R45" s="22" t="inlineStr"/>
      <c r="S45" s="22" t="inlineStr">
        <is>
          <t>alexsander@bnb.gov.br</t>
        </is>
      </c>
      <c r="T45" s="22" t="inlineStr">
        <is>
          <t>DM: DM; no work email in Apollo for DM; BACKUP: backup</t>
        </is>
      </c>
      <c r="U45" s="24" t="n">
        <v>1794937.22</v>
      </c>
      <c r="V45" s="25" t="inlineStr">
        <is>
          <t>B</t>
        </is>
      </c>
      <c r="W45" s="26" t="inlineStr"/>
      <c r="X45" s="27" t="inlineStr"/>
      <c r="Y45" s="27" t="inlineStr"/>
      <c r="Z45" s="26">
        <f>IF(W45&lt;&gt;"",W45,IFERROR(VLOOKUP(V45,Assumptions!$A$8:$F$12,2,FALSE),0))</f>
        <v/>
      </c>
      <c r="AA45" s="28">
        <f>IF(V45="A",MAX(1,IF(X45&lt;&gt;"",X45,IFERROR(VLOOKUP(V45,Assumptions!$A$8:$F$12,3,FALSE),3))+IF(Y45&lt;&gt;"",Y45,IFERROR(VLOOKUP(V45,Assumptions!$A$8:$F$12,4,FALSE),8))/2-MAX(0,IF(AS45="",0,YEAR(TODAY())-AS45)-IFERROR(VLOOKUP(V45,Assumptions!$A$8:$F$12,5,FALSE),1.5))),IFERROR(VLOOKUP(V45,Assumptions!$A$8:$F$12,5,FALSE),2.5)+IF(X45&lt;&gt;"",X45,IFERROR(VLOOKUP(V45,Assumptions!$A$8:$F$12,3,FALSE),3))+IF(Y45&lt;&gt;"",Y45,IFERROR(VLOOKUP(V45,Assumptions!$A$8:$F$12,4,FALSE),8))/2)</f>
        <v/>
      </c>
      <c r="AB45" s="24">
        <f>U45*Z45/(1+Assumptions!$B$3)^AA45</f>
        <v/>
      </c>
      <c r="AC45" s="27">
        <f>IF(U45=0,"",ROUND(AB45/U45*100,1))</f>
        <v/>
      </c>
      <c r="AD45" s="29">
        <f>AB45*Assumptions!$B$4</f>
        <v/>
      </c>
      <c r="AE45" s="27">
        <f>IF(U45=0,"",ROUND(AD45/U45*100,1))</f>
        <v/>
      </c>
      <c r="AF45" s="29">
        <f>AB45-AD45</f>
        <v/>
      </c>
      <c r="AG45" s="27">
        <f>IF(U45=0,"",ROUND((AB45-AD45)/U45*100,1))</f>
        <v/>
      </c>
      <c r="AH45" s="34" t="inlineStr">
        <is>
          <t>NO TOTALS — list prints none; check page</t>
        </is>
      </c>
      <c r="AI45" s="31" t="inlineStr">
        <is>
          <t>https://assistjud.com.br/wp-content/uploads/elementor/forms/65098c80a5824.pdf</t>
        </is>
      </c>
      <c r="AJ45" s="30" t="inlineStr">
        <is>
          <t>p5 r10; p17 r4</t>
        </is>
      </c>
      <c r="AK45" s="30" t="inlineStr">
        <is>
          <t>p5: R$ 1.144.942,86; p17: R$ 649.994,36</t>
        </is>
      </c>
      <c r="AL45" s="30" t="inlineStr">
        <is>
          <t>AJ list (art. 7 §2)</t>
        </is>
      </c>
      <c r="AM45" s="30" t="inlineStr">
        <is>
          <t>2023-09-18</t>
        </is>
      </c>
      <c r="AN45" s="30" t="inlineStr">
        <is>
          <t>NONE FOUND</t>
        </is>
      </c>
      <c r="AO45" s="32" t="inlineStr">
        <is>
          <t>8005129-09.2023.8.05.0039</t>
        </is>
      </c>
      <c r="AP45" s="32" t="inlineStr">
        <is>
          <t>TJBA</t>
        </is>
      </c>
      <c r="AQ45" s="32" t="inlineStr">
        <is>
          <t>Recuperação judicial</t>
        </is>
      </c>
      <c r="AR45" s="32" t="inlineStr">
        <is>
          <t>DataJud: no closure/falência movement</t>
        </is>
      </c>
      <c r="AS45" s="32" t="n">
        <v>2023</v>
      </c>
      <c r="AT45" s="32" t="inlineStr">
        <is>
          <t>live case, no plan document yet</t>
        </is>
      </c>
      <c r="AU45" s="32" t="inlineStr"/>
      <c r="AV45" s="32" t="inlineStr">
        <is>
          <t>printed on the list (read twice)</t>
        </is>
      </c>
      <c r="AW45" s="32" t="inlineStr"/>
      <c r="AX45" s="32" t="inlineStr">
        <is>
          <t>FORTALEZA</t>
        </is>
      </c>
      <c r="AY45" s="32" t="inlineStr">
        <is>
          <t>CE</t>
        </is>
      </c>
      <c r="AZ45" s="32" t="inlineStr">
        <is>
          <t>Bancos múltiplos, com carteira comercial</t>
        </is>
      </c>
      <c r="BA45" s="32" t="inlineStr">
        <is>
          <t>não ME/EPP</t>
        </is>
      </c>
      <c r="BB45" s="33" t="n">
        <v>15139032000</v>
      </c>
      <c r="BC45" s="32" t="inlineStr">
        <is>
          <t>LARGE CORP</t>
        </is>
      </c>
      <c r="BD45" s="32" t="inlineStr">
        <is>
          <t>07237373</t>
        </is>
      </c>
      <c r="BE45" s="32" t="n">
        <v>2</v>
      </c>
      <c r="BF45" s="32" t="inlineStr">
        <is>
          <t>financial by name list prints no totals</t>
        </is>
      </c>
    </row>
    <row r="46">
      <c r="A46" s="17" t="inlineStr">
        <is>
          <t>BANCO DO BRASIL SA</t>
        </is>
      </c>
      <c r="B46" s="18" t="n">
        <v>1692874.41</v>
      </c>
      <c r="C46" s="19" t="inlineStr">
        <is>
          <t>VENEZA SERVIÇOS ADMINISTRATIVOS LTDA.</t>
        </is>
      </c>
      <c r="D46" s="20" t="inlineStr">
        <is>
          <t>NEW</t>
        </is>
      </c>
      <c r="E46" s="21" t="inlineStr"/>
      <c r="F46" s="20" t="inlineStr"/>
      <c r="G46" s="21" t="inlineStr"/>
      <c r="H46" s="20" t="inlineStr"/>
      <c r="I46" s="22" t="inlineStr">
        <is>
          <t>Thiago Cavichioli</t>
        </is>
      </c>
      <c r="J46" s="22" t="inlineStr">
        <is>
          <t>Gerente de Cobrança e Recuperação de Crédito</t>
        </is>
      </c>
      <c r="K46" s="22" t="inlineStr">
        <is>
          <t>(61) 3493-9002</t>
        </is>
      </c>
      <c r="L46" s="22" t="inlineStr"/>
      <c r="M46" s="22" t="inlineStr"/>
      <c r="N46" s="22" t="inlineStr">
        <is>
          <t>thiago.cavichioli@bb.com.br</t>
        </is>
      </c>
      <c r="O46" s="22" t="inlineStr">
        <is>
          <t>verified</t>
        </is>
      </c>
      <c r="P46" s="22" t="inlineStr">
        <is>
          <t>Suelen Mondador</t>
        </is>
      </c>
      <c r="Q46" s="22" t="inlineStr">
        <is>
          <t>Gerente Especialista em Recuperação de Crédito</t>
        </is>
      </c>
      <c r="R46" s="22" t="inlineStr"/>
      <c r="S46" s="22" t="inlineStr">
        <is>
          <t>suelenmondador@bb.com.br</t>
        </is>
      </c>
      <c r="T46" s="22" t="inlineStr">
        <is>
          <t>DM: DM verified email; BACKUP: backup verified email</t>
        </is>
      </c>
      <c r="U46" s="24" t="n">
        <v>1692874.41</v>
      </c>
      <c r="V46" s="25" t="inlineStr">
        <is>
          <t>B</t>
        </is>
      </c>
      <c r="W46" s="26" t="inlineStr"/>
      <c r="X46" s="27" t="inlineStr"/>
      <c r="Y46" s="27" t="inlineStr"/>
      <c r="Z46" s="26">
        <f>IF(W46&lt;&gt;"",W46,IFERROR(VLOOKUP(V46,Assumptions!$A$8:$F$12,2,FALSE),0))</f>
        <v/>
      </c>
      <c r="AA46" s="28">
        <f>IF(V46="A",MAX(1,IF(X46&lt;&gt;"",X46,IFERROR(VLOOKUP(V46,Assumptions!$A$8:$F$12,3,FALSE),3))+IF(Y46&lt;&gt;"",Y46,IFERROR(VLOOKUP(V46,Assumptions!$A$8:$F$12,4,FALSE),8))/2-MAX(0,IF(AS46="",0,YEAR(TODAY())-AS46)-IFERROR(VLOOKUP(V46,Assumptions!$A$8:$F$12,5,FALSE),1.5))),IFERROR(VLOOKUP(V46,Assumptions!$A$8:$F$12,5,FALSE),2.5)+IF(X46&lt;&gt;"",X46,IFERROR(VLOOKUP(V46,Assumptions!$A$8:$F$12,3,FALSE),3))+IF(Y46&lt;&gt;"",Y46,IFERROR(VLOOKUP(V46,Assumptions!$A$8:$F$12,4,FALSE),8))/2)</f>
        <v/>
      </c>
      <c r="AB46" s="24">
        <f>U46*Z46/(1+Assumptions!$B$3)^AA46</f>
        <v/>
      </c>
      <c r="AC46" s="27">
        <f>IF(U46=0,"",ROUND(AB46/U46*100,1))</f>
        <v/>
      </c>
      <c r="AD46" s="29">
        <f>AB46*Assumptions!$B$4</f>
        <v/>
      </c>
      <c r="AE46" s="27">
        <f>IF(U46=0,"",ROUND(AD46/U46*100,1))</f>
        <v/>
      </c>
      <c r="AF46" s="29">
        <f>AB46-AD46</f>
        <v/>
      </c>
      <c r="AG46" s="27">
        <f>IF(U46=0,"",ROUND((AB46-AD46)/U46*100,1))</f>
        <v/>
      </c>
      <c r="AH46" s="30" t="inlineStr">
        <is>
          <t>OK — totals reconciled</t>
        </is>
      </c>
      <c r="AI46" s="31" t="inlineStr">
        <is>
          <t>https://bugarimecoelho.com.br/ws/media-library/b6b7ea42b9fa2afe30bc728fe00cd5c6/07---edital-do-processamento-da-recuperacao-judicial.pdf</t>
        </is>
      </c>
      <c r="AJ46" s="30" t="inlineStr">
        <is>
          <t>p15 r13</t>
        </is>
      </c>
      <c r="AK46" s="30" t="inlineStr">
        <is>
          <t>p15: R$ 1.692.874,41</t>
        </is>
      </c>
      <c r="AL46" s="30" t="inlineStr">
        <is>
          <t>Unclassified list</t>
        </is>
      </c>
      <c r="AM46" s="30" t="inlineStr">
        <is>
          <t>2026-07-09</t>
        </is>
      </c>
      <c r="AN46" s="30" t="inlineStr">
        <is>
          <t>NONE FOUND</t>
        </is>
      </c>
      <c r="AO46" s="32" t="inlineStr">
        <is>
          <t>3000117-40.2025.8.06.0512</t>
        </is>
      </c>
      <c r="AP46" s="32" t="inlineStr">
        <is>
          <t>TJCE</t>
        </is>
      </c>
      <c r="AQ46" s="32" t="inlineStr">
        <is>
          <t>Recuperação judicial</t>
        </is>
      </c>
      <c r="AR46" s="32" t="inlineStr">
        <is>
          <t>DataJud: no closure/falência movement</t>
        </is>
      </c>
      <c r="AS46" s="32" t="n">
        <v>2025</v>
      </c>
      <c r="AT46" s="32" t="inlineStr">
        <is>
          <t>live case, no plan document yet</t>
        </is>
      </c>
      <c r="AU46" s="32" t="inlineStr">
        <is>
          <t>11.399.787/0001-22</t>
        </is>
      </c>
      <c r="AV46" s="32" t="inlineStr">
        <is>
          <t>printed on the list (read twice)</t>
        </is>
      </c>
      <c r="AW46" s="32" t="inlineStr"/>
      <c r="AX46" s="32" t="inlineStr">
        <is>
          <t>BRASILIA</t>
        </is>
      </c>
      <c r="AY46" s="32" t="inlineStr">
        <is>
          <t>DF</t>
        </is>
      </c>
      <c r="AZ46" s="32" t="inlineStr">
        <is>
          <t>Bancos múltiplos, com carteira comercial</t>
        </is>
      </c>
      <c r="BA46" s="32" t="inlineStr">
        <is>
          <t>não ME/EPP</t>
        </is>
      </c>
      <c r="BB46" s="33" t="n">
        <v>120000000000</v>
      </c>
      <c r="BC46" s="32" t="inlineStr">
        <is>
          <t>LARGE CORP</t>
        </is>
      </c>
      <c r="BD46" s="32" t="inlineStr">
        <is>
          <t>00000000</t>
        </is>
      </c>
      <c r="BE46" s="32" t="n">
        <v>1</v>
      </c>
      <c r="BF46" s="32" t="inlineStr">
        <is>
          <t>financial by name</t>
        </is>
      </c>
    </row>
    <row r="47">
      <c r="A47" s="17" t="inlineStr">
        <is>
          <t>BANCO DO BRASIL SA</t>
        </is>
      </c>
      <c r="B47" s="18" t="n">
        <v>1604797.64</v>
      </c>
      <c r="C47" s="19" t="inlineStr">
        <is>
          <t>GRUPO ECONÔMICO FAEL (GRUPO FAEL)</t>
        </is>
      </c>
      <c r="D47" s="20" t="inlineStr">
        <is>
          <t>NEW</t>
        </is>
      </c>
      <c r="E47" s="21" t="inlineStr"/>
      <c r="F47" s="20" t="inlineStr"/>
      <c r="G47" s="21" t="inlineStr"/>
      <c r="H47" s="20" t="inlineStr"/>
      <c r="I47" s="22" t="inlineStr">
        <is>
          <t>Thiago Cavichioli</t>
        </is>
      </c>
      <c r="J47" s="22" t="inlineStr">
        <is>
          <t>Gerente de Cobrança e Recuperação de Crédito</t>
        </is>
      </c>
      <c r="K47" s="22" t="inlineStr">
        <is>
          <t>(61) 3493-9002</t>
        </is>
      </c>
      <c r="L47" s="22" t="inlineStr"/>
      <c r="M47" s="22" t="inlineStr"/>
      <c r="N47" s="22" t="inlineStr">
        <is>
          <t>thiago.cavichioli@bb.com.br</t>
        </is>
      </c>
      <c r="O47" s="22" t="inlineStr">
        <is>
          <t>verified</t>
        </is>
      </c>
      <c r="P47" s="22" t="inlineStr">
        <is>
          <t>Suelen Mondador</t>
        </is>
      </c>
      <c r="Q47" s="22" t="inlineStr">
        <is>
          <t>Gerente Especialista em Recuperação de Crédito</t>
        </is>
      </c>
      <c r="R47" s="22" t="inlineStr"/>
      <c r="S47" s="22" t="inlineStr">
        <is>
          <t>suelenmondador@bb.com.br</t>
        </is>
      </c>
      <c r="T47" s="22" t="inlineStr">
        <is>
          <t>DM: DM verified email; BACKUP: backup verified email</t>
        </is>
      </c>
      <c r="U47" s="24" t="n">
        <v>1604797.64</v>
      </c>
      <c r="V47" s="25" t="inlineStr">
        <is>
          <t>B</t>
        </is>
      </c>
      <c r="W47" s="26" t="inlineStr"/>
      <c r="X47" s="27" t="inlineStr"/>
      <c r="Y47" s="27" t="inlineStr"/>
      <c r="Z47" s="26">
        <f>IF(W47&lt;&gt;"",W47,IFERROR(VLOOKUP(V47,Assumptions!$A$8:$F$12,2,FALSE),0))</f>
        <v/>
      </c>
      <c r="AA47" s="28">
        <f>IF(V47="A",MAX(1,IF(X47&lt;&gt;"",X47,IFERROR(VLOOKUP(V47,Assumptions!$A$8:$F$12,3,FALSE),3))+IF(Y47&lt;&gt;"",Y47,IFERROR(VLOOKUP(V47,Assumptions!$A$8:$F$12,4,FALSE),8))/2-MAX(0,IF(AS47="",0,YEAR(TODAY())-AS47)-IFERROR(VLOOKUP(V47,Assumptions!$A$8:$F$12,5,FALSE),1.5))),IFERROR(VLOOKUP(V47,Assumptions!$A$8:$F$12,5,FALSE),2.5)+IF(X47&lt;&gt;"",X47,IFERROR(VLOOKUP(V47,Assumptions!$A$8:$F$12,3,FALSE),3))+IF(Y47&lt;&gt;"",Y47,IFERROR(VLOOKUP(V47,Assumptions!$A$8:$F$12,4,FALSE),8))/2)</f>
        <v/>
      </c>
      <c r="AB47" s="24">
        <f>U47*Z47/(1+Assumptions!$B$3)^AA47</f>
        <v/>
      </c>
      <c r="AC47" s="27">
        <f>IF(U47=0,"",ROUND(AB47/U47*100,1))</f>
        <v/>
      </c>
      <c r="AD47" s="29">
        <f>AB47*Assumptions!$B$4</f>
        <v/>
      </c>
      <c r="AE47" s="27">
        <f>IF(U47=0,"",ROUND(AD47/U47*100,1))</f>
        <v/>
      </c>
      <c r="AF47" s="29">
        <f>AB47-AD47</f>
        <v/>
      </c>
      <c r="AG47" s="27">
        <f>IF(U47=0,"",ROUND((AB47-AD47)/U47*100,1))</f>
        <v/>
      </c>
      <c r="AH47" s="34" t="inlineStr">
        <is>
          <t>NO TOTALS — list prints none; check page</t>
        </is>
      </c>
      <c r="AI47" s="31" t="inlineStr">
        <is>
          <t>https://stenius.com.br/wp-content/uploads/2026/06/EDITAL-GRUPO-FAEL.pdf</t>
        </is>
      </c>
      <c r="AJ47" s="30" t="inlineStr">
        <is>
          <t>p1 r2</t>
        </is>
      </c>
      <c r="AK47" s="30" t="inlineStr">
        <is>
          <t>p1: R$ 1.604.797,64</t>
        </is>
      </c>
      <c r="AL47" s="30" t="inlineStr">
        <is>
          <t>AJ list (art. 7 §2)</t>
        </is>
      </c>
      <c r="AM47" s="30" t="inlineStr">
        <is>
          <t>2026-06-30</t>
        </is>
      </c>
      <c r="AN47" s="30" t="inlineStr">
        <is>
          <t>NONE FOUND</t>
        </is>
      </c>
      <c r="AO47" s="32" t="inlineStr">
        <is>
          <t>5264228-81.2025.8.09.0172</t>
        </is>
      </c>
      <c r="AP47" s="32" t="inlineStr">
        <is>
          <t>TJGO</t>
        </is>
      </c>
      <c r="AQ47" s="32" t="inlineStr">
        <is>
          <t>Recuperação judicial</t>
        </is>
      </c>
      <c r="AR47" s="32" t="inlineStr">
        <is>
          <t>DataJud: no closure/falência movement</t>
        </is>
      </c>
      <c r="AS47" s="32" t="n">
        <v>2025</v>
      </c>
      <c r="AT47" s="32" t="inlineStr">
        <is>
          <t>live case, no plan document yet</t>
        </is>
      </c>
      <c r="AU47" s="32" t="inlineStr"/>
      <c r="AV47" s="32" t="inlineStr">
        <is>
          <t>printed on the list (read twice)</t>
        </is>
      </c>
      <c r="AW47" s="32" t="inlineStr"/>
      <c r="AX47" s="32" t="inlineStr">
        <is>
          <t>BRASILIA</t>
        </is>
      </c>
      <c r="AY47" s="32" t="inlineStr">
        <is>
          <t>DF</t>
        </is>
      </c>
      <c r="AZ47" s="32" t="inlineStr">
        <is>
          <t>Bancos múltiplos, com carteira comercial</t>
        </is>
      </c>
      <c r="BA47" s="32" t="inlineStr">
        <is>
          <t>não ME/EPP</t>
        </is>
      </c>
      <c r="BB47" s="33" t="n">
        <v>120000000000</v>
      </c>
      <c r="BC47" s="32" t="inlineStr">
        <is>
          <t>LARGE CORP</t>
        </is>
      </c>
      <c r="BD47" s="32" t="inlineStr">
        <is>
          <t>00000000</t>
        </is>
      </c>
      <c r="BE47" s="32" t="n">
        <v>1</v>
      </c>
      <c r="BF47" s="32" t="inlineStr">
        <is>
          <t>NAME_MISSING list prints no totals</t>
        </is>
      </c>
    </row>
    <row r="48">
      <c r="A48" s="17" t="inlineStr">
        <is>
          <t>CAIXA ECONOMICA FEDERAL</t>
        </is>
      </c>
      <c r="B48" s="18" t="n">
        <v>2786495.38</v>
      </c>
      <c r="C48" s="37" t="inlineStr">
        <is>
          <t>(debtor not identified — see proof)</t>
        </is>
      </c>
      <c r="D48" s="20" t="inlineStr">
        <is>
          <t>NEW</t>
        </is>
      </c>
      <c r="E48" s="21" t="inlineStr"/>
      <c r="F48" s="20" t="inlineStr"/>
      <c r="G48" s="21" t="inlineStr"/>
      <c r="H48" s="20" t="inlineStr"/>
      <c r="I48" s="22" t="inlineStr">
        <is>
          <t>Livia Serikaku</t>
        </is>
      </c>
      <c r="J48" s="22" t="inlineStr">
        <is>
          <t>Gerente de Clientes e Negócios | Recuperação de Crédito</t>
        </is>
      </c>
      <c r="K48" s="22" t="inlineStr">
        <is>
          <t>(00) 4004-0104</t>
        </is>
      </c>
      <c r="L48" s="22" t="inlineStr"/>
      <c r="M48" s="22" t="inlineStr"/>
      <c r="N48" s="22" t="inlineStr"/>
      <c r="O48" s="22" t="inlineStr"/>
      <c r="P48" s="22" t="inlineStr">
        <is>
          <t>CARLOS ANTONIO VIEIRA FERNANDES</t>
        </is>
      </c>
      <c r="Q48" s="22" t="inlineStr">
        <is>
          <t>Presidente (RFB partner)</t>
        </is>
      </c>
      <c r="R48" s="22" t="inlineStr"/>
      <c r="S48" s="22" t="inlineStr"/>
      <c r="T48" s="22" t="inlineStr">
        <is>
          <t>DM: DM email unavailable; no work email in Apollo for DM</t>
        </is>
      </c>
      <c r="U48" s="24" t="n">
        <v>2786495.38</v>
      </c>
      <c r="V48" s="38" t="inlineStr">
        <is>
          <t>U</t>
        </is>
      </c>
      <c r="W48" s="26" t="inlineStr"/>
      <c r="X48" s="27" t="inlineStr"/>
      <c r="Y48" s="27" t="inlineStr"/>
      <c r="Z48" s="26">
        <f>IF(W48&lt;&gt;"",W48,IFERROR(VLOOKUP(V48,Assumptions!$A$8:$F$12,2,FALSE),0))</f>
        <v/>
      </c>
      <c r="AA48" s="28">
        <f>IF(V48="A",MAX(1,IF(X48&lt;&gt;"",X48,IFERROR(VLOOKUP(V48,Assumptions!$A$8:$F$12,3,FALSE),3))+IF(Y48&lt;&gt;"",Y48,IFERROR(VLOOKUP(V48,Assumptions!$A$8:$F$12,4,FALSE),8))/2-MAX(0,IF(AS48="",0,YEAR(TODAY())-AS48)-IFERROR(VLOOKUP(V48,Assumptions!$A$8:$F$12,5,FALSE),1.5))),IFERROR(VLOOKUP(V48,Assumptions!$A$8:$F$12,5,FALSE),2.5)+IF(X48&lt;&gt;"",X48,IFERROR(VLOOKUP(V48,Assumptions!$A$8:$F$12,3,FALSE),3))+IF(Y48&lt;&gt;"",Y48,IFERROR(VLOOKUP(V48,Assumptions!$A$8:$F$12,4,FALSE),8))/2)</f>
        <v/>
      </c>
      <c r="AB48" s="24">
        <f>U48*Z48/(1+Assumptions!$B$3)^AA48</f>
        <v/>
      </c>
      <c r="AC48" s="27">
        <f>IF(U48=0,"",ROUND(AB48/U48*100,1))</f>
        <v/>
      </c>
      <c r="AD48" s="29">
        <f>AB48*Assumptions!$B$4</f>
        <v/>
      </c>
      <c r="AE48" s="27">
        <f>IF(U48=0,"",ROUND(AD48/U48*100,1))</f>
        <v/>
      </c>
      <c r="AF48" s="29">
        <f>AB48-AD48</f>
        <v/>
      </c>
      <c r="AG48" s="27">
        <f>IF(U48=0,"",ROUND((AB48-AD48)/U48*100,1))</f>
        <v/>
      </c>
      <c r="AH48" s="30" t="inlineStr">
        <is>
          <t>OK — totals reconciled</t>
        </is>
      </c>
      <c r="AI48" s="31" t="inlineStr">
        <is>
          <t>http://bernardobicalho.com.br/login/app/documents/Rela%C3%A7%C3%A3o%20de%20Credores/6.%20RVC-%20Nutricium%20-%20simplificada.pdf</t>
        </is>
      </c>
      <c r="AJ48" s="30" t="inlineStr">
        <is>
          <t>p3 r11</t>
        </is>
      </c>
      <c r="AK48" s="30" t="inlineStr">
        <is>
          <t>p3: R$ 2.786.495,38</t>
        </is>
      </c>
      <c r="AL48" s="30" t="inlineStr">
        <is>
          <t>AJ list (art. 7 §2)</t>
        </is>
      </c>
      <c r="AM48" s="30" t="inlineStr"/>
      <c r="AN48" s="30" t="inlineStr">
        <is>
          <t>NONE FOUND</t>
        </is>
      </c>
      <c r="AO48" s="32" t="inlineStr">
        <is>
          <t>(not printed)</t>
        </is>
      </c>
      <c r="AP48" s="32" t="inlineStr"/>
      <c r="AQ48" s="32" t="inlineStr"/>
      <c r="AR48" s="32" t="inlineStr"/>
      <c r="AS48" s="32" t="inlineStr"/>
      <c r="AT48" s="32" t="inlineStr">
        <is>
          <t>RJ case number not identified on the document</t>
        </is>
      </c>
      <c r="AU48" s="32" t="inlineStr"/>
      <c r="AV48" s="32" t="inlineStr">
        <is>
          <t>not identified</t>
        </is>
      </c>
      <c r="AW48" s="32" t="inlineStr"/>
      <c r="AX48" s="32" t="inlineStr">
        <is>
          <t>BRASILIA</t>
        </is>
      </c>
      <c r="AY48" s="32" t="inlineStr">
        <is>
          <t>DF</t>
        </is>
      </c>
      <c r="AZ48" s="32" t="inlineStr">
        <is>
          <t>Caixas econômicas</t>
        </is>
      </c>
      <c r="BA48" s="32" t="inlineStr">
        <is>
          <t>não ME/EPP</t>
        </is>
      </c>
      <c r="BB48" s="33" t="n">
        <v>105300000000</v>
      </c>
      <c r="BC48" s="32" t="inlineStr">
        <is>
          <t>LARGE CORP</t>
        </is>
      </c>
      <c r="BD48" s="32" t="inlineStr">
        <is>
          <t>00360305</t>
        </is>
      </c>
      <c r="BE48" s="32" t="n">
        <v>1</v>
      </c>
      <c r="BF48" s="32" t="inlineStr">
        <is>
          <t>CASE_NUMBER_MISSING financial by name</t>
        </is>
      </c>
    </row>
    <row r="49">
      <c r="A49" s="17" t="inlineStr">
        <is>
          <t>BANCO DO BRASIL SA</t>
        </is>
      </c>
      <c r="B49" s="18" t="n">
        <v>5148206.49</v>
      </c>
      <c r="C49" s="19" t="inlineStr">
        <is>
          <t>CREDIMÓVEIS NOVOLAR LTDA.</t>
        </is>
      </c>
      <c r="D49" s="20" t="inlineStr">
        <is>
          <t>NEW</t>
        </is>
      </c>
      <c r="E49" s="21" t="inlineStr"/>
      <c r="F49" s="20" t="inlineStr"/>
      <c r="G49" s="21" t="inlineStr"/>
      <c r="H49" s="20" t="inlineStr"/>
      <c r="I49" s="22" t="inlineStr">
        <is>
          <t>Thiago Cavichioli</t>
        </is>
      </c>
      <c r="J49" s="22" t="inlineStr">
        <is>
          <t>Gerente de Cobrança e Recuperação de Crédito</t>
        </is>
      </c>
      <c r="K49" s="22" t="inlineStr">
        <is>
          <t>(61) 3493-9002</t>
        </is>
      </c>
      <c r="L49" s="22" t="inlineStr"/>
      <c r="M49" s="22" t="inlineStr"/>
      <c r="N49" s="22" t="inlineStr">
        <is>
          <t>thiago.cavichioli@bb.com.br</t>
        </is>
      </c>
      <c r="O49" s="22" t="inlineStr">
        <is>
          <t>verified</t>
        </is>
      </c>
      <c r="P49" s="22" t="inlineStr">
        <is>
          <t>Suelen Mondador</t>
        </is>
      </c>
      <c r="Q49" s="22" t="inlineStr">
        <is>
          <t>Gerente Especialista em Recuperação de Crédito</t>
        </is>
      </c>
      <c r="R49" s="22" t="inlineStr"/>
      <c r="S49" s="22" t="inlineStr">
        <is>
          <t>suelenmondador@bb.com.br</t>
        </is>
      </c>
      <c r="T49" s="22" t="inlineStr">
        <is>
          <t>DM: DM verified email; BACKUP: backup verified email</t>
        </is>
      </c>
      <c r="U49" s="24" t="n">
        <v>5148206.49</v>
      </c>
      <c r="V49" s="39" t="inlineStr">
        <is>
          <t>C</t>
        </is>
      </c>
      <c r="W49" s="26" t="inlineStr"/>
      <c r="X49" s="27" t="inlineStr"/>
      <c r="Y49" s="27" t="inlineStr"/>
      <c r="Z49" s="26">
        <f>IF(W49&lt;&gt;"",W49,IFERROR(VLOOKUP(V49,Assumptions!$A$8:$F$12,2,FALSE),0))</f>
        <v/>
      </c>
      <c r="AA49" s="28">
        <f>IF(V49="A",MAX(1,IF(X49&lt;&gt;"",X49,IFERROR(VLOOKUP(V49,Assumptions!$A$8:$F$12,3,FALSE),3))+IF(Y49&lt;&gt;"",Y49,IFERROR(VLOOKUP(V49,Assumptions!$A$8:$F$12,4,FALSE),8))/2-MAX(0,IF(AS49="",0,YEAR(TODAY())-AS49)-IFERROR(VLOOKUP(V49,Assumptions!$A$8:$F$12,5,FALSE),1.5))),IFERROR(VLOOKUP(V49,Assumptions!$A$8:$F$12,5,FALSE),2.5)+IF(X49&lt;&gt;"",X49,IFERROR(VLOOKUP(V49,Assumptions!$A$8:$F$12,3,FALSE),3))+IF(Y49&lt;&gt;"",Y49,IFERROR(VLOOKUP(V49,Assumptions!$A$8:$F$12,4,FALSE),8))/2)</f>
        <v/>
      </c>
      <c r="AB49" s="24">
        <f>U49*Z49/(1+Assumptions!$B$3)^AA49</f>
        <v/>
      </c>
      <c r="AC49" s="27">
        <f>IF(U49=0,"",ROUND(AB49/U49*100,1))</f>
        <v/>
      </c>
      <c r="AD49" s="29">
        <f>AB49*Assumptions!$B$4</f>
        <v/>
      </c>
      <c r="AE49" s="27">
        <f>IF(U49=0,"",ROUND(AD49/U49*100,1))</f>
        <v/>
      </c>
      <c r="AF49" s="29">
        <f>AB49-AD49</f>
        <v/>
      </c>
      <c r="AG49" s="27">
        <f>IF(U49=0,"",ROUND((AB49-AD49)/U49*100,1))</f>
        <v/>
      </c>
      <c r="AH49" s="30" t="inlineStr">
        <is>
          <t>OK — totals reconciled</t>
        </is>
      </c>
      <c r="AI49" s="31" t="inlineStr">
        <is>
          <t>https://recuperacaojudicial.squarespace.com/s/RJ-Credimoveis-QGC-01082025.pdf</t>
        </is>
      </c>
      <c r="AJ49" s="30" t="inlineStr">
        <is>
          <t>p15 r14</t>
        </is>
      </c>
      <c r="AK49" s="30" t="inlineStr">
        <is>
          <t>p15: R$ 5.148.206,49</t>
        </is>
      </c>
      <c r="AL49" s="30" t="inlineStr">
        <is>
          <t>QGC (art. 18)</t>
        </is>
      </c>
      <c r="AM49" s="30" t="inlineStr">
        <is>
          <t>2026-01-28</t>
        </is>
      </c>
      <c r="AN49" s="30" t="inlineStr">
        <is>
          <t>NONE FOUND</t>
        </is>
      </c>
      <c r="AO49" s="32" t="inlineStr">
        <is>
          <t>0007565-40.2020.8.17.2370</t>
        </is>
      </c>
      <c r="AP49" s="32" t="inlineStr">
        <is>
          <t>TJPE</t>
        </is>
      </c>
      <c r="AQ49" s="32" t="inlineStr">
        <is>
          <t>Recuperação judicial</t>
        </is>
      </c>
      <c r="AR49" s="32" t="inlineStr">
        <is>
          <t>DataJud: no closure/falência movement</t>
        </is>
      </c>
      <c r="AS49" s="32" t="n">
        <v>2020</v>
      </c>
      <c r="AT49" s="32" t="inlineStr">
        <is>
          <t>6y since filing; plan not in our documents</t>
        </is>
      </c>
      <c r="AU49" s="32" t="inlineStr">
        <is>
          <t>09.930.165/0001-37</t>
        </is>
      </c>
      <c r="AV49" s="32" t="inlineStr">
        <is>
          <t>printed on the list (read twice)</t>
        </is>
      </c>
      <c r="AW49" s="32" t="inlineStr"/>
      <c r="AX49" s="32" t="inlineStr">
        <is>
          <t>BRASILIA</t>
        </is>
      </c>
      <c r="AY49" s="32" t="inlineStr">
        <is>
          <t>DF</t>
        </is>
      </c>
      <c r="AZ49" s="32" t="inlineStr">
        <is>
          <t>Bancos múltiplos, com carteira comercial</t>
        </is>
      </c>
      <c r="BA49" s="32" t="inlineStr">
        <is>
          <t>não ME/EPP</t>
        </is>
      </c>
      <c r="BB49" s="33" t="n">
        <v>120000000000</v>
      </c>
      <c r="BC49" s="32" t="inlineStr">
        <is>
          <t>LARGE CORP</t>
        </is>
      </c>
      <c r="BD49" s="32" t="inlineStr">
        <is>
          <t>00000000</t>
        </is>
      </c>
      <c r="BE49" s="32" t="n">
        <v>1</v>
      </c>
      <c r="BF49" s="32" t="inlineStr"/>
    </row>
    <row r="50">
      <c r="A50" s="17" t="inlineStr">
        <is>
          <t>BANCO DO NORDESTE DO BRASIL SA</t>
        </is>
      </c>
      <c r="B50" s="18" t="n">
        <v>4771560.11</v>
      </c>
      <c r="C50" s="19" t="inlineStr">
        <is>
          <t>Roque Materiais para Construção</t>
        </is>
      </c>
      <c r="D50" s="20" t="inlineStr">
        <is>
          <t>NEW</t>
        </is>
      </c>
      <c r="E50" s="21" t="inlineStr"/>
      <c r="F50" s="20" t="inlineStr"/>
      <c r="G50" s="21" t="inlineStr"/>
      <c r="H50" s="20" t="inlineStr"/>
      <c r="I50" s="22" t="inlineStr">
        <is>
          <t>Layslan Medeiros</t>
        </is>
      </c>
      <c r="J50" s="22" t="inlineStr">
        <is>
          <t>Gerente Executivo Operacional e de Recuperação de Crédito</t>
        </is>
      </c>
      <c r="K50" s="22" t="inlineStr">
        <is>
          <t>(85) 3299-3000</t>
        </is>
      </c>
      <c r="L50" s="22" t="inlineStr"/>
      <c r="M50" s="22" t="inlineStr"/>
      <c r="N50" s="22" t="inlineStr"/>
      <c r="O50" s="22" t="inlineStr"/>
      <c r="P50" s="22" t="inlineStr">
        <is>
          <t>Alexsander Farias</t>
        </is>
      </c>
      <c r="Q50" s="22" t="inlineStr">
        <is>
          <t>Gerente de Recuperação de Crédito</t>
        </is>
      </c>
      <c r="R50" s="22" t="inlineStr"/>
      <c r="S50" s="22" t="inlineStr">
        <is>
          <t>alexsander@bnb.gov.br</t>
        </is>
      </c>
      <c r="T50" s="22" t="inlineStr">
        <is>
          <t>DM: DM; no work email in Apollo for DM; BACKUP: backup</t>
        </is>
      </c>
      <c r="U50" s="24" t="n">
        <v>4771560.11</v>
      </c>
      <c r="V50" s="39" t="inlineStr">
        <is>
          <t>C</t>
        </is>
      </c>
      <c r="W50" s="26" t="inlineStr"/>
      <c r="X50" s="27" t="inlineStr"/>
      <c r="Y50" s="27" t="inlineStr"/>
      <c r="Z50" s="26">
        <f>IF(W50&lt;&gt;"",W50,IFERROR(VLOOKUP(V50,Assumptions!$A$8:$F$12,2,FALSE),0))</f>
        <v/>
      </c>
      <c r="AA50" s="28">
        <f>IF(V50="A",MAX(1,IF(X50&lt;&gt;"",X50,IFERROR(VLOOKUP(V50,Assumptions!$A$8:$F$12,3,FALSE),3))+IF(Y50&lt;&gt;"",Y50,IFERROR(VLOOKUP(V50,Assumptions!$A$8:$F$12,4,FALSE),8))/2-MAX(0,IF(AS50="",0,YEAR(TODAY())-AS50)-IFERROR(VLOOKUP(V50,Assumptions!$A$8:$F$12,5,FALSE),1.5))),IFERROR(VLOOKUP(V50,Assumptions!$A$8:$F$12,5,FALSE),2.5)+IF(X50&lt;&gt;"",X50,IFERROR(VLOOKUP(V50,Assumptions!$A$8:$F$12,3,FALSE),3))+IF(Y50&lt;&gt;"",Y50,IFERROR(VLOOKUP(V50,Assumptions!$A$8:$F$12,4,FALSE),8))/2)</f>
        <v/>
      </c>
      <c r="AB50" s="24">
        <f>U50*Z50/(1+Assumptions!$B$3)^AA50</f>
        <v/>
      </c>
      <c r="AC50" s="27">
        <f>IF(U50=0,"",ROUND(AB50/U50*100,1))</f>
        <v/>
      </c>
      <c r="AD50" s="29">
        <f>AB50*Assumptions!$B$4</f>
        <v/>
      </c>
      <c r="AE50" s="27">
        <f>IF(U50=0,"",ROUND(AD50/U50*100,1))</f>
        <v/>
      </c>
      <c r="AF50" s="29">
        <f>AB50-AD50</f>
        <v/>
      </c>
      <c r="AG50" s="27">
        <f>IF(U50=0,"",ROUND((AB50-AD50)/U50*100,1))</f>
        <v/>
      </c>
      <c r="AH50" s="30" t="inlineStr">
        <is>
          <t>OK — totals reconciled</t>
        </is>
      </c>
      <c r="AI50" s="31" t="inlineStr">
        <is>
          <t>https://realbrasil.com.br/wp-content/uploads/2018/06/2_LISTA-DE-CREDORES-DA-RECUPERANDA_ROQUE.pdf</t>
        </is>
      </c>
      <c r="AJ50" s="30" t="inlineStr">
        <is>
          <t>p2 r1</t>
        </is>
      </c>
      <c r="AK50" s="30" t="inlineStr">
        <is>
          <t>p2: R$ 4.771.560,11</t>
        </is>
      </c>
      <c r="AL50" s="30" t="inlineStr">
        <is>
          <t>Unclassified list</t>
        </is>
      </c>
      <c r="AM50" s="30" t="inlineStr"/>
      <c r="AN50" s="30" t="inlineStr">
        <is>
          <t>NONE FOUND</t>
        </is>
      </c>
      <c r="AO50" s="32" t="inlineStr">
        <is>
          <t>0802426-35.2019.8.10.0000</t>
        </is>
      </c>
      <c r="AP50" s="32" t="inlineStr">
        <is>
          <t>TJMA</t>
        </is>
      </c>
      <c r="AQ50" s="32" t="inlineStr"/>
      <c r="AR50" s="32" t="inlineStr">
        <is>
          <t>not in DataJud</t>
        </is>
      </c>
      <c r="AS50" s="32" t="n">
        <v>2019</v>
      </c>
      <c r="AT50" s="32" t="inlineStr">
        <is>
          <t>7y since filing; plan not in our documents; case no. from the portal record, not printed on the list</t>
        </is>
      </c>
      <c r="AU50" s="32" t="inlineStr"/>
      <c r="AV50" s="32" t="inlineStr">
        <is>
          <t>portal page title / URL — not printed on the list</t>
        </is>
      </c>
      <c r="AW50" s="32" t="inlineStr"/>
      <c r="AX50" s="32" t="inlineStr">
        <is>
          <t>FORTALEZA</t>
        </is>
      </c>
      <c r="AY50" s="32" t="inlineStr">
        <is>
          <t>CE</t>
        </is>
      </c>
      <c r="AZ50" s="32" t="inlineStr">
        <is>
          <t>Bancos múltiplos, com carteira comercial</t>
        </is>
      </c>
      <c r="BA50" s="32" t="inlineStr">
        <is>
          <t>não ME/EPP</t>
        </is>
      </c>
      <c r="BB50" s="33" t="n">
        <v>15139032000</v>
      </c>
      <c r="BC50" s="32" t="inlineStr">
        <is>
          <t>LARGE CORP</t>
        </is>
      </c>
      <c r="BD50" s="32" t="inlineStr">
        <is>
          <t>07237373</t>
        </is>
      </c>
      <c r="BE50" s="32" t="n">
        <v>1</v>
      </c>
      <c r="BF50" s="32" t="inlineStr"/>
    </row>
    <row r="51">
      <c r="A51" s="17" t="inlineStr">
        <is>
          <t>BANCO DO BRASIL SA</t>
        </is>
      </c>
      <c r="B51" s="18" t="n">
        <v>1125316.46</v>
      </c>
      <c r="C51" s="19" t="inlineStr">
        <is>
          <t>GAMAC IMPORTACAO E EXPORTACAO LTDA (EM RECUPERAÇÃO JUDICIAL)</t>
        </is>
      </c>
      <c r="D51" s="20" t="inlineStr">
        <is>
          <t>NEW</t>
        </is>
      </c>
      <c r="E51" s="21" t="inlineStr"/>
      <c r="F51" s="20" t="inlineStr"/>
      <c r="G51" s="21" t="inlineStr"/>
      <c r="H51" s="20" t="inlineStr"/>
      <c r="I51" s="22" t="inlineStr">
        <is>
          <t>Thiago Cavichioli</t>
        </is>
      </c>
      <c r="J51" s="22" t="inlineStr">
        <is>
          <t>Gerente de Cobrança e Recuperação de Crédito</t>
        </is>
      </c>
      <c r="K51" s="22" t="inlineStr">
        <is>
          <t>(61) 3493-9002</t>
        </is>
      </c>
      <c r="L51" s="22" t="inlineStr"/>
      <c r="M51" s="22" t="inlineStr"/>
      <c r="N51" s="22" t="inlineStr">
        <is>
          <t>thiago.cavichioli@bb.com.br</t>
        </is>
      </c>
      <c r="O51" s="22" t="inlineStr">
        <is>
          <t>verified</t>
        </is>
      </c>
      <c r="P51" s="22" t="inlineStr">
        <is>
          <t>Suelen Mondador</t>
        </is>
      </c>
      <c r="Q51" s="22" t="inlineStr">
        <is>
          <t>Gerente Especialista em Recuperação de Crédito</t>
        </is>
      </c>
      <c r="R51" s="22" t="inlineStr"/>
      <c r="S51" s="22" t="inlineStr">
        <is>
          <t>suelenmondador@bb.com.br</t>
        </is>
      </c>
      <c r="T51" s="22" t="inlineStr">
        <is>
          <t>DM: DM verified email; BACKUP: backup verified email</t>
        </is>
      </c>
      <c r="U51" s="24" t="n">
        <v>1125316.46</v>
      </c>
      <c r="V51" s="25" t="inlineStr">
        <is>
          <t>B</t>
        </is>
      </c>
      <c r="W51" s="26" t="inlineStr"/>
      <c r="X51" s="27" t="inlineStr"/>
      <c r="Y51" s="27" t="inlineStr"/>
      <c r="Z51" s="26">
        <f>IF(W51&lt;&gt;"",W51,IFERROR(VLOOKUP(V51,Assumptions!$A$8:$F$12,2,FALSE),0))</f>
        <v/>
      </c>
      <c r="AA51" s="28">
        <f>IF(V51="A",MAX(1,IF(X51&lt;&gt;"",X51,IFERROR(VLOOKUP(V51,Assumptions!$A$8:$F$12,3,FALSE),3))+IF(Y51&lt;&gt;"",Y51,IFERROR(VLOOKUP(V51,Assumptions!$A$8:$F$12,4,FALSE),8))/2-MAX(0,IF(AS51="",0,YEAR(TODAY())-AS51)-IFERROR(VLOOKUP(V51,Assumptions!$A$8:$F$12,5,FALSE),1.5))),IFERROR(VLOOKUP(V51,Assumptions!$A$8:$F$12,5,FALSE),2.5)+IF(X51&lt;&gt;"",X51,IFERROR(VLOOKUP(V51,Assumptions!$A$8:$F$12,3,FALSE),3))+IF(Y51&lt;&gt;"",Y51,IFERROR(VLOOKUP(V51,Assumptions!$A$8:$F$12,4,FALSE),8))/2)</f>
        <v/>
      </c>
      <c r="AB51" s="24">
        <f>U51*Z51/(1+Assumptions!$B$3)^AA51</f>
        <v/>
      </c>
      <c r="AC51" s="27">
        <f>IF(U51=0,"",ROUND(AB51/U51*100,1))</f>
        <v/>
      </c>
      <c r="AD51" s="29">
        <f>AB51*Assumptions!$B$4</f>
        <v/>
      </c>
      <c r="AE51" s="27">
        <f>IF(U51=0,"",ROUND(AD51/U51*100,1))</f>
        <v/>
      </c>
      <c r="AF51" s="29">
        <f>AB51-AD51</f>
        <v/>
      </c>
      <c r="AG51" s="27">
        <f>IF(U51=0,"",ROUND((AB51-AD51)/U51*100,1))</f>
        <v/>
      </c>
      <c r="AH51" s="34" t="inlineStr">
        <is>
          <t>NO TOTALS — list prints none; check page</t>
        </is>
      </c>
      <c r="AI51" s="31" t="inlineStr">
        <is>
          <t>https://scalzilliaj.com.br/sgc/download.php?file=files/processo_documento/processo_documento10141405032024_1_.pdf&amp;nome=10 - Edital do art. 7º, §2º da Lei 11.101/2005 (segunda lista de credores)</t>
        </is>
      </c>
      <c r="AJ51" s="30" t="inlineStr">
        <is>
          <t>p1 r10</t>
        </is>
      </c>
      <c r="AK51" s="30" t="inlineStr">
        <is>
          <t>p1: R$ 1.125.316,46</t>
        </is>
      </c>
      <c r="AL51" s="30" t="inlineStr">
        <is>
          <t>QGC (art. 18)</t>
        </is>
      </c>
      <c r="AM51" s="30" t="inlineStr">
        <is>
          <t>2024-03-05</t>
        </is>
      </c>
      <c r="AN51" s="30" t="inlineStr">
        <is>
          <t>NONE FOUND</t>
        </is>
      </c>
      <c r="AO51" s="32" t="inlineStr">
        <is>
          <t>5012295-78.2023.8.24.0019</t>
        </is>
      </c>
      <c r="AP51" s="32" t="inlineStr">
        <is>
          <t>TJSC</t>
        </is>
      </c>
      <c r="AQ51" s="32" t="inlineStr">
        <is>
          <t>Recuperação judicial</t>
        </is>
      </c>
      <c r="AR51" s="32" t="inlineStr">
        <is>
          <t>DataJud: no closure/falência movement</t>
        </is>
      </c>
      <c r="AS51" s="32" t="n">
        <v>2023</v>
      </c>
      <c r="AT51" s="32" t="inlineStr">
        <is>
          <t>live case, no plan document yet</t>
        </is>
      </c>
      <c r="AU51" s="32" t="inlineStr"/>
      <c r="AV51" s="32" t="inlineStr">
        <is>
          <t>printed on the list (read twice)</t>
        </is>
      </c>
      <c r="AW51" s="32" t="inlineStr"/>
      <c r="AX51" s="32" t="inlineStr">
        <is>
          <t>BRASILIA</t>
        </is>
      </c>
      <c r="AY51" s="32" t="inlineStr">
        <is>
          <t>DF</t>
        </is>
      </c>
      <c r="AZ51" s="32" t="inlineStr">
        <is>
          <t>Bancos múltiplos, com carteira comercial</t>
        </is>
      </c>
      <c r="BA51" s="32" t="inlineStr">
        <is>
          <t>não ME/EPP</t>
        </is>
      </c>
      <c r="BB51" s="33" t="n">
        <v>120000000000</v>
      </c>
      <c r="BC51" s="32" t="inlineStr">
        <is>
          <t>LARGE CORP</t>
        </is>
      </c>
      <c r="BD51" s="32" t="inlineStr">
        <is>
          <t>00000000</t>
        </is>
      </c>
      <c r="BE51" s="32" t="n">
        <v>1</v>
      </c>
      <c r="BF51" s="32" t="inlineStr">
        <is>
          <t>financial by name list prints no totals</t>
        </is>
      </c>
    </row>
    <row r="52">
      <c r="A52" s="17" t="inlineStr">
        <is>
          <t>BANCO DO NORDESTE DO BRASIL SA</t>
        </is>
      </c>
      <c r="B52" s="18" t="n">
        <v>1031880.52</v>
      </c>
      <c r="C52" s="19" t="inlineStr">
        <is>
          <t>GRUPO CATTAN</t>
        </is>
      </c>
      <c r="D52" s="20" t="inlineStr">
        <is>
          <t>NEW</t>
        </is>
      </c>
      <c r="E52" s="21" t="inlineStr"/>
      <c r="F52" s="20" t="inlineStr"/>
      <c r="G52" s="21" t="inlineStr"/>
      <c r="H52" s="20" t="inlineStr"/>
      <c r="I52" s="22" t="inlineStr">
        <is>
          <t>Layslan Medeiros</t>
        </is>
      </c>
      <c r="J52" s="22" t="inlineStr">
        <is>
          <t>Gerente Executivo Operacional e de Recuperação de Crédito</t>
        </is>
      </c>
      <c r="K52" s="22" t="inlineStr">
        <is>
          <t>(85) 3299-3000</t>
        </is>
      </c>
      <c r="L52" s="22" t="inlineStr"/>
      <c r="M52" s="22" t="inlineStr"/>
      <c r="N52" s="22" t="inlineStr"/>
      <c r="O52" s="22" t="inlineStr"/>
      <c r="P52" s="22" t="inlineStr">
        <is>
          <t>Alexsander Farias</t>
        </is>
      </c>
      <c r="Q52" s="22" t="inlineStr">
        <is>
          <t>Gerente de Recuperação de Crédito</t>
        </is>
      </c>
      <c r="R52" s="22" t="inlineStr"/>
      <c r="S52" s="22" t="inlineStr">
        <is>
          <t>alexsander@bnb.gov.br</t>
        </is>
      </c>
      <c r="T52" s="22" t="inlineStr">
        <is>
          <t>DM: DM; no work email in Apollo for DM; BACKUP: backup</t>
        </is>
      </c>
      <c r="U52" s="24" t="n">
        <v>1031880.52</v>
      </c>
      <c r="V52" s="25" t="inlineStr">
        <is>
          <t>B</t>
        </is>
      </c>
      <c r="W52" s="26" t="inlineStr"/>
      <c r="X52" s="27" t="inlineStr"/>
      <c r="Y52" s="27" t="inlineStr"/>
      <c r="Z52" s="26">
        <f>IF(W52&lt;&gt;"",W52,IFERROR(VLOOKUP(V52,Assumptions!$A$8:$F$12,2,FALSE),0))</f>
        <v/>
      </c>
      <c r="AA52" s="28">
        <f>IF(V52="A",MAX(1,IF(X52&lt;&gt;"",X52,IFERROR(VLOOKUP(V52,Assumptions!$A$8:$F$12,3,FALSE),3))+IF(Y52&lt;&gt;"",Y52,IFERROR(VLOOKUP(V52,Assumptions!$A$8:$F$12,4,FALSE),8))/2-MAX(0,IF(AS52="",0,YEAR(TODAY())-AS52)-IFERROR(VLOOKUP(V52,Assumptions!$A$8:$F$12,5,FALSE),1.5))),IFERROR(VLOOKUP(V52,Assumptions!$A$8:$F$12,5,FALSE),2.5)+IF(X52&lt;&gt;"",X52,IFERROR(VLOOKUP(V52,Assumptions!$A$8:$F$12,3,FALSE),3))+IF(Y52&lt;&gt;"",Y52,IFERROR(VLOOKUP(V52,Assumptions!$A$8:$F$12,4,FALSE),8))/2)</f>
        <v/>
      </c>
      <c r="AB52" s="24">
        <f>U52*Z52/(1+Assumptions!$B$3)^AA52</f>
        <v/>
      </c>
      <c r="AC52" s="27">
        <f>IF(U52=0,"",ROUND(AB52/U52*100,1))</f>
        <v/>
      </c>
      <c r="AD52" s="29">
        <f>AB52*Assumptions!$B$4</f>
        <v/>
      </c>
      <c r="AE52" s="27">
        <f>IF(U52=0,"",ROUND(AD52/U52*100,1))</f>
        <v/>
      </c>
      <c r="AF52" s="29">
        <f>AB52-AD52</f>
        <v/>
      </c>
      <c r="AG52" s="27">
        <f>IF(U52=0,"",ROUND((AB52-AD52)/U52*100,1))</f>
        <v/>
      </c>
      <c r="AH52" s="35" t="inlineStr">
        <is>
          <t>PARTIAL — class III reconciled, other classes not</t>
        </is>
      </c>
      <c r="AI52" s="31" t="inlineStr">
        <is>
          <t>https://lrflideres.com.br/wp-content/plugins/download-attachments/includes/download.php?id=4023</t>
        </is>
      </c>
      <c r="AJ52" s="30" t="inlineStr">
        <is>
          <t>p7 r78; p9 r59</t>
        </is>
      </c>
      <c r="AK52" s="30" t="inlineStr">
        <is>
          <t>p7: R$ 837.075,43; p9: R$ 194.805,09</t>
        </is>
      </c>
      <c r="AL52" s="30" t="inlineStr">
        <is>
          <t>Debtor list (art. 51)</t>
        </is>
      </c>
      <c r="AM52" s="30" t="inlineStr"/>
      <c r="AN52" s="30" t="inlineStr">
        <is>
          <t>NONE FOUND</t>
        </is>
      </c>
      <c r="AO52" s="32" t="inlineStr">
        <is>
          <t>0002484-82.2022.8.17.2001</t>
        </is>
      </c>
      <c r="AP52" s="32" t="inlineStr">
        <is>
          <t>TJPE</t>
        </is>
      </c>
      <c r="AQ52" s="32" t="inlineStr">
        <is>
          <t>Recuperação judicial</t>
        </is>
      </c>
      <c r="AR52" s="32" t="inlineStr">
        <is>
          <t>DataJud: no closure/falência movement</t>
        </is>
      </c>
      <c r="AS52" s="32" t="n">
        <v>2022</v>
      </c>
      <c r="AT52" s="32" t="inlineStr">
        <is>
          <t>live case, no plan document yet</t>
        </is>
      </c>
      <c r="AU52" s="32" t="inlineStr"/>
      <c r="AV52" s="32" t="inlineStr">
        <is>
          <t>printed on the list (read twice)</t>
        </is>
      </c>
      <c r="AW52" s="32" t="inlineStr"/>
      <c r="AX52" s="32" t="inlineStr">
        <is>
          <t>FORTALEZA</t>
        </is>
      </c>
      <c r="AY52" s="32" t="inlineStr">
        <is>
          <t>CE</t>
        </is>
      </c>
      <c r="AZ52" s="32" t="inlineStr">
        <is>
          <t>Bancos múltiplos, com carteira comercial</t>
        </is>
      </c>
      <c r="BA52" s="32" t="inlineStr">
        <is>
          <t>não ME/EPP</t>
        </is>
      </c>
      <c r="BB52" s="33" t="n">
        <v>15139032000</v>
      </c>
      <c r="BC52" s="32" t="inlineStr">
        <is>
          <t>LARGE CORP</t>
        </is>
      </c>
      <c r="BD52" s="32" t="inlineStr">
        <is>
          <t>07237373</t>
        </is>
      </c>
      <c r="BE52" s="32" t="n">
        <v>2</v>
      </c>
      <c r="BF52" s="32" t="inlineStr">
        <is>
          <t>financial by name class III reconciled (doc partial)</t>
        </is>
      </c>
    </row>
    <row r="53">
      <c r="A53" s="17" t="inlineStr">
        <is>
          <t>BANCO DO BRASIL SA</t>
        </is>
      </c>
      <c r="B53" s="18" t="n">
        <v>968216.1899999999</v>
      </c>
      <c r="C53" s="19" t="inlineStr">
        <is>
          <t>GRUPO ADLIM</t>
        </is>
      </c>
      <c r="D53" s="20" t="inlineStr">
        <is>
          <t>NEW</t>
        </is>
      </c>
      <c r="E53" s="21" t="inlineStr"/>
      <c r="F53" s="20" t="inlineStr"/>
      <c r="G53" s="21" t="inlineStr"/>
      <c r="H53" s="20" t="inlineStr"/>
      <c r="I53" s="22" t="inlineStr">
        <is>
          <t>Thiago Cavichioli</t>
        </is>
      </c>
      <c r="J53" s="22" t="inlineStr">
        <is>
          <t>Gerente de Cobrança e Recuperação de Crédito</t>
        </is>
      </c>
      <c r="K53" s="22" t="inlineStr">
        <is>
          <t>(61) 3493-9002</t>
        </is>
      </c>
      <c r="L53" s="22" t="inlineStr"/>
      <c r="M53" s="22" t="inlineStr"/>
      <c r="N53" s="22" t="inlineStr">
        <is>
          <t>thiago.cavichioli@bb.com.br</t>
        </is>
      </c>
      <c r="O53" s="22" t="inlineStr">
        <is>
          <t>verified</t>
        </is>
      </c>
      <c r="P53" s="22" t="inlineStr">
        <is>
          <t>Suelen Mondador</t>
        </is>
      </c>
      <c r="Q53" s="22" t="inlineStr">
        <is>
          <t>Gerente Especialista em Recuperação de Crédito</t>
        </is>
      </c>
      <c r="R53" s="22" t="inlineStr"/>
      <c r="S53" s="22" t="inlineStr">
        <is>
          <t>suelenmondador@bb.com.br</t>
        </is>
      </c>
      <c r="T53" s="22" t="inlineStr">
        <is>
          <t>DM: DM verified email; BACKUP: backup verified email</t>
        </is>
      </c>
      <c r="U53" s="24" t="n">
        <v>968216.1899999999</v>
      </c>
      <c r="V53" s="25" t="inlineStr">
        <is>
          <t>B</t>
        </is>
      </c>
      <c r="W53" s="26" t="inlineStr"/>
      <c r="X53" s="27" t="inlineStr"/>
      <c r="Y53" s="27" t="inlineStr"/>
      <c r="Z53" s="26">
        <f>IF(W53&lt;&gt;"",W53,IFERROR(VLOOKUP(V53,Assumptions!$A$8:$F$12,2,FALSE),0))</f>
        <v/>
      </c>
      <c r="AA53" s="28">
        <f>IF(V53="A",MAX(1,IF(X53&lt;&gt;"",X53,IFERROR(VLOOKUP(V53,Assumptions!$A$8:$F$12,3,FALSE),3))+IF(Y53&lt;&gt;"",Y53,IFERROR(VLOOKUP(V53,Assumptions!$A$8:$F$12,4,FALSE),8))/2-MAX(0,IF(AS53="",0,YEAR(TODAY())-AS53)-IFERROR(VLOOKUP(V53,Assumptions!$A$8:$F$12,5,FALSE),1.5))),IFERROR(VLOOKUP(V53,Assumptions!$A$8:$F$12,5,FALSE),2.5)+IF(X53&lt;&gt;"",X53,IFERROR(VLOOKUP(V53,Assumptions!$A$8:$F$12,3,FALSE),3))+IF(Y53&lt;&gt;"",Y53,IFERROR(VLOOKUP(V53,Assumptions!$A$8:$F$12,4,FALSE),8))/2)</f>
        <v/>
      </c>
      <c r="AB53" s="24">
        <f>U53*Z53/(1+Assumptions!$B$3)^AA53</f>
        <v/>
      </c>
      <c r="AC53" s="27">
        <f>IF(U53=0,"",ROUND(AB53/U53*100,1))</f>
        <v/>
      </c>
      <c r="AD53" s="29">
        <f>AB53*Assumptions!$B$4</f>
        <v/>
      </c>
      <c r="AE53" s="27">
        <f>IF(U53=0,"",ROUND(AD53/U53*100,1))</f>
        <v/>
      </c>
      <c r="AF53" s="29">
        <f>AB53-AD53</f>
        <v/>
      </c>
      <c r="AG53" s="27">
        <f>IF(U53=0,"",ROUND((AB53-AD53)/U53*100,1))</f>
        <v/>
      </c>
      <c r="AH53" s="35" t="inlineStr">
        <is>
          <t>PARTIAL — class III reconciled, other classes not</t>
        </is>
      </c>
      <c r="AI53" s="31" t="inlineStr">
        <is>
          <t>https://lrflideres.com.br/wp-content/plugins/download-attachments/includes/download.php?id=6051</t>
        </is>
      </c>
      <c r="AJ53" s="30" t="inlineStr">
        <is>
          <t>p66 r69; p97 r21</t>
        </is>
      </c>
      <c r="AK53" s="30" t="inlineStr">
        <is>
          <t>p66: R$ 421489,53; p97: R$ 546726,66</t>
        </is>
      </c>
      <c r="AL53" s="30" t="inlineStr">
        <is>
          <t>AJ list (art. 7 §2)</t>
        </is>
      </c>
      <c r="AM53" s="30" t="inlineStr">
        <is>
          <t>2024-08-12</t>
        </is>
      </c>
      <c r="AN53" s="30" t="inlineStr">
        <is>
          <t>NONE FOUND</t>
        </is>
      </c>
      <c r="AO53" s="32" t="inlineStr">
        <is>
          <t>0019761-43.2024.8.17.2001</t>
        </is>
      </c>
      <c r="AP53" s="32" t="inlineStr">
        <is>
          <t>TJPE</t>
        </is>
      </c>
      <c r="AQ53" s="32" t="inlineStr">
        <is>
          <t>Recuperação judicial</t>
        </is>
      </c>
      <c r="AR53" s="32" t="inlineStr">
        <is>
          <t>DataJud: no closure/falência movement</t>
        </is>
      </c>
      <c r="AS53" s="32" t="n">
        <v>2024</v>
      </c>
      <c r="AT53" s="32" t="inlineStr">
        <is>
          <t>live case, no plan document yet</t>
        </is>
      </c>
      <c r="AU53" s="32" t="inlineStr"/>
      <c r="AV53" s="32" t="inlineStr">
        <is>
          <t>printed on the list (read twice)</t>
        </is>
      </c>
      <c r="AW53" s="32" t="inlineStr"/>
      <c r="AX53" s="32" t="inlineStr">
        <is>
          <t>BRASILIA</t>
        </is>
      </c>
      <c r="AY53" s="32" t="inlineStr">
        <is>
          <t>DF</t>
        </is>
      </c>
      <c r="AZ53" s="32" t="inlineStr">
        <is>
          <t>Bancos múltiplos, com carteira comercial</t>
        </is>
      </c>
      <c r="BA53" s="32" t="inlineStr">
        <is>
          <t>não ME/EPP</t>
        </is>
      </c>
      <c r="BB53" s="33" t="n">
        <v>120000000000</v>
      </c>
      <c r="BC53" s="32" t="inlineStr">
        <is>
          <t>LARGE CORP</t>
        </is>
      </c>
      <c r="BD53" s="32" t="inlineStr">
        <is>
          <t>00000000</t>
        </is>
      </c>
      <c r="BE53" s="32" t="n">
        <v>2</v>
      </c>
      <c r="BF53" s="32" t="inlineStr">
        <is>
          <t>financial by name class III reconciled (doc partial)</t>
        </is>
      </c>
    </row>
    <row r="54">
      <c r="A54" s="17" t="inlineStr">
        <is>
          <t>BANCO DO BRASIL SA</t>
        </is>
      </c>
      <c r="B54" s="18" t="n">
        <v>802157.46</v>
      </c>
      <c r="C54" s="19" t="inlineStr">
        <is>
          <t>FRIGORÍFICO ALFA INDÚSTRIA E COMÉRCIO DE CARNES E DERIVADOS LTDA e CTX LOGÍSTICA, TRANSPORTE E LOCAÇÕES LTDA</t>
        </is>
      </c>
      <c r="D54" s="20" t="inlineStr">
        <is>
          <t>NEW</t>
        </is>
      </c>
      <c r="E54" s="21" t="inlineStr"/>
      <c r="F54" s="20" t="inlineStr"/>
      <c r="G54" s="21" t="inlineStr"/>
      <c r="H54" s="20" t="inlineStr"/>
      <c r="I54" s="22" t="inlineStr">
        <is>
          <t>Thiago Cavichioli</t>
        </is>
      </c>
      <c r="J54" s="22" t="inlineStr">
        <is>
          <t>Gerente de Cobrança e Recuperação de Crédito</t>
        </is>
      </c>
      <c r="K54" s="22" t="inlineStr">
        <is>
          <t>(61) 3493-9002</t>
        </is>
      </c>
      <c r="L54" s="22" t="inlineStr"/>
      <c r="M54" s="22" t="inlineStr"/>
      <c r="N54" s="22" t="inlineStr">
        <is>
          <t>thiago.cavichioli@bb.com.br</t>
        </is>
      </c>
      <c r="O54" s="22" t="inlineStr">
        <is>
          <t>verified</t>
        </is>
      </c>
      <c r="P54" s="22" t="inlineStr">
        <is>
          <t>Suelen Mondador</t>
        </is>
      </c>
      <c r="Q54" s="22" t="inlineStr">
        <is>
          <t>Gerente Especialista em Recuperação de Crédito</t>
        </is>
      </c>
      <c r="R54" s="22" t="inlineStr"/>
      <c r="S54" s="22" t="inlineStr">
        <is>
          <t>suelenmondador@bb.com.br</t>
        </is>
      </c>
      <c r="T54" s="22" t="inlineStr">
        <is>
          <t>DM: DM verified email; BACKUP: backup verified email</t>
        </is>
      </c>
      <c r="U54" s="24" t="n">
        <v>802157.46</v>
      </c>
      <c r="V54" s="25" t="inlineStr">
        <is>
          <t>B</t>
        </is>
      </c>
      <c r="W54" s="26" t="inlineStr"/>
      <c r="X54" s="27" t="inlineStr"/>
      <c r="Y54" s="27" t="inlineStr"/>
      <c r="Z54" s="26">
        <f>IF(W54&lt;&gt;"",W54,IFERROR(VLOOKUP(V54,Assumptions!$A$8:$F$12,2,FALSE),0))</f>
        <v/>
      </c>
      <c r="AA54" s="28">
        <f>IF(V54="A",MAX(1,IF(X54&lt;&gt;"",X54,IFERROR(VLOOKUP(V54,Assumptions!$A$8:$F$12,3,FALSE),3))+IF(Y54&lt;&gt;"",Y54,IFERROR(VLOOKUP(V54,Assumptions!$A$8:$F$12,4,FALSE),8))/2-MAX(0,IF(AS54="",0,YEAR(TODAY())-AS54)-IFERROR(VLOOKUP(V54,Assumptions!$A$8:$F$12,5,FALSE),1.5))),IFERROR(VLOOKUP(V54,Assumptions!$A$8:$F$12,5,FALSE),2.5)+IF(X54&lt;&gt;"",X54,IFERROR(VLOOKUP(V54,Assumptions!$A$8:$F$12,3,FALSE),3))+IF(Y54&lt;&gt;"",Y54,IFERROR(VLOOKUP(V54,Assumptions!$A$8:$F$12,4,FALSE),8))/2)</f>
        <v/>
      </c>
      <c r="AB54" s="24">
        <f>U54*Z54/(1+Assumptions!$B$3)^AA54</f>
        <v/>
      </c>
      <c r="AC54" s="27">
        <f>IF(U54=0,"",ROUND(AB54/U54*100,1))</f>
        <v/>
      </c>
      <c r="AD54" s="29">
        <f>AB54*Assumptions!$B$4</f>
        <v/>
      </c>
      <c r="AE54" s="27">
        <f>IF(U54=0,"",ROUND(AD54/U54*100,1))</f>
        <v/>
      </c>
      <c r="AF54" s="29">
        <f>AB54-AD54</f>
        <v/>
      </c>
      <c r="AG54" s="27">
        <f>IF(U54=0,"",ROUND((AB54-AD54)/U54*100,1))</f>
        <v/>
      </c>
      <c r="AH54" s="30" t="inlineStr">
        <is>
          <t>OK — totals reconciled</t>
        </is>
      </c>
      <c r="AI54" s="31" t="inlineStr">
        <is>
          <t>https://vtladm.com.br/wp-content/uploads/2024/04/09-–-EDITAL-DE-CONVOCACAO-DE-CREDORES-–-Frigorifico-Alfa-Industria-e-Comercio-de-Carnes-e-Derivados-Ltda.-e-Ctx-Logistica-Transporte-E-Locacoes-Ltda.pdf</t>
        </is>
      </c>
      <c r="AJ54" s="30" t="inlineStr">
        <is>
          <t>p1 r15</t>
        </is>
      </c>
      <c r="AK54" s="30" t="inlineStr">
        <is>
          <t>p1: R$ 802.157,46</t>
        </is>
      </c>
      <c r="AL54" s="30" t="inlineStr">
        <is>
          <t>AJ list (art. 7 §2)</t>
        </is>
      </c>
      <c r="AM54" s="30" t="inlineStr"/>
      <c r="AN54" s="30" t="inlineStr">
        <is>
          <t>NONE FOUND</t>
        </is>
      </c>
      <c r="AO54" s="32" t="inlineStr">
        <is>
          <t>1009827-02.2024.8.26.0576</t>
        </is>
      </c>
      <c r="AP54" s="32" t="inlineStr">
        <is>
          <t>TJSP</t>
        </is>
      </c>
      <c r="AQ54" s="32" t="inlineStr">
        <is>
          <t>Recuperação judicial</t>
        </is>
      </c>
      <c r="AR54" s="32" t="inlineStr">
        <is>
          <t>DataJud: no closure/falência movement</t>
        </is>
      </c>
      <c r="AS54" s="32" t="n">
        <v>2024</v>
      </c>
      <c r="AT54" s="32" t="inlineStr">
        <is>
          <t>live case, no plan document yet; case no. from the portal record, not printed on the list</t>
        </is>
      </c>
      <c r="AU54" s="32" t="inlineStr">
        <is>
          <t>00.975.846/0001-47</t>
        </is>
      </c>
      <c r="AV54" s="32" t="inlineStr">
        <is>
          <t>printed on the list (read twice)</t>
        </is>
      </c>
      <c r="AW54" s="32" t="inlineStr"/>
      <c r="AX54" s="32" t="inlineStr">
        <is>
          <t>BRASILIA</t>
        </is>
      </c>
      <c r="AY54" s="32" t="inlineStr">
        <is>
          <t>DF</t>
        </is>
      </c>
      <c r="AZ54" s="32" t="inlineStr">
        <is>
          <t>Bancos múltiplos, com carteira comercial</t>
        </is>
      </c>
      <c r="BA54" s="32" t="inlineStr">
        <is>
          <t>não ME/EPP</t>
        </is>
      </c>
      <c r="BB54" s="33" t="n">
        <v>120000000000</v>
      </c>
      <c r="BC54" s="32" t="inlineStr">
        <is>
          <t>LARGE CORP</t>
        </is>
      </c>
      <c r="BD54" s="32" t="inlineStr">
        <is>
          <t>00000000</t>
        </is>
      </c>
      <c r="BE54" s="32" t="n">
        <v>1</v>
      </c>
      <c r="BF54" s="32" t="inlineStr">
        <is>
          <t>ALT_VALUE:802.157,46 financial by name</t>
        </is>
      </c>
    </row>
    <row r="55">
      <c r="A55" s="17" t="inlineStr">
        <is>
          <t>BANCO DO BRASIL SA</t>
        </is>
      </c>
      <c r="B55" s="18" t="n">
        <v>1456767.85</v>
      </c>
      <c r="C55" s="37" t="inlineStr">
        <is>
          <t>(debtor not identified — see proof)</t>
        </is>
      </c>
      <c r="D55" s="20" t="inlineStr">
        <is>
          <t>NEW</t>
        </is>
      </c>
      <c r="E55" s="21" t="inlineStr"/>
      <c r="F55" s="20" t="inlineStr"/>
      <c r="G55" s="21" t="inlineStr"/>
      <c r="H55" s="20" t="inlineStr"/>
      <c r="I55" s="22" t="inlineStr">
        <is>
          <t>Thiago Cavichioli</t>
        </is>
      </c>
      <c r="J55" s="22" t="inlineStr">
        <is>
          <t>Gerente de Cobrança e Recuperação de Crédito</t>
        </is>
      </c>
      <c r="K55" s="22" t="inlineStr">
        <is>
          <t>(61) 3493-9002</t>
        </is>
      </c>
      <c r="L55" s="22" t="inlineStr"/>
      <c r="M55" s="22" t="inlineStr"/>
      <c r="N55" s="22" t="inlineStr">
        <is>
          <t>thiago.cavichioli@bb.com.br</t>
        </is>
      </c>
      <c r="O55" s="22" t="inlineStr">
        <is>
          <t>verified</t>
        </is>
      </c>
      <c r="P55" s="22" t="inlineStr">
        <is>
          <t>Suelen Mondador</t>
        </is>
      </c>
      <c r="Q55" s="22" t="inlineStr">
        <is>
          <t>Gerente Especialista em Recuperação de Crédito</t>
        </is>
      </c>
      <c r="R55" s="22" t="inlineStr"/>
      <c r="S55" s="22" t="inlineStr">
        <is>
          <t>suelenmondador@bb.com.br</t>
        </is>
      </c>
      <c r="T55" s="22" t="inlineStr">
        <is>
          <t>DM: DM verified email; BACKUP: backup verified email</t>
        </is>
      </c>
      <c r="U55" s="24" t="n">
        <v>1456767.85</v>
      </c>
      <c r="V55" s="38" t="inlineStr">
        <is>
          <t>U</t>
        </is>
      </c>
      <c r="W55" s="26" t="inlineStr"/>
      <c r="X55" s="27" t="inlineStr"/>
      <c r="Y55" s="27" t="inlineStr"/>
      <c r="Z55" s="26">
        <f>IF(W55&lt;&gt;"",W55,IFERROR(VLOOKUP(V55,Assumptions!$A$8:$F$12,2,FALSE),0))</f>
        <v/>
      </c>
      <c r="AA55" s="28">
        <f>IF(V55="A",MAX(1,IF(X55&lt;&gt;"",X55,IFERROR(VLOOKUP(V55,Assumptions!$A$8:$F$12,3,FALSE),3))+IF(Y55&lt;&gt;"",Y55,IFERROR(VLOOKUP(V55,Assumptions!$A$8:$F$12,4,FALSE),8))/2-MAX(0,IF(AS55="",0,YEAR(TODAY())-AS55)-IFERROR(VLOOKUP(V55,Assumptions!$A$8:$F$12,5,FALSE),1.5))),IFERROR(VLOOKUP(V55,Assumptions!$A$8:$F$12,5,FALSE),2.5)+IF(X55&lt;&gt;"",X55,IFERROR(VLOOKUP(V55,Assumptions!$A$8:$F$12,3,FALSE),3))+IF(Y55&lt;&gt;"",Y55,IFERROR(VLOOKUP(V55,Assumptions!$A$8:$F$12,4,FALSE),8))/2)</f>
        <v/>
      </c>
      <c r="AB55" s="24">
        <f>U55*Z55/(1+Assumptions!$B$3)^AA55</f>
        <v/>
      </c>
      <c r="AC55" s="27">
        <f>IF(U55=0,"",ROUND(AB55/U55*100,1))</f>
        <v/>
      </c>
      <c r="AD55" s="29">
        <f>AB55*Assumptions!$B$4</f>
        <v/>
      </c>
      <c r="AE55" s="27">
        <f>IF(U55=0,"",ROUND(AD55/U55*100,1))</f>
        <v/>
      </c>
      <c r="AF55" s="29">
        <f>AB55-AD55</f>
        <v/>
      </c>
      <c r="AG55" s="27">
        <f>IF(U55=0,"",ROUND((AB55-AD55)/U55*100,1))</f>
        <v/>
      </c>
      <c r="AH55" s="30" t="inlineStr">
        <is>
          <t>OK — totals reconciled</t>
        </is>
      </c>
      <c r="AI55" s="31" t="inlineStr">
        <is>
          <t>http://bernardobicalho.com.br/login/app/documents/Rela%C3%A7%C3%A3o%20de%20Credores/6.%20RVC-%20Nutricium%20-%20simplificada.pdf</t>
        </is>
      </c>
      <c r="AJ55" s="30" t="inlineStr">
        <is>
          <t>p3 r3</t>
        </is>
      </c>
      <c r="AK55" s="30" t="inlineStr">
        <is>
          <t>p3: R$ 1.456.767,85</t>
        </is>
      </c>
      <c r="AL55" s="30" t="inlineStr">
        <is>
          <t>AJ list (art. 7 §2)</t>
        </is>
      </c>
      <c r="AM55" s="30" t="inlineStr"/>
      <c r="AN55" s="30" t="inlineStr">
        <is>
          <t>NONE FOUND</t>
        </is>
      </c>
      <c r="AO55" s="32" t="inlineStr">
        <is>
          <t>(not printed)</t>
        </is>
      </c>
      <c r="AP55" s="32" t="inlineStr"/>
      <c r="AQ55" s="32" t="inlineStr"/>
      <c r="AR55" s="32" t="inlineStr"/>
      <c r="AS55" s="32" t="inlineStr"/>
      <c r="AT55" s="32" t="inlineStr">
        <is>
          <t>RJ case number not identified on the document</t>
        </is>
      </c>
      <c r="AU55" s="32" t="inlineStr"/>
      <c r="AV55" s="32" t="inlineStr">
        <is>
          <t>not identified</t>
        </is>
      </c>
      <c r="AW55" s="32" t="inlineStr"/>
      <c r="AX55" s="32" t="inlineStr">
        <is>
          <t>BRASILIA</t>
        </is>
      </c>
      <c r="AY55" s="32" t="inlineStr">
        <is>
          <t>DF</t>
        </is>
      </c>
      <c r="AZ55" s="32" t="inlineStr">
        <is>
          <t>Bancos múltiplos, com carteira comercial</t>
        </is>
      </c>
      <c r="BA55" s="32" t="inlineStr">
        <is>
          <t>não ME/EPP</t>
        </is>
      </c>
      <c r="BB55" s="33" t="n">
        <v>120000000000</v>
      </c>
      <c r="BC55" s="32" t="inlineStr">
        <is>
          <t>LARGE CORP</t>
        </is>
      </c>
      <c r="BD55" s="32" t="inlineStr">
        <is>
          <t>00000000</t>
        </is>
      </c>
      <c r="BE55" s="32" t="n">
        <v>1</v>
      </c>
      <c r="BF55" s="32" t="inlineStr">
        <is>
          <t>CASE_NUMBER_MISSING financial by name</t>
        </is>
      </c>
    </row>
    <row r="56">
      <c r="A56" s="17" t="inlineStr">
        <is>
          <t>BANCO DO BRASIL SA</t>
        </is>
      </c>
      <c r="B56" s="18" t="n">
        <v>5244189.11</v>
      </c>
      <c r="C56" s="19" t="inlineStr">
        <is>
          <t>Mannes</t>
        </is>
      </c>
      <c r="D56" s="20" t="inlineStr">
        <is>
          <t>NEW</t>
        </is>
      </c>
      <c r="E56" s="21" t="inlineStr"/>
      <c r="F56" s="20" t="inlineStr"/>
      <c r="G56" s="21" t="inlineStr"/>
      <c r="H56" s="20" t="inlineStr"/>
      <c r="I56" s="22" t="inlineStr">
        <is>
          <t>Thiago Cavichioli</t>
        </is>
      </c>
      <c r="J56" s="22" t="inlineStr">
        <is>
          <t>Gerente de Cobrança e Recuperação de Crédito</t>
        </is>
      </c>
      <c r="K56" s="22" t="inlineStr">
        <is>
          <t>(61) 3493-9002</t>
        </is>
      </c>
      <c r="L56" s="22" t="inlineStr"/>
      <c r="M56" s="22" t="inlineStr"/>
      <c r="N56" s="22" t="inlineStr">
        <is>
          <t>thiago.cavichioli@bb.com.br</t>
        </is>
      </c>
      <c r="O56" s="22" t="inlineStr">
        <is>
          <t>verified</t>
        </is>
      </c>
      <c r="P56" s="22" t="inlineStr">
        <is>
          <t>Suelen Mondador</t>
        </is>
      </c>
      <c r="Q56" s="22" t="inlineStr">
        <is>
          <t>Gerente Especialista em Recuperação de Crédito</t>
        </is>
      </c>
      <c r="R56" s="22" t="inlineStr"/>
      <c r="S56" s="22" t="inlineStr">
        <is>
          <t>suelenmondador@bb.com.br</t>
        </is>
      </c>
      <c r="T56" s="22" t="inlineStr">
        <is>
          <t>DM: DM verified email; BACKUP: backup verified email</t>
        </is>
      </c>
      <c r="U56" s="24" t="n">
        <v>5244189.11</v>
      </c>
      <c r="V56" s="40" t="inlineStr">
        <is>
          <t>D</t>
        </is>
      </c>
      <c r="W56" s="26" t="inlineStr"/>
      <c r="X56" s="27" t="inlineStr"/>
      <c r="Y56" s="27" t="inlineStr"/>
      <c r="Z56" s="26">
        <f>IF(W56&lt;&gt;"",W56,IFERROR(VLOOKUP(V56,Assumptions!$A$8:$F$12,2,FALSE),0))</f>
        <v/>
      </c>
      <c r="AA56" s="28">
        <f>IF(V56="A",MAX(1,IF(X56&lt;&gt;"",X56,IFERROR(VLOOKUP(V56,Assumptions!$A$8:$F$12,3,FALSE),3))+IF(Y56&lt;&gt;"",Y56,IFERROR(VLOOKUP(V56,Assumptions!$A$8:$F$12,4,FALSE),8))/2-MAX(0,IF(AS56="",0,YEAR(TODAY())-AS56)-IFERROR(VLOOKUP(V56,Assumptions!$A$8:$F$12,5,FALSE),1.5))),IFERROR(VLOOKUP(V56,Assumptions!$A$8:$F$12,5,FALSE),2.5)+IF(X56&lt;&gt;"",X56,IFERROR(VLOOKUP(V56,Assumptions!$A$8:$F$12,3,FALSE),3))+IF(Y56&lt;&gt;"",Y56,IFERROR(VLOOKUP(V56,Assumptions!$A$8:$F$12,4,FALSE),8))/2)</f>
        <v/>
      </c>
      <c r="AB56" s="24">
        <f>U56*Z56/(1+Assumptions!$B$3)^AA56</f>
        <v/>
      </c>
      <c r="AC56" s="27">
        <f>IF(U56=0,"",ROUND(AB56/U56*100,1))</f>
        <v/>
      </c>
      <c r="AD56" s="29">
        <f>AB56*Assumptions!$B$4</f>
        <v/>
      </c>
      <c r="AE56" s="27">
        <f>IF(U56=0,"",ROUND(AD56/U56*100,1))</f>
        <v/>
      </c>
      <c r="AF56" s="29">
        <f>AB56-AD56</f>
        <v/>
      </c>
      <c r="AG56" s="27">
        <f>IF(U56=0,"",ROUND((AB56-AD56)/U56*100,1))</f>
        <v/>
      </c>
      <c r="AH56" s="36" t="inlineStr">
        <is>
          <t>CHECK — source is not a statutory creditor list</t>
        </is>
      </c>
      <c r="AI56" s="31" t="inlineStr">
        <is>
          <t>https://administradorajudicialgs.com.br/wp-content/uploads/2024/12/relacao-de-credores-da-falida.pdf</t>
        </is>
      </c>
      <c r="AJ56" s="30" t="inlineStr">
        <is>
          <t>p13 r4</t>
        </is>
      </c>
      <c r="AK56" s="30" t="inlineStr">
        <is>
          <t>p13: R$ 5.244.189,11</t>
        </is>
      </c>
      <c r="AL56" s="30" t="inlineStr">
        <is>
          <t>Other filing — NOT an art. 7/51 list</t>
        </is>
      </c>
      <c r="AM56" s="30" t="inlineStr">
        <is>
          <t>2025-03-25</t>
        </is>
      </c>
      <c r="AN56" s="30" t="inlineStr">
        <is>
          <t>NONE FOUND</t>
        </is>
      </c>
      <c r="AO56" s="32" t="inlineStr">
        <is>
          <t>0005010-50.2013.8.24.0026</t>
        </is>
      </c>
      <c r="AP56" s="32" t="inlineStr">
        <is>
          <t>TJSC</t>
        </is>
      </c>
      <c r="AQ56" s="32" t="inlineStr">
        <is>
          <t>Falência</t>
        </is>
      </c>
      <c r="AR56" s="32" t="inlineStr">
        <is>
          <t>not in DataJud</t>
        </is>
      </c>
      <c r="AS56" s="32" t="n">
        <v>2013</v>
      </c>
      <c r="AT56" s="32" t="inlineStr">
        <is>
          <t>falência proceeding (list/name says falida)</t>
        </is>
      </c>
      <c r="AU56" s="32" t="inlineStr"/>
      <c r="AV56" s="32" t="inlineStr">
        <is>
          <t>printed on the list (read twice)</t>
        </is>
      </c>
      <c r="AW56" s="32" t="inlineStr"/>
      <c r="AX56" s="32" t="inlineStr">
        <is>
          <t>BRASILIA</t>
        </is>
      </c>
      <c r="AY56" s="32" t="inlineStr">
        <is>
          <t>DF</t>
        </is>
      </c>
      <c r="AZ56" s="32" t="inlineStr">
        <is>
          <t>Bancos múltiplos, com carteira comercial</t>
        </is>
      </c>
      <c r="BA56" s="32" t="inlineStr">
        <is>
          <t>não ME/EPP</t>
        </is>
      </c>
      <c r="BB56" s="33" t="n">
        <v>120000000000</v>
      </c>
      <c r="BC56" s="32" t="inlineStr">
        <is>
          <t>LARGE CORP</t>
        </is>
      </c>
      <c r="BD56" s="32" t="inlineStr">
        <is>
          <t>00000000</t>
        </is>
      </c>
      <c r="BE56" s="32" t="n">
        <v>1</v>
      </c>
      <c r="BF56" s="32" t="inlineStr">
        <is>
          <t>financial by name list prints no totals case no. corrected by reader</t>
        </is>
      </c>
    </row>
    <row r="57">
      <c r="A57" s="17" t="inlineStr">
        <is>
          <t>BANCO DO BRASIL SA</t>
        </is>
      </c>
      <c r="B57" s="18" t="n">
        <v>607709.97</v>
      </c>
      <c r="C57" s="37" t="inlineStr">
        <is>
          <t>(debtor not identified — see proof)</t>
        </is>
      </c>
      <c r="D57" s="20" t="inlineStr">
        <is>
          <t>NEW</t>
        </is>
      </c>
      <c r="E57" s="21" t="inlineStr"/>
      <c r="F57" s="20" t="inlineStr"/>
      <c r="G57" s="21" t="inlineStr"/>
      <c r="H57" s="20" t="inlineStr"/>
      <c r="I57" s="22" t="inlineStr">
        <is>
          <t>Thiago Cavichioli</t>
        </is>
      </c>
      <c r="J57" s="22" t="inlineStr">
        <is>
          <t>Gerente de Cobrança e Recuperação de Crédito</t>
        </is>
      </c>
      <c r="K57" s="22" t="inlineStr">
        <is>
          <t>(61) 3493-9002</t>
        </is>
      </c>
      <c r="L57" s="22" t="inlineStr"/>
      <c r="M57" s="22" t="inlineStr"/>
      <c r="N57" s="22" t="inlineStr">
        <is>
          <t>thiago.cavichioli@bb.com.br</t>
        </is>
      </c>
      <c r="O57" s="22" t="inlineStr">
        <is>
          <t>verified</t>
        </is>
      </c>
      <c r="P57" s="22" t="inlineStr">
        <is>
          <t>Suelen Mondador</t>
        </is>
      </c>
      <c r="Q57" s="22" t="inlineStr">
        <is>
          <t>Gerente Especialista em Recuperação de Crédito</t>
        </is>
      </c>
      <c r="R57" s="22" t="inlineStr"/>
      <c r="S57" s="22" t="inlineStr">
        <is>
          <t>suelenmondador@bb.com.br</t>
        </is>
      </c>
      <c r="T57" s="22" t="inlineStr">
        <is>
          <t>DM: DM verified email; BACKUP: backup verified email</t>
        </is>
      </c>
      <c r="U57" s="24" t="n">
        <v>607709.97</v>
      </c>
      <c r="V57" s="25" t="inlineStr">
        <is>
          <t>B</t>
        </is>
      </c>
      <c r="W57" s="26" t="inlineStr"/>
      <c r="X57" s="27" t="inlineStr"/>
      <c r="Y57" s="27" t="inlineStr"/>
      <c r="Z57" s="26">
        <f>IF(W57&lt;&gt;"",W57,IFERROR(VLOOKUP(V57,Assumptions!$A$8:$F$12,2,FALSE),0))</f>
        <v/>
      </c>
      <c r="AA57" s="28">
        <f>IF(V57="A",MAX(1,IF(X57&lt;&gt;"",X57,IFERROR(VLOOKUP(V57,Assumptions!$A$8:$F$12,3,FALSE),3))+IF(Y57&lt;&gt;"",Y57,IFERROR(VLOOKUP(V57,Assumptions!$A$8:$F$12,4,FALSE),8))/2-MAX(0,IF(AS57="",0,YEAR(TODAY())-AS57)-IFERROR(VLOOKUP(V57,Assumptions!$A$8:$F$12,5,FALSE),1.5))),IFERROR(VLOOKUP(V57,Assumptions!$A$8:$F$12,5,FALSE),2.5)+IF(X57&lt;&gt;"",X57,IFERROR(VLOOKUP(V57,Assumptions!$A$8:$F$12,3,FALSE),3))+IF(Y57&lt;&gt;"",Y57,IFERROR(VLOOKUP(V57,Assumptions!$A$8:$F$12,4,FALSE),8))/2)</f>
        <v/>
      </c>
      <c r="AB57" s="24">
        <f>U57*Z57/(1+Assumptions!$B$3)^AA57</f>
        <v/>
      </c>
      <c r="AC57" s="27">
        <f>IF(U57=0,"",ROUND(AB57/U57*100,1))</f>
        <v/>
      </c>
      <c r="AD57" s="29">
        <f>AB57*Assumptions!$B$4</f>
        <v/>
      </c>
      <c r="AE57" s="27">
        <f>IF(U57=0,"",ROUND(AD57/U57*100,1))</f>
        <v/>
      </c>
      <c r="AF57" s="29">
        <f>AB57-AD57</f>
        <v/>
      </c>
      <c r="AG57" s="27">
        <f>IF(U57=0,"",ROUND((AB57-AD57)/U57*100,1))</f>
        <v/>
      </c>
      <c r="AH57" s="34" t="inlineStr">
        <is>
          <t>NO TOTALS — list prints none; check page</t>
        </is>
      </c>
      <c r="AI57" s="31" t="inlineStr">
        <is>
          <t>https://scalzilliaj.com.br/sgc/download.php?file=files/processo_documento/processo_documento15180810062026_1_.pdf&amp;nome=10 - Relação de credores do art. 7º, §2º, da Lei 11.101/2005</t>
        </is>
      </c>
      <c r="AJ57" s="30" t="inlineStr">
        <is>
          <t>p1 r40</t>
        </is>
      </c>
      <c r="AK57" s="30" t="inlineStr">
        <is>
          <t>p1: R$ 607.709,97</t>
        </is>
      </c>
      <c r="AL57" s="30" t="inlineStr">
        <is>
          <t>AJ list (art. 7 §2)</t>
        </is>
      </c>
      <c r="AM57" s="30" t="inlineStr"/>
      <c r="AN57" s="30" t="inlineStr">
        <is>
          <t>NONE FOUND</t>
        </is>
      </c>
      <c r="AO57" s="32" t="inlineStr">
        <is>
          <t>5009529-81.2025.8.24.0019</t>
        </is>
      </c>
      <c r="AP57" s="32" t="inlineStr">
        <is>
          <t>TJSC</t>
        </is>
      </c>
      <c r="AQ57" s="32" t="inlineStr"/>
      <c r="AR57" s="32" t="inlineStr">
        <is>
          <t>not in DataJud</t>
        </is>
      </c>
      <c r="AS57" s="32" t="n">
        <v>2025</v>
      </c>
      <c r="AT57" s="32" t="inlineStr">
        <is>
          <t>live case, no plan document yet; case no. from the portal record, not printed on the list</t>
        </is>
      </c>
      <c r="AU57" s="32" t="inlineStr"/>
      <c r="AV57" s="32" t="inlineStr">
        <is>
          <t>not identified</t>
        </is>
      </c>
      <c r="AW57" s="32" t="inlineStr"/>
      <c r="AX57" s="32" t="inlineStr">
        <is>
          <t>BRASILIA</t>
        </is>
      </c>
      <c r="AY57" s="32" t="inlineStr">
        <is>
          <t>DF</t>
        </is>
      </c>
      <c r="AZ57" s="32" t="inlineStr">
        <is>
          <t>Bancos múltiplos, com carteira comercial</t>
        </is>
      </c>
      <c r="BA57" s="32" t="inlineStr">
        <is>
          <t>não ME/EPP</t>
        </is>
      </c>
      <c r="BB57" s="33" t="n">
        <v>120000000000</v>
      </c>
      <c r="BC57" s="32" t="inlineStr">
        <is>
          <t>LARGE CORP</t>
        </is>
      </c>
      <c r="BD57" s="32" t="inlineStr">
        <is>
          <t>00000000</t>
        </is>
      </c>
      <c r="BE57" s="32" t="n">
        <v>1</v>
      </c>
      <c r="BF57" s="32" t="inlineStr">
        <is>
          <t>financial by name list prints no totals</t>
        </is>
      </c>
    </row>
    <row r="58">
      <c r="A58" s="17" t="inlineStr">
        <is>
          <t>BANCO DA AMAZONIA SA</t>
        </is>
      </c>
      <c r="B58" s="18" t="n">
        <v>2320767.17</v>
      </c>
      <c r="C58" s="19" t="inlineStr">
        <is>
          <t>Roque Materiais para Construção</t>
        </is>
      </c>
      <c r="D58" s="20" t="inlineStr">
        <is>
          <t>NEW</t>
        </is>
      </c>
      <c r="E58" s="21" t="inlineStr"/>
      <c r="F58" s="20" t="inlineStr"/>
      <c r="G58" s="21" t="inlineStr"/>
      <c r="H58" s="20" t="inlineStr"/>
      <c r="I58" s="22" t="inlineStr">
        <is>
          <t>Edigard Henrique</t>
        </is>
      </c>
      <c r="J58" s="22" t="inlineStr">
        <is>
          <t>Coodenador de Cobrança</t>
        </is>
      </c>
      <c r="K58" s="22" t="inlineStr">
        <is>
          <t>(91) 4008-3316</t>
        </is>
      </c>
      <c r="L58" s="22" t="inlineStr">
        <is>
          <t>(91) 4008-2409</t>
        </is>
      </c>
      <c r="M58" s="22" t="inlineStr"/>
      <c r="N58" s="22" t="inlineStr">
        <is>
          <t>edigard.henrique@bancoamazonia.com.br</t>
        </is>
      </c>
      <c r="O58" s="22" t="inlineStr">
        <is>
          <t>verified</t>
        </is>
      </c>
      <c r="P58" s="22" t="inlineStr">
        <is>
          <t>Igor Galvao</t>
        </is>
      </c>
      <c r="Q58" s="22" t="inlineStr">
        <is>
          <t>Gerente Jurídico Contencioso</t>
        </is>
      </c>
      <c r="R58" s="22" t="inlineStr"/>
      <c r="S58" s="22" t="inlineStr">
        <is>
          <t>igor.galvao@bancoamazonia.com.br</t>
        </is>
      </c>
      <c r="T58" s="22" t="inlineStr">
        <is>
          <t>DM: DM verified email; BACKUP: backup verified email</t>
        </is>
      </c>
      <c r="U58" s="24" t="n">
        <v>2320767.17</v>
      </c>
      <c r="V58" s="39" t="inlineStr">
        <is>
          <t>C</t>
        </is>
      </c>
      <c r="W58" s="26" t="inlineStr"/>
      <c r="X58" s="27" t="inlineStr"/>
      <c r="Y58" s="27" t="inlineStr"/>
      <c r="Z58" s="26">
        <f>IF(W58&lt;&gt;"",W58,IFERROR(VLOOKUP(V58,Assumptions!$A$8:$F$12,2,FALSE),0))</f>
        <v/>
      </c>
      <c r="AA58" s="28">
        <f>IF(V58="A",MAX(1,IF(X58&lt;&gt;"",X58,IFERROR(VLOOKUP(V58,Assumptions!$A$8:$F$12,3,FALSE),3))+IF(Y58&lt;&gt;"",Y58,IFERROR(VLOOKUP(V58,Assumptions!$A$8:$F$12,4,FALSE),8))/2-MAX(0,IF(AS58="",0,YEAR(TODAY())-AS58)-IFERROR(VLOOKUP(V58,Assumptions!$A$8:$F$12,5,FALSE),1.5))),IFERROR(VLOOKUP(V58,Assumptions!$A$8:$F$12,5,FALSE),2.5)+IF(X58&lt;&gt;"",X58,IFERROR(VLOOKUP(V58,Assumptions!$A$8:$F$12,3,FALSE),3))+IF(Y58&lt;&gt;"",Y58,IFERROR(VLOOKUP(V58,Assumptions!$A$8:$F$12,4,FALSE),8))/2)</f>
        <v/>
      </c>
      <c r="AB58" s="24">
        <f>U58*Z58/(1+Assumptions!$B$3)^AA58</f>
        <v/>
      </c>
      <c r="AC58" s="27">
        <f>IF(U58=0,"",ROUND(AB58/U58*100,1))</f>
        <v/>
      </c>
      <c r="AD58" s="29">
        <f>AB58*Assumptions!$B$4</f>
        <v/>
      </c>
      <c r="AE58" s="27">
        <f>IF(U58=0,"",ROUND(AD58/U58*100,1))</f>
        <v/>
      </c>
      <c r="AF58" s="29">
        <f>AB58-AD58</f>
        <v/>
      </c>
      <c r="AG58" s="27">
        <f>IF(U58=0,"",ROUND((AB58-AD58)/U58*100,1))</f>
        <v/>
      </c>
      <c r="AH58" s="30" t="inlineStr">
        <is>
          <t>OK — totals reconciled</t>
        </is>
      </c>
      <c r="AI58" s="31" t="inlineStr">
        <is>
          <t>https://realbrasil.com.br/wp-content/uploads/2018/06/2_LISTA-DE-CREDORES-DA-RECUPERANDA_ROQUE.pdf</t>
        </is>
      </c>
      <c r="AJ58" s="30" t="inlineStr">
        <is>
          <t>p2 r2</t>
        </is>
      </c>
      <c r="AK58" s="30" t="inlineStr">
        <is>
          <t>p2: R$ 2.320.767,17</t>
        </is>
      </c>
      <c r="AL58" s="30" t="inlineStr">
        <is>
          <t>Unclassified list</t>
        </is>
      </c>
      <c r="AM58" s="30" t="inlineStr"/>
      <c r="AN58" s="30" t="inlineStr">
        <is>
          <t>NONE FOUND</t>
        </is>
      </c>
      <c r="AO58" s="32" t="inlineStr">
        <is>
          <t>0802426-35.2019.8.10.0000</t>
        </is>
      </c>
      <c r="AP58" s="32" t="inlineStr">
        <is>
          <t>TJMA</t>
        </is>
      </c>
      <c r="AQ58" s="32" t="inlineStr"/>
      <c r="AR58" s="32" t="inlineStr">
        <is>
          <t>not in DataJud</t>
        </is>
      </c>
      <c r="AS58" s="32" t="n">
        <v>2019</v>
      </c>
      <c r="AT58" s="32" t="inlineStr">
        <is>
          <t>7y since filing; plan not in our documents; case no. from the portal record, not printed on the list</t>
        </is>
      </c>
      <c r="AU58" s="32" t="inlineStr"/>
      <c r="AV58" s="32" t="inlineStr">
        <is>
          <t>portal page title / URL — not printed on the list</t>
        </is>
      </c>
      <c r="AW58" s="32" t="inlineStr"/>
      <c r="AX58" s="32" t="inlineStr">
        <is>
          <t>BELEM</t>
        </is>
      </c>
      <c r="AY58" s="32" t="inlineStr">
        <is>
          <t>PA</t>
        </is>
      </c>
      <c r="AZ58" s="32" t="inlineStr">
        <is>
          <t>Bancos comerciais</t>
        </is>
      </c>
      <c r="BA58" s="32" t="inlineStr">
        <is>
          <t>não ME/EPP</t>
        </is>
      </c>
      <c r="BB58" s="33" t="n">
        <v>3654918100</v>
      </c>
      <c r="BC58" s="32" t="inlineStr">
        <is>
          <t>LARGE CORP</t>
        </is>
      </c>
      <c r="BD58" s="32" t="inlineStr">
        <is>
          <t>04902979</t>
        </is>
      </c>
      <c r="BE58" s="32" t="n">
        <v>1</v>
      </c>
      <c r="BF58" s="32" t="inlineStr"/>
    </row>
    <row r="59">
      <c r="A59" s="17" t="inlineStr">
        <is>
          <t>BANCO DO NORDESTE DO BRASIL SA</t>
        </is>
      </c>
      <c r="B59" s="18" t="n">
        <v>488542.39</v>
      </c>
      <c r="C59" s="19" t="inlineStr">
        <is>
          <t>GRUPO IMPLASVERDE</t>
        </is>
      </c>
      <c r="D59" s="20" t="inlineStr">
        <is>
          <t>NEW</t>
        </is>
      </c>
      <c r="E59" s="21" t="inlineStr"/>
      <c r="F59" s="20" t="inlineStr"/>
      <c r="G59" s="21" t="inlineStr"/>
      <c r="H59" s="20" t="inlineStr"/>
      <c r="I59" s="22" t="inlineStr">
        <is>
          <t>Layslan Medeiros</t>
        </is>
      </c>
      <c r="J59" s="22" t="inlineStr">
        <is>
          <t>Gerente Executivo Operacional e de Recuperação de Crédito</t>
        </is>
      </c>
      <c r="K59" s="22" t="inlineStr">
        <is>
          <t>(85) 3299-3000</t>
        </is>
      </c>
      <c r="L59" s="22" t="inlineStr"/>
      <c r="M59" s="22" t="inlineStr"/>
      <c r="N59" s="22" t="inlineStr"/>
      <c r="O59" s="22" t="inlineStr"/>
      <c r="P59" s="22" t="inlineStr">
        <is>
          <t>Alexsander Farias</t>
        </is>
      </c>
      <c r="Q59" s="22" t="inlineStr">
        <is>
          <t>Gerente de Recuperação de Crédito</t>
        </is>
      </c>
      <c r="R59" s="22" t="inlineStr"/>
      <c r="S59" s="22" t="inlineStr">
        <is>
          <t>alexsander@bnb.gov.br</t>
        </is>
      </c>
      <c r="T59" s="22" t="inlineStr">
        <is>
          <t>DM: DM; no work email in Apollo for DM; BACKUP: backup</t>
        </is>
      </c>
      <c r="U59" s="24" t="n">
        <v>488542.39</v>
      </c>
      <c r="V59" s="25" t="inlineStr">
        <is>
          <t>B</t>
        </is>
      </c>
      <c r="W59" s="26" t="inlineStr"/>
      <c r="X59" s="27" t="inlineStr"/>
      <c r="Y59" s="27" t="inlineStr"/>
      <c r="Z59" s="26">
        <f>IF(W59&lt;&gt;"",W59,IFERROR(VLOOKUP(V59,Assumptions!$A$8:$F$12,2,FALSE),0))</f>
        <v/>
      </c>
      <c r="AA59" s="28">
        <f>IF(V59="A",MAX(1,IF(X59&lt;&gt;"",X59,IFERROR(VLOOKUP(V59,Assumptions!$A$8:$F$12,3,FALSE),3))+IF(Y59&lt;&gt;"",Y59,IFERROR(VLOOKUP(V59,Assumptions!$A$8:$F$12,4,FALSE),8))/2-MAX(0,IF(AS59="",0,YEAR(TODAY())-AS59)-IFERROR(VLOOKUP(V59,Assumptions!$A$8:$F$12,5,FALSE),1.5))),IFERROR(VLOOKUP(V59,Assumptions!$A$8:$F$12,5,FALSE),2.5)+IF(X59&lt;&gt;"",X59,IFERROR(VLOOKUP(V59,Assumptions!$A$8:$F$12,3,FALSE),3))+IF(Y59&lt;&gt;"",Y59,IFERROR(VLOOKUP(V59,Assumptions!$A$8:$F$12,4,FALSE),8))/2)</f>
        <v/>
      </c>
      <c r="AB59" s="24">
        <f>U59*Z59/(1+Assumptions!$B$3)^AA59</f>
        <v/>
      </c>
      <c r="AC59" s="27">
        <f>IF(U59=0,"",ROUND(AB59/U59*100,1))</f>
        <v/>
      </c>
      <c r="AD59" s="29">
        <f>AB59*Assumptions!$B$4</f>
        <v/>
      </c>
      <c r="AE59" s="27">
        <f>IF(U59=0,"",ROUND(AD59/U59*100,1))</f>
        <v/>
      </c>
      <c r="AF59" s="29">
        <f>AB59-AD59</f>
        <v/>
      </c>
      <c r="AG59" s="27">
        <f>IF(U59=0,"",ROUND((AB59-AD59)/U59*100,1))</f>
        <v/>
      </c>
      <c r="AH59" s="30" t="inlineStr">
        <is>
          <t>OK — totals reconciled</t>
        </is>
      </c>
      <c r="AI59" s="31" t="inlineStr">
        <is>
          <t>http://recuperacaojudicial.squarespace.com/s/LISTA-DE-CREDORES-CONSOLIDADA-ATE-04102024.pdf</t>
        </is>
      </c>
      <c r="AJ59" s="30" t="inlineStr">
        <is>
          <t>p6 r5; p8 r7</t>
        </is>
      </c>
      <c r="AK59" s="30" t="inlineStr">
        <is>
          <t>p6: R$ 52.730,31; p8: R$ 435.812,08</t>
        </is>
      </c>
      <c r="AL59" s="30" t="inlineStr">
        <is>
          <t>AJ list (art. 7 §2)</t>
        </is>
      </c>
      <c r="AM59" s="30" t="inlineStr">
        <is>
          <t>2024-10-04</t>
        </is>
      </c>
      <c r="AN59" s="30" t="inlineStr">
        <is>
          <t>NONE FOUND</t>
        </is>
      </c>
      <c r="AO59" s="32" t="inlineStr">
        <is>
          <t>0800778-16.2023.8.20.5104</t>
        </is>
      </c>
      <c r="AP59" s="32" t="inlineStr">
        <is>
          <t>TJRN</t>
        </is>
      </c>
      <c r="AQ59" s="32" t="inlineStr">
        <is>
          <t>Recuperação judicial</t>
        </is>
      </c>
      <c r="AR59" s="32" t="inlineStr">
        <is>
          <t>DataJud: no closure/falência movement</t>
        </is>
      </c>
      <c r="AS59" s="32" t="n">
        <v>2023</v>
      </c>
      <c r="AT59" s="32" t="inlineStr">
        <is>
          <t>live case, no plan document yet</t>
        </is>
      </c>
      <c r="AU59" s="32" t="inlineStr"/>
      <c r="AV59" s="32" t="inlineStr">
        <is>
          <t>printed on the list (read twice)</t>
        </is>
      </c>
      <c r="AW59" s="32" t="inlineStr"/>
      <c r="AX59" s="32" t="inlineStr">
        <is>
          <t>FORTALEZA</t>
        </is>
      </c>
      <c r="AY59" s="32" t="inlineStr">
        <is>
          <t>CE</t>
        </is>
      </c>
      <c r="AZ59" s="32" t="inlineStr">
        <is>
          <t>Bancos múltiplos, com carteira comercial</t>
        </is>
      </c>
      <c r="BA59" s="32" t="inlineStr">
        <is>
          <t>não ME/EPP</t>
        </is>
      </c>
      <c r="BB59" s="33" t="n">
        <v>15139032000</v>
      </c>
      <c r="BC59" s="32" t="inlineStr">
        <is>
          <t>LARGE CORP</t>
        </is>
      </c>
      <c r="BD59" s="32" t="inlineStr">
        <is>
          <t>07237373</t>
        </is>
      </c>
      <c r="BE59" s="32" t="n">
        <v>2</v>
      </c>
      <c r="BF59" s="32" t="inlineStr">
        <is>
          <t>financial by name</t>
        </is>
      </c>
    </row>
    <row r="60">
      <c r="A60" s="17" t="inlineStr">
        <is>
          <t>BANCO DO BRASIL SA</t>
        </is>
      </c>
      <c r="B60" s="18" t="n">
        <v>2921132.88</v>
      </c>
      <c r="C60" s="19" t="inlineStr">
        <is>
          <t>EQUIP SEG INTELIGÊNCIA EM SEGURANÇA LTDA. E EQUIP SEG SERVIÇOS ESPECIALIZADOS LTDA.</t>
        </is>
      </c>
      <c r="D60" s="20" t="inlineStr">
        <is>
          <t>NEW</t>
        </is>
      </c>
      <c r="E60" s="21" t="inlineStr"/>
      <c r="F60" s="20" t="inlineStr"/>
      <c r="G60" s="21" t="inlineStr"/>
      <c r="H60" s="20" t="inlineStr"/>
      <c r="I60" s="22" t="inlineStr">
        <is>
          <t>Thiago Cavichioli</t>
        </is>
      </c>
      <c r="J60" s="22" t="inlineStr">
        <is>
          <t>Gerente de Cobrança e Recuperação de Crédito</t>
        </is>
      </c>
      <c r="K60" s="22" t="inlineStr">
        <is>
          <t>(61) 3493-9002</t>
        </is>
      </c>
      <c r="L60" s="22" t="inlineStr"/>
      <c r="M60" s="22" t="inlineStr"/>
      <c r="N60" s="22" t="inlineStr">
        <is>
          <t>thiago.cavichioli@bb.com.br</t>
        </is>
      </c>
      <c r="O60" s="22" t="inlineStr">
        <is>
          <t>verified</t>
        </is>
      </c>
      <c r="P60" s="22" t="inlineStr">
        <is>
          <t>Suelen Mondador</t>
        </is>
      </c>
      <c r="Q60" s="22" t="inlineStr">
        <is>
          <t>Gerente Especialista em Recuperação de Crédito</t>
        </is>
      </c>
      <c r="R60" s="22" t="inlineStr"/>
      <c r="S60" s="22" t="inlineStr">
        <is>
          <t>suelenmondador@bb.com.br</t>
        </is>
      </c>
      <c r="T60" s="22" t="inlineStr">
        <is>
          <t>DM: DM verified email; BACKUP: backup verified email</t>
        </is>
      </c>
      <c r="U60" s="24" t="n">
        <v>2921132.88</v>
      </c>
      <c r="V60" s="40" t="inlineStr">
        <is>
          <t>D</t>
        </is>
      </c>
      <c r="W60" s="26" t="inlineStr"/>
      <c r="X60" s="27" t="inlineStr"/>
      <c r="Y60" s="27" t="inlineStr"/>
      <c r="Z60" s="26">
        <f>IF(W60&lt;&gt;"",W60,IFERROR(VLOOKUP(V60,Assumptions!$A$8:$F$12,2,FALSE),0))</f>
        <v/>
      </c>
      <c r="AA60" s="28">
        <f>IF(V60="A",MAX(1,IF(X60&lt;&gt;"",X60,IFERROR(VLOOKUP(V60,Assumptions!$A$8:$F$12,3,FALSE),3))+IF(Y60&lt;&gt;"",Y60,IFERROR(VLOOKUP(V60,Assumptions!$A$8:$F$12,4,FALSE),8))/2-MAX(0,IF(AS60="",0,YEAR(TODAY())-AS60)-IFERROR(VLOOKUP(V60,Assumptions!$A$8:$F$12,5,FALSE),1.5))),IFERROR(VLOOKUP(V60,Assumptions!$A$8:$F$12,5,FALSE),2.5)+IF(X60&lt;&gt;"",X60,IFERROR(VLOOKUP(V60,Assumptions!$A$8:$F$12,3,FALSE),3))+IF(Y60&lt;&gt;"",Y60,IFERROR(VLOOKUP(V60,Assumptions!$A$8:$F$12,4,FALSE),8))/2)</f>
        <v/>
      </c>
      <c r="AB60" s="24">
        <f>U60*Z60/(1+Assumptions!$B$3)^AA60</f>
        <v/>
      </c>
      <c r="AC60" s="27">
        <f>IF(U60=0,"",ROUND(AB60/U60*100,1))</f>
        <v/>
      </c>
      <c r="AD60" s="29">
        <f>AB60*Assumptions!$B$4</f>
        <v/>
      </c>
      <c r="AE60" s="27">
        <f>IF(U60=0,"",ROUND(AD60/U60*100,1))</f>
        <v/>
      </c>
      <c r="AF60" s="29">
        <f>AB60-AD60</f>
        <v/>
      </c>
      <c r="AG60" s="27">
        <f>IF(U60=0,"",ROUND((AB60-AD60)/U60*100,1))</f>
        <v/>
      </c>
      <c r="AH60" s="34" t="inlineStr">
        <is>
          <t>NO TOTALS — list prints none; check page</t>
        </is>
      </c>
      <c r="AI60" s="31" t="inlineStr">
        <is>
          <t>https://bbsadvogados.com.br/wp-content/uploads/2025/04/Equipseg-Edital-Relacao-de-Credores-da-Administradora-Judicial-art.-7o2o-da-LRF.pdf</t>
        </is>
      </c>
      <c r="AJ60" s="30" t="inlineStr">
        <is>
          <t>p38 r5</t>
        </is>
      </c>
      <c r="AK60" s="30" t="inlineStr">
        <is>
          <t>p38: R$ 2.921.132,88</t>
        </is>
      </c>
      <c r="AL60" s="30" t="inlineStr">
        <is>
          <t>AJ list (art. 7 §2)</t>
        </is>
      </c>
      <c r="AM60" s="30" t="inlineStr">
        <is>
          <t>2025-04-08</t>
        </is>
      </c>
      <c r="AN60" s="30" t="inlineStr">
        <is>
          <t>NONE FOUND</t>
        </is>
      </c>
      <c r="AO60" s="32" t="inlineStr">
        <is>
          <t>0033736-15.2023.8.16.0185</t>
        </is>
      </c>
      <c r="AP60" s="32" t="inlineStr">
        <is>
          <t>TJPR</t>
        </is>
      </c>
      <c r="AQ60" s="32" t="inlineStr">
        <is>
          <t>Falência</t>
        </is>
      </c>
      <c r="AR60" s="32" t="inlineStr">
        <is>
          <t>not in DataJud</t>
        </is>
      </c>
      <c r="AS60" s="32" t="n">
        <v>2023</v>
      </c>
      <c r="AT60" s="32" t="inlineStr">
        <is>
          <t>falência proceeding (list/name says falida)</t>
        </is>
      </c>
      <c r="AU60" s="32" t="inlineStr"/>
      <c r="AV60" s="32" t="inlineStr">
        <is>
          <t>printed on the list (read twice)</t>
        </is>
      </c>
      <c r="AW60" s="32" t="inlineStr"/>
      <c r="AX60" s="32" t="inlineStr">
        <is>
          <t>BRASILIA</t>
        </is>
      </c>
      <c r="AY60" s="32" t="inlineStr">
        <is>
          <t>DF</t>
        </is>
      </c>
      <c r="AZ60" s="32" t="inlineStr">
        <is>
          <t>Bancos múltiplos, com carteira comercial</t>
        </is>
      </c>
      <c r="BA60" s="32" t="inlineStr">
        <is>
          <t>não ME/EPP</t>
        </is>
      </c>
      <c r="BB60" s="33" t="n">
        <v>120000000000</v>
      </c>
      <c r="BC60" s="32" t="inlineStr">
        <is>
          <t>LARGE CORP</t>
        </is>
      </c>
      <c r="BD60" s="32" t="inlineStr">
        <is>
          <t>00000000</t>
        </is>
      </c>
      <c r="BE60" s="32" t="n">
        <v>1</v>
      </c>
      <c r="BF60" s="32" t="inlineStr">
        <is>
          <t>financial by name list prints no totals</t>
        </is>
      </c>
    </row>
    <row r="61">
      <c r="A61" s="17" t="inlineStr">
        <is>
          <t>BANCO DO NORDESTE DO BRASIL SA</t>
        </is>
      </c>
      <c r="B61" s="18" t="n">
        <v>402799.67</v>
      </c>
      <c r="C61" s="19" t="inlineStr">
        <is>
          <t>VENEZA SERVIÇOS ADMINISTRATIVOS LTDA.</t>
        </is>
      </c>
      <c r="D61" s="20" t="inlineStr">
        <is>
          <t>NEW</t>
        </is>
      </c>
      <c r="E61" s="21" t="inlineStr"/>
      <c r="F61" s="20" t="inlineStr"/>
      <c r="G61" s="21" t="inlineStr"/>
      <c r="H61" s="20" t="inlineStr"/>
      <c r="I61" s="22" t="inlineStr">
        <is>
          <t>Layslan Medeiros</t>
        </is>
      </c>
      <c r="J61" s="22" t="inlineStr">
        <is>
          <t>Gerente Executivo Operacional e de Recuperação de Crédito</t>
        </is>
      </c>
      <c r="K61" s="22" t="inlineStr">
        <is>
          <t>(85) 3299-3000</t>
        </is>
      </c>
      <c r="L61" s="22" t="inlineStr"/>
      <c r="M61" s="22" t="inlineStr"/>
      <c r="N61" s="22" t="inlineStr"/>
      <c r="O61" s="22" t="inlineStr"/>
      <c r="P61" s="22" t="inlineStr">
        <is>
          <t>Alexsander Farias</t>
        </is>
      </c>
      <c r="Q61" s="22" t="inlineStr">
        <is>
          <t>Gerente de Recuperação de Crédito</t>
        </is>
      </c>
      <c r="R61" s="22" t="inlineStr"/>
      <c r="S61" s="22" t="inlineStr">
        <is>
          <t>alexsander@bnb.gov.br</t>
        </is>
      </c>
      <c r="T61" s="22" t="inlineStr">
        <is>
          <t>DM: DM; no work email in Apollo for DM; BACKUP: backup</t>
        </is>
      </c>
      <c r="U61" s="24" t="n">
        <v>402799.67</v>
      </c>
      <c r="V61" s="25" t="inlineStr">
        <is>
          <t>B</t>
        </is>
      </c>
      <c r="W61" s="26" t="inlineStr"/>
      <c r="X61" s="27" t="inlineStr"/>
      <c r="Y61" s="27" t="inlineStr"/>
      <c r="Z61" s="26">
        <f>IF(W61&lt;&gt;"",W61,IFERROR(VLOOKUP(V61,Assumptions!$A$8:$F$12,2,FALSE),0))</f>
        <v/>
      </c>
      <c r="AA61" s="28">
        <f>IF(V61="A",MAX(1,IF(X61&lt;&gt;"",X61,IFERROR(VLOOKUP(V61,Assumptions!$A$8:$F$12,3,FALSE),3))+IF(Y61&lt;&gt;"",Y61,IFERROR(VLOOKUP(V61,Assumptions!$A$8:$F$12,4,FALSE),8))/2-MAX(0,IF(AS61="",0,YEAR(TODAY())-AS61)-IFERROR(VLOOKUP(V61,Assumptions!$A$8:$F$12,5,FALSE),1.5))),IFERROR(VLOOKUP(V61,Assumptions!$A$8:$F$12,5,FALSE),2.5)+IF(X61&lt;&gt;"",X61,IFERROR(VLOOKUP(V61,Assumptions!$A$8:$F$12,3,FALSE),3))+IF(Y61&lt;&gt;"",Y61,IFERROR(VLOOKUP(V61,Assumptions!$A$8:$F$12,4,FALSE),8))/2)</f>
        <v/>
      </c>
      <c r="AB61" s="24">
        <f>U61*Z61/(1+Assumptions!$B$3)^AA61</f>
        <v/>
      </c>
      <c r="AC61" s="27">
        <f>IF(U61=0,"",ROUND(AB61/U61*100,1))</f>
        <v/>
      </c>
      <c r="AD61" s="29">
        <f>AB61*Assumptions!$B$4</f>
        <v/>
      </c>
      <c r="AE61" s="27">
        <f>IF(U61=0,"",ROUND(AD61/U61*100,1))</f>
        <v/>
      </c>
      <c r="AF61" s="29">
        <f>AB61-AD61</f>
        <v/>
      </c>
      <c r="AG61" s="27">
        <f>IF(U61=0,"",ROUND((AB61-AD61)/U61*100,1))</f>
        <v/>
      </c>
      <c r="AH61" s="30" t="inlineStr">
        <is>
          <t>OK — totals reconciled</t>
        </is>
      </c>
      <c r="AI61" s="31" t="inlineStr">
        <is>
          <t>https://bugarimecoelho.com.br/ws/media-library/b6b7ea42b9fa2afe30bc728fe00cd5c6/07---edital-do-processamento-da-recuperacao-judicial.pdf</t>
        </is>
      </c>
      <c r="AJ61" s="30" t="inlineStr">
        <is>
          <t>p16 r11</t>
        </is>
      </c>
      <c r="AK61" s="30" t="inlineStr">
        <is>
          <t>p16: R$ 402.799,67</t>
        </is>
      </c>
      <c r="AL61" s="30" t="inlineStr">
        <is>
          <t>Unclassified list</t>
        </is>
      </c>
      <c r="AM61" s="30" t="inlineStr">
        <is>
          <t>2026-07-09</t>
        </is>
      </c>
      <c r="AN61" s="30" t="inlineStr">
        <is>
          <t>NONE FOUND</t>
        </is>
      </c>
      <c r="AO61" s="32" t="inlineStr">
        <is>
          <t>3000117-40.2025.8.06.0512</t>
        </is>
      </c>
      <c r="AP61" s="32" t="inlineStr">
        <is>
          <t>TJCE</t>
        </is>
      </c>
      <c r="AQ61" s="32" t="inlineStr">
        <is>
          <t>Recuperação judicial</t>
        </is>
      </c>
      <c r="AR61" s="32" t="inlineStr">
        <is>
          <t>DataJud: no closure/falência movement</t>
        </is>
      </c>
      <c r="AS61" s="32" t="n">
        <v>2025</v>
      </c>
      <c r="AT61" s="32" t="inlineStr">
        <is>
          <t>live case, no plan document yet</t>
        </is>
      </c>
      <c r="AU61" s="32" t="inlineStr">
        <is>
          <t>11.399.787/0001-22</t>
        </is>
      </c>
      <c r="AV61" s="32" t="inlineStr">
        <is>
          <t>printed on the list (read twice)</t>
        </is>
      </c>
      <c r="AW61" s="32" t="inlineStr"/>
      <c r="AX61" s="32" t="inlineStr">
        <is>
          <t>FORTALEZA</t>
        </is>
      </c>
      <c r="AY61" s="32" t="inlineStr">
        <is>
          <t>CE</t>
        </is>
      </c>
      <c r="AZ61" s="32" t="inlineStr">
        <is>
          <t>Bancos múltiplos, com carteira comercial</t>
        </is>
      </c>
      <c r="BA61" s="32" t="inlineStr">
        <is>
          <t>não ME/EPP</t>
        </is>
      </c>
      <c r="BB61" s="33" t="n">
        <v>15139032000</v>
      </c>
      <c r="BC61" s="32" t="inlineStr">
        <is>
          <t>LARGE CORP</t>
        </is>
      </c>
      <c r="BD61" s="32" t="inlineStr">
        <is>
          <t>07237373</t>
        </is>
      </c>
      <c r="BE61" s="32" t="n">
        <v>1</v>
      </c>
      <c r="BF61" s="32" t="inlineStr">
        <is>
          <t>financial by name</t>
        </is>
      </c>
    </row>
    <row r="62">
      <c r="A62" s="17" t="inlineStr">
        <is>
          <t>BANCO DA AMAZONIA SA</t>
        </is>
      </c>
      <c r="B62" s="18" t="n">
        <v>1484078.44</v>
      </c>
      <c r="C62" s="19" t="inlineStr">
        <is>
          <t>Grupo Mastter</t>
        </is>
      </c>
      <c r="D62" s="20" t="inlineStr">
        <is>
          <t>NEW</t>
        </is>
      </c>
      <c r="E62" s="21" t="inlineStr"/>
      <c r="F62" s="20" t="inlineStr"/>
      <c r="G62" s="21" t="inlineStr"/>
      <c r="H62" s="20" t="inlineStr"/>
      <c r="I62" s="22" t="inlineStr">
        <is>
          <t>Edigard Henrique</t>
        </is>
      </c>
      <c r="J62" s="22" t="inlineStr">
        <is>
          <t>Coodenador de Cobrança</t>
        </is>
      </c>
      <c r="K62" s="22" t="inlineStr">
        <is>
          <t>(91) 4008-3316</t>
        </is>
      </c>
      <c r="L62" s="22" t="inlineStr">
        <is>
          <t>(91) 4008-2409</t>
        </is>
      </c>
      <c r="M62" s="22" t="inlineStr"/>
      <c r="N62" s="22" t="inlineStr">
        <is>
          <t>edigard.henrique@bancoamazonia.com.br</t>
        </is>
      </c>
      <c r="O62" s="22" t="inlineStr">
        <is>
          <t>verified</t>
        </is>
      </c>
      <c r="P62" s="22" t="inlineStr">
        <is>
          <t>Igor Galvao</t>
        </is>
      </c>
      <c r="Q62" s="22" t="inlineStr">
        <is>
          <t>Gerente Jurídico Contencioso</t>
        </is>
      </c>
      <c r="R62" s="22" t="inlineStr"/>
      <c r="S62" s="22" t="inlineStr">
        <is>
          <t>igor.galvao@bancoamazonia.com.br</t>
        </is>
      </c>
      <c r="T62" s="22" t="inlineStr">
        <is>
          <t>DM: DM verified email; BACKUP: backup verified email</t>
        </is>
      </c>
      <c r="U62" s="24" t="n">
        <v>1484078.44</v>
      </c>
      <c r="V62" s="39" t="inlineStr">
        <is>
          <t>C</t>
        </is>
      </c>
      <c r="W62" s="26" t="inlineStr"/>
      <c r="X62" s="27" t="inlineStr"/>
      <c r="Y62" s="27" t="inlineStr"/>
      <c r="Z62" s="26">
        <f>IF(W62&lt;&gt;"",W62,IFERROR(VLOOKUP(V62,Assumptions!$A$8:$F$12,2,FALSE),0))</f>
        <v/>
      </c>
      <c r="AA62" s="28">
        <f>IF(V62="A",MAX(1,IF(X62&lt;&gt;"",X62,IFERROR(VLOOKUP(V62,Assumptions!$A$8:$F$12,3,FALSE),3))+IF(Y62&lt;&gt;"",Y62,IFERROR(VLOOKUP(V62,Assumptions!$A$8:$F$12,4,FALSE),8))/2-MAX(0,IF(AS62="",0,YEAR(TODAY())-AS62)-IFERROR(VLOOKUP(V62,Assumptions!$A$8:$F$12,5,FALSE),1.5))),IFERROR(VLOOKUP(V62,Assumptions!$A$8:$F$12,5,FALSE),2.5)+IF(X62&lt;&gt;"",X62,IFERROR(VLOOKUP(V62,Assumptions!$A$8:$F$12,3,FALSE),3))+IF(Y62&lt;&gt;"",Y62,IFERROR(VLOOKUP(V62,Assumptions!$A$8:$F$12,4,FALSE),8))/2)</f>
        <v/>
      </c>
      <c r="AB62" s="24">
        <f>U62*Z62/(1+Assumptions!$B$3)^AA62</f>
        <v/>
      </c>
      <c r="AC62" s="27">
        <f>IF(U62=0,"",ROUND(AB62/U62*100,1))</f>
        <v/>
      </c>
      <c r="AD62" s="29">
        <f>AB62*Assumptions!$B$4</f>
        <v/>
      </c>
      <c r="AE62" s="27">
        <f>IF(U62=0,"",ROUND(AD62/U62*100,1))</f>
        <v/>
      </c>
      <c r="AF62" s="29">
        <f>AB62-AD62</f>
        <v/>
      </c>
      <c r="AG62" s="27">
        <f>IF(U62=0,"",ROUND((AB62-AD62)/U62*100,1))</f>
        <v/>
      </c>
      <c r="AH62" s="34" t="inlineStr">
        <is>
          <t>NO TOTALS — list prints none; check page</t>
        </is>
      </c>
      <c r="AI62" s="31" t="inlineStr">
        <is>
          <t>https://realbrasil.com.br/wp-content/uploads/2017/05/Relação-de-Credores_-Mastter-1.pdf</t>
        </is>
      </c>
      <c r="AJ62" s="30" t="inlineStr">
        <is>
          <t>p2 r1; p2 r2; p2 r3; p2 r4; p2 r5</t>
        </is>
      </c>
      <c r="AK62" s="30" t="inlineStr">
        <is>
          <t>p2: R$ 16.856,60; p2: R$ 172.222,05; p2: R$ 433.333,29; p2: R$ 666.666,50; p2: R$ 195.000,00</t>
        </is>
      </c>
      <c r="AL62" s="30" t="inlineStr">
        <is>
          <t>Debtor list (art. 51)</t>
        </is>
      </c>
      <c r="AM62" s="30" t="inlineStr">
        <is>
          <t>2016-02-10</t>
        </is>
      </c>
      <c r="AN62" s="30" t="inlineStr">
        <is>
          <t>NONE FOUND</t>
        </is>
      </c>
      <c r="AO62" s="32" t="inlineStr">
        <is>
          <t>0801893-91.2016.8.12.0011</t>
        </is>
      </c>
      <c r="AP62" s="32" t="inlineStr">
        <is>
          <t>TJMS</t>
        </is>
      </c>
      <c r="AQ62" s="32" t="inlineStr">
        <is>
          <t>Recuperação judicial</t>
        </is>
      </c>
      <c r="AR62" s="32" t="inlineStr">
        <is>
          <t>not in DataJud</t>
        </is>
      </c>
      <c r="AS62" s="32" t="n">
        <v>2016</v>
      </c>
      <c r="AT62" s="32" t="inlineStr">
        <is>
          <t>10y since filing; plan not in our documents; case no. from the portal record, not printed on the list</t>
        </is>
      </c>
      <c r="AU62" s="32" t="inlineStr"/>
      <c r="AV62" s="32" t="inlineStr">
        <is>
          <t>printed on the list (read twice)</t>
        </is>
      </c>
      <c r="AW62" s="32" t="inlineStr"/>
      <c r="AX62" s="32" t="inlineStr">
        <is>
          <t>BELEM</t>
        </is>
      </c>
      <c r="AY62" s="32" t="inlineStr">
        <is>
          <t>PA</t>
        </is>
      </c>
      <c r="AZ62" s="32" t="inlineStr">
        <is>
          <t>Bancos comerciais</t>
        </is>
      </c>
      <c r="BA62" s="32" t="inlineStr">
        <is>
          <t>não ME/EPP</t>
        </is>
      </c>
      <c r="BB62" s="33" t="n">
        <v>3654918100</v>
      </c>
      <c r="BC62" s="32" t="inlineStr">
        <is>
          <t>LARGE CORP</t>
        </is>
      </c>
      <c r="BD62" s="32" t="inlineStr">
        <is>
          <t>04902979</t>
        </is>
      </c>
      <c r="BE62" s="32" t="n">
        <v>5</v>
      </c>
      <c r="BF62" s="32" t="inlineStr">
        <is>
          <t>ALT_VALUE:R$16.856,60 ALT_VALUE:R$26.666,66 ALT_VALUE:R$33.333,33 ALT_VALUE:R$5.555,55 ALT_VALUE:R$6.500,00 list prints no totals</t>
        </is>
      </c>
    </row>
    <row r="63">
      <c r="A63" s="17" t="inlineStr">
        <is>
          <t>BANCO DO BRASIL SA</t>
        </is>
      </c>
      <c r="B63" s="18" t="n">
        <v>2715487.96</v>
      </c>
      <c r="C63" s="19" t="inlineStr">
        <is>
          <t>MUNDO BIZARRO IMPORTACAO E EXPORTACAO LTDA</t>
        </is>
      </c>
      <c r="D63" s="20" t="inlineStr">
        <is>
          <t>NEW</t>
        </is>
      </c>
      <c r="E63" s="21" t="inlineStr"/>
      <c r="F63" s="20" t="inlineStr"/>
      <c r="G63" s="21" t="inlineStr"/>
      <c r="H63" s="20" t="inlineStr"/>
      <c r="I63" s="22" t="inlineStr">
        <is>
          <t>Thiago Cavichioli</t>
        </is>
      </c>
      <c r="J63" s="22" t="inlineStr">
        <is>
          <t>Gerente de Cobrança e Recuperação de Crédito</t>
        </is>
      </c>
      <c r="K63" s="22" t="inlineStr">
        <is>
          <t>(61) 3493-9002</t>
        </is>
      </c>
      <c r="L63" s="22" t="inlineStr"/>
      <c r="M63" s="22" t="inlineStr"/>
      <c r="N63" s="22" t="inlineStr">
        <is>
          <t>thiago.cavichioli@bb.com.br</t>
        </is>
      </c>
      <c r="O63" s="22" t="inlineStr">
        <is>
          <t>verified</t>
        </is>
      </c>
      <c r="P63" s="22" t="inlineStr">
        <is>
          <t>Suelen Mondador</t>
        </is>
      </c>
      <c r="Q63" s="22" t="inlineStr">
        <is>
          <t>Gerente Especialista em Recuperação de Crédito</t>
        </is>
      </c>
      <c r="R63" s="22" t="inlineStr"/>
      <c r="S63" s="22" t="inlineStr">
        <is>
          <t>suelenmondador@bb.com.br</t>
        </is>
      </c>
      <c r="T63" s="22" t="inlineStr">
        <is>
          <t>DM: DM verified email; BACKUP: backup verified email</t>
        </is>
      </c>
      <c r="U63" s="24" t="n">
        <v>2715487.96</v>
      </c>
      <c r="V63" s="40" t="inlineStr">
        <is>
          <t>D</t>
        </is>
      </c>
      <c r="W63" s="26" t="inlineStr"/>
      <c r="X63" s="27" t="inlineStr"/>
      <c r="Y63" s="27" t="inlineStr"/>
      <c r="Z63" s="26">
        <f>IF(W63&lt;&gt;"",W63,IFERROR(VLOOKUP(V63,Assumptions!$A$8:$F$12,2,FALSE),0))</f>
        <v/>
      </c>
      <c r="AA63" s="28">
        <f>IF(V63="A",MAX(1,IF(X63&lt;&gt;"",X63,IFERROR(VLOOKUP(V63,Assumptions!$A$8:$F$12,3,FALSE),3))+IF(Y63&lt;&gt;"",Y63,IFERROR(VLOOKUP(V63,Assumptions!$A$8:$F$12,4,FALSE),8))/2-MAX(0,IF(AS63="",0,YEAR(TODAY())-AS63)-IFERROR(VLOOKUP(V63,Assumptions!$A$8:$F$12,5,FALSE),1.5))),IFERROR(VLOOKUP(V63,Assumptions!$A$8:$F$12,5,FALSE),2.5)+IF(X63&lt;&gt;"",X63,IFERROR(VLOOKUP(V63,Assumptions!$A$8:$F$12,3,FALSE),3))+IF(Y63&lt;&gt;"",Y63,IFERROR(VLOOKUP(V63,Assumptions!$A$8:$F$12,4,FALSE),8))/2)</f>
        <v/>
      </c>
      <c r="AB63" s="24">
        <f>U63*Z63/(1+Assumptions!$B$3)^AA63</f>
        <v/>
      </c>
      <c r="AC63" s="27">
        <f>IF(U63=0,"",ROUND(AB63/U63*100,1))</f>
        <v/>
      </c>
      <c r="AD63" s="29">
        <f>AB63*Assumptions!$B$4</f>
        <v/>
      </c>
      <c r="AE63" s="27">
        <f>IF(U63=0,"",ROUND(AD63/U63*100,1))</f>
        <v/>
      </c>
      <c r="AF63" s="29">
        <f>AB63-AD63</f>
        <v/>
      </c>
      <c r="AG63" s="27">
        <f>IF(U63=0,"",ROUND((AB63-AD63)/U63*100,1))</f>
        <v/>
      </c>
      <c r="AH63" s="34" t="inlineStr">
        <is>
          <t>NO TOTALS — list prints none; check page</t>
        </is>
      </c>
      <c r="AI63" s="31" t="inlineStr">
        <is>
          <t>https://administradorajudicialgs.com.br/wp-content/uploads/2024/10/relacao-de-credores-e-verificacao-de-credito-2025.pdf</t>
        </is>
      </c>
      <c r="AJ63" s="30" t="inlineStr">
        <is>
          <t>p16 r2</t>
        </is>
      </c>
      <c r="AK63" s="30" t="inlineStr">
        <is>
          <t>p16: R$ 2.715.487,96</t>
        </is>
      </c>
      <c r="AL63" s="30" t="inlineStr">
        <is>
          <t>AJ list (art. 7 §2)</t>
        </is>
      </c>
      <c r="AM63" s="30" t="inlineStr">
        <is>
          <t>2025-04-24</t>
        </is>
      </c>
      <c r="AN63" s="30" t="inlineStr">
        <is>
          <t>NONE FOUND</t>
        </is>
      </c>
      <c r="AO63" s="32" t="inlineStr">
        <is>
          <t>5100227-29.2022.8.24.0023</t>
        </is>
      </c>
      <c r="AP63" s="32" t="inlineStr">
        <is>
          <t>TJSC</t>
        </is>
      </c>
      <c r="AQ63" s="32" t="inlineStr">
        <is>
          <t>Falência</t>
        </is>
      </c>
      <c r="AR63" s="32" t="inlineStr">
        <is>
          <t>not in DataJud</t>
        </is>
      </c>
      <c r="AS63" s="32" t="n">
        <v>2022</v>
      </c>
      <c r="AT63" s="32" t="inlineStr">
        <is>
          <t>falência proceeding (list/name says falida)</t>
        </is>
      </c>
      <c r="AU63" s="32" t="inlineStr">
        <is>
          <t>05.316.275/0001-52</t>
        </is>
      </c>
      <c r="AV63" s="32" t="inlineStr">
        <is>
          <t>printed on the list (read twice)</t>
        </is>
      </c>
      <c r="AW63" s="32" t="inlineStr"/>
      <c r="AX63" s="32" t="inlineStr">
        <is>
          <t>BRASILIA</t>
        </is>
      </c>
      <c r="AY63" s="32" t="inlineStr">
        <is>
          <t>DF</t>
        </is>
      </c>
      <c r="AZ63" s="32" t="inlineStr">
        <is>
          <t>Bancos múltiplos, com carteira comercial</t>
        </is>
      </c>
      <c r="BA63" s="32" t="inlineStr">
        <is>
          <t>não ME/EPP</t>
        </is>
      </c>
      <c r="BB63" s="33" t="n">
        <v>120000000000</v>
      </c>
      <c r="BC63" s="32" t="inlineStr">
        <is>
          <t>LARGE CORP</t>
        </is>
      </c>
      <c r="BD63" s="32" t="inlineStr">
        <is>
          <t>00000000</t>
        </is>
      </c>
      <c r="BE63" s="32" t="n">
        <v>1</v>
      </c>
      <c r="BF63" s="32" t="inlineStr">
        <is>
          <t>list prints no totals</t>
        </is>
      </c>
    </row>
    <row r="64">
      <c r="A64" s="17" t="inlineStr">
        <is>
          <t>BANCO DO BRASIL SA</t>
        </is>
      </c>
      <c r="B64" s="18" t="n">
        <v>1428907.29</v>
      </c>
      <c r="C64" s="19" t="inlineStr">
        <is>
          <t>DICARLO Móveis e Acessórios para Casa e Lojas Ltda</t>
        </is>
      </c>
      <c r="D64" s="20" t="inlineStr">
        <is>
          <t>NEW</t>
        </is>
      </c>
      <c r="E64" s="21" t="inlineStr"/>
      <c r="F64" s="20" t="inlineStr"/>
      <c r="G64" s="21" t="inlineStr"/>
      <c r="H64" s="20" t="inlineStr"/>
      <c r="I64" s="22" t="inlineStr">
        <is>
          <t>Thiago Cavichioli</t>
        </is>
      </c>
      <c r="J64" s="22" t="inlineStr">
        <is>
          <t>Gerente de Cobrança e Recuperação de Crédito</t>
        </is>
      </c>
      <c r="K64" s="22" t="inlineStr">
        <is>
          <t>(61) 3493-9002</t>
        </is>
      </c>
      <c r="L64" s="22" t="inlineStr"/>
      <c r="M64" s="22" t="inlineStr"/>
      <c r="N64" s="22" t="inlineStr">
        <is>
          <t>thiago.cavichioli@bb.com.br</t>
        </is>
      </c>
      <c r="O64" s="22" t="inlineStr">
        <is>
          <t>verified</t>
        </is>
      </c>
      <c r="P64" s="22" t="inlineStr">
        <is>
          <t>Suelen Mondador</t>
        </is>
      </c>
      <c r="Q64" s="22" t="inlineStr">
        <is>
          <t>Gerente Especialista em Recuperação de Crédito</t>
        </is>
      </c>
      <c r="R64" s="22" t="inlineStr"/>
      <c r="S64" s="22" t="inlineStr">
        <is>
          <t>suelenmondador@bb.com.br</t>
        </is>
      </c>
      <c r="T64" s="22" t="inlineStr">
        <is>
          <t>DM: DM verified email; BACKUP: backup verified email</t>
        </is>
      </c>
      <c r="U64" s="24" t="n">
        <v>1428907.29</v>
      </c>
      <c r="V64" s="39" t="inlineStr">
        <is>
          <t>C</t>
        </is>
      </c>
      <c r="W64" s="26" t="inlineStr"/>
      <c r="X64" s="27" t="inlineStr"/>
      <c r="Y64" s="27" t="inlineStr"/>
      <c r="Z64" s="26">
        <f>IF(W64&lt;&gt;"",W64,IFERROR(VLOOKUP(V64,Assumptions!$A$8:$F$12,2,FALSE),0))</f>
        <v/>
      </c>
      <c r="AA64" s="28">
        <f>IF(V64="A",MAX(1,IF(X64&lt;&gt;"",X64,IFERROR(VLOOKUP(V64,Assumptions!$A$8:$F$12,3,FALSE),3))+IF(Y64&lt;&gt;"",Y64,IFERROR(VLOOKUP(V64,Assumptions!$A$8:$F$12,4,FALSE),8))/2-MAX(0,IF(AS64="",0,YEAR(TODAY())-AS64)-IFERROR(VLOOKUP(V64,Assumptions!$A$8:$F$12,5,FALSE),1.5))),IFERROR(VLOOKUP(V64,Assumptions!$A$8:$F$12,5,FALSE),2.5)+IF(X64&lt;&gt;"",X64,IFERROR(VLOOKUP(V64,Assumptions!$A$8:$F$12,3,FALSE),3))+IF(Y64&lt;&gt;"",Y64,IFERROR(VLOOKUP(V64,Assumptions!$A$8:$F$12,4,FALSE),8))/2)</f>
        <v/>
      </c>
      <c r="AB64" s="24">
        <f>U64*Z64/(1+Assumptions!$B$3)^AA64</f>
        <v/>
      </c>
      <c r="AC64" s="27">
        <f>IF(U64=0,"",ROUND(AB64/U64*100,1))</f>
        <v/>
      </c>
      <c r="AD64" s="29">
        <f>AB64*Assumptions!$B$4</f>
        <v/>
      </c>
      <c r="AE64" s="27">
        <f>IF(U64=0,"",ROUND(AD64/U64*100,1))</f>
        <v/>
      </c>
      <c r="AF64" s="29">
        <f>AB64-AD64</f>
        <v/>
      </c>
      <c r="AG64" s="27">
        <f>IF(U64=0,"",ROUND((AB64-AD64)/U64*100,1))</f>
        <v/>
      </c>
      <c r="AH64" s="34" t="inlineStr">
        <is>
          <t>NO TOTALS — list prints none; check page</t>
        </is>
      </c>
      <c r="AI64" s="31" t="inlineStr">
        <is>
          <t>https://administradorajudicialgs.com.br/wp-content/uploads/2023/08/edital-quadro-geral-de-credores.pdf</t>
        </is>
      </c>
      <c r="AJ64" s="30" t="inlineStr">
        <is>
          <t>p2 r15</t>
        </is>
      </c>
      <c r="AK64" s="30" t="inlineStr">
        <is>
          <t>p2: R$ 1.428.907,29</t>
        </is>
      </c>
      <c r="AL64" s="30" t="inlineStr">
        <is>
          <t>QGC (art. 18)</t>
        </is>
      </c>
      <c r="AM64" s="30" t="inlineStr">
        <is>
          <t>2024-07-05</t>
        </is>
      </c>
      <c r="AN64" s="30" t="inlineStr">
        <is>
          <t>NONE FOUND</t>
        </is>
      </c>
      <c r="AO64" s="32" t="inlineStr">
        <is>
          <t>0301015-33.2016.8.24.0031</t>
        </is>
      </c>
      <c r="AP64" s="32" t="inlineStr">
        <is>
          <t>TJSC</t>
        </is>
      </c>
      <c r="AQ64" s="32" t="inlineStr">
        <is>
          <t>Recuperação judicial</t>
        </is>
      </c>
      <c r="AR64" s="32" t="inlineStr">
        <is>
          <t>not in DataJud</t>
        </is>
      </c>
      <c r="AS64" s="32" t="n">
        <v>2016</v>
      </c>
      <c r="AT64" s="32" t="inlineStr">
        <is>
          <t>10y since filing; plan not in our documents</t>
        </is>
      </c>
      <c r="AU64" s="32" t="inlineStr">
        <is>
          <t>01.314.776/0001-49</t>
        </is>
      </c>
      <c r="AV64" s="32" t="inlineStr">
        <is>
          <t>printed on the list (read twice)</t>
        </is>
      </c>
      <c r="AW64" s="32" t="inlineStr"/>
      <c r="AX64" s="32" t="inlineStr">
        <is>
          <t>BRASILIA</t>
        </is>
      </c>
      <c r="AY64" s="32" t="inlineStr">
        <is>
          <t>DF</t>
        </is>
      </c>
      <c r="AZ64" s="32" t="inlineStr">
        <is>
          <t>Bancos múltiplos, com carteira comercial</t>
        </is>
      </c>
      <c r="BA64" s="32" t="inlineStr">
        <is>
          <t>não ME/EPP</t>
        </is>
      </c>
      <c r="BB64" s="33" t="n">
        <v>120000000000</v>
      </c>
      <c r="BC64" s="32" t="inlineStr">
        <is>
          <t>LARGE CORP</t>
        </is>
      </c>
      <c r="BD64" s="32" t="inlineStr">
        <is>
          <t>00000000</t>
        </is>
      </c>
      <c r="BE64" s="32" t="n">
        <v>1</v>
      </c>
      <c r="BF64" s="32" t="inlineStr">
        <is>
          <t>financial by name list prints no totals</t>
        </is>
      </c>
    </row>
    <row r="65">
      <c r="A65" s="17" t="inlineStr">
        <is>
          <t>BANCO DO BRASIL SA</t>
        </is>
      </c>
      <c r="B65" s="18" t="n">
        <v>352476.89</v>
      </c>
      <c r="C65" s="19" t="inlineStr">
        <is>
          <t>GRUPO FERRARI (ALEX, ALEXANDRE , ANDRIELLE FERRARI MANTELLI, ARCIR LUIS, ERICA SANTOS ASSIS LIMA, FERNANDO MANTELLI, IDELSI, TALITA LEITE SILVA, AGROPECUARIA FERRARI LTDA E FERRARI ARMAZENS GERAIS)</t>
        </is>
      </c>
      <c r="D65" s="20" t="inlineStr">
        <is>
          <t>NEW</t>
        </is>
      </c>
      <c r="E65" s="21" t="inlineStr"/>
      <c r="F65" s="20" t="inlineStr"/>
      <c r="G65" s="21" t="inlineStr"/>
      <c r="H65" s="20" t="inlineStr"/>
      <c r="I65" s="22" t="inlineStr">
        <is>
          <t>Thiago Cavichioli</t>
        </is>
      </c>
      <c r="J65" s="22" t="inlineStr">
        <is>
          <t>Gerente de Cobrança e Recuperação de Crédito</t>
        </is>
      </c>
      <c r="K65" s="22" t="inlineStr">
        <is>
          <t>(61) 3493-9002</t>
        </is>
      </c>
      <c r="L65" s="22" t="inlineStr"/>
      <c r="M65" s="22" t="inlineStr"/>
      <c r="N65" s="22" t="inlineStr">
        <is>
          <t>thiago.cavichioli@bb.com.br</t>
        </is>
      </c>
      <c r="O65" s="22" t="inlineStr">
        <is>
          <t>verified</t>
        </is>
      </c>
      <c r="P65" s="22" t="inlineStr">
        <is>
          <t>Suelen Mondador</t>
        </is>
      </c>
      <c r="Q65" s="22" t="inlineStr">
        <is>
          <t>Gerente Especialista em Recuperação de Crédito</t>
        </is>
      </c>
      <c r="R65" s="22" t="inlineStr"/>
      <c r="S65" s="22" t="inlineStr">
        <is>
          <t>suelenmondador@bb.com.br</t>
        </is>
      </c>
      <c r="T65" s="22" t="inlineStr">
        <is>
          <t>DM: DM verified email; BACKUP: backup verified email</t>
        </is>
      </c>
      <c r="U65" s="24" t="n">
        <v>352476.89</v>
      </c>
      <c r="V65" s="25" t="inlineStr">
        <is>
          <t>B</t>
        </is>
      </c>
      <c r="W65" s="26" t="inlineStr"/>
      <c r="X65" s="27" t="inlineStr"/>
      <c r="Y65" s="27" t="inlineStr"/>
      <c r="Z65" s="26">
        <f>IF(W65&lt;&gt;"",W65,IFERROR(VLOOKUP(V65,Assumptions!$A$8:$F$12,2,FALSE),0))</f>
        <v/>
      </c>
      <c r="AA65" s="28">
        <f>IF(V65="A",MAX(1,IF(X65&lt;&gt;"",X65,IFERROR(VLOOKUP(V65,Assumptions!$A$8:$F$12,3,FALSE),3))+IF(Y65&lt;&gt;"",Y65,IFERROR(VLOOKUP(V65,Assumptions!$A$8:$F$12,4,FALSE),8))/2-MAX(0,IF(AS65="",0,YEAR(TODAY())-AS65)-IFERROR(VLOOKUP(V65,Assumptions!$A$8:$F$12,5,FALSE),1.5))),IFERROR(VLOOKUP(V65,Assumptions!$A$8:$F$12,5,FALSE),2.5)+IF(X65&lt;&gt;"",X65,IFERROR(VLOOKUP(V65,Assumptions!$A$8:$F$12,3,FALSE),3))+IF(Y65&lt;&gt;"",Y65,IFERROR(VLOOKUP(V65,Assumptions!$A$8:$F$12,4,FALSE),8))/2)</f>
        <v/>
      </c>
      <c r="AB65" s="24">
        <f>U65*Z65/(1+Assumptions!$B$3)^AA65</f>
        <v/>
      </c>
      <c r="AC65" s="27">
        <f>IF(U65=0,"",ROUND(AB65/U65*100,1))</f>
        <v/>
      </c>
      <c r="AD65" s="29">
        <f>AB65*Assumptions!$B$4</f>
        <v/>
      </c>
      <c r="AE65" s="27">
        <f>IF(U65=0,"",ROUND(AD65/U65*100,1))</f>
        <v/>
      </c>
      <c r="AF65" s="29">
        <f>AB65-AD65</f>
        <v/>
      </c>
      <c r="AG65" s="27">
        <f>IF(U65=0,"",ROUND((AB65-AD65)/U65*100,1))</f>
        <v/>
      </c>
      <c r="AH65" s="34" t="inlineStr">
        <is>
          <t>NO TOTALS — list prints none; check page</t>
        </is>
      </c>
      <c r="AI65" s="31" t="inlineStr">
        <is>
          <t>https://scalzilliaj.com.br/sgc/download.php?file=files/processo_documento/processo_documento11421222052026_1_.pdf&amp;nome=08. Lista de credores do edital do art. 52, §1º da LREF</t>
        </is>
      </c>
      <c r="AJ65" s="30" t="inlineStr">
        <is>
          <t>p4 r8</t>
        </is>
      </c>
      <c r="AK65" s="30" t="inlineStr">
        <is>
          <t>p4: R$ 352.476,89</t>
        </is>
      </c>
      <c r="AL65" s="30" t="inlineStr">
        <is>
          <t>Unclassified list</t>
        </is>
      </c>
      <c r="AM65" s="30" t="inlineStr"/>
      <c r="AN65" s="30" t="inlineStr">
        <is>
          <t>NONE FOUND</t>
        </is>
      </c>
      <c r="AO65" s="32" t="inlineStr">
        <is>
          <t>5011369-81.2026.8.09.0093</t>
        </is>
      </c>
      <c r="AP65" s="32" t="inlineStr">
        <is>
          <t>TJGO</t>
        </is>
      </c>
      <c r="AQ65" s="32" t="inlineStr"/>
      <c r="AR65" s="32" t="inlineStr">
        <is>
          <t>DataJud: no closure/falência movement</t>
        </is>
      </c>
      <c r="AS65" s="32" t="n">
        <v>2026</v>
      </c>
      <c r="AT65" s="32" t="inlineStr">
        <is>
          <t>live case, no plan document yet; case no. from the portal record, not printed on the list</t>
        </is>
      </c>
      <c r="AU65" s="32" t="inlineStr"/>
      <c r="AV65" s="32" t="inlineStr">
        <is>
          <t>portal page title / URL — not printed on the list</t>
        </is>
      </c>
      <c r="AW65" s="32" t="inlineStr"/>
      <c r="AX65" s="32" t="inlineStr">
        <is>
          <t>BRASILIA</t>
        </is>
      </c>
      <c r="AY65" s="32" t="inlineStr">
        <is>
          <t>DF</t>
        </is>
      </c>
      <c r="AZ65" s="32" t="inlineStr">
        <is>
          <t>Bancos múltiplos, com carteira comercial</t>
        </is>
      </c>
      <c r="BA65" s="32" t="inlineStr">
        <is>
          <t>não ME/EPP</t>
        </is>
      </c>
      <c r="BB65" s="33" t="n">
        <v>120000000000</v>
      </c>
      <c r="BC65" s="32" t="inlineStr">
        <is>
          <t>LARGE CORP</t>
        </is>
      </c>
      <c r="BD65" s="32" t="inlineStr">
        <is>
          <t>00000000</t>
        </is>
      </c>
      <c r="BE65" s="32" t="n">
        <v>1</v>
      </c>
      <c r="BF65" s="32" t="inlineStr">
        <is>
          <t>financial by name list prints no totals</t>
        </is>
      </c>
    </row>
    <row r="66">
      <c r="A66" s="17" t="inlineStr">
        <is>
          <t>CAIXA ECONOMICA FEDERAL</t>
        </is>
      </c>
      <c r="B66" s="18" t="n">
        <v>322411.47</v>
      </c>
      <c r="C66" s="19" t="inlineStr">
        <is>
          <t>GRUPO MARINGÁ PARK</t>
        </is>
      </c>
      <c r="D66" s="20" t="inlineStr">
        <is>
          <t>NEW</t>
        </is>
      </c>
      <c r="E66" s="21" t="inlineStr"/>
      <c r="F66" s="20" t="inlineStr"/>
      <c r="G66" s="21" t="inlineStr"/>
      <c r="H66" s="20" t="inlineStr"/>
      <c r="I66" s="22" t="inlineStr">
        <is>
          <t>Livia Serikaku</t>
        </is>
      </c>
      <c r="J66" s="22" t="inlineStr">
        <is>
          <t>Gerente de Clientes e Negócios | Recuperação de Crédito</t>
        </is>
      </c>
      <c r="K66" s="22" t="inlineStr">
        <is>
          <t>(00) 4004-0104</t>
        </is>
      </c>
      <c r="L66" s="22" t="inlineStr"/>
      <c r="M66" s="22" t="inlineStr"/>
      <c r="N66" s="22" t="inlineStr"/>
      <c r="O66" s="22" t="inlineStr"/>
      <c r="P66" s="22" t="inlineStr">
        <is>
          <t>CARLOS ANTONIO VIEIRA FERNANDES</t>
        </is>
      </c>
      <c r="Q66" s="22" t="inlineStr">
        <is>
          <t>Presidente (RFB partner)</t>
        </is>
      </c>
      <c r="R66" s="22" t="inlineStr"/>
      <c r="S66" s="22" t="inlineStr"/>
      <c r="T66" s="22" t="inlineStr">
        <is>
          <t>DM: DM email unavailable; no work email in Apollo for DM</t>
        </is>
      </c>
      <c r="U66" s="24" t="n">
        <v>322411.47</v>
      </c>
      <c r="V66" s="25" t="inlineStr">
        <is>
          <t>B</t>
        </is>
      </c>
      <c r="W66" s="26" t="inlineStr"/>
      <c r="X66" s="27" t="inlineStr"/>
      <c r="Y66" s="27" t="inlineStr"/>
      <c r="Z66" s="26">
        <f>IF(W66&lt;&gt;"",W66,IFERROR(VLOOKUP(V66,Assumptions!$A$8:$F$12,2,FALSE),0))</f>
        <v/>
      </c>
      <c r="AA66" s="28">
        <f>IF(V66="A",MAX(1,IF(X66&lt;&gt;"",X66,IFERROR(VLOOKUP(V66,Assumptions!$A$8:$F$12,3,FALSE),3))+IF(Y66&lt;&gt;"",Y66,IFERROR(VLOOKUP(V66,Assumptions!$A$8:$F$12,4,FALSE),8))/2-MAX(0,IF(AS66="",0,YEAR(TODAY())-AS66)-IFERROR(VLOOKUP(V66,Assumptions!$A$8:$F$12,5,FALSE),1.5))),IFERROR(VLOOKUP(V66,Assumptions!$A$8:$F$12,5,FALSE),2.5)+IF(X66&lt;&gt;"",X66,IFERROR(VLOOKUP(V66,Assumptions!$A$8:$F$12,3,FALSE),3))+IF(Y66&lt;&gt;"",Y66,IFERROR(VLOOKUP(V66,Assumptions!$A$8:$F$12,4,FALSE),8))/2)</f>
        <v/>
      </c>
      <c r="AB66" s="24">
        <f>U66*Z66/(1+Assumptions!$B$3)^AA66</f>
        <v/>
      </c>
      <c r="AC66" s="27">
        <f>IF(U66=0,"",ROUND(AB66/U66*100,1))</f>
        <v/>
      </c>
      <c r="AD66" s="29">
        <f>AB66*Assumptions!$B$4</f>
        <v/>
      </c>
      <c r="AE66" s="27">
        <f>IF(U66=0,"",ROUND(AD66/U66*100,1))</f>
        <v/>
      </c>
      <c r="AF66" s="29">
        <f>AB66-AD66</f>
        <v/>
      </c>
      <c r="AG66" s="27">
        <f>IF(U66=0,"",ROUND((AB66-AD66)/U66*100,1))</f>
        <v/>
      </c>
      <c r="AH66" s="30" t="inlineStr">
        <is>
          <t>OK — totals reconciled</t>
        </is>
      </c>
      <c r="AI66" s="31" t="inlineStr">
        <is>
          <t>https://marquesadmjudicial.com.br/sgc/download.php?file=files/processo_documento/processo_documento19270817122025_1_.pdf&amp;nome=Relação Nominal de Credores AJ</t>
        </is>
      </c>
      <c r="AJ66" s="30" t="inlineStr">
        <is>
          <t>p4 r5</t>
        </is>
      </c>
      <c r="AK66" s="30" t="inlineStr">
        <is>
          <t>p4: R$ 322.411,47</t>
        </is>
      </c>
      <c r="AL66" s="30" t="inlineStr">
        <is>
          <t>AJ list (art. 7 §2)</t>
        </is>
      </c>
      <c r="AM66" s="30" t="inlineStr">
        <is>
          <t>2025-12-17</t>
        </is>
      </c>
      <c r="AN66" s="30" t="inlineStr">
        <is>
          <t>NONE FOUND</t>
        </is>
      </c>
      <c r="AO66" s="32" t="inlineStr">
        <is>
          <t>0016033-22.2025.8.16.0017</t>
        </is>
      </c>
      <c r="AP66" s="32" t="inlineStr">
        <is>
          <t>TJPR</t>
        </is>
      </c>
      <c r="AQ66" s="32" t="inlineStr">
        <is>
          <t>Recuperação judicial</t>
        </is>
      </c>
      <c r="AR66" s="32" t="inlineStr">
        <is>
          <t>DataJud: no closure/falência movement</t>
        </is>
      </c>
      <c r="AS66" s="32" t="n">
        <v>2025</v>
      </c>
      <c r="AT66" s="32" t="inlineStr">
        <is>
          <t>live case, no plan document yet</t>
        </is>
      </c>
      <c r="AU66" s="32" t="inlineStr">
        <is>
          <t>00.073.485/0001-43</t>
        </is>
      </c>
      <c r="AV66" s="32" t="inlineStr">
        <is>
          <t>printed on the list (read twice)</t>
        </is>
      </c>
      <c r="AW66" s="32" t="inlineStr"/>
      <c r="AX66" s="32" t="inlineStr">
        <is>
          <t>BRASILIA</t>
        </is>
      </c>
      <c r="AY66" s="32" t="inlineStr">
        <is>
          <t>DF</t>
        </is>
      </c>
      <c r="AZ66" s="32" t="inlineStr">
        <is>
          <t>Caixas econômicas</t>
        </is>
      </c>
      <c r="BA66" s="32" t="inlineStr">
        <is>
          <t>não ME/EPP</t>
        </is>
      </c>
      <c r="BB66" s="33" t="n">
        <v>105300000000</v>
      </c>
      <c r="BC66" s="32" t="inlineStr">
        <is>
          <t>LARGE CORP</t>
        </is>
      </c>
      <c r="BD66" s="32" t="inlineStr">
        <is>
          <t>00360305</t>
        </is>
      </c>
      <c r="BE66" s="32" t="n">
        <v>1</v>
      </c>
      <c r="BF66" s="32" t="inlineStr">
        <is>
          <t>financial by name</t>
        </is>
      </c>
    </row>
    <row r="67">
      <c r="A67" s="17" t="inlineStr">
        <is>
          <t>CAIXA ECONOMICA FEDERAL</t>
        </is>
      </c>
      <c r="B67" s="18" t="n">
        <v>2299818.75</v>
      </c>
      <c r="C67" s="19" t="inlineStr">
        <is>
          <t>Mannes</t>
        </is>
      </c>
      <c r="D67" s="20" t="inlineStr">
        <is>
          <t>NEW</t>
        </is>
      </c>
      <c r="E67" s="21" t="inlineStr"/>
      <c r="F67" s="20" t="inlineStr"/>
      <c r="G67" s="21" t="inlineStr"/>
      <c r="H67" s="20" t="inlineStr"/>
      <c r="I67" s="22" t="inlineStr">
        <is>
          <t>Livia Serikaku</t>
        </is>
      </c>
      <c r="J67" s="22" t="inlineStr">
        <is>
          <t>Gerente de Clientes e Negócios | Recuperação de Crédito</t>
        </is>
      </c>
      <c r="K67" s="22" t="inlineStr">
        <is>
          <t>(00) 4004-0104</t>
        </is>
      </c>
      <c r="L67" s="22" t="inlineStr"/>
      <c r="M67" s="22" t="inlineStr"/>
      <c r="N67" s="22" t="inlineStr"/>
      <c r="O67" s="22" t="inlineStr"/>
      <c r="P67" s="22" t="inlineStr">
        <is>
          <t>CARLOS ANTONIO VIEIRA FERNANDES</t>
        </is>
      </c>
      <c r="Q67" s="22" t="inlineStr">
        <is>
          <t>Presidente (RFB partner)</t>
        </is>
      </c>
      <c r="R67" s="22" t="inlineStr"/>
      <c r="S67" s="22" t="inlineStr"/>
      <c r="T67" s="22" t="inlineStr">
        <is>
          <t>DM: DM email unavailable; no work email in Apollo for DM</t>
        </is>
      </c>
      <c r="U67" s="24" t="n">
        <v>2299818.75</v>
      </c>
      <c r="V67" s="40" t="inlineStr">
        <is>
          <t>D</t>
        </is>
      </c>
      <c r="W67" s="26" t="inlineStr"/>
      <c r="X67" s="27" t="inlineStr"/>
      <c r="Y67" s="27" t="inlineStr"/>
      <c r="Z67" s="26">
        <f>IF(W67&lt;&gt;"",W67,IFERROR(VLOOKUP(V67,Assumptions!$A$8:$F$12,2,FALSE),0))</f>
        <v/>
      </c>
      <c r="AA67" s="28">
        <f>IF(V67="A",MAX(1,IF(X67&lt;&gt;"",X67,IFERROR(VLOOKUP(V67,Assumptions!$A$8:$F$12,3,FALSE),3))+IF(Y67&lt;&gt;"",Y67,IFERROR(VLOOKUP(V67,Assumptions!$A$8:$F$12,4,FALSE),8))/2-MAX(0,IF(AS67="",0,YEAR(TODAY())-AS67)-IFERROR(VLOOKUP(V67,Assumptions!$A$8:$F$12,5,FALSE),1.5))),IFERROR(VLOOKUP(V67,Assumptions!$A$8:$F$12,5,FALSE),2.5)+IF(X67&lt;&gt;"",X67,IFERROR(VLOOKUP(V67,Assumptions!$A$8:$F$12,3,FALSE),3))+IF(Y67&lt;&gt;"",Y67,IFERROR(VLOOKUP(V67,Assumptions!$A$8:$F$12,4,FALSE),8))/2)</f>
        <v/>
      </c>
      <c r="AB67" s="24">
        <f>U67*Z67/(1+Assumptions!$B$3)^AA67</f>
        <v/>
      </c>
      <c r="AC67" s="27">
        <f>IF(U67=0,"",ROUND(AB67/U67*100,1))</f>
        <v/>
      </c>
      <c r="AD67" s="29">
        <f>AB67*Assumptions!$B$4</f>
        <v/>
      </c>
      <c r="AE67" s="27">
        <f>IF(U67=0,"",ROUND(AD67/U67*100,1))</f>
        <v/>
      </c>
      <c r="AF67" s="29">
        <f>AB67-AD67</f>
        <v/>
      </c>
      <c r="AG67" s="27">
        <f>IF(U67=0,"",ROUND((AB67-AD67)/U67*100,1))</f>
        <v/>
      </c>
      <c r="AH67" s="36" t="inlineStr">
        <is>
          <t>CHECK — source is not a statutory creditor list</t>
        </is>
      </c>
      <c r="AI67" s="31" t="inlineStr">
        <is>
          <t>https://administradorajudicialgs.com.br/wp-content/uploads/2024/12/relacao-de-credores-da-falida.pdf</t>
        </is>
      </c>
      <c r="AJ67" s="30" t="inlineStr">
        <is>
          <t>p13 r32</t>
        </is>
      </c>
      <c r="AK67" s="30" t="inlineStr">
        <is>
          <t>p13: R$ 2.299.818,75</t>
        </is>
      </c>
      <c r="AL67" s="30" t="inlineStr">
        <is>
          <t>Other filing — NOT an art. 7/51 list</t>
        </is>
      </c>
      <c r="AM67" s="30" t="inlineStr">
        <is>
          <t>2025-03-25</t>
        </is>
      </c>
      <c r="AN67" s="30" t="inlineStr">
        <is>
          <t>NONE FOUND</t>
        </is>
      </c>
      <c r="AO67" s="32" t="inlineStr">
        <is>
          <t>0005010-50.2013.8.24.0026</t>
        </is>
      </c>
      <c r="AP67" s="32" t="inlineStr">
        <is>
          <t>TJSC</t>
        </is>
      </c>
      <c r="AQ67" s="32" t="inlineStr">
        <is>
          <t>Falência</t>
        </is>
      </c>
      <c r="AR67" s="32" t="inlineStr">
        <is>
          <t>not in DataJud</t>
        </is>
      </c>
      <c r="AS67" s="32" t="n">
        <v>2013</v>
      </c>
      <c r="AT67" s="32" t="inlineStr">
        <is>
          <t>falência proceeding (list/name says falida)</t>
        </is>
      </c>
      <c r="AU67" s="32" t="inlineStr"/>
      <c r="AV67" s="32" t="inlineStr">
        <is>
          <t>printed on the list (read twice)</t>
        </is>
      </c>
      <c r="AW67" s="32" t="inlineStr"/>
      <c r="AX67" s="32" t="inlineStr">
        <is>
          <t>BRASILIA</t>
        </is>
      </c>
      <c r="AY67" s="32" t="inlineStr">
        <is>
          <t>DF</t>
        </is>
      </c>
      <c r="AZ67" s="32" t="inlineStr">
        <is>
          <t>Caixas econômicas</t>
        </is>
      </c>
      <c r="BA67" s="32" t="inlineStr">
        <is>
          <t>não ME/EPP</t>
        </is>
      </c>
      <c r="BB67" s="33" t="n">
        <v>105300000000</v>
      </c>
      <c r="BC67" s="32" t="inlineStr">
        <is>
          <t>LARGE CORP</t>
        </is>
      </c>
      <c r="BD67" s="32" t="inlineStr">
        <is>
          <t>00360305</t>
        </is>
      </c>
      <c r="BE67" s="32" t="n">
        <v>1</v>
      </c>
      <c r="BF67" s="32" t="inlineStr">
        <is>
          <t>financial by name list prints no totals case no. corrected by reader</t>
        </is>
      </c>
    </row>
    <row r="68">
      <c r="A68" s="17" t="inlineStr">
        <is>
          <t>CAIXA ECONOMICA FEDERAL</t>
        </is>
      </c>
      <c r="B68" s="18" t="n">
        <v>310918.57</v>
      </c>
      <c r="C68" s="19" t="inlineStr">
        <is>
          <t>FRIGORÍFICO ALFA INDÚSTRIA E COMÉRCIO DE CARNES E DERIVADOS LTDA e CTX LOGÍSTICA, TRANSPORTE E LOCAÇÕES LTDA</t>
        </is>
      </c>
      <c r="D68" s="20" t="inlineStr">
        <is>
          <t>NEW</t>
        </is>
      </c>
      <c r="E68" s="21" t="inlineStr"/>
      <c r="F68" s="20" t="inlineStr"/>
      <c r="G68" s="21" t="inlineStr"/>
      <c r="H68" s="20" t="inlineStr"/>
      <c r="I68" s="22" t="inlineStr">
        <is>
          <t>Livia Serikaku</t>
        </is>
      </c>
      <c r="J68" s="22" t="inlineStr">
        <is>
          <t>Gerente de Clientes e Negócios | Recuperação de Crédito</t>
        </is>
      </c>
      <c r="K68" s="22" t="inlineStr">
        <is>
          <t>(00) 4004-0104</t>
        </is>
      </c>
      <c r="L68" s="22" t="inlineStr"/>
      <c r="M68" s="22" t="inlineStr"/>
      <c r="N68" s="22" t="inlineStr"/>
      <c r="O68" s="22" t="inlineStr"/>
      <c r="P68" s="22" t="inlineStr">
        <is>
          <t>CARLOS ANTONIO VIEIRA FERNANDES</t>
        </is>
      </c>
      <c r="Q68" s="22" t="inlineStr">
        <is>
          <t>Presidente (RFB partner)</t>
        </is>
      </c>
      <c r="R68" s="22" t="inlineStr"/>
      <c r="S68" s="22" t="inlineStr"/>
      <c r="T68" s="22" t="inlineStr">
        <is>
          <t>DM: DM email unavailable; no work email in Apollo for DM</t>
        </is>
      </c>
      <c r="U68" s="24" t="n">
        <v>310918.57</v>
      </c>
      <c r="V68" s="25" t="inlineStr">
        <is>
          <t>B</t>
        </is>
      </c>
      <c r="W68" s="26" t="inlineStr"/>
      <c r="X68" s="27" t="inlineStr"/>
      <c r="Y68" s="27" t="inlineStr"/>
      <c r="Z68" s="26">
        <f>IF(W68&lt;&gt;"",W68,IFERROR(VLOOKUP(V68,Assumptions!$A$8:$F$12,2,FALSE),0))</f>
        <v/>
      </c>
      <c r="AA68" s="28">
        <f>IF(V68="A",MAX(1,IF(X68&lt;&gt;"",X68,IFERROR(VLOOKUP(V68,Assumptions!$A$8:$F$12,3,FALSE),3))+IF(Y68&lt;&gt;"",Y68,IFERROR(VLOOKUP(V68,Assumptions!$A$8:$F$12,4,FALSE),8))/2-MAX(0,IF(AS68="",0,YEAR(TODAY())-AS68)-IFERROR(VLOOKUP(V68,Assumptions!$A$8:$F$12,5,FALSE),1.5))),IFERROR(VLOOKUP(V68,Assumptions!$A$8:$F$12,5,FALSE),2.5)+IF(X68&lt;&gt;"",X68,IFERROR(VLOOKUP(V68,Assumptions!$A$8:$F$12,3,FALSE),3))+IF(Y68&lt;&gt;"",Y68,IFERROR(VLOOKUP(V68,Assumptions!$A$8:$F$12,4,FALSE),8))/2)</f>
        <v/>
      </c>
      <c r="AB68" s="24">
        <f>U68*Z68/(1+Assumptions!$B$3)^AA68</f>
        <v/>
      </c>
      <c r="AC68" s="27">
        <f>IF(U68=0,"",ROUND(AB68/U68*100,1))</f>
        <v/>
      </c>
      <c r="AD68" s="29">
        <f>AB68*Assumptions!$B$4</f>
        <v/>
      </c>
      <c r="AE68" s="27">
        <f>IF(U68=0,"",ROUND(AD68/U68*100,1))</f>
        <v/>
      </c>
      <c r="AF68" s="29">
        <f>AB68-AD68</f>
        <v/>
      </c>
      <c r="AG68" s="27">
        <f>IF(U68=0,"",ROUND((AB68-AD68)/U68*100,1))</f>
        <v/>
      </c>
      <c r="AH68" s="30" t="inlineStr">
        <is>
          <t>OK — totals reconciled</t>
        </is>
      </c>
      <c r="AI68" s="31" t="inlineStr">
        <is>
          <t>https://vtladm.com.br/wp-content/uploads/2024/04/09-–-EDITAL-DE-CONVOCACAO-DE-CREDORES-–-Frigorifico-Alfa-Industria-e-Comercio-de-Carnes-e-Derivados-Ltda.-e-Ctx-Logistica-Transporte-E-Locacoes-Ltda.pdf</t>
        </is>
      </c>
      <c r="AJ68" s="30" t="inlineStr">
        <is>
          <t>p1 r16</t>
        </is>
      </c>
      <c r="AK68" s="30" t="inlineStr">
        <is>
          <t>p1: R$ 310.918,57</t>
        </is>
      </c>
      <c r="AL68" s="30" t="inlineStr">
        <is>
          <t>AJ list (art. 7 §2)</t>
        </is>
      </c>
      <c r="AM68" s="30" t="inlineStr"/>
      <c r="AN68" s="30" t="inlineStr">
        <is>
          <t>NONE FOUND</t>
        </is>
      </c>
      <c r="AO68" s="32" t="inlineStr">
        <is>
          <t>1009827-02.2024.8.26.0576</t>
        </is>
      </c>
      <c r="AP68" s="32" t="inlineStr">
        <is>
          <t>TJSP</t>
        </is>
      </c>
      <c r="AQ68" s="32" t="inlineStr">
        <is>
          <t>Recuperação judicial</t>
        </is>
      </c>
      <c r="AR68" s="32" t="inlineStr">
        <is>
          <t>DataJud: no closure/falência movement</t>
        </is>
      </c>
      <c r="AS68" s="32" t="n">
        <v>2024</v>
      </c>
      <c r="AT68" s="32" t="inlineStr">
        <is>
          <t>live case, no plan document yet; case no. from the portal record, not printed on the list</t>
        </is>
      </c>
      <c r="AU68" s="32" t="inlineStr">
        <is>
          <t>00.975.846/0001-47</t>
        </is>
      </c>
      <c r="AV68" s="32" t="inlineStr">
        <is>
          <t>printed on the list (read twice)</t>
        </is>
      </c>
      <c r="AW68" s="32" t="inlineStr"/>
      <c r="AX68" s="32" t="inlineStr">
        <is>
          <t>BRASILIA</t>
        </is>
      </c>
      <c r="AY68" s="32" t="inlineStr">
        <is>
          <t>DF</t>
        </is>
      </c>
      <c r="AZ68" s="32" t="inlineStr">
        <is>
          <t>Caixas econômicas</t>
        </is>
      </c>
      <c r="BA68" s="32" t="inlineStr">
        <is>
          <t>não ME/EPP</t>
        </is>
      </c>
      <c r="BB68" s="33" t="n">
        <v>105300000000</v>
      </c>
      <c r="BC68" s="32" t="inlineStr">
        <is>
          <t>LARGE CORP</t>
        </is>
      </c>
      <c r="BD68" s="32" t="inlineStr">
        <is>
          <t>00360305</t>
        </is>
      </c>
      <c r="BE68" s="32" t="n">
        <v>1</v>
      </c>
      <c r="BF68" s="32" t="inlineStr">
        <is>
          <t>ALT_VALUE:310.918,57 financial by name</t>
        </is>
      </c>
    </row>
    <row r="69">
      <c r="A69" s="17" t="inlineStr">
        <is>
          <t>BANCO DO ESTADO DO RIO GRANDE DO SUL AS (</t>
        </is>
      </c>
      <c r="B69" s="18" t="n">
        <v>1081721.96</v>
      </c>
      <c r="C69" s="19" t="inlineStr">
        <is>
          <t>VECTOR INDÚSTRIA DE PRODUTOS METALÚRGICOS LTDA.</t>
        </is>
      </c>
      <c r="D69" s="20" t="inlineStr">
        <is>
          <t>NEW</t>
        </is>
      </c>
      <c r="E69" s="21" t="inlineStr"/>
      <c r="F69" s="20" t="inlineStr"/>
      <c r="G69" s="21" t="inlineStr"/>
      <c r="H69" s="20" t="inlineStr"/>
      <c r="I69" s="22" t="inlineStr"/>
      <c r="J69" s="22" t="inlineStr"/>
      <c r="K69" s="22" t="inlineStr"/>
      <c r="L69" s="22" t="inlineStr"/>
      <c r="M69" s="22" t="inlineStr"/>
      <c r="N69" s="22" t="inlineStr"/>
      <c r="O69" s="22" t="inlineStr"/>
      <c r="P69" s="22" t="inlineStr"/>
      <c r="Q69" s="22" t="inlineStr"/>
      <c r="R69" s="22" t="inlineStr"/>
      <c r="S69" s="22" t="inlineStr"/>
      <c r="T69" s="22" t="inlineStr">
        <is>
          <t>no named contact found; NO ROUTE IN: no phone or email on file</t>
        </is>
      </c>
      <c r="U69" s="24" t="n">
        <v>1081721.96</v>
      </c>
      <c r="V69" s="39" t="inlineStr">
        <is>
          <t>C</t>
        </is>
      </c>
      <c r="W69" s="26" t="inlineStr"/>
      <c r="X69" s="27" t="inlineStr"/>
      <c r="Y69" s="27" t="inlineStr"/>
      <c r="Z69" s="26">
        <f>IF(W69&lt;&gt;"",W69,IFERROR(VLOOKUP(V69,Assumptions!$A$8:$F$12,2,FALSE),0))</f>
        <v/>
      </c>
      <c r="AA69" s="28">
        <f>IF(V69="A",MAX(1,IF(X69&lt;&gt;"",X69,IFERROR(VLOOKUP(V69,Assumptions!$A$8:$F$12,3,FALSE),3))+IF(Y69&lt;&gt;"",Y69,IFERROR(VLOOKUP(V69,Assumptions!$A$8:$F$12,4,FALSE),8))/2-MAX(0,IF(AS69="",0,YEAR(TODAY())-AS69)-IFERROR(VLOOKUP(V69,Assumptions!$A$8:$F$12,5,FALSE),1.5))),IFERROR(VLOOKUP(V69,Assumptions!$A$8:$F$12,5,FALSE),2.5)+IF(X69&lt;&gt;"",X69,IFERROR(VLOOKUP(V69,Assumptions!$A$8:$F$12,3,FALSE),3))+IF(Y69&lt;&gt;"",Y69,IFERROR(VLOOKUP(V69,Assumptions!$A$8:$F$12,4,FALSE),8))/2)</f>
        <v/>
      </c>
      <c r="AB69" s="24">
        <f>U69*Z69/(1+Assumptions!$B$3)^AA69</f>
        <v/>
      </c>
      <c r="AC69" s="27">
        <f>IF(U69=0,"",ROUND(AB69/U69*100,1))</f>
        <v/>
      </c>
      <c r="AD69" s="29">
        <f>AB69*Assumptions!$B$4</f>
        <v/>
      </c>
      <c r="AE69" s="27">
        <f>IF(U69=0,"",ROUND(AD69/U69*100,1))</f>
        <v/>
      </c>
      <c r="AF69" s="29">
        <f>AB69-AD69</f>
        <v/>
      </c>
      <c r="AG69" s="27">
        <f>IF(U69=0,"",ROUND((AB69-AD69)/U69*100,1))</f>
        <v/>
      </c>
      <c r="AH69" s="34" t="inlineStr">
        <is>
          <t>NO TOTALS — list prints none; check page</t>
        </is>
      </c>
      <c r="AI69" s="31" t="inlineStr">
        <is>
          <t>https://scalzilliaj.com.br/sgc/download.php?file=files/processo_documento/processo_documento15513401112022_1_.pdf&amp;nome=15 - Edital do art. 7º, §2º (segunda lista de credores) e do art. 53 da Lei 11.101/2005 (recebimento do plano)</t>
        </is>
      </c>
      <c r="AJ69" s="30" t="inlineStr">
        <is>
          <t>p5 r39</t>
        </is>
      </c>
      <c r="AK69" s="30" t="inlineStr">
        <is>
          <t>p5: R$ 1.081.721,96</t>
        </is>
      </c>
      <c r="AL69" s="30" t="inlineStr">
        <is>
          <t>AJ list (art. 7 §2)</t>
        </is>
      </c>
      <c r="AM69" s="30" t="inlineStr">
        <is>
          <t>2022-11-01</t>
        </is>
      </c>
      <c r="AN69" s="30" t="inlineStr">
        <is>
          <t>NONE FOUND</t>
        </is>
      </c>
      <c r="AO69" s="32" t="inlineStr">
        <is>
          <t>5014104-85.2021.8.21.0010</t>
        </is>
      </c>
      <c r="AP69" s="32" t="inlineStr">
        <is>
          <t>TJRS</t>
        </is>
      </c>
      <c r="AQ69" s="32" t="inlineStr">
        <is>
          <t>Recuperação judicial</t>
        </is>
      </c>
      <c r="AR69" s="32" t="inlineStr">
        <is>
          <t>DataJud: no closure/falência movement</t>
        </is>
      </c>
      <c r="AS69" s="32" t="n">
        <v>2021</v>
      </c>
      <c r="AT69" s="32" t="inlineStr">
        <is>
          <t>5y since filing; plan not in our documents</t>
        </is>
      </c>
      <c r="AU69" s="32" t="inlineStr">
        <is>
          <t>03.018.339/0001-03</t>
        </is>
      </c>
      <c r="AV69" s="32" t="inlineStr">
        <is>
          <t>printed on the list (read twice)</t>
        </is>
      </c>
      <c r="AW69" s="32" t="inlineStr"/>
      <c r="AX69" s="32" t="inlineStr"/>
      <c r="AY69" s="32" t="inlineStr"/>
      <c r="AZ69" s="32" t="inlineStr"/>
      <c r="BA69" s="32" t="inlineStr"/>
      <c r="BB69" s="33" t="inlineStr"/>
      <c r="BC69" s="32" t="inlineStr">
        <is>
          <t>UNKNOWN</t>
        </is>
      </c>
      <c r="BD69" s="32" t="inlineStr">
        <is>
          <t>92702067</t>
        </is>
      </c>
      <c r="BE69" s="32" t="n">
        <v>1</v>
      </c>
      <c r="BF69" s="32" t="inlineStr">
        <is>
          <t>financial by name public by name list prints no totals no RFB record no route in</t>
        </is>
      </c>
    </row>
    <row r="70">
      <c r="A70" s="17" t="inlineStr">
        <is>
          <t>CAIXA ECONOMICA FEDERAL</t>
        </is>
      </c>
      <c r="B70" s="18" t="n">
        <v>997823.01</v>
      </c>
      <c r="C70" s="19" t="inlineStr">
        <is>
          <t>Grupo Mastter</t>
        </is>
      </c>
      <c r="D70" s="20" t="inlineStr">
        <is>
          <t>NEW</t>
        </is>
      </c>
      <c r="E70" s="21" t="inlineStr"/>
      <c r="F70" s="20" t="inlineStr"/>
      <c r="G70" s="21" t="inlineStr"/>
      <c r="H70" s="20" t="inlineStr"/>
      <c r="I70" s="22" t="inlineStr">
        <is>
          <t>Livia Serikaku</t>
        </is>
      </c>
      <c r="J70" s="22" t="inlineStr">
        <is>
          <t>Gerente de Clientes e Negócios | Recuperação de Crédito</t>
        </is>
      </c>
      <c r="K70" s="22" t="inlineStr">
        <is>
          <t>(00) 4004-0104</t>
        </is>
      </c>
      <c r="L70" s="22" t="inlineStr"/>
      <c r="M70" s="22" t="inlineStr"/>
      <c r="N70" s="22" t="inlineStr"/>
      <c r="O70" s="22" t="inlineStr"/>
      <c r="P70" s="22" t="inlineStr">
        <is>
          <t>CARLOS ANTONIO VIEIRA FERNANDES</t>
        </is>
      </c>
      <c r="Q70" s="22" t="inlineStr">
        <is>
          <t>Presidente (RFB partner)</t>
        </is>
      </c>
      <c r="R70" s="22" t="inlineStr"/>
      <c r="S70" s="22" t="inlineStr"/>
      <c r="T70" s="22" t="inlineStr">
        <is>
          <t>DM: DM email unavailable; no work email in Apollo for DM</t>
        </is>
      </c>
      <c r="U70" s="24" t="n">
        <v>997823.01</v>
      </c>
      <c r="V70" s="39" t="inlineStr">
        <is>
          <t>C</t>
        </is>
      </c>
      <c r="W70" s="26" t="inlineStr"/>
      <c r="X70" s="27" t="inlineStr"/>
      <c r="Y70" s="27" t="inlineStr"/>
      <c r="Z70" s="26">
        <f>IF(W70&lt;&gt;"",W70,IFERROR(VLOOKUP(V70,Assumptions!$A$8:$F$12,2,FALSE),0))</f>
        <v/>
      </c>
      <c r="AA70" s="28">
        <f>IF(V70="A",MAX(1,IF(X70&lt;&gt;"",X70,IFERROR(VLOOKUP(V70,Assumptions!$A$8:$F$12,3,FALSE),3))+IF(Y70&lt;&gt;"",Y70,IFERROR(VLOOKUP(V70,Assumptions!$A$8:$F$12,4,FALSE),8))/2-MAX(0,IF(AS70="",0,YEAR(TODAY())-AS70)-IFERROR(VLOOKUP(V70,Assumptions!$A$8:$F$12,5,FALSE),1.5))),IFERROR(VLOOKUP(V70,Assumptions!$A$8:$F$12,5,FALSE),2.5)+IF(X70&lt;&gt;"",X70,IFERROR(VLOOKUP(V70,Assumptions!$A$8:$F$12,3,FALSE),3))+IF(Y70&lt;&gt;"",Y70,IFERROR(VLOOKUP(V70,Assumptions!$A$8:$F$12,4,FALSE),8))/2)</f>
        <v/>
      </c>
      <c r="AB70" s="24">
        <f>U70*Z70/(1+Assumptions!$B$3)^AA70</f>
        <v/>
      </c>
      <c r="AC70" s="27">
        <f>IF(U70=0,"",ROUND(AB70/U70*100,1))</f>
        <v/>
      </c>
      <c r="AD70" s="29">
        <f>AB70*Assumptions!$B$4</f>
        <v/>
      </c>
      <c r="AE70" s="27">
        <f>IF(U70=0,"",ROUND(AD70/U70*100,1))</f>
        <v/>
      </c>
      <c r="AF70" s="29">
        <f>AB70-AD70</f>
        <v/>
      </c>
      <c r="AG70" s="27">
        <f>IF(U70=0,"",ROUND((AB70-AD70)/U70*100,1))</f>
        <v/>
      </c>
      <c r="AH70" s="34" t="inlineStr">
        <is>
          <t>NO TOTALS — list prints none; check page</t>
        </is>
      </c>
      <c r="AI70" s="31" t="inlineStr">
        <is>
          <t>https://realbrasil.com.br/wp-content/uploads/2017/05/Relação-de-Credores_-Mastter-1.pdf</t>
        </is>
      </c>
      <c r="AJ70" s="30" t="inlineStr">
        <is>
          <t>p11 r18; p15 r7; p15 r8; p15 r9; p15 r10; p15 r11; p15 r12; p15 r13; p15 r15; p27 r3; p27 r5</t>
        </is>
      </c>
      <c r="AK70" s="30" t="inlineStr">
        <is>
          <t>[rows shown ≠ face] p11: R$ 100.000,00; p15: R$ 19.308,61; p15: R$ 61.893,97; p15: R$ 200.000,00; p15: R$ 129.161,99; p15: R$ 25.242,98; p15: R$ 62.400,25; p15: R$ 108.204,17; p15: R$ 100.000,00; p27: R$ 212.500,00; p27: R$ 79.111,04</t>
        </is>
      </c>
      <c r="AL70" s="30" t="inlineStr">
        <is>
          <t>Debtor list (art. 51)</t>
        </is>
      </c>
      <c r="AM70" s="30" t="inlineStr">
        <is>
          <t>2016-02-10</t>
        </is>
      </c>
      <c r="AN70" s="30" t="inlineStr">
        <is>
          <t>NONE FOUND</t>
        </is>
      </c>
      <c r="AO70" s="32" t="inlineStr">
        <is>
          <t>0801893-91.2016.8.12.0011</t>
        </is>
      </c>
      <c r="AP70" s="32" t="inlineStr">
        <is>
          <t>TJMS</t>
        </is>
      </c>
      <c r="AQ70" s="32" t="inlineStr">
        <is>
          <t>Recuperação judicial</t>
        </is>
      </c>
      <c r="AR70" s="32" t="inlineStr">
        <is>
          <t>not in DataJud</t>
        </is>
      </c>
      <c r="AS70" s="32" t="n">
        <v>2016</v>
      </c>
      <c r="AT70" s="32" t="inlineStr">
        <is>
          <t>10y since filing; plan not in our documents; case no. from the portal record, not printed on the list</t>
        </is>
      </c>
      <c r="AU70" s="32" t="inlineStr"/>
      <c r="AV70" s="32" t="inlineStr">
        <is>
          <t>printed on the list (read twice)</t>
        </is>
      </c>
      <c r="AW70" s="32" t="inlineStr"/>
      <c r="AX70" s="32" t="inlineStr">
        <is>
          <t>BRASILIA</t>
        </is>
      </c>
      <c r="AY70" s="32" t="inlineStr">
        <is>
          <t>DF</t>
        </is>
      </c>
      <c r="AZ70" s="32" t="inlineStr">
        <is>
          <t>Caixas econômicas</t>
        </is>
      </c>
      <c r="BA70" s="32" t="inlineStr">
        <is>
          <t>não ME/EPP</t>
        </is>
      </c>
      <c r="BB70" s="33" t="n">
        <v>105300000000</v>
      </c>
      <c r="BC70" s="32" t="inlineStr">
        <is>
          <t>LARGE CORP</t>
        </is>
      </c>
      <c r="BD70" s="32" t="inlineStr">
        <is>
          <t>00360305</t>
        </is>
      </c>
      <c r="BE70" s="32" t="n">
        <v>10</v>
      </c>
      <c r="BF70" s="32" t="inlineStr">
        <is>
          <t>ALT_VALUE:1.811,26 ALT_VALUE:10.253,77 ALT_VALUE:108.204,17 ALT_VALUE:129.161,99 ALT_VALUE:19.308,49 ALT_VALUE:19.308,61 ALT_VALUE:2.160,98 ALT_VALUE:200.000,00 ALT_VALUE:25.242,98 ALT_VALUE:3.487,60 ALT_VALUE:3.728,97 ALT_VALUE:61.893,97 ALT_VALUE:62.400,25 ALT_VALUE:R$100.000,00 ALT_VALUE:R$12.500,00 ALT_VALUE:R$125.000,00 ALT_VALUE:R$2.472,22 ALT_VALUE:R$450.000,00 list prints no totals</t>
        </is>
      </c>
    </row>
    <row r="71">
      <c r="A71" s="17" t="inlineStr">
        <is>
          <t>CAIXA ECONOMICA FEDERAL</t>
        </is>
      </c>
      <c r="B71" s="18" t="n">
        <v>1776656.29</v>
      </c>
      <c r="C71" s="19" t="inlineStr">
        <is>
          <t>EQUIP SEG INTELIGÊNCIA EM SEGURANÇA LTDA. E EQUIP SEG SERVIÇOS ESPECIALIZADOS LTDA.</t>
        </is>
      </c>
      <c r="D71" s="20" t="inlineStr">
        <is>
          <t>NEW</t>
        </is>
      </c>
      <c r="E71" s="21" t="inlineStr"/>
      <c r="F71" s="20" t="inlineStr"/>
      <c r="G71" s="21" t="inlineStr"/>
      <c r="H71" s="20" t="inlineStr"/>
      <c r="I71" s="22" t="inlineStr">
        <is>
          <t>Livia Serikaku</t>
        </is>
      </c>
      <c r="J71" s="22" t="inlineStr">
        <is>
          <t>Gerente de Clientes e Negócios | Recuperação de Crédito</t>
        </is>
      </c>
      <c r="K71" s="22" t="inlineStr">
        <is>
          <t>(00) 4004-0104</t>
        </is>
      </c>
      <c r="L71" s="22" t="inlineStr"/>
      <c r="M71" s="22" t="inlineStr"/>
      <c r="N71" s="22" t="inlineStr"/>
      <c r="O71" s="22" t="inlineStr"/>
      <c r="P71" s="22" t="inlineStr">
        <is>
          <t>CARLOS ANTONIO VIEIRA FERNANDES</t>
        </is>
      </c>
      <c r="Q71" s="22" t="inlineStr">
        <is>
          <t>Presidente (RFB partner)</t>
        </is>
      </c>
      <c r="R71" s="22" t="inlineStr"/>
      <c r="S71" s="22" t="inlineStr"/>
      <c r="T71" s="22" t="inlineStr">
        <is>
          <t>DM: DM email unavailable; no work email in Apollo for DM</t>
        </is>
      </c>
      <c r="U71" s="24" t="n">
        <v>1776656.29</v>
      </c>
      <c r="V71" s="40" t="inlineStr">
        <is>
          <t>D</t>
        </is>
      </c>
      <c r="W71" s="26" t="inlineStr"/>
      <c r="X71" s="27" t="inlineStr"/>
      <c r="Y71" s="27" t="inlineStr"/>
      <c r="Z71" s="26">
        <f>IF(W71&lt;&gt;"",W71,IFERROR(VLOOKUP(V71,Assumptions!$A$8:$F$12,2,FALSE),0))</f>
        <v/>
      </c>
      <c r="AA71" s="28">
        <f>IF(V71="A",MAX(1,IF(X71&lt;&gt;"",X71,IFERROR(VLOOKUP(V71,Assumptions!$A$8:$F$12,3,FALSE),3))+IF(Y71&lt;&gt;"",Y71,IFERROR(VLOOKUP(V71,Assumptions!$A$8:$F$12,4,FALSE),8))/2-MAX(0,IF(AS71="",0,YEAR(TODAY())-AS71)-IFERROR(VLOOKUP(V71,Assumptions!$A$8:$F$12,5,FALSE),1.5))),IFERROR(VLOOKUP(V71,Assumptions!$A$8:$F$12,5,FALSE),2.5)+IF(X71&lt;&gt;"",X71,IFERROR(VLOOKUP(V71,Assumptions!$A$8:$F$12,3,FALSE),3))+IF(Y71&lt;&gt;"",Y71,IFERROR(VLOOKUP(V71,Assumptions!$A$8:$F$12,4,FALSE),8))/2)</f>
        <v/>
      </c>
      <c r="AB71" s="24">
        <f>U71*Z71/(1+Assumptions!$B$3)^AA71</f>
        <v/>
      </c>
      <c r="AC71" s="27">
        <f>IF(U71=0,"",ROUND(AB71/U71*100,1))</f>
        <v/>
      </c>
      <c r="AD71" s="29">
        <f>AB71*Assumptions!$B$4</f>
        <v/>
      </c>
      <c r="AE71" s="27">
        <f>IF(U71=0,"",ROUND(AD71/U71*100,1))</f>
        <v/>
      </c>
      <c r="AF71" s="29">
        <f>AB71-AD71</f>
        <v/>
      </c>
      <c r="AG71" s="27">
        <f>IF(U71=0,"",ROUND((AB71-AD71)/U71*100,1))</f>
        <v/>
      </c>
      <c r="AH71" s="34" t="inlineStr">
        <is>
          <t>NO TOTALS — list prints none; check page</t>
        </is>
      </c>
      <c r="AI71" s="31" t="inlineStr">
        <is>
          <t>https://bbsadvogados.com.br/wp-content/uploads/2025/04/Equipseg-Edital-Relacao-de-Credores-da-Administradora-Judicial-art.-7o2o-da-LRF.pdf</t>
        </is>
      </c>
      <c r="AJ71" s="30" t="inlineStr">
        <is>
          <t>p38 r11; p38 r12</t>
        </is>
      </c>
      <c r="AK71" s="30" t="inlineStr">
        <is>
          <t>p38: R$ 1.716.417,28; p38: R$ 60.239,01</t>
        </is>
      </c>
      <c r="AL71" s="30" t="inlineStr">
        <is>
          <t>AJ list (art. 7 §2)</t>
        </is>
      </c>
      <c r="AM71" s="30" t="inlineStr">
        <is>
          <t>2025-04-08</t>
        </is>
      </c>
      <c r="AN71" s="30" t="inlineStr">
        <is>
          <t>NONE FOUND</t>
        </is>
      </c>
      <c r="AO71" s="32" t="inlineStr">
        <is>
          <t>0033736-15.2023.8.16.0185</t>
        </is>
      </c>
      <c r="AP71" s="32" t="inlineStr">
        <is>
          <t>TJPR</t>
        </is>
      </c>
      <c r="AQ71" s="32" t="inlineStr">
        <is>
          <t>Falência</t>
        </is>
      </c>
      <c r="AR71" s="32" t="inlineStr">
        <is>
          <t>not in DataJud</t>
        </is>
      </c>
      <c r="AS71" s="32" t="n">
        <v>2023</v>
      </c>
      <c r="AT71" s="32" t="inlineStr">
        <is>
          <t>falência proceeding (list/name says falida)</t>
        </is>
      </c>
      <c r="AU71" s="32" t="inlineStr"/>
      <c r="AV71" s="32" t="inlineStr">
        <is>
          <t>printed on the list (read twice)</t>
        </is>
      </c>
      <c r="AW71" s="32" t="inlineStr"/>
      <c r="AX71" s="32" t="inlineStr">
        <is>
          <t>BRASILIA</t>
        </is>
      </c>
      <c r="AY71" s="32" t="inlineStr">
        <is>
          <t>DF</t>
        </is>
      </c>
      <c r="AZ71" s="32" t="inlineStr">
        <is>
          <t>Caixas econômicas</t>
        </is>
      </c>
      <c r="BA71" s="32" t="inlineStr">
        <is>
          <t>não ME/EPP</t>
        </is>
      </c>
      <c r="BB71" s="33" t="n">
        <v>105300000000</v>
      </c>
      <c r="BC71" s="32" t="inlineStr">
        <is>
          <t>LARGE CORP</t>
        </is>
      </c>
      <c r="BD71" s="32" t="inlineStr">
        <is>
          <t>00360305</t>
        </is>
      </c>
      <c r="BE71" s="32" t="n">
        <v>2</v>
      </c>
      <c r="BF71" s="32" t="inlineStr">
        <is>
          <t>list prints no totals</t>
        </is>
      </c>
    </row>
    <row r="72">
      <c r="A72" s="17" t="inlineStr">
        <is>
          <t>CAIXA ECONOMICA FEDERAL</t>
        </is>
      </c>
      <c r="B72" s="18" t="n">
        <v>236013.46</v>
      </c>
      <c r="C72" s="19" t="inlineStr">
        <is>
          <t>Grupo Gomiero</t>
        </is>
      </c>
      <c r="D72" s="20" t="inlineStr">
        <is>
          <t>NEW</t>
        </is>
      </c>
      <c r="E72" s="21" t="inlineStr"/>
      <c r="F72" s="20" t="inlineStr"/>
      <c r="G72" s="21" t="inlineStr"/>
      <c r="H72" s="20" t="inlineStr"/>
      <c r="I72" s="22" t="inlineStr">
        <is>
          <t>Livia Serikaku</t>
        </is>
      </c>
      <c r="J72" s="22" t="inlineStr">
        <is>
          <t>Gerente de Clientes e Negócios | Recuperação de Crédito</t>
        </is>
      </c>
      <c r="K72" s="22" t="inlineStr">
        <is>
          <t>(00) 4004-0104</t>
        </is>
      </c>
      <c r="L72" s="22" t="inlineStr"/>
      <c r="M72" s="22" t="inlineStr"/>
      <c r="N72" s="22" t="inlineStr"/>
      <c r="O72" s="22" t="inlineStr"/>
      <c r="P72" s="22" t="inlineStr">
        <is>
          <t>CARLOS ANTONIO VIEIRA FERNANDES</t>
        </is>
      </c>
      <c r="Q72" s="22" t="inlineStr">
        <is>
          <t>Presidente (RFB partner)</t>
        </is>
      </c>
      <c r="R72" s="22" t="inlineStr"/>
      <c r="S72" s="22" t="inlineStr"/>
      <c r="T72" s="22" t="inlineStr">
        <is>
          <t>DM: DM email unavailable; no work email in Apollo for DM</t>
        </is>
      </c>
      <c r="U72" s="24" t="n">
        <v>236013.46</v>
      </c>
      <c r="V72" s="25" t="inlineStr">
        <is>
          <t>B</t>
        </is>
      </c>
      <c r="W72" s="26" t="inlineStr"/>
      <c r="X72" s="27" t="inlineStr"/>
      <c r="Y72" s="27" t="inlineStr"/>
      <c r="Z72" s="26">
        <f>IF(W72&lt;&gt;"",W72,IFERROR(VLOOKUP(V72,Assumptions!$A$8:$F$12,2,FALSE),0))</f>
        <v/>
      </c>
      <c r="AA72" s="28">
        <f>IF(V72="A",MAX(1,IF(X72&lt;&gt;"",X72,IFERROR(VLOOKUP(V72,Assumptions!$A$8:$F$12,3,FALSE),3))+IF(Y72&lt;&gt;"",Y72,IFERROR(VLOOKUP(V72,Assumptions!$A$8:$F$12,4,FALSE),8))/2-MAX(0,IF(AS72="",0,YEAR(TODAY())-AS72)-IFERROR(VLOOKUP(V72,Assumptions!$A$8:$F$12,5,FALSE),1.5))),IFERROR(VLOOKUP(V72,Assumptions!$A$8:$F$12,5,FALSE),2.5)+IF(X72&lt;&gt;"",X72,IFERROR(VLOOKUP(V72,Assumptions!$A$8:$F$12,3,FALSE),3))+IF(Y72&lt;&gt;"",Y72,IFERROR(VLOOKUP(V72,Assumptions!$A$8:$F$12,4,FALSE),8))/2)</f>
        <v/>
      </c>
      <c r="AB72" s="24">
        <f>U72*Z72/(1+Assumptions!$B$3)^AA72</f>
        <v/>
      </c>
      <c r="AC72" s="27">
        <f>IF(U72=0,"",ROUND(AB72/U72*100,1))</f>
        <v/>
      </c>
      <c r="AD72" s="29">
        <f>AB72*Assumptions!$B$4</f>
        <v/>
      </c>
      <c r="AE72" s="27">
        <f>IF(U72=0,"",ROUND(AD72/U72*100,1))</f>
        <v/>
      </c>
      <c r="AF72" s="29">
        <f>AB72-AD72</f>
        <v/>
      </c>
      <c r="AG72" s="27">
        <f>IF(U72=0,"",ROUND((AB72-AD72)/U72*100,1))</f>
        <v/>
      </c>
      <c r="AH72" s="35" t="inlineStr">
        <is>
          <t>PARTIAL — class III reconciled, other classes not</t>
        </is>
      </c>
      <c r="AI72" s="31" t="inlineStr">
        <is>
          <t>https://marquesadmjudicial.com.br/sgc/download.php?file=files/processo_documento/processo_documento09391327032025_1_.pdf&amp;nome=Relação Nominal de Credores AJ</t>
        </is>
      </c>
      <c r="AJ72" s="30" t="inlineStr">
        <is>
          <t>p4 r6</t>
        </is>
      </c>
      <c r="AK72" s="30" t="inlineStr">
        <is>
          <t>p4: R$ 236.013,46</t>
        </is>
      </c>
      <c r="AL72" s="30" t="inlineStr">
        <is>
          <t>AJ list (art. 7 §2)</t>
        </is>
      </c>
      <c r="AM72" s="30" t="inlineStr">
        <is>
          <t>2025-03-21</t>
        </is>
      </c>
      <c r="AN72" s="30" t="inlineStr">
        <is>
          <t>NONE FOUND</t>
        </is>
      </c>
      <c r="AO72" s="32" t="inlineStr">
        <is>
          <t>0044747-14.2024.8.16.0021</t>
        </is>
      </c>
      <c r="AP72" s="32" t="inlineStr">
        <is>
          <t>TJPR</t>
        </is>
      </c>
      <c r="AQ72" s="32" t="inlineStr">
        <is>
          <t>Recuperação judicial</t>
        </is>
      </c>
      <c r="AR72" s="32" t="inlineStr">
        <is>
          <t>DataJud: no closure/falência movement</t>
        </is>
      </c>
      <c r="AS72" s="32" t="n">
        <v>2024</v>
      </c>
      <c r="AT72" s="32" t="inlineStr">
        <is>
          <t>live case, no plan document yet</t>
        </is>
      </c>
      <c r="AU72" s="32" t="inlineStr">
        <is>
          <t>57.650.709/0001-50</t>
        </is>
      </c>
      <c r="AV72" s="32" t="inlineStr">
        <is>
          <t>printed on the list (read twice)</t>
        </is>
      </c>
      <c r="AW72" s="32" t="inlineStr"/>
      <c r="AX72" s="32" t="inlineStr">
        <is>
          <t>BRASILIA</t>
        </is>
      </c>
      <c r="AY72" s="32" t="inlineStr">
        <is>
          <t>DF</t>
        </is>
      </c>
      <c r="AZ72" s="32" t="inlineStr">
        <is>
          <t>Caixas econômicas</t>
        </is>
      </c>
      <c r="BA72" s="32" t="inlineStr">
        <is>
          <t>não ME/EPP</t>
        </is>
      </c>
      <c r="BB72" s="33" t="n">
        <v>105300000000</v>
      </c>
      <c r="BC72" s="32" t="inlineStr">
        <is>
          <t>LARGE CORP</t>
        </is>
      </c>
      <c r="BD72" s="32" t="inlineStr">
        <is>
          <t>00360305</t>
        </is>
      </c>
      <c r="BE72" s="32" t="n">
        <v>1</v>
      </c>
      <c r="BF72" s="32" t="inlineStr">
        <is>
          <t>NAME_MISSING class III reconciled (doc partial)</t>
        </is>
      </c>
    </row>
    <row r="73">
      <c r="A73" s="17" t="inlineStr">
        <is>
          <t>CAIXA ECONOMICA FEDERAL</t>
        </is>
      </c>
      <c r="B73" s="18" t="n">
        <v>227255.82</v>
      </c>
      <c r="C73" s="19" t="inlineStr">
        <is>
          <t>GRUPO CEAM</t>
        </is>
      </c>
      <c r="D73" s="20" t="inlineStr">
        <is>
          <t>NEW</t>
        </is>
      </c>
      <c r="E73" s="21" t="inlineStr"/>
      <c r="F73" s="20" t="inlineStr"/>
      <c r="G73" s="21" t="inlineStr"/>
      <c r="H73" s="20" t="inlineStr"/>
      <c r="I73" s="22" t="inlineStr">
        <is>
          <t>Livia Serikaku</t>
        </is>
      </c>
      <c r="J73" s="22" t="inlineStr">
        <is>
          <t>Gerente de Clientes e Negócios | Recuperação de Crédito</t>
        </is>
      </c>
      <c r="K73" s="22" t="inlineStr">
        <is>
          <t>(00) 4004-0104</t>
        </is>
      </c>
      <c r="L73" s="22" t="inlineStr"/>
      <c r="M73" s="22" t="inlineStr"/>
      <c r="N73" s="22" t="inlineStr"/>
      <c r="O73" s="22" t="inlineStr"/>
      <c r="P73" s="22" t="inlineStr">
        <is>
          <t>CARLOS ANTONIO VIEIRA FERNANDES</t>
        </is>
      </c>
      <c r="Q73" s="22" t="inlineStr">
        <is>
          <t>Presidente (RFB partner)</t>
        </is>
      </c>
      <c r="R73" s="22" t="inlineStr"/>
      <c r="S73" s="22" t="inlineStr"/>
      <c r="T73" s="22" t="inlineStr">
        <is>
          <t>DM: DM email unavailable; no work email in Apollo for DM</t>
        </is>
      </c>
      <c r="U73" s="24" t="n">
        <v>227255.82</v>
      </c>
      <c r="V73" s="25" t="inlineStr">
        <is>
          <t>B</t>
        </is>
      </c>
      <c r="W73" s="26" t="inlineStr"/>
      <c r="X73" s="27" t="inlineStr"/>
      <c r="Y73" s="27" t="inlineStr"/>
      <c r="Z73" s="26">
        <f>IF(W73&lt;&gt;"",W73,IFERROR(VLOOKUP(V73,Assumptions!$A$8:$F$12,2,FALSE),0))</f>
        <v/>
      </c>
      <c r="AA73" s="28">
        <f>IF(V73="A",MAX(1,IF(X73&lt;&gt;"",X73,IFERROR(VLOOKUP(V73,Assumptions!$A$8:$F$12,3,FALSE),3))+IF(Y73&lt;&gt;"",Y73,IFERROR(VLOOKUP(V73,Assumptions!$A$8:$F$12,4,FALSE),8))/2-MAX(0,IF(AS73="",0,YEAR(TODAY())-AS73)-IFERROR(VLOOKUP(V73,Assumptions!$A$8:$F$12,5,FALSE),1.5))),IFERROR(VLOOKUP(V73,Assumptions!$A$8:$F$12,5,FALSE),2.5)+IF(X73&lt;&gt;"",X73,IFERROR(VLOOKUP(V73,Assumptions!$A$8:$F$12,3,FALSE),3))+IF(Y73&lt;&gt;"",Y73,IFERROR(VLOOKUP(V73,Assumptions!$A$8:$F$12,4,FALSE),8))/2)</f>
        <v/>
      </c>
      <c r="AB73" s="24">
        <f>U73*Z73/(1+Assumptions!$B$3)^AA73</f>
        <v/>
      </c>
      <c r="AC73" s="27">
        <f>IF(U73=0,"",ROUND(AB73/U73*100,1))</f>
        <v/>
      </c>
      <c r="AD73" s="29">
        <f>AB73*Assumptions!$B$4</f>
        <v/>
      </c>
      <c r="AE73" s="27">
        <f>IF(U73=0,"",ROUND(AD73/U73*100,1))</f>
        <v/>
      </c>
      <c r="AF73" s="29">
        <f>AB73-AD73</f>
        <v/>
      </c>
      <c r="AG73" s="27">
        <f>IF(U73=0,"",ROUND((AB73-AD73)/U73*100,1))</f>
        <v/>
      </c>
      <c r="AH73" s="30" t="inlineStr">
        <is>
          <t>OK — totals reconciled</t>
        </is>
      </c>
      <c r="AI73" s="31" t="inlineStr">
        <is>
          <t>https://recuperasolucoes.com/wp-content/plugins/download-attachments/includes/download.php?id=1492</t>
        </is>
      </c>
      <c r="AJ73" s="30" t="inlineStr">
        <is>
          <t>p5 r55</t>
        </is>
      </c>
      <c r="AK73" s="30" t="inlineStr">
        <is>
          <t>p5: R$ 227.255,82</t>
        </is>
      </c>
      <c r="AL73" s="30" t="inlineStr">
        <is>
          <t>AJ list (art. 7 §2)</t>
        </is>
      </c>
      <c r="AM73" s="30" t="inlineStr">
        <is>
          <t>2025-09-12</t>
        </is>
      </c>
      <c r="AN73" s="30" t="inlineStr">
        <is>
          <t>NONE FOUND</t>
        </is>
      </c>
      <c r="AO73" s="32" t="inlineStr">
        <is>
          <t>0133628-14.2024.8.17.2001</t>
        </is>
      </c>
      <c r="AP73" s="32" t="inlineStr">
        <is>
          <t>TJPE</t>
        </is>
      </c>
      <c r="AQ73" s="32" t="inlineStr">
        <is>
          <t>Recuperação judicial</t>
        </is>
      </c>
      <c r="AR73" s="32" t="inlineStr">
        <is>
          <t>DataJud: no closure/falência movement</t>
        </is>
      </c>
      <c r="AS73" s="32" t="n">
        <v>2024</v>
      </c>
      <c r="AT73" s="32" t="inlineStr">
        <is>
          <t>live case, no plan document yet</t>
        </is>
      </c>
      <c r="AU73" s="32" t="inlineStr">
        <is>
          <t>32.525.567/0001-78</t>
        </is>
      </c>
      <c r="AV73" s="32" t="inlineStr">
        <is>
          <t>printed on the list (read twice)</t>
        </is>
      </c>
      <c r="AW73" s="32" t="inlineStr"/>
      <c r="AX73" s="32" t="inlineStr">
        <is>
          <t>BRASILIA</t>
        </is>
      </c>
      <c r="AY73" s="32" t="inlineStr">
        <is>
          <t>DF</t>
        </is>
      </c>
      <c r="AZ73" s="32" t="inlineStr">
        <is>
          <t>Caixas econômicas</t>
        </is>
      </c>
      <c r="BA73" s="32" t="inlineStr">
        <is>
          <t>não ME/EPP</t>
        </is>
      </c>
      <c r="BB73" s="33" t="n">
        <v>105300000000</v>
      </c>
      <c r="BC73" s="32" t="inlineStr">
        <is>
          <t>LARGE CORP</t>
        </is>
      </c>
      <c r="BD73" s="32" t="inlineStr">
        <is>
          <t>00360305</t>
        </is>
      </c>
      <c r="BE73" s="32" t="n">
        <v>1</v>
      </c>
      <c r="BF73" s="32" t="inlineStr">
        <is>
          <t>financial by name</t>
        </is>
      </c>
    </row>
    <row r="74">
      <c r="A74" s="17" t="inlineStr">
        <is>
          <t>BANCO DO BRASIL SA</t>
        </is>
      </c>
      <c r="B74" s="18" t="n">
        <v>879178</v>
      </c>
      <c r="C74" s="19" t="inlineStr">
        <is>
          <t>Roque Materiais para Construção</t>
        </is>
      </c>
      <c r="D74" s="20" t="inlineStr">
        <is>
          <t>NEW</t>
        </is>
      </c>
      <c r="E74" s="21" t="inlineStr"/>
      <c r="F74" s="20" t="inlineStr"/>
      <c r="G74" s="21" t="inlineStr"/>
      <c r="H74" s="20" t="inlineStr"/>
      <c r="I74" s="22" t="inlineStr">
        <is>
          <t>Thiago Cavichioli</t>
        </is>
      </c>
      <c r="J74" s="22" t="inlineStr">
        <is>
          <t>Gerente de Cobrança e Recuperação de Crédito</t>
        </is>
      </c>
      <c r="K74" s="22" t="inlineStr">
        <is>
          <t>(61) 3493-9002</t>
        </is>
      </c>
      <c r="L74" s="22" t="inlineStr"/>
      <c r="M74" s="22" t="inlineStr"/>
      <c r="N74" s="22" t="inlineStr">
        <is>
          <t>thiago.cavichioli@bb.com.br</t>
        </is>
      </c>
      <c r="O74" s="22" t="inlineStr">
        <is>
          <t>verified</t>
        </is>
      </c>
      <c r="P74" s="22" t="inlineStr">
        <is>
          <t>Suelen Mondador</t>
        </is>
      </c>
      <c r="Q74" s="22" t="inlineStr">
        <is>
          <t>Gerente Especialista em Recuperação de Crédito</t>
        </is>
      </c>
      <c r="R74" s="22" t="inlineStr"/>
      <c r="S74" s="22" t="inlineStr">
        <is>
          <t>suelenmondador@bb.com.br</t>
        </is>
      </c>
      <c r="T74" s="22" t="inlineStr">
        <is>
          <t>DM: DM verified email; BACKUP: backup verified email</t>
        </is>
      </c>
      <c r="U74" s="24" t="n">
        <v>879178</v>
      </c>
      <c r="V74" s="39" t="inlineStr">
        <is>
          <t>C</t>
        </is>
      </c>
      <c r="W74" s="26" t="inlineStr"/>
      <c r="X74" s="27" t="inlineStr"/>
      <c r="Y74" s="27" t="inlineStr"/>
      <c r="Z74" s="26">
        <f>IF(W74&lt;&gt;"",W74,IFERROR(VLOOKUP(V74,Assumptions!$A$8:$F$12,2,FALSE),0))</f>
        <v/>
      </c>
      <c r="AA74" s="28">
        <f>IF(V74="A",MAX(1,IF(X74&lt;&gt;"",X74,IFERROR(VLOOKUP(V74,Assumptions!$A$8:$F$12,3,FALSE),3))+IF(Y74&lt;&gt;"",Y74,IFERROR(VLOOKUP(V74,Assumptions!$A$8:$F$12,4,FALSE),8))/2-MAX(0,IF(AS74="",0,YEAR(TODAY())-AS74)-IFERROR(VLOOKUP(V74,Assumptions!$A$8:$F$12,5,FALSE),1.5))),IFERROR(VLOOKUP(V74,Assumptions!$A$8:$F$12,5,FALSE),2.5)+IF(X74&lt;&gt;"",X74,IFERROR(VLOOKUP(V74,Assumptions!$A$8:$F$12,3,FALSE),3))+IF(Y74&lt;&gt;"",Y74,IFERROR(VLOOKUP(V74,Assumptions!$A$8:$F$12,4,FALSE),8))/2)</f>
        <v/>
      </c>
      <c r="AB74" s="24">
        <f>U74*Z74/(1+Assumptions!$B$3)^AA74</f>
        <v/>
      </c>
      <c r="AC74" s="27">
        <f>IF(U74=0,"",ROUND(AB74/U74*100,1))</f>
        <v/>
      </c>
      <c r="AD74" s="29">
        <f>AB74*Assumptions!$B$4</f>
        <v/>
      </c>
      <c r="AE74" s="27">
        <f>IF(U74=0,"",ROUND(AD74/U74*100,1))</f>
        <v/>
      </c>
      <c r="AF74" s="29">
        <f>AB74-AD74</f>
        <v/>
      </c>
      <c r="AG74" s="27">
        <f>IF(U74=0,"",ROUND((AB74-AD74)/U74*100,1))</f>
        <v/>
      </c>
      <c r="AH74" s="30" t="inlineStr">
        <is>
          <t>OK — totals reconciled</t>
        </is>
      </c>
      <c r="AI74" s="31" t="inlineStr">
        <is>
          <t>https://realbrasil.com.br/wp-content/uploads/2018/06/2_LISTA-DE-CREDORES-DA-RECUPERANDA_ROQUE.pdf</t>
        </is>
      </c>
      <c r="AJ74" s="30" t="inlineStr">
        <is>
          <t>p2 r4</t>
        </is>
      </c>
      <c r="AK74" s="30" t="inlineStr">
        <is>
          <t>p2: R$ 879.178,00</t>
        </is>
      </c>
      <c r="AL74" s="30" t="inlineStr">
        <is>
          <t>Unclassified list</t>
        </is>
      </c>
      <c r="AM74" s="30" t="inlineStr"/>
      <c r="AN74" s="30" t="inlineStr">
        <is>
          <t>NONE FOUND</t>
        </is>
      </c>
      <c r="AO74" s="32" t="inlineStr">
        <is>
          <t>0802426-35.2019.8.10.0000</t>
        </is>
      </c>
      <c r="AP74" s="32" t="inlineStr">
        <is>
          <t>TJMA</t>
        </is>
      </c>
      <c r="AQ74" s="32" t="inlineStr"/>
      <c r="AR74" s="32" t="inlineStr">
        <is>
          <t>not in DataJud</t>
        </is>
      </c>
      <c r="AS74" s="32" t="n">
        <v>2019</v>
      </c>
      <c r="AT74" s="32" t="inlineStr">
        <is>
          <t>7y since filing; plan not in our documents; case no. from the portal record, not printed on the list</t>
        </is>
      </c>
      <c r="AU74" s="32" t="inlineStr"/>
      <c r="AV74" s="32" t="inlineStr">
        <is>
          <t>portal page title / URL — not printed on the list</t>
        </is>
      </c>
      <c r="AW74" s="32" t="inlineStr"/>
      <c r="AX74" s="32" t="inlineStr">
        <is>
          <t>BRASILIA</t>
        </is>
      </c>
      <c r="AY74" s="32" t="inlineStr">
        <is>
          <t>DF</t>
        </is>
      </c>
      <c r="AZ74" s="32" t="inlineStr">
        <is>
          <t>Bancos múltiplos, com carteira comercial</t>
        </is>
      </c>
      <c r="BA74" s="32" t="inlineStr">
        <is>
          <t>não ME/EPP</t>
        </is>
      </c>
      <c r="BB74" s="33" t="n">
        <v>120000000000</v>
      </c>
      <c r="BC74" s="32" t="inlineStr">
        <is>
          <t>LARGE CORP</t>
        </is>
      </c>
      <c r="BD74" s="32" t="inlineStr">
        <is>
          <t>00000000</t>
        </is>
      </c>
      <c r="BE74" s="32" t="n">
        <v>1</v>
      </c>
      <c r="BF74" s="32" t="inlineStr"/>
    </row>
    <row r="75">
      <c r="A75" s="17" t="inlineStr">
        <is>
          <t>CAIXA ECONOMICA FEDERAL</t>
        </is>
      </c>
      <c r="B75" s="18" t="n">
        <v>1361785.37</v>
      </c>
      <c r="C75" s="19" t="inlineStr">
        <is>
          <t>MUNDO BIZARRO IMPORTACAO E EXPORTACAO LTDA</t>
        </is>
      </c>
      <c r="D75" s="20" t="inlineStr">
        <is>
          <t>NEW</t>
        </is>
      </c>
      <c r="E75" s="21" t="inlineStr"/>
      <c r="F75" s="20" t="inlineStr"/>
      <c r="G75" s="21" t="inlineStr"/>
      <c r="H75" s="20" t="inlineStr"/>
      <c r="I75" s="22" t="inlineStr">
        <is>
          <t>Livia Serikaku</t>
        </is>
      </c>
      <c r="J75" s="22" t="inlineStr">
        <is>
          <t>Gerente de Clientes e Negócios | Recuperação de Crédito</t>
        </is>
      </c>
      <c r="K75" s="22" t="inlineStr">
        <is>
          <t>(00) 4004-0104</t>
        </is>
      </c>
      <c r="L75" s="22" t="inlineStr"/>
      <c r="M75" s="22" t="inlineStr"/>
      <c r="N75" s="22" t="inlineStr"/>
      <c r="O75" s="22" t="inlineStr"/>
      <c r="P75" s="22" t="inlineStr">
        <is>
          <t>CARLOS ANTONIO VIEIRA FERNANDES</t>
        </is>
      </c>
      <c r="Q75" s="22" t="inlineStr">
        <is>
          <t>Presidente (RFB partner)</t>
        </is>
      </c>
      <c r="R75" s="22" t="inlineStr"/>
      <c r="S75" s="22" t="inlineStr"/>
      <c r="T75" s="22" t="inlineStr">
        <is>
          <t>DM: DM email unavailable; no work email in Apollo for DM</t>
        </is>
      </c>
      <c r="U75" s="24" t="n">
        <v>1361785.37</v>
      </c>
      <c r="V75" s="40" t="inlineStr">
        <is>
          <t>D</t>
        </is>
      </c>
      <c r="W75" s="26" t="inlineStr"/>
      <c r="X75" s="27" t="inlineStr"/>
      <c r="Y75" s="27" t="inlineStr"/>
      <c r="Z75" s="26">
        <f>IF(W75&lt;&gt;"",W75,IFERROR(VLOOKUP(V75,Assumptions!$A$8:$F$12,2,FALSE),0))</f>
        <v/>
      </c>
      <c r="AA75" s="28">
        <f>IF(V75="A",MAX(1,IF(X75&lt;&gt;"",X75,IFERROR(VLOOKUP(V75,Assumptions!$A$8:$F$12,3,FALSE),3))+IF(Y75&lt;&gt;"",Y75,IFERROR(VLOOKUP(V75,Assumptions!$A$8:$F$12,4,FALSE),8))/2-MAX(0,IF(AS75="",0,YEAR(TODAY())-AS75)-IFERROR(VLOOKUP(V75,Assumptions!$A$8:$F$12,5,FALSE),1.5))),IFERROR(VLOOKUP(V75,Assumptions!$A$8:$F$12,5,FALSE),2.5)+IF(X75&lt;&gt;"",X75,IFERROR(VLOOKUP(V75,Assumptions!$A$8:$F$12,3,FALSE),3))+IF(Y75&lt;&gt;"",Y75,IFERROR(VLOOKUP(V75,Assumptions!$A$8:$F$12,4,FALSE),8))/2)</f>
        <v/>
      </c>
      <c r="AB75" s="24">
        <f>U75*Z75/(1+Assumptions!$B$3)^AA75</f>
        <v/>
      </c>
      <c r="AC75" s="27">
        <f>IF(U75=0,"",ROUND(AB75/U75*100,1))</f>
        <v/>
      </c>
      <c r="AD75" s="29">
        <f>AB75*Assumptions!$B$4</f>
        <v/>
      </c>
      <c r="AE75" s="27">
        <f>IF(U75=0,"",ROUND(AD75/U75*100,1))</f>
        <v/>
      </c>
      <c r="AF75" s="29">
        <f>AB75-AD75</f>
        <v/>
      </c>
      <c r="AG75" s="27">
        <f>IF(U75=0,"",ROUND((AB75-AD75)/U75*100,1))</f>
        <v/>
      </c>
      <c r="AH75" s="34" t="inlineStr">
        <is>
          <t>NO TOTALS — list prints none; check page</t>
        </is>
      </c>
      <c r="AI75" s="31" t="inlineStr">
        <is>
          <t>https://administradorajudicialgs.com.br/wp-content/uploads/2024/10/relacao-de-credores-e-verificacao-de-credito-2025.pdf</t>
        </is>
      </c>
      <c r="AJ75" s="30" t="inlineStr">
        <is>
          <t>p16 r4; p17 r3</t>
        </is>
      </c>
      <c r="AK75" s="30" t="inlineStr">
        <is>
          <t>[rows shown ≠ face] p16: R$ 1.361.785,37; p17: R$ 1.361.785,37</t>
        </is>
      </c>
      <c r="AL75" s="30" t="inlineStr">
        <is>
          <t>AJ list (art. 7 §2)</t>
        </is>
      </c>
      <c r="AM75" s="30" t="inlineStr">
        <is>
          <t>2025-04-24</t>
        </is>
      </c>
      <c r="AN75" s="30" t="inlineStr">
        <is>
          <t>NONE FOUND</t>
        </is>
      </c>
      <c r="AO75" s="32" t="inlineStr">
        <is>
          <t>5100227-29.2022.8.24.0023</t>
        </is>
      </c>
      <c r="AP75" s="32" t="inlineStr">
        <is>
          <t>TJSC</t>
        </is>
      </c>
      <c r="AQ75" s="32" t="inlineStr">
        <is>
          <t>Falência</t>
        </is>
      </c>
      <c r="AR75" s="32" t="inlineStr">
        <is>
          <t>not in DataJud</t>
        </is>
      </c>
      <c r="AS75" s="32" t="n">
        <v>2022</v>
      </c>
      <c r="AT75" s="32" t="inlineStr">
        <is>
          <t>falência proceeding (list/name says falida)</t>
        </is>
      </c>
      <c r="AU75" s="32" t="inlineStr">
        <is>
          <t>05.316.275/0001-52</t>
        </is>
      </c>
      <c r="AV75" s="32" t="inlineStr">
        <is>
          <t>printed on the list (read twice)</t>
        </is>
      </c>
      <c r="AW75" s="32" t="inlineStr"/>
      <c r="AX75" s="32" t="inlineStr">
        <is>
          <t>BRASILIA</t>
        </is>
      </c>
      <c r="AY75" s="32" t="inlineStr">
        <is>
          <t>DF</t>
        </is>
      </c>
      <c r="AZ75" s="32" t="inlineStr">
        <is>
          <t>Caixas econômicas</t>
        </is>
      </c>
      <c r="BA75" s="32" t="inlineStr">
        <is>
          <t>não ME/EPP</t>
        </is>
      </c>
      <c r="BB75" s="33" t="n">
        <v>105300000000</v>
      </c>
      <c r="BC75" s="32" t="inlineStr">
        <is>
          <t>LARGE CORP</t>
        </is>
      </c>
      <c r="BD75" s="32" t="inlineStr">
        <is>
          <t>00360305</t>
        </is>
      </c>
      <c r="BE75" s="32" t="n">
        <v>1</v>
      </c>
      <c r="BF75" s="32" t="inlineStr">
        <is>
          <t>list prints no totals</t>
        </is>
      </c>
    </row>
    <row r="76">
      <c r="A76" s="17" t="inlineStr">
        <is>
          <t>BANCO DO ESTADO DO RIO GRANDE DO SUL S/A</t>
        </is>
      </c>
      <c r="B76" s="18" t="n">
        <v>1306689.43</v>
      </c>
      <c r="C76" s="19" t="inlineStr">
        <is>
          <t>Mannes</t>
        </is>
      </c>
      <c r="D76" s="20" t="inlineStr">
        <is>
          <t>NEW</t>
        </is>
      </c>
      <c r="E76" s="21" t="inlineStr"/>
      <c r="F76" s="20" t="inlineStr"/>
      <c r="G76" s="21" t="inlineStr"/>
      <c r="H76" s="20" t="inlineStr"/>
      <c r="I76" s="22" t="inlineStr"/>
      <c r="J76" s="22" t="inlineStr"/>
      <c r="K76" s="22" t="inlineStr"/>
      <c r="L76" s="22" t="inlineStr"/>
      <c r="M76" s="22" t="inlineStr"/>
      <c r="N76" s="22" t="inlineStr"/>
      <c r="O76" s="22" t="inlineStr"/>
      <c r="P76" s="22" t="inlineStr"/>
      <c r="Q76" s="22" t="inlineStr"/>
      <c r="R76" s="22" t="inlineStr"/>
      <c r="S76" s="22" t="inlineStr"/>
      <c r="T76" s="22" t="inlineStr">
        <is>
          <t>no named contact found; NO ROUTE IN: no phone or email on file</t>
        </is>
      </c>
      <c r="U76" s="24" t="n">
        <v>1306689.43</v>
      </c>
      <c r="V76" s="40" t="inlineStr">
        <is>
          <t>D</t>
        </is>
      </c>
      <c r="W76" s="26" t="inlineStr"/>
      <c r="X76" s="27" t="inlineStr"/>
      <c r="Y76" s="27" t="inlineStr"/>
      <c r="Z76" s="26">
        <f>IF(W76&lt;&gt;"",W76,IFERROR(VLOOKUP(V76,Assumptions!$A$8:$F$12,2,FALSE),0))</f>
        <v/>
      </c>
      <c r="AA76" s="28">
        <f>IF(V76="A",MAX(1,IF(X76&lt;&gt;"",X76,IFERROR(VLOOKUP(V76,Assumptions!$A$8:$F$12,3,FALSE),3))+IF(Y76&lt;&gt;"",Y76,IFERROR(VLOOKUP(V76,Assumptions!$A$8:$F$12,4,FALSE),8))/2-MAX(0,IF(AS76="",0,YEAR(TODAY())-AS76)-IFERROR(VLOOKUP(V76,Assumptions!$A$8:$F$12,5,FALSE),1.5))),IFERROR(VLOOKUP(V76,Assumptions!$A$8:$F$12,5,FALSE),2.5)+IF(X76&lt;&gt;"",X76,IFERROR(VLOOKUP(V76,Assumptions!$A$8:$F$12,3,FALSE),3))+IF(Y76&lt;&gt;"",Y76,IFERROR(VLOOKUP(V76,Assumptions!$A$8:$F$12,4,FALSE),8))/2)</f>
        <v/>
      </c>
      <c r="AB76" s="24">
        <f>U76*Z76/(1+Assumptions!$B$3)^AA76</f>
        <v/>
      </c>
      <c r="AC76" s="27">
        <f>IF(U76=0,"",ROUND(AB76/U76*100,1))</f>
        <v/>
      </c>
      <c r="AD76" s="29">
        <f>AB76*Assumptions!$B$4</f>
        <v/>
      </c>
      <c r="AE76" s="27">
        <f>IF(U76=0,"",ROUND(AD76/U76*100,1))</f>
        <v/>
      </c>
      <c r="AF76" s="29">
        <f>AB76-AD76</f>
        <v/>
      </c>
      <c r="AG76" s="27">
        <f>IF(U76=0,"",ROUND((AB76-AD76)/U76*100,1))</f>
        <v/>
      </c>
      <c r="AH76" s="36" t="inlineStr">
        <is>
          <t>CHECK — source is not a statutory creditor list</t>
        </is>
      </c>
      <c r="AI76" s="31" t="inlineStr">
        <is>
          <t>https://administradorajudicialgs.com.br/wp-content/uploads/2024/12/relacao-de-credores-da-falida.pdf</t>
        </is>
      </c>
      <c r="AJ76" s="30" t="inlineStr">
        <is>
          <t>p13 r5</t>
        </is>
      </c>
      <c r="AK76" s="30" t="inlineStr">
        <is>
          <t>p13: R$ 1.306.689,43</t>
        </is>
      </c>
      <c r="AL76" s="30" t="inlineStr">
        <is>
          <t>Other filing — NOT an art. 7/51 list</t>
        </is>
      </c>
      <c r="AM76" s="30" t="inlineStr">
        <is>
          <t>2025-03-25</t>
        </is>
      </c>
      <c r="AN76" s="30" t="inlineStr">
        <is>
          <t>NONE FOUND</t>
        </is>
      </c>
      <c r="AO76" s="32" t="inlineStr">
        <is>
          <t>0005010-50.2013.8.24.0026</t>
        </is>
      </c>
      <c r="AP76" s="32" t="inlineStr">
        <is>
          <t>TJSC</t>
        </is>
      </c>
      <c r="AQ76" s="32" t="inlineStr">
        <is>
          <t>Falência</t>
        </is>
      </c>
      <c r="AR76" s="32" t="inlineStr">
        <is>
          <t>not in DataJud</t>
        </is>
      </c>
      <c r="AS76" s="32" t="n">
        <v>2013</v>
      </c>
      <c r="AT76" s="32" t="inlineStr">
        <is>
          <t>falência proceeding (list/name says falida)</t>
        </is>
      </c>
      <c r="AU76" s="32" t="inlineStr"/>
      <c r="AV76" s="32" t="inlineStr">
        <is>
          <t>printed on the list (read twice)</t>
        </is>
      </c>
      <c r="AW76" s="32" t="inlineStr"/>
      <c r="AX76" s="32" t="inlineStr"/>
      <c r="AY76" s="32" t="inlineStr"/>
      <c r="AZ76" s="32" t="inlineStr"/>
      <c r="BA76" s="32" t="inlineStr"/>
      <c r="BB76" s="33" t="inlineStr"/>
      <c r="BC76" s="32" t="inlineStr">
        <is>
          <t>UNKNOWN</t>
        </is>
      </c>
      <c r="BD76" s="32" t="inlineStr">
        <is>
          <t>92702067</t>
        </is>
      </c>
      <c r="BE76" s="32" t="n">
        <v>1</v>
      </c>
      <c r="BF76" s="32" t="inlineStr">
        <is>
          <t>financial by name public by name list prints no totals case no. corrected by reader no RFB record no route in</t>
        </is>
      </c>
    </row>
    <row r="77">
      <c r="A77" s="17" t="inlineStr">
        <is>
          <t>CAIXA ECONOMICA FEDERAL</t>
        </is>
      </c>
      <c r="B77" s="18" t="n">
        <v>612992.66</v>
      </c>
      <c r="C77" s="19" t="inlineStr">
        <is>
          <t>DICARLO Móveis e Acessórios para Casa e Lojas Ltda</t>
        </is>
      </c>
      <c r="D77" s="20" t="inlineStr">
        <is>
          <t>NEW</t>
        </is>
      </c>
      <c r="E77" s="21" t="inlineStr"/>
      <c r="F77" s="20" t="inlineStr"/>
      <c r="G77" s="21" t="inlineStr"/>
      <c r="H77" s="20" t="inlineStr"/>
      <c r="I77" s="22" t="inlineStr">
        <is>
          <t>Livia Serikaku</t>
        </is>
      </c>
      <c r="J77" s="22" t="inlineStr">
        <is>
          <t>Gerente de Clientes e Negócios | Recuperação de Crédito</t>
        </is>
      </c>
      <c r="K77" s="22" t="inlineStr">
        <is>
          <t>(00) 4004-0104</t>
        </is>
      </c>
      <c r="L77" s="22" t="inlineStr"/>
      <c r="M77" s="22" t="inlineStr"/>
      <c r="N77" s="22" t="inlineStr"/>
      <c r="O77" s="22" t="inlineStr"/>
      <c r="P77" s="22" t="inlineStr">
        <is>
          <t>CARLOS ANTONIO VIEIRA FERNANDES</t>
        </is>
      </c>
      <c r="Q77" s="22" t="inlineStr">
        <is>
          <t>Presidente (RFB partner)</t>
        </is>
      </c>
      <c r="R77" s="22" t="inlineStr"/>
      <c r="S77" s="22" t="inlineStr"/>
      <c r="T77" s="22" t="inlineStr">
        <is>
          <t>DM: DM email unavailable; no work email in Apollo for DM</t>
        </is>
      </c>
      <c r="U77" s="24" t="n">
        <v>612992.66</v>
      </c>
      <c r="V77" s="39" t="inlineStr">
        <is>
          <t>C</t>
        </is>
      </c>
      <c r="W77" s="26" t="inlineStr"/>
      <c r="X77" s="27" t="inlineStr"/>
      <c r="Y77" s="27" t="inlineStr"/>
      <c r="Z77" s="26">
        <f>IF(W77&lt;&gt;"",W77,IFERROR(VLOOKUP(V77,Assumptions!$A$8:$F$12,2,FALSE),0))</f>
        <v/>
      </c>
      <c r="AA77" s="28">
        <f>IF(V77="A",MAX(1,IF(X77&lt;&gt;"",X77,IFERROR(VLOOKUP(V77,Assumptions!$A$8:$F$12,3,FALSE),3))+IF(Y77&lt;&gt;"",Y77,IFERROR(VLOOKUP(V77,Assumptions!$A$8:$F$12,4,FALSE),8))/2-MAX(0,IF(AS77="",0,YEAR(TODAY())-AS77)-IFERROR(VLOOKUP(V77,Assumptions!$A$8:$F$12,5,FALSE),1.5))),IFERROR(VLOOKUP(V77,Assumptions!$A$8:$F$12,5,FALSE),2.5)+IF(X77&lt;&gt;"",X77,IFERROR(VLOOKUP(V77,Assumptions!$A$8:$F$12,3,FALSE),3))+IF(Y77&lt;&gt;"",Y77,IFERROR(VLOOKUP(V77,Assumptions!$A$8:$F$12,4,FALSE),8))/2)</f>
        <v/>
      </c>
      <c r="AB77" s="24">
        <f>U77*Z77/(1+Assumptions!$B$3)^AA77</f>
        <v/>
      </c>
      <c r="AC77" s="27">
        <f>IF(U77=0,"",ROUND(AB77/U77*100,1))</f>
        <v/>
      </c>
      <c r="AD77" s="29">
        <f>AB77*Assumptions!$B$4</f>
        <v/>
      </c>
      <c r="AE77" s="27">
        <f>IF(U77=0,"",ROUND(AD77/U77*100,1))</f>
        <v/>
      </c>
      <c r="AF77" s="29">
        <f>AB77-AD77</f>
        <v/>
      </c>
      <c r="AG77" s="27">
        <f>IF(U77=0,"",ROUND((AB77-AD77)/U77*100,1))</f>
        <v/>
      </c>
      <c r="AH77" s="34" t="inlineStr">
        <is>
          <t>NO TOTALS — list prints none; check page</t>
        </is>
      </c>
      <c r="AI77" s="31" t="inlineStr">
        <is>
          <t>https://administradorajudicialgs.com.br/wp-content/uploads/2023/08/edital-quadro-geral-de-credores.pdf</t>
        </is>
      </c>
      <c r="AJ77" s="30" t="inlineStr">
        <is>
          <t>p2 r19</t>
        </is>
      </c>
      <c r="AK77" s="30" t="inlineStr">
        <is>
          <t>p2: R$ 612.992,66</t>
        </is>
      </c>
      <c r="AL77" s="30" t="inlineStr">
        <is>
          <t>QGC (art. 18)</t>
        </is>
      </c>
      <c r="AM77" s="30" t="inlineStr">
        <is>
          <t>2024-07-05</t>
        </is>
      </c>
      <c r="AN77" s="30" t="inlineStr">
        <is>
          <t>NONE FOUND</t>
        </is>
      </c>
      <c r="AO77" s="32" t="inlineStr">
        <is>
          <t>0301015-33.2016.8.24.0031</t>
        </is>
      </c>
      <c r="AP77" s="32" t="inlineStr">
        <is>
          <t>TJSC</t>
        </is>
      </c>
      <c r="AQ77" s="32" t="inlineStr">
        <is>
          <t>Recuperação judicial</t>
        </is>
      </c>
      <c r="AR77" s="32" t="inlineStr">
        <is>
          <t>not in DataJud</t>
        </is>
      </c>
      <c r="AS77" s="32" t="n">
        <v>2016</v>
      </c>
      <c r="AT77" s="32" t="inlineStr">
        <is>
          <t>10y since filing; plan not in our documents</t>
        </is>
      </c>
      <c r="AU77" s="32" t="inlineStr">
        <is>
          <t>01.314.776/0001-49</t>
        </is>
      </c>
      <c r="AV77" s="32" t="inlineStr">
        <is>
          <t>printed on the list (read twice)</t>
        </is>
      </c>
      <c r="AW77" s="32" t="inlineStr"/>
      <c r="AX77" s="32" t="inlineStr">
        <is>
          <t>BRASILIA</t>
        </is>
      </c>
      <c r="AY77" s="32" t="inlineStr">
        <is>
          <t>DF</t>
        </is>
      </c>
      <c r="AZ77" s="32" t="inlineStr">
        <is>
          <t>Caixas econômicas</t>
        </is>
      </c>
      <c r="BA77" s="32" t="inlineStr">
        <is>
          <t>não ME/EPP</t>
        </is>
      </c>
      <c r="BB77" s="33" t="n">
        <v>105300000000</v>
      </c>
      <c r="BC77" s="32" t="inlineStr">
        <is>
          <t>LARGE CORP</t>
        </is>
      </c>
      <c r="BD77" s="32" t="inlineStr">
        <is>
          <t>00360305</t>
        </is>
      </c>
      <c r="BE77" s="32" t="n">
        <v>1</v>
      </c>
      <c r="BF77" s="32" t="inlineStr">
        <is>
          <t>financial by name list prints no totals</t>
        </is>
      </c>
    </row>
    <row r="78">
      <c r="A78" s="17" t="inlineStr">
        <is>
          <t>CAIXA ECONOMICA FEDERAL</t>
        </is>
      </c>
      <c r="B78" s="18" t="n">
        <v>499697.6</v>
      </c>
      <c r="C78" s="19" t="inlineStr">
        <is>
          <t>AUTO POSTO FREITAS &amp; MAIA LTDA</t>
        </is>
      </c>
      <c r="D78" s="20" t="inlineStr">
        <is>
          <t>NEW</t>
        </is>
      </c>
      <c r="E78" s="21" t="inlineStr"/>
      <c r="F78" s="20" t="inlineStr"/>
      <c r="G78" s="21" t="inlineStr"/>
      <c r="H78" s="20" t="inlineStr"/>
      <c r="I78" s="22" t="inlineStr">
        <is>
          <t>Livia Serikaku</t>
        </is>
      </c>
      <c r="J78" s="22" t="inlineStr">
        <is>
          <t>Gerente de Clientes e Negócios | Recuperação de Crédito</t>
        </is>
      </c>
      <c r="K78" s="22" t="inlineStr">
        <is>
          <t>(00) 4004-0104</t>
        </is>
      </c>
      <c r="L78" s="22" t="inlineStr"/>
      <c r="M78" s="22" t="inlineStr"/>
      <c r="N78" s="22" t="inlineStr"/>
      <c r="O78" s="22" t="inlineStr"/>
      <c r="P78" s="22" t="inlineStr">
        <is>
          <t>CARLOS ANTONIO VIEIRA FERNANDES</t>
        </is>
      </c>
      <c r="Q78" s="22" t="inlineStr">
        <is>
          <t>Presidente (RFB partner)</t>
        </is>
      </c>
      <c r="R78" s="22" t="inlineStr"/>
      <c r="S78" s="22" t="inlineStr"/>
      <c r="T78" s="22" t="inlineStr">
        <is>
          <t>DM: DM email unavailable; no work email in Apollo for DM</t>
        </is>
      </c>
      <c r="U78" s="24" t="n">
        <v>499697.6</v>
      </c>
      <c r="V78" s="39" t="inlineStr">
        <is>
          <t>C</t>
        </is>
      </c>
      <c r="W78" s="26" t="inlineStr"/>
      <c r="X78" s="27" t="inlineStr"/>
      <c r="Y78" s="27" t="inlineStr"/>
      <c r="Z78" s="26">
        <f>IF(W78&lt;&gt;"",W78,IFERROR(VLOOKUP(V78,Assumptions!$A$8:$F$12,2,FALSE),0))</f>
        <v/>
      </c>
      <c r="AA78" s="28">
        <f>IF(V78="A",MAX(1,IF(X78&lt;&gt;"",X78,IFERROR(VLOOKUP(V78,Assumptions!$A$8:$F$12,3,FALSE),3))+IF(Y78&lt;&gt;"",Y78,IFERROR(VLOOKUP(V78,Assumptions!$A$8:$F$12,4,FALSE),8))/2-MAX(0,IF(AS78="",0,YEAR(TODAY())-AS78)-IFERROR(VLOOKUP(V78,Assumptions!$A$8:$F$12,5,FALSE),1.5))),IFERROR(VLOOKUP(V78,Assumptions!$A$8:$F$12,5,FALSE),2.5)+IF(X78&lt;&gt;"",X78,IFERROR(VLOOKUP(V78,Assumptions!$A$8:$F$12,3,FALSE),3))+IF(Y78&lt;&gt;"",Y78,IFERROR(VLOOKUP(V78,Assumptions!$A$8:$F$12,4,FALSE),8))/2)</f>
        <v/>
      </c>
      <c r="AB78" s="24">
        <f>U78*Z78/(1+Assumptions!$B$3)^AA78</f>
        <v/>
      </c>
      <c r="AC78" s="27">
        <f>IF(U78=0,"",ROUND(AB78/U78*100,1))</f>
        <v/>
      </c>
      <c r="AD78" s="29">
        <f>AB78*Assumptions!$B$4</f>
        <v/>
      </c>
      <c r="AE78" s="27">
        <f>IF(U78=0,"",ROUND(AD78/U78*100,1))</f>
        <v/>
      </c>
      <c r="AF78" s="29">
        <f>AB78-AD78</f>
        <v/>
      </c>
      <c r="AG78" s="27">
        <f>IF(U78=0,"",ROUND((AB78-AD78)/U78*100,1))</f>
        <v/>
      </c>
      <c r="AH78" s="30" t="inlineStr">
        <is>
          <t>OK — totals reconciled</t>
        </is>
      </c>
      <c r="AI78" s="31" t="inlineStr">
        <is>
          <t>https://recuperacaojudicial.squarespace.com/s/LISTA-DE-CREDORES-CONSOLIDADA-EM-11072025_6419.pdf</t>
        </is>
      </c>
      <c r="AJ78" s="30" t="inlineStr">
        <is>
          <t>p4 r4</t>
        </is>
      </c>
      <c r="AK78" s="30" t="inlineStr">
        <is>
          <t>p4: R$ 499.697,60</t>
        </is>
      </c>
      <c r="AL78" s="30" t="inlineStr">
        <is>
          <t>AJ list (art. 7 §2)</t>
        </is>
      </c>
      <c r="AM78" s="30" t="inlineStr">
        <is>
          <t>2025-07-15</t>
        </is>
      </c>
      <c r="AN78" s="30" t="inlineStr">
        <is>
          <t>NONE FOUND</t>
        </is>
      </c>
      <c r="AO78" s="32" t="inlineStr">
        <is>
          <t>0700087-51.2020.8.02.0043</t>
        </is>
      </c>
      <c r="AP78" s="32" t="inlineStr">
        <is>
          <t>TJAL</t>
        </is>
      </c>
      <c r="AQ78" s="32" t="inlineStr">
        <is>
          <t>Recuperação judicial</t>
        </is>
      </c>
      <c r="AR78" s="32" t="inlineStr">
        <is>
          <t>DataJud: no closure/falência movement</t>
        </is>
      </c>
      <c r="AS78" s="32" t="n">
        <v>2020</v>
      </c>
      <c r="AT78" s="32" t="inlineStr">
        <is>
          <t>6y since filing; plan not in our documents</t>
        </is>
      </c>
      <c r="AU78" s="32" t="inlineStr">
        <is>
          <t>12.436.978/0001-80</t>
        </is>
      </c>
      <c r="AV78" s="32" t="inlineStr">
        <is>
          <t>printed on the list (read twice)</t>
        </is>
      </c>
      <c r="AW78" s="32" t="inlineStr"/>
      <c r="AX78" s="32" t="inlineStr">
        <is>
          <t>BRASILIA</t>
        </is>
      </c>
      <c r="AY78" s="32" t="inlineStr">
        <is>
          <t>DF</t>
        </is>
      </c>
      <c r="AZ78" s="32" t="inlineStr">
        <is>
          <t>Caixas econômicas</t>
        </is>
      </c>
      <c r="BA78" s="32" t="inlineStr">
        <is>
          <t>não ME/EPP</t>
        </is>
      </c>
      <c r="BB78" s="33" t="n">
        <v>105300000000</v>
      </c>
      <c r="BC78" s="32" t="inlineStr">
        <is>
          <t>LARGE CORP</t>
        </is>
      </c>
      <c r="BD78" s="32" t="inlineStr">
        <is>
          <t>00360305</t>
        </is>
      </c>
      <c r="BE78" s="32" t="n">
        <v>1</v>
      </c>
      <c r="BF78" s="32" t="inlineStr">
        <is>
          <t>financial by name</t>
        </is>
      </c>
    </row>
    <row r="79">
      <c r="A79" s="17" t="inlineStr">
        <is>
          <t>BANCO DO BRASIL SA</t>
        </is>
      </c>
      <c r="B79" s="18" t="n">
        <v>444115.16</v>
      </c>
      <c r="C79" s="19" t="inlineStr">
        <is>
          <t>Grupo Mastter</t>
        </is>
      </c>
      <c r="D79" s="20" t="inlineStr">
        <is>
          <t>NEW</t>
        </is>
      </c>
      <c r="E79" s="21" t="inlineStr"/>
      <c r="F79" s="20" t="inlineStr"/>
      <c r="G79" s="21" t="inlineStr"/>
      <c r="H79" s="20" t="inlineStr"/>
      <c r="I79" s="22" t="inlineStr">
        <is>
          <t>Thiago Cavichioli</t>
        </is>
      </c>
      <c r="J79" s="22" t="inlineStr">
        <is>
          <t>Gerente de Cobrança e Recuperação de Crédito</t>
        </is>
      </c>
      <c r="K79" s="22" t="inlineStr">
        <is>
          <t>(61) 3493-9002</t>
        </is>
      </c>
      <c r="L79" s="22" t="inlineStr"/>
      <c r="M79" s="22" t="inlineStr"/>
      <c r="N79" s="22" t="inlineStr">
        <is>
          <t>thiago.cavichioli@bb.com.br</t>
        </is>
      </c>
      <c r="O79" s="22" t="inlineStr">
        <is>
          <t>verified</t>
        </is>
      </c>
      <c r="P79" s="22" t="inlineStr">
        <is>
          <t>Suelen Mondador</t>
        </is>
      </c>
      <c r="Q79" s="22" t="inlineStr">
        <is>
          <t>Gerente Especialista em Recuperação de Crédito</t>
        </is>
      </c>
      <c r="R79" s="22" t="inlineStr"/>
      <c r="S79" s="22" t="inlineStr">
        <is>
          <t>suelenmondador@bb.com.br</t>
        </is>
      </c>
      <c r="T79" s="22" t="inlineStr">
        <is>
          <t>DM: DM verified email; BACKUP: backup verified email</t>
        </is>
      </c>
      <c r="U79" s="24" t="n">
        <v>444115.16</v>
      </c>
      <c r="V79" s="39" t="inlineStr">
        <is>
          <t>C</t>
        </is>
      </c>
      <c r="W79" s="26" t="inlineStr"/>
      <c r="X79" s="27" t="inlineStr"/>
      <c r="Y79" s="27" t="inlineStr"/>
      <c r="Z79" s="26">
        <f>IF(W79&lt;&gt;"",W79,IFERROR(VLOOKUP(V79,Assumptions!$A$8:$F$12,2,FALSE),0))</f>
        <v/>
      </c>
      <c r="AA79" s="28">
        <f>IF(V79="A",MAX(1,IF(X79&lt;&gt;"",X79,IFERROR(VLOOKUP(V79,Assumptions!$A$8:$F$12,3,FALSE),3))+IF(Y79&lt;&gt;"",Y79,IFERROR(VLOOKUP(V79,Assumptions!$A$8:$F$12,4,FALSE),8))/2-MAX(0,IF(AS79="",0,YEAR(TODAY())-AS79)-IFERROR(VLOOKUP(V79,Assumptions!$A$8:$F$12,5,FALSE),1.5))),IFERROR(VLOOKUP(V79,Assumptions!$A$8:$F$12,5,FALSE),2.5)+IF(X79&lt;&gt;"",X79,IFERROR(VLOOKUP(V79,Assumptions!$A$8:$F$12,3,FALSE),3))+IF(Y79&lt;&gt;"",Y79,IFERROR(VLOOKUP(V79,Assumptions!$A$8:$F$12,4,FALSE),8))/2)</f>
        <v/>
      </c>
      <c r="AB79" s="24">
        <f>U79*Z79/(1+Assumptions!$B$3)^AA79</f>
        <v/>
      </c>
      <c r="AC79" s="27">
        <f>IF(U79=0,"",ROUND(AB79/U79*100,1))</f>
        <v/>
      </c>
      <c r="AD79" s="29">
        <f>AB79*Assumptions!$B$4</f>
        <v/>
      </c>
      <c r="AE79" s="27">
        <f>IF(U79=0,"",ROUND(AD79/U79*100,1))</f>
        <v/>
      </c>
      <c r="AF79" s="29">
        <f>AB79-AD79</f>
        <v/>
      </c>
      <c r="AG79" s="27">
        <f>IF(U79=0,"",ROUND((AB79-AD79)/U79*100,1))</f>
        <v/>
      </c>
      <c r="AH79" s="34" t="inlineStr">
        <is>
          <t>NO TOTALS — list prints none; check page</t>
        </is>
      </c>
      <c r="AI79" s="31" t="inlineStr">
        <is>
          <t>https://realbrasil.com.br/wp-content/uploads/2017/05/Relação-de-Credores_-Mastter-1.pdf</t>
        </is>
      </c>
      <c r="AJ79" s="30" t="inlineStr">
        <is>
          <t>p2 r6; p2 r7; p2 r8; p2 r9</t>
        </is>
      </c>
      <c r="AK79" s="30" t="inlineStr">
        <is>
          <t>p2: R$ 408.395,49; p2: R$ 5.000,00; p2: R$ 3.628,76; p2: R$ 27.090,91</t>
        </is>
      </c>
      <c r="AL79" s="30" t="inlineStr">
        <is>
          <t>Debtor list (art. 51)</t>
        </is>
      </c>
      <c r="AM79" s="30" t="inlineStr">
        <is>
          <t>2016-02-10</t>
        </is>
      </c>
      <c r="AN79" s="30" t="inlineStr">
        <is>
          <t>NONE FOUND</t>
        </is>
      </c>
      <c r="AO79" s="32" t="inlineStr">
        <is>
          <t>0801893-91.2016.8.12.0011</t>
        </is>
      </c>
      <c r="AP79" s="32" t="inlineStr">
        <is>
          <t>TJMS</t>
        </is>
      </c>
      <c r="AQ79" s="32" t="inlineStr">
        <is>
          <t>Recuperação judicial</t>
        </is>
      </c>
      <c r="AR79" s="32" t="inlineStr">
        <is>
          <t>not in DataJud</t>
        </is>
      </c>
      <c r="AS79" s="32" t="n">
        <v>2016</v>
      </c>
      <c r="AT79" s="32" t="inlineStr">
        <is>
          <t>10y since filing; plan not in our documents; case no. from the portal record, not printed on the list</t>
        </is>
      </c>
      <c r="AU79" s="32" t="inlineStr"/>
      <c r="AV79" s="32" t="inlineStr">
        <is>
          <t>printed on the list (read twice)</t>
        </is>
      </c>
      <c r="AW79" s="32" t="inlineStr"/>
      <c r="AX79" s="32" t="inlineStr">
        <is>
          <t>BRASILIA</t>
        </is>
      </c>
      <c r="AY79" s="32" t="inlineStr">
        <is>
          <t>DF</t>
        </is>
      </c>
      <c r="AZ79" s="32" t="inlineStr">
        <is>
          <t>Bancos múltiplos, com carteira comercial</t>
        </is>
      </c>
      <c r="BA79" s="32" t="inlineStr">
        <is>
          <t>não ME/EPP</t>
        </is>
      </c>
      <c r="BB79" s="33" t="n">
        <v>120000000000</v>
      </c>
      <c r="BC79" s="32" t="inlineStr">
        <is>
          <t>LARGE CORP</t>
        </is>
      </c>
      <c r="BD79" s="32" t="inlineStr">
        <is>
          <t>00000000</t>
        </is>
      </c>
      <c r="BE79" s="32" t="n">
        <v>4</v>
      </c>
      <c r="BF79" s="32" t="inlineStr">
        <is>
          <t>ALT_VALUE:R$27.090,91 ALT_VALUE:R$3.628,76 ALT_VALUE:R$408.395,49 ALT_VALUE:R$5.000,00 list prints no totals</t>
        </is>
      </c>
    </row>
    <row r="80">
      <c r="A80" s="17" t="inlineStr">
        <is>
          <t>BANCO DO NORDESTE DO BRASIL SA</t>
        </is>
      </c>
      <c r="B80" s="18" t="n">
        <v>408096.44</v>
      </c>
      <c r="C80" s="19" t="inlineStr">
        <is>
          <t>AUTO POSTO FREITAS &amp; MAIA LTDA</t>
        </is>
      </c>
      <c r="D80" s="20" t="inlineStr">
        <is>
          <t>NEW</t>
        </is>
      </c>
      <c r="E80" s="21" t="inlineStr"/>
      <c r="F80" s="20" t="inlineStr"/>
      <c r="G80" s="21" t="inlineStr"/>
      <c r="H80" s="20" t="inlineStr"/>
      <c r="I80" s="22" t="inlineStr">
        <is>
          <t>Layslan Medeiros</t>
        </is>
      </c>
      <c r="J80" s="22" t="inlineStr">
        <is>
          <t>Gerente Executivo Operacional e de Recuperação de Crédito</t>
        </is>
      </c>
      <c r="K80" s="22" t="inlineStr">
        <is>
          <t>(85) 3299-3000</t>
        </is>
      </c>
      <c r="L80" s="22" t="inlineStr"/>
      <c r="M80" s="22" t="inlineStr"/>
      <c r="N80" s="22" t="inlineStr"/>
      <c r="O80" s="22" t="inlineStr"/>
      <c r="P80" s="22" t="inlineStr">
        <is>
          <t>Alexsander Farias</t>
        </is>
      </c>
      <c r="Q80" s="22" t="inlineStr">
        <is>
          <t>Gerente de Recuperação de Crédito</t>
        </is>
      </c>
      <c r="R80" s="22" t="inlineStr"/>
      <c r="S80" s="22" t="inlineStr">
        <is>
          <t>alexsander@bnb.gov.br</t>
        </is>
      </c>
      <c r="T80" s="22" t="inlineStr">
        <is>
          <t>DM: DM; no work email in Apollo for DM; BACKUP: backup</t>
        </is>
      </c>
      <c r="U80" s="24" t="n">
        <v>408096.44</v>
      </c>
      <c r="V80" s="39" t="inlineStr">
        <is>
          <t>C</t>
        </is>
      </c>
      <c r="W80" s="26" t="inlineStr"/>
      <c r="X80" s="27" t="inlineStr"/>
      <c r="Y80" s="27" t="inlineStr"/>
      <c r="Z80" s="26">
        <f>IF(W80&lt;&gt;"",W80,IFERROR(VLOOKUP(V80,Assumptions!$A$8:$F$12,2,FALSE),0))</f>
        <v/>
      </c>
      <c r="AA80" s="28">
        <f>IF(V80="A",MAX(1,IF(X80&lt;&gt;"",X80,IFERROR(VLOOKUP(V80,Assumptions!$A$8:$F$12,3,FALSE),3))+IF(Y80&lt;&gt;"",Y80,IFERROR(VLOOKUP(V80,Assumptions!$A$8:$F$12,4,FALSE),8))/2-MAX(0,IF(AS80="",0,YEAR(TODAY())-AS80)-IFERROR(VLOOKUP(V80,Assumptions!$A$8:$F$12,5,FALSE),1.5))),IFERROR(VLOOKUP(V80,Assumptions!$A$8:$F$12,5,FALSE),2.5)+IF(X80&lt;&gt;"",X80,IFERROR(VLOOKUP(V80,Assumptions!$A$8:$F$12,3,FALSE),3))+IF(Y80&lt;&gt;"",Y80,IFERROR(VLOOKUP(V80,Assumptions!$A$8:$F$12,4,FALSE),8))/2)</f>
        <v/>
      </c>
      <c r="AB80" s="24">
        <f>U80*Z80/(1+Assumptions!$B$3)^AA80</f>
        <v/>
      </c>
      <c r="AC80" s="27">
        <f>IF(U80=0,"",ROUND(AB80/U80*100,1))</f>
        <v/>
      </c>
      <c r="AD80" s="29">
        <f>AB80*Assumptions!$B$4</f>
        <v/>
      </c>
      <c r="AE80" s="27">
        <f>IF(U80=0,"",ROUND(AD80/U80*100,1))</f>
        <v/>
      </c>
      <c r="AF80" s="29">
        <f>AB80-AD80</f>
        <v/>
      </c>
      <c r="AG80" s="27">
        <f>IF(U80=0,"",ROUND((AB80-AD80)/U80*100,1))</f>
        <v/>
      </c>
      <c r="AH80" s="30" t="inlineStr">
        <is>
          <t>OK — totals reconciled</t>
        </is>
      </c>
      <c r="AI80" s="31" t="inlineStr">
        <is>
          <t>https://recuperacaojudicial.squarespace.com/s/LISTA-DE-CREDORES-CONSOLIDADA-EM-11072025_6419.pdf</t>
        </is>
      </c>
      <c r="AJ80" s="30" t="inlineStr">
        <is>
          <t>p4 r3</t>
        </is>
      </c>
      <c r="AK80" s="30" t="inlineStr">
        <is>
          <t>p4: R$ 408.096,44</t>
        </is>
      </c>
      <c r="AL80" s="30" t="inlineStr">
        <is>
          <t>AJ list (art. 7 §2)</t>
        </is>
      </c>
      <c r="AM80" s="30" t="inlineStr">
        <is>
          <t>2025-07-15</t>
        </is>
      </c>
      <c r="AN80" s="30" t="inlineStr">
        <is>
          <t>NONE FOUND</t>
        </is>
      </c>
      <c r="AO80" s="32" t="inlineStr">
        <is>
          <t>0700087-51.2020.8.02.0043</t>
        </is>
      </c>
      <c r="AP80" s="32" t="inlineStr">
        <is>
          <t>TJAL</t>
        </is>
      </c>
      <c r="AQ80" s="32" t="inlineStr">
        <is>
          <t>Recuperação judicial</t>
        </is>
      </c>
      <c r="AR80" s="32" t="inlineStr">
        <is>
          <t>DataJud: no closure/falência movement</t>
        </is>
      </c>
      <c r="AS80" s="32" t="n">
        <v>2020</v>
      </c>
      <c r="AT80" s="32" t="inlineStr">
        <is>
          <t>6y since filing; plan not in our documents</t>
        </is>
      </c>
      <c r="AU80" s="32" t="inlineStr">
        <is>
          <t>12.436.978/0001-80</t>
        </is>
      </c>
      <c r="AV80" s="32" t="inlineStr">
        <is>
          <t>printed on the list (read twice)</t>
        </is>
      </c>
      <c r="AW80" s="32" t="inlineStr"/>
      <c r="AX80" s="32" t="inlineStr">
        <is>
          <t>FORTALEZA</t>
        </is>
      </c>
      <c r="AY80" s="32" t="inlineStr">
        <is>
          <t>CE</t>
        </is>
      </c>
      <c r="AZ80" s="32" t="inlineStr">
        <is>
          <t>Bancos múltiplos, com carteira comercial</t>
        </is>
      </c>
      <c r="BA80" s="32" t="inlineStr">
        <is>
          <t>não ME/EPP</t>
        </is>
      </c>
      <c r="BB80" s="33" t="n">
        <v>15139032000</v>
      </c>
      <c r="BC80" s="32" t="inlineStr">
        <is>
          <t>LARGE CORP</t>
        </is>
      </c>
      <c r="BD80" s="32" t="inlineStr">
        <is>
          <t>07237373</t>
        </is>
      </c>
      <c r="BE80" s="32" t="n">
        <v>1</v>
      </c>
      <c r="BF80" s="32" t="inlineStr">
        <is>
          <t>financial by name</t>
        </is>
      </c>
    </row>
    <row r="81">
      <c r="A81" s="17" t="inlineStr">
        <is>
          <t>COMPANHIA ESPIRITO SANTENSE DE SANEAMENTO CESAN</t>
        </is>
      </c>
      <c r="B81" s="18" t="n">
        <v>370928.52</v>
      </c>
      <c r="C81" s="19" t="inlineStr">
        <is>
          <t>HOSPITAL SANTA MÔNICA LTDA</t>
        </is>
      </c>
      <c r="D81" s="20" t="inlineStr">
        <is>
          <t>NEW</t>
        </is>
      </c>
      <c r="E81" s="21" t="inlineStr"/>
      <c r="F81" s="20" t="inlineStr"/>
      <c r="G81" s="21" t="inlineStr"/>
      <c r="H81" s="20" t="inlineStr"/>
      <c r="I81" s="22" t="inlineStr">
        <is>
          <t>MUNIR ABUD DE OLIVEIRA</t>
        </is>
      </c>
      <c r="J81" s="23" t="inlineStr">
        <is>
          <t>Presidente (RFB partner)</t>
        </is>
      </c>
      <c r="K81" s="22" t="inlineStr">
        <is>
          <t>(27) 2127-5005</t>
        </is>
      </c>
      <c r="L81" s="22" t="inlineStr"/>
      <c r="M81" s="22" t="inlineStr"/>
      <c r="N81" s="22" t="inlineStr"/>
      <c r="O81" s="22" t="inlineStr"/>
      <c r="P81" s="22" t="inlineStr">
        <is>
          <t>KATIA MUNIZ COCO</t>
        </is>
      </c>
      <c r="Q81" s="22" t="inlineStr">
        <is>
          <t>Diretor (RFB partner)</t>
        </is>
      </c>
      <c r="R81" s="22" t="inlineStr"/>
      <c r="S81" s="22" t="inlineStr"/>
      <c r="T81" s="22" t="inlineStr">
        <is>
          <t>DM = registered partner (RFB QSA); no Apollo match</t>
        </is>
      </c>
      <c r="U81" s="24" t="n">
        <v>370928.52</v>
      </c>
      <c r="V81" s="39" t="inlineStr">
        <is>
          <t>C</t>
        </is>
      </c>
      <c r="W81" s="26" t="inlineStr"/>
      <c r="X81" s="27" t="inlineStr"/>
      <c r="Y81" s="27" t="inlineStr"/>
      <c r="Z81" s="26">
        <f>IF(W81&lt;&gt;"",W81,IFERROR(VLOOKUP(V81,Assumptions!$A$8:$F$12,2,FALSE),0))</f>
        <v/>
      </c>
      <c r="AA81" s="28">
        <f>IF(V81="A",MAX(1,IF(X81&lt;&gt;"",X81,IFERROR(VLOOKUP(V81,Assumptions!$A$8:$F$12,3,FALSE),3))+IF(Y81&lt;&gt;"",Y81,IFERROR(VLOOKUP(V81,Assumptions!$A$8:$F$12,4,FALSE),8))/2-MAX(0,IF(AS81="",0,YEAR(TODAY())-AS81)-IFERROR(VLOOKUP(V81,Assumptions!$A$8:$F$12,5,FALSE),1.5))),IFERROR(VLOOKUP(V81,Assumptions!$A$8:$F$12,5,FALSE),2.5)+IF(X81&lt;&gt;"",X81,IFERROR(VLOOKUP(V81,Assumptions!$A$8:$F$12,3,FALSE),3))+IF(Y81&lt;&gt;"",Y81,IFERROR(VLOOKUP(V81,Assumptions!$A$8:$F$12,4,FALSE),8))/2)</f>
        <v/>
      </c>
      <c r="AB81" s="24">
        <f>U81*Z81/(1+Assumptions!$B$3)^AA81</f>
        <v/>
      </c>
      <c r="AC81" s="27">
        <f>IF(U81=0,"",ROUND(AB81/U81*100,1))</f>
        <v/>
      </c>
      <c r="AD81" s="29">
        <f>AB81*Assumptions!$B$4</f>
        <v/>
      </c>
      <c r="AE81" s="27">
        <f>IF(U81=0,"",ROUND(AD81/U81*100,1))</f>
        <v/>
      </c>
      <c r="AF81" s="29">
        <f>AB81-AD81</f>
        <v/>
      </c>
      <c r="AG81" s="27">
        <f>IF(U81=0,"",ROUND((AB81-AD81)/U81*100,1))</f>
        <v/>
      </c>
      <c r="AH81" s="34" t="inlineStr">
        <is>
          <t>NO TOTALS — list prints none; check page</t>
        </is>
      </c>
      <c r="AI81" s="31" t="inlineStr">
        <is>
          <t>https://ricardobiancardi.com.br/wp-content/uploads/2024/12/Edital-1-relacao-de-credores-pub.-02.12.24-.pdf</t>
        </is>
      </c>
      <c r="AJ81" s="30" t="inlineStr">
        <is>
          <t>p3 r16</t>
        </is>
      </c>
      <c r="AK81" s="30" t="inlineStr">
        <is>
          <t>p3: R$ 370.928,52</t>
        </is>
      </c>
      <c r="AL81" s="30" t="inlineStr">
        <is>
          <t>Debtor list (art. 51)</t>
        </is>
      </c>
      <c r="AM81" s="30" t="inlineStr">
        <is>
          <t>2024-12-02</t>
        </is>
      </c>
      <c r="AN81" s="30" t="inlineStr">
        <is>
          <t>NONE FOUND</t>
        </is>
      </c>
      <c r="AO81" s="32" t="inlineStr">
        <is>
          <t>0041309-42.2014.8.08.0024</t>
        </is>
      </c>
      <c r="AP81" s="32" t="inlineStr">
        <is>
          <t>TJES</t>
        </is>
      </c>
      <c r="AQ81" s="32" t="inlineStr">
        <is>
          <t>Recuperação judicial</t>
        </is>
      </c>
      <c r="AR81" s="32" t="inlineStr">
        <is>
          <t>not in DataJud</t>
        </is>
      </c>
      <c r="AS81" s="32" t="n">
        <v>2014</v>
      </c>
      <c r="AT81" s="32" t="inlineStr">
        <is>
          <t>12y since filing; plan not in our documents; atypical debtor (associação/clube/hospital/produtor rural): admissibility or claim subjection may be contested</t>
        </is>
      </c>
      <c r="AU81" s="32" t="inlineStr"/>
      <c r="AV81" s="32" t="inlineStr">
        <is>
          <t>printed on the list (read twice)</t>
        </is>
      </c>
      <c r="AW81" s="32" t="inlineStr"/>
      <c r="AX81" s="32" t="inlineStr">
        <is>
          <t>VITORIA</t>
        </is>
      </c>
      <c r="AY81" s="32" t="inlineStr">
        <is>
          <t>ES</t>
        </is>
      </c>
      <c r="AZ81" s="32" t="inlineStr">
        <is>
          <t>Captação, tratamento e distribuição de água</t>
        </is>
      </c>
      <c r="BA81" s="32" t="inlineStr">
        <is>
          <t>não ME/EPP</t>
        </is>
      </c>
      <c r="BB81" s="33" t="n">
        <v>4269909500</v>
      </c>
      <c r="BC81" s="32" t="inlineStr">
        <is>
          <t>LARGE CORP</t>
        </is>
      </c>
      <c r="BD81" s="32" t="inlineStr">
        <is>
          <t>28151363</t>
        </is>
      </c>
      <c r="BE81" s="32" t="n">
        <v>1</v>
      </c>
      <c r="BF81" s="32" t="inlineStr">
        <is>
          <t>list prints no totals</t>
        </is>
      </c>
    </row>
    <row r="82">
      <c r="A82" s="17" t="inlineStr">
        <is>
          <t>BANCO DO BRASIL SA</t>
        </is>
      </c>
      <c r="B82" s="18" t="n">
        <v>324716.74</v>
      </c>
      <c r="C82" s="19" t="inlineStr">
        <is>
          <t>AGROPECUÁRIA SERROTE REDONDO</t>
        </is>
      </c>
      <c r="D82" s="20" t="inlineStr">
        <is>
          <t>NEW</t>
        </is>
      </c>
      <c r="E82" s="21" t="inlineStr"/>
      <c r="F82" s="20" t="inlineStr"/>
      <c r="G82" s="21" t="inlineStr"/>
      <c r="H82" s="20" t="inlineStr"/>
      <c r="I82" s="22" t="inlineStr">
        <is>
          <t>Thiago Cavichioli</t>
        </is>
      </c>
      <c r="J82" s="22" t="inlineStr">
        <is>
          <t>Gerente de Cobrança e Recuperação de Crédito</t>
        </is>
      </c>
      <c r="K82" s="22" t="inlineStr">
        <is>
          <t>(61) 3493-9002</t>
        </is>
      </c>
      <c r="L82" s="22" t="inlineStr"/>
      <c r="M82" s="22" t="inlineStr"/>
      <c r="N82" s="22" t="inlineStr">
        <is>
          <t>thiago.cavichioli@bb.com.br</t>
        </is>
      </c>
      <c r="O82" s="22" t="inlineStr">
        <is>
          <t>verified</t>
        </is>
      </c>
      <c r="P82" s="22" t="inlineStr">
        <is>
          <t>Suelen Mondador</t>
        </is>
      </c>
      <c r="Q82" s="22" t="inlineStr">
        <is>
          <t>Gerente Especialista em Recuperação de Crédito</t>
        </is>
      </c>
      <c r="R82" s="22" t="inlineStr"/>
      <c r="S82" s="22" t="inlineStr">
        <is>
          <t>suelenmondador@bb.com.br</t>
        </is>
      </c>
      <c r="T82" s="22" t="inlineStr">
        <is>
          <t>DM: DM verified email; BACKUP: backup verified email</t>
        </is>
      </c>
      <c r="U82" s="24" t="n">
        <v>324716.74</v>
      </c>
      <c r="V82" s="39" t="inlineStr">
        <is>
          <t>C</t>
        </is>
      </c>
      <c r="W82" s="26" t="inlineStr"/>
      <c r="X82" s="27" t="inlineStr"/>
      <c r="Y82" s="27" t="inlineStr"/>
      <c r="Z82" s="26">
        <f>IF(W82&lt;&gt;"",W82,IFERROR(VLOOKUP(V82,Assumptions!$A$8:$F$12,2,FALSE),0))</f>
        <v/>
      </c>
      <c r="AA82" s="28">
        <f>IF(V82="A",MAX(1,IF(X82&lt;&gt;"",X82,IFERROR(VLOOKUP(V82,Assumptions!$A$8:$F$12,3,FALSE),3))+IF(Y82&lt;&gt;"",Y82,IFERROR(VLOOKUP(V82,Assumptions!$A$8:$F$12,4,FALSE),8))/2-MAX(0,IF(AS82="",0,YEAR(TODAY())-AS82)-IFERROR(VLOOKUP(V82,Assumptions!$A$8:$F$12,5,FALSE),1.5))),IFERROR(VLOOKUP(V82,Assumptions!$A$8:$F$12,5,FALSE),2.5)+IF(X82&lt;&gt;"",X82,IFERROR(VLOOKUP(V82,Assumptions!$A$8:$F$12,3,FALSE),3))+IF(Y82&lt;&gt;"",Y82,IFERROR(VLOOKUP(V82,Assumptions!$A$8:$F$12,4,FALSE),8))/2)</f>
        <v/>
      </c>
      <c r="AB82" s="24">
        <f>U82*Z82/(1+Assumptions!$B$3)^AA82</f>
        <v/>
      </c>
      <c r="AC82" s="27">
        <f>IF(U82=0,"",ROUND(AB82/U82*100,1))</f>
        <v/>
      </c>
      <c r="AD82" s="29">
        <f>AB82*Assumptions!$B$4</f>
        <v/>
      </c>
      <c r="AE82" s="27">
        <f>IF(U82=0,"",ROUND(AD82/U82*100,1))</f>
        <v/>
      </c>
      <c r="AF82" s="29">
        <f>AB82-AD82</f>
        <v/>
      </c>
      <c r="AG82" s="27">
        <f>IF(U82=0,"",ROUND((AB82-AD82)/U82*100,1))</f>
        <v/>
      </c>
      <c r="AH82" s="30" t="inlineStr">
        <is>
          <t>OK — totals reconciled</t>
        </is>
      </c>
      <c r="AI82" s="31" t="inlineStr">
        <is>
          <t>https://lrflideres.com.br/wp-content/plugins/download-attachments/includes/download.php?id=5001</t>
        </is>
      </c>
      <c r="AJ82" s="30" t="inlineStr">
        <is>
          <t>p1 r13</t>
        </is>
      </c>
      <c r="AK82" s="30" t="inlineStr">
        <is>
          <t>p1: R$ 324.716,74</t>
        </is>
      </c>
      <c r="AL82" s="30" t="inlineStr">
        <is>
          <t>Unclassified list</t>
        </is>
      </c>
      <c r="AM82" s="30" t="inlineStr"/>
      <c r="AN82" s="30" t="inlineStr">
        <is>
          <t>NONE FOUND</t>
        </is>
      </c>
      <c r="AO82" s="32" t="inlineStr">
        <is>
          <t>0000206-69.2013.8.17.1340</t>
        </is>
      </c>
      <c r="AP82" s="32" t="inlineStr">
        <is>
          <t>TJPE</t>
        </is>
      </c>
      <c r="AQ82" s="32" t="inlineStr"/>
      <c r="AR82" s="32" t="inlineStr">
        <is>
          <t>not in DataJud</t>
        </is>
      </c>
      <c r="AS82" s="32" t="n">
        <v>2013</v>
      </c>
      <c r="AT82" s="32" t="inlineStr">
        <is>
          <t>13y since filing; plan not in our documents; case no. from the portal record, not printed on the list</t>
        </is>
      </c>
      <c r="AU82" s="32" t="inlineStr"/>
      <c r="AV82" s="32" t="inlineStr">
        <is>
          <t>portal page title / URL — not printed on the list</t>
        </is>
      </c>
      <c r="AW82" s="32" t="inlineStr"/>
      <c r="AX82" s="32" t="inlineStr">
        <is>
          <t>BRASILIA</t>
        </is>
      </c>
      <c r="AY82" s="32" t="inlineStr">
        <is>
          <t>DF</t>
        </is>
      </c>
      <c r="AZ82" s="32" t="inlineStr">
        <is>
          <t>Bancos múltiplos, com carteira comercial</t>
        </is>
      </c>
      <c r="BA82" s="32" t="inlineStr">
        <is>
          <t>não ME/EPP</t>
        </is>
      </c>
      <c r="BB82" s="33" t="n">
        <v>120000000000</v>
      </c>
      <c r="BC82" s="32" t="inlineStr">
        <is>
          <t>LARGE CORP</t>
        </is>
      </c>
      <c r="BD82" s="32" t="inlineStr">
        <is>
          <t>00000000</t>
        </is>
      </c>
      <c r="BE82" s="32" t="n">
        <v>1</v>
      </c>
      <c r="BF82" s="32" t="inlineStr">
        <is>
          <t>ALT_VALUE:324.716,74 financial by name</t>
        </is>
      </c>
    </row>
    <row r="83">
      <c r="A83" s="17" t="inlineStr">
        <is>
          <t>COMPANHIA DE DESENVOLVIMENTO DOS VALES DO SAO FRANCISCO E DO PARNAIBA</t>
        </is>
      </c>
      <c r="B83" s="18" t="n">
        <v>410504.45</v>
      </c>
      <c r="C83" s="19" t="inlineStr">
        <is>
          <t>COPA FRUIT IMPORTAÇÃO E EXPORTAÇÃO S.A</t>
        </is>
      </c>
      <c r="D83" s="20" t="inlineStr">
        <is>
          <t>NEW</t>
        </is>
      </c>
      <c r="E83" s="21" t="inlineStr"/>
      <c r="F83" s="20" t="inlineStr"/>
      <c r="G83" s="21" t="inlineStr"/>
      <c r="H83" s="20" t="inlineStr"/>
      <c r="I83" s="22" t="inlineStr">
        <is>
          <t>LUCAS FELIPE DE OLIVEIRA</t>
        </is>
      </c>
      <c r="J83" s="23" t="inlineStr">
        <is>
          <t>Presidente (RFB partner)</t>
        </is>
      </c>
      <c r="K83" s="22" t="inlineStr"/>
      <c r="L83" s="22" t="inlineStr"/>
      <c r="M83" s="22" t="inlineStr"/>
      <c r="N83" s="22" t="inlineStr"/>
      <c r="O83" s="22" t="inlineStr"/>
      <c r="P83" s="22" t="inlineStr">
        <is>
          <t>ALESSANDRA CRISTINA ROSSIN</t>
        </is>
      </c>
      <c r="Q83" s="22" t="inlineStr">
        <is>
          <t>Diretor (RFB partner)</t>
        </is>
      </c>
      <c r="R83" s="22" t="inlineStr"/>
      <c r="S83" s="22" t="inlineStr"/>
      <c r="T83" s="22" t="inlineStr">
        <is>
          <t>DM = registered partner (RFB QSA); no Apollo match; NO ROUTE IN: no phone or email on file</t>
        </is>
      </c>
      <c r="U83" s="24" t="n">
        <v>410504.45</v>
      </c>
      <c r="V83" s="40" t="inlineStr">
        <is>
          <t>D</t>
        </is>
      </c>
      <c r="W83" s="26" t="inlineStr"/>
      <c r="X83" s="27" t="inlineStr"/>
      <c r="Y83" s="27" t="inlineStr"/>
      <c r="Z83" s="26">
        <f>IF(W83&lt;&gt;"",W83,IFERROR(VLOOKUP(V83,Assumptions!$A$8:$F$12,2,FALSE),0))</f>
        <v/>
      </c>
      <c r="AA83" s="28">
        <f>IF(V83="A",MAX(1,IF(X83&lt;&gt;"",X83,IFERROR(VLOOKUP(V83,Assumptions!$A$8:$F$12,3,FALSE),3))+IF(Y83&lt;&gt;"",Y83,IFERROR(VLOOKUP(V83,Assumptions!$A$8:$F$12,4,FALSE),8))/2-MAX(0,IF(AS83="",0,YEAR(TODAY())-AS83)-IFERROR(VLOOKUP(V83,Assumptions!$A$8:$F$12,5,FALSE),1.5))),IFERROR(VLOOKUP(V83,Assumptions!$A$8:$F$12,5,FALSE),2.5)+IF(X83&lt;&gt;"",X83,IFERROR(VLOOKUP(V83,Assumptions!$A$8:$F$12,3,FALSE),3))+IF(Y83&lt;&gt;"",Y83,IFERROR(VLOOKUP(V83,Assumptions!$A$8:$F$12,4,FALSE),8))/2)</f>
        <v/>
      </c>
      <c r="AB83" s="24">
        <f>U83*Z83/(1+Assumptions!$B$3)^AA83</f>
        <v/>
      </c>
      <c r="AC83" s="27">
        <f>IF(U83=0,"",ROUND(AB83/U83*100,1))</f>
        <v/>
      </c>
      <c r="AD83" s="29">
        <f>AB83*Assumptions!$B$4</f>
        <v/>
      </c>
      <c r="AE83" s="27">
        <f>IF(U83=0,"",ROUND(AD83/U83*100,1))</f>
        <v/>
      </c>
      <c r="AF83" s="29">
        <f>AB83-AD83</f>
        <v/>
      </c>
      <c r="AG83" s="27">
        <f>IF(U83=0,"",ROUND((AB83-AD83)/U83*100,1))</f>
        <v/>
      </c>
      <c r="AH83" s="34" t="inlineStr">
        <is>
          <t>NO TOTALS — list prints none; check page</t>
        </is>
      </c>
      <c r="AI83" s="31" t="inlineStr">
        <is>
          <t>https://diligence.adm.br/wp-content/plugins/download-attachments/includes/download.php?id=4579</t>
        </is>
      </c>
      <c r="AJ83" s="30" t="inlineStr">
        <is>
          <t>p8 r4</t>
        </is>
      </c>
      <c r="AK83" s="30" t="inlineStr">
        <is>
          <t>p8: R$ 410.504,45</t>
        </is>
      </c>
      <c r="AL83" s="30" t="inlineStr">
        <is>
          <t>AJ list (art. 7 §2)</t>
        </is>
      </c>
      <c r="AM83" s="30" t="inlineStr">
        <is>
          <t>2024-06-11</t>
        </is>
      </c>
      <c r="AN83" s="30" t="inlineStr">
        <is>
          <t>NONE FOUND</t>
        </is>
      </c>
      <c r="AO83" s="32" t="inlineStr">
        <is>
          <t>0032731-52.2010.8.17.0001</t>
        </is>
      </c>
      <c r="AP83" s="32" t="inlineStr">
        <is>
          <t>TJPE</t>
        </is>
      </c>
      <c r="AQ83" s="32" t="inlineStr">
        <is>
          <t>Falência</t>
        </is>
      </c>
      <c r="AR83" s="32" t="inlineStr">
        <is>
          <t>not in DataJud</t>
        </is>
      </c>
      <c r="AS83" s="32" t="n">
        <v>2010</v>
      </c>
      <c r="AT83" s="32" t="inlineStr">
        <is>
          <t>falência proceeding (list/name says falida)</t>
        </is>
      </c>
      <c r="AU83" s="32" t="inlineStr">
        <is>
          <t>01.356.809/0001-13</t>
        </is>
      </c>
      <c r="AV83" s="32" t="inlineStr">
        <is>
          <t>printed on the list (read twice)</t>
        </is>
      </c>
      <c r="AW83" s="32" t="inlineStr"/>
      <c r="AX83" s="32" t="inlineStr">
        <is>
          <t>BRASILIA</t>
        </is>
      </c>
      <c r="AY83" s="32" t="inlineStr">
        <is>
          <t>DF</t>
        </is>
      </c>
      <c r="AZ83" s="32" t="inlineStr">
        <is>
          <t>Administração pública em geral</t>
        </is>
      </c>
      <c r="BA83" s="32" t="inlineStr">
        <is>
          <t>não ME/EPP</t>
        </is>
      </c>
      <c r="BB83" s="33" t="n">
        <v>8802280000</v>
      </c>
      <c r="BC83" s="32" t="inlineStr">
        <is>
          <t>LARGE CORP</t>
        </is>
      </c>
      <c r="BD83" s="32" t="inlineStr">
        <is>
          <t>00399857</t>
        </is>
      </c>
      <c r="BE83" s="32" t="n">
        <v>1</v>
      </c>
      <c r="BF83" s="32" t="inlineStr">
        <is>
          <t>list prints no totals no route in</t>
        </is>
      </c>
    </row>
    <row r="84">
      <c r="A84" s="17" t="inlineStr">
        <is>
          <t>CAIXA ECONOMICA FEDERAL</t>
        </is>
      </c>
      <c r="B84" s="18" t="n">
        <v>213965.82</v>
      </c>
      <c r="C84" s="19" t="inlineStr">
        <is>
          <t>CENTRO DE TRATAMENTO RENAL ZONA SUL LTDA</t>
        </is>
      </c>
      <c r="D84" s="20" t="inlineStr">
        <is>
          <t>NEW</t>
        </is>
      </c>
      <c r="E84" s="21" t="inlineStr"/>
      <c r="F84" s="20" t="inlineStr"/>
      <c r="G84" s="21" t="inlineStr"/>
      <c r="H84" s="20" t="inlineStr"/>
      <c r="I84" s="22" t="inlineStr">
        <is>
          <t>Livia Serikaku</t>
        </is>
      </c>
      <c r="J84" s="22" t="inlineStr">
        <is>
          <t>Gerente de Clientes e Negócios | Recuperação de Crédito</t>
        </is>
      </c>
      <c r="K84" s="22" t="inlineStr">
        <is>
          <t>(00) 4004-0104</t>
        </is>
      </c>
      <c r="L84" s="22" t="inlineStr"/>
      <c r="M84" s="22" t="inlineStr"/>
      <c r="N84" s="22" t="inlineStr"/>
      <c r="O84" s="22" t="inlineStr"/>
      <c r="P84" s="22" t="inlineStr">
        <is>
          <t>CARLOS ANTONIO VIEIRA FERNANDES</t>
        </is>
      </c>
      <c r="Q84" s="22" t="inlineStr">
        <is>
          <t>Presidente (RFB partner)</t>
        </is>
      </c>
      <c r="R84" s="22" t="inlineStr"/>
      <c r="S84" s="22" t="inlineStr"/>
      <c r="T84" s="22" t="inlineStr">
        <is>
          <t>DM: DM email unavailable; no work email in Apollo for DM</t>
        </is>
      </c>
      <c r="U84" s="24" t="n">
        <v>213965.82</v>
      </c>
      <c r="V84" s="39" t="inlineStr">
        <is>
          <t>C</t>
        </is>
      </c>
      <c r="W84" s="26" t="inlineStr"/>
      <c r="X84" s="27" t="inlineStr"/>
      <c r="Y84" s="27" t="inlineStr"/>
      <c r="Z84" s="26">
        <f>IF(W84&lt;&gt;"",W84,IFERROR(VLOOKUP(V84,Assumptions!$A$8:$F$12,2,FALSE),0))</f>
        <v/>
      </c>
      <c r="AA84" s="28">
        <f>IF(V84="A",MAX(1,IF(X84&lt;&gt;"",X84,IFERROR(VLOOKUP(V84,Assumptions!$A$8:$F$12,3,FALSE),3))+IF(Y84&lt;&gt;"",Y84,IFERROR(VLOOKUP(V84,Assumptions!$A$8:$F$12,4,FALSE),8))/2-MAX(0,IF(AS84="",0,YEAR(TODAY())-AS84)-IFERROR(VLOOKUP(V84,Assumptions!$A$8:$F$12,5,FALSE),1.5))),IFERROR(VLOOKUP(V84,Assumptions!$A$8:$F$12,5,FALSE),2.5)+IF(X84&lt;&gt;"",X84,IFERROR(VLOOKUP(V84,Assumptions!$A$8:$F$12,3,FALSE),3))+IF(Y84&lt;&gt;"",Y84,IFERROR(VLOOKUP(V84,Assumptions!$A$8:$F$12,4,FALSE),8))/2)</f>
        <v/>
      </c>
      <c r="AB84" s="24">
        <f>U84*Z84/(1+Assumptions!$B$3)^AA84</f>
        <v/>
      </c>
      <c r="AC84" s="27">
        <f>IF(U84=0,"",ROUND(AB84/U84*100,1))</f>
        <v/>
      </c>
      <c r="AD84" s="29">
        <f>AB84*Assumptions!$B$4</f>
        <v/>
      </c>
      <c r="AE84" s="27">
        <f>IF(U84=0,"",ROUND(AD84/U84*100,1))</f>
        <v/>
      </c>
      <c r="AF84" s="29">
        <f>AB84-AD84</f>
        <v/>
      </c>
      <c r="AG84" s="27">
        <f>IF(U84=0,"",ROUND((AB84-AD84)/U84*100,1))</f>
        <v/>
      </c>
      <c r="AH84" s="30" t="inlineStr">
        <is>
          <t>OK — totals reconciled</t>
        </is>
      </c>
      <c r="AI84" s="31" t="inlineStr">
        <is>
          <t>https://recuperacaojudicial.squarespace.com/s/4-RJCTREditalda2ListadeCredoresnovembro2019.pdf</t>
        </is>
      </c>
      <c r="AJ84" s="30" t="inlineStr">
        <is>
          <t>p3 r4; p3 r9</t>
        </is>
      </c>
      <c r="AK84" s="30" t="inlineStr">
        <is>
          <t>p3: R$ 201.422,22; p3: R$ 12.543,60</t>
        </is>
      </c>
      <c r="AL84" s="30" t="inlineStr">
        <is>
          <t>AJ list (art. 7 §2)</t>
        </is>
      </c>
      <c r="AM84" s="30" t="inlineStr">
        <is>
          <t>2019-11-25</t>
        </is>
      </c>
      <c r="AN84" s="30" t="inlineStr">
        <is>
          <t>NONE FOUND</t>
        </is>
      </c>
      <c r="AO84" s="32" t="inlineStr">
        <is>
          <t>0015488-29.2018.8.17.2810</t>
        </is>
      </c>
      <c r="AP84" s="32" t="inlineStr">
        <is>
          <t>TJPE</t>
        </is>
      </c>
      <c r="AQ84" s="32" t="inlineStr">
        <is>
          <t>Recuperação judicial</t>
        </is>
      </c>
      <c r="AR84" s="32" t="inlineStr">
        <is>
          <t>not in DataJud</t>
        </is>
      </c>
      <c r="AS84" s="32" t="n">
        <v>2018</v>
      </c>
      <c r="AT84" s="32" t="inlineStr">
        <is>
          <t>8y since filing; plan not in our documents</t>
        </is>
      </c>
      <c r="AU84" s="32" t="inlineStr">
        <is>
          <t>03.648.189/0001-11</t>
        </is>
      </c>
      <c r="AV84" s="32" t="inlineStr">
        <is>
          <t>printed on the list (read twice)</t>
        </is>
      </c>
      <c r="AW84" s="32" t="inlineStr"/>
      <c r="AX84" s="32" t="inlineStr">
        <is>
          <t>BRASILIA</t>
        </is>
      </c>
      <c r="AY84" s="32" t="inlineStr">
        <is>
          <t>DF</t>
        </is>
      </c>
      <c r="AZ84" s="32" t="inlineStr">
        <is>
          <t>Caixas econômicas</t>
        </is>
      </c>
      <c r="BA84" s="32" t="inlineStr">
        <is>
          <t>não ME/EPP</t>
        </is>
      </c>
      <c r="BB84" s="33" t="n">
        <v>105300000000</v>
      </c>
      <c r="BC84" s="32" t="inlineStr">
        <is>
          <t>LARGE CORP</t>
        </is>
      </c>
      <c r="BD84" s="32" t="inlineStr">
        <is>
          <t>00360305</t>
        </is>
      </c>
      <c r="BE84" s="32" t="n">
        <v>2</v>
      </c>
      <c r="BF84" s="32" t="inlineStr"/>
    </row>
  </sheetData>
  <autoFilter ref="A1:BF84"/>
  <conditionalFormatting sqref="D2:D84">
    <cfRule type="cellIs" priority="1" operator="equal" dxfId="0">
      <formula>"SETTLED"</formula>
    </cfRule>
    <cfRule type="cellIs" priority="2" operator="equal" dxfId="0">
      <formula>"CESSÃO SIGNED"</formula>
    </cfRule>
    <cfRule type="cellIs" priority="3" operator="equal" dxfId="0">
      <formula>"SUBSTITUTED IN LIST"</formula>
    </cfRule>
    <cfRule type="cellIs" priority="4" operator="equal" dxfId="1">
      <formula>"TERMS AGREED"</formula>
    </cfRule>
    <cfRule type="cellIs" priority="5" operator="equal" dxfId="1">
      <formula>"INTERESTED"</formula>
    </cfRule>
    <cfRule type="cellIs" priority="6" operator="equal" dxfId="2">
      <formula>"DEAD"</formula>
    </cfRule>
    <cfRule type="cellIs" priority="7" operator="equal" dxfId="2">
      <formula>"NOT INTERESTED"</formula>
    </cfRule>
  </conditionalFormatting>
  <conditionalFormatting sqref="G2:G84">
    <cfRule type="expression" priority="8" dxfId="2">
      <formula>AND(G2&lt;&gt;"",G2&lt;TODAY(),D2&lt;&gt;"DEAD",D2&lt;&gt;"SETTLED")</formula>
    </cfRule>
    <cfRule type="expression" priority="9" dxfId="3">
      <formula>G2=TODAY()</formula>
    </cfRule>
  </conditionalFormatting>
  <dataValidations count="2">
    <dataValidation sqref="D2:D84" showDropDown="0" showInputMessage="0" showErrorMessage="1" allowBlank="1" error="Pick a status from the list" type="list" errorStyle="stop">
      <formula1>"NEW,QUEUED,EMAILED,CALLED,VOICEMAIL,CONNECTED,INTERESTED,NOT INTERESTED,CALL BACK,DEAD,TERMS AGREED,CESSÃO SIGNED,SUBSTITUTED IN LIST,SETTLED"</formula1>
    </dataValidation>
    <dataValidation sqref="V2:V84" showDropDown="0" showInputMessage="0" showErrorMessage="1" allowBlank="1" error="Band must be A, B, C, D or U" type="list" errorStyle="stop">
      <formula1>"A,B,C,D,U"</formula1>
    </dataValidation>
  </dataValidations>
  <hyperlinks>
    <hyperlink xmlns:r="http://schemas.openxmlformats.org/officeDocument/2006/relationships" ref="AI2" r:id="rId1"/>
    <hyperlink xmlns:r="http://schemas.openxmlformats.org/officeDocument/2006/relationships" ref="AI3" r:id="rId2"/>
    <hyperlink xmlns:r="http://schemas.openxmlformats.org/officeDocument/2006/relationships" ref="AI4" r:id="rId3"/>
    <hyperlink xmlns:r="http://schemas.openxmlformats.org/officeDocument/2006/relationships" ref="AI5" r:id="rId4"/>
    <hyperlink xmlns:r="http://schemas.openxmlformats.org/officeDocument/2006/relationships" ref="AI6" r:id="rId5"/>
    <hyperlink xmlns:r="http://schemas.openxmlformats.org/officeDocument/2006/relationships" ref="AI7" r:id="rId6"/>
    <hyperlink xmlns:r="http://schemas.openxmlformats.org/officeDocument/2006/relationships" ref="AI8" r:id="rId7"/>
    <hyperlink xmlns:r="http://schemas.openxmlformats.org/officeDocument/2006/relationships" ref="AI9" r:id="rId8"/>
    <hyperlink xmlns:r="http://schemas.openxmlformats.org/officeDocument/2006/relationships" ref="AI10" r:id="rId9"/>
    <hyperlink xmlns:r="http://schemas.openxmlformats.org/officeDocument/2006/relationships" ref="AI11" r:id="rId10"/>
    <hyperlink xmlns:r="http://schemas.openxmlformats.org/officeDocument/2006/relationships" ref="AI12" r:id="rId11"/>
    <hyperlink xmlns:r="http://schemas.openxmlformats.org/officeDocument/2006/relationships" ref="AI13" r:id="rId12"/>
    <hyperlink xmlns:r="http://schemas.openxmlformats.org/officeDocument/2006/relationships" ref="AI14" r:id="rId13"/>
    <hyperlink xmlns:r="http://schemas.openxmlformats.org/officeDocument/2006/relationships" ref="AI15" r:id="rId14"/>
    <hyperlink xmlns:r="http://schemas.openxmlformats.org/officeDocument/2006/relationships" ref="AI16" r:id="rId15"/>
    <hyperlink xmlns:r="http://schemas.openxmlformats.org/officeDocument/2006/relationships" ref="AI17" r:id="rId16"/>
    <hyperlink xmlns:r="http://schemas.openxmlformats.org/officeDocument/2006/relationships" ref="AI18" r:id="rId17"/>
    <hyperlink xmlns:r="http://schemas.openxmlformats.org/officeDocument/2006/relationships" ref="AI19" r:id="rId18"/>
    <hyperlink xmlns:r="http://schemas.openxmlformats.org/officeDocument/2006/relationships" ref="AI20" r:id="rId19"/>
    <hyperlink xmlns:r="http://schemas.openxmlformats.org/officeDocument/2006/relationships" ref="AI21" r:id="rId20"/>
    <hyperlink xmlns:r="http://schemas.openxmlformats.org/officeDocument/2006/relationships" ref="AI22" r:id="rId21"/>
    <hyperlink xmlns:r="http://schemas.openxmlformats.org/officeDocument/2006/relationships" ref="AI23" r:id="rId22"/>
    <hyperlink xmlns:r="http://schemas.openxmlformats.org/officeDocument/2006/relationships" ref="AI24" r:id="rId23"/>
    <hyperlink xmlns:r="http://schemas.openxmlformats.org/officeDocument/2006/relationships" ref="AI25" r:id="rId24"/>
    <hyperlink xmlns:r="http://schemas.openxmlformats.org/officeDocument/2006/relationships" ref="AI26" r:id="rId25"/>
    <hyperlink xmlns:r="http://schemas.openxmlformats.org/officeDocument/2006/relationships" ref="AI27" r:id="rId26"/>
    <hyperlink xmlns:r="http://schemas.openxmlformats.org/officeDocument/2006/relationships" ref="AI28" r:id="rId27"/>
    <hyperlink xmlns:r="http://schemas.openxmlformats.org/officeDocument/2006/relationships" ref="AI29" r:id="rId28"/>
    <hyperlink xmlns:r="http://schemas.openxmlformats.org/officeDocument/2006/relationships" ref="AI30" r:id="rId29"/>
    <hyperlink xmlns:r="http://schemas.openxmlformats.org/officeDocument/2006/relationships" ref="AI31" r:id="rId30"/>
    <hyperlink xmlns:r="http://schemas.openxmlformats.org/officeDocument/2006/relationships" ref="AI32" r:id="rId31"/>
    <hyperlink xmlns:r="http://schemas.openxmlformats.org/officeDocument/2006/relationships" ref="AI33" r:id="rId32"/>
    <hyperlink xmlns:r="http://schemas.openxmlformats.org/officeDocument/2006/relationships" ref="AI34" r:id="rId33"/>
    <hyperlink xmlns:r="http://schemas.openxmlformats.org/officeDocument/2006/relationships" ref="AI35" r:id="rId34"/>
    <hyperlink xmlns:r="http://schemas.openxmlformats.org/officeDocument/2006/relationships" ref="AI36" r:id="rId35"/>
    <hyperlink xmlns:r="http://schemas.openxmlformats.org/officeDocument/2006/relationships" ref="AI37" r:id="rId36"/>
    <hyperlink xmlns:r="http://schemas.openxmlformats.org/officeDocument/2006/relationships" ref="AI38" r:id="rId37"/>
    <hyperlink xmlns:r="http://schemas.openxmlformats.org/officeDocument/2006/relationships" ref="AI39" r:id="rId38"/>
    <hyperlink xmlns:r="http://schemas.openxmlformats.org/officeDocument/2006/relationships" ref="AI40" r:id="rId39"/>
    <hyperlink xmlns:r="http://schemas.openxmlformats.org/officeDocument/2006/relationships" ref="AI41" r:id="rId40"/>
    <hyperlink xmlns:r="http://schemas.openxmlformats.org/officeDocument/2006/relationships" ref="AI42" r:id="rId41"/>
    <hyperlink xmlns:r="http://schemas.openxmlformats.org/officeDocument/2006/relationships" ref="AI43" r:id="rId42"/>
    <hyperlink xmlns:r="http://schemas.openxmlformats.org/officeDocument/2006/relationships" ref="AI44" r:id="rId43"/>
    <hyperlink xmlns:r="http://schemas.openxmlformats.org/officeDocument/2006/relationships" ref="AI45" r:id="rId44"/>
    <hyperlink xmlns:r="http://schemas.openxmlformats.org/officeDocument/2006/relationships" ref="AI46" r:id="rId45"/>
    <hyperlink xmlns:r="http://schemas.openxmlformats.org/officeDocument/2006/relationships" ref="AI47" r:id="rId46"/>
    <hyperlink xmlns:r="http://schemas.openxmlformats.org/officeDocument/2006/relationships" ref="AI48" r:id="rId47"/>
    <hyperlink xmlns:r="http://schemas.openxmlformats.org/officeDocument/2006/relationships" ref="AI49" r:id="rId48"/>
    <hyperlink xmlns:r="http://schemas.openxmlformats.org/officeDocument/2006/relationships" ref="AI50" r:id="rId49"/>
    <hyperlink xmlns:r="http://schemas.openxmlformats.org/officeDocument/2006/relationships" ref="AI51" r:id="rId50"/>
    <hyperlink xmlns:r="http://schemas.openxmlformats.org/officeDocument/2006/relationships" ref="AI52" r:id="rId51"/>
    <hyperlink xmlns:r="http://schemas.openxmlformats.org/officeDocument/2006/relationships" ref="AI53" r:id="rId52"/>
    <hyperlink xmlns:r="http://schemas.openxmlformats.org/officeDocument/2006/relationships" ref="AI54" r:id="rId53"/>
    <hyperlink xmlns:r="http://schemas.openxmlformats.org/officeDocument/2006/relationships" ref="AI55" r:id="rId54"/>
    <hyperlink xmlns:r="http://schemas.openxmlformats.org/officeDocument/2006/relationships" ref="AI56" r:id="rId55"/>
    <hyperlink xmlns:r="http://schemas.openxmlformats.org/officeDocument/2006/relationships" ref="AI57" r:id="rId56"/>
    <hyperlink xmlns:r="http://schemas.openxmlformats.org/officeDocument/2006/relationships" ref="AI58" r:id="rId57"/>
    <hyperlink xmlns:r="http://schemas.openxmlformats.org/officeDocument/2006/relationships" ref="AI59" r:id="rId58"/>
    <hyperlink xmlns:r="http://schemas.openxmlformats.org/officeDocument/2006/relationships" ref="AI60" r:id="rId59"/>
    <hyperlink xmlns:r="http://schemas.openxmlformats.org/officeDocument/2006/relationships" ref="AI61" r:id="rId60"/>
    <hyperlink xmlns:r="http://schemas.openxmlformats.org/officeDocument/2006/relationships" ref="AI62" r:id="rId61"/>
    <hyperlink xmlns:r="http://schemas.openxmlformats.org/officeDocument/2006/relationships" ref="AI63" r:id="rId62"/>
    <hyperlink xmlns:r="http://schemas.openxmlformats.org/officeDocument/2006/relationships" ref="AI64" r:id="rId63"/>
    <hyperlink xmlns:r="http://schemas.openxmlformats.org/officeDocument/2006/relationships" ref="AI65" r:id="rId64"/>
    <hyperlink xmlns:r="http://schemas.openxmlformats.org/officeDocument/2006/relationships" ref="AI66" r:id="rId65"/>
    <hyperlink xmlns:r="http://schemas.openxmlformats.org/officeDocument/2006/relationships" ref="AI67" r:id="rId66"/>
    <hyperlink xmlns:r="http://schemas.openxmlformats.org/officeDocument/2006/relationships" ref="AI68" r:id="rId67"/>
    <hyperlink xmlns:r="http://schemas.openxmlformats.org/officeDocument/2006/relationships" ref="AI69" r:id="rId68"/>
    <hyperlink xmlns:r="http://schemas.openxmlformats.org/officeDocument/2006/relationships" ref="AI70" r:id="rId69"/>
    <hyperlink xmlns:r="http://schemas.openxmlformats.org/officeDocument/2006/relationships" ref="AI71" r:id="rId70"/>
    <hyperlink xmlns:r="http://schemas.openxmlformats.org/officeDocument/2006/relationships" ref="AI72" r:id="rId71"/>
    <hyperlink xmlns:r="http://schemas.openxmlformats.org/officeDocument/2006/relationships" ref="AI73" r:id="rId72"/>
    <hyperlink xmlns:r="http://schemas.openxmlformats.org/officeDocument/2006/relationships" ref="AI74" r:id="rId73"/>
    <hyperlink xmlns:r="http://schemas.openxmlformats.org/officeDocument/2006/relationships" ref="AI75" r:id="rId74"/>
    <hyperlink xmlns:r="http://schemas.openxmlformats.org/officeDocument/2006/relationships" ref="AI76" r:id="rId75"/>
    <hyperlink xmlns:r="http://schemas.openxmlformats.org/officeDocument/2006/relationships" ref="AI77" r:id="rId76"/>
    <hyperlink xmlns:r="http://schemas.openxmlformats.org/officeDocument/2006/relationships" ref="AI78" r:id="rId77"/>
    <hyperlink xmlns:r="http://schemas.openxmlformats.org/officeDocument/2006/relationships" ref="AI79" r:id="rId78"/>
    <hyperlink xmlns:r="http://schemas.openxmlformats.org/officeDocument/2006/relationships" ref="AI80" r:id="rId79"/>
    <hyperlink xmlns:r="http://schemas.openxmlformats.org/officeDocument/2006/relationships" ref="AI81" r:id="rId80"/>
    <hyperlink xmlns:r="http://schemas.openxmlformats.org/officeDocument/2006/relationships" ref="AI82" r:id="rId81"/>
    <hyperlink xmlns:r="http://schemas.openxmlformats.org/officeDocument/2006/relationships" ref="AI83" r:id="rId82"/>
    <hyperlink xmlns:r="http://schemas.openxmlformats.org/officeDocument/2006/relationships" ref="AI84" r:id="rId8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8"/>
  <sheetViews>
    <sheetView workbookViewId="0">
      <pane ySplit="1" topLeftCell="A2" activePane="bottomLeft" state="frozen"/>
      <selection pane="bottomLeft" activeCell="A1" sqref="A1"/>
    </sheetView>
  </sheetViews>
  <sheetFormatPr baseColWidth="8" defaultRowHeight="15"/>
  <cols>
    <col width="42" customWidth="1" min="1" max="1"/>
    <col width="40" customWidth="1" min="2" max="2"/>
    <col width="16" customWidth="1" min="3" max="3"/>
    <col width="70" customWidth="1" min="4" max="4"/>
    <col width="26" customWidth="1" min="5" max="5"/>
    <col width="60" customWidth="1" min="6" max="6"/>
  </cols>
  <sheetData>
    <row r="1">
      <c r="A1" s="4" t="inlineStr">
        <is>
          <t>CREDITOR</t>
        </is>
      </c>
      <c r="B1" s="4" t="inlineStr">
        <is>
          <t>DEBTOR</t>
        </is>
      </c>
      <c r="C1" s="4" t="inlineStr">
        <is>
          <t>FACE (R$)</t>
        </is>
      </c>
      <c r="D1" s="4" t="inlineStr">
        <is>
          <t>WHY EXCLUDED</t>
        </is>
      </c>
      <c r="E1" s="4" t="inlineStr">
        <is>
          <t>Case number</t>
        </is>
      </c>
      <c r="F1" s="4" t="inlineStr">
        <is>
          <t>Source document</t>
        </is>
      </c>
    </row>
    <row r="2">
      <c r="A2" t="inlineStr">
        <is>
          <t>Banco do Veneza Equipamentos Sul Comercio LTDA (CNPJ nº</t>
        </is>
      </c>
      <c r="B2" t="inlineStr">
        <is>
          <t>CARAVAGGIO CONSTRUTORA LTDA</t>
        </is>
      </c>
      <c r="C2" s="6" t="n">
        <v>19901498.91</v>
      </c>
      <c r="D2" t="inlineStr">
        <is>
          <t>printed value sits in a multi-CNPJ prose line — may belong to a neighbouring creditor; re-extract before quoting</t>
        </is>
      </c>
      <c r="E2" t="inlineStr">
        <is>
          <t>0037411-27.2022.8.16.0021</t>
        </is>
      </c>
      <c r="F2" s="41" t="inlineStr">
        <is>
          <t>https://marquesadmjudicial.com.br/sgc/download.php?file=files/processo_documento/processo_documento16562707032024_1_.pdf&amp;nome=2º Edital-Relação de Credores do art. 7, §2 da LREF e do Plano de Recuperação Judicial</t>
        </is>
      </c>
    </row>
    <row r="3">
      <c r="A3" t="inlineStr">
        <is>
          <t>EMS S/A</t>
        </is>
      </c>
      <c r="B3" t="inlineStr">
        <is>
          <t>GRUPO DP4</t>
        </is>
      </c>
      <c r="C3" s="6" t="n">
        <v>16590576.49</v>
      </c>
      <c r="D3" t="inlineStr">
        <is>
          <t>creditor company not ATIVA at RFB</t>
        </is>
      </c>
      <c r="E3" t="inlineStr">
        <is>
          <t>0005010-98.2023.8.16.0001</t>
        </is>
      </c>
      <c r="F3" s="41" t="inlineStr">
        <is>
          <t>https://marquesadmjudicial.com.br/sgc/download.php?file=files/processo_documento/processo_documento15293208032024_1_.pdf&amp;nome=Relação Nominal de Credores da AJ-Sintética</t>
        </is>
      </c>
    </row>
    <row r="4">
      <c r="A4" t="inlineStr">
        <is>
          <t>BARITECH BRASIL REVESTIMENTOS LTDA</t>
        </is>
      </c>
      <c r="B4" t="inlineStr">
        <is>
          <t>GRUPO EGESA (Egesa Engenharia S.A. + 9 group companies; see group members)</t>
        </is>
      </c>
      <c r="C4" s="6" t="n">
        <v>15999496.52</v>
      </c>
      <c r="D4" t="inlineStr">
        <is>
          <t>creditor company not ATIVA at RFB</t>
        </is>
      </c>
      <c r="E4" t="inlineStr">
        <is>
          <t>5088952-81.2025.8.13.0024</t>
        </is>
      </c>
      <c r="F4" s="41" t="inlineStr">
        <is>
          <t>https://scalzilliaj.com.br/sgc/download.php?file=files/processo_documento/processo_documento09514021082025_1_.pdf&amp;nome=04 - Relação de credores das Recuperandas</t>
        </is>
      </c>
    </row>
    <row r="5">
      <c r="A5" t="inlineStr">
        <is>
          <t>DREYMOOR BRASIL COMERCIO DE FERTILIZANTES LTDA</t>
        </is>
      </c>
      <c r="B5" t="inlineStr">
        <is>
          <t>JOB FERTILIZANTES LTDA</t>
        </is>
      </c>
      <c r="C5" s="6" t="n">
        <v>15134865.1</v>
      </c>
      <c r="D5" t="inlineStr">
        <is>
          <t>related party: creditor name = debtor / group member (JOB FERTILIZANTES LTDA)</t>
        </is>
      </c>
      <c r="E5" t="inlineStr">
        <is>
          <t>(not printed)</t>
        </is>
      </c>
      <c r="F5" s="41" t="inlineStr">
        <is>
          <t>https://scalzilliaj.com.br/sgc/download.php?file=files/processo_documento/processo_documento13183320052026_1_.pdf&amp;nome=10 - QGC Provisório - atualizado até Maio de 2026</t>
        </is>
      </c>
    </row>
    <row r="6">
      <c r="A6" t="inlineStr">
        <is>
          <t>VINICOLA CAMPESTRE LTDA</t>
        </is>
      </c>
      <c r="B6" t="inlineStr">
        <is>
          <t>Grupo Arruda (ARRUDA &amp; MELO REPRESENTACAO DE ALIMENTOS E BEBIDAS LTDA, ARRUDA &amp; MELO COMERCIO E DISTRIBUICAO DE ALIMENTOS E BEBIDAS LTDA, ARRUDA &amp; MELO COMERCIO E DISTRIBUICAO DE ALIMENTOS E BEBIDAS DA BAHIA LTDA)</t>
        </is>
      </c>
      <c r="C6" s="6" t="n">
        <v>13980345.5</v>
      </c>
      <c r="D6" t="inlineStr">
        <is>
          <t>printed value sits in a multi-CNPJ prose line — may belong to a neighbouring creditor; re-extract before quoting</t>
        </is>
      </c>
      <c r="E6" t="inlineStr">
        <is>
          <t>0008526-45.2025.8.17.2001</t>
        </is>
      </c>
      <c r="F6" s="41" t="inlineStr">
        <is>
          <t>https://diligence.adm.br/wp-content/uploads/2025/06/Edital-1a-Lista-de-Credores.pdf</t>
        </is>
      </c>
    </row>
    <row r="7">
      <c r="A7" t="inlineStr">
        <is>
          <t>ASSOCIACAO DOS AGROPECUARISTAS CABRITOS DA FLORESTA</t>
        </is>
      </c>
      <c r="B7" t="inlineStr">
        <is>
          <t>GRUPO DIVINA</t>
        </is>
      </c>
      <c r="C7" s="6" t="n">
        <v>11835000</v>
      </c>
      <c r="D7" t="inlineStr">
        <is>
          <t>creditor company not ATIVA at RFB</t>
        </is>
      </c>
      <c r="E7" t="inlineStr">
        <is>
          <t>0000721-61.2024.8.17.2620</t>
        </is>
      </c>
      <c r="F7" s="41" t="inlineStr">
        <is>
          <t>https://lrflideres.com.br/wp-content/plugins/download-attachments/includes/download.php?id=6252</t>
        </is>
      </c>
    </row>
    <row r="8">
      <c r="A8" t="inlineStr">
        <is>
          <t>ALBAUGH AGRO BRASIL LTDA.</t>
        </is>
      </c>
      <c r="B8" t="inlineStr">
        <is>
          <t>SOJAL COMERCIAL AGRICOLA LTDA e OUTROS</t>
        </is>
      </c>
      <c r="C8" s="6" t="n">
        <v>11525550.26</v>
      </c>
      <c r="D8" t="inlineStr">
        <is>
          <t>printed value sits in a multi-CNPJ prose line — may belong to a neighbouring creditor; re-extract before quoting</t>
        </is>
      </c>
      <c r="E8" t="inlineStr">
        <is>
          <t>0804401-51.2025.8.14.0039</t>
        </is>
      </c>
      <c r="F8" s="41" t="inlineStr">
        <is>
          <t>https://lrflideres.com.br/wp-content/plugins/download-attachments/includes/download.php?id=6879</t>
        </is>
      </c>
    </row>
    <row r="9">
      <c r="A9" t="inlineStr">
        <is>
          <t>MG6 INVESTIMENTOS LTDA</t>
        </is>
      </c>
      <c r="B9" t="inlineStr">
        <is>
          <t>TRANSLOCOMOTIVA TRANSPORTES RODOVIÁRIOS E DISTRIBUIÇÃO DE CARGAS LTDA.</t>
        </is>
      </c>
      <c r="C9" s="6" t="n">
        <v>8492500</v>
      </c>
      <c r="D9" t="inlineStr">
        <is>
          <t>creditor company not ATIVA at RFB</t>
        </is>
      </c>
      <c r="E9" t="inlineStr">
        <is>
          <t>1000117-72.2020.8.26.0260</t>
        </is>
      </c>
      <c r="F9" s="41" t="inlineStr">
        <is>
          <t>https://ativosajce.com.br/admin/download.php?file=files/processo_documento/processo_documento18430011062025_1_.pdf&amp;nome=Relação de Credores - Art. 52º § 1º, da Lei nº 11.101/2005 - 13/08/2020</t>
        </is>
      </c>
    </row>
    <row r="10">
      <c r="A10" t="inlineStr">
        <is>
          <t>COOPERATIVA DOS PLANTADORES DE CANA DO ESTADO SAO PAULO</t>
        </is>
      </c>
      <c r="B10" t="inlineStr">
        <is>
          <t>NAIR AKICO NAWAKAMI MORIOKA, TAIKI FELIPE MORIOKA e TIEZO FERNANDO MORIOKA (produtores rurais)</t>
        </is>
      </c>
      <c r="C10" s="6" t="n">
        <v>8000000</v>
      </c>
      <c r="D10" t="inlineStr">
        <is>
          <t>printed value sits in a multi-CNPJ prose line — may belong to a neighbouring creditor; re-extract before quoting</t>
        </is>
      </c>
      <c r="E10" t="inlineStr">
        <is>
          <t>4000807-49.2026.8.26.0354</t>
        </is>
      </c>
      <c r="F10" s="41" t="inlineStr">
        <is>
          <t>https://vtladm.com.br/wp-content/uploads/2026/06/02-–-Relacao-de-Credores-–-NAIR-AKICO-KAWAKAMI-MORIOKA-E-OUTROS.pdf</t>
        </is>
      </c>
    </row>
    <row r="11">
      <c r="A11" t="inlineStr">
        <is>
          <t>SOLUS DO BRASIL LTDA</t>
        </is>
      </c>
      <c r="B11" t="inlineStr">
        <is>
          <t>SOJAL COMERCIAL AGRICOLA LTDA e OUTROS</t>
        </is>
      </c>
      <c r="C11" s="6" t="n">
        <v>7058181.5</v>
      </c>
      <c r="D11" t="inlineStr">
        <is>
          <t>printed value sits in a multi-CNPJ prose line — may belong to a neighbouring creditor; re-extract before quoting</t>
        </is>
      </c>
      <c r="E11" t="inlineStr">
        <is>
          <t>0804401-51.2025.8.14.0039</t>
        </is>
      </c>
      <c r="F11" s="41" t="inlineStr">
        <is>
          <t>https://lrflideres.com.br/wp-content/plugins/download-attachments/includes/download.php?id=6879</t>
        </is>
      </c>
    </row>
    <row r="12">
      <c r="A12" t="inlineStr">
        <is>
          <t>NORTESUL COMERCIAL AGRICOLA LTDA EM RECUPERACAO JUDICIAL</t>
        </is>
      </c>
      <c r="B12" t="inlineStr">
        <is>
          <t>SOJAL COMERCIAL AGRICOLA LTDA e OUTROS</t>
        </is>
      </c>
      <c r="C12" s="6" t="n">
        <v>6258845.34</v>
      </c>
      <c r="D12" t="inlineStr">
        <is>
          <t>printed value sits in a multi-CNPJ prose line — may belong to a neighbouring creditor; re-extract before quoting</t>
        </is>
      </c>
      <c r="E12" t="inlineStr">
        <is>
          <t>0804401-51.2025.8.14.0039</t>
        </is>
      </c>
      <c r="F12" s="41" t="inlineStr">
        <is>
          <t>https://lrflideres.com.br/wp-content/plugins/download-attachments/includes/download.php?id=6879</t>
        </is>
      </c>
    </row>
    <row r="13">
      <c r="A13" t="inlineStr">
        <is>
          <t>FARM TECH IBBA I FIDC</t>
        </is>
      </c>
      <c r="B13" t="inlineStr">
        <is>
          <t>SOJAL COMERCIAL AGRICOLA LTDA e OUTROS</t>
        </is>
      </c>
      <c r="C13" s="6" t="n">
        <v>5767665.6</v>
      </c>
      <c r="D13" t="inlineStr">
        <is>
          <t>printed value sits in a multi-CNPJ prose line — may belong to a neighbouring creditor; re-extract before quoting</t>
        </is>
      </c>
      <c r="E13" t="inlineStr">
        <is>
          <t>0804401-51.2025.8.14.0039</t>
        </is>
      </c>
      <c r="F13" s="41" t="inlineStr">
        <is>
          <t>https://lrflideres.com.br/wp-content/plugins/download-attachments/includes/download.php?id=6879</t>
        </is>
      </c>
    </row>
    <row r="14">
      <c r="A14" t="inlineStr">
        <is>
          <t>BANCO DO BRASIL SA</t>
        </is>
      </c>
      <c r="B14" t="inlineStr">
        <is>
          <t>GRUPO FOREST</t>
        </is>
      </c>
      <c r="C14" s="6" t="n">
        <v>4441128</v>
      </c>
      <c r="D14" t="inlineStr">
        <is>
          <t>printed value sits in a multi-CNPJ prose line — may belong to a neighbouring creditor; re-extract before quoting</t>
        </is>
      </c>
      <c r="E14" t="inlineStr">
        <is>
          <t>0026395-77.2025.8.16.0019</t>
        </is>
      </c>
      <c r="F14" s="41" t="inlineStr">
        <is>
          <t>https://administradorajudicialgs.com.br/wp-content/uploads/2025/09/relacao-de-credores-forest-sa.pdf</t>
        </is>
      </c>
    </row>
    <row r="15">
      <c r="A15" t="inlineStr">
        <is>
          <t>POROS ENGENHARIA LTDA</t>
        </is>
      </c>
      <c r="B15" t="inlineStr">
        <is>
          <t>GRUPO EGESA (Egesa Engenharia S.A. + 9 group companies; see group members)</t>
        </is>
      </c>
      <c r="C15" s="6" t="n">
        <v>4386076.47</v>
      </c>
      <c r="D15" t="inlineStr">
        <is>
          <t>creditor company not ATIVA at RFB</t>
        </is>
      </c>
      <c r="E15" t="inlineStr">
        <is>
          <t>5088952-81.2025.8.13.0024</t>
        </is>
      </c>
      <c r="F15" s="41" t="inlineStr">
        <is>
          <t>https://scalzilliaj.com.br/sgc/download.php?file=files/processo_documento/processo_documento09514021082025_1_.pdf&amp;nome=04 - Relação de credores das Recuperandas</t>
        </is>
      </c>
    </row>
    <row r="16">
      <c r="A16" t="inlineStr">
        <is>
          <t>JSS SERVICOS LTDA</t>
        </is>
      </c>
      <c r="B16" t="inlineStr">
        <is>
          <t>Grupo Conduscabos</t>
        </is>
      </c>
      <c r="C16" s="6" t="n">
        <v>4168615.02</v>
      </c>
      <c r="D16" t="inlineStr">
        <is>
          <t>creditor company not ATIVA at RFB</t>
        </is>
      </c>
      <c r="E16" t="inlineStr">
        <is>
          <t>8005129-09.2023.8.05.0039</t>
        </is>
      </c>
      <c r="F16" s="41" t="inlineStr">
        <is>
          <t>https://assistjud.com.br/wp-content/uploads/elementor/forms/65098c80a5824.pdf</t>
        </is>
      </c>
    </row>
    <row r="17">
      <c r="A17" t="inlineStr">
        <is>
          <t>CESUMAR - CENTRO DE ENSINO SUPERIOR DE MARINGA LTDA</t>
        </is>
      </c>
      <c r="B17" t="inlineStr">
        <is>
          <t>GRUPO ESPAÇO EDUCAÇÃO</t>
        </is>
      </c>
      <c r="C17" s="6" t="n">
        <v>3666740.59</v>
      </c>
      <c r="D17" t="inlineStr">
        <is>
          <t>creditor company not ATIVA at RFB</t>
        </is>
      </c>
      <c r="E17" t="inlineStr">
        <is>
          <t>5027051-28.2023.8.24.0008</t>
        </is>
      </c>
      <c r="F17" s="41" t="inlineStr">
        <is>
          <t>https://administradorajudicialgs.com.br/wp-content/uploads/2023/11/relacao-credores-recuperanda.pdf</t>
        </is>
      </c>
    </row>
    <row r="18">
      <c r="A18" t="inlineStr">
        <is>
          <t>DIVINA INDUSTRIA DE COURO LTDA - EM RECUPERACAO JUDICIAL</t>
        </is>
      </c>
      <c r="B18" t="inlineStr">
        <is>
          <t>GRUPO DIVINA</t>
        </is>
      </c>
      <c r="C18" s="6" t="n">
        <v>3206338.81</v>
      </c>
      <c r="D18" t="inlineStr">
        <is>
          <t>related party: creditor has the debtor's own CNPJ (intercompany)</t>
        </is>
      </c>
      <c r="E18" t="inlineStr">
        <is>
          <t>0000721-61.2024.8.17.2620</t>
        </is>
      </c>
      <c r="F18" s="41" t="inlineStr">
        <is>
          <t>https://lrflideres.com.br/wp-content/plugins/download-attachments/includes/download.php?id=6252</t>
        </is>
      </c>
    </row>
    <row r="19">
      <c r="A19" t="inlineStr">
        <is>
          <t>VIANMAQ EQUIPAMENTOS LTDA</t>
        </is>
      </c>
      <c r="B19" t="inlineStr">
        <is>
          <t>CARAVAGGIO CONSTRUTORA LTDA</t>
        </is>
      </c>
      <c r="C19" s="6" t="n">
        <v>3083893.62</v>
      </c>
      <c r="D19" t="inlineStr">
        <is>
          <t>printed value sits in a multi-CNPJ prose line — may belong to a neighbouring creditor; re-extract before quoting</t>
        </is>
      </c>
      <c r="E19" t="inlineStr">
        <is>
          <t>0037411-27.2022.8.16.0021</t>
        </is>
      </c>
      <c r="F19" s="41" t="inlineStr">
        <is>
          <t>https://marquesadmjudicial.com.br/sgc/download.php?file=files/processo_documento/processo_documento16562707032024_1_.pdf&amp;nome=2º Edital-Relação de Credores do art. 7, §2 da LREF e do Plano de Recuperação Judicial</t>
        </is>
      </c>
    </row>
    <row r="20">
      <c r="A20" t="inlineStr">
        <is>
          <t>SANOFI MEDLEY FARMACEUTICA LTDA</t>
        </is>
      </c>
      <c r="B20" t="inlineStr">
        <is>
          <t>GRUPO DP4</t>
        </is>
      </c>
      <c r="C20" s="6" t="n">
        <v>2794382.91</v>
      </c>
      <c r="D20" t="inlineStr">
        <is>
          <t>creditor company not ATIVA at RFB</t>
        </is>
      </c>
      <c r="E20" t="inlineStr">
        <is>
          <t>0005010-98.2023.8.16.0001</t>
        </is>
      </c>
      <c r="F20" s="41" t="inlineStr">
        <is>
          <t>https://marquesadmjudicial.com.br/sgc/download.php?file=files/processo_documento/processo_documento15293208032024_1_.pdf&amp;nome=Relação Nominal de Credores da AJ-Sintética</t>
        </is>
      </c>
    </row>
    <row r="21">
      <c r="A21" t="inlineStr">
        <is>
          <t>CROMO INDUSTRIA QUIMICA S.A.</t>
        </is>
      </c>
      <c r="B21" t="inlineStr">
        <is>
          <t>SOJAL COMERCIAL AGRICOLA LTDA e OUTROS</t>
        </is>
      </c>
      <c r="C21" s="6" t="n">
        <v>2406485.64</v>
      </c>
      <c r="D21" t="inlineStr">
        <is>
          <t>printed value sits in a multi-CNPJ prose line — may belong to a neighbouring creditor; re-extract before quoting</t>
        </is>
      </c>
      <c r="E21" t="inlineStr">
        <is>
          <t>0804401-51.2025.8.14.0039</t>
        </is>
      </c>
      <c r="F21" s="41" t="inlineStr">
        <is>
          <t>https://lrflideres.com.br/wp-content/plugins/download-attachments/includes/download.php?id=6879</t>
        </is>
      </c>
    </row>
    <row r="22">
      <c r="A22" t="inlineStr">
        <is>
          <t>RECUPERAICRED COBRANCA E RECUPERACAO DE CREDITO LTDA</t>
        </is>
      </c>
      <c r="B22" t="inlineStr">
        <is>
          <t>GRUPO EGESA (Egesa Engenharia S.A. + 9 group companies; see group members)</t>
        </is>
      </c>
      <c r="C22" s="6" t="n">
        <v>2189633.16</v>
      </c>
      <c r="D22" t="inlineStr">
        <is>
          <t>creditor company not ATIVA at RFB</t>
        </is>
      </c>
      <c r="E22" t="inlineStr">
        <is>
          <t>5088952-81.2025.8.13.0024</t>
        </is>
      </c>
      <c r="F22" s="41" t="inlineStr">
        <is>
          <t>https://scalzilliaj.com.br/sgc/download.php?file=files/processo_documento/processo_documento09514021082025_1_.pdf&amp;nome=04 - Relação de credores das Recuperandas</t>
        </is>
      </c>
    </row>
    <row r="23">
      <c r="A23" t="inlineStr">
        <is>
          <t>TITO LIVIO CORREA</t>
        </is>
      </c>
      <c r="B23" t="inlineStr">
        <is>
          <t>GRUPO UNIBRÁS</t>
        </is>
      </c>
      <c r="C23" s="6" t="n">
        <v>2000200</v>
      </c>
      <c r="D23" t="inlineStr">
        <is>
          <t>creditor company not ATIVA at RFB</t>
        </is>
      </c>
      <c r="E23" t="inlineStr">
        <is>
          <t>5677250-87.2023.8.09.0051</t>
        </is>
      </c>
      <c r="F23" s="41" t="inlineStr">
        <is>
          <t>https://stenius.com.br/wp-content/uploads/2026/03/EDITAL-1-UNIBRAS.pdf</t>
        </is>
      </c>
    </row>
    <row r="24">
      <c r="A24" t="inlineStr">
        <is>
          <t>BANCO BRADESCO CARTOES S.A.</t>
        </is>
      </c>
      <c r="B24" t="inlineStr"/>
      <c r="C24" s="6" t="n">
        <v>1970000</v>
      </c>
      <c r="D24" t="inlineStr">
        <is>
          <t>creditor company not ATIVA at RFB</t>
        </is>
      </c>
      <c r="E24" t="inlineStr">
        <is>
          <t>(not printed)</t>
        </is>
      </c>
      <c r="F24" s="41" t="inlineStr">
        <is>
          <t>https://ajruiz.com.br/sites/default/files/public/arquivos-processos/2023-11/4_relacao_de_credores_analitica_art._51_iii_da_lre.pdf</t>
        </is>
      </c>
    </row>
    <row r="25">
      <c r="A25" t="inlineStr">
        <is>
          <t>DRILLTEC GROSSBOHR UND UMWELTTECHNIK GMBH</t>
        </is>
      </c>
      <c r="B25" t="inlineStr">
        <is>
          <t>GRUPO EGESA (Egesa Engenharia S.A. + 9 group companies; see group members)</t>
        </is>
      </c>
      <c r="C25" s="6" t="n">
        <v>1927379.62</v>
      </c>
      <c r="D25" t="inlineStr">
        <is>
          <t>creditor company not ATIVA at RFB</t>
        </is>
      </c>
      <c r="E25" t="inlineStr">
        <is>
          <t>5088952-81.2025.8.13.0024</t>
        </is>
      </c>
      <c r="F25" s="41" t="inlineStr">
        <is>
          <t>https://scalzilliaj.com.br/sgc/download.php?file=files/processo_documento/processo_documento09514021082025_1_.pdf&amp;nome=04 - Relação de credores das Recuperandas</t>
        </is>
      </c>
    </row>
    <row r="26">
      <c r="A26" t="inlineStr">
        <is>
          <t>AGRO SAFRA INDUSTRIA E COMERCIO DE ADUBOS LTDA</t>
        </is>
      </c>
      <c r="B26" t="inlineStr">
        <is>
          <t>GRUPO AGRO SAFRA</t>
        </is>
      </c>
      <c r="C26" s="6" t="n">
        <v>1685996.32</v>
      </c>
      <c r="D26" t="inlineStr">
        <is>
          <t>related party: creditor has the debtor's own CNPJ (intercompany)</t>
        </is>
      </c>
      <c r="E26" t="inlineStr">
        <is>
          <t>1003322-70.2024.8.26.0260</t>
        </is>
      </c>
      <c r="F26" s="41" t="inlineStr">
        <is>
          <t>https://vivanteaj.com.br/wp-content/uploads/2025/02/2a-lista-de-credores-Agro-Safra-e-outros.pdf</t>
        </is>
      </c>
    </row>
    <row r="27">
      <c r="A27" t="inlineStr">
        <is>
          <t>D. G. OLIVEIRA MONTAGENS INDUSTRIAIS LTDA</t>
        </is>
      </c>
      <c r="B27" t="inlineStr">
        <is>
          <t>GRUPO EGESA (Egesa Engenharia S.A. + 9 group companies; see group members)</t>
        </is>
      </c>
      <c r="C27" s="6" t="n">
        <v>1616915.34</v>
      </c>
      <c r="D27" t="inlineStr">
        <is>
          <t>creditor company not ATIVA at RFB</t>
        </is>
      </c>
      <c r="E27" t="inlineStr">
        <is>
          <t>5088952-81.2025.8.13.0024</t>
        </is>
      </c>
      <c r="F27" s="41" t="inlineStr">
        <is>
          <t>https://scalzilliaj.com.br/sgc/download.php?file=files/processo_documento/processo_documento09514021082025_1_.pdf&amp;nome=04 - Relação de credores das Recuperandas</t>
        </is>
      </c>
    </row>
    <row r="28">
      <c r="A28" t="inlineStr">
        <is>
          <t>MARE CIMENTO LTDA</t>
        </is>
      </c>
      <c r="B28" t="inlineStr">
        <is>
          <t>GRUPO EGESA (Egesa Engenharia S.A. + 9 group companies; see group members)</t>
        </is>
      </c>
      <c r="C28" s="6" t="n">
        <v>1327676.76</v>
      </c>
      <c r="D28" t="inlineStr">
        <is>
          <t>creditor company not ATIVA at RFB</t>
        </is>
      </c>
      <c r="E28" t="inlineStr">
        <is>
          <t>5088952-81.2025.8.13.0024</t>
        </is>
      </c>
      <c r="F28" s="41" t="inlineStr">
        <is>
          <t>https://scalzilliaj.com.br/sgc/download.php?file=files/processo_documento/processo_documento09514021082025_1_.pdf&amp;nome=04 - Relação de credores das Recuperandas</t>
        </is>
      </c>
    </row>
    <row r="29">
      <c r="A29" t="inlineStr">
        <is>
          <t>BELL - BRASIL ENGENHARIA E LOCACOES LTDA.</t>
        </is>
      </c>
      <c r="B29" t="inlineStr">
        <is>
          <t>GRUPO EGESA (Egesa Engenharia S.A. + 9 group companies; see group members)</t>
        </is>
      </c>
      <c r="C29" s="6" t="n">
        <v>1288022.82</v>
      </c>
      <c r="D29" t="inlineStr">
        <is>
          <t>creditor company not ATIVA at RFB</t>
        </is>
      </c>
      <c r="E29" t="inlineStr">
        <is>
          <t>5088952-81.2025.8.13.0024</t>
        </is>
      </c>
      <c r="F29" s="41" t="inlineStr">
        <is>
          <t>https://scalzilliaj.com.br/sgc/download.php?file=files/processo_documento/processo_documento09514021082025_1_.pdf&amp;nome=04 - Relação de credores das Recuperandas</t>
        </is>
      </c>
    </row>
    <row r="30">
      <c r="A30" t="inlineStr">
        <is>
          <t>MAXX COMERCIO FABRICACAO E REPRESENTACAO LTDA</t>
        </is>
      </c>
      <c r="B30" t="inlineStr">
        <is>
          <t>GRUPO FERRARI (ALEX, ALEXANDRE , ANDRIELLE FERRARI MANTELLI, ARCIR LUIS, ERICA SANTOS ASSIS LIMA, FERNANDO MANTELLI, IDELSI, TALITA LEITE SILVA, AGROPECUARIA FERRARI LTDA E FERRARI ARMAZENS GERAIS)</t>
        </is>
      </c>
      <c r="C30" s="6" t="n">
        <v>1241838</v>
      </c>
      <c r="D30" t="inlineStr">
        <is>
          <t>creditor company not ATIVA at RFB</t>
        </is>
      </c>
      <c r="E30" t="inlineStr">
        <is>
          <t>5011369-81.2026.8.09.0093</t>
        </is>
      </c>
      <c r="F30" s="41" t="inlineStr">
        <is>
          <t>https://scalzilliaj.com.br/sgc/download.php?file=files/processo_documento/processo_documento11421222052026_1_.pdf&amp;nome=08. Lista de credores do edital do art. 52, §1º da LREF</t>
        </is>
      </c>
    </row>
    <row r="31">
      <c r="A31" t="inlineStr">
        <is>
          <t>PEDRA DA MATA EMPREENDIMENTOS IMOBILIARIOS LTDA - FALIDO</t>
        </is>
      </c>
      <c r="B31" t="inlineStr">
        <is>
          <t>GRUPO EGESA (Egesa Engenharia S.A. + 9 group companies; see group members)</t>
        </is>
      </c>
      <c r="C31" s="6" t="n">
        <v>1080226.03</v>
      </c>
      <c r="D31" t="inlineStr">
        <is>
          <t>creditor company not ATIVA at RFB</t>
        </is>
      </c>
      <c r="E31" t="inlineStr">
        <is>
          <t>5088952-81.2025.8.13.0024</t>
        </is>
      </c>
      <c r="F31" s="41" t="inlineStr">
        <is>
          <t>https://scalzilliaj.com.br/sgc/download.php?file=files/processo_documento/processo_documento09514021082025_1_.pdf&amp;nome=04 - Relação de credores das Recuperandas</t>
        </is>
      </c>
    </row>
    <row r="32">
      <c r="A32" t="inlineStr">
        <is>
          <t>ARRUDA &amp; MELO COMERCIO E DISTRIBUICAO DE ALIMENTOS E BEBIDAS LTDA - EM RECUPERACAO JUDICIAL</t>
        </is>
      </c>
      <c r="B32" t="inlineStr">
        <is>
          <t>Grupo Arruda (ARRUDA &amp; MELO REPRESENTACAO DE ALIMENTOS E BEBIDAS LTDA, ARRUDA &amp; MELO COMERCIO E DISTRIBUICAO DE ALIMENTOS E BEBIDAS LTDA, ARRUDA &amp; MELO COMERCIO E DISTRIBUICAO DE ALIMENTOS E BEBIDAS DA BAHIA LTDA)</t>
        </is>
      </c>
      <c r="C32" s="6" t="n">
        <v>1068252.89</v>
      </c>
      <c r="D32" t="inlineStr">
        <is>
          <t>related party: creditor name = debtor / group member (Grupo Arruda (ARRUDA &amp; MELO REPRESENTACA)</t>
        </is>
      </c>
      <c r="E32" t="inlineStr">
        <is>
          <t>0008526-45.2025.8.17.2001</t>
        </is>
      </c>
      <c r="F32" s="41" t="inlineStr">
        <is>
          <t>https://diligence.adm.br/wp-content/uploads/2025/06/Edital-1a-Lista-de-Credores.pdf</t>
        </is>
      </c>
    </row>
    <row r="33">
      <c r="A33" t="inlineStr">
        <is>
          <t>GERAES SERVICE LTDA</t>
        </is>
      </c>
      <c r="B33" t="inlineStr">
        <is>
          <t>GRUPO EGESA (Egesa Engenharia S.A. + 9 group companies; see group members)</t>
        </is>
      </c>
      <c r="C33" s="6" t="n">
        <v>1051785.88</v>
      </c>
      <c r="D33" t="inlineStr">
        <is>
          <t>creditor company not ATIVA at RFB</t>
        </is>
      </c>
      <c r="E33" t="inlineStr">
        <is>
          <t>5088952-81.2025.8.13.0024</t>
        </is>
      </c>
      <c r="F33" s="41" t="inlineStr">
        <is>
          <t>https://scalzilliaj.com.br/sgc/download.php?file=files/processo_documento/processo_documento09514021082025_1_.pdf&amp;nome=04 - Relação de credores das Recuperandas</t>
        </is>
      </c>
    </row>
    <row r="34">
      <c r="A34" t="inlineStr">
        <is>
          <t>Uniao Avicola Agroindustrial Ltda</t>
        </is>
      </c>
      <c r="B34" t="inlineStr">
        <is>
          <t>Grupo Agromeal</t>
        </is>
      </c>
      <c r="C34" s="6" t="n">
        <v>1001104</v>
      </c>
      <c r="D34" t="inlineStr">
        <is>
          <t>public by name, no RFB record — verify before calling</t>
        </is>
      </c>
      <c r="E34" t="inlineStr">
        <is>
          <t>0003971-03.2023.8.16.0119</t>
        </is>
      </c>
      <c r="F34" s="41" t="inlineStr">
        <is>
          <t>https://marquesadmjudicial.com.br/sgc/download.php?file=files/processo_documento/processo_documento17040729052024_1_.pdf&amp;nome=Relação Nominal de Credores AJ-Sintética</t>
        </is>
      </c>
    </row>
    <row r="35">
      <c r="A35" t="inlineStr">
        <is>
          <t>MIRANTE DISTRIBUIDORA E COMERCIO LTDA</t>
        </is>
      </c>
      <c r="B35" t="inlineStr">
        <is>
          <t>Grupo Battisti</t>
        </is>
      </c>
      <c r="C35" s="6" t="n">
        <v>949499.8</v>
      </c>
      <c r="D35" t="inlineStr">
        <is>
          <t>printed value sits in a multi-CNPJ prose line — may belong to a neighbouring creditor; re-extract before quoting</t>
        </is>
      </c>
      <c r="E35" t="inlineStr">
        <is>
          <t>0000357-17.2024.8.16.0131</t>
        </is>
      </c>
      <c r="F35" s="41" t="inlineStr">
        <is>
          <t>https://marquesadmjudicial.com.br/sgc/download.php?file=files/processo_documento/processo_documento10074612042024_1_.pdf&amp;nome=2º Edital-Relação de Credores AJ e PRJ</t>
        </is>
      </c>
    </row>
    <row r="36">
      <c r="A36" t="inlineStr">
        <is>
          <t>JCS BRASIL ELETRODOMESTICOS LTDA</t>
        </is>
      </c>
      <c r="B36" t="inlineStr">
        <is>
          <t>CREDIMÓVEIS NOVOLAR LTDA.</t>
        </is>
      </c>
      <c r="C36" s="6" t="n">
        <v>879621.16</v>
      </c>
      <c r="D36" t="inlineStr">
        <is>
          <t>creditor company not ATIVA at RFB</t>
        </is>
      </c>
      <c r="E36" t="inlineStr">
        <is>
          <t>0007565-40.2020.8.17.2370</t>
        </is>
      </c>
      <c r="F36" s="41" t="inlineStr">
        <is>
          <t>https://recuperacaojudicial.squarespace.com/s/RJ-Credimoveis-QGC-01082025.pdf</t>
        </is>
      </c>
    </row>
    <row r="37">
      <c r="A37" t="inlineStr">
        <is>
          <t>NEOMAR ARTIGOS INFANTIS EM GERAL LTDA</t>
        </is>
      </c>
      <c r="B37" t="inlineStr">
        <is>
          <t>Grupo Battisti</t>
        </is>
      </c>
      <c r="C37" s="6" t="n">
        <v>875418.05</v>
      </c>
      <c r="D37" t="inlineStr">
        <is>
          <t>printed value sits in a multi-CNPJ prose line — may belong to a neighbouring creditor; re-extract before quoting</t>
        </is>
      </c>
      <c r="E37" t="inlineStr">
        <is>
          <t>0000357-17.2024.8.16.0131</t>
        </is>
      </c>
      <c r="F37" s="41" t="inlineStr">
        <is>
          <t>https://marquesadmjudicial.com.br/sgc/download.php?file=files/processo_documento/processo_documento10074612042024_1_.pdf&amp;nome=2º Edital-Relação de Credores AJ e PRJ</t>
        </is>
      </c>
    </row>
    <row r="38">
      <c r="A38" t="inlineStr">
        <is>
          <t>TAMPAS PLASTICAS MECESA S/A</t>
        </is>
      </c>
      <c r="B38" t="inlineStr">
        <is>
          <t>Refrigerantes Polo Sul Ltda</t>
        </is>
      </c>
      <c r="C38" s="6" t="n">
        <v>799670.99</v>
      </c>
      <c r="D38" t="inlineStr">
        <is>
          <t>creditor company not ATIVA at RFB</t>
        </is>
      </c>
      <c r="E38" t="inlineStr">
        <is>
          <t>0000635-08.2003.8.08.0024</t>
        </is>
      </c>
      <c r="F38" s="41" t="inlineStr">
        <is>
          <t>https://rlg-aj.com.br/wp-content/uploads/2024/01/Quadro-Geral-de-Credores-Refrigerantes-Polo-Sul.pdf</t>
        </is>
      </c>
    </row>
    <row r="39">
      <c r="A39" t="inlineStr">
        <is>
          <t>QI DISTRIBUIDORA DE TITULOS E VALORES MOBILIARIOS LTDA</t>
        </is>
      </c>
      <c r="B39" t="inlineStr">
        <is>
          <t>VENEZA SERVIÇOS ADMINISTRATIVOS LTDA.</t>
        </is>
      </c>
      <c r="C39" s="6" t="n">
        <v>775858.6800000001</v>
      </c>
      <c r="D39" t="inlineStr">
        <is>
          <t>creditor company not ATIVA at RFB</t>
        </is>
      </c>
      <c r="E39" t="inlineStr">
        <is>
          <t>3000117-40.2025.8.06.0512</t>
        </is>
      </c>
      <c r="F39" s="41" t="inlineStr">
        <is>
          <t>https://bugarimecoelho.com.br/ws/media-library/b6b7ea42b9fa2afe30bc728fe00cd5c6/07---edital-do-processamento-da-recuperacao-judicial.pdf</t>
        </is>
      </c>
    </row>
    <row r="40">
      <c r="A40" t="inlineStr">
        <is>
          <t>CONTINENTAL DO BRASIL PRODUTOS AUTOMOTIVOS LTDA</t>
        </is>
      </c>
      <c r="B40" t="inlineStr"/>
      <c r="C40" s="6" t="n">
        <v>735887.1800000001</v>
      </c>
      <c r="D40" t="inlineStr">
        <is>
          <t>creditor company not ATIVA at RFB</t>
        </is>
      </c>
      <c r="E40" t="inlineStr">
        <is>
          <t>(not printed)</t>
        </is>
      </c>
      <c r="F40" s="41" t="inlineStr">
        <is>
          <t>https://ajruiz.com.br/sites/default/files/public/arquivos-processos/2023-11/4_relacao_de_credores_analitica_art._51_iii_da_lre.pdf</t>
        </is>
      </c>
    </row>
    <row r="41">
      <c r="A41" t="inlineStr">
        <is>
          <t>100PORCENTO SOLUCOES CONSULTORIA EM GESTAO EMPRESARIAL LTDA</t>
        </is>
      </c>
      <c r="B41" t="inlineStr">
        <is>
          <t>GRUPO CATTAN</t>
        </is>
      </c>
      <c r="C41" s="6" t="n">
        <v>700000</v>
      </c>
      <c r="D41" t="inlineStr">
        <is>
          <t>creditor company not ATIVA at RFB</t>
        </is>
      </c>
      <c r="E41" t="inlineStr">
        <is>
          <t>0002484-82.2022.8.17.2001</t>
        </is>
      </c>
      <c r="F41" s="41" t="inlineStr">
        <is>
          <t>https://lrflideres.com.br/wp-content/plugins/download-attachments/includes/download.php?id=4023</t>
        </is>
      </c>
    </row>
    <row r="42">
      <c r="A42" t="inlineStr">
        <is>
          <t>KTY ENGENHARIA LIMITADA</t>
        </is>
      </c>
      <c r="B42" t="inlineStr">
        <is>
          <t>GRUPO EGESA (Egesa Engenharia S.A. + 9 group companies; see group members)</t>
        </is>
      </c>
      <c r="C42" s="6" t="n">
        <v>684718.12</v>
      </c>
      <c r="D42" t="inlineStr">
        <is>
          <t>creditor company not ATIVA at RFB</t>
        </is>
      </c>
      <c r="E42" t="inlineStr">
        <is>
          <t>5088952-81.2025.8.13.0024</t>
        </is>
      </c>
      <c r="F42" s="41" t="inlineStr">
        <is>
          <t>https://scalzilliaj.com.br/sgc/download.php?file=files/processo_documento/processo_documento09514021082025_1_.pdf&amp;nome=04 - Relação de credores das Recuperandas</t>
        </is>
      </c>
    </row>
    <row r="43">
      <c r="A43" t="inlineStr">
        <is>
          <t>BANCO BRADESCO S.A.</t>
        </is>
      </c>
      <c r="B43" t="inlineStr">
        <is>
          <t>GRUPO RIVER MUSIC</t>
        </is>
      </c>
      <c r="C43" s="6" t="n">
        <v>641500</v>
      </c>
      <c r="D43" t="inlineStr">
        <is>
          <t>listed under a class II / class IV heading on the source list — not class III</t>
        </is>
      </c>
      <c r="E43" t="inlineStr">
        <is>
          <t>1001174-80.2024.8.26.0359</t>
        </is>
      </c>
      <c r="F43" s="41" t="inlineStr">
        <is>
          <t>https://ativosajce.com.br/admin/download.php?file=files/processo_documento/processo_documento18543908052025_1_.pdf&amp;nome=Relação de Credores - art. 52, §1º da Lei 11.101/05 - 27/01/2025</t>
        </is>
      </c>
    </row>
    <row r="44">
      <c r="A44" t="inlineStr">
        <is>
          <t>WALDMAN COMERCIO IMPORTACAO E EXPORTACAO LTDA</t>
        </is>
      </c>
      <c r="B44" t="inlineStr">
        <is>
          <t>GRUPO RIVER MUSIC</t>
        </is>
      </c>
      <c r="C44" s="6" t="n">
        <v>628894.45</v>
      </c>
      <c r="D44" t="inlineStr">
        <is>
          <t>listed under a class II / class IV heading on the source list — not class III</t>
        </is>
      </c>
      <c r="E44" t="inlineStr">
        <is>
          <t>1001174-80.2024.8.26.0359</t>
        </is>
      </c>
      <c r="F44" s="41" t="inlineStr">
        <is>
          <t>https://ativosajce.com.br/admin/download.php?file=files/processo_documento/processo_documento18543908052025_1_.pdf&amp;nome=Relação de Credores - art. 52, §1º da Lei 11.101/05 - 27/01/2025</t>
        </is>
      </c>
    </row>
    <row r="45">
      <c r="A45" t="inlineStr">
        <is>
          <t>BRASCHEMICAL REPRESENTACOES LTDA</t>
        </is>
      </c>
      <c r="B45" t="inlineStr"/>
      <c r="C45" s="6" t="n">
        <v>571104.9399999999</v>
      </c>
      <c r="D45" t="inlineStr">
        <is>
          <t>creditor company not ATIVA at RFB</t>
        </is>
      </c>
      <c r="E45" t="inlineStr">
        <is>
          <t>1022634-27.2024.8.26.0100</t>
        </is>
      </c>
      <c r="F45" s="41" t="inlineStr">
        <is>
          <t>https://ajruiz.com.br/sites/default/files/public/arquivos-processos/2024-04/relacao_de_credores_recuperanda_1.pdf</t>
        </is>
      </c>
    </row>
    <row r="46">
      <c r="A46" t="inlineStr">
        <is>
          <t>ROBERT BOSCH LIMITADA</t>
        </is>
      </c>
      <c r="B46" t="inlineStr">
        <is>
          <t>SERMAP COMÉRCIO E SERVIÇOS LTDA</t>
        </is>
      </c>
      <c r="C46" s="6" t="n">
        <v>503949.11</v>
      </c>
      <c r="D46" t="inlineStr">
        <is>
          <t>listed under a class II / class IV heading on the source list — not class III</t>
        </is>
      </c>
      <c r="E46" t="inlineStr">
        <is>
          <t>0010193-34.2013.8.19.0028</t>
        </is>
      </c>
      <c r="F46" s="41" t="inlineStr">
        <is>
          <t>https://realbrasil.com.br/wp-content/uploads/2019/02/LISTA-DE-CREDORES-DA-RECUPERANDA.pdf</t>
        </is>
      </c>
    </row>
    <row r="47">
      <c r="A47" t="inlineStr">
        <is>
          <t>POLIMIX CONCRETO LTDA</t>
        </is>
      </c>
      <c r="B47" t="inlineStr">
        <is>
          <t>GRUPO IMOBI</t>
        </is>
      </c>
      <c r="C47" s="6" t="n">
        <v>502157.63</v>
      </c>
      <c r="D47" t="inlineStr">
        <is>
          <t>printed value sits in a multi-CNPJ prose line — may belong to a neighbouring creditor; re-extract before quoting</t>
        </is>
      </c>
      <c r="E47" t="inlineStr">
        <is>
          <t>0074500-63.2024.8.17.2001</t>
        </is>
      </c>
      <c r="F47" s="41" t="inlineStr">
        <is>
          <t>https://lrflideres.com.br/wp-content/plugins/download-attachments/includes/download.php?id=6273</t>
        </is>
      </c>
    </row>
    <row r="48">
      <c r="A48" t="inlineStr">
        <is>
          <t>JULE INDUSTRIA TEXTIL LTDA</t>
        </is>
      </c>
      <c r="B48" t="inlineStr">
        <is>
          <t>GRUPO CATTAN</t>
        </is>
      </c>
      <c r="C48" s="6" t="n">
        <v>502047</v>
      </c>
      <c r="D48" t="inlineStr">
        <is>
          <t>creditor company not ATIVA at RFB</t>
        </is>
      </c>
      <c r="E48" t="inlineStr">
        <is>
          <t>0002484-82.2022.8.17.2001</t>
        </is>
      </c>
      <c r="F48" s="41" t="inlineStr">
        <is>
          <t>https://lrflideres.com.br/wp-content/plugins/download-attachments/includes/download.php?id=4023</t>
        </is>
      </c>
    </row>
    <row r="49">
      <c r="A49" t="inlineStr">
        <is>
          <t>GIANNINI S/A EM RECUPERACAO JUDICIAL</t>
        </is>
      </c>
      <c r="B49" t="inlineStr">
        <is>
          <t>GRUPO RIVER MUSIC</t>
        </is>
      </c>
      <c r="C49" s="6" t="n">
        <v>498422</v>
      </c>
      <c r="D49" t="inlineStr">
        <is>
          <t>listed under a class II / class IV heading on the source list — not class III</t>
        </is>
      </c>
      <c r="E49" t="inlineStr">
        <is>
          <t>1001174-80.2024.8.26.0359</t>
        </is>
      </c>
      <c r="F49" s="41" t="inlineStr">
        <is>
          <t>https://ativosajce.com.br/admin/download.php?file=files/processo_documento/processo_documento18543908052025_1_.pdf&amp;nome=Relação de Credores - art. 52, §1º da Lei 11.101/05 - 27/01/2025</t>
        </is>
      </c>
    </row>
    <row r="50">
      <c r="A50" t="inlineStr">
        <is>
          <t>WHIRLPOOL ELETRODOMESTICOS AM S.A.</t>
        </is>
      </c>
      <c r="B50" t="inlineStr">
        <is>
          <t>CREDIMÓVEIS NOVOLAR LTDA.</t>
        </is>
      </c>
      <c r="C50" s="6" t="n">
        <v>450791.7</v>
      </c>
      <c r="D50" t="inlineStr">
        <is>
          <t>creditor company not ATIVA at RFB</t>
        </is>
      </c>
      <c r="E50" t="inlineStr">
        <is>
          <t>0007565-40.2020.8.17.2370</t>
        </is>
      </c>
      <c r="F50" s="41" t="inlineStr">
        <is>
          <t>https://recuperacaojudicial.squarespace.com/s/RJ-Credimoveis-QGC-01082025.pdf</t>
        </is>
      </c>
    </row>
    <row r="51">
      <c r="A51" t="inlineStr">
        <is>
          <t>ROLAND BRASIL IMPORTACAO, EXPORTACAO, COMERCIO, REPRESENTACAO E SERVICOS LTDA.</t>
        </is>
      </c>
      <c r="B51" t="inlineStr">
        <is>
          <t>GRUPO RIVER MUSIC</t>
        </is>
      </c>
      <c r="C51" s="6" t="n">
        <v>407763.63</v>
      </c>
      <c r="D51" t="inlineStr">
        <is>
          <t>listed under a class II / class IV heading on the source list — not class III</t>
        </is>
      </c>
      <c r="E51" t="inlineStr">
        <is>
          <t>1001174-80.2024.8.26.0359</t>
        </is>
      </c>
      <c r="F51" s="41" t="inlineStr">
        <is>
          <t>https://ativosajce.com.br/admin/download.php?file=files/processo_documento/processo_documento18543908052025_1_.pdf&amp;nome=Relação de Credores - art. 52, §1º da Lei 11.101/05 - 27/01/2025</t>
        </is>
      </c>
    </row>
    <row r="52">
      <c r="A52" t="inlineStr">
        <is>
          <t>2B ADMINISTRACAO E NEGOCIOS LTDA</t>
        </is>
      </c>
      <c r="B52" t="inlineStr">
        <is>
          <t>CLUBE NÁUTICO CAPIBARIBE</t>
        </is>
      </c>
      <c r="C52" s="6" t="n">
        <v>401419.39</v>
      </c>
      <c r="D52" t="inlineStr">
        <is>
          <t>creditor company not ATIVA at RFB</t>
        </is>
      </c>
      <c r="E52" t="inlineStr">
        <is>
          <t>0011283-80.2023.8.17.2001</t>
        </is>
      </c>
      <c r="F52" s="41" t="inlineStr">
        <is>
          <t>https://lrflideres.com.br/wp-content/plugins/download-attachments/includes/download.php?id=5589</t>
        </is>
      </c>
    </row>
    <row r="53">
      <c r="A53" t="inlineStr">
        <is>
          <t>RONAN RODRIGUES DOS SANTOS</t>
        </is>
      </c>
      <c r="B53" t="inlineStr">
        <is>
          <t>GRUPO EGESA (Egesa Engenharia S.A. + 9 group companies; see group members)</t>
        </is>
      </c>
      <c r="C53" s="6" t="n">
        <v>378563.6</v>
      </c>
      <c r="D53" t="inlineStr">
        <is>
          <t>creditor company not ATIVA at RFB</t>
        </is>
      </c>
      <c r="E53" t="inlineStr">
        <is>
          <t>5088952-81.2025.8.13.0024</t>
        </is>
      </c>
      <c r="F53" s="41" t="inlineStr">
        <is>
          <t>https://scalzilliaj.com.br/sgc/download.php?file=files/processo_documento/processo_documento09514021082025_1_.pdf&amp;nome=04 - Relação de credores das Recuperandas</t>
        </is>
      </c>
    </row>
    <row r="54">
      <c r="A54" t="inlineStr">
        <is>
          <t>INOVA DISTRIBUIDORA DE PRODUTOS QUIMICOS LTDA</t>
        </is>
      </c>
      <c r="B54" t="inlineStr"/>
      <c r="C54" s="6" t="n">
        <v>374459</v>
      </c>
      <c r="D54" t="inlineStr">
        <is>
          <t>creditor company not ATIVA at RFB</t>
        </is>
      </c>
      <c r="E54" t="inlineStr">
        <is>
          <t>1022634-27.2024.8.26.0100</t>
        </is>
      </c>
      <c r="F54" s="41" t="inlineStr">
        <is>
          <t>https://ajruiz.com.br/sites/default/files/public/arquivos-processos/2024-04/relacao_de_credores_recuperanda_1.pdf</t>
        </is>
      </c>
    </row>
    <row r="55">
      <c r="A55" t="inlineStr">
        <is>
          <t>FUNDO DE INVESTIMENTO EM DIREITOS CREDITORIOS NAO-PADRONIZADOS NPL I</t>
        </is>
      </c>
      <c r="B55" t="inlineStr">
        <is>
          <t>COPA FRUIT IMPORTAÇÃO E EXPORTAÇÃO S.A</t>
        </is>
      </c>
      <c r="C55" s="6" t="n">
        <v>372479.11</v>
      </c>
      <c r="D55" t="inlineStr">
        <is>
          <t>creditor company not ATIVA at RFB</t>
        </is>
      </c>
      <c r="E55" t="inlineStr">
        <is>
          <t>0032731-52.2010.8.17.0001</t>
        </is>
      </c>
      <c r="F55" s="41" t="inlineStr">
        <is>
          <t>https://diligence.adm.br/wp-content/plugins/download-attachments/includes/download.php?id=4579</t>
        </is>
      </c>
    </row>
    <row r="56">
      <c r="A56" t="inlineStr">
        <is>
          <t>SECRETARIA EXECUTIVA DE ESPORTE E LAZER</t>
        </is>
      </c>
      <c r="B56" t="inlineStr">
        <is>
          <t>PAYSANDU SPORT CLUB</t>
        </is>
      </c>
      <c r="C56" s="6" t="n">
        <v>356666.66</v>
      </c>
      <c r="D56" t="inlineStr">
        <is>
          <t>public body (administração pública) — not a seller</t>
        </is>
      </c>
      <c r="E56" t="inlineStr">
        <is>
          <t>0820780-23.2026.8.14.0301</t>
        </is>
      </c>
      <c r="F56" s="41" t="inlineStr">
        <is>
          <t>https://cdn.dol.com.br/img/attachmentinline/940000/6publicacao-2-edital-art-7-parag-2-da-lei-11101-20009467060.pdf?xid=3272528</t>
        </is>
      </c>
    </row>
    <row r="57">
      <c r="A57" t="inlineStr">
        <is>
          <t>VALE REAL EMPREENDIMENTO IMOBILIARIO LTDA</t>
        </is>
      </c>
      <c r="B57" t="inlineStr">
        <is>
          <t>GRUPO ARNON DE MELLO</t>
        </is>
      </c>
      <c r="C57" s="6" t="n">
        <v>338981.6</v>
      </c>
      <c r="D57" t="inlineStr">
        <is>
          <t>creditor company not ATIVA at RFB</t>
        </is>
      </c>
      <c r="E57" t="inlineStr">
        <is>
          <t>0700256-03.2019.8.02.0066</t>
        </is>
      </c>
      <c r="F57" s="41" t="inlineStr">
        <is>
          <t>https://recuperacaojudicial.squarespace.com/s/RJ-Grupo-Arnon-de-Melo-Lista-de-Credores-Consolidada-abril-2022.pdf</t>
        </is>
      </c>
    </row>
    <row r="58">
      <c r="A58" t="inlineStr">
        <is>
          <t>IRON COMEX LTDA</t>
        </is>
      </c>
      <c r="B58" t="inlineStr">
        <is>
          <t>Grupo Arruda (ARRUDA &amp; MELO REPRESENTACAO DE ALIMENTOS E BEBIDAS LTDA, ARRUDA &amp; MELO COMERCIO E DISTRIBUICAO DE ALIMENTOS E BEBIDAS LTDA, ARRUDA &amp; MELO COMERCIO E DISTRIBUICAO DE ALIMENTOS E BEBIDAS DA BAHIA LTDA)</t>
        </is>
      </c>
      <c r="C58" s="6" t="n">
        <v>334279.01</v>
      </c>
      <c r="D58" t="inlineStr">
        <is>
          <t>printed value sits in a multi-CNPJ prose line — may belong to a neighbouring creditor; re-extract before quoting</t>
        </is>
      </c>
      <c r="E58" t="inlineStr">
        <is>
          <t>0008526-45.2025.8.17.2001</t>
        </is>
      </c>
      <c r="F58" s="41" t="inlineStr">
        <is>
          <t>https://diligence.adm.br/wp-content/uploads/2025/06/Edital-1a-Lista-de-Credores.pdf</t>
        </is>
      </c>
    </row>
    <row r="59">
      <c r="A59" t="inlineStr">
        <is>
          <t>SANTIAGO &amp; CINTRA IMPORTACAO E EXPORTACAO LTDA</t>
        </is>
      </c>
      <c r="B59" t="inlineStr">
        <is>
          <t>GRUPO EGESA (Egesa Engenharia S.A. + 9 group companies; see group members)</t>
        </is>
      </c>
      <c r="C59" s="6" t="n">
        <v>332404.33</v>
      </c>
      <c r="D59" t="inlineStr">
        <is>
          <t>creditor company not ATIVA at RFB</t>
        </is>
      </c>
      <c r="E59" t="inlineStr">
        <is>
          <t>5088952-81.2025.8.13.0024</t>
        </is>
      </c>
      <c r="F59" s="41" t="inlineStr">
        <is>
          <t>https://scalzilliaj.com.br/sgc/download.php?file=files/processo_documento/processo_documento09514021082025_1_.pdf&amp;nome=04 - Relação de credores das Recuperandas</t>
        </is>
      </c>
    </row>
    <row r="60">
      <c r="A60" t="inlineStr">
        <is>
          <t>SUPREME SOCIEDADE INCORPORADORA SPE LTDA</t>
        </is>
      </c>
      <c r="B60" t="inlineStr">
        <is>
          <t>FORMAPLAN FORMAS PLANEJADAS INDÚSTRIA E COMÉRCIO LTDA</t>
        </is>
      </c>
      <c r="C60" s="6" t="n">
        <v>329813.85</v>
      </c>
      <c r="D60" t="inlineStr">
        <is>
          <t>creditor company not ATIVA at RFB</t>
        </is>
      </c>
      <c r="E60" t="inlineStr">
        <is>
          <t>0000410-68.2021.8.16.0174</t>
        </is>
      </c>
      <c r="F60" s="41" t="inlineStr">
        <is>
          <t>https://marquesadmjudicial.com.br/sgc/download.php?file=files/processo_documento/processo_documento15232121112024_1_.pdf&amp;nome=Relação de Credores</t>
        </is>
      </c>
    </row>
    <row r="61">
      <c r="A61" t="inlineStr">
        <is>
          <t>BANCO SAFRA S A</t>
        </is>
      </c>
      <c r="B61" t="inlineStr">
        <is>
          <t>GRUPO RIVER MUSIC</t>
        </is>
      </c>
      <c r="C61" s="6" t="n">
        <v>328600</v>
      </c>
      <c r="D61" t="inlineStr">
        <is>
          <t>listed under a class II / class IV heading on the source list — not class III</t>
        </is>
      </c>
      <c r="E61" t="inlineStr">
        <is>
          <t>1001174-80.2024.8.26.0359</t>
        </is>
      </c>
      <c r="F61" s="41" t="inlineStr">
        <is>
          <t>https://ativosajce.com.br/admin/download.php?file=files/processo_documento/processo_documento18543908052025_1_.pdf&amp;nome=Relação de Credores - art. 52, §1º da Lei 11.101/05 - 27/01/2025</t>
        </is>
      </c>
    </row>
    <row r="62">
      <c r="A62" t="inlineStr">
        <is>
          <t>CELLERA FARMACEUTICA S.A.</t>
        </is>
      </c>
      <c r="B62" t="inlineStr">
        <is>
          <t>GRUPO DP4</t>
        </is>
      </c>
      <c r="C62" s="6" t="n">
        <v>327450.78</v>
      </c>
      <c r="D62" t="inlineStr">
        <is>
          <t>creditor company not ATIVA at RFB</t>
        </is>
      </c>
      <c r="E62" t="inlineStr">
        <is>
          <t>0005010-98.2023.8.16.0001</t>
        </is>
      </c>
      <c r="F62" s="41" t="inlineStr">
        <is>
          <t>https://marquesadmjudicial.com.br/sgc/download.php?file=files/processo_documento/processo_documento15293208032024_1_.pdf&amp;nome=Relação Nominal de Credores da AJ-Sintética</t>
        </is>
      </c>
    </row>
    <row r="63">
      <c r="A63" t="inlineStr">
        <is>
          <t>BNC - BIBE CONSULTORIA LTDA</t>
        </is>
      </c>
      <c r="B63" t="inlineStr">
        <is>
          <t>GRUPO EGESA (Egesa Engenharia S.A. + 9 group companies; see group members)</t>
        </is>
      </c>
      <c r="C63" s="6" t="n">
        <v>308220.39</v>
      </c>
      <c r="D63" t="inlineStr">
        <is>
          <t>creditor company not ATIVA at RFB</t>
        </is>
      </c>
      <c r="E63" t="inlineStr">
        <is>
          <t>5088952-81.2025.8.13.0024</t>
        </is>
      </c>
      <c r="F63" s="41" t="inlineStr">
        <is>
          <t>https://scalzilliaj.com.br/sgc/download.php?file=files/processo_documento/processo_documento09514021082025_1_.pdf&amp;nome=04 - Relação de credores das Recuperandas</t>
        </is>
      </c>
    </row>
    <row r="64">
      <c r="A64" t="inlineStr">
        <is>
          <t>GDM SEMENTES LTDA</t>
        </is>
      </c>
      <c r="B64" t="inlineStr">
        <is>
          <t>Agroforte Agropecuaria Ltda</t>
        </is>
      </c>
      <c r="C64" s="6" t="n">
        <v>271698.94</v>
      </c>
      <c r="D64" t="inlineStr">
        <is>
          <t>creditor company not ATIVA at RFB</t>
        </is>
      </c>
      <c r="E64" t="inlineStr">
        <is>
          <t>0031120-52.2024.8.16.0017</t>
        </is>
      </c>
      <c r="F64" s="41" t="inlineStr">
        <is>
          <t>https://marquesadmjudicial.com.br/sgc/download.php?file=files/processo_documento/processo_documento11370527032026_1_.pdf&amp;nome=Quadro Geral de Credores (QGC) -AJ Anterior</t>
        </is>
      </c>
    </row>
    <row r="65">
      <c r="A65" t="inlineStr">
        <is>
          <t>TORA EMPREENDIMENTOS E CONSTRUCOES LTDA</t>
        </is>
      </c>
      <c r="B65" t="inlineStr">
        <is>
          <t>GRUPO EGESA (Egesa Engenharia S.A. + 9 group companies; see group members)</t>
        </is>
      </c>
      <c r="C65" s="6" t="n">
        <v>263798.54</v>
      </c>
      <c r="D65" t="inlineStr">
        <is>
          <t>creditor company not ATIVA at RFB</t>
        </is>
      </c>
      <c r="E65" t="inlineStr">
        <is>
          <t>5088952-81.2025.8.13.0024</t>
        </is>
      </c>
      <c r="F65" s="41" t="inlineStr">
        <is>
          <t>https://scalzilliaj.com.br/sgc/download.php?file=files/processo_documento/processo_documento09514021082025_1_.pdf&amp;nome=04 - Relação de credores das Recuperandas</t>
        </is>
      </c>
    </row>
    <row r="66">
      <c r="A66" t="inlineStr">
        <is>
          <t>FAMETAL FABRICACAO ESQUADRIAS METALICAS LTDA</t>
        </is>
      </c>
      <c r="B66" t="inlineStr">
        <is>
          <t>GRUPO EGESA (Egesa Engenharia S.A. + 9 group companies; see group members)</t>
        </is>
      </c>
      <c r="C66" s="6" t="n">
        <v>263109.18</v>
      </c>
      <c r="D66" t="inlineStr">
        <is>
          <t>creditor company not ATIVA at RFB</t>
        </is>
      </c>
      <c r="E66" t="inlineStr">
        <is>
          <t>5088952-81.2025.8.13.0024</t>
        </is>
      </c>
      <c r="F66" s="41" t="inlineStr">
        <is>
          <t>https://scalzilliaj.com.br/sgc/download.php?file=files/processo_documento/processo_documento09514021082025_1_.pdf&amp;nome=04 - Relação de credores das Recuperandas</t>
        </is>
      </c>
    </row>
    <row r="67">
      <c r="A67" t="inlineStr">
        <is>
          <t>GONZALEZ COMERCIO DE MADEIRAS E FERRAGENS LTDA</t>
        </is>
      </c>
      <c r="B67" t="inlineStr"/>
      <c r="C67" s="6" t="n">
        <v>262507.95</v>
      </c>
      <c r="D67" t="inlineStr">
        <is>
          <t>creditor company not ATIVA at RFB</t>
        </is>
      </c>
      <c r="E67" t="inlineStr">
        <is>
          <t>4039082-53.2026.8.26.0100</t>
        </is>
      </c>
      <c r="F67" s="41" t="inlineStr">
        <is>
          <t>https://ativosajce.com.br/admin/download.php?file=files/processo_documento/processo_documento18560022042026_1_.pdf&amp;nome=Relação de Credores - art. 52, §1º da Lei 11.101/05 - 22/04/2026</t>
        </is>
      </c>
    </row>
    <row r="68">
      <c r="A68" t="inlineStr">
        <is>
          <t>EMPREENDIMENTOS IMOBILIARIOS VILLA LOBOS II LTDA</t>
        </is>
      </c>
      <c r="B68" t="inlineStr">
        <is>
          <t>FORMAPLAN FORMAS PLANEJADAS INDÚSTRIA E COMÉRCIO LTDA</t>
        </is>
      </c>
      <c r="C68" s="6" t="n">
        <v>246404.34</v>
      </c>
      <c r="D68" t="inlineStr">
        <is>
          <t>creditor company not ATIVA at RFB</t>
        </is>
      </c>
      <c r="E68" t="inlineStr">
        <is>
          <t>0000410-68.2021.8.16.0174</t>
        </is>
      </c>
      <c r="F68" s="41" t="inlineStr">
        <is>
          <t>https://marquesadmjudicial.com.br/sgc/download.php?file=files/processo_documento/processo_documento15232121112024_1_.pdf&amp;nome=Relação de Credores</t>
        </is>
      </c>
    </row>
    <row r="69">
      <c r="A69" t="inlineStr">
        <is>
          <t>COOPERATIVA DE CREDITO CREDIVALE LTDA - SICOOB CREDIVALE</t>
        </is>
      </c>
      <c r="B69" t="inlineStr">
        <is>
          <t>GRUPO RIVER MUSIC</t>
        </is>
      </c>
      <c r="C69" s="6" t="n">
        <v>245000</v>
      </c>
      <c r="D69" t="inlineStr">
        <is>
          <t>listed under a class II / class IV heading on the source list — not class III</t>
        </is>
      </c>
      <c r="E69" t="inlineStr">
        <is>
          <t>1001174-80.2024.8.26.0359</t>
        </is>
      </c>
      <c r="F69" s="41" t="inlineStr">
        <is>
          <t>https://ativosajce.com.br/admin/download.php?file=files/processo_documento/processo_documento18543908052025_1_.pdf&amp;nome=Relação de Credores - art. 52, §1º da Lei 11.101/05 - 27/01/2025</t>
        </is>
      </c>
    </row>
    <row r="70">
      <c r="A70" t="inlineStr">
        <is>
          <t>R2M DO BRASIL INDUSTRIA DE COSMETICOS LTDA</t>
        </is>
      </c>
      <c r="B70" t="inlineStr">
        <is>
          <t>GRUPO DP4</t>
        </is>
      </c>
      <c r="C70" s="6" t="n">
        <v>243933.92</v>
      </c>
      <c r="D70" t="inlineStr">
        <is>
          <t>creditor company not ATIVA at RFB</t>
        </is>
      </c>
      <c r="E70" t="inlineStr">
        <is>
          <t>0005010-98.2023.8.16.0001</t>
        </is>
      </c>
      <c r="F70" s="41" t="inlineStr">
        <is>
          <t>https://marquesadmjudicial.com.br/sgc/download.php?file=files/processo_documento/processo_documento15293208032024_1_.pdf&amp;nome=Relação Nominal de Credores da AJ-Sintética</t>
        </is>
      </c>
    </row>
    <row r="71">
      <c r="A71" t="inlineStr">
        <is>
          <t>JMS LOCACAO DE MAQUINAS E EQUIPAMENTOS LTDA</t>
        </is>
      </c>
      <c r="B71" t="inlineStr">
        <is>
          <t>GRUPO EGESA (Egesa Engenharia S.A. + 9 group companies; see group members)</t>
        </is>
      </c>
      <c r="C71" s="6" t="n">
        <v>243674.92</v>
      </c>
      <c r="D71" t="inlineStr">
        <is>
          <t>creditor company not ATIVA at RFB</t>
        </is>
      </c>
      <c r="E71" t="inlineStr">
        <is>
          <t>5088952-81.2025.8.13.0024</t>
        </is>
      </c>
      <c r="F71" s="41" t="inlineStr">
        <is>
          <t>https://scalzilliaj.com.br/sgc/download.php?file=files/processo_documento/processo_documento09514021082025_1_.pdf&amp;nome=04 - Relação de credores das Recuperandas</t>
        </is>
      </c>
    </row>
    <row r="72">
      <c r="A72" t="inlineStr">
        <is>
          <t>MANNES TRANSPORTES LTDA</t>
        </is>
      </c>
      <c r="B72" t="inlineStr">
        <is>
          <t>Mannes</t>
        </is>
      </c>
      <c r="C72" s="6" t="n">
        <v>240468.21</v>
      </c>
      <c r="D72" t="inlineStr">
        <is>
          <t>creditor company not ATIVA at RFB</t>
        </is>
      </c>
      <c r="E72" t="inlineStr">
        <is>
          <t>0005010-50.2013.8.24.0026</t>
        </is>
      </c>
      <c r="F72" s="41" t="inlineStr">
        <is>
          <t>https://administradorajudicialgs.com.br/wp-content/uploads/2024/12/relacao-de-credores-da-falida.pdf</t>
        </is>
      </c>
    </row>
    <row r="73">
      <c r="A73" t="inlineStr">
        <is>
          <t>SUPER EMPORIO COSTA COMERCIO DE ALIMENTOS LTDA</t>
        </is>
      </c>
      <c r="B73" t="inlineStr">
        <is>
          <t>GRUPO 3E</t>
        </is>
      </c>
      <c r="C73" s="6" t="n">
        <v>240000</v>
      </c>
      <c r="D73" t="inlineStr">
        <is>
          <t>creditor company not ATIVA at RFB</t>
        </is>
      </c>
      <c r="E73" t="inlineStr">
        <is>
          <t>5341375-33.2026.8.09.0049</t>
        </is>
      </c>
      <c r="F73" s="41" t="inlineStr">
        <is>
          <t>https://stenius.com.br/wp-content/uploads/2026/06/EDITAL-GRUPO-3E.pdf</t>
        </is>
      </c>
    </row>
    <row r="74">
      <c r="A74" t="inlineStr">
        <is>
          <t>PISOCOM - CONSTRUCOES E COMERCIO LTDA</t>
        </is>
      </c>
      <c r="B74" t="inlineStr">
        <is>
          <t>GRUPO EGESA (Egesa Engenharia S.A. + 9 group companies; see group members)</t>
        </is>
      </c>
      <c r="C74" s="6" t="n">
        <v>236660.34</v>
      </c>
      <c r="D74" t="inlineStr">
        <is>
          <t>creditor company not ATIVA at RFB</t>
        </is>
      </c>
      <c r="E74" t="inlineStr">
        <is>
          <t>5088952-81.2025.8.13.0024</t>
        </is>
      </c>
      <c r="F74" s="41" t="inlineStr">
        <is>
          <t>https://scalzilliaj.com.br/sgc/download.php?file=files/processo_documento/processo_documento09514021082025_1_.pdf&amp;nome=04 - Relação de credores das Recuperandas</t>
        </is>
      </c>
    </row>
    <row r="75">
      <c r="A75" t="inlineStr">
        <is>
          <t>TRC TERMINAL RETROPORTUARIO DE CONTAINERS &amp; LOGISTICA LTDA</t>
        </is>
      </c>
      <c r="B75" t="inlineStr">
        <is>
          <t>GRUPO EGESA (Egesa Engenharia S.A. + 9 group companies; see group members)</t>
        </is>
      </c>
      <c r="C75" s="6" t="n">
        <v>228302.26</v>
      </c>
      <c r="D75" t="inlineStr">
        <is>
          <t>creditor company not ATIVA at RFB</t>
        </is>
      </c>
      <c r="E75" t="inlineStr">
        <is>
          <t>5088952-81.2025.8.13.0024</t>
        </is>
      </c>
      <c r="F75" s="41" t="inlineStr">
        <is>
          <t>https://scalzilliaj.com.br/sgc/download.php?file=files/processo_documento/processo_documento09514021082025_1_.pdf&amp;nome=04 - Relação de credores das Recuperandas</t>
        </is>
      </c>
    </row>
    <row r="76">
      <c r="A76" t="inlineStr">
        <is>
          <t>CONSTRUMARTHI CONSTRUTORA LIMITADA</t>
        </is>
      </c>
      <c r="B76" t="inlineStr">
        <is>
          <t>GRUPO EGESA (Egesa Engenharia S.A. + 9 group companies; see group members)</t>
        </is>
      </c>
      <c r="C76" s="6" t="n">
        <v>225341.42</v>
      </c>
      <c r="D76" t="inlineStr">
        <is>
          <t>creditor company not ATIVA at RFB</t>
        </is>
      </c>
      <c r="E76" t="inlineStr">
        <is>
          <t>5088952-81.2025.8.13.0024</t>
        </is>
      </c>
      <c r="F76" s="41" t="inlineStr">
        <is>
          <t>https://scalzilliaj.com.br/sgc/download.php?file=files/processo_documento/processo_documento09514021082025_1_.pdf&amp;nome=04 - Relação de credores das Recuperandas</t>
        </is>
      </c>
    </row>
    <row r="77">
      <c r="A77" t="inlineStr">
        <is>
          <t>COOPERATIVA DE CREDITO, POUPANCA E INVESTIMENTO UNIAO DE ESTADOS RIO GRANDE DO SUL, SANTA CATARINA E MINAS GERAIS - SICREDI UNIESTADOS</t>
        </is>
      </c>
      <c r="B77" t="inlineStr"/>
      <c r="C77" s="6" t="n">
        <v>222016.27</v>
      </c>
      <c r="D77" t="inlineStr">
        <is>
          <t>public by name, no RFB record — verify before calling</t>
        </is>
      </c>
      <c r="E77" t="inlineStr">
        <is>
          <t>5009529-81.2025.8.24.0019</t>
        </is>
      </c>
      <c r="F77" s="41" t="inlineStr">
        <is>
          <t>https://scalzilliaj.com.br/sgc/download.php?file=files/processo_documento/processo_documento15180810062026_1_.pdf&amp;nome=10 - Relação de credores do art. 7º, §2º, da Lei 11.101/2005</t>
        </is>
      </c>
    </row>
    <row r="78">
      <c r="A78" t="inlineStr">
        <is>
          <t>Trademaster Instituição De Pagamento, Serviços E Participações S.A. DADO E PASSADO nesta Comarca de Pato Branco, Estado do Paraná, aos nove (CNPJ n°</t>
        </is>
      </c>
      <c r="B78" t="inlineStr">
        <is>
          <t>Grupo Battisti</t>
        </is>
      </c>
      <c r="C78" s="6" t="n">
        <v>203248.13</v>
      </c>
      <c r="D78" t="inlineStr">
        <is>
          <t>public by name, no RFB record — verify before calling</t>
        </is>
      </c>
      <c r="E78" t="inlineStr">
        <is>
          <t>0000357-17.2024.8.16.0131</t>
        </is>
      </c>
      <c r="F78" s="41" t="inlineStr">
        <is>
          <t>https://marquesadmjudicial.com.br/sgc/download.php?file=files/processo_documento/processo_documento10074612042024_1_.pdf&amp;nome=2º Edital-Relação de Credores AJ e PRJ</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 xmlns:r="http://schemas.openxmlformats.org/officeDocument/2006/relationships" ref="F77" r:id="rId76"/>
    <hyperlink xmlns:r="http://schemas.openxmlformats.org/officeDocument/2006/relationships" ref="F78" r:id="rId77"/>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991"/>
  <sheetViews>
    <sheetView workbookViewId="0">
      <selection activeCell="A1" sqref="A1"/>
    </sheetView>
  </sheetViews>
  <sheetFormatPr baseColWidth="8" defaultRowHeight="15"/>
  <sheetData>
    <row r="1">
      <c r="A1" s="9" t="inlineStr">
        <is>
          <t>CREDITOR — company owed money</t>
        </is>
      </c>
      <c r="B1" s="9" t="inlineStr">
        <is>
          <t>DEBTOR — company in RJ</t>
        </is>
      </c>
      <c r="C1" s="9" t="inlineStr">
        <is>
          <t>FACE VALUE (as printed)</t>
        </is>
      </c>
      <c r="D1" s="9" t="inlineStr">
        <is>
          <t>FUND PRICE @ IRR (model, R$)</t>
        </is>
      </c>
      <c r="E1" s="9" t="inlineStr">
        <is>
          <t>OUR ÁGIO (model, R$)</t>
        </is>
      </c>
      <c r="F1" s="9" t="inlineStr">
        <is>
          <t>DEBTOR BAND</t>
        </is>
      </c>
      <c r="G1" s="9" t="inlineStr">
        <is>
          <t>STATUS</t>
        </is>
      </c>
      <c r="H1" s="9" t="inlineStr">
        <is>
          <t>NEXT DATE</t>
        </is>
      </c>
      <c r="I1" s="9" t="inlineStr">
        <is>
          <t>UF</t>
        </is>
      </c>
      <c r="J1" s="9" t="inlineStr">
        <is>
          <t>Seller fit</t>
        </is>
      </c>
      <c r="K1" s="9" t="inlineStr">
        <is>
          <t>Email</t>
        </is>
      </c>
      <c r="L1" s="9" t="inlineStr">
        <is>
          <t>PROOF QUALITY</t>
        </is>
      </c>
      <c r="M1" s="9" t="inlineStr">
        <is>
          <t>Case number</t>
        </is>
      </c>
      <c r="N1" s="9" t="inlineStr">
        <is>
          <t>Flags</t>
        </is>
      </c>
      <c r="O1" s="9" t="inlineStr">
        <is>
          <t>BOOK</t>
        </is>
      </c>
      <c r="P1" s="9" t="inlineStr">
        <is>
          <t>Where</t>
        </is>
      </c>
      <c r="Q1" s="9" t="inlineStr">
        <is>
          <t>ÁGIO KEY</t>
        </is>
      </c>
    </row>
    <row r="2">
      <c r="A2">
        <f>IF('CALL SHEET'!$A$2="","",'CALL SHEET'!$A$2)</f>
        <v/>
      </c>
      <c r="B2">
        <f>IF('CALL SHEET'!$C$2="","",'CALL SHEET'!$C$2)</f>
        <v/>
      </c>
      <c r="C2">
        <f>'CALL SHEET'!$U$2</f>
        <v/>
      </c>
      <c r="D2">
        <f>'CALL SHEET'!$AB$2</f>
        <v/>
      </c>
      <c r="E2">
        <f>'CALL SHEET'!$AF$2</f>
        <v/>
      </c>
      <c r="F2">
        <f>IF('CALL SHEET'!$V$2="","",'CALL SHEET'!$V$2)</f>
        <v/>
      </c>
      <c r="G2">
        <f>IF('CALL SHEET'!$D$2="","",'CALL SHEET'!$D$2)</f>
        <v/>
      </c>
      <c r="H2">
        <f>IF('CALL SHEET'!$G$2="","",'CALL SHEET'!$G$2)</f>
        <v/>
      </c>
      <c r="I2">
        <f>IF('CALL SHEET'!$AY$2="","",'CALL SHEET'!$AY$2)</f>
        <v/>
      </c>
      <c r="J2">
        <f>IF('CALL SHEET'!$BC$2="","",'CALL SHEET'!$BC$2)</f>
        <v/>
      </c>
      <c r="K2">
        <f>IF('CALL SHEET'!$N$2="","",'CALL SHEET'!$N$2)</f>
        <v/>
      </c>
      <c r="L2">
        <f>IF('CALL SHEET'!$AH$2="","",'CALL SHEET'!$AH$2)</f>
        <v/>
      </c>
      <c r="M2">
        <f>IF('CALL SHEET'!$AO$2="","",'CALL SHEET'!$AO$2)</f>
        <v/>
      </c>
      <c r="N2">
        <f>IF('CALL SHEET'!$BF$2="","",'CALL SHEET'!$BF$2)</f>
        <v/>
      </c>
      <c r="O2" t="inlineStr">
        <is>
          <t>TRADE</t>
        </is>
      </c>
      <c r="P2" t="inlineStr">
        <is>
          <t>CALL SHEET · row 2</t>
        </is>
      </c>
      <c r="Q2">
        <f>E2+ROW()*0.000000001</f>
        <v/>
      </c>
    </row>
    <row r="3">
      <c r="A3">
        <f>IF('CALL SHEET'!$A$3="","",'CALL SHEET'!$A$3)</f>
        <v/>
      </c>
      <c r="B3">
        <f>IF('CALL SHEET'!$C$3="","",'CALL SHEET'!$C$3)</f>
        <v/>
      </c>
      <c r="C3">
        <f>'CALL SHEET'!$U$3</f>
        <v/>
      </c>
      <c r="D3">
        <f>'CALL SHEET'!$AB$3</f>
        <v/>
      </c>
      <c r="E3">
        <f>'CALL SHEET'!$AF$3</f>
        <v/>
      </c>
      <c r="F3">
        <f>IF('CALL SHEET'!$V$3="","",'CALL SHEET'!$V$3)</f>
        <v/>
      </c>
      <c r="G3">
        <f>IF('CALL SHEET'!$D$3="","",'CALL SHEET'!$D$3)</f>
        <v/>
      </c>
      <c r="H3">
        <f>IF('CALL SHEET'!$G$3="","",'CALL SHEET'!$G$3)</f>
        <v/>
      </c>
      <c r="I3">
        <f>IF('CALL SHEET'!$AY$3="","",'CALL SHEET'!$AY$3)</f>
        <v/>
      </c>
      <c r="J3">
        <f>IF('CALL SHEET'!$BC$3="","",'CALL SHEET'!$BC$3)</f>
        <v/>
      </c>
      <c r="K3">
        <f>IF('CALL SHEET'!$N$3="","",'CALL SHEET'!$N$3)</f>
        <v/>
      </c>
      <c r="L3">
        <f>IF('CALL SHEET'!$AH$3="","",'CALL SHEET'!$AH$3)</f>
        <v/>
      </c>
      <c r="M3">
        <f>IF('CALL SHEET'!$AO$3="","",'CALL SHEET'!$AO$3)</f>
        <v/>
      </c>
      <c r="N3">
        <f>IF('CALL SHEET'!$BF$3="","",'CALL SHEET'!$BF$3)</f>
        <v/>
      </c>
      <c r="O3" t="inlineStr">
        <is>
          <t>TRADE</t>
        </is>
      </c>
      <c r="P3" t="inlineStr">
        <is>
          <t>CALL SHEET · row 3</t>
        </is>
      </c>
      <c r="Q3">
        <f>E3+ROW()*0.000000001</f>
        <v/>
      </c>
    </row>
    <row r="4">
      <c r="A4">
        <f>IF('CALL SHEET'!$A$4="","",'CALL SHEET'!$A$4)</f>
        <v/>
      </c>
      <c r="B4">
        <f>IF('CALL SHEET'!$C$4="","",'CALL SHEET'!$C$4)</f>
        <v/>
      </c>
      <c r="C4">
        <f>'CALL SHEET'!$U$4</f>
        <v/>
      </c>
      <c r="D4">
        <f>'CALL SHEET'!$AB$4</f>
        <v/>
      </c>
      <c r="E4">
        <f>'CALL SHEET'!$AF$4</f>
        <v/>
      </c>
      <c r="F4">
        <f>IF('CALL SHEET'!$V$4="","",'CALL SHEET'!$V$4)</f>
        <v/>
      </c>
      <c r="G4">
        <f>IF('CALL SHEET'!$D$4="","",'CALL SHEET'!$D$4)</f>
        <v/>
      </c>
      <c r="H4">
        <f>IF('CALL SHEET'!$G$4="","",'CALL SHEET'!$G$4)</f>
        <v/>
      </c>
      <c r="I4">
        <f>IF('CALL SHEET'!$AY$4="","",'CALL SHEET'!$AY$4)</f>
        <v/>
      </c>
      <c r="J4">
        <f>IF('CALL SHEET'!$BC$4="","",'CALL SHEET'!$BC$4)</f>
        <v/>
      </c>
      <c r="K4">
        <f>IF('CALL SHEET'!$N$4="","",'CALL SHEET'!$N$4)</f>
        <v/>
      </c>
      <c r="L4">
        <f>IF('CALL SHEET'!$AH$4="","",'CALL SHEET'!$AH$4)</f>
        <v/>
      </c>
      <c r="M4">
        <f>IF('CALL SHEET'!$AO$4="","",'CALL SHEET'!$AO$4)</f>
        <v/>
      </c>
      <c r="N4">
        <f>IF('CALL SHEET'!$BF$4="","",'CALL SHEET'!$BF$4)</f>
        <v/>
      </c>
      <c r="O4" t="inlineStr">
        <is>
          <t>TRADE</t>
        </is>
      </c>
      <c r="P4" t="inlineStr">
        <is>
          <t>CALL SHEET · row 4</t>
        </is>
      </c>
      <c r="Q4">
        <f>E4+ROW()*0.000000001</f>
        <v/>
      </c>
    </row>
    <row r="5">
      <c r="A5">
        <f>IF('CALL SHEET'!$A$5="","",'CALL SHEET'!$A$5)</f>
        <v/>
      </c>
      <c r="B5">
        <f>IF('CALL SHEET'!$C$5="","",'CALL SHEET'!$C$5)</f>
        <v/>
      </c>
      <c r="C5">
        <f>'CALL SHEET'!$U$5</f>
        <v/>
      </c>
      <c r="D5">
        <f>'CALL SHEET'!$AB$5</f>
        <v/>
      </c>
      <c r="E5">
        <f>'CALL SHEET'!$AF$5</f>
        <v/>
      </c>
      <c r="F5">
        <f>IF('CALL SHEET'!$V$5="","",'CALL SHEET'!$V$5)</f>
        <v/>
      </c>
      <c r="G5">
        <f>IF('CALL SHEET'!$D$5="","",'CALL SHEET'!$D$5)</f>
        <v/>
      </c>
      <c r="H5">
        <f>IF('CALL SHEET'!$G$5="","",'CALL SHEET'!$G$5)</f>
        <v/>
      </c>
      <c r="I5">
        <f>IF('CALL SHEET'!$AY$5="","",'CALL SHEET'!$AY$5)</f>
        <v/>
      </c>
      <c r="J5">
        <f>IF('CALL SHEET'!$BC$5="","",'CALL SHEET'!$BC$5)</f>
        <v/>
      </c>
      <c r="K5">
        <f>IF('CALL SHEET'!$N$5="","",'CALL SHEET'!$N$5)</f>
        <v/>
      </c>
      <c r="L5">
        <f>IF('CALL SHEET'!$AH$5="","",'CALL SHEET'!$AH$5)</f>
        <v/>
      </c>
      <c r="M5">
        <f>IF('CALL SHEET'!$AO$5="","",'CALL SHEET'!$AO$5)</f>
        <v/>
      </c>
      <c r="N5">
        <f>IF('CALL SHEET'!$BF$5="","",'CALL SHEET'!$BF$5)</f>
        <v/>
      </c>
      <c r="O5" t="inlineStr">
        <is>
          <t>TRADE</t>
        </is>
      </c>
      <c r="P5" t="inlineStr">
        <is>
          <t>CALL SHEET · row 5</t>
        </is>
      </c>
      <c r="Q5">
        <f>E5+ROW()*0.000000001</f>
        <v/>
      </c>
    </row>
    <row r="6">
      <c r="A6">
        <f>IF('CALL SHEET'!$A$6="","",'CALL SHEET'!$A$6)</f>
        <v/>
      </c>
      <c r="B6">
        <f>IF('CALL SHEET'!$C$6="","",'CALL SHEET'!$C$6)</f>
        <v/>
      </c>
      <c r="C6">
        <f>'CALL SHEET'!$U$6</f>
        <v/>
      </c>
      <c r="D6">
        <f>'CALL SHEET'!$AB$6</f>
        <v/>
      </c>
      <c r="E6">
        <f>'CALL SHEET'!$AF$6</f>
        <v/>
      </c>
      <c r="F6">
        <f>IF('CALL SHEET'!$V$6="","",'CALL SHEET'!$V$6)</f>
        <v/>
      </c>
      <c r="G6">
        <f>IF('CALL SHEET'!$D$6="","",'CALL SHEET'!$D$6)</f>
        <v/>
      </c>
      <c r="H6">
        <f>IF('CALL SHEET'!$G$6="","",'CALL SHEET'!$G$6)</f>
        <v/>
      </c>
      <c r="I6">
        <f>IF('CALL SHEET'!$AY$6="","",'CALL SHEET'!$AY$6)</f>
        <v/>
      </c>
      <c r="J6">
        <f>IF('CALL SHEET'!$BC$6="","",'CALL SHEET'!$BC$6)</f>
        <v/>
      </c>
      <c r="K6">
        <f>IF('CALL SHEET'!$N$6="","",'CALL SHEET'!$N$6)</f>
        <v/>
      </c>
      <c r="L6">
        <f>IF('CALL SHEET'!$AH$6="","",'CALL SHEET'!$AH$6)</f>
        <v/>
      </c>
      <c r="M6">
        <f>IF('CALL SHEET'!$AO$6="","",'CALL SHEET'!$AO$6)</f>
        <v/>
      </c>
      <c r="N6">
        <f>IF('CALL SHEET'!$BF$6="","",'CALL SHEET'!$BF$6)</f>
        <v/>
      </c>
      <c r="O6" t="inlineStr">
        <is>
          <t>TRADE</t>
        </is>
      </c>
      <c r="P6" t="inlineStr">
        <is>
          <t>CALL SHEET · row 6</t>
        </is>
      </c>
      <c r="Q6">
        <f>E6+ROW()*0.000000001</f>
        <v/>
      </c>
    </row>
    <row r="7">
      <c r="A7">
        <f>IF('CALL SHEET'!$A$7="","",'CALL SHEET'!$A$7)</f>
        <v/>
      </c>
      <c r="B7">
        <f>IF('CALL SHEET'!$C$7="","",'CALL SHEET'!$C$7)</f>
        <v/>
      </c>
      <c r="C7">
        <f>'CALL SHEET'!$U$7</f>
        <v/>
      </c>
      <c r="D7">
        <f>'CALL SHEET'!$AB$7</f>
        <v/>
      </c>
      <c r="E7">
        <f>'CALL SHEET'!$AF$7</f>
        <v/>
      </c>
      <c r="F7">
        <f>IF('CALL SHEET'!$V$7="","",'CALL SHEET'!$V$7)</f>
        <v/>
      </c>
      <c r="G7">
        <f>IF('CALL SHEET'!$D$7="","",'CALL SHEET'!$D$7)</f>
        <v/>
      </c>
      <c r="H7">
        <f>IF('CALL SHEET'!$G$7="","",'CALL SHEET'!$G$7)</f>
        <v/>
      </c>
      <c r="I7">
        <f>IF('CALL SHEET'!$AY$7="","",'CALL SHEET'!$AY$7)</f>
        <v/>
      </c>
      <c r="J7">
        <f>IF('CALL SHEET'!$BC$7="","",'CALL SHEET'!$BC$7)</f>
        <v/>
      </c>
      <c r="K7">
        <f>IF('CALL SHEET'!$N$7="","",'CALL SHEET'!$N$7)</f>
        <v/>
      </c>
      <c r="L7">
        <f>IF('CALL SHEET'!$AH$7="","",'CALL SHEET'!$AH$7)</f>
        <v/>
      </c>
      <c r="M7">
        <f>IF('CALL SHEET'!$AO$7="","",'CALL SHEET'!$AO$7)</f>
        <v/>
      </c>
      <c r="N7">
        <f>IF('CALL SHEET'!$BF$7="","",'CALL SHEET'!$BF$7)</f>
        <v/>
      </c>
      <c r="O7" t="inlineStr">
        <is>
          <t>TRADE</t>
        </is>
      </c>
      <c r="P7" t="inlineStr">
        <is>
          <t>CALL SHEET · row 7</t>
        </is>
      </c>
      <c r="Q7">
        <f>E7+ROW()*0.000000001</f>
        <v/>
      </c>
    </row>
    <row r="8">
      <c r="A8">
        <f>IF('CALL SHEET'!$A$8="","",'CALL SHEET'!$A$8)</f>
        <v/>
      </c>
      <c r="B8">
        <f>IF('CALL SHEET'!$C$8="","",'CALL SHEET'!$C$8)</f>
        <v/>
      </c>
      <c r="C8">
        <f>'CALL SHEET'!$U$8</f>
        <v/>
      </c>
      <c r="D8">
        <f>'CALL SHEET'!$AB$8</f>
        <v/>
      </c>
      <c r="E8">
        <f>'CALL SHEET'!$AF$8</f>
        <v/>
      </c>
      <c r="F8">
        <f>IF('CALL SHEET'!$V$8="","",'CALL SHEET'!$V$8)</f>
        <v/>
      </c>
      <c r="G8">
        <f>IF('CALL SHEET'!$D$8="","",'CALL SHEET'!$D$8)</f>
        <v/>
      </c>
      <c r="H8">
        <f>IF('CALL SHEET'!$G$8="","",'CALL SHEET'!$G$8)</f>
        <v/>
      </c>
      <c r="I8">
        <f>IF('CALL SHEET'!$AY$8="","",'CALL SHEET'!$AY$8)</f>
        <v/>
      </c>
      <c r="J8">
        <f>IF('CALL SHEET'!$BC$8="","",'CALL SHEET'!$BC$8)</f>
        <v/>
      </c>
      <c r="K8">
        <f>IF('CALL SHEET'!$N$8="","",'CALL SHEET'!$N$8)</f>
        <v/>
      </c>
      <c r="L8">
        <f>IF('CALL SHEET'!$AH$8="","",'CALL SHEET'!$AH$8)</f>
        <v/>
      </c>
      <c r="M8">
        <f>IF('CALL SHEET'!$AO$8="","",'CALL SHEET'!$AO$8)</f>
        <v/>
      </c>
      <c r="N8">
        <f>IF('CALL SHEET'!$BF$8="","",'CALL SHEET'!$BF$8)</f>
        <v/>
      </c>
      <c r="O8" t="inlineStr">
        <is>
          <t>TRADE</t>
        </is>
      </c>
      <c r="P8" t="inlineStr">
        <is>
          <t>CALL SHEET · row 8</t>
        </is>
      </c>
      <c r="Q8">
        <f>E8+ROW()*0.000000001</f>
        <v/>
      </c>
    </row>
    <row r="9">
      <c r="A9">
        <f>IF('CALL SHEET'!$A$9="","",'CALL SHEET'!$A$9)</f>
        <v/>
      </c>
      <c r="B9">
        <f>IF('CALL SHEET'!$C$9="","",'CALL SHEET'!$C$9)</f>
        <v/>
      </c>
      <c r="C9">
        <f>'CALL SHEET'!$U$9</f>
        <v/>
      </c>
      <c r="D9">
        <f>'CALL SHEET'!$AB$9</f>
        <v/>
      </c>
      <c r="E9">
        <f>'CALL SHEET'!$AF$9</f>
        <v/>
      </c>
      <c r="F9">
        <f>IF('CALL SHEET'!$V$9="","",'CALL SHEET'!$V$9)</f>
        <v/>
      </c>
      <c r="G9">
        <f>IF('CALL SHEET'!$D$9="","",'CALL SHEET'!$D$9)</f>
        <v/>
      </c>
      <c r="H9">
        <f>IF('CALL SHEET'!$G$9="","",'CALL SHEET'!$G$9)</f>
        <v/>
      </c>
      <c r="I9">
        <f>IF('CALL SHEET'!$AY$9="","",'CALL SHEET'!$AY$9)</f>
        <v/>
      </c>
      <c r="J9">
        <f>IF('CALL SHEET'!$BC$9="","",'CALL SHEET'!$BC$9)</f>
        <v/>
      </c>
      <c r="K9">
        <f>IF('CALL SHEET'!$N$9="","",'CALL SHEET'!$N$9)</f>
        <v/>
      </c>
      <c r="L9">
        <f>IF('CALL SHEET'!$AH$9="","",'CALL SHEET'!$AH$9)</f>
        <v/>
      </c>
      <c r="M9">
        <f>IF('CALL SHEET'!$AO$9="","",'CALL SHEET'!$AO$9)</f>
        <v/>
      </c>
      <c r="N9">
        <f>IF('CALL SHEET'!$BF$9="","",'CALL SHEET'!$BF$9)</f>
        <v/>
      </c>
      <c r="O9" t="inlineStr">
        <is>
          <t>TRADE</t>
        </is>
      </c>
      <c r="P9" t="inlineStr">
        <is>
          <t>CALL SHEET · row 9</t>
        </is>
      </c>
      <c r="Q9">
        <f>E9+ROW()*0.000000001</f>
        <v/>
      </c>
    </row>
    <row r="10">
      <c r="A10">
        <f>IF('CALL SHEET'!$A$10="","",'CALL SHEET'!$A$10)</f>
        <v/>
      </c>
      <c r="B10">
        <f>IF('CALL SHEET'!$C$10="","",'CALL SHEET'!$C$10)</f>
        <v/>
      </c>
      <c r="C10">
        <f>'CALL SHEET'!$U$10</f>
        <v/>
      </c>
      <c r="D10">
        <f>'CALL SHEET'!$AB$10</f>
        <v/>
      </c>
      <c r="E10">
        <f>'CALL SHEET'!$AF$10</f>
        <v/>
      </c>
      <c r="F10">
        <f>IF('CALL SHEET'!$V$10="","",'CALL SHEET'!$V$10)</f>
        <v/>
      </c>
      <c r="G10">
        <f>IF('CALL SHEET'!$D$10="","",'CALL SHEET'!$D$10)</f>
        <v/>
      </c>
      <c r="H10">
        <f>IF('CALL SHEET'!$G$10="","",'CALL SHEET'!$G$10)</f>
        <v/>
      </c>
      <c r="I10">
        <f>IF('CALL SHEET'!$AY$10="","",'CALL SHEET'!$AY$10)</f>
        <v/>
      </c>
      <c r="J10">
        <f>IF('CALL SHEET'!$BC$10="","",'CALL SHEET'!$BC$10)</f>
        <v/>
      </c>
      <c r="K10">
        <f>IF('CALL SHEET'!$N$10="","",'CALL SHEET'!$N$10)</f>
        <v/>
      </c>
      <c r="L10">
        <f>IF('CALL SHEET'!$AH$10="","",'CALL SHEET'!$AH$10)</f>
        <v/>
      </c>
      <c r="M10">
        <f>IF('CALL SHEET'!$AO$10="","",'CALL SHEET'!$AO$10)</f>
        <v/>
      </c>
      <c r="N10">
        <f>IF('CALL SHEET'!$BF$10="","",'CALL SHEET'!$BF$10)</f>
        <v/>
      </c>
      <c r="O10" t="inlineStr">
        <is>
          <t>TRADE</t>
        </is>
      </c>
      <c r="P10" t="inlineStr">
        <is>
          <t>CALL SHEET · row 10</t>
        </is>
      </c>
      <c r="Q10">
        <f>E10+ROW()*0.000000001</f>
        <v/>
      </c>
    </row>
    <row r="11">
      <c r="A11">
        <f>IF('CALL SHEET'!$A$11="","",'CALL SHEET'!$A$11)</f>
        <v/>
      </c>
      <c r="B11">
        <f>IF('CALL SHEET'!$C$11="","",'CALL SHEET'!$C$11)</f>
        <v/>
      </c>
      <c r="C11">
        <f>'CALL SHEET'!$U$11</f>
        <v/>
      </c>
      <c r="D11">
        <f>'CALL SHEET'!$AB$11</f>
        <v/>
      </c>
      <c r="E11">
        <f>'CALL SHEET'!$AF$11</f>
        <v/>
      </c>
      <c r="F11">
        <f>IF('CALL SHEET'!$V$11="","",'CALL SHEET'!$V$11)</f>
        <v/>
      </c>
      <c r="G11">
        <f>IF('CALL SHEET'!$D$11="","",'CALL SHEET'!$D$11)</f>
        <v/>
      </c>
      <c r="H11">
        <f>IF('CALL SHEET'!$G$11="","",'CALL SHEET'!$G$11)</f>
        <v/>
      </c>
      <c r="I11">
        <f>IF('CALL SHEET'!$AY$11="","",'CALL SHEET'!$AY$11)</f>
        <v/>
      </c>
      <c r="J11">
        <f>IF('CALL SHEET'!$BC$11="","",'CALL SHEET'!$BC$11)</f>
        <v/>
      </c>
      <c r="K11">
        <f>IF('CALL SHEET'!$N$11="","",'CALL SHEET'!$N$11)</f>
        <v/>
      </c>
      <c r="L11">
        <f>IF('CALL SHEET'!$AH$11="","",'CALL SHEET'!$AH$11)</f>
        <v/>
      </c>
      <c r="M11">
        <f>IF('CALL SHEET'!$AO$11="","",'CALL SHEET'!$AO$11)</f>
        <v/>
      </c>
      <c r="N11">
        <f>IF('CALL SHEET'!$BF$11="","",'CALL SHEET'!$BF$11)</f>
        <v/>
      </c>
      <c r="O11" t="inlineStr">
        <is>
          <t>TRADE</t>
        </is>
      </c>
      <c r="P11" t="inlineStr">
        <is>
          <t>CALL SHEET · row 11</t>
        </is>
      </c>
      <c r="Q11">
        <f>E11+ROW()*0.000000001</f>
        <v/>
      </c>
    </row>
    <row r="12">
      <c r="A12">
        <f>IF('CALL SHEET'!$A$12="","",'CALL SHEET'!$A$12)</f>
        <v/>
      </c>
      <c r="B12">
        <f>IF('CALL SHEET'!$C$12="","",'CALL SHEET'!$C$12)</f>
        <v/>
      </c>
      <c r="C12">
        <f>'CALL SHEET'!$U$12</f>
        <v/>
      </c>
      <c r="D12">
        <f>'CALL SHEET'!$AB$12</f>
        <v/>
      </c>
      <c r="E12">
        <f>'CALL SHEET'!$AF$12</f>
        <v/>
      </c>
      <c r="F12">
        <f>IF('CALL SHEET'!$V$12="","",'CALL SHEET'!$V$12)</f>
        <v/>
      </c>
      <c r="G12">
        <f>IF('CALL SHEET'!$D$12="","",'CALL SHEET'!$D$12)</f>
        <v/>
      </c>
      <c r="H12">
        <f>IF('CALL SHEET'!$G$12="","",'CALL SHEET'!$G$12)</f>
        <v/>
      </c>
      <c r="I12">
        <f>IF('CALL SHEET'!$AY$12="","",'CALL SHEET'!$AY$12)</f>
        <v/>
      </c>
      <c r="J12">
        <f>IF('CALL SHEET'!$BC$12="","",'CALL SHEET'!$BC$12)</f>
        <v/>
      </c>
      <c r="K12">
        <f>IF('CALL SHEET'!$N$12="","",'CALL SHEET'!$N$12)</f>
        <v/>
      </c>
      <c r="L12">
        <f>IF('CALL SHEET'!$AH$12="","",'CALL SHEET'!$AH$12)</f>
        <v/>
      </c>
      <c r="M12">
        <f>IF('CALL SHEET'!$AO$12="","",'CALL SHEET'!$AO$12)</f>
        <v/>
      </c>
      <c r="N12">
        <f>IF('CALL SHEET'!$BF$12="","",'CALL SHEET'!$BF$12)</f>
        <v/>
      </c>
      <c r="O12" t="inlineStr">
        <is>
          <t>TRADE</t>
        </is>
      </c>
      <c r="P12" t="inlineStr">
        <is>
          <t>CALL SHEET · row 12</t>
        </is>
      </c>
      <c r="Q12">
        <f>E12+ROW()*0.000000001</f>
        <v/>
      </c>
    </row>
    <row r="13">
      <c r="A13">
        <f>IF('CALL SHEET'!$A$13="","",'CALL SHEET'!$A$13)</f>
        <v/>
      </c>
      <c r="B13">
        <f>IF('CALL SHEET'!$C$13="","",'CALL SHEET'!$C$13)</f>
        <v/>
      </c>
      <c r="C13">
        <f>'CALL SHEET'!$U$13</f>
        <v/>
      </c>
      <c r="D13">
        <f>'CALL SHEET'!$AB$13</f>
        <v/>
      </c>
      <c r="E13">
        <f>'CALL SHEET'!$AF$13</f>
        <v/>
      </c>
      <c r="F13">
        <f>IF('CALL SHEET'!$V$13="","",'CALL SHEET'!$V$13)</f>
        <v/>
      </c>
      <c r="G13">
        <f>IF('CALL SHEET'!$D$13="","",'CALL SHEET'!$D$13)</f>
        <v/>
      </c>
      <c r="H13">
        <f>IF('CALL SHEET'!$G$13="","",'CALL SHEET'!$G$13)</f>
        <v/>
      </c>
      <c r="I13">
        <f>IF('CALL SHEET'!$AY$13="","",'CALL SHEET'!$AY$13)</f>
        <v/>
      </c>
      <c r="J13">
        <f>IF('CALL SHEET'!$BC$13="","",'CALL SHEET'!$BC$13)</f>
        <v/>
      </c>
      <c r="K13">
        <f>IF('CALL SHEET'!$N$13="","",'CALL SHEET'!$N$13)</f>
        <v/>
      </c>
      <c r="L13">
        <f>IF('CALL SHEET'!$AH$13="","",'CALL SHEET'!$AH$13)</f>
        <v/>
      </c>
      <c r="M13">
        <f>IF('CALL SHEET'!$AO$13="","",'CALL SHEET'!$AO$13)</f>
        <v/>
      </c>
      <c r="N13">
        <f>IF('CALL SHEET'!$BF$13="","",'CALL SHEET'!$BF$13)</f>
        <v/>
      </c>
      <c r="O13" t="inlineStr">
        <is>
          <t>TRADE</t>
        </is>
      </c>
      <c r="P13" t="inlineStr">
        <is>
          <t>CALL SHEET · row 13</t>
        </is>
      </c>
      <c r="Q13">
        <f>E13+ROW()*0.000000001</f>
        <v/>
      </c>
    </row>
    <row r="14">
      <c r="A14">
        <f>IF('CALL SHEET'!$A$14="","",'CALL SHEET'!$A$14)</f>
        <v/>
      </c>
      <c r="B14">
        <f>IF('CALL SHEET'!$C$14="","",'CALL SHEET'!$C$14)</f>
        <v/>
      </c>
      <c r="C14">
        <f>'CALL SHEET'!$U$14</f>
        <v/>
      </c>
      <c r="D14">
        <f>'CALL SHEET'!$AB$14</f>
        <v/>
      </c>
      <c r="E14">
        <f>'CALL SHEET'!$AF$14</f>
        <v/>
      </c>
      <c r="F14">
        <f>IF('CALL SHEET'!$V$14="","",'CALL SHEET'!$V$14)</f>
        <v/>
      </c>
      <c r="G14">
        <f>IF('CALL SHEET'!$D$14="","",'CALL SHEET'!$D$14)</f>
        <v/>
      </c>
      <c r="H14">
        <f>IF('CALL SHEET'!$G$14="","",'CALL SHEET'!$G$14)</f>
        <v/>
      </c>
      <c r="I14">
        <f>IF('CALL SHEET'!$AY$14="","",'CALL SHEET'!$AY$14)</f>
        <v/>
      </c>
      <c r="J14">
        <f>IF('CALL SHEET'!$BC$14="","",'CALL SHEET'!$BC$14)</f>
        <v/>
      </c>
      <c r="K14">
        <f>IF('CALL SHEET'!$N$14="","",'CALL SHEET'!$N$14)</f>
        <v/>
      </c>
      <c r="L14">
        <f>IF('CALL SHEET'!$AH$14="","",'CALL SHEET'!$AH$14)</f>
        <v/>
      </c>
      <c r="M14">
        <f>IF('CALL SHEET'!$AO$14="","",'CALL SHEET'!$AO$14)</f>
        <v/>
      </c>
      <c r="N14">
        <f>IF('CALL SHEET'!$BF$14="","",'CALL SHEET'!$BF$14)</f>
        <v/>
      </c>
      <c r="O14" t="inlineStr">
        <is>
          <t>TRADE</t>
        </is>
      </c>
      <c r="P14" t="inlineStr">
        <is>
          <t>CALL SHEET · row 14</t>
        </is>
      </c>
      <c r="Q14">
        <f>E14+ROW()*0.000000001</f>
        <v/>
      </c>
    </row>
    <row r="15">
      <c r="A15">
        <f>IF('CALL SHEET'!$A$15="","",'CALL SHEET'!$A$15)</f>
        <v/>
      </c>
      <c r="B15">
        <f>IF('CALL SHEET'!$C$15="","",'CALL SHEET'!$C$15)</f>
        <v/>
      </c>
      <c r="C15">
        <f>'CALL SHEET'!$U$15</f>
        <v/>
      </c>
      <c r="D15">
        <f>'CALL SHEET'!$AB$15</f>
        <v/>
      </c>
      <c r="E15">
        <f>'CALL SHEET'!$AF$15</f>
        <v/>
      </c>
      <c r="F15">
        <f>IF('CALL SHEET'!$V$15="","",'CALL SHEET'!$V$15)</f>
        <v/>
      </c>
      <c r="G15">
        <f>IF('CALL SHEET'!$D$15="","",'CALL SHEET'!$D$15)</f>
        <v/>
      </c>
      <c r="H15">
        <f>IF('CALL SHEET'!$G$15="","",'CALL SHEET'!$G$15)</f>
        <v/>
      </c>
      <c r="I15">
        <f>IF('CALL SHEET'!$AY$15="","",'CALL SHEET'!$AY$15)</f>
        <v/>
      </c>
      <c r="J15">
        <f>IF('CALL SHEET'!$BC$15="","",'CALL SHEET'!$BC$15)</f>
        <v/>
      </c>
      <c r="K15">
        <f>IF('CALL SHEET'!$N$15="","",'CALL SHEET'!$N$15)</f>
        <v/>
      </c>
      <c r="L15">
        <f>IF('CALL SHEET'!$AH$15="","",'CALL SHEET'!$AH$15)</f>
        <v/>
      </c>
      <c r="M15">
        <f>IF('CALL SHEET'!$AO$15="","",'CALL SHEET'!$AO$15)</f>
        <v/>
      </c>
      <c r="N15">
        <f>IF('CALL SHEET'!$BF$15="","",'CALL SHEET'!$BF$15)</f>
        <v/>
      </c>
      <c r="O15" t="inlineStr">
        <is>
          <t>TRADE</t>
        </is>
      </c>
      <c r="P15" t="inlineStr">
        <is>
          <t>CALL SHEET · row 15</t>
        </is>
      </c>
      <c r="Q15">
        <f>E15+ROW()*0.000000001</f>
        <v/>
      </c>
    </row>
    <row r="16">
      <c r="A16">
        <f>IF('CALL SHEET'!$A$16="","",'CALL SHEET'!$A$16)</f>
        <v/>
      </c>
      <c r="B16">
        <f>IF('CALL SHEET'!$C$16="","",'CALL SHEET'!$C$16)</f>
        <v/>
      </c>
      <c r="C16">
        <f>'CALL SHEET'!$U$16</f>
        <v/>
      </c>
      <c r="D16">
        <f>'CALL SHEET'!$AB$16</f>
        <v/>
      </c>
      <c r="E16">
        <f>'CALL SHEET'!$AF$16</f>
        <v/>
      </c>
      <c r="F16">
        <f>IF('CALL SHEET'!$V$16="","",'CALL SHEET'!$V$16)</f>
        <v/>
      </c>
      <c r="G16">
        <f>IF('CALL SHEET'!$D$16="","",'CALL SHEET'!$D$16)</f>
        <v/>
      </c>
      <c r="H16">
        <f>IF('CALL SHEET'!$G$16="","",'CALL SHEET'!$G$16)</f>
        <v/>
      </c>
      <c r="I16">
        <f>IF('CALL SHEET'!$AY$16="","",'CALL SHEET'!$AY$16)</f>
        <v/>
      </c>
      <c r="J16">
        <f>IF('CALL SHEET'!$BC$16="","",'CALL SHEET'!$BC$16)</f>
        <v/>
      </c>
      <c r="K16">
        <f>IF('CALL SHEET'!$N$16="","",'CALL SHEET'!$N$16)</f>
        <v/>
      </c>
      <c r="L16">
        <f>IF('CALL SHEET'!$AH$16="","",'CALL SHEET'!$AH$16)</f>
        <v/>
      </c>
      <c r="M16">
        <f>IF('CALL SHEET'!$AO$16="","",'CALL SHEET'!$AO$16)</f>
        <v/>
      </c>
      <c r="N16">
        <f>IF('CALL SHEET'!$BF$16="","",'CALL SHEET'!$BF$16)</f>
        <v/>
      </c>
      <c r="O16" t="inlineStr">
        <is>
          <t>TRADE</t>
        </is>
      </c>
      <c r="P16" t="inlineStr">
        <is>
          <t>CALL SHEET · row 16</t>
        </is>
      </c>
      <c r="Q16">
        <f>E16+ROW()*0.000000001</f>
        <v/>
      </c>
    </row>
    <row r="17">
      <c r="A17">
        <f>IF('CALL SHEET'!$A$17="","",'CALL SHEET'!$A$17)</f>
        <v/>
      </c>
      <c r="B17">
        <f>IF('CALL SHEET'!$C$17="","",'CALL SHEET'!$C$17)</f>
        <v/>
      </c>
      <c r="C17">
        <f>'CALL SHEET'!$U$17</f>
        <v/>
      </c>
      <c r="D17">
        <f>'CALL SHEET'!$AB$17</f>
        <v/>
      </c>
      <c r="E17">
        <f>'CALL SHEET'!$AF$17</f>
        <v/>
      </c>
      <c r="F17">
        <f>IF('CALL SHEET'!$V$17="","",'CALL SHEET'!$V$17)</f>
        <v/>
      </c>
      <c r="G17">
        <f>IF('CALL SHEET'!$D$17="","",'CALL SHEET'!$D$17)</f>
        <v/>
      </c>
      <c r="H17">
        <f>IF('CALL SHEET'!$G$17="","",'CALL SHEET'!$G$17)</f>
        <v/>
      </c>
      <c r="I17">
        <f>IF('CALL SHEET'!$AY$17="","",'CALL SHEET'!$AY$17)</f>
        <v/>
      </c>
      <c r="J17">
        <f>IF('CALL SHEET'!$BC$17="","",'CALL SHEET'!$BC$17)</f>
        <v/>
      </c>
      <c r="K17">
        <f>IF('CALL SHEET'!$N$17="","",'CALL SHEET'!$N$17)</f>
        <v/>
      </c>
      <c r="L17">
        <f>IF('CALL SHEET'!$AH$17="","",'CALL SHEET'!$AH$17)</f>
        <v/>
      </c>
      <c r="M17">
        <f>IF('CALL SHEET'!$AO$17="","",'CALL SHEET'!$AO$17)</f>
        <v/>
      </c>
      <c r="N17">
        <f>IF('CALL SHEET'!$BF$17="","",'CALL SHEET'!$BF$17)</f>
        <v/>
      </c>
      <c r="O17" t="inlineStr">
        <is>
          <t>TRADE</t>
        </is>
      </c>
      <c r="P17" t="inlineStr">
        <is>
          <t>CALL SHEET · row 17</t>
        </is>
      </c>
      <c r="Q17">
        <f>E17+ROW()*0.000000001</f>
        <v/>
      </c>
    </row>
    <row r="18">
      <c r="A18">
        <f>IF('CALL SHEET'!$A$18="","",'CALL SHEET'!$A$18)</f>
        <v/>
      </c>
      <c r="B18">
        <f>IF('CALL SHEET'!$C$18="","",'CALL SHEET'!$C$18)</f>
        <v/>
      </c>
      <c r="C18">
        <f>'CALL SHEET'!$U$18</f>
        <v/>
      </c>
      <c r="D18">
        <f>'CALL SHEET'!$AB$18</f>
        <v/>
      </c>
      <c r="E18">
        <f>'CALL SHEET'!$AF$18</f>
        <v/>
      </c>
      <c r="F18">
        <f>IF('CALL SHEET'!$V$18="","",'CALL SHEET'!$V$18)</f>
        <v/>
      </c>
      <c r="G18">
        <f>IF('CALL SHEET'!$D$18="","",'CALL SHEET'!$D$18)</f>
        <v/>
      </c>
      <c r="H18">
        <f>IF('CALL SHEET'!$G$18="","",'CALL SHEET'!$G$18)</f>
        <v/>
      </c>
      <c r="I18">
        <f>IF('CALL SHEET'!$AY$18="","",'CALL SHEET'!$AY$18)</f>
        <v/>
      </c>
      <c r="J18">
        <f>IF('CALL SHEET'!$BC$18="","",'CALL SHEET'!$BC$18)</f>
        <v/>
      </c>
      <c r="K18">
        <f>IF('CALL SHEET'!$N$18="","",'CALL SHEET'!$N$18)</f>
        <v/>
      </c>
      <c r="L18">
        <f>IF('CALL SHEET'!$AH$18="","",'CALL SHEET'!$AH$18)</f>
        <v/>
      </c>
      <c r="M18">
        <f>IF('CALL SHEET'!$AO$18="","",'CALL SHEET'!$AO$18)</f>
        <v/>
      </c>
      <c r="N18">
        <f>IF('CALL SHEET'!$BF$18="","",'CALL SHEET'!$BF$18)</f>
        <v/>
      </c>
      <c r="O18" t="inlineStr">
        <is>
          <t>TRADE</t>
        </is>
      </c>
      <c r="P18" t="inlineStr">
        <is>
          <t>CALL SHEET · row 18</t>
        </is>
      </c>
      <c r="Q18">
        <f>E18+ROW()*0.000000001</f>
        <v/>
      </c>
    </row>
    <row r="19">
      <c r="A19">
        <f>IF('CALL SHEET'!$A$19="","",'CALL SHEET'!$A$19)</f>
        <v/>
      </c>
      <c r="B19">
        <f>IF('CALL SHEET'!$C$19="","",'CALL SHEET'!$C$19)</f>
        <v/>
      </c>
      <c r="C19">
        <f>'CALL SHEET'!$U$19</f>
        <v/>
      </c>
      <c r="D19">
        <f>'CALL SHEET'!$AB$19</f>
        <v/>
      </c>
      <c r="E19">
        <f>'CALL SHEET'!$AF$19</f>
        <v/>
      </c>
      <c r="F19">
        <f>IF('CALL SHEET'!$V$19="","",'CALL SHEET'!$V$19)</f>
        <v/>
      </c>
      <c r="G19">
        <f>IF('CALL SHEET'!$D$19="","",'CALL SHEET'!$D$19)</f>
        <v/>
      </c>
      <c r="H19">
        <f>IF('CALL SHEET'!$G$19="","",'CALL SHEET'!$G$19)</f>
        <v/>
      </c>
      <c r="I19">
        <f>IF('CALL SHEET'!$AY$19="","",'CALL SHEET'!$AY$19)</f>
        <v/>
      </c>
      <c r="J19">
        <f>IF('CALL SHEET'!$BC$19="","",'CALL SHEET'!$BC$19)</f>
        <v/>
      </c>
      <c r="K19">
        <f>IF('CALL SHEET'!$N$19="","",'CALL SHEET'!$N$19)</f>
        <v/>
      </c>
      <c r="L19">
        <f>IF('CALL SHEET'!$AH$19="","",'CALL SHEET'!$AH$19)</f>
        <v/>
      </c>
      <c r="M19">
        <f>IF('CALL SHEET'!$AO$19="","",'CALL SHEET'!$AO$19)</f>
        <v/>
      </c>
      <c r="N19">
        <f>IF('CALL SHEET'!$BF$19="","",'CALL SHEET'!$BF$19)</f>
        <v/>
      </c>
      <c r="O19" t="inlineStr">
        <is>
          <t>TRADE</t>
        </is>
      </c>
      <c r="P19" t="inlineStr">
        <is>
          <t>CALL SHEET · row 19</t>
        </is>
      </c>
      <c r="Q19">
        <f>E19+ROW()*0.000000001</f>
        <v/>
      </c>
    </row>
    <row r="20">
      <c r="A20">
        <f>IF('CALL SHEET'!$A$20="","",'CALL SHEET'!$A$20)</f>
        <v/>
      </c>
      <c r="B20">
        <f>IF('CALL SHEET'!$C$20="","",'CALL SHEET'!$C$20)</f>
        <v/>
      </c>
      <c r="C20">
        <f>'CALL SHEET'!$U$20</f>
        <v/>
      </c>
      <c r="D20">
        <f>'CALL SHEET'!$AB$20</f>
        <v/>
      </c>
      <c r="E20">
        <f>'CALL SHEET'!$AF$20</f>
        <v/>
      </c>
      <c r="F20">
        <f>IF('CALL SHEET'!$V$20="","",'CALL SHEET'!$V$20)</f>
        <v/>
      </c>
      <c r="G20">
        <f>IF('CALL SHEET'!$D$20="","",'CALL SHEET'!$D$20)</f>
        <v/>
      </c>
      <c r="H20">
        <f>IF('CALL SHEET'!$G$20="","",'CALL SHEET'!$G$20)</f>
        <v/>
      </c>
      <c r="I20">
        <f>IF('CALL SHEET'!$AY$20="","",'CALL SHEET'!$AY$20)</f>
        <v/>
      </c>
      <c r="J20">
        <f>IF('CALL SHEET'!$BC$20="","",'CALL SHEET'!$BC$20)</f>
        <v/>
      </c>
      <c r="K20">
        <f>IF('CALL SHEET'!$N$20="","",'CALL SHEET'!$N$20)</f>
        <v/>
      </c>
      <c r="L20">
        <f>IF('CALL SHEET'!$AH$20="","",'CALL SHEET'!$AH$20)</f>
        <v/>
      </c>
      <c r="M20">
        <f>IF('CALL SHEET'!$AO$20="","",'CALL SHEET'!$AO$20)</f>
        <v/>
      </c>
      <c r="N20">
        <f>IF('CALL SHEET'!$BF$20="","",'CALL SHEET'!$BF$20)</f>
        <v/>
      </c>
      <c r="O20" t="inlineStr">
        <is>
          <t>TRADE</t>
        </is>
      </c>
      <c r="P20" t="inlineStr">
        <is>
          <t>CALL SHEET · row 20</t>
        </is>
      </c>
      <c r="Q20">
        <f>E20+ROW()*0.000000001</f>
        <v/>
      </c>
    </row>
    <row r="21">
      <c r="A21">
        <f>IF('CALL SHEET'!$A$21="","",'CALL SHEET'!$A$21)</f>
        <v/>
      </c>
      <c r="B21">
        <f>IF('CALL SHEET'!$C$21="","",'CALL SHEET'!$C$21)</f>
        <v/>
      </c>
      <c r="C21">
        <f>'CALL SHEET'!$U$21</f>
        <v/>
      </c>
      <c r="D21">
        <f>'CALL SHEET'!$AB$21</f>
        <v/>
      </c>
      <c r="E21">
        <f>'CALL SHEET'!$AF$21</f>
        <v/>
      </c>
      <c r="F21">
        <f>IF('CALL SHEET'!$V$21="","",'CALL SHEET'!$V$21)</f>
        <v/>
      </c>
      <c r="G21">
        <f>IF('CALL SHEET'!$D$21="","",'CALL SHEET'!$D$21)</f>
        <v/>
      </c>
      <c r="H21">
        <f>IF('CALL SHEET'!$G$21="","",'CALL SHEET'!$G$21)</f>
        <v/>
      </c>
      <c r="I21">
        <f>IF('CALL SHEET'!$AY$21="","",'CALL SHEET'!$AY$21)</f>
        <v/>
      </c>
      <c r="J21">
        <f>IF('CALL SHEET'!$BC$21="","",'CALL SHEET'!$BC$21)</f>
        <v/>
      </c>
      <c r="K21">
        <f>IF('CALL SHEET'!$N$21="","",'CALL SHEET'!$N$21)</f>
        <v/>
      </c>
      <c r="L21">
        <f>IF('CALL SHEET'!$AH$21="","",'CALL SHEET'!$AH$21)</f>
        <v/>
      </c>
      <c r="M21">
        <f>IF('CALL SHEET'!$AO$21="","",'CALL SHEET'!$AO$21)</f>
        <v/>
      </c>
      <c r="N21">
        <f>IF('CALL SHEET'!$BF$21="","",'CALL SHEET'!$BF$21)</f>
        <v/>
      </c>
      <c r="O21" t="inlineStr">
        <is>
          <t>TRADE</t>
        </is>
      </c>
      <c r="P21" t="inlineStr">
        <is>
          <t>CALL SHEET · row 21</t>
        </is>
      </c>
      <c r="Q21">
        <f>E21+ROW()*0.000000001</f>
        <v/>
      </c>
    </row>
    <row r="22">
      <c r="A22">
        <f>IF('CALL SHEET'!$A$22="","",'CALL SHEET'!$A$22)</f>
        <v/>
      </c>
      <c r="B22">
        <f>IF('CALL SHEET'!$C$22="","",'CALL SHEET'!$C$22)</f>
        <v/>
      </c>
      <c r="C22">
        <f>'CALL SHEET'!$U$22</f>
        <v/>
      </c>
      <c r="D22">
        <f>'CALL SHEET'!$AB$22</f>
        <v/>
      </c>
      <c r="E22">
        <f>'CALL SHEET'!$AF$22</f>
        <v/>
      </c>
      <c r="F22">
        <f>IF('CALL SHEET'!$V$22="","",'CALL SHEET'!$V$22)</f>
        <v/>
      </c>
      <c r="G22">
        <f>IF('CALL SHEET'!$D$22="","",'CALL SHEET'!$D$22)</f>
        <v/>
      </c>
      <c r="H22">
        <f>IF('CALL SHEET'!$G$22="","",'CALL SHEET'!$G$22)</f>
        <v/>
      </c>
      <c r="I22">
        <f>IF('CALL SHEET'!$AY$22="","",'CALL SHEET'!$AY$22)</f>
        <v/>
      </c>
      <c r="J22">
        <f>IF('CALL SHEET'!$BC$22="","",'CALL SHEET'!$BC$22)</f>
        <v/>
      </c>
      <c r="K22">
        <f>IF('CALL SHEET'!$N$22="","",'CALL SHEET'!$N$22)</f>
        <v/>
      </c>
      <c r="L22">
        <f>IF('CALL SHEET'!$AH$22="","",'CALL SHEET'!$AH$22)</f>
        <v/>
      </c>
      <c r="M22">
        <f>IF('CALL SHEET'!$AO$22="","",'CALL SHEET'!$AO$22)</f>
        <v/>
      </c>
      <c r="N22">
        <f>IF('CALL SHEET'!$BF$22="","",'CALL SHEET'!$BF$22)</f>
        <v/>
      </c>
      <c r="O22" t="inlineStr">
        <is>
          <t>TRADE</t>
        </is>
      </c>
      <c r="P22" t="inlineStr">
        <is>
          <t>CALL SHEET · row 22</t>
        </is>
      </c>
      <c r="Q22">
        <f>E22+ROW()*0.000000001</f>
        <v/>
      </c>
    </row>
    <row r="23">
      <c r="A23">
        <f>IF('CALL SHEET'!$A$23="","",'CALL SHEET'!$A$23)</f>
        <v/>
      </c>
      <c r="B23">
        <f>IF('CALL SHEET'!$C$23="","",'CALL SHEET'!$C$23)</f>
        <v/>
      </c>
      <c r="C23">
        <f>'CALL SHEET'!$U$23</f>
        <v/>
      </c>
      <c r="D23">
        <f>'CALL SHEET'!$AB$23</f>
        <v/>
      </c>
      <c r="E23">
        <f>'CALL SHEET'!$AF$23</f>
        <v/>
      </c>
      <c r="F23">
        <f>IF('CALL SHEET'!$V$23="","",'CALL SHEET'!$V$23)</f>
        <v/>
      </c>
      <c r="G23">
        <f>IF('CALL SHEET'!$D$23="","",'CALL SHEET'!$D$23)</f>
        <v/>
      </c>
      <c r="H23">
        <f>IF('CALL SHEET'!$G$23="","",'CALL SHEET'!$G$23)</f>
        <v/>
      </c>
      <c r="I23">
        <f>IF('CALL SHEET'!$AY$23="","",'CALL SHEET'!$AY$23)</f>
        <v/>
      </c>
      <c r="J23">
        <f>IF('CALL SHEET'!$BC$23="","",'CALL SHEET'!$BC$23)</f>
        <v/>
      </c>
      <c r="K23">
        <f>IF('CALL SHEET'!$N$23="","",'CALL SHEET'!$N$23)</f>
        <v/>
      </c>
      <c r="L23">
        <f>IF('CALL SHEET'!$AH$23="","",'CALL SHEET'!$AH$23)</f>
        <v/>
      </c>
      <c r="M23">
        <f>IF('CALL SHEET'!$AO$23="","",'CALL SHEET'!$AO$23)</f>
        <v/>
      </c>
      <c r="N23">
        <f>IF('CALL SHEET'!$BF$23="","",'CALL SHEET'!$BF$23)</f>
        <v/>
      </c>
      <c r="O23" t="inlineStr">
        <is>
          <t>TRADE</t>
        </is>
      </c>
      <c r="P23" t="inlineStr">
        <is>
          <t>CALL SHEET · row 23</t>
        </is>
      </c>
      <c r="Q23">
        <f>E23+ROW()*0.000000001</f>
        <v/>
      </c>
    </row>
    <row r="24">
      <c r="A24">
        <f>IF('CALL SHEET'!$A$24="","",'CALL SHEET'!$A$24)</f>
        <v/>
      </c>
      <c r="B24">
        <f>IF('CALL SHEET'!$C$24="","",'CALL SHEET'!$C$24)</f>
        <v/>
      </c>
      <c r="C24">
        <f>'CALL SHEET'!$U$24</f>
        <v/>
      </c>
      <c r="D24">
        <f>'CALL SHEET'!$AB$24</f>
        <v/>
      </c>
      <c r="E24">
        <f>'CALL SHEET'!$AF$24</f>
        <v/>
      </c>
      <c r="F24">
        <f>IF('CALL SHEET'!$V$24="","",'CALL SHEET'!$V$24)</f>
        <v/>
      </c>
      <c r="G24">
        <f>IF('CALL SHEET'!$D$24="","",'CALL SHEET'!$D$24)</f>
        <v/>
      </c>
      <c r="H24">
        <f>IF('CALL SHEET'!$G$24="","",'CALL SHEET'!$G$24)</f>
        <v/>
      </c>
      <c r="I24">
        <f>IF('CALL SHEET'!$AY$24="","",'CALL SHEET'!$AY$24)</f>
        <v/>
      </c>
      <c r="J24">
        <f>IF('CALL SHEET'!$BC$24="","",'CALL SHEET'!$BC$24)</f>
        <v/>
      </c>
      <c r="K24">
        <f>IF('CALL SHEET'!$N$24="","",'CALL SHEET'!$N$24)</f>
        <v/>
      </c>
      <c r="L24">
        <f>IF('CALL SHEET'!$AH$24="","",'CALL SHEET'!$AH$24)</f>
        <v/>
      </c>
      <c r="M24">
        <f>IF('CALL SHEET'!$AO$24="","",'CALL SHEET'!$AO$24)</f>
        <v/>
      </c>
      <c r="N24">
        <f>IF('CALL SHEET'!$BF$24="","",'CALL SHEET'!$BF$24)</f>
        <v/>
      </c>
      <c r="O24" t="inlineStr">
        <is>
          <t>TRADE</t>
        </is>
      </c>
      <c r="P24" t="inlineStr">
        <is>
          <t>CALL SHEET · row 24</t>
        </is>
      </c>
      <c r="Q24">
        <f>E24+ROW()*0.000000001</f>
        <v/>
      </c>
    </row>
    <row r="25">
      <c r="A25">
        <f>IF('CALL SHEET'!$A$25="","",'CALL SHEET'!$A$25)</f>
        <v/>
      </c>
      <c r="B25">
        <f>IF('CALL SHEET'!$C$25="","",'CALL SHEET'!$C$25)</f>
        <v/>
      </c>
      <c r="C25">
        <f>'CALL SHEET'!$U$25</f>
        <v/>
      </c>
      <c r="D25">
        <f>'CALL SHEET'!$AB$25</f>
        <v/>
      </c>
      <c r="E25">
        <f>'CALL SHEET'!$AF$25</f>
        <v/>
      </c>
      <c r="F25">
        <f>IF('CALL SHEET'!$V$25="","",'CALL SHEET'!$V$25)</f>
        <v/>
      </c>
      <c r="G25">
        <f>IF('CALL SHEET'!$D$25="","",'CALL SHEET'!$D$25)</f>
        <v/>
      </c>
      <c r="H25">
        <f>IF('CALL SHEET'!$G$25="","",'CALL SHEET'!$G$25)</f>
        <v/>
      </c>
      <c r="I25">
        <f>IF('CALL SHEET'!$AY$25="","",'CALL SHEET'!$AY$25)</f>
        <v/>
      </c>
      <c r="J25">
        <f>IF('CALL SHEET'!$BC$25="","",'CALL SHEET'!$BC$25)</f>
        <v/>
      </c>
      <c r="K25">
        <f>IF('CALL SHEET'!$N$25="","",'CALL SHEET'!$N$25)</f>
        <v/>
      </c>
      <c r="L25">
        <f>IF('CALL SHEET'!$AH$25="","",'CALL SHEET'!$AH$25)</f>
        <v/>
      </c>
      <c r="M25">
        <f>IF('CALL SHEET'!$AO$25="","",'CALL SHEET'!$AO$25)</f>
        <v/>
      </c>
      <c r="N25">
        <f>IF('CALL SHEET'!$BF$25="","",'CALL SHEET'!$BF$25)</f>
        <v/>
      </c>
      <c r="O25" t="inlineStr">
        <is>
          <t>TRADE</t>
        </is>
      </c>
      <c r="P25" t="inlineStr">
        <is>
          <t>CALL SHEET · row 25</t>
        </is>
      </c>
      <c r="Q25">
        <f>E25+ROW()*0.000000001</f>
        <v/>
      </c>
    </row>
    <row r="26">
      <c r="A26">
        <f>IF('CALL SHEET'!$A$26="","",'CALL SHEET'!$A$26)</f>
        <v/>
      </c>
      <c r="B26">
        <f>IF('CALL SHEET'!$C$26="","",'CALL SHEET'!$C$26)</f>
        <v/>
      </c>
      <c r="C26">
        <f>'CALL SHEET'!$U$26</f>
        <v/>
      </c>
      <c r="D26">
        <f>'CALL SHEET'!$AB$26</f>
        <v/>
      </c>
      <c r="E26">
        <f>'CALL SHEET'!$AF$26</f>
        <v/>
      </c>
      <c r="F26">
        <f>IF('CALL SHEET'!$V$26="","",'CALL SHEET'!$V$26)</f>
        <v/>
      </c>
      <c r="G26">
        <f>IF('CALL SHEET'!$D$26="","",'CALL SHEET'!$D$26)</f>
        <v/>
      </c>
      <c r="H26">
        <f>IF('CALL SHEET'!$G$26="","",'CALL SHEET'!$G$26)</f>
        <v/>
      </c>
      <c r="I26">
        <f>IF('CALL SHEET'!$AY$26="","",'CALL SHEET'!$AY$26)</f>
        <v/>
      </c>
      <c r="J26">
        <f>IF('CALL SHEET'!$BC$26="","",'CALL SHEET'!$BC$26)</f>
        <v/>
      </c>
      <c r="K26">
        <f>IF('CALL SHEET'!$N$26="","",'CALL SHEET'!$N$26)</f>
        <v/>
      </c>
      <c r="L26">
        <f>IF('CALL SHEET'!$AH$26="","",'CALL SHEET'!$AH$26)</f>
        <v/>
      </c>
      <c r="M26">
        <f>IF('CALL SHEET'!$AO$26="","",'CALL SHEET'!$AO$26)</f>
        <v/>
      </c>
      <c r="N26">
        <f>IF('CALL SHEET'!$BF$26="","",'CALL SHEET'!$BF$26)</f>
        <v/>
      </c>
      <c r="O26" t="inlineStr">
        <is>
          <t>TRADE</t>
        </is>
      </c>
      <c r="P26" t="inlineStr">
        <is>
          <t>CALL SHEET · row 26</t>
        </is>
      </c>
      <c r="Q26">
        <f>E26+ROW()*0.000000001</f>
        <v/>
      </c>
    </row>
    <row r="27">
      <c r="A27">
        <f>IF('CALL SHEET'!$A$27="","",'CALL SHEET'!$A$27)</f>
        <v/>
      </c>
      <c r="B27">
        <f>IF('CALL SHEET'!$C$27="","",'CALL SHEET'!$C$27)</f>
        <v/>
      </c>
      <c r="C27">
        <f>'CALL SHEET'!$U$27</f>
        <v/>
      </c>
      <c r="D27">
        <f>'CALL SHEET'!$AB$27</f>
        <v/>
      </c>
      <c r="E27">
        <f>'CALL SHEET'!$AF$27</f>
        <v/>
      </c>
      <c r="F27">
        <f>IF('CALL SHEET'!$V$27="","",'CALL SHEET'!$V$27)</f>
        <v/>
      </c>
      <c r="G27">
        <f>IF('CALL SHEET'!$D$27="","",'CALL SHEET'!$D$27)</f>
        <v/>
      </c>
      <c r="H27">
        <f>IF('CALL SHEET'!$G$27="","",'CALL SHEET'!$G$27)</f>
        <v/>
      </c>
      <c r="I27">
        <f>IF('CALL SHEET'!$AY$27="","",'CALL SHEET'!$AY$27)</f>
        <v/>
      </c>
      <c r="J27">
        <f>IF('CALL SHEET'!$BC$27="","",'CALL SHEET'!$BC$27)</f>
        <v/>
      </c>
      <c r="K27">
        <f>IF('CALL SHEET'!$N$27="","",'CALL SHEET'!$N$27)</f>
        <v/>
      </c>
      <c r="L27">
        <f>IF('CALL SHEET'!$AH$27="","",'CALL SHEET'!$AH$27)</f>
        <v/>
      </c>
      <c r="M27">
        <f>IF('CALL SHEET'!$AO$27="","",'CALL SHEET'!$AO$27)</f>
        <v/>
      </c>
      <c r="N27">
        <f>IF('CALL SHEET'!$BF$27="","",'CALL SHEET'!$BF$27)</f>
        <v/>
      </c>
      <c r="O27" t="inlineStr">
        <is>
          <t>TRADE</t>
        </is>
      </c>
      <c r="P27" t="inlineStr">
        <is>
          <t>CALL SHEET · row 27</t>
        </is>
      </c>
      <c r="Q27">
        <f>E27+ROW()*0.000000001</f>
        <v/>
      </c>
    </row>
    <row r="28">
      <c r="A28">
        <f>IF('CALL SHEET'!$A$28="","",'CALL SHEET'!$A$28)</f>
        <v/>
      </c>
      <c r="B28">
        <f>IF('CALL SHEET'!$C$28="","",'CALL SHEET'!$C$28)</f>
        <v/>
      </c>
      <c r="C28">
        <f>'CALL SHEET'!$U$28</f>
        <v/>
      </c>
      <c r="D28">
        <f>'CALL SHEET'!$AB$28</f>
        <v/>
      </c>
      <c r="E28">
        <f>'CALL SHEET'!$AF$28</f>
        <v/>
      </c>
      <c r="F28">
        <f>IF('CALL SHEET'!$V$28="","",'CALL SHEET'!$V$28)</f>
        <v/>
      </c>
      <c r="G28">
        <f>IF('CALL SHEET'!$D$28="","",'CALL SHEET'!$D$28)</f>
        <v/>
      </c>
      <c r="H28">
        <f>IF('CALL SHEET'!$G$28="","",'CALL SHEET'!$G$28)</f>
        <v/>
      </c>
      <c r="I28">
        <f>IF('CALL SHEET'!$AY$28="","",'CALL SHEET'!$AY$28)</f>
        <v/>
      </c>
      <c r="J28">
        <f>IF('CALL SHEET'!$BC$28="","",'CALL SHEET'!$BC$28)</f>
        <v/>
      </c>
      <c r="K28">
        <f>IF('CALL SHEET'!$N$28="","",'CALL SHEET'!$N$28)</f>
        <v/>
      </c>
      <c r="L28">
        <f>IF('CALL SHEET'!$AH$28="","",'CALL SHEET'!$AH$28)</f>
        <v/>
      </c>
      <c r="M28">
        <f>IF('CALL SHEET'!$AO$28="","",'CALL SHEET'!$AO$28)</f>
        <v/>
      </c>
      <c r="N28">
        <f>IF('CALL SHEET'!$BF$28="","",'CALL SHEET'!$BF$28)</f>
        <v/>
      </c>
      <c r="O28" t="inlineStr">
        <is>
          <t>TRADE</t>
        </is>
      </c>
      <c r="P28" t="inlineStr">
        <is>
          <t>CALL SHEET · row 28</t>
        </is>
      </c>
      <c r="Q28">
        <f>E28+ROW()*0.000000001</f>
        <v/>
      </c>
    </row>
    <row r="29">
      <c r="A29">
        <f>IF('CALL SHEET'!$A$29="","",'CALL SHEET'!$A$29)</f>
        <v/>
      </c>
      <c r="B29">
        <f>IF('CALL SHEET'!$C$29="","",'CALL SHEET'!$C$29)</f>
        <v/>
      </c>
      <c r="C29">
        <f>'CALL SHEET'!$U$29</f>
        <v/>
      </c>
      <c r="D29">
        <f>'CALL SHEET'!$AB$29</f>
        <v/>
      </c>
      <c r="E29">
        <f>'CALL SHEET'!$AF$29</f>
        <v/>
      </c>
      <c r="F29">
        <f>IF('CALL SHEET'!$V$29="","",'CALL SHEET'!$V$29)</f>
        <v/>
      </c>
      <c r="G29">
        <f>IF('CALL SHEET'!$D$29="","",'CALL SHEET'!$D$29)</f>
        <v/>
      </c>
      <c r="H29">
        <f>IF('CALL SHEET'!$G$29="","",'CALL SHEET'!$G$29)</f>
        <v/>
      </c>
      <c r="I29">
        <f>IF('CALL SHEET'!$AY$29="","",'CALL SHEET'!$AY$29)</f>
        <v/>
      </c>
      <c r="J29">
        <f>IF('CALL SHEET'!$BC$29="","",'CALL SHEET'!$BC$29)</f>
        <v/>
      </c>
      <c r="K29">
        <f>IF('CALL SHEET'!$N$29="","",'CALL SHEET'!$N$29)</f>
        <v/>
      </c>
      <c r="L29">
        <f>IF('CALL SHEET'!$AH$29="","",'CALL SHEET'!$AH$29)</f>
        <v/>
      </c>
      <c r="M29">
        <f>IF('CALL SHEET'!$AO$29="","",'CALL SHEET'!$AO$29)</f>
        <v/>
      </c>
      <c r="N29">
        <f>IF('CALL SHEET'!$BF$29="","",'CALL SHEET'!$BF$29)</f>
        <v/>
      </c>
      <c r="O29" t="inlineStr">
        <is>
          <t>TRADE</t>
        </is>
      </c>
      <c r="P29" t="inlineStr">
        <is>
          <t>CALL SHEET · row 29</t>
        </is>
      </c>
      <c r="Q29">
        <f>E29+ROW()*0.000000001</f>
        <v/>
      </c>
    </row>
    <row r="30">
      <c r="A30">
        <f>IF('CALL SHEET'!$A$30="","",'CALL SHEET'!$A$30)</f>
        <v/>
      </c>
      <c r="B30">
        <f>IF('CALL SHEET'!$C$30="","",'CALL SHEET'!$C$30)</f>
        <v/>
      </c>
      <c r="C30">
        <f>'CALL SHEET'!$U$30</f>
        <v/>
      </c>
      <c r="D30">
        <f>'CALL SHEET'!$AB$30</f>
        <v/>
      </c>
      <c r="E30">
        <f>'CALL SHEET'!$AF$30</f>
        <v/>
      </c>
      <c r="F30">
        <f>IF('CALL SHEET'!$V$30="","",'CALL SHEET'!$V$30)</f>
        <v/>
      </c>
      <c r="G30">
        <f>IF('CALL SHEET'!$D$30="","",'CALL SHEET'!$D$30)</f>
        <v/>
      </c>
      <c r="H30">
        <f>IF('CALL SHEET'!$G$30="","",'CALL SHEET'!$G$30)</f>
        <v/>
      </c>
      <c r="I30">
        <f>IF('CALL SHEET'!$AY$30="","",'CALL SHEET'!$AY$30)</f>
        <v/>
      </c>
      <c r="J30">
        <f>IF('CALL SHEET'!$BC$30="","",'CALL SHEET'!$BC$30)</f>
        <v/>
      </c>
      <c r="K30">
        <f>IF('CALL SHEET'!$N$30="","",'CALL SHEET'!$N$30)</f>
        <v/>
      </c>
      <c r="L30">
        <f>IF('CALL SHEET'!$AH$30="","",'CALL SHEET'!$AH$30)</f>
        <v/>
      </c>
      <c r="M30">
        <f>IF('CALL SHEET'!$AO$30="","",'CALL SHEET'!$AO$30)</f>
        <v/>
      </c>
      <c r="N30">
        <f>IF('CALL SHEET'!$BF$30="","",'CALL SHEET'!$BF$30)</f>
        <v/>
      </c>
      <c r="O30" t="inlineStr">
        <is>
          <t>TRADE</t>
        </is>
      </c>
      <c r="P30" t="inlineStr">
        <is>
          <t>CALL SHEET · row 30</t>
        </is>
      </c>
      <c r="Q30">
        <f>E30+ROW()*0.000000001</f>
        <v/>
      </c>
    </row>
    <row r="31">
      <c r="A31">
        <f>IF('CALL SHEET'!$A$31="","",'CALL SHEET'!$A$31)</f>
        <v/>
      </c>
      <c r="B31">
        <f>IF('CALL SHEET'!$C$31="","",'CALL SHEET'!$C$31)</f>
        <v/>
      </c>
      <c r="C31">
        <f>'CALL SHEET'!$U$31</f>
        <v/>
      </c>
      <c r="D31">
        <f>'CALL SHEET'!$AB$31</f>
        <v/>
      </c>
      <c r="E31">
        <f>'CALL SHEET'!$AF$31</f>
        <v/>
      </c>
      <c r="F31">
        <f>IF('CALL SHEET'!$V$31="","",'CALL SHEET'!$V$31)</f>
        <v/>
      </c>
      <c r="G31">
        <f>IF('CALL SHEET'!$D$31="","",'CALL SHEET'!$D$31)</f>
        <v/>
      </c>
      <c r="H31">
        <f>IF('CALL SHEET'!$G$31="","",'CALL SHEET'!$G$31)</f>
        <v/>
      </c>
      <c r="I31">
        <f>IF('CALL SHEET'!$AY$31="","",'CALL SHEET'!$AY$31)</f>
        <v/>
      </c>
      <c r="J31">
        <f>IF('CALL SHEET'!$BC$31="","",'CALL SHEET'!$BC$31)</f>
        <v/>
      </c>
      <c r="K31">
        <f>IF('CALL SHEET'!$N$31="","",'CALL SHEET'!$N$31)</f>
        <v/>
      </c>
      <c r="L31">
        <f>IF('CALL SHEET'!$AH$31="","",'CALL SHEET'!$AH$31)</f>
        <v/>
      </c>
      <c r="M31">
        <f>IF('CALL SHEET'!$AO$31="","",'CALL SHEET'!$AO$31)</f>
        <v/>
      </c>
      <c r="N31">
        <f>IF('CALL SHEET'!$BF$31="","",'CALL SHEET'!$BF$31)</f>
        <v/>
      </c>
      <c r="O31" t="inlineStr">
        <is>
          <t>TRADE</t>
        </is>
      </c>
      <c r="P31" t="inlineStr">
        <is>
          <t>CALL SHEET · row 31</t>
        </is>
      </c>
      <c r="Q31">
        <f>E31+ROW()*0.000000001</f>
        <v/>
      </c>
    </row>
    <row r="32">
      <c r="A32">
        <f>IF('CALL SHEET'!$A$32="","",'CALL SHEET'!$A$32)</f>
        <v/>
      </c>
      <c r="B32">
        <f>IF('CALL SHEET'!$C$32="","",'CALL SHEET'!$C$32)</f>
        <v/>
      </c>
      <c r="C32">
        <f>'CALL SHEET'!$U$32</f>
        <v/>
      </c>
      <c r="D32">
        <f>'CALL SHEET'!$AB$32</f>
        <v/>
      </c>
      <c r="E32">
        <f>'CALL SHEET'!$AF$32</f>
        <v/>
      </c>
      <c r="F32">
        <f>IF('CALL SHEET'!$V$32="","",'CALL SHEET'!$V$32)</f>
        <v/>
      </c>
      <c r="G32">
        <f>IF('CALL SHEET'!$D$32="","",'CALL SHEET'!$D$32)</f>
        <v/>
      </c>
      <c r="H32">
        <f>IF('CALL SHEET'!$G$32="","",'CALL SHEET'!$G$32)</f>
        <v/>
      </c>
      <c r="I32">
        <f>IF('CALL SHEET'!$AY$32="","",'CALL SHEET'!$AY$32)</f>
        <v/>
      </c>
      <c r="J32">
        <f>IF('CALL SHEET'!$BC$32="","",'CALL SHEET'!$BC$32)</f>
        <v/>
      </c>
      <c r="K32">
        <f>IF('CALL SHEET'!$N$32="","",'CALL SHEET'!$N$32)</f>
        <v/>
      </c>
      <c r="L32">
        <f>IF('CALL SHEET'!$AH$32="","",'CALL SHEET'!$AH$32)</f>
        <v/>
      </c>
      <c r="M32">
        <f>IF('CALL SHEET'!$AO$32="","",'CALL SHEET'!$AO$32)</f>
        <v/>
      </c>
      <c r="N32">
        <f>IF('CALL SHEET'!$BF$32="","",'CALL SHEET'!$BF$32)</f>
        <v/>
      </c>
      <c r="O32" t="inlineStr">
        <is>
          <t>TRADE</t>
        </is>
      </c>
      <c r="P32" t="inlineStr">
        <is>
          <t>CALL SHEET · row 32</t>
        </is>
      </c>
      <c r="Q32">
        <f>E32+ROW()*0.000000001</f>
        <v/>
      </c>
    </row>
    <row r="33">
      <c r="A33">
        <f>IF('CALL SHEET'!$A$33="","",'CALL SHEET'!$A$33)</f>
        <v/>
      </c>
      <c r="B33">
        <f>IF('CALL SHEET'!$C$33="","",'CALL SHEET'!$C$33)</f>
        <v/>
      </c>
      <c r="C33">
        <f>'CALL SHEET'!$U$33</f>
        <v/>
      </c>
      <c r="D33">
        <f>'CALL SHEET'!$AB$33</f>
        <v/>
      </c>
      <c r="E33">
        <f>'CALL SHEET'!$AF$33</f>
        <v/>
      </c>
      <c r="F33">
        <f>IF('CALL SHEET'!$V$33="","",'CALL SHEET'!$V$33)</f>
        <v/>
      </c>
      <c r="G33">
        <f>IF('CALL SHEET'!$D$33="","",'CALL SHEET'!$D$33)</f>
        <v/>
      </c>
      <c r="H33">
        <f>IF('CALL SHEET'!$G$33="","",'CALL SHEET'!$G$33)</f>
        <v/>
      </c>
      <c r="I33">
        <f>IF('CALL SHEET'!$AY$33="","",'CALL SHEET'!$AY$33)</f>
        <v/>
      </c>
      <c r="J33">
        <f>IF('CALL SHEET'!$BC$33="","",'CALL SHEET'!$BC$33)</f>
        <v/>
      </c>
      <c r="K33">
        <f>IF('CALL SHEET'!$N$33="","",'CALL SHEET'!$N$33)</f>
        <v/>
      </c>
      <c r="L33">
        <f>IF('CALL SHEET'!$AH$33="","",'CALL SHEET'!$AH$33)</f>
        <v/>
      </c>
      <c r="M33">
        <f>IF('CALL SHEET'!$AO$33="","",'CALL SHEET'!$AO$33)</f>
        <v/>
      </c>
      <c r="N33">
        <f>IF('CALL SHEET'!$BF$33="","",'CALL SHEET'!$BF$33)</f>
        <v/>
      </c>
      <c r="O33" t="inlineStr">
        <is>
          <t>TRADE</t>
        </is>
      </c>
      <c r="P33" t="inlineStr">
        <is>
          <t>CALL SHEET · row 33</t>
        </is>
      </c>
      <c r="Q33">
        <f>E33+ROW()*0.000000001</f>
        <v/>
      </c>
    </row>
    <row r="34">
      <c r="A34">
        <f>IF('CALL SHEET'!$A$34="","",'CALL SHEET'!$A$34)</f>
        <v/>
      </c>
      <c r="B34">
        <f>IF('CALL SHEET'!$C$34="","",'CALL SHEET'!$C$34)</f>
        <v/>
      </c>
      <c r="C34">
        <f>'CALL SHEET'!$U$34</f>
        <v/>
      </c>
      <c r="D34">
        <f>'CALL SHEET'!$AB$34</f>
        <v/>
      </c>
      <c r="E34">
        <f>'CALL SHEET'!$AF$34</f>
        <v/>
      </c>
      <c r="F34">
        <f>IF('CALL SHEET'!$V$34="","",'CALL SHEET'!$V$34)</f>
        <v/>
      </c>
      <c r="G34">
        <f>IF('CALL SHEET'!$D$34="","",'CALL SHEET'!$D$34)</f>
        <v/>
      </c>
      <c r="H34">
        <f>IF('CALL SHEET'!$G$34="","",'CALL SHEET'!$G$34)</f>
        <v/>
      </c>
      <c r="I34">
        <f>IF('CALL SHEET'!$AY$34="","",'CALL SHEET'!$AY$34)</f>
        <v/>
      </c>
      <c r="J34">
        <f>IF('CALL SHEET'!$BC$34="","",'CALL SHEET'!$BC$34)</f>
        <v/>
      </c>
      <c r="K34">
        <f>IF('CALL SHEET'!$N$34="","",'CALL SHEET'!$N$34)</f>
        <v/>
      </c>
      <c r="L34">
        <f>IF('CALL SHEET'!$AH$34="","",'CALL SHEET'!$AH$34)</f>
        <v/>
      </c>
      <c r="M34">
        <f>IF('CALL SHEET'!$AO$34="","",'CALL SHEET'!$AO$34)</f>
        <v/>
      </c>
      <c r="N34">
        <f>IF('CALL SHEET'!$BF$34="","",'CALL SHEET'!$BF$34)</f>
        <v/>
      </c>
      <c r="O34" t="inlineStr">
        <is>
          <t>TRADE</t>
        </is>
      </c>
      <c r="P34" t="inlineStr">
        <is>
          <t>CALL SHEET · row 34</t>
        </is>
      </c>
      <c r="Q34">
        <f>E34+ROW()*0.000000001</f>
        <v/>
      </c>
    </row>
    <row r="35">
      <c r="A35">
        <f>IF('CALL SHEET'!$A$35="","",'CALL SHEET'!$A$35)</f>
        <v/>
      </c>
      <c r="B35">
        <f>IF('CALL SHEET'!$C$35="","",'CALL SHEET'!$C$35)</f>
        <v/>
      </c>
      <c r="C35">
        <f>'CALL SHEET'!$U$35</f>
        <v/>
      </c>
      <c r="D35">
        <f>'CALL SHEET'!$AB$35</f>
        <v/>
      </c>
      <c r="E35">
        <f>'CALL SHEET'!$AF$35</f>
        <v/>
      </c>
      <c r="F35">
        <f>IF('CALL SHEET'!$V$35="","",'CALL SHEET'!$V$35)</f>
        <v/>
      </c>
      <c r="G35">
        <f>IF('CALL SHEET'!$D$35="","",'CALL SHEET'!$D$35)</f>
        <v/>
      </c>
      <c r="H35">
        <f>IF('CALL SHEET'!$G$35="","",'CALL SHEET'!$G$35)</f>
        <v/>
      </c>
      <c r="I35">
        <f>IF('CALL SHEET'!$AY$35="","",'CALL SHEET'!$AY$35)</f>
        <v/>
      </c>
      <c r="J35">
        <f>IF('CALL SHEET'!$BC$35="","",'CALL SHEET'!$BC$35)</f>
        <v/>
      </c>
      <c r="K35">
        <f>IF('CALL SHEET'!$N$35="","",'CALL SHEET'!$N$35)</f>
        <v/>
      </c>
      <c r="L35">
        <f>IF('CALL SHEET'!$AH$35="","",'CALL SHEET'!$AH$35)</f>
        <v/>
      </c>
      <c r="M35">
        <f>IF('CALL SHEET'!$AO$35="","",'CALL SHEET'!$AO$35)</f>
        <v/>
      </c>
      <c r="N35">
        <f>IF('CALL SHEET'!$BF$35="","",'CALL SHEET'!$BF$35)</f>
        <v/>
      </c>
      <c r="O35" t="inlineStr">
        <is>
          <t>TRADE</t>
        </is>
      </c>
      <c r="P35" t="inlineStr">
        <is>
          <t>CALL SHEET · row 35</t>
        </is>
      </c>
      <c r="Q35">
        <f>E35+ROW()*0.000000001</f>
        <v/>
      </c>
    </row>
    <row r="36">
      <c r="A36">
        <f>IF('CALL SHEET'!$A$36="","",'CALL SHEET'!$A$36)</f>
        <v/>
      </c>
      <c r="B36">
        <f>IF('CALL SHEET'!$C$36="","",'CALL SHEET'!$C$36)</f>
        <v/>
      </c>
      <c r="C36">
        <f>'CALL SHEET'!$U$36</f>
        <v/>
      </c>
      <c r="D36">
        <f>'CALL SHEET'!$AB$36</f>
        <v/>
      </c>
      <c r="E36">
        <f>'CALL SHEET'!$AF$36</f>
        <v/>
      </c>
      <c r="F36">
        <f>IF('CALL SHEET'!$V$36="","",'CALL SHEET'!$V$36)</f>
        <v/>
      </c>
      <c r="G36">
        <f>IF('CALL SHEET'!$D$36="","",'CALL SHEET'!$D$36)</f>
        <v/>
      </c>
      <c r="H36">
        <f>IF('CALL SHEET'!$G$36="","",'CALL SHEET'!$G$36)</f>
        <v/>
      </c>
      <c r="I36">
        <f>IF('CALL SHEET'!$AY$36="","",'CALL SHEET'!$AY$36)</f>
        <v/>
      </c>
      <c r="J36">
        <f>IF('CALL SHEET'!$BC$36="","",'CALL SHEET'!$BC$36)</f>
        <v/>
      </c>
      <c r="K36">
        <f>IF('CALL SHEET'!$N$36="","",'CALL SHEET'!$N$36)</f>
        <v/>
      </c>
      <c r="L36">
        <f>IF('CALL SHEET'!$AH$36="","",'CALL SHEET'!$AH$36)</f>
        <v/>
      </c>
      <c r="M36">
        <f>IF('CALL SHEET'!$AO$36="","",'CALL SHEET'!$AO$36)</f>
        <v/>
      </c>
      <c r="N36">
        <f>IF('CALL SHEET'!$BF$36="","",'CALL SHEET'!$BF$36)</f>
        <v/>
      </c>
      <c r="O36" t="inlineStr">
        <is>
          <t>TRADE</t>
        </is>
      </c>
      <c r="P36" t="inlineStr">
        <is>
          <t>CALL SHEET · row 36</t>
        </is>
      </c>
      <c r="Q36">
        <f>E36+ROW()*0.000000001</f>
        <v/>
      </c>
    </row>
    <row r="37">
      <c r="A37">
        <f>IF('CALL SHEET'!$A$37="","",'CALL SHEET'!$A$37)</f>
        <v/>
      </c>
      <c r="B37">
        <f>IF('CALL SHEET'!$C$37="","",'CALL SHEET'!$C$37)</f>
        <v/>
      </c>
      <c r="C37">
        <f>'CALL SHEET'!$U$37</f>
        <v/>
      </c>
      <c r="D37">
        <f>'CALL SHEET'!$AB$37</f>
        <v/>
      </c>
      <c r="E37">
        <f>'CALL SHEET'!$AF$37</f>
        <v/>
      </c>
      <c r="F37">
        <f>IF('CALL SHEET'!$V$37="","",'CALL SHEET'!$V$37)</f>
        <v/>
      </c>
      <c r="G37">
        <f>IF('CALL SHEET'!$D$37="","",'CALL SHEET'!$D$37)</f>
        <v/>
      </c>
      <c r="H37">
        <f>IF('CALL SHEET'!$G$37="","",'CALL SHEET'!$G$37)</f>
        <v/>
      </c>
      <c r="I37">
        <f>IF('CALL SHEET'!$AY$37="","",'CALL SHEET'!$AY$37)</f>
        <v/>
      </c>
      <c r="J37">
        <f>IF('CALL SHEET'!$BC$37="","",'CALL SHEET'!$BC$37)</f>
        <v/>
      </c>
      <c r="K37">
        <f>IF('CALL SHEET'!$N$37="","",'CALL SHEET'!$N$37)</f>
        <v/>
      </c>
      <c r="L37">
        <f>IF('CALL SHEET'!$AH$37="","",'CALL SHEET'!$AH$37)</f>
        <v/>
      </c>
      <c r="M37">
        <f>IF('CALL SHEET'!$AO$37="","",'CALL SHEET'!$AO$37)</f>
        <v/>
      </c>
      <c r="N37">
        <f>IF('CALL SHEET'!$BF$37="","",'CALL SHEET'!$BF$37)</f>
        <v/>
      </c>
      <c r="O37" t="inlineStr">
        <is>
          <t>TRADE</t>
        </is>
      </c>
      <c r="P37" t="inlineStr">
        <is>
          <t>CALL SHEET · row 37</t>
        </is>
      </c>
      <c r="Q37">
        <f>E37+ROW()*0.000000001</f>
        <v/>
      </c>
    </row>
    <row r="38">
      <c r="A38">
        <f>IF('CALL SHEET'!$A$38="","",'CALL SHEET'!$A$38)</f>
        <v/>
      </c>
      <c r="B38">
        <f>IF('CALL SHEET'!$C$38="","",'CALL SHEET'!$C$38)</f>
        <v/>
      </c>
      <c r="C38">
        <f>'CALL SHEET'!$U$38</f>
        <v/>
      </c>
      <c r="D38">
        <f>'CALL SHEET'!$AB$38</f>
        <v/>
      </c>
      <c r="E38">
        <f>'CALL SHEET'!$AF$38</f>
        <v/>
      </c>
      <c r="F38">
        <f>IF('CALL SHEET'!$V$38="","",'CALL SHEET'!$V$38)</f>
        <v/>
      </c>
      <c r="G38">
        <f>IF('CALL SHEET'!$D$38="","",'CALL SHEET'!$D$38)</f>
        <v/>
      </c>
      <c r="H38">
        <f>IF('CALL SHEET'!$G$38="","",'CALL SHEET'!$G$38)</f>
        <v/>
      </c>
      <c r="I38">
        <f>IF('CALL SHEET'!$AY$38="","",'CALL SHEET'!$AY$38)</f>
        <v/>
      </c>
      <c r="J38">
        <f>IF('CALL SHEET'!$BC$38="","",'CALL SHEET'!$BC$38)</f>
        <v/>
      </c>
      <c r="K38">
        <f>IF('CALL SHEET'!$N$38="","",'CALL SHEET'!$N$38)</f>
        <v/>
      </c>
      <c r="L38">
        <f>IF('CALL SHEET'!$AH$38="","",'CALL SHEET'!$AH$38)</f>
        <v/>
      </c>
      <c r="M38">
        <f>IF('CALL SHEET'!$AO$38="","",'CALL SHEET'!$AO$38)</f>
        <v/>
      </c>
      <c r="N38">
        <f>IF('CALL SHEET'!$BF$38="","",'CALL SHEET'!$BF$38)</f>
        <v/>
      </c>
      <c r="O38" t="inlineStr">
        <is>
          <t>TRADE</t>
        </is>
      </c>
      <c r="P38" t="inlineStr">
        <is>
          <t>CALL SHEET · row 38</t>
        </is>
      </c>
      <c r="Q38">
        <f>E38+ROW()*0.000000001</f>
        <v/>
      </c>
    </row>
    <row r="39">
      <c r="A39">
        <f>IF('CALL SHEET'!$A$39="","",'CALL SHEET'!$A$39)</f>
        <v/>
      </c>
      <c r="B39">
        <f>IF('CALL SHEET'!$C$39="","",'CALL SHEET'!$C$39)</f>
        <v/>
      </c>
      <c r="C39">
        <f>'CALL SHEET'!$U$39</f>
        <v/>
      </c>
      <c r="D39">
        <f>'CALL SHEET'!$AB$39</f>
        <v/>
      </c>
      <c r="E39">
        <f>'CALL SHEET'!$AF$39</f>
        <v/>
      </c>
      <c r="F39">
        <f>IF('CALL SHEET'!$V$39="","",'CALL SHEET'!$V$39)</f>
        <v/>
      </c>
      <c r="G39">
        <f>IF('CALL SHEET'!$D$39="","",'CALL SHEET'!$D$39)</f>
        <v/>
      </c>
      <c r="H39">
        <f>IF('CALL SHEET'!$G$39="","",'CALL SHEET'!$G$39)</f>
        <v/>
      </c>
      <c r="I39">
        <f>IF('CALL SHEET'!$AY$39="","",'CALL SHEET'!$AY$39)</f>
        <v/>
      </c>
      <c r="J39">
        <f>IF('CALL SHEET'!$BC$39="","",'CALL SHEET'!$BC$39)</f>
        <v/>
      </c>
      <c r="K39">
        <f>IF('CALL SHEET'!$N$39="","",'CALL SHEET'!$N$39)</f>
        <v/>
      </c>
      <c r="L39">
        <f>IF('CALL SHEET'!$AH$39="","",'CALL SHEET'!$AH$39)</f>
        <v/>
      </c>
      <c r="M39">
        <f>IF('CALL SHEET'!$AO$39="","",'CALL SHEET'!$AO$39)</f>
        <v/>
      </c>
      <c r="N39">
        <f>IF('CALL SHEET'!$BF$39="","",'CALL SHEET'!$BF$39)</f>
        <v/>
      </c>
      <c r="O39" t="inlineStr">
        <is>
          <t>TRADE</t>
        </is>
      </c>
      <c r="P39" t="inlineStr">
        <is>
          <t>CALL SHEET · row 39</t>
        </is>
      </c>
      <c r="Q39">
        <f>E39+ROW()*0.000000001</f>
        <v/>
      </c>
    </row>
    <row r="40">
      <c r="A40">
        <f>IF('CALL SHEET'!$A$40="","",'CALL SHEET'!$A$40)</f>
        <v/>
      </c>
      <c r="B40">
        <f>IF('CALL SHEET'!$C$40="","",'CALL SHEET'!$C$40)</f>
        <v/>
      </c>
      <c r="C40">
        <f>'CALL SHEET'!$U$40</f>
        <v/>
      </c>
      <c r="D40">
        <f>'CALL SHEET'!$AB$40</f>
        <v/>
      </c>
      <c r="E40">
        <f>'CALL SHEET'!$AF$40</f>
        <v/>
      </c>
      <c r="F40">
        <f>IF('CALL SHEET'!$V$40="","",'CALL SHEET'!$V$40)</f>
        <v/>
      </c>
      <c r="G40">
        <f>IF('CALL SHEET'!$D$40="","",'CALL SHEET'!$D$40)</f>
        <v/>
      </c>
      <c r="H40">
        <f>IF('CALL SHEET'!$G$40="","",'CALL SHEET'!$G$40)</f>
        <v/>
      </c>
      <c r="I40">
        <f>IF('CALL SHEET'!$AY$40="","",'CALL SHEET'!$AY$40)</f>
        <v/>
      </c>
      <c r="J40">
        <f>IF('CALL SHEET'!$BC$40="","",'CALL SHEET'!$BC$40)</f>
        <v/>
      </c>
      <c r="K40">
        <f>IF('CALL SHEET'!$N$40="","",'CALL SHEET'!$N$40)</f>
        <v/>
      </c>
      <c r="L40">
        <f>IF('CALL SHEET'!$AH$40="","",'CALL SHEET'!$AH$40)</f>
        <v/>
      </c>
      <c r="M40">
        <f>IF('CALL SHEET'!$AO$40="","",'CALL SHEET'!$AO$40)</f>
        <v/>
      </c>
      <c r="N40">
        <f>IF('CALL SHEET'!$BF$40="","",'CALL SHEET'!$BF$40)</f>
        <v/>
      </c>
      <c r="O40" t="inlineStr">
        <is>
          <t>TRADE</t>
        </is>
      </c>
      <c r="P40" t="inlineStr">
        <is>
          <t>CALL SHEET · row 40</t>
        </is>
      </c>
      <c r="Q40">
        <f>E40+ROW()*0.000000001</f>
        <v/>
      </c>
    </row>
    <row r="41">
      <c r="A41">
        <f>IF('CALL SHEET'!$A$41="","",'CALL SHEET'!$A$41)</f>
        <v/>
      </c>
      <c r="B41">
        <f>IF('CALL SHEET'!$C$41="","",'CALL SHEET'!$C$41)</f>
        <v/>
      </c>
      <c r="C41">
        <f>'CALL SHEET'!$U$41</f>
        <v/>
      </c>
      <c r="D41">
        <f>'CALL SHEET'!$AB$41</f>
        <v/>
      </c>
      <c r="E41">
        <f>'CALL SHEET'!$AF$41</f>
        <v/>
      </c>
      <c r="F41">
        <f>IF('CALL SHEET'!$V$41="","",'CALL SHEET'!$V$41)</f>
        <v/>
      </c>
      <c r="G41">
        <f>IF('CALL SHEET'!$D$41="","",'CALL SHEET'!$D$41)</f>
        <v/>
      </c>
      <c r="H41">
        <f>IF('CALL SHEET'!$G$41="","",'CALL SHEET'!$G$41)</f>
        <v/>
      </c>
      <c r="I41">
        <f>IF('CALL SHEET'!$AY$41="","",'CALL SHEET'!$AY$41)</f>
        <v/>
      </c>
      <c r="J41">
        <f>IF('CALL SHEET'!$BC$41="","",'CALL SHEET'!$BC$41)</f>
        <v/>
      </c>
      <c r="K41">
        <f>IF('CALL SHEET'!$N$41="","",'CALL SHEET'!$N$41)</f>
        <v/>
      </c>
      <c r="L41">
        <f>IF('CALL SHEET'!$AH$41="","",'CALL SHEET'!$AH$41)</f>
        <v/>
      </c>
      <c r="M41">
        <f>IF('CALL SHEET'!$AO$41="","",'CALL SHEET'!$AO$41)</f>
        <v/>
      </c>
      <c r="N41">
        <f>IF('CALL SHEET'!$BF$41="","",'CALL SHEET'!$BF$41)</f>
        <v/>
      </c>
      <c r="O41" t="inlineStr">
        <is>
          <t>TRADE</t>
        </is>
      </c>
      <c r="P41" t="inlineStr">
        <is>
          <t>CALL SHEET · row 41</t>
        </is>
      </c>
      <c r="Q41">
        <f>E41+ROW()*0.000000001</f>
        <v/>
      </c>
    </row>
    <row r="42">
      <c r="A42">
        <f>IF('CALL SHEET'!$A$42="","",'CALL SHEET'!$A$42)</f>
        <v/>
      </c>
      <c r="B42">
        <f>IF('CALL SHEET'!$C$42="","",'CALL SHEET'!$C$42)</f>
        <v/>
      </c>
      <c r="C42">
        <f>'CALL SHEET'!$U$42</f>
        <v/>
      </c>
      <c r="D42">
        <f>'CALL SHEET'!$AB$42</f>
        <v/>
      </c>
      <c r="E42">
        <f>'CALL SHEET'!$AF$42</f>
        <v/>
      </c>
      <c r="F42">
        <f>IF('CALL SHEET'!$V$42="","",'CALL SHEET'!$V$42)</f>
        <v/>
      </c>
      <c r="G42">
        <f>IF('CALL SHEET'!$D$42="","",'CALL SHEET'!$D$42)</f>
        <v/>
      </c>
      <c r="H42">
        <f>IF('CALL SHEET'!$G$42="","",'CALL SHEET'!$G$42)</f>
        <v/>
      </c>
      <c r="I42">
        <f>IF('CALL SHEET'!$AY$42="","",'CALL SHEET'!$AY$42)</f>
        <v/>
      </c>
      <c r="J42">
        <f>IF('CALL SHEET'!$BC$42="","",'CALL SHEET'!$BC$42)</f>
        <v/>
      </c>
      <c r="K42">
        <f>IF('CALL SHEET'!$N$42="","",'CALL SHEET'!$N$42)</f>
        <v/>
      </c>
      <c r="L42">
        <f>IF('CALL SHEET'!$AH$42="","",'CALL SHEET'!$AH$42)</f>
        <v/>
      </c>
      <c r="M42">
        <f>IF('CALL SHEET'!$AO$42="","",'CALL SHEET'!$AO$42)</f>
        <v/>
      </c>
      <c r="N42">
        <f>IF('CALL SHEET'!$BF$42="","",'CALL SHEET'!$BF$42)</f>
        <v/>
      </c>
      <c r="O42" t="inlineStr">
        <is>
          <t>TRADE</t>
        </is>
      </c>
      <c r="P42" t="inlineStr">
        <is>
          <t>CALL SHEET · row 42</t>
        </is>
      </c>
      <c r="Q42">
        <f>E42+ROW()*0.000000001</f>
        <v/>
      </c>
    </row>
    <row r="43">
      <c r="A43">
        <f>IF('CALL SHEET'!$A$43="","",'CALL SHEET'!$A$43)</f>
        <v/>
      </c>
      <c r="B43">
        <f>IF('CALL SHEET'!$C$43="","",'CALL SHEET'!$C$43)</f>
        <v/>
      </c>
      <c r="C43">
        <f>'CALL SHEET'!$U$43</f>
        <v/>
      </c>
      <c r="D43">
        <f>'CALL SHEET'!$AB$43</f>
        <v/>
      </c>
      <c r="E43">
        <f>'CALL SHEET'!$AF$43</f>
        <v/>
      </c>
      <c r="F43">
        <f>IF('CALL SHEET'!$V$43="","",'CALL SHEET'!$V$43)</f>
        <v/>
      </c>
      <c r="G43">
        <f>IF('CALL SHEET'!$D$43="","",'CALL SHEET'!$D$43)</f>
        <v/>
      </c>
      <c r="H43">
        <f>IF('CALL SHEET'!$G$43="","",'CALL SHEET'!$G$43)</f>
        <v/>
      </c>
      <c r="I43">
        <f>IF('CALL SHEET'!$AY$43="","",'CALL SHEET'!$AY$43)</f>
        <v/>
      </c>
      <c r="J43">
        <f>IF('CALL SHEET'!$BC$43="","",'CALL SHEET'!$BC$43)</f>
        <v/>
      </c>
      <c r="K43">
        <f>IF('CALL SHEET'!$N$43="","",'CALL SHEET'!$N$43)</f>
        <v/>
      </c>
      <c r="L43">
        <f>IF('CALL SHEET'!$AH$43="","",'CALL SHEET'!$AH$43)</f>
        <v/>
      </c>
      <c r="M43">
        <f>IF('CALL SHEET'!$AO$43="","",'CALL SHEET'!$AO$43)</f>
        <v/>
      </c>
      <c r="N43">
        <f>IF('CALL SHEET'!$BF$43="","",'CALL SHEET'!$BF$43)</f>
        <v/>
      </c>
      <c r="O43" t="inlineStr">
        <is>
          <t>TRADE</t>
        </is>
      </c>
      <c r="P43" t="inlineStr">
        <is>
          <t>CALL SHEET · row 43</t>
        </is>
      </c>
      <c r="Q43">
        <f>E43+ROW()*0.000000001</f>
        <v/>
      </c>
    </row>
    <row r="44">
      <c r="A44">
        <f>IF('CALL SHEET'!$A$44="","",'CALL SHEET'!$A$44)</f>
        <v/>
      </c>
      <c r="B44">
        <f>IF('CALL SHEET'!$C$44="","",'CALL SHEET'!$C$44)</f>
        <v/>
      </c>
      <c r="C44">
        <f>'CALL SHEET'!$U$44</f>
        <v/>
      </c>
      <c r="D44">
        <f>'CALL SHEET'!$AB$44</f>
        <v/>
      </c>
      <c r="E44">
        <f>'CALL SHEET'!$AF$44</f>
        <v/>
      </c>
      <c r="F44">
        <f>IF('CALL SHEET'!$V$44="","",'CALL SHEET'!$V$44)</f>
        <v/>
      </c>
      <c r="G44">
        <f>IF('CALL SHEET'!$D$44="","",'CALL SHEET'!$D$44)</f>
        <v/>
      </c>
      <c r="H44">
        <f>IF('CALL SHEET'!$G$44="","",'CALL SHEET'!$G$44)</f>
        <v/>
      </c>
      <c r="I44">
        <f>IF('CALL SHEET'!$AY$44="","",'CALL SHEET'!$AY$44)</f>
        <v/>
      </c>
      <c r="J44">
        <f>IF('CALL SHEET'!$BC$44="","",'CALL SHEET'!$BC$44)</f>
        <v/>
      </c>
      <c r="K44">
        <f>IF('CALL SHEET'!$N$44="","",'CALL SHEET'!$N$44)</f>
        <v/>
      </c>
      <c r="L44">
        <f>IF('CALL SHEET'!$AH$44="","",'CALL SHEET'!$AH$44)</f>
        <v/>
      </c>
      <c r="M44">
        <f>IF('CALL SHEET'!$AO$44="","",'CALL SHEET'!$AO$44)</f>
        <v/>
      </c>
      <c r="N44">
        <f>IF('CALL SHEET'!$BF$44="","",'CALL SHEET'!$BF$44)</f>
        <v/>
      </c>
      <c r="O44" t="inlineStr">
        <is>
          <t>TRADE</t>
        </is>
      </c>
      <c r="P44" t="inlineStr">
        <is>
          <t>CALL SHEET · row 44</t>
        </is>
      </c>
      <c r="Q44">
        <f>E44+ROW()*0.000000001</f>
        <v/>
      </c>
    </row>
    <row r="45">
      <c r="A45">
        <f>IF('CALL SHEET'!$A$45="","",'CALL SHEET'!$A$45)</f>
        <v/>
      </c>
      <c r="B45">
        <f>IF('CALL SHEET'!$C$45="","",'CALL SHEET'!$C$45)</f>
        <v/>
      </c>
      <c r="C45">
        <f>'CALL SHEET'!$U$45</f>
        <v/>
      </c>
      <c r="D45">
        <f>'CALL SHEET'!$AB$45</f>
        <v/>
      </c>
      <c r="E45">
        <f>'CALL SHEET'!$AF$45</f>
        <v/>
      </c>
      <c r="F45">
        <f>IF('CALL SHEET'!$V$45="","",'CALL SHEET'!$V$45)</f>
        <v/>
      </c>
      <c r="G45">
        <f>IF('CALL SHEET'!$D$45="","",'CALL SHEET'!$D$45)</f>
        <v/>
      </c>
      <c r="H45">
        <f>IF('CALL SHEET'!$G$45="","",'CALL SHEET'!$G$45)</f>
        <v/>
      </c>
      <c r="I45">
        <f>IF('CALL SHEET'!$AY$45="","",'CALL SHEET'!$AY$45)</f>
        <v/>
      </c>
      <c r="J45">
        <f>IF('CALL SHEET'!$BC$45="","",'CALL SHEET'!$BC$45)</f>
        <v/>
      </c>
      <c r="K45">
        <f>IF('CALL SHEET'!$N$45="","",'CALL SHEET'!$N$45)</f>
        <v/>
      </c>
      <c r="L45">
        <f>IF('CALL SHEET'!$AH$45="","",'CALL SHEET'!$AH$45)</f>
        <v/>
      </c>
      <c r="M45">
        <f>IF('CALL SHEET'!$AO$45="","",'CALL SHEET'!$AO$45)</f>
        <v/>
      </c>
      <c r="N45">
        <f>IF('CALL SHEET'!$BF$45="","",'CALL SHEET'!$BF$45)</f>
        <v/>
      </c>
      <c r="O45" t="inlineStr">
        <is>
          <t>TRADE</t>
        </is>
      </c>
      <c r="P45" t="inlineStr">
        <is>
          <t>CALL SHEET · row 45</t>
        </is>
      </c>
      <c r="Q45">
        <f>E45+ROW()*0.000000001</f>
        <v/>
      </c>
    </row>
    <row r="46">
      <c r="A46">
        <f>IF('CALL SHEET'!$A$46="","",'CALL SHEET'!$A$46)</f>
        <v/>
      </c>
      <c r="B46">
        <f>IF('CALL SHEET'!$C$46="","",'CALL SHEET'!$C$46)</f>
        <v/>
      </c>
      <c r="C46">
        <f>'CALL SHEET'!$U$46</f>
        <v/>
      </c>
      <c r="D46">
        <f>'CALL SHEET'!$AB$46</f>
        <v/>
      </c>
      <c r="E46">
        <f>'CALL SHEET'!$AF$46</f>
        <v/>
      </c>
      <c r="F46">
        <f>IF('CALL SHEET'!$V$46="","",'CALL SHEET'!$V$46)</f>
        <v/>
      </c>
      <c r="G46">
        <f>IF('CALL SHEET'!$D$46="","",'CALL SHEET'!$D$46)</f>
        <v/>
      </c>
      <c r="H46">
        <f>IF('CALL SHEET'!$G$46="","",'CALL SHEET'!$G$46)</f>
        <v/>
      </c>
      <c r="I46">
        <f>IF('CALL SHEET'!$AY$46="","",'CALL SHEET'!$AY$46)</f>
        <v/>
      </c>
      <c r="J46">
        <f>IF('CALL SHEET'!$BC$46="","",'CALL SHEET'!$BC$46)</f>
        <v/>
      </c>
      <c r="K46">
        <f>IF('CALL SHEET'!$N$46="","",'CALL SHEET'!$N$46)</f>
        <v/>
      </c>
      <c r="L46">
        <f>IF('CALL SHEET'!$AH$46="","",'CALL SHEET'!$AH$46)</f>
        <v/>
      </c>
      <c r="M46">
        <f>IF('CALL SHEET'!$AO$46="","",'CALL SHEET'!$AO$46)</f>
        <v/>
      </c>
      <c r="N46">
        <f>IF('CALL SHEET'!$BF$46="","",'CALL SHEET'!$BF$46)</f>
        <v/>
      </c>
      <c r="O46" t="inlineStr">
        <is>
          <t>TRADE</t>
        </is>
      </c>
      <c r="P46" t="inlineStr">
        <is>
          <t>CALL SHEET · row 46</t>
        </is>
      </c>
      <c r="Q46">
        <f>E46+ROW()*0.000000001</f>
        <v/>
      </c>
    </row>
    <row r="47">
      <c r="A47">
        <f>IF('CALL SHEET'!$A$47="","",'CALL SHEET'!$A$47)</f>
        <v/>
      </c>
      <c r="B47">
        <f>IF('CALL SHEET'!$C$47="","",'CALL SHEET'!$C$47)</f>
        <v/>
      </c>
      <c r="C47">
        <f>'CALL SHEET'!$U$47</f>
        <v/>
      </c>
      <c r="D47">
        <f>'CALL SHEET'!$AB$47</f>
        <v/>
      </c>
      <c r="E47">
        <f>'CALL SHEET'!$AF$47</f>
        <v/>
      </c>
      <c r="F47">
        <f>IF('CALL SHEET'!$V$47="","",'CALL SHEET'!$V$47)</f>
        <v/>
      </c>
      <c r="G47">
        <f>IF('CALL SHEET'!$D$47="","",'CALL SHEET'!$D$47)</f>
        <v/>
      </c>
      <c r="H47">
        <f>IF('CALL SHEET'!$G$47="","",'CALL SHEET'!$G$47)</f>
        <v/>
      </c>
      <c r="I47">
        <f>IF('CALL SHEET'!$AY$47="","",'CALL SHEET'!$AY$47)</f>
        <v/>
      </c>
      <c r="J47">
        <f>IF('CALL SHEET'!$BC$47="","",'CALL SHEET'!$BC$47)</f>
        <v/>
      </c>
      <c r="K47">
        <f>IF('CALL SHEET'!$N$47="","",'CALL SHEET'!$N$47)</f>
        <v/>
      </c>
      <c r="L47">
        <f>IF('CALL SHEET'!$AH$47="","",'CALL SHEET'!$AH$47)</f>
        <v/>
      </c>
      <c r="M47">
        <f>IF('CALL SHEET'!$AO$47="","",'CALL SHEET'!$AO$47)</f>
        <v/>
      </c>
      <c r="N47">
        <f>IF('CALL SHEET'!$BF$47="","",'CALL SHEET'!$BF$47)</f>
        <v/>
      </c>
      <c r="O47" t="inlineStr">
        <is>
          <t>TRADE</t>
        </is>
      </c>
      <c r="P47" t="inlineStr">
        <is>
          <t>CALL SHEET · row 47</t>
        </is>
      </c>
      <c r="Q47">
        <f>E47+ROW()*0.000000001</f>
        <v/>
      </c>
    </row>
    <row r="48">
      <c r="A48">
        <f>IF('CALL SHEET'!$A$48="","",'CALL SHEET'!$A$48)</f>
        <v/>
      </c>
      <c r="B48">
        <f>IF('CALL SHEET'!$C$48="","",'CALL SHEET'!$C$48)</f>
        <v/>
      </c>
      <c r="C48">
        <f>'CALL SHEET'!$U$48</f>
        <v/>
      </c>
      <c r="D48">
        <f>'CALL SHEET'!$AB$48</f>
        <v/>
      </c>
      <c r="E48">
        <f>'CALL SHEET'!$AF$48</f>
        <v/>
      </c>
      <c r="F48">
        <f>IF('CALL SHEET'!$V$48="","",'CALL SHEET'!$V$48)</f>
        <v/>
      </c>
      <c r="G48">
        <f>IF('CALL SHEET'!$D$48="","",'CALL SHEET'!$D$48)</f>
        <v/>
      </c>
      <c r="H48">
        <f>IF('CALL SHEET'!$G$48="","",'CALL SHEET'!$G$48)</f>
        <v/>
      </c>
      <c r="I48">
        <f>IF('CALL SHEET'!$AY$48="","",'CALL SHEET'!$AY$48)</f>
        <v/>
      </c>
      <c r="J48">
        <f>IF('CALL SHEET'!$BC$48="","",'CALL SHEET'!$BC$48)</f>
        <v/>
      </c>
      <c r="K48">
        <f>IF('CALL SHEET'!$N$48="","",'CALL SHEET'!$N$48)</f>
        <v/>
      </c>
      <c r="L48">
        <f>IF('CALL SHEET'!$AH$48="","",'CALL SHEET'!$AH$48)</f>
        <v/>
      </c>
      <c r="M48">
        <f>IF('CALL SHEET'!$AO$48="","",'CALL SHEET'!$AO$48)</f>
        <v/>
      </c>
      <c r="N48">
        <f>IF('CALL SHEET'!$BF$48="","",'CALL SHEET'!$BF$48)</f>
        <v/>
      </c>
      <c r="O48" t="inlineStr">
        <is>
          <t>TRADE</t>
        </is>
      </c>
      <c r="P48" t="inlineStr">
        <is>
          <t>CALL SHEET · row 48</t>
        </is>
      </c>
      <c r="Q48">
        <f>E48+ROW()*0.000000001</f>
        <v/>
      </c>
    </row>
    <row r="49">
      <c r="A49">
        <f>IF('CALL SHEET'!$A$49="","",'CALL SHEET'!$A$49)</f>
        <v/>
      </c>
      <c r="B49">
        <f>IF('CALL SHEET'!$C$49="","",'CALL SHEET'!$C$49)</f>
        <v/>
      </c>
      <c r="C49">
        <f>'CALL SHEET'!$U$49</f>
        <v/>
      </c>
      <c r="D49">
        <f>'CALL SHEET'!$AB$49</f>
        <v/>
      </c>
      <c r="E49">
        <f>'CALL SHEET'!$AF$49</f>
        <v/>
      </c>
      <c r="F49">
        <f>IF('CALL SHEET'!$V$49="","",'CALL SHEET'!$V$49)</f>
        <v/>
      </c>
      <c r="G49">
        <f>IF('CALL SHEET'!$D$49="","",'CALL SHEET'!$D$49)</f>
        <v/>
      </c>
      <c r="H49">
        <f>IF('CALL SHEET'!$G$49="","",'CALL SHEET'!$G$49)</f>
        <v/>
      </c>
      <c r="I49">
        <f>IF('CALL SHEET'!$AY$49="","",'CALL SHEET'!$AY$49)</f>
        <v/>
      </c>
      <c r="J49">
        <f>IF('CALL SHEET'!$BC$49="","",'CALL SHEET'!$BC$49)</f>
        <v/>
      </c>
      <c r="K49">
        <f>IF('CALL SHEET'!$N$49="","",'CALL SHEET'!$N$49)</f>
        <v/>
      </c>
      <c r="L49">
        <f>IF('CALL SHEET'!$AH$49="","",'CALL SHEET'!$AH$49)</f>
        <v/>
      </c>
      <c r="M49">
        <f>IF('CALL SHEET'!$AO$49="","",'CALL SHEET'!$AO$49)</f>
        <v/>
      </c>
      <c r="N49">
        <f>IF('CALL SHEET'!$BF$49="","",'CALL SHEET'!$BF$49)</f>
        <v/>
      </c>
      <c r="O49" t="inlineStr">
        <is>
          <t>TRADE</t>
        </is>
      </c>
      <c r="P49" t="inlineStr">
        <is>
          <t>CALL SHEET · row 49</t>
        </is>
      </c>
      <c r="Q49">
        <f>E49+ROW()*0.000000001</f>
        <v/>
      </c>
    </row>
    <row r="50">
      <c r="A50">
        <f>IF('CALL SHEET'!$A$50="","",'CALL SHEET'!$A$50)</f>
        <v/>
      </c>
      <c r="B50">
        <f>IF('CALL SHEET'!$C$50="","",'CALL SHEET'!$C$50)</f>
        <v/>
      </c>
      <c r="C50">
        <f>'CALL SHEET'!$U$50</f>
        <v/>
      </c>
      <c r="D50">
        <f>'CALL SHEET'!$AB$50</f>
        <v/>
      </c>
      <c r="E50">
        <f>'CALL SHEET'!$AF$50</f>
        <v/>
      </c>
      <c r="F50">
        <f>IF('CALL SHEET'!$V$50="","",'CALL SHEET'!$V$50)</f>
        <v/>
      </c>
      <c r="G50">
        <f>IF('CALL SHEET'!$D$50="","",'CALL SHEET'!$D$50)</f>
        <v/>
      </c>
      <c r="H50">
        <f>IF('CALL SHEET'!$G$50="","",'CALL SHEET'!$G$50)</f>
        <v/>
      </c>
      <c r="I50">
        <f>IF('CALL SHEET'!$AY$50="","",'CALL SHEET'!$AY$50)</f>
        <v/>
      </c>
      <c r="J50">
        <f>IF('CALL SHEET'!$BC$50="","",'CALL SHEET'!$BC$50)</f>
        <v/>
      </c>
      <c r="K50">
        <f>IF('CALL SHEET'!$N$50="","",'CALL SHEET'!$N$50)</f>
        <v/>
      </c>
      <c r="L50">
        <f>IF('CALL SHEET'!$AH$50="","",'CALL SHEET'!$AH$50)</f>
        <v/>
      </c>
      <c r="M50">
        <f>IF('CALL SHEET'!$AO$50="","",'CALL SHEET'!$AO$50)</f>
        <v/>
      </c>
      <c r="N50">
        <f>IF('CALL SHEET'!$BF$50="","",'CALL SHEET'!$BF$50)</f>
        <v/>
      </c>
      <c r="O50" t="inlineStr">
        <is>
          <t>TRADE</t>
        </is>
      </c>
      <c r="P50" t="inlineStr">
        <is>
          <t>CALL SHEET · row 50</t>
        </is>
      </c>
      <c r="Q50">
        <f>E50+ROW()*0.000000001</f>
        <v/>
      </c>
    </row>
    <row r="51">
      <c r="A51">
        <f>IF('CALL SHEET'!$A$51="","",'CALL SHEET'!$A$51)</f>
        <v/>
      </c>
      <c r="B51">
        <f>IF('CALL SHEET'!$C$51="","",'CALL SHEET'!$C$51)</f>
        <v/>
      </c>
      <c r="C51">
        <f>'CALL SHEET'!$U$51</f>
        <v/>
      </c>
      <c r="D51">
        <f>'CALL SHEET'!$AB$51</f>
        <v/>
      </c>
      <c r="E51">
        <f>'CALL SHEET'!$AF$51</f>
        <v/>
      </c>
      <c r="F51">
        <f>IF('CALL SHEET'!$V$51="","",'CALL SHEET'!$V$51)</f>
        <v/>
      </c>
      <c r="G51">
        <f>IF('CALL SHEET'!$D$51="","",'CALL SHEET'!$D$51)</f>
        <v/>
      </c>
      <c r="H51">
        <f>IF('CALL SHEET'!$G$51="","",'CALL SHEET'!$G$51)</f>
        <v/>
      </c>
      <c r="I51">
        <f>IF('CALL SHEET'!$AY$51="","",'CALL SHEET'!$AY$51)</f>
        <v/>
      </c>
      <c r="J51">
        <f>IF('CALL SHEET'!$BC$51="","",'CALL SHEET'!$BC$51)</f>
        <v/>
      </c>
      <c r="K51">
        <f>IF('CALL SHEET'!$N$51="","",'CALL SHEET'!$N$51)</f>
        <v/>
      </c>
      <c r="L51">
        <f>IF('CALL SHEET'!$AH$51="","",'CALL SHEET'!$AH$51)</f>
        <v/>
      </c>
      <c r="M51">
        <f>IF('CALL SHEET'!$AO$51="","",'CALL SHEET'!$AO$51)</f>
        <v/>
      </c>
      <c r="N51">
        <f>IF('CALL SHEET'!$BF$51="","",'CALL SHEET'!$BF$51)</f>
        <v/>
      </c>
      <c r="O51" t="inlineStr">
        <is>
          <t>TRADE</t>
        </is>
      </c>
      <c r="P51" t="inlineStr">
        <is>
          <t>CALL SHEET · row 51</t>
        </is>
      </c>
      <c r="Q51">
        <f>E51+ROW()*0.000000001</f>
        <v/>
      </c>
    </row>
    <row r="52">
      <c r="A52">
        <f>IF('CALL SHEET'!$A$52="","",'CALL SHEET'!$A$52)</f>
        <v/>
      </c>
      <c r="B52">
        <f>IF('CALL SHEET'!$C$52="","",'CALL SHEET'!$C$52)</f>
        <v/>
      </c>
      <c r="C52">
        <f>'CALL SHEET'!$U$52</f>
        <v/>
      </c>
      <c r="D52">
        <f>'CALL SHEET'!$AB$52</f>
        <v/>
      </c>
      <c r="E52">
        <f>'CALL SHEET'!$AF$52</f>
        <v/>
      </c>
      <c r="F52">
        <f>IF('CALL SHEET'!$V$52="","",'CALL SHEET'!$V$52)</f>
        <v/>
      </c>
      <c r="G52">
        <f>IF('CALL SHEET'!$D$52="","",'CALL SHEET'!$D$52)</f>
        <v/>
      </c>
      <c r="H52">
        <f>IF('CALL SHEET'!$G$52="","",'CALL SHEET'!$G$52)</f>
        <v/>
      </c>
      <c r="I52">
        <f>IF('CALL SHEET'!$AY$52="","",'CALL SHEET'!$AY$52)</f>
        <v/>
      </c>
      <c r="J52">
        <f>IF('CALL SHEET'!$BC$52="","",'CALL SHEET'!$BC$52)</f>
        <v/>
      </c>
      <c r="K52">
        <f>IF('CALL SHEET'!$N$52="","",'CALL SHEET'!$N$52)</f>
        <v/>
      </c>
      <c r="L52">
        <f>IF('CALL SHEET'!$AH$52="","",'CALL SHEET'!$AH$52)</f>
        <v/>
      </c>
      <c r="M52">
        <f>IF('CALL SHEET'!$AO$52="","",'CALL SHEET'!$AO$52)</f>
        <v/>
      </c>
      <c r="N52">
        <f>IF('CALL SHEET'!$BF$52="","",'CALL SHEET'!$BF$52)</f>
        <v/>
      </c>
      <c r="O52" t="inlineStr">
        <is>
          <t>TRADE</t>
        </is>
      </c>
      <c r="P52" t="inlineStr">
        <is>
          <t>CALL SHEET · row 52</t>
        </is>
      </c>
      <c r="Q52">
        <f>E52+ROW()*0.000000001</f>
        <v/>
      </c>
    </row>
    <row r="53">
      <c r="A53">
        <f>IF('CALL SHEET'!$A$53="","",'CALL SHEET'!$A$53)</f>
        <v/>
      </c>
      <c r="B53">
        <f>IF('CALL SHEET'!$C$53="","",'CALL SHEET'!$C$53)</f>
        <v/>
      </c>
      <c r="C53">
        <f>'CALL SHEET'!$U$53</f>
        <v/>
      </c>
      <c r="D53">
        <f>'CALL SHEET'!$AB$53</f>
        <v/>
      </c>
      <c r="E53">
        <f>'CALL SHEET'!$AF$53</f>
        <v/>
      </c>
      <c r="F53">
        <f>IF('CALL SHEET'!$V$53="","",'CALL SHEET'!$V$53)</f>
        <v/>
      </c>
      <c r="G53">
        <f>IF('CALL SHEET'!$D$53="","",'CALL SHEET'!$D$53)</f>
        <v/>
      </c>
      <c r="H53">
        <f>IF('CALL SHEET'!$G$53="","",'CALL SHEET'!$G$53)</f>
        <v/>
      </c>
      <c r="I53">
        <f>IF('CALL SHEET'!$AY$53="","",'CALL SHEET'!$AY$53)</f>
        <v/>
      </c>
      <c r="J53">
        <f>IF('CALL SHEET'!$BC$53="","",'CALL SHEET'!$BC$53)</f>
        <v/>
      </c>
      <c r="K53">
        <f>IF('CALL SHEET'!$N$53="","",'CALL SHEET'!$N$53)</f>
        <v/>
      </c>
      <c r="L53">
        <f>IF('CALL SHEET'!$AH$53="","",'CALL SHEET'!$AH$53)</f>
        <v/>
      </c>
      <c r="M53">
        <f>IF('CALL SHEET'!$AO$53="","",'CALL SHEET'!$AO$53)</f>
        <v/>
      </c>
      <c r="N53">
        <f>IF('CALL SHEET'!$BF$53="","",'CALL SHEET'!$BF$53)</f>
        <v/>
      </c>
      <c r="O53" t="inlineStr">
        <is>
          <t>TRADE</t>
        </is>
      </c>
      <c r="P53" t="inlineStr">
        <is>
          <t>CALL SHEET · row 53</t>
        </is>
      </c>
      <c r="Q53">
        <f>E53+ROW()*0.000000001</f>
        <v/>
      </c>
    </row>
    <row r="54">
      <c r="A54">
        <f>IF('CALL SHEET'!$A$54="","",'CALL SHEET'!$A$54)</f>
        <v/>
      </c>
      <c r="B54">
        <f>IF('CALL SHEET'!$C$54="","",'CALL SHEET'!$C$54)</f>
        <v/>
      </c>
      <c r="C54">
        <f>'CALL SHEET'!$U$54</f>
        <v/>
      </c>
      <c r="D54">
        <f>'CALL SHEET'!$AB$54</f>
        <v/>
      </c>
      <c r="E54">
        <f>'CALL SHEET'!$AF$54</f>
        <v/>
      </c>
      <c r="F54">
        <f>IF('CALL SHEET'!$V$54="","",'CALL SHEET'!$V$54)</f>
        <v/>
      </c>
      <c r="G54">
        <f>IF('CALL SHEET'!$D$54="","",'CALL SHEET'!$D$54)</f>
        <v/>
      </c>
      <c r="H54">
        <f>IF('CALL SHEET'!$G$54="","",'CALL SHEET'!$G$54)</f>
        <v/>
      </c>
      <c r="I54">
        <f>IF('CALL SHEET'!$AY$54="","",'CALL SHEET'!$AY$54)</f>
        <v/>
      </c>
      <c r="J54">
        <f>IF('CALL SHEET'!$BC$54="","",'CALL SHEET'!$BC$54)</f>
        <v/>
      </c>
      <c r="K54">
        <f>IF('CALL SHEET'!$N$54="","",'CALL SHEET'!$N$54)</f>
        <v/>
      </c>
      <c r="L54">
        <f>IF('CALL SHEET'!$AH$54="","",'CALL SHEET'!$AH$54)</f>
        <v/>
      </c>
      <c r="M54">
        <f>IF('CALL SHEET'!$AO$54="","",'CALL SHEET'!$AO$54)</f>
        <v/>
      </c>
      <c r="N54">
        <f>IF('CALL SHEET'!$BF$54="","",'CALL SHEET'!$BF$54)</f>
        <v/>
      </c>
      <c r="O54" t="inlineStr">
        <is>
          <t>TRADE</t>
        </is>
      </c>
      <c r="P54" t="inlineStr">
        <is>
          <t>CALL SHEET · row 54</t>
        </is>
      </c>
      <c r="Q54">
        <f>E54+ROW()*0.000000001</f>
        <v/>
      </c>
    </row>
    <row r="55">
      <c r="A55">
        <f>IF('CALL SHEET'!$A$55="","",'CALL SHEET'!$A$55)</f>
        <v/>
      </c>
      <c r="B55">
        <f>IF('CALL SHEET'!$C$55="","",'CALL SHEET'!$C$55)</f>
        <v/>
      </c>
      <c r="C55">
        <f>'CALL SHEET'!$U$55</f>
        <v/>
      </c>
      <c r="D55">
        <f>'CALL SHEET'!$AB$55</f>
        <v/>
      </c>
      <c r="E55">
        <f>'CALL SHEET'!$AF$55</f>
        <v/>
      </c>
      <c r="F55">
        <f>IF('CALL SHEET'!$V$55="","",'CALL SHEET'!$V$55)</f>
        <v/>
      </c>
      <c r="G55">
        <f>IF('CALL SHEET'!$D$55="","",'CALL SHEET'!$D$55)</f>
        <v/>
      </c>
      <c r="H55">
        <f>IF('CALL SHEET'!$G$55="","",'CALL SHEET'!$G$55)</f>
        <v/>
      </c>
      <c r="I55">
        <f>IF('CALL SHEET'!$AY$55="","",'CALL SHEET'!$AY$55)</f>
        <v/>
      </c>
      <c r="J55">
        <f>IF('CALL SHEET'!$BC$55="","",'CALL SHEET'!$BC$55)</f>
        <v/>
      </c>
      <c r="K55">
        <f>IF('CALL SHEET'!$N$55="","",'CALL SHEET'!$N$55)</f>
        <v/>
      </c>
      <c r="L55">
        <f>IF('CALL SHEET'!$AH$55="","",'CALL SHEET'!$AH$55)</f>
        <v/>
      </c>
      <c r="M55">
        <f>IF('CALL SHEET'!$AO$55="","",'CALL SHEET'!$AO$55)</f>
        <v/>
      </c>
      <c r="N55">
        <f>IF('CALL SHEET'!$BF$55="","",'CALL SHEET'!$BF$55)</f>
        <v/>
      </c>
      <c r="O55" t="inlineStr">
        <is>
          <t>TRADE</t>
        </is>
      </c>
      <c r="P55" t="inlineStr">
        <is>
          <t>CALL SHEET · row 55</t>
        </is>
      </c>
      <c r="Q55">
        <f>E55+ROW()*0.000000001</f>
        <v/>
      </c>
    </row>
    <row r="56">
      <c r="A56">
        <f>IF('CALL SHEET'!$A$56="","",'CALL SHEET'!$A$56)</f>
        <v/>
      </c>
      <c r="B56">
        <f>IF('CALL SHEET'!$C$56="","",'CALL SHEET'!$C$56)</f>
        <v/>
      </c>
      <c r="C56">
        <f>'CALL SHEET'!$U$56</f>
        <v/>
      </c>
      <c r="D56">
        <f>'CALL SHEET'!$AB$56</f>
        <v/>
      </c>
      <c r="E56">
        <f>'CALL SHEET'!$AF$56</f>
        <v/>
      </c>
      <c r="F56">
        <f>IF('CALL SHEET'!$V$56="","",'CALL SHEET'!$V$56)</f>
        <v/>
      </c>
      <c r="G56">
        <f>IF('CALL SHEET'!$D$56="","",'CALL SHEET'!$D$56)</f>
        <v/>
      </c>
      <c r="H56">
        <f>IF('CALL SHEET'!$G$56="","",'CALL SHEET'!$G$56)</f>
        <v/>
      </c>
      <c r="I56">
        <f>IF('CALL SHEET'!$AY$56="","",'CALL SHEET'!$AY$56)</f>
        <v/>
      </c>
      <c r="J56">
        <f>IF('CALL SHEET'!$BC$56="","",'CALL SHEET'!$BC$56)</f>
        <v/>
      </c>
      <c r="K56">
        <f>IF('CALL SHEET'!$N$56="","",'CALL SHEET'!$N$56)</f>
        <v/>
      </c>
      <c r="L56">
        <f>IF('CALL SHEET'!$AH$56="","",'CALL SHEET'!$AH$56)</f>
        <v/>
      </c>
      <c r="M56">
        <f>IF('CALL SHEET'!$AO$56="","",'CALL SHEET'!$AO$56)</f>
        <v/>
      </c>
      <c r="N56">
        <f>IF('CALL SHEET'!$BF$56="","",'CALL SHEET'!$BF$56)</f>
        <v/>
      </c>
      <c r="O56" t="inlineStr">
        <is>
          <t>TRADE</t>
        </is>
      </c>
      <c r="P56" t="inlineStr">
        <is>
          <t>CALL SHEET · row 56</t>
        </is>
      </c>
      <c r="Q56">
        <f>E56+ROW()*0.000000001</f>
        <v/>
      </c>
    </row>
    <row r="57">
      <c r="A57">
        <f>IF('CALL SHEET'!$A$57="","",'CALL SHEET'!$A$57)</f>
        <v/>
      </c>
      <c r="B57">
        <f>IF('CALL SHEET'!$C$57="","",'CALL SHEET'!$C$57)</f>
        <v/>
      </c>
      <c r="C57">
        <f>'CALL SHEET'!$U$57</f>
        <v/>
      </c>
      <c r="D57">
        <f>'CALL SHEET'!$AB$57</f>
        <v/>
      </c>
      <c r="E57">
        <f>'CALL SHEET'!$AF$57</f>
        <v/>
      </c>
      <c r="F57">
        <f>IF('CALL SHEET'!$V$57="","",'CALL SHEET'!$V$57)</f>
        <v/>
      </c>
      <c r="G57">
        <f>IF('CALL SHEET'!$D$57="","",'CALL SHEET'!$D$57)</f>
        <v/>
      </c>
      <c r="H57">
        <f>IF('CALL SHEET'!$G$57="","",'CALL SHEET'!$G$57)</f>
        <v/>
      </c>
      <c r="I57">
        <f>IF('CALL SHEET'!$AY$57="","",'CALL SHEET'!$AY$57)</f>
        <v/>
      </c>
      <c r="J57">
        <f>IF('CALL SHEET'!$BC$57="","",'CALL SHEET'!$BC$57)</f>
        <v/>
      </c>
      <c r="K57">
        <f>IF('CALL SHEET'!$N$57="","",'CALL SHEET'!$N$57)</f>
        <v/>
      </c>
      <c r="L57">
        <f>IF('CALL SHEET'!$AH$57="","",'CALL SHEET'!$AH$57)</f>
        <v/>
      </c>
      <c r="M57">
        <f>IF('CALL SHEET'!$AO$57="","",'CALL SHEET'!$AO$57)</f>
        <v/>
      </c>
      <c r="N57">
        <f>IF('CALL SHEET'!$BF$57="","",'CALL SHEET'!$BF$57)</f>
        <v/>
      </c>
      <c r="O57" t="inlineStr">
        <is>
          <t>TRADE</t>
        </is>
      </c>
      <c r="P57" t="inlineStr">
        <is>
          <t>CALL SHEET · row 57</t>
        </is>
      </c>
      <c r="Q57">
        <f>E57+ROW()*0.000000001</f>
        <v/>
      </c>
    </row>
    <row r="58">
      <c r="A58">
        <f>IF('CALL SHEET'!$A$58="","",'CALL SHEET'!$A$58)</f>
        <v/>
      </c>
      <c r="B58">
        <f>IF('CALL SHEET'!$C$58="","",'CALL SHEET'!$C$58)</f>
        <v/>
      </c>
      <c r="C58">
        <f>'CALL SHEET'!$U$58</f>
        <v/>
      </c>
      <c r="D58">
        <f>'CALL SHEET'!$AB$58</f>
        <v/>
      </c>
      <c r="E58">
        <f>'CALL SHEET'!$AF$58</f>
        <v/>
      </c>
      <c r="F58">
        <f>IF('CALL SHEET'!$V$58="","",'CALL SHEET'!$V$58)</f>
        <v/>
      </c>
      <c r="G58">
        <f>IF('CALL SHEET'!$D$58="","",'CALL SHEET'!$D$58)</f>
        <v/>
      </c>
      <c r="H58">
        <f>IF('CALL SHEET'!$G$58="","",'CALL SHEET'!$G$58)</f>
        <v/>
      </c>
      <c r="I58">
        <f>IF('CALL SHEET'!$AY$58="","",'CALL SHEET'!$AY$58)</f>
        <v/>
      </c>
      <c r="J58">
        <f>IF('CALL SHEET'!$BC$58="","",'CALL SHEET'!$BC$58)</f>
        <v/>
      </c>
      <c r="K58">
        <f>IF('CALL SHEET'!$N$58="","",'CALL SHEET'!$N$58)</f>
        <v/>
      </c>
      <c r="L58">
        <f>IF('CALL SHEET'!$AH$58="","",'CALL SHEET'!$AH$58)</f>
        <v/>
      </c>
      <c r="M58">
        <f>IF('CALL SHEET'!$AO$58="","",'CALL SHEET'!$AO$58)</f>
        <v/>
      </c>
      <c r="N58">
        <f>IF('CALL SHEET'!$BF$58="","",'CALL SHEET'!$BF$58)</f>
        <v/>
      </c>
      <c r="O58" t="inlineStr">
        <is>
          <t>TRADE</t>
        </is>
      </c>
      <c r="P58" t="inlineStr">
        <is>
          <t>CALL SHEET · row 58</t>
        </is>
      </c>
      <c r="Q58">
        <f>E58+ROW()*0.000000001</f>
        <v/>
      </c>
    </row>
    <row r="59">
      <c r="A59">
        <f>IF('CALL SHEET'!$A$59="","",'CALL SHEET'!$A$59)</f>
        <v/>
      </c>
      <c r="B59">
        <f>IF('CALL SHEET'!$C$59="","",'CALL SHEET'!$C$59)</f>
        <v/>
      </c>
      <c r="C59">
        <f>'CALL SHEET'!$U$59</f>
        <v/>
      </c>
      <c r="D59">
        <f>'CALL SHEET'!$AB$59</f>
        <v/>
      </c>
      <c r="E59">
        <f>'CALL SHEET'!$AF$59</f>
        <v/>
      </c>
      <c r="F59">
        <f>IF('CALL SHEET'!$V$59="","",'CALL SHEET'!$V$59)</f>
        <v/>
      </c>
      <c r="G59">
        <f>IF('CALL SHEET'!$D$59="","",'CALL SHEET'!$D$59)</f>
        <v/>
      </c>
      <c r="H59">
        <f>IF('CALL SHEET'!$G$59="","",'CALL SHEET'!$G$59)</f>
        <v/>
      </c>
      <c r="I59">
        <f>IF('CALL SHEET'!$AY$59="","",'CALL SHEET'!$AY$59)</f>
        <v/>
      </c>
      <c r="J59">
        <f>IF('CALL SHEET'!$BC$59="","",'CALL SHEET'!$BC$59)</f>
        <v/>
      </c>
      <c r="K59">
        <f>IF('CALL SHEET'!$N$59="","",'CALL SHEET'!$N$59)</f>
        <v/>
      </c>
      <c r="L59">
        <f>IF('CALL SHEET'!$AH$59="","",'CALL SHEET'!$AH$59)</f>
        <v/>
      </c>
      <c r="M59">
        <f>IF('CALL SHEET'!$AO$59="","",'CALL SHEET'!$AO$59)</f>
        <v/>
      </c>
      <c r="N59">
        <f>IF('CALL SHEET'!$BF$59="","",'CALL SHEET'!$BF$59)</f>
        <v/>
      </c>
      <c r="O59" t="inlineStr">
        <is>
          <t>TRADE</t>
        </is>
      </c>
      <c r="P59" t="inlineStr">
        <is>
          <t>CALL SHEET · row 59</t>
        </is>
      </c>
      <c r="Q59">
        <f>E59+ROW()*0.000000001</f>
        <v/>
      </c>
    </row>
    <row r="60">
      <c r="A60">
        <f>IF('CALL SHEET'!$A$60="","",'CALL SHEET'!$A$60)</f>
        <v/>
      </c>
      <c r="B60">
        <f>IF('CALL SHEET'!$C$60="","",'CALL SHEET'!$C$60)</f>
        <v/>
      </c>
      <c r="C60">
        <f>'CALL SHEET'!$U$60</f>
        <v/>
      </c>
      <c r="D60">
        <f>'CALL SHEET'!$AB$60</f>
        <v/>
      </c>
      <c r="E60">
        <f>'CALL SHEET'!$AF$60</f>
        <v/>
      </c>
      <c r="F60">
        <f>IF('CALL SHEET'!$V$60="","",'CALL SHEET'!$V$60)</f>
        <v/>
      </c>
      <c r="G60">
        <f>IF('CALL SHEET'!$D$60="","",'CALL SHEET'!$D$60)</f>
        <v/>
      </c>
      <c r="H60">
        <f>IF('CALL SHEET'!$G$60="","",'CALL SHEET'!$G$60)</f>
        <v/>
      </c>
      <c r="I60">
        <f>IF('CALL SHEET'!$AY$60="","",'CALL SHEET'!$AY$60)</f>
        <v/>
      </c>
      <c r="J60">
        <f>IF('CALL SHEET'!$BC$60="","",'CALL SHEET'!$BC$60)</f>
        <v/>
      </c>
      <c r="K60">
        <f>IF('CALL SHEET'!$N$60="","",'CALL SHEET'!$N$60)</f>
        <v/>
      </c>
      <c r="L60">
        <f>IF('CALL SHEET'!$AH$60="","",'CALL SHEET'!$AH$60)</f>
        <v/>
      </c>
      <c r="M60">
        <f>IF('CALL SHEET'!$AO$60="","",'CALL SHEET'!$AO$60)</f>
        <v/>
      </c>
      <c r="N60">
        <f>IF('CALL SHEET'!$BF$60="","",'CALL SHEET'!$BF$60)</f>
        <v/>
      </c>
      <c r="O60" t="inlineStr">
        <is>
          <t>TRADE</t>
        </is>
      </c>
      <c r="P60" t="inlineStr">
        <is>
          <t>CALL SHEET · row 60</t>
        </is>
      </c>
      <c r="Q60">
        <f>E60+ROW()*0.000000001</f>
        <v/>
      </c>
    </row>
    <row r="61">
      <c r="A61">
        <f>IF('CALL SHEET'!$A$61="","",'CALL SHEET'!$A$61)</f>
        <v/>
      </c>
      <c r="B61">
        <f>IF('CALL SHEET'!$C$61="","",'CALL SHEET'!$C$61)</f>
        <v/>
      </c>
      <c r="C61">
        <f>'CALL SHEET'!$U$61</f>
        <v/>
      </c>
      <c r="D61">
        <f>'CALL SHEET'!$AB$61</f>
        <v/>
      </c>
      <c r="E61">
        <f>'CALL SHEET'!$AF$61</f>
        <v/>
      </c>
      <c r="F61">
        <f>IF('CALL SHEET'!$V$61="","",'CALL SHEET'!$V$61)</f>
        <v/>
      </c>
      <c r="G61">
        <f>IF('CALL SHEET'!$D$61="","",'CALL SHEET'!$D$61)</f>
        <v/>
      </c>
      <c r="H61">
        <f>IF('CALL SHEET'!$G$61="","",'CALL SHEET'!$G$61)</f>
        <v/>
      </c>
      <c r="I61">
        <f>IF('CALL SHEET'!$AY$61="","",'CALL SHEET'!$AY$61)</f>
        <v/>
      </c>
      <c r="J61">
        <f>IF('CALL SHEET'!$BC$61="","",'CALL SHEET'!$BC$61)</f>
        <v/>
      </c>
      <c r="K61">
        <f>IF('CALL SHEET'!$N$61="","",'CALL SHEET'!$N$61)</f>
        <v/>
      </c>
      <c r="L61">
        <f>IF('CALL SHEET'!$AH$61="","",'CALL SHEET'!$AH$61)</f>
        <v/>
      </c>
      <c r="M61">
        <f>IF('CALL SHEET'!$AO$61="","",'CALL SHEET'!$AO$61)</f>
        <v/>
      </c>
      <c r="N61">
        <f>IF('CALL SHEET'!$BF$61="","",'CALL SHEET'!$BF$61)</f>
        <v/>
      </c>
      <c r="O61" t="inlineStr">
        <is>
          <t>TRADE</t>
        </is>
      </c>
      <c r="P61" t="inlineStr">
        <is>
          <t>CALL SHEET · row 61</t>
        </is>
      </c>
      <c r="Q61">
        <f>E61+ROW()*0.000000001</f>
        <v/>
      </c>
    </row>
    <row r="62">
      <c r="A62">
        <f>IF('CALL SHEET'!$A$62="","",'CALL SHEET'!$A$62)</f>
        <v/>
      </c>
      <c r="B62">
        <f>IF('CALL SHEET'!$C$62="","",'CALL SHEET'!$C$62)</f>
        <v/>
      </c>
      <c r="C62">
        <f>'CALL SHEET'!$U$62</f>
        <v/>
      </c>
      <c r="D62">
        <f>'CALL SHEET'!$AB$62</f>
        <v/>
      </c>
      <c r="E62">
        <f>'CALL SHEET'!$AF$62</f>
        <v/>
      </c>
      <c r="F62">
        <f>IF('CALL SHEET'!$V$62="","",'CALL SHEET'!$V$62)</f>
        <v/>
      </c>
      <c r="G62">
        <f>IF('CALL SHEET'!$D$62="","",'CALL SHEET'!$D$62)</f>
        <v/>
      </c>
      <c r="H62">
        <f>IF('CALL SHEET'!$G$62="","",'CALL SHEET'!$G$62)</f>
        <v/>
      </c>
      <c r="I62">
        <f>IF('CALL SHEET'!$AY$62="","",'CALL SHEET'!$AY$62)</f>
        <v/>
      </c>
      <c r="J62">
        <f>IF('CALL SHEET'!$BC$62="","",'CALL SHEET'!$BC$62)</f>
        <v/>
      </c>
      <c r="K62">
        <f>IF('CALL SHEET'!$N$62="","",'CALL SHEET'!$N$62)</f>
        <v/>
      </c>
      <c r="L62">
        <f>IF('CALL SHEET'!$AH$62="","",'CALL SHEET'!$AH$62)</f>
        <v/>
      </c>
      <c r="M62">
        <f>IF('CALL SHEET'!$AO$62="","",'CALL SHEET'!$AO$62)</f>
        <v/>
      </c>
      <c r="N62">
        <f>IF('CALL SHEET'!$BF$62="","",'CALL SHEET'!$BF$62)</f>
        <v/>
      </c>
      <c r="O62" t="inlineStr">
        <is>
          <t>TRADE</t>
        </is>
      </c>
      <c r="P62" t="inlineStr">
        <is>
          <t>CALL SHEET · row 62</t>
        </is>
      </c>
      <c r="Q62">
        <f>E62+ROW()*0.000000001</f>
        <v/>
      </c>
    </row>
    <row r="63">
      <c r="A63">
        <f>IF('CALL SHEET'!$A$63="","",'CALL SHEET'!$A$63)</f>
        <v/>
      </c>
      <c r="B63">
        <f>IF('CALL SHEET'!$C$63="","",'CALL SHEET'!$C$63)</f>
        <v/>
      </c>
      <c r="C63">
        <f>'CALL SHEET'!$U$63</f>
        <v/>
      </c>
      <c r="D63">
        <f>'CALL SHEET'!$AB$63</f>
        <v/>
      </c>
      <c r="E63">
        <f>'CALL SHEET'!$AF$63</f>
        <v/>
      </c>
      <c r="F63">
        <f>IF('CALL SHEET'!$V$63="","",'CALL SHEET'!$V$63)</f>
        <v/>
      </c>
      <c r="G63">
        <f>IF('CALL SHEET'!$D$63="","",'CALL SHEET'!$D$63)</f>
        <v/>
      </c>
      <c r="H63">
        <f>IF('CALL SHEET'!$G$63="","",'CALL SHEET'!$G$63)</f>
        <v/>
      </c>
      <c r="I63">
        <f>IF('CALL SHEET'!$AY$63="","",'CALL SHEET'!$AY$63)</f>
        <v/>
      </c>
      <c r="J63">
        <f>IF('CALL SHEET'!$BC$63="","",'CALL SHEET'!$BC$63)</f>
        <v/>
      </c>
      <c r="K63">
        <f>IF('CALL SHEET'!$N$63="","",'CALL SHEET'!$N$63)</f>
        <v/>
      </c>
      <c r="L63">
        <f>IF('CALL SHEET'!$AH$63="","",'CALL SHEET'!$AH$63)</f>
        <v/>
      </c>
      <c r="M63">
        <f>IF('CALL SHEET'!$AO$63="","",'CALL SHEET'!$AO$63)</f>
        <v/>
      </c>
      <c r="N63">
        <f>IF('CALL SHEET'!$BF$63="","",'CALL SHEET'!$BF$63)</f>
        <v/>
      </c>
      <c r="O63" t="inlineStr">
        <is>
          <t>TRADE</t>
        </is>
      </c>
      <c r="P63" t="inlineStr">
        <is>
          <t>CALL SHEET · row 63</t>
        </is>
      </c>
      <c r="Q63">
        <f>E63+ROW()*0.000000001</f>
        <v/>
      </c>
    </row>
    <row r="64">
      <c r="A64">
        <f>IF('CALL SHEET'!$A$64="","",'CALL SHEET'!$A$64)</f>
        <v/>
      </c>
      <c r="B64">
        <f>IF('CALL SHEET'!$C$64="","",'CALL SHEET'!$C$64)</f>
        <v/>
      </c>
      <c r="C64">
        <f>'CALL SHEET'!$U$64</f>
        <v/>
      </c>
      <c r="D64">
        <f>'CALL SHEET'!$AB$64</f>
        <v/>
      </c>
      <c r="E64">
        <f>'CALL SHEET'!$AF$64</f>
        <v/>
      </c>
      <c r="F64">
        <f>IF('CALL SHEET'!$V$64="","",'CALL SHEET'!$V$64)</f>
        <v/>
      </c>
      <c r="G64">
        <f>IF('CALL SHEET'!$D$64="","",'CALL SHEET'!$D$64)</f>
        <v/>
      </c>
      <c r="H64">
        <f>IF('CALL SHEET'!$G$64="","",'CALL SHEET'!$G$64)</f>
        <v/>
      </c>
      <c r="I64">
        <f>IF('CALL SHEET'!$AY$64="","",'CALL SHEET'!$AY$64)</f>
        <v/>
      </c>
      <c r="J64">
        <f>IF('CALL SHEET'!$BC$64="","",'CALL SHEET'!$BC$64)</f>
        <v/>
      </c>
      <c r="K64">
        <f>IF('CALL SHEET'!$N$64="","",'CALL SHEET'!$N$64)</f>
        <v/>
      </c>
      <c r="L64">
        <f>IF('CALL SHEET'!$AH$64="","",'CALL SHEET'!$AH$64)</f>
        <v/>
      </c>
      <c r="M64">
        <f>IF('CALL SHEET'!$AO$64="","",'CALL SHEET'!$AO$64)</f>
        <v/>
      </c>
      <c r="N64">
        <f>IF('CALL SHEET'!$BF$64="","",'CALL SHEET'!$BF$64)</f>
        <v/>
      </c>
      <c r="O64" t="inlineStr">
        <is>
          <t>TRADE</t>
        </is>
      </c>
      <c r="P64" t="inlineStr">
        <is>
          <t>CALL SHEET · row 64</t>
        </is>
      </c>
      <c r="Q64">
        <f>E64+ROW()*0.000000001</f>
        <v/>
      </c>
    </row>
    <row r="65">
      <c r="A65">
        <f>IF('CALL SHEET'!$A$65="","",'CALL SHEET'!$A$65)</f>
        <v/>
      </c>
      <c r="B65">
        <f>IF('CALL SHEET'!$C$65="","",'CALL SHEET'!$C$65)</f>
        <v/>
      </c>
      <c r="C65">
        <f>'CALL SHEET'!$U$65</f>
        <v/>
      </c>
      <c r="D65">
        <f>'CALL SHEET'!$AB$65</f>
        <v/>
      </c>
      <c r="E65">
        <f>'CALL SHEET'!$AF$65</f>
        <v/>
      </c>
      <c r="F65">
        <f>IF('CALL SHEET'!$V$65="","",'CALL SHEET'!$V$65)</f>
        <v/>
      </c>
      <c r="G65">
        <f>IF('CALL SHEET'!$D$65="","",'CALL SHEET'!$D$65)</f>
        <v/>
      </c>
      <c r="H65">
        <f>IF('CALL SHEET'!$G$65="","",'CALL SHEET'!$G$65)</f>
        <v/>
      </c>
      <c r="I65">
        <f>IF('CALL SHEET'!$AY$65="","",'CALL SHEET'!$AY$65)</f>
        <v/>
      </c>
      <c r="J65">
        <f>IF('CALL SHEET'!$BC$65="","",'CALL SHEET'!$BC$65)</f>
        <v/>
      </c>
      <c r="K65">
        <f>IF('CALL SHEET'!$N$65="","",'CALL SHEET'!$N$65)</f>
        <v/>
      </c>
      <c r="L65">
        <f>IF('CALL SHEET'!$AH$65="","",'CALL SHEET'!$AH$65)</f>
        <v/>
      </c>
      <c r="M65">
        <f>IF('CALL SHEET'!$AO$65="","",'CALL SHEET'!$AO$65)</f>
        <v/>
      </c>
      <c r="N65">
        <f>IF('CALL SHEET'!$BF$65="","",'CALL SHEET'!$BF$65)</f>
        <v/>
      </c>
      <c r="O65" t="inlineStr">
        <is>
          <t>TRADE</t>
        </is>
      </c>
      <c r="P65" t="inlineStr">
        <is>
          <t>CALL SHEET · row 65</t>
        </is>
      </c>
      <c r="Q65">
        <f>E65+ROW()*0.000000001</f>
        <v/>
      </c>
    </row>
    <row r="66">
      <c r="A66">
        <f>IF('CALL SHEET'!$A$66="","",'CALL SHEET'!$A$66)</f>
        <v/>
      </c>
      <c r="B66">
        <f>IF('CALL SHEET'!$C$66="","",'CALL SHEET'!$C$66)</f>
        <v/>
      </c>
      <c r="C66">
        <f>'CALL SHEET'!$U$66</f>
        <v/>
      </c>
      <c r="D66">
        <f>'CALL SHEET'!$AB$66</f>
        <v/>
      </c>
      <c r="E66">
        <f>'CALL SHEET'!$AF$66</f>
        <v/>
      </c>
      <c r="F66">
        <f>IF('CALL SHEET'!$V$66="","",'CALL SHEET'!$V$66)</f>
        <v/>
      </c>
      <c r="G66">
        <f>IF('CALL SHEET'!$D$66="","",'CALL SHEET'!$D$66)</f>
        <v/>
      </c>
      <c r="H66">
        <f>IF('CALL SHEET'!$G$66="","",'CALL SHEET'!$G$66)</f>
        <v/>
      </c>
      <c r="I66">
        <f>IF('CALL SHEET'!$AY$66="","",'CALL SHEET'!$AY$66)</f>
        <v/>
      </c>
      <c r="J66">
        <f>IF('CALL SHEET'!$BC$66="","",'CALL SHEET'!$BC$66)</f>
        <v/>
      </c>
      <c r="K66">
        <f>IF('CALL SHEET'!$N$66="","",'CALL SHEET'!$N$66)</f>
        <v/>
      </c>
      <c r="L66">
        <f>IF('CALL SHEET'!$AH$66="","",'CALL SHEET'!$AH$66)</f>
        <v/>
      </c>
      <c r="M66">
        <f>IF('CALL SHEET'!$AO$66="","",'CALL SHEET'!$AO$66)</f>
        <v/>
      </c>
      <c r="N66">
        <f>IF('CALL SHEET'!$BF$66="","",'CALL SHEET'!$BF$66)</f>
        <v/>
      </c>
      <c r="O66" t="inlineStr">
        <is>
          <t>TRADE</t>
        </is>
      </c>
      <c r="P66" t="inlineStr">
        <is>
          <t>CALL SHEET · row 66</t>
        </is>
      </c>
      <c r="Q66">
        <f>E66+ROW()*0.000000001</f>
        <v/>
      </c>
    </row>
    <row r="67">
      <c r="A67">
        <f>IF('CALL SHEET'!$A$67="","",'CALL SHEET'!$A$67)</f>
        <v/>
      </c>
      <c r="B67">
        <f>IF('CALL SHEET'!$C$67="","",'CALL SHEET'!$C$67)</f>
        <v/>
      </c>
      <c r="C67">
        <f>'CALL SHEET'!$U$67</f>
        <v/>
      </c>
      <c r="D67">
        <f>'CALL SHEET'!$AB$67</f>
        <v/>
      </c>
      <c r="E67">
        <f>'CALL SHEET'!$AF$67</f>
        <v/>
      </c>
      <c r="F67">
        <f>IF('CALL SHEET'!$V$67="","",'CALL SHEET'!$V$67)</f>
        <v/>
      </c>
      <c r="G67">
        <f>IF('CALL SHEET'!$D$67="","",'CALL SHEET'!$D$67)</f>
        <v/>
      </c>
      <c r="H67">
        <f>IF('CALL SHEET'!$G$67="","",'CALL SHEET'!$G$67)</f>
        <v/>
      </c>
      <c r="I67">
        <f>IF('CALL SHEET'!$AY$67="","",'CALL SHEET'!$AY$67)</f>
        <v/>
      </c>
      <c r="J67">
        <f>IF('CALL SHEET'!$BC$67="","",'CALL SHEET'!$BC$67)</f>
        <v/>
      </c>
      <c r="K67">
        <f>IF('CALL SHEET'!$N$67="","",'CALL SHEET'!$N$67)</f>
        <v/>
      </c>
      <c r="L67">
        <f>IF('CALL SHEET'!$AH$67="","",'CALL SHEET'!$AH$67)</f>
        <v/>
      </c>
      <c r="M67">
        <f>IF('CALL SHEET'!$AO$67="","",'CALL SHEET'!$AO$67)</f>
        <v/>
      </c>
      <c r="N67">
        <f>IF('CALL SHEET'!$BF$67="","",'CALL SHEET'!$BF$67)</f>
        <v/>
      </c>
      <c r="O67" t="inlineStr">
        <is>
          <t>TRADE</t>
        </is>
      </c>
      <c r="P67" t="inlineStr">
        <is>
          <t>CALL SHEET · row 67</t>
        </is>
      </c>
      <c r="Q67">
        <f>E67+ROW()*0.000000001</f>
        <v/>
      </c>
    </row>
    <row r="68">
      <c r="A68">
        <f>IF('CALL SHEET'!$A$68="","",'CALL SHEET'!$A$68)</f>
        <v/>
      </c>
      <c r="B68">
        <f>IF('CALL SHEET'!$C$68="","",'CALL SHEET'!$C$68)</f>
        <v/>
      </c>
      <c r="C68">
        <f>'CALL SHEET'!$U$68</f>
        <v/>
      </c>
      <c r="D68">
        <f>'CALL SHEET'!$AB$68</f>
        <v/>
      </c>
      <c r="E68">
        <f>'CALL SHEET'!$AF$68</f>
        <v/>
      </c>
      <c r="F68">
        <f>IF('CALL SHEET'!$V$68="","",'CALL SHEET'!$V$68)</f>
        <v/>
      </c>
      <c r="G68">
        <f>IF('CALL SHEET'!$D$68="","",'CALL SHEET'!$D$68)</f>
        <v/>
      </c>
      <c r="H68">
        <f>IF('CALL SHEET'!$G$68="","",'CALL SHEET'!$G$68)</f>
        <v/>
      </c>
      <c r="I68">
        <f>IF('CALL SHEET'!$AY$68="","",'CALL SHEET'!$AY$68)</f>
        <v/>
      </c>
      <c r="J68">
        <f>IF('CALL SHEET'!$BC$68="","",'CALL SHEET'!$BC$68)</f>
        <v/>
      </c>
      <c r="K68">
        <f>IF('CALL SHEET'!$N$68="","",'CALL SHEET'!$N$68)</f>
        <v/>
      </c>
      <c r="L68">
        <f>IF('CALL SHEET'!$AH$68="","",'CALL SHEET'!$AH$68)</f>
        <v/>
      </c>
      <c r="M68">
        <f>IF('CALL SHEET'!$AO$68="","",'CALL SHEET'!$AO$68)</f>
        <v/>
      </c>
      <c r="N68">
        <f>IF('CALL SHEET'!$BF$68="","",'CALL SHEET'!$BF$68)</f>
        <v/>
      </c>
      <c r="O68" t="inlineStr">
        <is>
          <t>TRADE</t>
        </is>
      </c>
      <c r="P68" t="inlineStr">
        <is>
          <t>CALL SHEET · row 68</t>
        </is>
      </c>
      <c r="Q68">
        <f>E68+ROW()*0.000000001</f>
        <v/>
      </c>
    </row>
    <row r="69">
      <c r="A69">
        <f>IF('CALL SHEET'!$A$69="","",'CALL SHEET'!$A$69)</f>
        <v/>
      </c>
      <c r="B69">
        <f>IF('CALL SHEET'!$C$69="","",'CALL SHEET'!$C$69)</f>
        <v/>
      </c>
      <c r="C69">
        <f>'CALL SHEET'!$U$69</f>
        <v/>
      </c>
      <c r="D69">
        <f>'CALL SHEET'!$AB$69</f>
        <v/>
      </c>
      <c r="E69">
        <f>'CALL SHEET'!$AF$69</f>
        <v/>
      </c>
      <c r="F69">
        <f>IF('CALL SHEET'!$V$69="","",'CALL SHEET'!$V$69)</f>
        <v/>
      </c>
      <c r="G69">
        <f>IF('CALL SHEET'!$D$69="","",'CALL SHEET'!$D$69)</f>
        <v/>
      </c>
      <c r="H69">
        <f>IF('CALL SHEET'!$G$69="","",'CALL SHEET'!$G$69)</f>
        <v/>
      </c>
      <c r="I69">
        <f>IF('CALL SHEET'!$AY$69="","",'CALL SHEET'!$AY$69)</f>
        <v/>
      </c>
      <c r="J69">
        <f>IF('CALL SHEET'!$BC$69="","",'CALL SHEET'!$BC$69)</f>
        <v/>
      </c>
      <c r="K69">
        <f>IF('CALL SHEET'!$N$69="","",'CALL SHEET'!$N$69)</f>
        <v/>
      </c>
      <c r="L69">
        <f>IF('CALL SHEET'!$AH$69="","",'CALL SHEET'!$AH$69)</f>
        <v/>
      </c>
      <c r="M69">
        <f>IF('CALL SHEET'!$AO$69="","",'CALL SHEET'!$AO$69)</f>
        <v/>
      </c>
      <c r="N69">
        <f>IF('CALL SHEET'!$BF$69="","",'CALL SHEET'!$BF$69)</f>
        <v/>
      </c>
      <c r="O69" t="inlineStr">
        <is>
          <t>TRADE</t>
        </is>
      </c>
      <c r="P69" t="inlineStr">
        <is>
          <t>CALL SHEET · row 69</t>
        </is>
      </c>
      <c r="Q69">
        <f>E69+ROW()*0.000000001</f>
        <v/>
      </c>
    </row>
    <row r="70">
      <c r="A70">
        <f>IF('CALL SHEET'!$A$70="","",'CALL SHEET'!$A$70)</f>
        <v/>
      </c>
      <c r="B70">
        <f>IF('CALL SHEET'!$C$70="","",'CALL SHEET'!$C$70)</f>
        <v/>
      </c>
      <c r="C70">
        <f>'CALL SHEET'!$U$70</f>
        <v/>
      </c>
      <c r="D70">
        <f>'CALL SHEET'!$AB$70</f>
        <v/>
      </c>
      <c r="E70">
        <f>'CALL SHEET'!$AF$70</f>
        <v/>
      </c>
      <c r="F70">
        <f>IF('CALL SHEET'!$V$70="","",'CALL SHEET'!$V$70)</f>
        <v/>
      </c>
      <c r="G70">
        <f>IF('CALL SHEET'!$D$70="","",'CALL SHEET'!$D$70)</f>
        <v/>
      </c>
      <c r="H70">
        <f>IF('CALL SHEET'!$G$70="","",'CALL SHEET'!$G$70)</f>
        <v/>
      </c>
      <c r="I70">
        <f>IF('CALL SHEET'!$AY$70="","",'CALL SHEET'!$AY$70)</f>
        <v/>
      </c>
      <c r="J70">
        <f>IF('CALL SHEET'!$BC$70="","",'CALL SHEET'!$BC$70)</f>
        <v/>
      </c>
      <c r="K70">
        <f>IF('CALL SHEET'!$N$70="","",'CALL SHEET'!$N$70)</f>
        <v/>
      </c>
      <c r="L70">
        <f>IF('CALL SHEET'!$AH$70="","",'CALL SHEET'!$AH$70)</f>
        <v/>
      </c>
      <c r="M70">
        <f>IF('CALL SHEET'!$AO$70="","",'CALL SHEET'!$AO$70)</f>
        <v/>
      </c>
      <c r="N70">
        <f>IF('CALL SHEET'!$BF$70="","",'CALL SHEET'!$BF$70)</f>
        <v/>
      </c>
      <c r="O70" t="inlineStr">
        <is>
          <t>TRADE</t>
        </is>
      </c>
      <c r="P70" t="inlineStr">
        <is>
          <t>CALL SHEET · row 70</t>
        </is>
      </c>
      <c r="Q70">
        <f>E70+ROW()*0.000000001</f>
        <v/>
      </c>
    </row>
    <row r="71">
      <c r="A71">
        <f>IF('CALL SHEET'!$A$71="","",'CALL SHEET'!$A$71)</f>
        <v/>
      </c>
      <c r="B71">
        <f>IF('CALL SHEET'!$C$71="","",'CALL SHEET'!$C$71)</f>
        <v/>
      </c>
      <c r="C71">
        <f>'CALL SHEET'!$U$71</f>
        <v/>
      </c>
      <c r="D71">
        <f>'CALL SHEET'!$AB$71</f>
        <v/>
      </c>
      <c r="E71">
        <f>'CALL SHEET'!$AF$71</f>
        <v/>
      </c>
      <c r="F71">
        <f>IF('CALL SHEET'!$V$71="","",'CALL SHEET'!$V$71)</f>
        <v/>
      </c>
      <c r="G71">
        <f>IF('CALL SHEET'!$D$71="","",'CALL SHEET'!$D$71)</f>
        <v/>
      </c>
      <c r="H71">
        <f>IF('CALL SHEET'!$G$71="","",'CALL SHEET'!$G$71)</f>
        <v/>
      </c>
      <c r="I71">
        <f>IF('CALL SHEET'!$AY$71="","",'CALL SHEET'!$AY$71)</f>
        <v/>
      </c>
      <c r="J71">
        <f>IF('CALL SHEET'!$BC$71="","",'CALL SHEET'!$BC$71)</f>
        <v/>
      </c>
      <c r="K71">
        <f>IF('CALL SHEET'!$N$71="","",'CALL SHEET'!$N$71)</f>
        <v/>
      </c>
      <c r="L71">
        <f>IF('CALL SHEET'!$AH$71="","",'CALL SHEET'!$AH$71)</f>
        <v/>
      </c>
      <c r="M71">
        <f>IF('CALL SHEET'!$AO$71="","",'CALL SHEET'!$AO$71)</f>
        <v/>
      </c>
      <c r="N71">
        <f>IF('CALL SHEET'!$BF$71="","",'CALL SHEET'!$BF$71)</f>
        <v/>
      </c>
      <c r="O71" t="inlineStr">
        <is>
          <t>TRADE</t>
        </is>
      </c>
      <c r="P71" t="inlineStr">
        <is>
          <t>CALL SHEET · row 71</t>
        </is>
      </c>
      <c r="Q71">
        <f>E71+ROW()*0.000000001</f>
        <v/>
      </c>
    </row>
    <row r="72">
      <c r="A72">
        <f>IF('CALL SHEET'!$A$72="","",'CALL SHEET'!$A$72)</f>
        <v/>
      </c>
      <c r="B72">
        <f>IF('CALL SHEET'!$C$72="","",'CALL SHEET'!$C$72)</f>
        <v/>
      </c>
      <c r="C72">
        <f>'CALL SHEET'!$U$72</f>
        <v/>
      </c>
      <c r="D72">
        <f>'CALL SHEET'!$AB$72</f>
        <v/>
      </c>
      <c r="E72">
        <f>'CALL SHEET'!$AF$72</f>
        <v/>
      </c>
      <c r="F72">
        <f>IF('CALL SHEET'!$V$72="","",'CALL SHEET'!$V$72)</f>
        <v/>
      </c>
      <c r="G72">
        <f>IF('CALL SHEET'!$D$72="","",'CALL SHEET'!$D$72)</f>
        <v/>
      </c>
      <c r="H72">
        <f>IF('CALL SHEET'!$G$72="","",'CALL SHEET'!$G$72)</f>
        <v/>
      </c>
      <c r="I72">
        <f>IF('CALL SHEET'!$AY$72="","",'CALL SHEET'!$AY$72)</f>
        <v/>
      </c>
      <c r="J72">
        <f>IF('CALL SHEET'!$BC$72="","",'CALL SHEET'!$BC$72)</f>
        <v/>
      </c>
      <c r="K72">
        <f>IF('CALL SHEET'!$N$72="","",'CALL SHEET'!$N$72)</f>
        <v/>
      </c>
      <c r="L72">
        <f>IF('CALL SHEET'!$AH$72="","",'CALL SHEET'!$AH$72)</f>
        <v/>
      </c>
      <c r="M72">
        <f>IF('CALL SHEET'!$AO$72="","",'CALL SHEET'!$AO$72)</f>
        <v/>
      </c>
      <c r="N72">
        <f>IF('CALL SHEET'!$BF$72="","",'CALL SHEET'!$BF$72)</f>
        <v/>
      </c>
      <c r="O72" t="inlineStr">
        <is>
          <t>TRADE</t>
        </is>
      </c>
      <c r="P72" t="inlineStr">
        <is>
          <t>CALL SHEET · row 72</t>
        </is>
      </c>
      <c r="Q72">
        <f>E72+ROW()*0.000000001</f>
        <v/>
      </c>
    </row>
    <row r="73">
      <c r="A73">
        <f>IF('CALL SHEET'!$A$73="","",'CALL SHEET'!$A$73)</f>
        <v/>
      </c>
      <c r="B73">
        <f>IF('CALL SHEET'!$C$73="","",'CALL SHEET'!$C$73)</f>
        <v/>
      </c>
      <c r="C73">
        <f>'CALL SHEET'!$U$73</f>
        <v/>
      </c>
      <c r="D73">
        <f>'CALL SHEET'!$AB$73</f>
        <v/>
      </c>
      <c r="E73">
        <f>'CALL SHEET'!$AF$73</f>
        <v/>
      </c>
      <c r="F73">
        <f>IF('CALL SHEET'!$V$73="","",'CALL SHEET'!$V$73)</f>
        <v/>
      </c>
      <c r="G73">
        <f>IF('CALL SHEET'!$D$73="","",'CALL SHEET'!$D$73)</f>
        <v/>
      </c>
      <c r="H73">
        <f>IF('CALL SHEET'!$G$73="","",'CALL SHEET'!$G$73)</f>
        <v/>
      </c>
      <c r="I73">
        <f>IF('CALL SHEET'!$AY$73="","",'CALL SHEET'!$AY$73)</f>
        <v/>
      </c>
      <c r="J73">
        <f>IF('CALL SHEET'!$BC$73="","",'CALL SHEET'!$BC$73)</f>
        <v/>
      </c>
      <c r="K73">
        <f>IF('CALL SHEET'!$N$73="","",'CALL SHEET'!$N$73)</f>
        <v/>
      </c>
      <c r="L73">
        <f>IF('CALL SHEET'!$AH$73="","",'CALL SHEET'!$AH$73)</f>
        <v/>
      </c>
      <c r="M73">
        <f>IF('CALL SHEET'!$AO$73="","",'CALL SHEET'!$AO$73)</f>
        <v/>
      </c>
      <c r="N73">
        <f>IF('CALL SHEET'!$BF$73="","",'CALL SHEET'!$BF$73)</f>
        <v/>
      </c>
      <c r="O73" t="inlineStr">
        <is>
          <t>TRADE</t>
        </is>
      </c>
      <c r="P73" t="inlineStr">
        <is>
          <t>CALL SHEET · row 73</t>
        </is>
      </c>
      <c r="Q73">
        <f>E73+ROW()*0.000000001</f>
        <v/>
      </c>
    </row>
    <row r="74">
      <c r="A74">
        <f>IF('CALL SHEET'!$A$74="","",'CALL SHEET'!$A$74)</f>
        <v/>
      </c>
      <c r="B74">
        <f>IF('CALL SHEET'!$C$74="","",'CALL SHEET'!$C$74)</f>
        <v/>
      </c>
      <c r="C74">
        <f>'CALL SHEET'!$U$74</f>
        <v/>
      </c>
      <c r="D74">
        <f>'CALL SHEET'!$AB$74</f>
        <v/>
      </c>
      <c r="E74">
        <f>'CALL SHEET'!$AF$74</f>
        <v/>
      </c>
      <c r="F74">
        <f>IF('CALL SHEET'!$V$74="","",'CALL SHEET'!$V$74)</f>
        <v/>
      </c>
      <c r="G74">
        <f>IF('CALL SHEET'!$D$74="","",'CALL SHEET'!$D$74)</f>
        <v/>
      </c>
      <c r="H74">
        <f>IF('CALL SHEET'!$G$74="","",'CALL SHEET'!$G$74)</f>
        <v/>
      </c>
      <c r="I74">
        <f>IF('CALL SHEET'!$AY$74="","",'CALL SHEET'!$AY$74)</f>
        <v/>
      </c>
      <c r="J74">
        <f>IF('CALL SHEET'!$BC$74="","",'CALL SHEET'!$BC$74)</f>
        <v/>
      </c>
      <c r="K74">
        <f>IF('CALL SHEET'!$N$74="","",'CALL SHEET'!$N$74)</f>
        <v/>
      </c>
      <c r="L74">
        <f>IF('CALL SHEET'!$AH$74="","",'CALL SHEET'!$AH$74)</f>
        <v/>
      </c>
      <c r="M74">
        <f>IF('CALL SHEET'!$AO$74="","",'CALL SHEET'!$AO$74)</f>
        <v/>
      </c>
      <c r="N74">
        <f>IF('CALL SHEET'!$BF$74="","",'CALL SHEET'!$BF$74)</f>
        <v/>
      </c>
      <c r="O74" t="inlineStr">
        <is>
          <t>TRADE</t>
        </is>
      </c>
      <c r="P74" t="inlineStr">
        <is>
          <t>CALL SHEET · row 74</t>
        </is>
      </c>
      <c r="Q74">
        <f>E74+ROW()*0.000000001</f>
        <v/>
      </c>
    </row>
    <row r="75">
      <c r="A75">
        <f>IF('CALL SHEET'!$A$75="","",'CALL SHEET'!$A$75)</f>
        <v/>
      </c>
      <c r="B75">
        <f>IF('CALL SHEET'!$C$75="","",'CALL SHEET'!$C$75)</f>
        <v/>
      </c>
      <c r="C75">
        <f>'CALL SHEET'!$U$75</f>
        <v/>
      </c>
      <c r="D75">
        <f>'CALL SHEET'!$AB$75</f>
        <v/>
      </c>
      <c r="E75">
        <f>'CALL SHEET'!$AF$75</f>
        <v/>
      </c>
      <c r="F75">
        <f>IF('CALL SHEET'!$V$75="","",'CALL SHEET'!$V$75)</f>
        <v/>
      </c>
      <c r="G75">
        <f>IF('CALL SHEET'!$D$75="","",'CALL SHEET'!$D$75)</f>
        <v/>
      </c>
      <c r="H75">
        <f>IF('CALL SHEET'!$G$75="","",'CALL SHEET'!$G$75)</f>
        <v/>
      </c>
      <c r="I75">
        <f>IF('CALL SHEET'!$AY$75="","",'CALL SHEET'!$AY$75)</f>
        <v/>
      </c>
      <c r="J75">
        <f>IF('CALL SHEET'!$BC$75="","",'CALL SHEET'!$BC$75)</f>
        <v/>
      </c>
      <c r="K75">
        <f>IF('CALL SHEET'!$N$75="","",'CALL SHEET'!$N$75)</f>
        <v/>
      </c>
      <c r="L75">
        <f>IF('CALL SHEET'!$AH$75="","",'CALL SHEET'!$AH$75)</f>
        <v/>
      </c>
      <c r="M75">
        <f>IF('CALL SHEET'!$AO$75="","",'CALL SHEET'!$AO$75)</f>
        <v/>
      </c>
      <c r="N75">
        <f>IF('CALL SHEET'!$BF$75="","",'CALL SHEET'!$BF$75)</f>
        <v/>
      </c>
      <c r="O75" t="inlineStr">
        <is>
          <t>TRADE</t>
        </is>
      </c>
      <c r="P75" t="inlineStr">
        <is>
          <t>CALL SHEET · row 75</t>
        </is>
      </c>
      <c r="Q75">
        <f>E75+ROW()*0.000000001</f>
        <v/>
      </c>
    </row>
    <row r="76">
      <c r="A76">
        <f>IF('CALL SHEET'!$A$76="","",'CALL SHEET'!$A$76)</f>
        <v/>
      </c>
      <c r="B76">
        <f>IF('CALL SHEET'!$C$76="","",'CALL SHEET'!$C$76)</f>
        <v/>
      </c>
      <c r="C76">
        <f>'CALL SHEET'!$U$76</f>
        <v/>
      </c>
      <c r="D76">
        <f>'CALL SHEET'!$AB$76</f>
        <v/>
      </c>
      <c r="E76">
        <f>'CALL SHEET'!$AF$76</f>
        <v/>
      </c>
      <c r="F76">
        <f>IF('CALL SHEET'!$V$76="","",'CALL SHEET'!$V$76)</f>
        <v/>
      </c>
      <c r="G76">
        <f>IF('CALL SHEET'!$D$76="","",'CALL SHEET'!$D$76)</f>
        <v/>
      </c>
      <c r="H76">
        <f>IF('CALL SHEET'!$G$76="","",'CALL SHEET'!$G$76)</f>
        <v/>
      </c>
      <c r="I76">
        <f>IF('CALL SHEET'!$AY$76="","",'CALL SHEET'!$AY$76)</f>
        <v/>
      </c>
      <c r="J76">
        <f>IF('CALL SHEET'!$BC$76="","",'CALL SHEET'!$BC$76)</f>
        <v/>
      </c>
      <c r="K76">
        <f>IF('CALL SHEET'!$N$76="","",'CALL SHEET'!$N$76)</f>
        <v/>
      </c>
      <c r="L76">
        <f>IF('CALL SHEET'!$AH$76="","",'CALL SHEET'!$AH$76)</f>
        <v/>
      </c>
      <c r="M76">
        <f>IF('CALL SHEET'!$AO$76="","",'CALL SHEET'!$AO$76)</f>
        <v/>
      </c>
      <c r="N76">
        <f>IF('CALL SHEET'!$BF$76="","",'CALL SHEET'!$BF$76)</f>
        <v/>
      </c>
      <c r="O76" t="inlineStr">
        <is>
          <t>TRADE</t>
        </is>
      </c>
      <c r="P76" t="inlineStr">
        <is>
          <t>CALL SHEET · row 76</t>
        </is>
      </c>
      <c r="Q76">
        <f>E76+ROW()*0.000000001</f>
        <v/>
      </c>
    </row>
    <row r="77">
      <c r="A77">
        <f>IF('CALL SHEET'!$A$77="","",'CALL SHEET'!$A$77)</f>
        <v/>
      </c>
      <c r="B77">
        <f>IF('CALL SHEET'!$C$77="","",'CALL SHEET'!$C$77)</f>
        <v/>
      </c>
      <c r="C77">
        <f>'CALL SHEET'!$U$77</f>
        <v/>
      </c>
      <c r="D77">
        <f>'CALL SHEET'!$AB$77</f>
        <v/>
      </c>
      <c r="E77">
        <f>'CALL SHEET'!$AF$77</f>
        <v/>
      </c>
      <c r="F77">
        <f>IF('CALL SHEET'!$V$77="","",'CALL SHEET'!$V$77)</f>
        <v/>
      </c>
      <c r="G77">
        <f>IF('CALL SHEET'!$D$77="","",'CALL SHEET'!$D$77)</f>
        <v/>
      </c>
      <c r="H77">
        <f>IF('CALL SHEET'!$G$77="","",'CALL SHEET'!$G$77)</f>
        <v/>
      </c>
      <c r="I77">
        <f>IF('CALL SHEET'!$AY$77="","",'CALL SHEET'!$AY$77)</f>
        <v/>
      </c>
      <c r="J77">
        <f>IF('CALL SHEET'!$BC$77="","",'CALL SHEET'!$BC$77)</f>
        <v/>
      </c>
      <c r="K77">
        <f>IF('CALL SHEET'!$N$77="","",'CALL SHEET'!$N$77)</f>
        <v/>
      </c>
      <c r="L77">
        <f>IF('CALL SHEET'!$AH$77="","",'CALL SHEET'!$AH$77)</f>
        <v/>
      </c>
      <c r="M77">
        <f>IF('CALL SHEET'!$AO$77="","",'CALL SHEET'!$AO$77)</f>
        <v/>
      </c>
      <c r="N77">
        <f>IF('CALL SHEET'!$BF$77="","",'CALL SHEET'!$BF$77)</f>
        <v/>
      </c>
      <c r="O77" t="inlineStr">
        <is>
          <t>TRADE</t>
        </is>
      </c>
      <c r="P77" t="inlineStr">
        <is>
          <t>CALL SHEET · row 77</t>
        </is>
      </c>
      <c r="Q77">
        <f>E77+ROW()*0.000000001</f>
        <v/>
      </c>
    </row>
    <row r="78">
      <c r="A78">
        <f>IF('CALL SHEET'!$A$78="","",'CALL SHEET'!$A$78)</f>
        <v/>
      </c>
      <c r="B78">
        <f>IF('CALL SHEET'!$C$78="","",'CALL SHEET'!$C$78)</f>
        <v/>
      </c>
      <c r="C78">
        <f>'CALL SHEET'!$U$78</f>
        <v/>
      </c>
      <c r="D78">
        <f>'CALL SHEET'!$AB$78</f>
        <v/>
      </c>
      <c r="E78">
        <f>'CALL SHEET'!$AF$78</f>
        <v/>
      </c>
      <c r="F78">
        <f>IF('CALL SHEET'!$V$78="","",'CALL SHEET'!$V$78)</f>
        <v/>
      </c>
      <c r="G78">
        <f>IF('CALL SHEET'!$D$78="","",'CALL SHEET'!$D$78)</f>
        <v/>
      </c>
      <c r="H78">
        <f>IF('CALL SHEET'!$G$78="","",'CALL SHEET'!$G$78)</f>
        <v/>
      </c>
      <c r="I78">
        <f>IF('CALL SHEET'!$AY$78="","",'CALL SHEET'!$AY$78)</f>
        <v/>
      </c>
      <c r="J78">
        <f>IF('CALL SHEET'!$BC$78="","",'CALL SHEET'!$BC$78)</f>
        <v/>
      </c>
      <c r="K78">
        <f>IF('CALL SHEET'!$N$78="","",'CALL SHEET'!$N$78)</f>
        <v/>
      </c>
      <c r="L78">
        <f>IF('CALL SHEET'!$AH$78="","",'CALL SHEET'!$AH$78)</f>
        <v/>
      </c>
      <c r="M78">
        <f>IF('CALL SHEET'!$AO$78="","",'CALL SHEET'!$AO$78)</f>
        <v/>
      </c>
      <c r="N78">
        <f>IF('CALL SHEET'!$BF$78="","",'CALL SHEET'!$BF$78)</f>
        <v/>
      </c>
      <c r="O78" t="inlineStr">
        <is>
          <t>TRADE</t>
        </is>
      </c>
      <c r="P78" t="inlineStr">
        <is>
          <t>CALL SHEET · row 78</t>
        </is>
      </c>
      <c r="Q78">
        <f>E78+ROW()*0.000000001</f>
        <v/>
      </c>
    </row>
    <row r="79">
      <c r="A79">
        <f>IF('CALL SHEET'!$A$79="","",'CALL SHEET'!$A$79)</f>
        <v/>
      </c>
      <c r="B79">
        <f>IF('CALL SHEET'!$C$79="","",'CALL SHEET'!$C$79)</f>
        <v/>
      </c>
      <c r="C79">
        <f>'CALL SHEET'!$U$79</f>
        <v/>
      </c>
      <c r="D79">
        <f>'CALL SHEET'!$AB$79</f>
        <v/>
      </c>
      <c r="E79">
        <f>'CALL SHEET'!$AF$79</f>
        <v/>
      </c>
      <c r="F79">
        <f>IF('CALL SHEET'!$V$79="","",'CALL SHEET'!$V$79)</f>
        <v/>
      </c>
      <c r="G79">
        <f>IF('CALL SHEET'!$D$79="","",'CALL SHEET'!$D$79)</f>
        <v/>
      </c>
      <c r="H79">
        <f>IF('CALL SHEET'!$G$79="","",'CALL SHEET'!$G$79)</f>
        <v/>
      </c>
      <c r="I79">
        <f>IF('CALL SHEET'!$AY$79="","",'CALL SHEET'!$AY$79)</f>
        <v/>
      </c>
      <c r="J79">
        <f>IF('CALL SHEET'!$BC$79="","",'CALL SHEET'!$BC$79)</f>
        <v/>
      </c>
      <c r="K79">
        <f>IF('CALL SHEET'!$N$79="","",'CALL SHEET'!$N$79)</f>
        <v/>
      </c>
      <c r="L79">
        <f>IF('CALL SHEET'!$AH$79="","",'CALL SHEET'!$AH$79)</f>
        <v/>
      </c>
      <c r="M79">
        <f>IF('CALL SHEET'!$AO$79="","",'CALL SHEET'!$AO$79)</f>
        <v/>
      </c>
      <c r="N79">
        <f>IF('CALL SHEET'!$BF$79="","",'CALL SHEET'!$BF$79)</f>
        <v/>
      </c>
      <c r="O79" t="inlineStr">
        <is>
          <t>TRADE</t>
        </is>
      </c>
      <c r="P79" t="inlineStr">
        <is>
          <t>CALL SHEET · row 79</t>
        </is>
      </c>
      <c r="Q79">
        <f>E79+ROW()*0.000000001</f>
        <v/>
      </c>
    </row>
    <row r="80">
      <c r="A80">
        <f>IF('CALL SHEET'!$A$80="","",'CALL SHEET'!$A$80)</f>
        <v/>
      </c>
      <c r="B80">
        <f>IF('CALL SHEET'!$C$80="","",'CALL SHEET'!$C$80)</f>
        <v/>
      </c>
      <c r="C80">
        <f>'CALL SHEET'!$U$80</f>
        <v/>
      </c>
      <c r="D80">
        <f>'CALL SHEET'!$AB$80</f>
        <v/>
      </c>
      <c r="E80">
        <f>'CALL SHEET'!$AF$80</f>
        <v/>
      </c>
      <c r="F80">
        <f>IF('CALL SHEET'!$V$80="","",'CALL SHEET'!$V$80)</f>
        <v/>
      </c>
      <c r="G80">
        <f>IF('CALL SHEET'!$D$80="","",'CALL SHEET'!$D$80)</f>
        <v/>
      </c>
      <c r="H80">
        <f>IF('CALL SHEET'!$G$80="","",'CALL SHEET'!$G$80)</f>
        <v/>
      </c>
      <c r="I80">
        <f>IF('CALL SHEET'!$AY$80="","",'CALL SHEET'!$AY$80)</f>
        <v/>
      </c>
      <c r="J80">
        <f>IF('CALL SHEET'!$BC$80="","",'CALL SHEET'!$BC$80)</f>
        <v/>
      </c>
      <c r="K80">
        <f>IF('CALL SHEET'!$N$80="","",'CALL SHEET'!$N$80)</f>
        <v/>
      </c>
      <c r="L80">
        <f>IF('CALL SHEET'!$AH$80="","",'CALL SHEET'!$AH$80)</f>
        <v/>
      </c>
      <c r="M80">
        <f>IF('CALL SHEET'!$AO$80="","",'CALL SHEET'!$AO$80)</f>
        <v/>
      </c>
      <c r="N80">
        <f>IF('CALL SHEET'!$BF$80="","",'CALL SHEET'!$BF$80)</f>
        <v/>
      </c>
      <c r="O80" t="inlineStr">
        <is>
          <t>TRADE</t>
        </is>
      </c>
      <c r="P80" t="inlineStr">
        <is>
          <t>CALL SHEET · row 80</t>
        </is>
      </c>
      <c r="Q80">
        <f>E80+ROW()*0.000000001</f>
        <v/>
      </c>
    </row>
    <row r="81">
      <c r="A81">
        <f>IF('CALL SHEET'!$A$81="","",'CALL SHEET'!$A$81)</f>
        <v/>
      </c>
      <c r="B81">
        <f>IF('CALL SHEET'!$C$81="","",'CALL SHEET'!$C$81)</f>
        <v/>
      </c>
      <c r="C81">
        <f>'CALL SHEET'!$U$81</f>
        <v/>
      </c>
      <c r="D81">
        <f>'CALL SHEET'!$AB$81</f>
        <v/>
      </c>
      <c r="E81">
        <f>'CALL SHEET'!$AF$81</f>
        <v/>
      </c>
      <c r="F81">
        <f>IF('CALL SHEET'!$V$81="","",'CALL SHEET'!$V$81)</f>
        <v/>
      </c>
      <c r="G81">
        <f>IF('CALL SHEET'!$D$81="","",'CALL SHEET'!$D$81)</f>
        <v/>
      </c>
      <c r="H81">
        <f>IF('CALL SHEET'!$G$81="","",'CALL SHEET'!$G$81)</f>
        <v/>
      </c>
      <c r="I81">
        <f>IF('CALL SHEET'!$AY$81="","",'CALL SHEET'!$AY$81)</f>
        <v/>
      </c>
      <c r="J81">
        <f>IF('CALL SHEET'!$BC$81="","",'CALL SHEET'!$BC$81)</f>
        <v/>
      </c>
      <c r="K81">
        <f>IF('CALL SHEET'!$N$81="","",'CALL SHEET'!$N$81)</f>
        <v/>
      </c>
      <c r="L81">
        <f>IF('CALL SHEET'!$AH$81="","",'CALL SHEET'!$AH$81)</f>
        <v/>
      </c>
      <c r="M81">
        <f>IF('CALL SHEET'!$AO$81="","",'CALL SHEET'!$AO$81)</f>
        <v/>
      </c>
      <c r="N81">
        <f>IF('CALL SHEET'!$BF$81="","",'CALL SHEET'!$BF$81)</f>
        <v/>
      </c>
      <c r="O81" t="inlineStr">
        <is>
          <t>TRADE</t>
        </is>
      </c>
      <c r="P81" t="inlineStr">
        <is>
          <t>CALL SHEET · row 81</t>
        </is>
      </c>
      <c r="Q81">
        <f>E81+ROW()*0.000000001</f>
        <v/>
      </c>
    </row>
    <row r="82">
      <c r="A82">
        <f>IF('CALL SHEET'!$A$82="","",'CALL SHEET'!$A$82)</f>
        <v/>
      </c>
      <c r="B82">
        <f>IF('CALL SHEET'!$C$82="","",'CALL SHEET'!$C$82)</f>
        <v/>
      </c>
      <c r="C82">
        <f>'CALL SHEET'!$U$82</f>
        <v/>
      </c>
      <c r="D82">
        <f>'CALL SHEET'!$AB$82</f>
        <v/>
      </c>
      <c r="E82">
        <f>'CALL SHEET'!$AF$82</f>
        <v/>
      </c>
      <c r="F82">
        <f>IF('CALL SHEET'!$V$82="","",'CALL SHEET'!$V$82)</f>
        <v/>
      </c>
      <c r="G82">
        <f>IF('CALL SHEET'!$D$82="","",'CALL SHEET'!$D$82)</f>
        <v/>
      </c>
      <c r="H82">
        <f>IF('CALL SHEET'!$G$82="","",'CALL SHEET'!$G$82)</f>
        <v/>
      </c>
      <c r="I82">
        <f>IF('CALL SHEET'!$AY$82="","",'CALL SHEET'!$AY$82)</f>
        <v/>
      </c>
      <c r="J82">
        <f>IF('CALL SHEET'!$BC$82="","",'CALL SHEET'!$BC$82)</f>
        <v/>
      </c>
      <c r="K82">
        <f>IF('CALL SHEET'!$N$82="","",'CALL SHEET'!$N$82)</f>
        <v/>
      </c>
      <c r="L82">
        <f>IF('CALL SHEET'!$AH$82="","",'CALL SHEET'!$AH$82)</f>
        <v/>
      </c>
      <c r="M82">
        <f>IF('CALL SHEET'!$AO$82="","",'CALL SHEET'!$AO$82)</f>
        <v/>
      </c>
      <c r="N82">
        <f>IF('CALL SHEET'!$BF$82="","",'CALL SHEET'!$BF$82)</f>
        <v/>
      </c>
      <c r="O82" t="inlineStr">
        <is>
          <t>TRADE</t>
        </is>
      </c>
      <c r="P82" t="inlineStr">
        <is>
          <t>CALL SHEET · row 82</t>
        </is>
      </c>
      <c r="Q82">
        <f>E82+ROW()*0.000000001</f>
        <v/>
      </c>
    </row>
    <row r="83">
      <c r="A83">
        <f>IF('CALL SHEET'!$A$83="","",'CALL SHEET'!$A$83)</f>
        <v/>
      </c>
      <c r="B83">
        <f>IF('CALL SHEET'!$C$83="","",'CALL SHEET'!$C$83)</f>
        <v/>
      </c>
      <c r="C83">
        <f>'CALL SHEET'!$U$83</f>
        <v/>
      </c>
      <c r="D83">
        <f>'CALL SHEET'!$AB$83</f>
        <v/>
      </c>
      <c r="E83">
        <f>'CALL SHEET'!$AF$83</f>
        <v/>
      </c>
      <c r="F83">
        <f>IF('CALL SHEET'!$V$83="","",'CALL SHEET'!$V$83)</f>
        <v/>
      </c>
      <c r="G83">
        <f>IF('CALL SHEET'!$D$83="","",'CALL SHEET'!$D$83)</f>
        <v/>
      </c>
      <c r="H83">
        <f>IF('CALL SHEET'!$G$83="","",'CALL SHEET'!$G$83)</f>
        <v/>
      </c>
      <c r="I83">
        <f>IF('CALL SHEET'!$AY$83="","",'CALL SHEET'!$AY$83)</f>
        <v/>
      </c>
      <c r="J83">
        <f>IF('CALL SHEET'!$BC$83="","",'CALL SHEET'!$BC$83)</f>
        <v/>
      </c>
      <c r="K83">
        <f>IF('CALL SHEET'!$N$83="","",'CALL SHEET'!$N$83)</f>
        <v/>
      </c>
      <c r="L83">
        <f>IF('CALL SHEET'!$AH$83="","",'CALL SHEET'!$AH$83)</f>
        <v/>
      </c>
      <c r="M83">
        <f>IF('CALL SHEET'!$AO$83="","",'CALL SHEET'!$AO$83)</f>
        <v/>
      </c>
      <c r="N83">
        <f>IF('CALL SHEET'!$BF$83="","",'CALL SHEET'!$BF$83)</f>
        <v/>
      </c>
      <c r="O83" t="inlineStr">
        <is>
          <t>TRADE</t>
        </is>
      </c>
      <c r="P83" t="inlineStr">
        <is>
          <t>CALL SHEET · row 83</t>
        </is>
      </c>
      <c r="Q83">
        <f>E83+ROW()*0.000000001</f>
        <v/>
      </c>
    </row>
    <row r="84">
      <c r="A84">
        <f>IF('CALL SHEET'!$A$84="","",'CALL SHEET'!$A$84)</f>
        <v/>
      </c>
      <c r="B84">
        <f>IF('CALL SHEET'!$C$84="","",'CALL SHEET'!$C$84)</f>
        <v/>
      </c>
      <c r="C84">
        <f>'CALL SHEET'!$U$84</f>
        <v/>
      </c>
      <c r="D84">
        <f>'CALL SHEET'!$AB$84</f>
        <v/>
      </c>
      <c r="E84">
        <f>'CALL SHEET'!$AF$84</f>
        <v/>
      </c>
      <c r="F84">
        <f>IF('CALL SHEET'!$V$84="","",'CALL SHEET'!$V$84)</f>
        <v/>
      </c>
      <c r="G84">
        <f>IF('CALL SHEET'!$D$84="","",'CALL SHEET'!$D$84)</f>
        <v/>
      </c>
      <c r="H84">
        <f>IF('CALL SHEET'!$G$84="","",'CALL SHEET'!$G$84)</f>
        <v/>
      </c>
      <c r="I84">
        <f>IF('CALL SHEET'!$AY$84="","",'CALL SHEET'!$AY$84)</f>
        <v/>
      </c>
      <c r="J84">
        <f>IF('CALL SHEET'!$BC$84="","",'CALL SHEET'!$BC$84)</f>
        <v/>
      </c>
      <c r="K84">
        <f>IF('CALL SHEET'!$N$84="","",'CALL SHEET'!$N$84)</f>
        <v/>
      </c>
      <c r="L84">
        <f>IF('CALL SHEET'!$AH$84="","",'CALL SHEET'!$AH$84)</f>
        <v/>
      </c>
      <c r="M84">
        <f>IF('CALL SHEET'!$AO$84="","",'CALL SHEET'!$AO$84)</f>
        <v/>
      </c>
      <c r="N84">
        <f>IF('CALL SHEET'!$BF$84="","",'CALL SHEET'!$BF$84)</f>
        <v/>
      </c>
      <c r="O84" t="inlineStr">
        <is>
          <t>TRADE</t>
        </is>
      </c>
      <c r="P84" t="inlineStr">
        <is>
          <t>CALL SHEET · row 84</t>
        </is>
      </c>
      <c r="Q84">
        <f>E84+ROW()*0.000000001</f>
        <v/>
      </c>
    </row>
    <row r="85">
      <c r="A85">
        <f>IF('CALL SHEET'!$A$85="","",'CALL SHEET'!$A$85)</f>
        <v/>
      </c>
      <c r="B85">
        <f>IF('CALL SHEET'!$C$85="","",'CALL SHEET'!$C$85)</f>
        <v/>
      </c>
      <c r="C85">
        <f>'CALL SHEET'!$U$85</f>
        <v/>
      </c>
      <c r="D85">
        <f>'CALL SHEET'!$AB$85</f>
        <v/>
      </c>
      <c r="E85">
        <f>'CALL SHEET'!$AF$85</f>
        <v/>
      </c>
      <c r="F85">
        <f>IF('CALL SHEET'!$V$85="","",'CALL SHEET'!$V$85)</f>
        <v/>
      </c>
      <c r="G85">
        <f>IF('CALL SHEET'!$D$85="","",'CALL SHEET'!$D$85)</f>
        <v/>
      </c>
      <c r="H85">
        <f>IF('CALL SHEET'!$G$85="","",'CALL SHEET'!$G$85)</f>
        <v/>
      </c>
      <c r="I85">
        <f>IF('CALL SHEET'!$AY$85="","",'CALL SHEET'!$AY$85)</f>
        <v/>
      </c>
      <c r="J85">
        <f>IF('CALL SHEET'!$BC$85="","",'CALL SHEET'!$BC$85)</f>
        <v/>
      </c>
      <c r="K85">
        <f>IF('CALL SHEET'!$N$85="","",'CALL SHEET'!$N$85)</f>
        <v/>
      </c>
      <c r="L85">
        <f>IF('CALL SHEET'!$AH$85="","",'CALL SHEET'!$AH$85)</f>
        <v/>
      </c>
      <c r="M85">
        <f>IF('CALL SHEET'!$AO$85="","",'CALL SHEET'!$AO$85)</f>
        <v/>
      </c>
      <c r="N85">
        <f>IF('CALL SHEET'!$BF$85="","",'CALL SHEET'!$BF$85)</f>
        <v/>
      </c>
      <c r="O85" t="inlineStr">
        <is>
          <t>TRADE</t>
        </is>
      </c>
      <c r="P85" t="inlineStr">
        <is>
          <t>CALL SHEET · row 85</t>
        </is>
      </c>
      <c r="Q85">
        <f>E85+ROW()*0.000000001</f>
        <v/>
      </c>
    </row>
    <row r="86">
      <c r="A86">
        <f>IF('CALL SHEET'!$A$86="","",'CALL SHEET'!$A$86)</f>
        <v/>
      </c>
      <c r="B86">
        <f>IF('CALL SHEET'!$C$86="","",'CALL SHEET'!$C$86)</f>
        <v/>
      </c>
      <c r="C86">
        <f>'CALL SHEET'!$U$86</f>
        <v/>
      </c>
      <c r="D86">
        <f>'CALL SHEET'!$AB$86</f>
        <v/>
      </c>
      <c r="E86">
        <f>'CALL SHEET'!$AF$86</f>
        <v/>
      </c>
      <c r="F86">
        <f>IF('CALL SHEET'!$V$86="","",'CALL SHEET'!$V$86)</f>
        <v/>
      </c>
      <c r="G86">
        <f>IF('CALL SHEET'!$D$86="","",'CALL SHEET'!$D$86)</f>
        <v/>
      </c>
      <c r="H86">
        <f>IF('CALL SHEET'!$G$86="","",'CALL SHEET'!$G$86)</f>
        <v/>
      </c>
      <c r="I86">
        <f>IF('CALL SHEET'!$AY$86="","",'CALL SHEET'!$AY$86)</f>
        <v/>
      </c>
      <c r="J86">
        <f>IF('CALL SHEET'!$BC$86="","",'CALL SHEET'!$BC$86)</f>
        <v/>
      </c>
      <c r="K86">
        <f>IF('CALL SHEET'!$N$86="","",'CALL SHEET'!$N$86)</f>
        <v/>
      </c>
      <c r="L86">
        <f>IF('CALL SHEET'!$AH$86="","",'CALL SHEET'!$AH$86)</f>
        <v/>
      </c>
      <c r="M86">
        <f>IF('CALL SHEET'!$AO$86="","",'CALL SHEET'!$AO$86)</f>
        <v/>
      </c>
      <c r="N86">
        <f>IF('CALL SHEET'!$BF$86="","",'CALL SHEET'!$BF$86)</f>
        <v/>
      </c>
      <c r="O86" t="inlineStr">
        <is>
          <t>TRADE</t>
        </is>
      </c>
      <c r="P86" t="inlineStr">
        <is>
          <t>CALL SHEET · row 86</t>
        </is>
      </c>
      <c r="Q86">
        <f>E86+ROW()*0.000000001</f>
        <v/>
      </c>
    </row>
    <row r="87">
      <c r="A87">
        <f>IF('CALL SHEET'!$A$87="","",'CALL SHEET'!$A$87)</f>
        <v/>
      </c>
      <c r="B87">
        <f>IF('CALL SHEET'!$C$87="","",'CALL SHEET'!$C$87)</f>
        <v/>
      </c>
      <c r="C87">
        <f>'CALL SHEET'!$U$87</f>
        <v/>
      </c>
      <c r="D87">
        <f>'CALL SHEET'!$AB$87</f>
        <v/>
      </c>
      <c r="E87">
        <f>'CALL SHEET'!$AF$87</f>
        <v/>
      </c>
      <c r="F87">
        <f>IF('CALL SHEET'!$V$87="","",'CALL SHEET'!$V$87)</f>
        <v/>
      </c>
      <c r="G87">
        <f>IF('CALL SHEET'!$D$87="","",'CALL SHEET'!$D$87)</f>
        <v/>
      </c>
      <c r="H87">
        <f>IF('CALL SHEET'!$G$87="","",'CALL SHEET'!$G$87)</f>
        <v/>
      </c>
      <c r="I87">
        <f>IF('CALL SHEET'!$AY$87="","",'CALL SHEET'!$AY$87)</f>
        <v/>
      </c>
      <c r="J87">
        <f>IF('CALL SHEET'!$BC$87="","",'CALL SHEET'!$BC$87)</f>
        <v/>
      </c>
      <c r="K87">
        <f>IF('CALL SHEET'!$N$87="","",'CALL SHEET'!$N$87)</f>
        <v/>
      </c>
      <c r="L87">
        <f>IF('CALL SHEET'!$AH$87="","",'CALL SHEET'!$AH$87)</f>
        <v/>
      </c>
      <c r="M87">
        <f>IF('CALL SHEET'!$AO$87="","",'CALL SHEET'!$AO$87)</f>
        <v/>
      </c>
      <c r="N87">
        <f>IF('CALL SHEET'!$BF$87="","",'CALL SHEET'!$BF$87)</f>
        <v/>
      </c>
      <c r="O87" t="inlineStr">
        <is>
          <t>TRADE</t>
        </is>
      </c>
      <c r="P87" t="inlineStr">
        <is>
          <t>CALL SHEET · row 87</t>
        </is>
      </c>
      <c r="Q87">
        <f>E87+ROW()*0.000000001</f>
        <v/>
      </c>
    </row>
    <row r="88">
      <c r="A88">
        <f>IF('CALL SHEET'!$A$88="","",'CALL SHEET'!$A$88)</f>
        <v/>
      </c>
      <c r="B88">
        <f>IF('CALL SHEET'!$C$88="","",'CALL SHEET'!$C$88)</f>
        <v/>
      </c>
      <c r="C88">
        <f>'CALL SHEET'!$U$88</f>
        <v/>
      </c>
      <c r="D88">
        <f>'CALL SHEET'!$AB$88</f>
        <v/>
      </c>
      <c r="E88">
        <f>'CALL SHEET'!$AF$88</f>
        <v/>
      </c>
      <c r="F88">
        <f>IF('CALL SHEET'!$V$88="","",'CALL SHEET'!$V$88)</f>
        <v/>
      </c>
      <c r="G88">
        <f>IF('CALL SHEET'!$D$88="","",'CALL SHEET'!$D$88)</f>
        <v/>
      </c>
      <c r="H88">
        <f>IF('CALL SHEET'!$G$88="","",'CALL SHEET'!$G$88)</f>
        <v/>
      </c>
      <c r="I88">
        <f>IF('CALL SHEET'!$AY$88="","",'CALL SHEET'!$AY$88)</f>
        <v/>
      </c>
      <c r="J88">
        <f>IF('CALL SHEET'!$BC$88="","",'CALL SHEET'!$BC$88)</f>
        <v/>
      </c>
      <c r="K88">
        <f>IF('CALL SHEET'!$N$88="","",'CALL SHEET'!$N$88)</f>
        <v/>
      </c>
      <c r="L88">
        <f>IF('CALL SHEET'!$AH$88="","",'CALL SHEET'!$AH$88)</f>
        <v/>
      </c>
      <c r="M88">
        <f>IF('CALL SHEET'!$AO$88="","",'CALL SHEET'!$AO$88)</f>
        <v/>
      </c>
      <c r="N88">
        <f>IF('CALL SHEET'!$BF$88="","",'CALL SHEET'!$BF$88)</f>
        <v/>
      </c>
      <c r="O88" t="inlineStr">
        <is>
          <t>TRADE</t>
        </is>
      </c>
      <c r="P88" t="inlineStr">
        <is>
          <t>CALL SHEET · row 88</t>
        </is>
      </c>
      <c r="Q88">
        <f>E88+ROW()*0.000000001</f>
        <v/>
      </c>
    </row>
    <row r="89">
      <c r="A89">
        <f>IF('CALL SHEET'!$A$89="","",'CALL SHEET'!$A$89)</f>
        <v/>
      </c>
      <c r="B89">
        <f>IF('CALL SHEET'!$C$89="","",'CALL SHEET'!$C$89)</f>
        <v/>
      </c>
      <c r="C89">
        <f>'CALL SHEET'!$U$89</f>
        <v/>
      </c>
      <c r="D89">
        <f>'CALL SHEET'!$AB$89</f>
        <v/>
      </c>
      <c r="E89">
        <f>'CALL SHEET'!$AF$89</f>
        <v/>
      </c>
      <c r="F89">
        <f>IF('CALL SHEET'!$V$89="","",'CALL SHEET'!$V$89)</f>
        <v/>
      </c>
      <c r="G89">
        <f>IF('CALL SHEET'!$D$89="","",'CALL SHEET'!$D$89)</f>
        <v/>
      </c>
      <c r="H89">
        <f>IF('CALL SHEET'!$G$89="","",'CALL SHEET'!$G$89)</f>
        <v/>
      </c>
      <c r="I89">
        <f>IF('CALL SHEET'!$AY$89="","",'CALL SHEET'!$AY$89)</f>
        <v/>
      </c>
      <c r="J89">
        <f>IF('CALL SHEET'!$BC$89="","",'CALL SHEET'!$BC$89)</f>
        <v/>
      </c>
      <c r="K89">
        <f>IF('CALL SHEET'!$N$89="","",'CALL SHEET'!$N$89)</f>
        <v/>
      </c>
      <c r="L89">
        <f>IF('CALL SHEET'!$AH$89="","",'CALL SHEET'!$AH$89)</f>
        <v/>
      </c>
      <c r="M89">
        <f>IF('CALL SHEET'!$AO$89="","",'CALL SHEET'!$AO$89)</f>
        <v/>
      </c>
      <c r="N89">
        <f>IF('CALL SHEET'!$BF$89="","",'CALL SHEET'!$BF$89)</f>
        <v/>
      </c>
      <c r="O89" t="inlineStr">
        <is>
          <t>TRADE</t>
        </is>
      </c>
      <c r="P89" t="inlineStr">
        <is>
          <t>CALL SHEET · row 89</t>
        </is>
      </c>
      <c r="Q89">
        <f>E89+ROW()*0.000000001</f>
        <v/>
      </c>
    </row>
    <row r="90">
      <c r="A90">
        <f>IF('CALL SHEET'!$A$90="","",'CALL SHEET'!$A$90)</f>
        <v/>
      </c>
      <c r="B90">
        <f>IF('CALL SHEET'!$C$90="","",'CALL SHEET'!$C$90)</f>
        <v/>
      </c>
      <c r="C90">
        <f>'CALL SHEET'!$U$90</f>
        <v/>
      </c>
      <c r="D90">
        <f>'CALL SHEET'!$AB$90</f>
        <v/>
      </c>
      <c r="E90">
        <f>'CALL SHEET'!$AF$90</f>
        <v/>
      </c>
      <c r="F90">
        <f>IF('CALL SHEET'!$V$90="","",'CALL SHEET'!$V$90)</f>
        <v/>
      </c>
      <c r="G90">
        <f>IF('CALL SHEET'!$D$90="","",'CALL SHEET'!$D$90)</f>
        <v/>
      </c>
      <c r="H90">
        <f>IF('CALL SHEET'!$G$90="","",'CALL SHEET'!$G$90)</f>
        <v/>
      </c>
      <c r="I90">
        <f>IF('CALL SHEET'!$AY$90="","",'CALL SHEET'!$AY$90)</f>
        <v/>
      </c>
      <c r="J90">
        <f>IF('CALL SHEET'!$BC$90="","",'CALL SHEET'!$BC$90)</f>
        <v/>
      </c>
      <c r="K90">
        <f>IF('CALL SHEET'!$N$90="","",'CALL SHEET'!$N$90)</f>
        <v/>
      </c>
      <c r="L90">
        <f>IF('CALL SHEET'!$AH$90="","",'CALL SHEET'!$AH$90)</f>
        <v/>
      </c>
      <c r="M90">
        <f>IF('CALL SHEET'!$AO$90="","",'CALL SHEET'!$AO$90)</f>
        <v/>
      </c>
      <c r="N90">
        <f>IF('CALL SHEET'!$BF$90="","",'CALL SHEET'!$BF$90)</f>
        <v/>
      </c>
      <c r="O90" t="inlineStr">
        <is>
          <t>TRADE</t>
        </is>
      </c>
      <c r="P90" t="inlineStr">
        <is>
          <t>CALL SHEET · row 90</t>
        </is>
      </c>
      <c r="Q90">
        <f>E90+ROW()*0.000000001</f>
        <v/>
      </c>
    </row>
    <row r="91">
      <c r="A91">
        <f>IF('CALL SHEET'!$A$91="","",'CALL SHEET'!$A$91)</f>
        <v/>
      </c>
      <c r="B91">
        <f>IF('CALL SHEET'!$C$91="","",'CALL SHEET'!$C$91)</f>
        <v/>
      </c>
      <c r="C91">
        <f>'CALL SHEET'!$U$91</f>
        <v/>
      </c>
      <c r="D91">
        <f>'CALL SHEET'!$AB$91</f>
        <v/>
      </c>
      <c r="E91">
        <f>'CALL SHEET'!$AF$91</f>
        <v/>
      </c>
      <c r="F91">
        <f>IF('CALL SHEET'!$V$91="","",'CALL SHEET'!$V$91)</f>
        <v/>
      </c>
      <c r="G91">
        <f>IF('CALL SHEET'!$D$91="","",'CALL SHEET'!$D$91)</f>
        <v/>
      </c>
      <c r="H91">
        <f>IF('CALL SHEET'!$G$91="","",'CALL SHEET'!$G$91)</f>
        <v/>
      </c>
      <c r="I91">
        <f>IF('CALL SHEET'!$AY$91="","",'CALL SHEET'!$AY$91)</f>
        <v/>
      </c>
      <c r="J91">
        <f>IF('CALL SHEET'!$BC$91="","",'CALL SHEET'!$BC$91)</f>
        <v/>
      </c>
      <c r="K91">
        <f>IF('CALL SHEET'!$N$91="","",'CALL SHEET'!$N$91)</f>
        <v/>
      </c>
      <c r="L91">
        <f>IF('CALL SHEET'!$AH$91="","",'CALL SHEET'!$AH$91)</f>
        <v/>
      </c>
      <c r="M91">
        <f>IF('CALL SHEET'!$AO$91="","",'CALL SHEET'!$AO$91)</f>
        <v/>
      </c>
      <c r="N91">
        <f>IF('CALL SHEET'!$BF$91="","",'CALL SHEET'!$BF$91)</f>
        <v/>
      </c>
      <c r="O91" t="inlineStr">
        <is>
          <t>TRADE</t>
        </is>
      </c>
      <c r="P91" t="inlineStr">
        <is>
          <t>CALL SHEET · row 91</t>
        </is>
      </c>
      <c r="Q91">
        <f>E91+ROW()*0.000000001</f>
        <v/>
      </c>
    </row>
    <row r="92">
      <c r="A92">
        <f>IF('CALL SHEET'!$A$92="","",'CALL SHEET'!$A$92)</f>
        <v/>
      </c>
      <c r="B92">
        <f>IF('CALL SHEET'!$C$92="","",'CALL SHEET'!$C$92)</f>
        <v/>
      </c>
      <c r="C92">
        <f>'CALL SHEET'!$U$92</f>
        <v/>
      </c>
      <c r="D92">
        <f>'CALL SHEET'!$AB$92</f>
        <v/>
      </c>
      <c r="E92">
        <f>'CALL SHEET'!$AF$92</f>
        <v/>
      </c>
      <c r="F92">
        <f>IF('CALL SHEET'!$V$92="","",'CALL SHEET'!$V$92)</f>
        <v/>
      </c>
      <c r="G92">
        <f>IF('CALL SHEET'!$D$92="","",'CALL SHEET'!$D$92)</f>
        <v/>
      </c>
      <c r="H92">
        <f>IF('CALL SHEET'!$G$92="","",'CALL SHEET'!$G$92)</f>
        <v/>
      </c>
      <c r="I92">
        <f>IF('CALL SHEET'!$AY$92="","",'CALL SHEET'!$AY$92)</f>
        <v/>
      </c>
      <c r="J92">
        <f>IF('CALL SHEET'!$BC$92="","",'CALL SHEET'!$BC$92)</f>
        <v/>
      </c>
      <c r="K92">
        <f>IF('CALL SHEET'!$N$92="","",'CALL SHEET'!$N$92)</f>
        <v/>
      </c>
      <c r="L92">
        <f>IF('CALL SHEET'!$AH$92="","",'CALL SHEET'!$AH$92)</f>
        <v/>
      </c>
      <c r="M92">
        <f>IF('CALL SHEET'!$AO$92="","",'CALL SHEET'!$AO$92)</f>
        <v/>
      </c>
      <c r="N92">
        <f>IF('CALL SHEET'!$BF$92="","",'CALL SHEET'!$BF$92)</f>
        <v/>
      </c>
      <c r="O92" t="inlineStr">
        <is>
          <t>TRADE</t>
        </is>
      </c>
      <c r="P92" t="inlineStr">
        <is>
          <t>CALL SHEET · row 92</t>
        </is>
      </c>
      <c r="Q92">
        <f>E92+ROW()*0.000000001</f>
        <v/>
      </c>
    </row>
    <row r="93">
      <c r="A93">
        <f>IF('CALL SHEET'!$A$93="","",'CALL SHEET'!$A$93)</f>
        <v/>
      </c>
      <c r="B93">
        <f>IF('CALL SHEET'!$C$93="","",'CALL SHEET'!$C$93)</f>
        <v/>
      </c>
      <c r="C93">
        <f>'CALL SHEET'!$U$93</f>
        <v/>
      </c>
      <c r="D93">
        <f>'CALL SHEET'!$AB$93</f>
        <v/>
      </c>
      <c r="E93">
        <f>'CALL SHEET'!$AF$93</f>
        <v/>
      </c>
      <c r="F93">
        <f>IF('CALL SHEET'!$V$93="","",'CALL SHEET'!$V$93)</f>
        <v/>
      </c>
      <c r="G93">
        <f>IF('CALL SHEET'!$D$93="","",'CALL SHEET'!$D$93)</f>
        <v/>
      </c>
      <c r="H93">
        <f>IF('CALL SHEET'!$G$93="","",'CALL SHEET'!$G$93)</f>
        <v/>
      </c>
      <c r="I93">
        <f>IF('CALL SHEET'!$AY$93="","",'CALL SHEET'!$AY$93)</f>
        <v/>
      </c>
      <c r="J93">
        <f>IF('CALL SHEET'!$BC$93="","",'CALL SHEET'!$BC$93)</f>
        <v/>
      </c>
      <c r="K93">
        <f>IF('CALL SHEET'!$N$93="","",'CALL SHEET'!$N$93)</f>
        <v/>
      </c>
      <c r="L93">
        <f>IF('CALL SHEET'!$AH$93="","",'CALL SHEET'!$AH$93)</f>
        <v/>
      </c>
      <c r="M93">
        <f>IF('CALL SHEET'!$AO$93="","",'CALL SHEET'!$AO$93)</f>
        <v/>
      </c>
      <c r="N93">
        <f>IF('CALL SHEET'!$BF$93="","",'CALL SHEET'!$BF$93)</f>
        <v/>
      </c>
      <c r="O93" t="inlineStr">
        <is>
          <t>TRADE</t>
        </is>
      </c>
      <c r="P93" t="inlineStr">
        <is>
          <t>CALL SHEET · row 93</t>
        </is>
      </c>
      <c r="Q93">
        <f>E93+ROW()*0.000000001</f>
        <v/>
      </c>
    </row>
    <row r="94">
      <c r="A94">
        <f>IF('CALL SHEET'!$A$94="","",'CALL SHEET'!$A$94)</f>
        <v/>
      </c>
      <c r="B94">
        <f>IF('CALL SHEET'!$C$94="","",'CALL SHEET'!$C$94)</f>
        <v/>
      </c>
      <c r="C94">
        <f>'CALL SHEET'!$U$94</f>
        <v/>
      </c>
      <c r="D94">
        <f>'CALL SHEET'!$AB$94</f>
        <v/>
      </c>
      <c r="E94">
        <f>'CALL SHEET'!$AF$94</f>
        <v/>
      </c>
      <c r="F94">
        <f>IF('CALL SHEET'!$V$94="","",'CALL SHEET'!$V$94)</f>
        <v/>
      </c>
      <c r="G94">
        <f>IF('CALL SHEET'!$D$94="","",'CALL SHEET'!$D$94)</f>
        <v/>
      </c>
      <c r="H94">
        <f>IF('CALL SHEET'!$G$94="","",'CALL SHEET'!$G$94)</f>
        <v/>
      </c>
      <c r="I94">
        <f>IF('CALL SHEET'!$AY$94="","",'CALL SHEET'!$AY$94)</f>
        <v/>
      </c>
      <c r="J94">
        <f>IF('CALL SHEET'!$BC$94="","",'CALL SHEET'!$BC$94)</f>
        <v/>
      </c>
      <c r="K94">
        <f>IF('CALL SHEET'!$N$94="","",'CALL SHEET'!$N$94)</f>
        <v/>
      </c>
      <c r="L94">
        <f>IF('CALL SHEET'!$AH$94="","",'CALL SHEET'!$AH$94)</f>
        <v/>
      </c>
      <c r="M94">
        <f>IF('CALL SHEET'!$AO$94="","",'CALL SHEET'!$AO$94)</f>
        <v/>
      </c>
      <c r="N94">
        <f>IF('CALL SHEET'!$BF$94="","",'CALL SHEET'!$BF$94)</f>
        <v/>
      </c>
      <c r="O94" t="inlineStr">
        <is>
          <t>TRADE</t>
        </is>
      </c>
      <c r="P94" t="inlineStr">
        <is>
          <t>CALL SHEET · row 94</t>
        </is>
      </c>
      <c r="Q94">
        <f>E94+ROW()*0.000000001</f>
        <v/>
      </c>
    </row>
    <row r="95">
      <c r="A95">
        <f>IF('CALL SHEET'!$A$95="","",'CALL SHEET'!$A$95)</f>
        <v/>
      </c>
      <c r="B95">
        <f>IF('CALL SHEET'!$C$95="","",'CALL SHEET'!$C$95)</f>
        <v/>
      </c>
      <c r="C95">
        <f>'CALL SHEET'!$U$95</f>
        <v/>
      </c>
      <c r="D95">
        <f>'CALL SHEET'!$AB$95</f>
        <v/>
      </c>
      <c r="E95">
        <f>'CALL SHEET'!$AF$95</f>
        <v/>
      </c>
      <c r="F95">
        <f>IF('CALL SHEET'!$V$95="","",'CALL SHEET'!$V$95)</f>
        <v/>
      </c>
      <c r="G95">
        <f>IF('CALL SHEET'!$D$95="","",'CALL SHEET'!$D$95)</f>
        <v/>
      </c>
      <c r="H95">
        <f>IF('CALL SHEET'!$G$95="","",'CALL SHEET'!$G$95)</f>
        <v/>
      </c>
      <c r="I95">
        <f>IF('CALL SHEET'!$AY$95="","",'CALL SHEET'!$AY$95)</f>
        <v/>
      </c>
      <c r="J95">
        <f>IF('CALL SHEET'!$BC$95="","",'CALL SHEET'!$BC$95)</f>
        <v/>
      </c>
      <c r="K95">
        <f>IF('CALL SHEET'!$N$95="","",'CALL SHEET'!$N$95)</f>
        <v/>
      </c>
      <c r="L95">
        <f>IF('CALL SHEET'!$AH$95="","",'CALL SHEET'!$AH$95)</f>
        <v/>
      </c>
      <c r="M95">
        <f>IF('CALL SHEET'!$AO$95="","",'CALL SHEET'!$AO$95)</f>
        <v/>
      </c>
      <c r="N95">
        <f>IF('CALL SHEET'!$BF$95="","",'CALL SHEET'!$BF$95)</f>
        <v/>
      </c>
      <c r="O95" t="inlineStr">
        <is>
          <t>TRADE</t>
        </is>
      </c>
      <c r="P95" t="inlineStr">
        <is>
          <t>CALL SHEET · row 95</t>
        </is>
      </c>
      <c r="Q95">
        <f>E95+ROW()*0.000000001</f>
        <v/>
      </c>
    </row>
    <row r="96">
      <c r="A96">
        <f>IF('CALL SHEET'!$A$96="","",'CALL SHEET'!$A$96)</f>
        <v/>
      </c>
      <c r="B96">
        <f>IF('CALL SHEET'!$C$96="","",'CALL SHEET'!$C$96)</f>
        <v/>
      </c>
      <c r="C96">
        <f>'CALL SHEET'!$U$96</f>
        <v/>
      </c>
      <c r="D96">
        <f>'CALL SHEET'!$AB$96</f>
        <v/>
      </c>
      <c r="E96">
        <f>'CALL SHEET'!$AF$96</f>
        <v/>
      </c>
      <c r="F96">
        <f>IF('CALL SHEET'!$V$96="","",'CALL SHEET'!$V$96)</f>
        <v/>
      </c>
      <c r="G96">
        <f>IF('CALL SHEET'!$D$96="","",'CALL SHEET'!$D$96)</f>
        <v/>
      </c>
      <c r="H96">
        <f>IF('CALL SHEET'!$G$96="","",'CALL SHEET'!$G$96)</f>
        <v/>
      </c>
      <c r="I96">
        <f>IF('CALL SHEET'!$AY$96="","",'CALL SHEET'!$AY$96)</f>
        <v/>
      </c>
      <c r="J96">
        <f>IF('CALL SHEET'!$BC$96="","",'CALL SHEET'!$BC$96)</f>
        <v/>
      </c>
      <c r="K96">
        <f>IF('CALL SHEET'!$N$96="","",'CALL SHEET'!$N$96)</f>
        <v/>
      </c>
      <c r="L96">
        <f>IF('CALL SHEET'!$AH$96="","",'CALL SHEET'!$AH$96)</f>
        <v/>
      </c>
      <c r="M96">
        <f>IF('CALL SHEET'!$AO$96="","",'CALL SHEET'!$AO$96)</f>
        <v/>
      </c>
      <c r="N96">
        <f>IF('CALL SHEET'!$BF$96="","",'CALL SHEET'!$BF$96)</f>
        <v/>
      </c>
      <c r="O96" t="inlineStr">
        <is>
          <t>TRADE</t>
        </is>
      </c>
      <c r="P96" t="inlineStr">
        <is>
          <t>CALL SHEET · row 96</t>
        </is>
      </c>
      <c r="Q96">
        <f>E96+ROW()*0.000000001</f>
        <v/>
      </c>
    </row>
    <row r="97">
      <c r="A97">
        <f>IF('CALL SHEET'!$A$97="","",'CALL SHEET'!$A$97)</f>
        <v/>
      </c>
      <c r="B97">
        <f>IF('CALL SHEET'!$C$97="","",'CALL SHEET'!$C$97)</f>
        <v/>
      </c>
      <c r="C97">
        <f>'CALL SHEET'!$U$97</f>
        <v/>
      </c>
      <c r="D97">
        <f>'CALL SHEET'!$AB$97</f>
        <v/>
      </c>
      <c r="E97">
        <f>'CALL SHEET'!$AF$97</f>
        <v/>
      </c>
      <c r="F97">
        <f>IF('CALL SHEET'!$V$97="","",'CALL SHEET'!$V$97)</f>
        <v/>
      </c>
      <c r="G97">
        <f>IF('CALL SHEET'!$D$97="","",'CALL SHEET'!$D$97)</f>
        <v/>
      </c>
      <c r="H97">
        <f>IF('CALL SHEET'!$G$97="","",'CALL SHEET'!$G$97)</f>
        <v/>
      </c>
      <c r="I97">
        <f>IF('CALL SHEET'!$AY$97="","",'CALL SHEET'!$AY$97)</f>
        <v/>
      </c>
      <c r="J97">
        <f>IF('CALL SHEET'!$BC$97="","",'CALL SHEET'!$BC$97)</f>
        <v/>
      </c>
      <c r="K97">
        <f>IF('CALL SHEET'!$N$97="","",'CALL SHEET'!$N$97)</f>
        <v/>
      </c>
      <c r="L97">
        <f>IF('CALL SHEET'!$AH$97="","",'CALL SHEET'!$AH$97)</f>
        <v/>
      </c>
      <c r="M97">
        <f>IF('CALL SHEET'!$AO$97="","",'CALL SHEET'!$AO$97)</f>
        <v/>
      </c>
      <c r="N97">
        <f>IF('CALL SHEET'!$BF$97="","",'CALL SHEET'!$BF$97)</f>
        <v/>
      </c>
      <c r="O97" t="inlineStr">
        <is>
          <t>TRADE</t>
        </is>
      </c>
      <c r="P97" t="inlineStr">
        <is>
          <t>CALL SHEET · row 97</t>
        </is>
      </c>
      <c r="Q97">
        <f>E97+ROW()*0.000000001</f>
        <v/>
      </c>
    </row>
    <row r="98">
      <c r="A98">
        <f>IF('CALL SHEET'!$A$98="","",'CALL SHEET'!$A$98)</f>
        <v/>
      </c>
      <c r="B98">
        <f>IF('CALL SHEET'!$C$98="","",'CALL SHEET'!$C$98)</f>
        <v/>
      </c>
      <c r="C98">
        <f>'CALL SHEET'!$U$98</f>
        <v/>
      </c>
      <c r="D98">
        <f>'CALL SHEET'!$AB$98</f>
        <v/>
      </c>
      <c r="E98">
        <f>'CALL SHEET'!$AF$98</f>
        <v/>
      </c>
      <c r="F98">
        <f>IF('CALL SHEET'!$V$98="","",'CALL SHEET'!$V$98)</f>
        <v/>
      </c>
      <c r="G98">
        <f>IF('CALL SHEET'!$D$98="","",'CALL SHEET'!$D$98)</f>
        <v/>
      </c>
      <c r="H98">
        <f>IF('CALL SHEET'!$G$98="","",'CALL SHEET'!$G$98)</f>
        <v/>
      </c>
      <c r="I98">
        <f>IF('CALL SHEET'!$AY$98="","",'CALL SHEET'!$AY$98)</f>
        <v/>
      </c>
      <c r="J98">
        <f>IF('CALL SHEET'!$BC$98="","",'CALL SHEET'!$BC$98)</f>
        <v/>
      </c>
      <c r="K98">
        <f>IF('CALL SHEET'!$N$98="","",'CALL SHEET'!$N$98)</f>
        <v/>
      </c>
      <c r="L98">
        <f>IF('CALL SHEET'!$AH$98="","",'CALL SHEET'!$AH$98)</f>
        <v/>
      </c>
      <c r="M98">
        <f>IF('CALL SHEET'!$AO$98="","",'CALL SHEET'!$AO$98)</f>
        <v/>
      </c>
      <c r="N98">
        <f>IF('CALL SHEET'!$BF$98="","",'CALL SHEET'!$BF$98)</f>
        <v/>
      </c>
      <c r="O98" t="inlineStr">
        <is>
          <t>TRADE</t>
        </is>
      </c>
      <c r="P98" t="inlineStr">
        <is>
          <t>CALL SHEET · row 98</t>
        </is>
      </c>
      <c r="Q98">
        <f>E98+ROW()*0.000000001</f>
        <v/>
      </c>
    </row>
    <row r="99">
      <c r="A99">
        <f>IF('CALL SHEET'!$A$99="","",'CALL SHEET'!$A$99)</f>
        <v/>
      </c>
      <c r="B99">
        <f>IF('CALL SHEET'!$C$99="","",'CALL SHEET'!$C$99)</f>
        <v/>
      </c>
      <c r="C99">
        <f>'CALL SHEET'!$U$99</f>
        <v/>
      </c>
      <c r="D99">
        <f>'CALL SHEET'!$AB$99</f>
        <v/>
      </c>
      <c r="E99">
        <f>'CALL SHEET'!$AF$99</f>
        <v/>
      </c>
      <c r="F99">
        <f>IF('CALL SHEET'!$V$99="","",'CALL SHEET'!$V$99)</f>
        <v/>
      </c>
      <c r="G99">
        <f>IF('CALL SHEET'!$D$99="","",'CALL SHEET'!$D$99)</f>
        <v/>
      </c>
      <c r="H99">
        <f>IF('CALL SHEET'!$G$99="","",'CALL SHEET'!$G$99)</f>
        <v/>
      </c>
      <c r="I99">
        <f>IF('CALL SHEET'!$AY$99="","",'CALL SHEET'!$AY$99)</f>
        <v/>
      </c>
      <c r="J99">
        <f>IF('CALL SHEET'!$BC$99="","",'CALL SHEET'!$BC$99)</f>
        <v/>
      </c>
      <c r="K99">
        <f>IF('CALL SHEET'!$N$99="","",'CALL SHEET'!$N$99)</f>
        <v/>
      </c>
      <c r="L99">
        <f>IF('CALL SHEET'!$AH$99="","",'CALL SHEET'!$AH$99)</f>
        <v/>
      </c>
      <c r="M99">
        <f>IF('CALL SHEET'!$AO$99="","",'CALL SHEET'!$AO$99)</f>
        <v/>
      </c>
      <c r="N99">
        <f>IF('CALL SHEET'!$BF$99="","",'CALL SHEET'!$BF$99)</f>
        <v/>
      </c>
      <c r="O99" t="inlineStr">
        <is>
          <t>TRADE</t>
        </is>
      </c>
      <c r="P99" t="inlineStr">
        <is>
          <t>CALL SHEET · row 99</t>
        </is>
      </c>
      <c r="Q99">
        <f>E99+ROW()*0.000000001</f>
        <v/>
      </c>
    </row>
    <row r="100">
      <c r="A100">
        <f>IF('CALL SHEET'!$A$100="","",'CALL SHEET'!$A$100)</f>
        <v/>
      </c>
      <c r="B100">
        <f>IF('CALL SHEET'!$C$100="","",'CALL SHEET'!$C$100)</f>
        <v/>
      </c>
      <c r="C100">
        <f>'CALL SHEET'!$U$100</f>
        <v/>
      </c>
      <c r="D100">
        <f>'CALL SHEET'!$AB$100</f>
        <v/>
      </c>
      <c r="E100">
        <f>'CALL SHEET'!$AF$100</f>
        <v/>
      </c>
      <c r="F100">
        <f>IF('CALL SHEET'!$V$100="","",'CALL SHEET'!$V$100)</f>
        <v/>
      </c>
      <c r="G100">
        <f>IF('CALL SHEET'!$D$100="","",'CALL SHEET'!$D$100)</f>
        <v/>
      </c>
      <c r="H100">
        <f>IF('CALL SHEET'!$G$100="","",'CALL SHEET'!$G$100)</f>
        <v/>
      </c>
      <c r="I100">
        <f>IF('CALL SHEET'!$AY$100="","",'CALL SHEET'!$AY$100)</f>
        <v/>
      </c>
      <c r="J100">
        <f>IF('CALL SHEET'!$BC$100="","",'CALL SHEET'!$BC$100)</f>
        <v/>
      </c>
      <c r="K100">
        <f>IF('CALL SHEET'!$N$100="","",'CALL SHEET'!$N$100)</f>
        <v/>
      </c>
      <c r="L100">
        <f>IF('CALL SHEET'!$AH$100="","",'CALL SHEET'!$AH$100)</f>
        <v/>
      </c>
      <c r="M100">
        <f>IF('CALL SHEET'!$AO$100="","",'CALL SHEET'!$AO$100)</f>
        <v/>
      </c>
      <c r="N100">
        <f>IF('CALL SHEET'!$BF$100="","",'CALL SHEET'!$BF$100)</f>
        <v/>
      </c>
      <c r="O100" t="inlineStr">
        <is>
          <t>TRADE</t>
        </is>
      </c>
      <c r="P100" t="inlineStr">
        <is>
          <t>CALL SHEET · row 100</t>
        </is>
      </c>
      <c r="Q100">
        <f>E100+ROW()*0.000000001</f>
        <v/>
      </c>
    </row>
    <row r="101">
      <c r="A101">
        <f>IF('CALL SHEET'!$A$101="","",'CALL SHEET'!$A$101)</f>
        <v/>
      </c>
      <c r="B101">
        <f>IF('CALL SHEET'!$C$101="","",'CALL SHEET'!$C$101)</f>
        <v/>
      </c>
      <c r="C101">
        <f>'CALL SHEET'!$U$101</f>
        <v/>
      </c>
      <c r="D101">
        <f>'CALL SHEET'!$AB$101</f>
        <v/>
      </c>
      <c r="E101">
        <f>'CALL SHEET'!$AF$101</f>
        <v/>
      </c>
      <c r="F101">
        <f>IF('CALL SHEET'!$V$101="","",'CALL SHEET'!$V$101)</f>
        <v/>
      </c>
      <c r="G101">
        <f>IF('CALL SHEET'!$D$101="","",'CALL SHEET'!$D$101)</f>
        <v/>
      </c>
      <c r="H101">
        <f>IF('CALL SHEET'!$G$101="","",'CALL SHEET'!$G$101)</f>
        <v/>
      </c>
      <c r="I101">
        <f>IF('CALL SHEET'!$AY$101="","",'CALL SHEET'!$AY$101)</f>
        <v/>
      </c>
      <c r="J101">
        <f>IF('CALL SHEET'!$BC$101="","",'CALL SHEET'!$BC$101)</f>
        <v/>
      </c>
      <c r="K101">
        <f>IF('CALL SHEET'!$N$101="","",'CALL SHEET'!$N$101)</f>
        <v/>
      </c>
      <c r="L101">
        <f>IF('CALL SHEET'!$AH$101="","",'CALL SHEET'!$AH$101)</f>
        <v/>
      </c>
      <c r="M101">
        <f>IF('CALL SHEET'!$AO$101="","",'CALL SHEET'!$AO$101)</f>
        <v/>
      </c>
      <c r="N101">
        <f>IF('CALL SHEET'!$BF$101="","",'CALL SHEET'!$BF$101)</f>
        <v/>
      </c>
      <c r="O101" t="inlineStr">
        <is>
          <t>TRADE</t>
        </is>
      </c>
      <c r="P101" t="inlineStr">
        <is>
          <t>CALL SHEET · row 101</t>
        </is>
      </c>
      <c r="Q101">
        <f>E101+ROW()*0.000000001</f>
        <v/>
      </c>
    </row>
    <row r="102">
      <c r="A102">
        <f>IF('CALL SHEET'!$A$102="","",'CALL SHEET'!$A$102)</f>
        <v/>
      </c>
      <c r="B102">
        <f>IF('CALL SHEET'!$C$102="","",'CALL SHEET'!$C$102)</f>
        <v/>
      </c>
      <c r="C102">
        <f>'CALL SHEET'!$U$102</f>
        <v/>
      </c>
      <c r="D102">
        <f>'CALL SHEET'!$AB$102</f>
        <v/>
      </c>
      <c r="E102">
        <f>'CALL SHEET'!$AF$102</f>
        <v/>
      </c>
      <c r="F102">
        <f>IF('CALL SHEET'!$V$102="","",'CALL SHEET'!$V$102)</f>
        <v/>
      </c>
      <c r="G102">
        <f>IF('CALL SHEET'!$D$102="","",'CALL SHEET'!$D$102)</f>
        <v/>
      </c>
      <c r="H102">
        <f>IF('CALL SHEET'!$G$102="","",'CALL SHEET'!$G$102)</f>
        <v/>
      </c>
      <c r="I102">
        <f>IF('CALL SHEET'!$AY$102="","",'CALL SHEET'!$AY$102)</f>
        <v/>
      </c>
      <c r="J102">
        <f>IF('CALL SHEET'!$BC$102="","",'CALL SHEET'!$BC$102)</f>
        <v/>
      </c>
      <c r="K102">
        <f>IF('CALL SHEET'!$N$102="","",'CALL SHEET'!$N$102)</f>
        <v/>
      </c>
      <c r="L102">
        <f>IF('CALL SHEET'!$AH$102="","",'CALL SHEET'!$AH$102)</f>
        <v/>
      </c>
      <c r="M102">
        <f>IF('CALL SHEET'!$AO$102="","",'CALL SHEET'!$AO$102)</f>
        <v/>
      </c>
      <c r="N102">
        <f>IF('CALL SHEET'!$BF$102="","",'CALL SHEET'!$BF$102)</f>
        <v/>
      </c>
      <c r="O102" t="inlineStr">
        <is>
          <t>TRADE</t>
        </is>
      </c>
      <c r="P102" t="inlineStr">
        <is>
          <t>CALL SHEET · row 102</t>
        </is>
      </c>
      <c r="Q102">
        <f>E102+ROW()*0.000000001</f>
        <v/>
      </c>
    </row>
    <row r="103">
      <c r="A103">
        <f>IF('CALL SHEET'!$A$103="","",'CALL SHEET'!$A$103)</f>
        <v/>
      </c>
      <c r="B103">
        <f>IF('CALL SHEET'!$C$103="","",'CALL SHEET'!$C$103)</f>
        <v/>
      </c>
      <c r="C103">
        <f>'CALL SHEET'!$U$103</f>
        <v/>
      </c>
      <c r="D103">
        <f>'CALL SHEET'!$AB$103</f>
        <v/>
      </c>
      <c r="E103">
        <f>'CALL SHEET'!$AF$103</f>
        <v/>
      </c>
      <c r="F103">
        <f>IF('CALL SHEET'!$V$103="","",'CALL SHEET'!$V$103)</f>
        <v/>
      </c>
      <c r="G103">
        <f>IF('CALL SHEET'!$D$103="","",'CALL SHEET'!$D$103)</f>
        <v/>
      </c>
      <c r="H103">
        <f>IF('CALL SHEET'!$G$103="","",'CALL SHEET'!$G$103)</f>
        <v/>
      </c>
      <c r="I103">
        <f>IF('CALL SHEET'!$AY$103="","",'CALL SHEET'!$AY$103)</f>
        <v/>
      </c>
      <c r="J103">
        <f>IF('CALL SHEET'!$BC$103="","",'CALL SHEET'!$BC$103)</f>
        <v/>
      </c>
      <c r="K103">
        <f>IF('CALL SHEET'!$N$103="","",'CALL SHEET'!$N$103)</f>
        <v/>
      </c>
      <c r="L103">
        <f>IF('CALL SHEET'!$AH$103="","",'CALL SHEET'!$AH$103)</f>
        <v/>
      </c>
      <c r="M103">
        <f>IF('CALL SHEET'!$AO$103="","",'CALL SHEET'!$AO$103)</f>
        <v/>
      </c>
      <c r="N103">
        <f>IF('CALL SHEET'!$BF$103="","",'CALL SHEET'!$BF$103)</f>
        <v/>
      </c>
      <c r="O103" t="inlineStr">
        <is>
          <t>TRADE</t>
        </is>
      </c>
      <c r="P103" t="inlineStr">
        <is>
          <t>CALL SHEET · row 103</t>
        </is>
      </c>
      <c r="Q103">
        <f>E103+ROW()*0.000000001</f>
        <v/>
      </c>
    </row>
    <row r="104">
      <c r="A104">
        <f>IF('CALL SHEET'!$A$104="","",'CALL SHEET'!$A$104)</f>
        <v/>
      </c>
      <c r="B104">
        <f>IF('CALL SHEET'!$C$104="","",'CALL SHEET'!$C$104)</f>
        <v/>
      </c>
      <c r="C104">
        <f>'CALL SHEET'!$U$104</f>
        <v/>
      </c>
      <c r="D104">
        <f>'CALL SHEET'!$AB$104</f>
        <v/>
      </c>
      <c r="E104">
        <f>'CALL SHEET'!$AF$104</f>
        <v/>
      </c>
      <c r="F104">
        <f>IF('CALL SHEET'!$V$104="","",'CALL SHEET'!$V$104)</f>
        <v/>
      </c>
      <c r="G104">
        <f>IF('CALL SHEET'!$D$104="","",'CALL SHEET'!$D$104)</f>
        <v/>
      </c>
      <c r="H104">
        <f>IF('CALL SHEET'!$G$104="","",'CALL SHEET'!$G$104)</f>
        <v/>
      </c>
      <c r="I104">
        <f>IF('CALL SHEET'!$AY$104="","",'CALL SHEET'!$AY$104)</f>
        <v/>
      </c>
      <c r="J104">
        <f>IF('CALL SHEET'!$BC$104="","",'CALL SHEET'!$BC$104)</f>
        <v/>
      </c>
      <c r="K104">
        <f>IF('CALL SHEET'!$N$104="","",'CALL SHEET'!$N$104)</f>
        <v/>
      </c>
      <c r="L104">
        <f>IF('CALL SHEET'!$AH$104="","",'CALL SHEET'!$AH$104)</f>
        <v/>
      </c>
      <c r="M104">
        <f>IF('CALL SHEET'!$AO$104="","",'CALL SHEET'!$AO$104)</f>
        <v/>
      </c>
      <c r="N104">
        <f>IF('CALL SHEET'!$BF$104="","",'CALL SHEET'!$BF$104)</f>
        <v/>
      </c>
      <c r="O104" t="inlineStr">
        <is>
          <t>TRADE</t>
        </is>
      </c>
      <c r="P104" t="inlineStr">
        <is>
          <t>CALL SHEET · row 104</t>
        </is>
      </c>
      <c r="Q104">
        <f>E104+ROW()*0.000000001</f>
        <v/>
      </c>
    </row>
    <row r="105">
      <c r="A105">
        <f>IF('CALL SHEET'!$A$105="","",'CALL SHEET'!$A$105)</f>
        <v/>
      </c>
      <c r="B105">
        <f>IF('CALL SHEET'!$C$105="","",'CALL SHEET'!$C$105)</f>
        <v/>
      </c>
      <c r="C105">
        <f>'CALL SHEET'!$U$105</f>
        <v/>
      </c>
      <c r="D105">
        <f>'CALL SHEET'!$AB$105</f>
        <v/>
      </c>
      <c r="E105">
        <f>'CALL SHEET'!$AF$105</f>
        <v/>
      </c>
      <c r="F105">
        <f>IF('CALL SHEET'!$V$105="","",'CALL SHEET'!$V$105)</f>
        <v/>
      </c>
      <c r="G105">
        <f>IF('CALL SHEET'!$D$105="","",'CALL SHEET'!$D$105)</f>
        <v/>
      </c>
      <c r="H105">
        <f>IF('CALL SHEET'!$G$105="","",'CALL SHEET'!$G$105)</f>
        <v/>
      </c>
      <c r="I105">
        <f>IF('CALL SHEET'!$AY$105="","",'CALL SHEET'!$AY$105)</f>
        <v/>
      </c>
      <c r="J105">
        <f>IF('CALL SHEET'!$BC$105="","",'CALL SHEET'!$BC$105)</f>
        <v/>
      </c>
      <c r="K105">
        <f>IF('CALL SHEET'!$N$105="","",'CALL SHEET'!$N$105)</f>
        <v/>
      </c>
      <c r="L105">
        <f>IF('CALL SHEET'!$AH$105="","",'CALL SHEET'!$AH$105)</f>
        <v/>
      </c>
      <c r="M105">
        <f>IF('CALL SHEET'!$AO$105="","",'CALL SHEET'!$AO$105)</f>
        <v/>
      </c>
      <c r="N105">
        <f>IF('CALL SHEET'!$BF$105="","",'CALL SHEET'!$BF$105)</f>
        <v/>
      </c>
      <c r="O105" t="inlineStr">
        <is>
          <t>TRADE</t>
        </is>
      </c>
      <c r="P105" t="inlineStr">
        <is>
          <t>CALL SHEET · row 105</t>
        </is>
      </c>
      <c r="Q105">
        <f>E105+ROW()*0.000000001</f>
        <v/>
      </c>
    </row>
    <row r="106">
      <c r="A106">
        <f>IF('CALL SHEET'!$A$106="","",'CALL SHEET'!$A$106)</f>
        <v/>
      </c>
      <c r="B106">
        <f>IF('CALL SHEET'!$C$106="","",'CALL SHEET'!$C$106)</f>
        <v/>
      </c>
      <c r="C106">
        <f>'CALL SHEET'!$U$106</f>
        <v/>
      </c>
      <c r="D106">
        <f>'CALL SHEET'!$AB$106</f>
        <v/>
      </c>
      <c r="E106">
        <f>'CALL SHEET'!$AF$106</f>
        <v/>
      </c>
      <c r="F106">
        <f>IF('CALL SHEET'!$V$106="","",'CALL SHEET'!$V$106)</f>
        <v/>
      </c>
      <c r="G106">
        <f>IF('CALL SHEET'!$D$106="","",'CALL SHEET'!$D$106)</f>
        <v/>
      </c>
      <c r="H106">
        <f>IF('CALL SHEET'!$G$106="","",'CALL SHEET'!$G$106)</f>
        <v/>
      </c>
      <c r="I106">
        <f>IF('CALL SHEET'!$AY$106="","",'CALL SHEET'!$AY$106)</f>
        <v/>
      </c>
      <c r="J106">
        <f>IF('CALL SHEET'!$BC$106="","",'CALL SHEET'!$BC$106)</f>
        <v/>
      </c>
      <c r="K106">
        <f>IF('CALL SHEET'!$N$106="","",'CALL SHEET'!$N$106)</f>
        <v/>
      </c>
      <c r="L106">
        <f>IF('CALL SHEET'!$AH$106="","",'CALL SHEET'!$AH$106)</f>
        <v/>
      </c>
      <c r="M106">
        <f>IF('CALL SHEET'!$AO$106="","",'CALL SHEET'!$AO$106)</f>
        <v/>
      </c>
      <c r="N106">
        <f>IF('CALL SHEET'!$BF$106="","",'CALL SHEET'!$BF$106)</f>
        <v/>
      </c>
      <c r="O106" t="inlineStr">
        <is>
          <t>TRADE</t>
        </is>
      </c>
      <c r="P106" t="inlineStr">
        <is>
          <t>CALL SHEET · row 106</t>
        </is>
      </c>
      <c r="Q106">
        <f>E106+ROW()*0.000000001</f>
        <v/>
      </c>
    </row>
    <row r="107">
      <c r="A107">
        <f>IF('CALL SHEET'!$A$107="","",'CALL SHEET'!$A$107)</f>
        <v/>
      </c>
      <c r="B107">
        <f>IF('CALL SHEET'!$C$107="","",'CALL SHEET'!$C$107)</f>
        <v/>
      </c>
      <c r="C107">
        <f>'CALL SHEET'!$U$107</f>
        <v/>
      </c>
      <c r="D107">
        <f>'CALL SHEET'!$AB$107</f>
        <v/>
      </c>
      <c r="E107">
        <f>'CALL SHEET'!$AF$107</f>
        <v/>
      </c>
      <c r="F107">
        <f>IF('CALL SHEET'!$V$107="","",'CALL SHEET'!$V$107)</f>
        <v/>
      </c>
      <c r="G107">
        <f>IF('CALL SHEET'!$D$107="","",'CALL SHEET'!$D$107)</f>
        <v/>
      </c>
      <c r="H107">
        <f>IF('CALL SHEET'!$G$107="","",'CALL SHEET'!$G$107)</f>
        <v/>
      </c>
      <c r="I107">
        <f>IF('CALL SHEET'!$AY$107="","",'CALL SHEET'!$AY$107)</f>
        <v/>
      </c>
      <c r="J107">
        <f>IF('CALL SHEET'!$BC$107="","",'CALL SHEET'!$BC$107)</f>
        <v/>
      </c>
      <c r="K107">
        <f>IF('CALL SHEET'!$N$107="","",'CALL SHEET'!$N$107)</f>
        <v/>
      </c>
      <c r="L107">
        <f>IF('CALL SHEET'!$AH$107="","",'CALL SHEET'!$AH$107)</f>
        <v/>
      </c>
      <c r="M107">
        <f>IF('CALL SHEET'!$AO$107="","",'CALL SHEET'!$AO$107)</f>
        <v/>
      </c>
      <c r="N107">
        <f>IF('CALL SHEET'!$BF$107="","",'CALL SHEET'!$BF$107)</f>
        <v/>
      </c>
      <c r="O107" t="inlineStr">
        <is>
          <t>TRADE</t>
        </is>
      </c>
      <c r="P107" t="inlineStr">
        <is>
          <t>CALL SHEET · row 107</t>
        </is>
      </c>
      <c r="Q107">
        <f>E107+ROW()*0.000000001</f>
        <v/>
      </c>
    </row>
    <row r="108">
      <c r="A108">
        <f>IF('CALL SHEET'!$A$108="","",'CALL SHEET'!$A$108)</f>
        <v/>
      </c>
      <c r="B108">
        <f>IF('CALL SHEET'!$C$108="","",'CALL SHEET'!$C$108)</f>
        <v/>
      </c>
      <c r="C108">
        <f>'CALL SHEET'!$U$108</f>
        <v/>
      </c>
      <c r="D108">
        <f>'CALL SHEET'!$AB$108</f>
        <v/>
      </c>
      <c r="E108">
        <f>'CALL SHEET'!$AF$108</f>
        <v/>
      </c>
      <c r="F108">
        <f>IF('CALL SHEET'!$V$108="","",'CALL SHEET'!$V$108)</f>
        <v/>
      </c>
      <c r="G108">
        <f>IF('CALL SHEET'!$D$108="","",'CALL SHEET'!$D$108)</f>
        <v/>
      </c>
      <c r="H108">
        <f>IF('CALL SHEET'!$G$108="","",'CALL SHEET'!$G$108)</f>
        <v/>
      </c>
      <c r="I108">
        <f>IF('CALL SHEET'!$AY$108="","",'CALL SHEET'!$AY$108)</f>
        <v/>
      </c>
      <c r="J108">
        <f>IF('CALL SHEET'!$BC$108="","",'CALL SHEET'!$BC$108)</f>
        <v/>
      </c>
      <c r="K108">
        <f>IF('CALL SHEET'!$N$108="","",'CALL SHEET'!$N$108)</f>
        <v/>
      </c>
      <c r="L108">
        <f>IF('CALL SHEET'!$AH$108="","",'CALL SHEET'!$AH$108)</f>
        <v/>
      </c>
      <c r="M108">
        <f>IF('CALL SHEET'!$AO$108="","",'CALL SHEET'!$AO$108)</f>
        <v/>
      </c>
      <c r="N108">
        <f>IF('CALL SHEET'!$BF$108="","",'CALL SHEET'!$BF$108)</f>
        <v/>
      </c>
      <c r="O108" t="inlineStr">
        <is>
          <t>TRADE</t>
        </is>
      </c>
      <c r="P108" t="inlineStr">
        <is>
          <t>CALL SHEET · row 108</t>
        </is>
      </c>
      <c r="Q108">
        <f>E108+ROW()*0.000000001</f>
        <v/>
      </c>
    </row>
    <row r="109">
      <c r="A109">
        <f>IF('CALL SHEET'!$A$109="","",'CALL SHEET'!$A$109)</f>
        <v/>
      </c>
      <c r="B109">
        <f>IF('CALL SHEET'!$C$109="","",'CALL SHEET'!$C$109)</f>
        <v/>
      </c>
      <c r="C109">
        <f>'CALL SHEET'!$U$109</f>
        <v/>
      </c>
      <c r="D109">
        <f>'CALL SHEET'!$AB$109</f>
        <v/>
      </c>
      <c r="E109">
        <f>'CALL SHEET'!$AF$109</f>
        <v/>
      </c>
      <c r="F109">
        <f>IF('CALL SHEET'!$V$109="","",'CALL SHEET'!$V$109)</f>
        <v/>
      </c>
      <c r="G109">
        <f>IF('CALL SHEET'!$D$109="","",'CALL SHEET'!$D$109)</f>
        <v/>
      </c>
      <c r="H109">
        <f>IF('CALL SHEET'!$G$109="","",'CALL SHEET'!$G$109)</f>
        <v/>
      </c>
      <c r="I109">
        <f>IF('CALL SHEET'!$AY$109="","",'CALL SHEET'!$AY$109)</f>
        <v/>
      </c>
      <c r="J109">
        <f>IF('CALL SHEET'!$BC$109="","",'CALL SHEET'!$BC$109)</f>
        <v/>
      </c>
      <c r="K109">
        <f>IF('CALL SHEET'!$N$109="","",'CALL SHEET'!$N$109)</f>
        <v/>
      </c>
      <c r="L109">
        <f>IF('CALL SHEET'!$AH$109="","",'CALL SHEET'!$AH$109)</f>
        <v/>
      </c>
      <c r="M109">
        <f>IF('CALL SHEET'!$AO$109="","",'CALL SHEET'!$AO$109)</f>
        <v/>
      </c>
      <c r="N109">
        <f>IF('CALL SHEET'!$BF$109="","",'CALL SHEET'!$BF$109)</f>
        <v/>
      </c>
      <c r="O109" t="inlineStr">
        <is>
          <t>TRADE</t>
        </is>
      </c>
      <c r="P109" t="inlineStr">
        <is>
          <t>CALL SHEET · row 109</t>
        </is>
      </c>
      <c r="Q109">
        <f>E109+ROW()*0.000000001</f>
        <v/>
      </c>
    </row>
    <row r="110">
      <c r="A110">
        <f>IF('CALL SHEET'!$A$110="","",'CALL SHEET'!$A$110)</f>
        <v/>
      </c>
      <c r="B110">
        <f>IF('CALL SHEET'!$C$110="","",'CALL SHEET'!$C$110)</f>
        <v/>
      </c>
      <c r="C110">
        <f>'CALL SHEET'!$U$110</f>
        <v/>
      </c>
      <c r="D110">
        <f>'CALL SHEET'!$AB$110</f>
        <v/>
      </c>
      <c r="E110">
        <f>'CALL SHEET'!$AF$110</f>
        <v/>
      </c>
      <c r="F110">
        <f>IF('CALL SHEET'!$V$110="","",'CALL SHEET'!$V$110)</f>
        <v/>
      </c>
      <c r="G110">
        <f>IF('CALL SHEET'!$D$110="","",'CALL SHEET'!$D$110)</f>
        <v/>
      </c>
      <c r="H110">
        <f>IF('CALL SHEET'!$G$110="","",'CALL SHEET'!$G$110)</f>
        <v/>
      </c>
      <c r="I110">
        <f>IF('CALL SHEET'!$AY$110="","",'CALL SHEET'!$AY$110)</f>
        <v/>
      </c>
      <c r="J110">
        <f>IF('CALL SHEET'!$BC$110="","",'CALL SHEET'!$BC$110)</f>
        <v/>
      </c>
      <c r="K110">
        <f>IF('CALL SHEET'!$N$110="","",'CALL SHEET'!$N$110)</f>
        <v/>
      </c>
      <c r="L110">
        <f>IF('CALL SHEET'!$AH$110="","",'CALL SHEET'!$AH$110)</f>
        <v/>
      </c>
      <c r="M110">
        <f>IF('CALL SHEET'!$AO$110="","",'CALL SHEET'!$AO$110)</f>
        <v/>
      </c>
      <c r="N110">
        <f>IF('CALL SHEET'!$BF$110="","",'CALL SHEET'!$BF$110)</f>
        <v/>
      </c>
      <c r="O110" t="inlineStr">
        <is>
          <t>TRADE</t>
        </is>
      </c>
      <c r="P110" t="inlineStr">
        <is>
          <t>CALL SHEET · row 110</t>
        </is>
      </c>
      <c r="Q110">
        <f>E110+ROW()*0.000000001</f>
        <v/>
      </c>
    </row>
    <row r="111">
      <c r="A111">
        <f>IF('CALL SHEET'!$A$111="","",'CALL SHEET'!$A$111)</f>
        <v/>
      </c>
      <c r="B111">
        <f>IF('CALL SHEET'!$C$111="","",'CALL SHEET'!$C$111)</f>
        <v/>
      </c>
      <c r="C111">
        <f>'CALL SHEET'!$U$111</f>
        <v/>
      </c>
      <c r="D111">
        <f>'CALL SHEET'!$AB$111</f>
        <v/>
      </c>
      <c r="E111">
        <f>'CALL SHEET'!$AF$111</f>
        <v/>
      </c>
      <c r="F111">
        <f>IF('CALL SHEET'!$V$111="","",'CALL SHEET'!$V$111)</f>
        <v/>
      </c>
      <c r="G111">
        <f>IF('CALL SHEET'!$D$111="","",'CALL SHEET'!$D$111)</f>
        <v/>
      </c>
      <c r="H111">
        <f>IF('CALL SHEET'!$G$111="","",'CALL SHEET'!$G$111)</f>
        <v/>
      </c>
      <c r="I111">
        <f>IF('CALL SHEET'!$AY$111="","",'CALL SHEET'!$AY$111)</f>
        <v/>
      </c>
      <c r="J111">
        <f>IF('CALL SHEET'!$BC$111="","",'CALL SHEET'!$BC$111)</f>
        <v/>
      </c>
      <c r="K111">
        <f>IF('CALL SHEET'!$N$111="","",'CALL SHEET'!$N$111)</f>
        <v/>
      </c>
      <c r="L111">
        <f>IF('CALL SHEET'!$AH$111="","",'CALL SHEET'!$AH$111)</f>
        <v/>
      </c>
      <c r="M111">
        <f>IF('CALL SHEET'!$AO$111="","",'CALL SHEET'!$AO$111)</f>
        <v/>
      </c>
      <c r="N111">
        <f>IF('CALL SHEET'!$BF$111="","",'CALL SHEET'!$BF$111)</f>
        <v/>
      </c>
      <c r="O111" t="inlineStr">
        <is>
          <t>TRADE</t>
        </is>
      </c>
      <c r="P111" t="inlineStr">
        <is>
          <t>CALL SHEET · row 111</t>
        </is>
      </c>
      <c r="Q111">
        <f>E111+ROW()*0.000000001</f>
        <v/>
      </c>
    </row>
    <row r="112">
      <c r="A112">
        <f>IF('CALL SHEET'!$A$112="","",'CALL SHEET'!$A$112)</f>
        <v/>
      </c>
      <c r="B112">
        <f>IF('CALL SHEET'!$C$112="","",'CALL SHEET'!$C$112)</f>
        <v/>
      </c>
      <c r="C112">
        <f>'CALL SHEET'!$U$112</f>
        <v/>
      </c>
      <c r="D112">
        <f>'CALL SHEET'!$AB$112</f>
        <v/>
      </c>
      <c r="E112">
        <f>'CALL SHEET'!$AF$112</f>
        <v/>
      </c>
      <c r="F112">
        <f>IF('CALL SHEET'!$V$112="","",'CALL SHEET'!$V$112)</f>
        <v/>
      </c>
      <c r="G112">
        <f>IF('CALL SHEET'!$D$112="","",'CALL SHEET'!$D$112)</f>
        <v/>
      </c>
      <c r="H112">
        <f>IF('CALL SHEET'!$G$112="","",'CALL SHEET'!$G$112)</f>
        <v/>
      </c>
      <c r="I112">
        <f>IF('CALL SHEET'!$AY$112="","",'CALL SHEET'!$AY$112)</f>
        <v/>
      </c>
      <c r="J112">
        <f>IF('CALL SHEET'!$BC$112="","",'CALL SHEET'!$BC$112)</f>
        <v/>
      </c>
      <c r="K112">
        <f>IF('CALL SHEET'!$N$112="","",'CALL SHEET'!$N$112)</f>
        <v/>
      </c>
      <c r="L112">
        <f>IF('CALL SHEET'!$AH$112="","",'CALL SHEET'!$AH$112)</f>
        <v/>
      </c>
      <c r="M112">
        <f>IF('CALL SHEET'!$AO$112="","",'CALL SHEET'!$AO$112)</f>
        <v/>
      </c>
      <c r="N112">
        <f>IF('CALL SHEET'!$BF$112="","",'CALL SHEET'!$BF$112)</f>
        <v/>
      </c>
      <c r="O112" t="inlineStr">
        <is>
          <t>TRADE</t>
        </is>
      </c>
      <c r="P112" t="inlineStr">
        <is>
          <t>CALL SHEET · row 112</t>
        </is>
      </c>
      <c r="Q112">
        <f>E112+ROW()*0.000000001</f>
        <v/>
      </c>
    </row>
    <row r="113">
      <c r="A113">
        <f>IF('CALL SHEET'!$A$113="","",'CALL SHEET'!$A$113)</f>
        <v/>
      </c>
      <c r="B113">
        <f>IF('CALL SHEET'!$C$113="","",'CALL SHEET'!$C$113)</f>
        <v/>
      </c>
      <c r="C113">
        <f>'CALL SHEET'!$U$113</f>
        <v/>
      </c>
      <c r="D113">
        <f>'CALL SHEET'!$AB$113</f>
        <v/>
      </c>
      <c r="E113">
        <f>'CALL SHEET'!$AF$113</f>
        <v/>
      </c>
      <c r="F113">
        <f>IF('CALL SHEET'!$V$113="","",'CALL SHEET'!$V$113)</f>
        <v/>
      </c>
      <c r="G113">
        <f>IF('CALL SHEET'!$D$113="","",'CALL SHEET'!$D$113)</f>
        <v/>
      </c>
      <c r="H113">
        <f>IF('CALL SHEET'!$G$113="","",'CALL SHEET'!$G$113)</f>
        <v/>
      </c>
      <c r="I113">
        <f>IF('CALL SHEET'!$AY$113="","",'CALL SHEET'!$AY$113)</f>
        <v/>
      </c>
      <c r="J113">
        <f>IF('CALL SHEET'!$BC$113="","",'CALL SHEET'!$BC$113)</f>
        <v/>
      </c>
      <c r="K113">
        <f>IF('CALL SHEET'!$N$113="","",'CALL SHEET'!$N$113)</f>
        <v/>
      </c>
      <c r="L113">
        <f>IF('CALL SHEET'!$AH$113="","",'CALL SHEET'!$AH$113)</f>
        <v/>
      </c>
      <c r="M113">
        <f>IF('CALL SHEET'!$AO$113="","",'CALL SHEET'!$AO$113)</f>
        <v/>
      </c>
      <c r="N113">
        <f>IF('CALL SHEET'!$BF$113="","",'CALL SHEET'!$BF$113)</f>
        <v/>
      </c>
      <c r="O113" t="inlineStr">
        <is>
          <t>TRADE</t>
        </is>
      </c>
      <c r="P113" t="inlineStr">
        <is>
          <t>CALL SHEET · row 113</t>
        </is>
      </c>
      <c r="Q113">
        <f>E113+ROW()*0.000000001</f>
        <v/>
      </c>
    </row>
    <row r="114">
      <c r="A114">
        <f>IF('CALL SHEET'!$A$114="","",'CALL SHEET'!$A$114)</f>
        <v/>
      </c>
      <c r="B114">
        <f>IF('CALL SHEET'!$C$114="","",'CALL SHEET'!$C$114)</f>
        <v/>
      </c>
      <c r="C114">
        <f>'CALL SHEET'!$U$114</f>
        <v/>
      </c>
      <c r="D114">
        <f>'CALL SHEET'!$AB$114</f>
        <v/>
      </c>
      <c r="E114">
        <f>'CALL SHEET'!$AF$114</f>
        <v/>
      </c>
      <c r="F114">
        <f>IF('CALL SHEET'!$V$114="","",'CALL SHEET'!$V$114)</f>
        <v/>
      </c>
      <c r="G114">
        <f>IF('CALL SHEET'!$D$114="","",'CALL SHEET'!$D$114)</f>
        <v/>
      </c>
      <c r="H114">
        <f>IF('CALL SHEET'!$G$114="","",'CALL SHEET'!$G$114)</f>
        <v/>
      </c>
      <c r="I114">
        <f>IF('CALL SHEET'!$AY$114="","",'CALL SHEET'!$AY$114)</f>
        <v/>
      </c>
      <c r="J114">
        <f>IF('CALL SHEET'!$BC$114="","",'CALL SHEET'!$BC$114)</f>
        <v/>
      </c>
      <c r="K114">
        <f>IF('CALL SHEET'!$N$114="","",'CALL SHEET'!$N$114)</f>
        <v/>
      </c>
      <c r="L114">
        <f>IF('CALL SHEET'!$AH$114="","",'CALL SHEET'!$AH$114)</f>
        <v/>
      </c>
      <c r="M114">
        <f>IF('CALL SHEET'!$AO$114="","",'CALL SHEET'!$AO$114)</f>
        <v/>
      </c>
      <c r="N114">
        <f>IF('CALL SHEET'!$BF$114="","",'CALL SHEET'!$BF$114)</f>
        <v/>
      </c>
      <c r="O114" t="inlineStr">
        <is>
          <t>TRADE</t>
        </is>
      </c>
      <c r="P114" t="inlineStr">
        <is>
          <t>CALL SHEET · row 114</t>
        </is>
      </c>
      <c r="Q114">
        <f>E114+ROW()*0.000000001</f>
        <v/>
      </c>
    </row>
    <row r="115">
      <c r="A115">
        <f>IF('CALL SHEET'!$A$115="","",'CALL SHEET'!$A$115)</f>
        <v/>
      </c>
      <c r="B115">
        <f>IF('CALL SHEET'!$C$115="","",'CALL SHEET'!$C$115)</f>
        <v/>
      </c>
      <c r="C115">
        <f>'CALL SHEET'!$U$115</f>
        <v/>
      </c>
      <c r="D115">
        <f>'CALL SHEET'!$AB$115</f>
        <v/>
      </c>
      <c r="E115">
        <f>'CALL SHEET'!$AF$115</f>
        <v/>
      </c>
      <c r="F115">
        <f>IF('CALL SHEET'!$V$115="","",'CALL SHEET'!$V$115)</f>
        <v/>
      </c>
      <c r="G115">
        <f>IF('CALL SHEET'!$D$115="","",'CALL SHEET'!$D$115)</f>
        <v/>
      </c>
      <c r="H115">
        <f>IF('CALL SHEET'!$G$115="","",'CALL SHEET'!$G$115)</f>
        <v/>
      </c>
      <c r="I115">
        <f>IF('CALL SHEET'!$AY$115="","",'CALL SHEET'!$AY$115)</f>
        <v/>
      </c>
      <c r="J115">
        <f>IF('CALL SHEET'!$BC$115="","",'CALL SHEET'!$BC$115)</f>
        <v/>
      </c>
      <c r="K115">
        <f>IF('CALL SHEET'!$N$115="","",'CALL SHEET'!$N$115)</f>
        <v/>
      </c>
      <c r="L115">
        <f>IF('CALL SHEET'!$AH$115="","",'CALL SHEET'!$AH$115)</f>
        <v/>
      </c>
      <c r="M115">
        <f>IF('CALL SHEET'!$AO$115="","",'CALL SHEET'!$AO$115)</f>
        <v/>
      </c>
      <c r="N115">
        <f>IF('CALL SHEET'!$BF$115="","",'CALL SHEET'!$BF$115)</f>
        <v/>
      </c>
      <c r="O115" t="inlineStr">
        <is>
          <t>TRADE</t>
        </is>
      </c>
      <c r="P115" t="inlineStr">
        <is>
          <t>CALL SHEET · row 115</t>
        </is>
      </c>
      <c r="Q115">
        <f>E115+ROW()*0.000000001</f>
        <v/>
      </c>
    </row>
    <row r="116">
      <c r="A116">
        <f>IF('CALL SHEET'!$A$116="","",'CALL SHEET'!$A$116)</f>
        <v/>
      </c>
      <c r="B116">
        <f>IF('CALL SHEET'!$C$116="","",'CALL SHEET'!$C$116)</f>
        <v/>
      </c>
      <c r="C116">
        <f>'CALL SHEET'!$U$116</f>
        <v/>
      </c>
      <c r="D116">
        <f>'CALL SHEET'!$AB$116</f>
        <v/>
      </c>
      <c r="E116">
        <f>'CALL SHEET'!$AF$116</f>
        <v/>
      </c>
      <c r="F116">
        <f>IF('CALL SHEET'!$V$116="","",'CALL SHEET'!$V$116)</f>
        <v/>
      </c>
      <c r="G116">
        <f>IF('CALL SHEET'!$D$116="","",'CALL SHEET'!$D$116)</f>
        <v/>
      </c>
      <c r="H116">
        <f>IF('CALL SHEET'!$G$116="","",'CALL SHEET'!$G$116)</f>
        <v/>
      </c>
      <c r="I116">
        <f>IF('CALL SHEET'!$AY$116="","",'CALL SHEET'!$AY$116)</f>
        <v/>
      </c>
      <c r="J116">
        <f>IF('CALL SHEET'!$BC$116="","",'CALL SHEET'!$BC$116)</f>
        <v/>
      </c>
      <c r="K116">
        <f>IF('CALL SHEET'!$N$116="","",'CALL SHEET'!$N$116)</f>
        <v/>
      </c>
      <c r="L116">
        <f>IF('CALL SHEET'!$AH$116="","",'CALL SHEET'!$AH$116)</f>
        <v/>
      </c>
      <c r="M116">
        <f>IF('CALL SHEET'!$AO$116="","",'CALL SHEET'!$AO$116)</f>
        <v/>
      </c>
      <c r="N116">
        <f>IF('CALL SHEET'!$BF$116="","",'CALL SHEET'!$BF$116)</f>
        <v/>
      </c>
      <c r="O116" t="inlineStr">
        <is>
          <t>TRADE</t>
        </is>
      </c>
      <c r="P116" t="inlineStr">
        <is>
          <t>CALL SHEET · row 116</t>
        </is>
      </c>
      <c r="Q116">
        <f>E116+ROW()*0.000000001</f>
        <v/>
      </c>
    </row>
    <row r="117">
      <c r="A117">
        <f>IF('CALL SHEET'!$A$117="","",'CALL SHEET'!$A$117)</f>
        <v/>
      </c>
      <c r="B117">
        <f>IF('CALL SHEET'!$C$117="","",'CALL SHEET'!$C$117)</f>
        <v/>
      </c>
      <c r="C117">
        <f>'CALL SHEET'!$U$117</f>
        <v/>
      </c>
      <c r="D117">
        <f>'CALL SHEET'!$AB$117</f>
        <v/>
      </c>
      <c r="E117">
        <f>'CALL SHEET'!$AF$117</f>
        <v/>
      </c>
      <c r="F117">
        <f>IF('CALL SHEET'!$V$117="","",'CALL SHEET'!$V$117)</f>
        <v/>
      </c>
      <c r="G117">
        <f>IF('CALL SHEET'!$D$117="","",'CALL SHEET'!$D$117)</f>
        <v/>
      </c>
      <c r="H117">
        <f>IF('CALL SHEET'!$G$117="","",'CALL SHEET'!$G$117)</f>
        <v/>
      </c>
      <c r="I117">
        <f>IF('CALL SHEET'!$AY$117="","",'CALL SHEET'!$AY$117)</f>
        <v/>
      </c>
      <c r="J117">
        <f>IF('CALL SHEET'!$BC$117="","",'CALL SHEET'!$BC$117)</f>
        <v/>
      </c>
      <c r="K117">
        <f>IF('CALL SHEET'!$N$117="","",'CALL SHEET'!$N$117)</f>
        <v/>
      </c>
      <c r="L117">
        <f>IF('CALL SHEET'!$AH$117="","",'CALL SHEET'!$AH$117)</f>
        <v/>
      </c>
      <c r="M117">
        <f>IF('CALL SHEET'!$AO$117="","",'CALL SHEET'!$AO$117)</f>
        <v/>
      </c>
      <c r="N117">
        <f>IF('CALL SHEET'!$BF$117="","",'CALL SHEET'!$BF$117)</f>
        <v/>
      </c>
      <c r="O117" t="inlineStr">
        <is>
          <t>TRADE</t>
        </is>
      </c>
      <c r="P117" t="inlineStr">
        <is>
          <t>CALL SHEET · row 117</t>
        </is>
      </c>
      <c r="Q117">
        <f>E117+ROW()*0.000000001</f>
        <v/>
      </c>
    </row>
    <row r="118">
      <c r="A118">
        <f>IF('CALL SHEET'!$A$118="","",'CALL SHEET'!$A$118)</f>
        <v/>
      </c>
      <c r="B118">
        <f>IF('CALL SHEET'!$C$118="","",'CALL SHEET'!$C$118)</f>
        <v/>
      </c>
      <c r="C118">
        <f>'CALL SHEET'!$U$118</f>
        <v/>
      </c>
      <c r="D118">
        <f>'CALL SHEET'!$AB$118</f>
        <v/>
      </c>
      <c r="E118">
        <f>'CALL SHEET'!$AF$118</f>
        <v/>
      </c>
      <c r="F118">
        <f>IF('CALL SHEET'!$V$118="","",'CALL SHEET'!$V$118)</f>
        <v/>
      </c>
      <c r="G118">
        <f>IF('CALL SHEET'!$D$118="","",'CALL SHEET'!$D$118)</f>
        <v/>
      </c>
      <c r="H118">
        <f>IF('CALL SHEET'!$G$118="","",'CALL SHEET'!$G$118)</f>
        <v/>
      </c>
      <c r="I118">
        <f>IF('CALL SHEET'!$AY$118="","",'CALL SHEET'!$AY$118)</f>
        <v/>
      </c>
      <c r="J118">
        <f>IF('CALL SHEET'!$BC$118="","",'CALL SHEET'!$BC$118)</f>
        <v/>
      </c>
      <c r="K118">
        <f>IF('CALL SHEET'!$N$118="","",'CALL SHEET'!$N$118)</f>
        <v/>
      </c>
      <c r="L118">
        <f>IF('CALL SHEET'!$AH$118="","",'CALL SHEET'!$AH$118)</f>
        <v/>
      </c>
      <c r="M118">
        <f>IF('CALL SHEET'!$AO$118="","",'CALL SHEET'!$AO$118)</f>
        <v/>
      </c>
      <c r="N118">
        <f>IF('CALL SHEET'!$BF$118="","",'CALL SHEET'!$BF$118)</f>
        <v/>
      </c>
      <c r="O118" t="inlineStr">
        <is>
          <t>TRADE</t>
        </is>
      </c>
      <c r="P118" t="inlineStr">
        <is>
          <t>CALL SHEET · row 118</t>
        </is>
      </c>
      <c r="Q118">
        <f>E118+ROW()*0.000000001</f>
        <v/>
      </c>
    </row>
    <row r="119">
      <c r="A119">
        <f>IF('CALL SHEET'!$A$119="","",'CALL SHEET'!$A$119)</f>
        <v/>
      </c>
      <c r="B119">
        <f>IF('CALL SHEET'!$C$119="","",'CALL SHEET'!$C$119)</f>
        <v/>
      </c>
      <c r="C119">
        <f>'CALL SHEET'!$U$119</f>
        <v/>
      </c>
      <c r="D119">
        <f>'CALL SHEET'!$AB$119</f>
        <v/>
      </c>
      <c r="E119">
        <f>'CALL SHEET'!$AF$119</f>
        <v/>
      </c>
      <c r="F119">
        <f>IF('CALL SHEET'!$V$119="","",'CALL SHEET'!$V$119)</f>
        <v/>
      </c>
      <c r="G119">
        <f>IF('CALL SHEET'!$D$119="","",'CALL SHEET'!$D$119)</f>
        <v/>
      </c>
      <c r="H119">
        <f>IF('CALL SHEET'!$G$119="","",'CALL SHEET'!$G$119)</f>
        <v/>
      </c>
      <c r="I119">
        <f>IF('CALL SHEET'!$AY$119="","",'CALL SHEET'!$AY$119)</f>
        <v/>
      </c>
      <c r="J119">
        <f>IF('CALL SHEET'!$BC$119="","",'CALL SHEET'!$BC$119)</f>
        <v/>
      </c>
      <c r="K119">
        <f>IF('CALL SHEET'!$N$119="","",'CALL SHEET'!$N$119)</f>
        <v/>
      </c>
      <c r="L119">
        <f>IF('CALL SHEET'!$AH$119="","",'CALL SHEET'!$AH$119)</f>
        <v/>
      </c>
      <c r="M119">
        <f>IF('CALL SHEET'!$AO$119="","",'CALL SHEET'!$AO$119)</f>
        <v/>
      </c>
      <c r="N119">
        <f>IF('CALL SHEET'!$BF$119="","",'CALL SHEET'!$BF$119)</f>
        <v/>
      </c>
      <c r="O119" t="inlineStr">
        <is>
          <t>TRADE</t>
        </is>
      </c>
      <c r="P119" t="inlineStr">
        <is>
          <t>CALL SHEET · row 119</t>
        </is>
      </c>
      <c r="Q119">
        <f>E119+ROW()*0.000000001</f>
        <v/>
      </c>
    </row>
    <row r="120">
      <c r="A120">
        <f>IF('CALL SHEET'!$A$120="","",'CALL SHEET'!$A$120)</f>
        <v/>
      </c>
      <c r="B120">
        <f>IF('CALL SHEET'!$C$120="","",'CALL SHEET'!$C$120)</f>
        <v/>
      </c>
      <c r="C120">
        <f>'CALL SHEET'!$U$120</f>
        <v/>
      </c>
      <c r="D120">
        <f>'CALL SHEET'!$AB$120</f>
        <v/>
      </c>
      <c r="E120">
        <f>'CALL SHEET'!$AF$120</f>
        <v/>
      </c>
      <c r="F120">
        <f>IF('CALL SHEET'!$V$120="","",'CALL SHEET'!$V$120)</f>
        <v/>
      </c>
      <c r="G120">
        <f>IF('CALL SHEET'!$D$120="","",'CALL SHEET'!$D$120)</f>
        <v/>
      </c>
      <c r="H120">
        <f>IF('CALL SHEET'!$G$120="","",'CALL SHEET'!$G$120)</f>
        <v/>
      </c>
      <c r="I120">
        <f>IF('CALL SHEET'!$AY$120="","",'CALL SHEET'!$AY$120)</f>
        <v/>
      </c>
      <c r="J120">
        <f>IF('CALL SHEET'!$BC$120="","",'CALL SHEET'!$BC$120)</f>
        <v/>
      </c>
      <c r="K120">
        <f>IF('CALL SHEET'!$N$120="","",'CALL SHEET'!$N$120)</f>
        <v/>
      </c>
      <c r="L120">
        <f>IF('CALL SHEET'!$AH$120="","",'CALL SHEET'!$AH$120)</f>
        <v/>
      </c>
      <c r="M120">
        <f>IF('CALL SHEET'!$AO$120="","",'CALL SHEET'!$AO$120)</f>
        <v/>
      </c>
      <c r="N120">
        <f>IF('CALL SHEET'!$BF$120="","",'CALL SHEET'!$BF$120)</f>
        <v/>
      </c>
      <c r="O120" t="inlineStr">
        <is>
          <t>TRADE</t>
        </is>
      </c>
      <c r="P120" t="inlineStr">
        <is>
          <t>CALL SHEET · row 120</t>
        </is>
      </c>
      <c r="Q120">
        <f>E120+ROW()*0.000000001</f>
        <v/>
      </c>
    </row>
    <row r="121">
      <c r="A121">
        <f>IF('CALL SHEET'!$A$121="","",'CALL SHEET'!$A$121)</f>
        <v/>
      </c>
      <c r="B121">
        <f>IF('CALL SHEET'!$C$121="","",'CALL SHEET'!$C$121)</f>
        <v/>
      </c>
      <c r="C121">
        <f>'CALL SHEET'!$U$121</f>
        <v/>
      </c>
      <c r="D121">
        <f>'CALL SHEET'!$AB$121</f>
        <v/>
      </c>
      <c r="E121">
        <f>'CALL SHEET'!$AF$121</f>
        <v/>
      </c>
      <c r="F121">
        <f>IF('CALL SHEET'!$V$121="","",'CALL SHEET'!$V$121)</f>
        <v/>
      </c>
      <c r="G121">
        <f>IF('CALL SHEET'!$D$121="","",'CALL SHEET'!$D$121)</f>
        <v/>
      </c>
      <c r="H121">
        <f>IF('CALL SHEET'!$G$121="","",'CALL SHEET'!$G$121)</f>
        <v/>
      </c>
      <c r="I121">
        <f>IF('CALL SHEET'!$AY$121="","",'CALL SHEET'!$AY$121)</f>
        <v/>
      </c>
      <c r="J121">
        <f>IF('CALL SHEET'!$BC$121="","",'CALL SHEET'!$BC$121)</f>
        <v/>
      </c>
      <c r="K121">
        <f>IF('CALL SHEET'!$N$121="","",'CALL SHEET'!$N$121)</f>
        <v/>
      </c>
      <c r="L121">
        <f>IF('CALL SHEET'!$AH$121="","",'CALL SHEET'!$AH$121)</f>
        <v/>
      </c>
      <c r="M121">
        <f>IF('CALL SHEET'!$AO$121="","",'CALL SHEET'!$AO$121)</f>
        <v/>
      </c>
      <c r="N121">
        <f>IF('CALL SHEET'!$BF$121="","",'CALL SHEET'!$BF$121)</f>
        <v/>
      </c>
      <c r="O121" t="inlineStr">
        <is>
          <t>TRADE</t>
        </is>
      </c>
      <c r="P121" t="inlineStr">
        <is>
          <t>CALL SHEET · row 121</t>
        </is>
      </c>
      <c r="Q121">
        <f>E121+ROW()*0.000000001</f>
        <v/>
      </c>
    </row>
    <row r="122">
      <c r="A122">
        <f>IF('CALL SHEET'!$A$122="","",'CALL SHEET'!$A$122)</f>
        <v/>
      </c>
      <c r="B122">
        <f>IF('CALL SHEET'!$C$122="","",'CALL SHEET'!$C$122)</f>
        <v/>
      </c>
      <c r="C122">
        <f>'CALL SHEET'!$U$122</f>
        <v/>
      </c>
      <c r="D122">
        <f>'CALL SHEET'!$AB$122</f>
        <v/>
      </c>
      <c r="E122">
        <f>'CALL SHEET'!$AF$122</f>
        <v/>
      </c>
      <c r="F122">
        <f>IF('CALL SHEET'!$V$122="","",'CALL SHEET'!$V$122)</f>
        <v/>
      </c>
      <c r="G122">
        <f>IF('CALL SHEET'!$D$122="","",'CALL SHEET'!$D$122)</f>
        <v/>
      </c>
      <c r="H122">
        <f>IF('CALL SHEET'!$G$122="","",'CALL SHEET'!$G$122)</f>
        <v/>
      </c>
      <c r="I122">
        <f>IF('CALL SHEET'!$AY$122="","",'CALL SHEET'!$AY$122)</f>
        <v/>
      </c>
      <c r="J122">
        <f>IF('CALL SHEET'!$BC$122="","",'CALL SHEET'!$BC$122)</f>
        <v/>
      </c>
      <c r="K122">
        <f>IF('CALL SHEET'!$N$122="","",'CALL SHEET'!$N$122)</f>
        <v/>
      </c>
      <c r="L122">
        <f>IF('CALL SHEET'!$AH$122="","",'CALL SHEET'!$AH$122)</f>
        <v/>
      </c>
      <c r="M122">
        <f>IF('CALL SHEET'!$AO$122="","",'CALL SHEET'!$AO$122)</f>
        <v/>
      </c>
      <c r="N122">
        <f>IF('CALL SHEET'!$BF$122="","",'CALL SHEET'!$BF$122)</f>
        <v/>
      </c>
      <c r="O122" t="inlineStr">
        <is>
          <t>TRADE</t>
        </is>
      </c>
      <c r="P122" t="inlineStr">
        <is>
          <t>CALL SHEET · row 122</t>
        </is>
      </c>
      <c r="Q122">
        <f>E122+ROW()*0.000000001</f>
        <v/>
      </c>
    </row>
    <row r="123">
      <c r="A123">
        <f>IF('CALL SHEET'!$A$123="","",'CALL SHEET'!$A$123)</f>
        <v/>
      </c>
      <c r="B123">
        <f>IF('CALL SHEET'!$C$123="","",'CALL SHEET'!$C$123)</f>
        <v/>
      </c>
      <c r="C123">
        <f>'CALL SHEET'!$U$123</f>
        <v/>
      </c>
      <c r="D123">
        <f>'CALL SHEET'!$AB$123</f>
        <v/>
      </c>
      <c r="E123">
        <f>'CALL SHEET'!$AF$123</f>
        <v/>
      </c>
      <c r="F123">
        <f>IF('CALL SHEET'!$V$123="","",'CALL SHEET'!$V$123)</f>
        <v/>
      </c>
      <c r="G123">
        <f>IF('CALL SHEET'!$D$123="","",'CALL SHEET'!$D$123)</f>
        <v/>
      </c>
      <c r="H123">
        <f>IF('CALL SHEET'!$G$123="","",'CALL SHEET'!$G$123)</f>
        <v/>
      </c>
      <c r="I123">
        <f>IF('CALL SHEET'!$AY$123="","",'CALL SHEET'!$AY$123)</f>
        <v/>
      </c>
      <c r="J123">
        <f>IF('CALL SHEET'!$BC$123="","",'CALL SHEET'!$BC$123)</f>
        <v/>
      </c>
      <c r="K123">
        <f>IF('CALL SHEET'!$N$123="","",'CALL SHEET'!$N$123)</f>
        <v/>
      </c>
      <c r="L123">
        <f>IF('CALL SHEET'!$AH$123="","",'CALL SHEET'!$AH$123)</f>
        <v/>
      </c>
      <c r="M123">
        <f>IF('CALL SHEET'!$AO$123="","",'CALL SHEET'!$AO$123)</f>
        <v/>
      </c>
      <c r="N123">
        <f>IF('CALL SHEET'!$BF$123="","",'CALL SHEET'!$BF$123)</f>
        <v/>
      </c>
      <c r="O123" t="inlineStr">
        <is>
          <t>TRADE</t>
        </is>
      </c>
      <c r="P123" t="inlineStr">
        <is>
          <t>CALL SHEET · row 123</t>
        </is>
      </c>
      <c r="Q123">
        <f>E123+ROW()*0.000000001</f>
        <v/>
      </c>
    </row>
    <row r="124">
      <c r="A124">
        <f>IF('CALL SHEET'!$A$124="","",'CALL SHEET'!$A$124)</f>
        <v/>
      </c>
      <c r="B124">
        <f>IF('CALL SHEET'!$C$124="","",'CALL SHEET'!$C$124)</f>
        <v/>
      </c>
      <c r="C124">
        <f>'CALL SHEET'!$U$124</f>
        <v/>
      </c>
      <c r="D124">
        <f>'CALL SHEET'!$AB$124</f>
        <v/>
      </c>
      <c r="E124">
        <f>'CALL SHEET'!$AF$124</f>
        <v/>
      </c>
      <c r="F124">
        <f>IF('CALL SHEET'!$V$124="","",'CALL SHEET'!$V$124)</f>
        <v/>
      </c>
      <c r="G124">
        <f>IF('CALL SHEET'!$D$124="","",'CALL SHEET'!$D$124)</f>
        <v/>
      </c>
      <c r="H124">
        <f>IF('CALL SHEET'!$G$124="","",'CALL SHEET'!$G$124)</f>
        <v/>
      </c>
      <c r="I124">
        <f>IF('CALL SHEET'!$AY$124="","",'CALL SHEET'!$AY$124)</f>
        <v/>
      </c>
      <c r="J124">
        <f>IF('CALL SHEET'!$BC$124="","",'CALL SHEET'!$BC$124)</f>
        <v/>
      </c>
      <c r="K124">
        <f>IF('CALL SHEET'!$N$124="","",'CALL SHEET'!$N$124)</f>
        <v/>
      </c>
      <c r="L124">
        <f>IF('CALL SHEET'!$AH$124="","",'CALL SHEET'!$AH$124)</f>
        <v/>
      </c>
      <c r="M124">
        <f>IF('CALL SHEET'!$AO$124="","",'CALL SHEET'!$AO$124)</f>
        <v/>
      </c>
      <c r="N124">
        <f>IF('CALL SHEET'!$BF$124="","",'CALL SHEET'!$BF$124)</f>
        <v/>
      </c>
      <c r="O124" t="inlineStr">
        <is>
          <t>TRADE</t>
        </is>
      </c>
      <c r="P124" t="inlineStr">
        <is>
          <t>CALL SHEET · row 124</t>
        </is>
      </c>
      <c r="Q124">
        <f>E124+ROW()*0.000000001</f>
        <v/>
      </c>
    </row>
    <row r="125">
      <c r="A125">
        <f>IF('CALL SHEET'!$A$125="","",'CALL SHEET'!$A$125)</f>
        <v/>
      </c>
      <c r="B125">
        <f>IF('CALL SHEET'!$C$125="","",'CALL SHEET'!$C$125)</f>
        <v/>
      </c>
      <c r="C125">
        <f>'CALL SHEET'!$U$125</f>
        <v/>
      </c>
      <c r="D125">
        <f>'CALL SHEET'!$AB$125</f>
        <v/>
      </c>
      <c r="E125">
        <f>'CALL SHEET'!$AF$125</f>
        <v/>
      </c>
      <c r="F125">
        <f>IF('CALL SHEET'!$V$125="","",'CALL SHEET'!$V$125)</f>
        <v/>
      </c>
      <c r="G125">
        <f>IF('CALL SHEET'!$D$125="","",'CALL SHEET'!$D$125)</f>
        <v/>
      </c>
      <c r="H125">
        <f>IF('CALL SHEET'!$G$125="","",'CALL SHEET'!$G$125)</f>
        <v/>
      </c>
      <c r="I125">
        <f>IF('CALL SHEET'!$AY$125="","",'CALL SHEET'!$AY$125)</f>
        <v/>
      </c>
      <c r="J125">
        <f>IF('CALL SHEET'!$BC$125="","",'CALL SHEET'!$BC$125)</f>
        <v/>
      </c>
      <c r="K125">
        <f>IF('CALL SHEET'!$N$125="","",'CALL SHEET'!$N$125)</f>
        <v/>
      </c>
      <c r="L125">
        <f>IF('CALL SHEET'!$AH$125="","",'CALL SHEET'!$AH$125)</f>
        <v/>
      </c>
      <c r="M125">
        <f>IF('CALL SHEET'!$AO$125="","",'CALL SHEET'!$AO$125)</f>
        <v/>
      </c>
      <c r="N125">
        <f>IF('CALL SHEET'!$BF$125="","",'CALL SHEET'!$BF$125)</f>
        <v/>
      </c>
      <c r="O125" t="inlineStr">
        <is>
          <t>TRADE</t>
        </is>
      </c>
      <c r="P125" t="inlineStr">
        <is>
          <t>CALL SHEET · row 125</t>
        </is>
      </c>
      <c r="Q125">
        <f>E125+ROW()*0.000000001</f>
        <v/>
      </c>
    </row>
    <row r="126">
      <c r="A126">
        <f>IF('CALL SHEET'!$A$126="","",'CALL SHEET'!$A$126)</f>
        <v/>
      </c>
      <c r="B126">
        <f>IF('CALL SHEET'!$C$126="","",'CALL SHEET'!$C$126)</f>
        <v/>
      </c>
      <c r="C126">
        <f>'CALL SHEET'!$U$126</f>
        <v/>
      </c>
      <c r="D126">
        <f>'CALL SHEET'!$AB$126</f>
        <v/>
      </c>
      <c r="E126">
        <f>'CALL SHEET'!$AF$126</f>
        <v/>
      </c>
      <c r="F126">
        <f>IF('CALL SHEET'!$V$126="","",'CALL SHEET'!$V$126)</f>
        <v/>
      </c>
      <c r="G126">
        <f>IF('CALL SHEET'!$D$126="","",'CALL SHEET'!$D$126)</f>
        <v/>
      </c>
      <c r="H126">
        <f>IF('CALL SHEET'!$G$126="","",'CALL SHEET'!$G$126)</f>
        <v/>
      </c>
      <c r="I126">
        <f>IF('CALL SHEET'!$AY$126="","",'CALL SHEET'!$AY$126)</f>
        <v/>
      </c>
      <c r="J126">
        <f>IF('CALL SHEET'!$BC$126="","",'CALL SHEET'!$BC$126)</f>
        <v/>
      </c>
      <c r="K126">
        <f>IF('CALL SHEET'!$N$126="","",'CALL SHEET'!$N$126)</f>
        <v/>
      </c>
      <c r="L126">
        <f>IF('CALL SHEET'!$AH$126="","",'CALL SHEET'!$AH$126)</f>
        <v/>
      </c>
      <c r="M126">
        <f>IF('CALL SHEET'!$AO$126="","",'CALL SHEET'!$AO$126)</f>
        <v/>
      </c>
      <c r="N126">
        <f>IF('CALL SHEET'!$BF$126="","",'CALL SHEET'!$BF$126)</f>
        <v/>
      </c>
      <c r="O126" t="inlineStr">
        <is>
          <t>TRADE</t>
        </is>
      </c>
      <c r="P126" t="inlineStr">
        <is>
          <t>CALL SHEET · row 126</t>
        </is>
      </c>
      <c r="Q126">
        <f>E126+ROW()*0.000000001</f>
        <v/>
      </c>
    </row>
    <row r="127">
      <c r="A127">
        <f>IF('CALL SHEET'!$A$127="","",'CALL SHEET'!$A$127)</f>
        <v/>
      </c>
      <c r="B127">
        <f>IF('CALL SHEET'!$C$127="","",'CALL SHEET'!$C$127)</f>
        <v/>
      </c>
      <c r="C127">
        <f>'CALL SHEET'!$U$127</f>
        <v/>
      </c>
      <c r="D127">
        <f>'CALL SHEET'!$AB$127</f>
        <v/>
      </c>
      <c r="E127">
        <f>'CALL SHEET'!$AF$127</f>
        <v/>
      </c>
      <c r="F127">
        <f>IF('CALL SHEET'!$V$127="","",'CALL SHEET'!$V$127)</f>
        <v/>
      </c>
      <c r="G127">
        <f>IF('CALL SHEET'!$D$127="","",'CALL SHEET'!$D$127)</f>
        <v/>
      </c>
      <c r="H127">
        <f>IF('CALL SHEET'!$G$127="","",'CALL SHEET'!$G$127)</f>
        <v/>
      </c>
      <c r="I127">
        <f>IF('CALL SHEET'!$AY$127="","",'CALL SHEET'!$AY$127)</f>
        <v/>
      </c>
      <c r="J127">
        <f>IF('CALL SHEET'!$BC$127="","",'CALL SHEET'!$BC$127)</f>
        <v/>
      </c>
      <c r="K127">
        <f>IF('CALL SHEET'!$N$127="","",'CALL SHEET'!$N$127)</f>
        <v/>
      </c>
      <c r="L127">
        <f>IF('CALL SHEET'!$AH$127="","",'CALL SHEET'!$AH$127)</f>
        <v/>
      </c>
      <c r="M127">
        <f>IF('CALL SHEET'!$AO$127="","",'CALL SHEET'!$AO$127)</f>
        <v/>
      </c>
      <c r="N127">
        <f>IF('CALL SHEET'!$BF$127="","",'CALL SHEET'!$BF$127)</f>
        <v/>
      </c>
      <c r="O127" t="inlineStr">
        <is>
          <t>TRADE</t>
        </is>
      </c>
      <c r="P127" t="inlineStr">
        <is>
          <t>CALL SHEET · row 127</t>
        </is>
      </c>
      <c r="Q127">
        <f>E127+ROW()*0.000000001</f>
        <v/>
      </c>
    </row>
    <row r="128">
      <c r="A128">
        <f>IF('CALL SHEET'!$A$128="","",'CALL SHEET'!$A$128)</f>
        <v/>
      </c>
      <c r="B128">
        <f>IF('CALL SHEET'!$C$128="","",'CALL SHEET'!$C$128)</f>
        <v/>
      </c>
      <c r="C128">
        <f>'CALL SHEET'!$U$128</f>
        <v/>
      </c>
      <c r="D128">
        <f>'CALL SHEET'!$AB$128</f>
        <v/>
      </c>
      <c r="E128">
        <f>'CALL SHEET'!$AF$128</f>
        <v/>
      </c>
      <c r="F128">
        <f>IF('CALL SHEET'!$V$128="","",'CALL SHEET'!$V$128)</f>
        <v/>
      </c>
      <c r="G128">
        <f>IF('CALL SHEET'!$D$128="","",'CALL SHEET'!$D$128)</f>
        <v/>
      </c>
      <c r="H128">
        <f>IF('CALL SHEET'!$G$128="","",'CALL SHEET'!$G$128)</f>
        <v/>
      </c>
      <c r="I128">
        <f>IF('CALL SHEET'!$AY$128="","",'CALL SHEET'!$AY$128)</f>
        <v/>
      </c>
      <c r="J128">
        <f>IF('CALL SHEET'!$BC$128="","",'CALL SHEET'!$BC$128)</f>
        <v/>
      </c>
      <c r="K128">
        <f>IF('CALL SHEET'!$N$128="","",'CALL SHEET'!$N$128)</f>
        <v/>
      </c>
      <c r="L128">
        <f>IF('CALL SHEET'!$AH$128="","",'CALL SHEET'!$AH$128)</f>
        <v/>
      </c>
      <c r="M128">
        <f>IF('CALL SHEET'!$AO$128="","",'CALL SHEET'!$AO$128)</f>
        <v/>
      </c>
      <c r="N128">
        <f>IF('CALL SHEET'!$BF$128="","",'CALL SHEET'!$BF$128)</f>
        <v/>
      </c>
      <c r="O128" t="inlineStr">
        <is>
          <t>TRADE</t>
        </is>
      </c>
      <c r="P128" t="inlineStr">
        <is>
          <t>CALL SHEET · row 128</t>
        </is>
      </c>
      <c r="Q128">
        <f>E128+ROW()*0.000000001</f>
        <v/>
      </c>
    </row>
    <row r="129">
      <c r="A129">
        <f>IF('CALL SHEET'!$A$129="","",'CALL SHEET'!$A$129)</f>
        <v/>
      </c>
      <c r="B129">
        <f>IF('CALL SHEET'!$C$129="","",'CALL SHEET'!$C$129)</f>
        <v/>
      </c>
      <c r="C129">
        <f>'CALL SHEET'!$U$129</f>
        <v/>
      </c>
      <c r="D129">
        <f>'CALL SHEET'!$AB$129</f>
        <v/>
      </c>
      <c r="E129">
        <f>'CALL SHEET'!$AF$129</f>
        <v/>
      </c>
      <c r="F129">
        <f>IF('CALL SHEET'!$V$129="","",'CALL SHEET'!$V$129)</f>
        <v/>
      </c>
      <c r="G129">
        <f>IF('CALL SHEET'!$D$129="","",'CALL SHEET'!$D$129)</f>
        <v/>
      </c>
      <c r="H129">
        <f>IF('CALL SHEET'!$G$129="","",'CALL SHEET'!$G$129)</f>
        <v/>
      </c>
      <c r="I129">
        <f>IF('CALL SHEET'!$AY$129="","",'CALL SHEET'!$AY$129)</f>
        <v/>
      </c>
      <c r="J129">
        <f>IF('CALL SHEET'!$BC$129="","",'CALL SHEET'!$BC$129)</f>
        <v/>
      </c>
      <c r="K129">
        <f>IF('CALL SHEET'!$N$129="","",'CALL SHEET'!$N$129)</f>
        <v/>
      </c>
      <c r="L129">
        <f>IF('CALL SHEET'!$AH$129="","",'CALL SHEET'!$AH$129)</f>
        <v/>
      </c>
      <c r="M129">
        <f>IF('CALL SHEET'!$AO$129="","",'CALL SHEET'!$AO$129)</f>
        <v/>
      </c>
      <c r="N129">
        <f>IF('CALL SHEET'!$BF$129="","",'CALL SHEET'!$BF$129)</f>
        <v/>
      </c>
      <c r="O129" t="inlineStr">
        <is>
          <t>TRADE</t>
        </is>
      </c>
      <c r="P129" t="inlineStr">
        <is>
          <t>CALL SHEET · row 129</t>
        </is>
      </c>
      <c r="Q129">
        <f>E129+ROW()*0.000000001</f>
        <v/>
      </c>
    </row>
    <row r="130">
      <c r="A130">
        <f>IF('CALL SHEET'!$A$130="","",'CALL SHEET'!$A$130)</f>
        <v/>
      </c>
      <c r="B130">
        <f>IF('CALL SHEET'!$C$130="","",'CALL SHEET'!$C$130)</f>
        <v/>
      </c>
      <c r="C130">
        <f>'CALL SHEET'!$U$130</f>
        <v/>
      </c>
      <c r="D130">
        <f>'CALL SHEET'!$AB$130</f>
        <v/>
      </c>
      <c r="E130">
        <f>'CALL SHEET'!$AF$130</f>
        <v/>
      </c>
      <c r="F130">
        <f>IF('CALL SHEET'!$V$130="","",'CALL SHEET'!$V$130)</f>
        <v/>
      </c>
      <c r="G130">
        <f>IF('CALL SHEET'!$D$130="","",'CALL SHEET'!$D$130)</f>
        <v/>
      </c>
      <c r="H130">
        <f>IF('CALL SHEET'!$G$130="","",'CALL SHEET'!$G$130)</f>
        <v/>
      </c>
      <c r="I130">
        <f>IF('CALL SHEET'!$AY$130="","",'CALL SHEET'!$AY$130)</f>
        <v/>
      </c>
      <c r="J130">
        <f>IF('CALL SHEET'!$BC$130="","",'CALL SHEET'!$BC$130)</f>
        <v/>
      </c>
      <c r="K130">
        <f>IF('CALL SHEET'!$N$130="","",'CALL SHEET'!$N$130)</f>
        <v/>
      </c>
      <c r="L130">
        <f>IF('CALL SHEET'!$AH$130="","",'CALL SHEET'!$AH$130)</f>
        <v/>
      </c>
      <c r="M130">
        <f>IF('CALL SHEET'!$AO$130="","",'CALL SHEET'!$AO$130)</f>
        <v/>
      </c>
      <c r="N130">
        <f>IF('CALL SHEET'!$BF$130="","",'CALL SHEET'!$BF$130)</f>
        <v/>
      </c>
      <c r="O130" t="inlineStr">
        <is>
          <t>TRADE</t>
        </is>
      </c>
      <c r="P130" t="inlineStr">
        <is>
          <t>CALL SHEET · row 130</t>
        </is>
      </c>
      <c r="Q130">
        <f>E130+ROW()*0.000000001</f>
        <v/>
      </c>
    </row>
    <row r="131">
      <c r="A131">
        <f>IF('CALL SHEET'!$A$131="","",'CALL SHEET'!$A$131)</f>
        <v/>
      </c>
      <c r="B131">
        <f>IF('CALL SHEET'!$C$131="","",'CALL SHEET'!$C$131)</f>
        <v/>
      </c>
      <c r="C131">
        <f>'CALL SHEET'!$U$131</f>
        <v/>
      </c>
      <c r="D131">
        <f>'CALL SHEET'!$AB$131</f>
        <v/>
      </c>
      <c r="E131">
        <f>'CALL SHEET'!$AF$131</f>
        <v/>
      </c>
      <c r="F131">
        <f>IF('CALL SHEET'!$V$131="","",'CALL SHEET'!$V$131)</f>
        <v/>
      </c>
      <c r="G131">
        <f>IF('CALL SHEET'!$D$131="","",'CALL SHEET'!$D$131)</f>
        <v/>
      </c>
      <c r="H131">
        <f>IF('CALL SHEET'!$G$131="","",'CALL SHEET'!$G$131)</f>
        <v/>
      </c>
      <c r="I131">
        <f>IF('CALL SHEET'!$AY$131="","",'CALL SHEET'!$AY$131)</f>
        <v/>
      </c>
      <c r="J131">
        <f>IF('CALL SHEET'!$BC$131="","",'CALL SHEET'!$BC$131)</f>
        <v/>
      </c>
      <c r="K131">
        <f>IF('CALL SHEET'!$N$131="","",'CALL SHEET'!$N$131)</f>
        <v/>
      </c>
      <c r="L131">
        <f>IF('CALL SHEET'!$AH$131="","",'CALL SHEET'!$AH$131)</f>
        <v/>
      </c>
      <c r="M131">
        <f>IF('CALL SHEET'!$AO$131="","",'CALL SHEET'!$AO$131)</f>
        <v/>
      </c>
      <c r="N131">
        <f>IF('CALL SHEET'!$BF$131="","",'CALL SHEET'!$BF$131)</f>
        <v/>
      </c>
      <c r="O131" t="inlineStr">
        <is>
          <t>TRADE</t>
        </is>
      </c>
      <c r="P131" t="inlineStr">
        <is>
          <t>CALL SHEET · row 131</t>
        </is>
      </c>
      <c r="Q131">
        <f>E131+ROW()*0.000000001</f>
        <v/>
      </c>
    </row>
    <row r="132">
      <c r="A132">
        <f>IF('CALL SHEET'!$A$132="","",'CALL SHEET'!$A$132)</f>
        <v/>
      </c>
      <c r="B132">
        <f>IF('CALL SHEET'!$C$132="","",'CALL SHEET'!$C$132)</f>
        <v/>
      </c>
      <c r="C132">
        <f>'CALL SHEET'!$U$132</f>
        <v/>
      </c>
      <c r="D132">
        <f>'CALL SHEET'!$AB$132</f>
        <v/>
      </c>
      <c r="E132">
        <f>'CALL SHEET'!$AF$132</f>
        <v/>
      </c>
      <c r="F132">
        <f>IF('CALL SHEET'!$V$132="","",'CALL SHEET'!$V$132)</f>
        <v/>
      </c>
      <c r="G132">
        <f>IF('CALL SHEET'!$D$132="","",'CALL SHEET'!$D$132)</f>
        <v/>
      </c>
      <c r="H132">
        <f>IF('CALL SHEET'!$G$132="","",'CALL SHEET'!$G$132)</f>
        <v/>
      </c>
      <c r="I132">
        <f>IF('CALL SHEET'!$AY$132="","",'CALL SHEET'!$AY$132)</f>
        <v/>
      </c>
      <c r="J132">
        <f>IF('CALL SHEET'!$BC$132="","",'CALL SHEET'!$BC$132)</f>
        <v/>
      </c>
      <c r="K132">
        <f>IF('CALL SHEET'!$N$132="","",'CALL SHEET'!$N$132)</f>
        <v/>
      </c>
      <c r="L132">
        <f>IF('CALL SHEET'!$AH$132="","",'CALL SHEET'!$AH$132)</f>
        <v/>
      </c>
      <c r="M132">
        <f>IF('CALL SHEET'!$AO$132="","",'CALL SHEET'!$AO$132)</f>
        <v/>
      </c>
      <c r="N132">
        <f>IF('CALL SHEET'!$BF$132="","",'CALL SHEET'!$BF$132)</f>
        <v/>
      </c>
      <c r="O132" t="inlineStr">
        <is>
          <t>TRADE</t>
        </is>
      </c>
      <c r="P132" t="inlineStr">
        <is>
          <t>CALL SHEET · row 132</t>
        </is>
      </c>
      <c r="Q132">
        <f>E132+ROW()*0.000000001</f>
        <v/>
      </c>
    </row>
    <row r="133">
      <c r="A133">
        <f>IF('CALL SHEET'!$A$133="","",'CALL SHEET'!$A$133)</f>
        <v/>
      </c>
      <c r="B133">
        <f>IF('CALL SHEET'!$C$133="","",'CALL SHEET'!$C$133)</f>
        <v/>
      </c>
      <c r="C133">
        <f>'CALL SHEET'!$U$133</f>
        <v/>
      </c>
      <c r="D133">
        <f>'CALL SHEET'!$AB$133</f>
        <v/>
      </c>
      <c r="E133">
        <f>'CALL SHEET'!$AF$133</f>
        <v/>
      </c>
      <c r="F133">
        <f>IF('CALL SHEET'!$V$133="","",'CALL SHEET'!$V$133)</f>
        <v/>
      </c>
      <c r="G133">
        <f>IF('CALL SHEET'!$D$133="","",'CALL SHEET'!$D$133)</f>
        <v/>
      </c>
      <c r="H133">
        <f>IF('CALL SHEET'!$G$133="","",'CALL SHEET'!$G$133)</f>
        <v/>
      </c>
      <c r="I133">
        <f>IF('CALL SHEET'!$AY$133="","",'CALL SHEET'!$AY$133)</f>
        <v/>
      </c>
      <c r="J133">
        <f>IF('CALL SHEET'!$BC$133="","",'CALL SHEET'!$BC$133)</f>
        <v/>
      </c>
      <c r="K133">
        <f>IF('CALL SHEET'!$N$133="","",'CALL SHEET'!$N$133)</f>
        <v/>
      </c>
      <c r="L133">
        <f>IF('CALL SHEET'!$AH$133="","",'CALL SHEET'!$AH$133)</f>
        <v/>
      </c>
      <c r="M133">
        <f>IF('CALL SHEET'!$AO$133="","",'CALL SHEET'!$AO$133)</f>
        <v/>
      </c>
      <c r="N133">
        <f>IF('CALL SHEET'!$BF$133="","",'CALL SHEET'!$BF$133)</f>
        <v/>
      </c>
      <c r="O133" t="inlineStr">
        <is>
          <t>TRADE</t>
        </is>
      </c>
      <c r="P133" t="inlineStr">
        <is>
          <t>CALL SHEET · row 133</t>
        </is>
      </c>
      <c r="Q133">
        <f>E133+ROW()*0.000000001</f>
        <v/>
      </c>
    </row>
    <row r="134">
      <c r="A134">
        <f>IF('CALL SHEET'!$A$134="","",'CALL SHEET'!$A$134)</f>
        <v/>
      </c>
      <c r="B134">
        <f>IF('CALL SHEET'!$C$134="","",'CALL SHEET'!$C$134)</f>
        <v/>
      </c>
      <c r="C134">
        <f>'CALL SHEET'!$U$134</f>
        <v/>
      </c>
      <c r="D134">
        <f>'CALL SHEET'!$AB$134</f>
        <v/>
      </c>
      <c r="E134">
        <f>'CALL SHEET'!$AF$134</f>
        <v/>
      </c>
      <c r="F134">
        <f>IF('CALL SHEET'!$V$134="","",'CALL SHEET'!$V$134)</f>
        <v/>
      </c>
      <c r="G134">
        <f>IF('CALL SHEET'!$D$134="","",'CALL SHEET'!$D$134)</f>
        <v/>
      </c>
      <c r="H134">
        <f>IF('CALL SHEET'!$G$134="","",'CALL SHEET'!$G$134)</f>
        <v/>
      </c>
      <c r="I134">
        <f>IF('CALL SHEET'!$AY$134="","",'CALL SHEET'!$AY$134)</f>
        <v/>
      </c>
      <c r="J134">
        <f>IF('CALL SHEET'!$BC$134="","",'CALL SHEET'!$BC$134)</f>
        <v/>
      </c>
      <c r="K134">
        <f>IF('CALL SHEET'!$N$134="","",'CALL SHEET'!$N$134)</f>
        <v/>
      </c>
      <c r="L134">
        <f>IF('CALL SHEET'!$AH$134="","",'CALL SHEET'!$AH$134)</f>
        <v/>
      </c>
      <c r="M134">
        <f>IF('CALL SHEET'!$AO$134="","",'CALL SHEET'!$AO$134)</f>
        <v/>
      </c>
      <c r="N134">
        <f>IF('CALL SHEET'!$BF$134="","",'CALL SHEET'!$BF$134)</f>
        <v/>
      </c>
      <c r="O134" t="inlineStr">
        <is>
          <t>TRADE</t>
        </is>
      </c>
      <c r="P134" t="inlineStr">
        <is>
          <t>CALL SHEET · row 134</t>
        </is>
      </c>
      <c r="Q134">
        <f>E134+ROW()*0.000000001</f>
        <v/>
      </c>
    </row>
    <row r="135">
      <c r="A135">
        <f>IF('CALL SHEET'!$A$135="","",'CALL SHEET'!$A$135)</f>
        <v/>
      </c>
      <c r="B135">
        <f>IF('CALL SHEET'!$C$135="","",'CALL SHEET'!$C$135)</f>
        <v/>
      </c>
      <c r="C135">
        <f>'CALL SHEET'!$U$135</f>
        <v/>
      </c>
      <c r="D135">
        <f>'CALL SHEET'!$AB$135</f>
        <v/>
      </c>
      <c r="E135">
        <f>'CALL SHEET'!$AF$135</f>
        <v/>
      </c>
      <c r="F135">
        <f>IF('CALL SHEET'!$V$135="","",'CALL SHEET'!$V$135)</f>
        <v/>
      </c>
      <c r="G135">
        <f>IF('CALL SHEET'!$D$135="","",'CALL SHEET'!$D$135)</f>
        <v/>
      </c>
      <c r="H135">
        <f>IF('CALL SHEET'!$G$135="","",'CALL SHEET'!$G$135)</f>
        <v/>
      </c>
      <c r="I135">
        <f>IF('CALL SHEET'!$AY$135="","",'CALL SHEET'!$AY$135)</f>
        <v/>
      </c>
      <c r="J135">
        <f>IF('CALL SHEET'!$BC$135="","",'CALL SHEET'!$BC$135)</f>
        <v/>
      </c>
      <c r="K135">
        <f>IF('CALL SHEET'!$N$135="","",'CALL SHEET'!$N$135)</f>
        <v/>
      </c>
      <c r="L135">
        <f>IF('CALL SHEET'!$AH$135="","",'CALL SHEET'!$AH$135)</f>
        <v/>
      </c>
      <c r="M135">
        <f>IF('CALL SHEET'!$AO$135="","",'CALL SHEET'!$AO$135)</f>
        <v/>
      </c>
      <c r="N135">
        <f>IF('CALL SHEET'!$BF$135="","",'CALL SHEET'!$BF$135)</f>
        <v/>
      </c>
      <c r="O135" t="inlineStr">
        <is>
          <t>TRADE</t>
        </is>
      </c>
      <c r="P135" t="inlineStr">
        <is>
          <t>CALL SHEET · row 135</t>
        </is>
      </c>
      <c r="Q135">
        <f>E135+ROW()*0.000000001</f>
        <v/>
      </c>
    </row>
    <row r="136">
      <c r="A136">
        <f>IF('CALL SHEET'!$A$136="","",'CALL SHEET'!$A$136)</f>
        <v/>
      </c>
      <c r="B136">
        <f>IF('CALL SHEET'!$C$136="","",'CALL SHEET'!$C$136)</f>
        <v/>
      </c>
      <c r="C136">
        <f>'CALL SHEET'!$U$136</f>
        <v/>
      </c>
      <c r="D136">
        <f>'CALL SHEET'!$AB$136</f>
        <v/>
      </c>
      <c r="E136">
        <f>'CALL SHEET'!$AF$136</f>
        <v/>
      </c>
      <c r="F136">
        <f>IF('CALL SHEET'!$V$136="","",'CALL SHEET'!$V$136)</f>
        <v/>
      </c>
      <c r="G136">
        <f>IF('CALL SHEET'!$D$136="","",'CALL SHEET'!$D$136)</f>
        <v/>
      </c>
      <c r="H136">
        <f>IF('CALL SHEET'!$G$136="","",'CALL SHEET'!$G$136)</f>
        <v/>
      </c>
      <c r="I136">
        <f>IF('CALL SHEET'!$AY$136="","",'CALL SHEET'!$AY$136)</f>
        <v/>
      </c>
      <c r="J136">
        <f>IF('CALL SHEET'!$BC$136="","",'CALL SHEET'!$BC$136)</f>
        <v/>
      </c>
      <c r="K136">
        <f>IF('CALL SHEET'!$N$136="","",'CALL SHEET'!$N$136)</f>
        <v/>
      </c>
      <c r="L136">
        <f>IF('CALL SHEET'!$AH$136="","",'CALL SHEET'!$AH$136)</f>
        <v/>
      </c>
      <c r="M136">
        <f>IF('CALL SHEET'!$AO$136="","",'CALL SHEET'!$AO$136)</f>
        <v/>
      </c>
      <c r="N136">
        <f>IF('CALL SHEET'!$BF$136="","",'CALL SHEET'!$BF$136)</f>
        <v/>
      </c>
      <c r="O136" t="inlineStr">
        <is>
          <t>TRADE</t>
        </is>
      </c>
      <c r="P136" t="inlineStr">
        <is>
          <t>CALL SHEET · row 136</t>
        </is>
      </c>
      <c r="Q136">
        <f>E136+ROW()*0.000000001</f>
        <v/>
      </c>
    </row>
    <row r="137">
      <c r="A137">
        <f>IF('CALL SHEET'!$A$137="","",'CALL SHEET'!$A$137)</f>
        <v/>
      </c>
      <c r="B137">
        <f>IF('CALL SHEET'!$C$137="","",'CALL SHEET'!$C$137)</f>
        <v/>
      </c>
      <c r="C137">
        <f>'CALL SHEET'!$U$137</f>
        <v/>
      </c>
      <c r="D137">
        <f>'CALL SHEET'!$AB$137</f>
        <v/>
      </c>
      <c r="E137">
        <f>'CALL SHEET'!$AF$137</f>
        <v/>
      </c>
      <c r="F137">
        <f>IF('CALL SHEET'!$V$137="","",'CALL SHEET'!$V$137)</f>
        <v/>
      </c>
      <c r="G137">
        <f>IF('CALL SHEET'!$D$137="","",'CALL SHEET'!$D$137)</f>
        <v/>
      </c>
      <c r="H137">
        <f>IF('CALL SHEET'!$G$137="","",'CALL SHEET'!$G$137)</f>
        <v/>
      </c>
      <c r="I137">
        <f>IF('CALL SHEET'!$AY$137="","",'CALL SHEET'!$AY$137)</f>
        <v/>
      </c>
      <c r="J137">
        <f>IF('CALL SHEET'!$BC$137="","",'CALL SHEET'!$BC$137)</f>
        <v/>
      </c>
      <c r="K137">
        <f>IF('CALL SHEET'!$N$137="","",'CALL SHEET'!$N$137)</f>
        <v/>
      </c>
      <c r="L137">
        <f>IF('CALL SHEET'!$AH$137="","",'CALL SHEET'!$AH$137)</f>
        <v/>
      </c>
      <c r="M137">
        <f>IF('CALL SHEET'!$AO$137="","",'CALL SHEET'!$AO$137)</f>
        <v/>
      </c>
      <c r="N137">
        <f>IF('CALL SHEET'!$BF$137="","",'CALL SHEET'!$BF$137)</f>
        <v/>
      </c>
      <c r="O137" t="inlineStr">
        <is>
          <t>TRADE</t>
        </is>
      </c>
      <c r="P137" t="inlineStr">
        <is>
          <t>CALL SHEET · row 137</t>
        </is>
      </c>
      <c r="Q137">
        <f>E137+ROW()*0.000000001</f>
        <v/>
      </c>
    </row>
    <row r="138">
      <c r="A138">
        <f>IF('CALL SHEET'!$A$138="","",'CALL SHEET'!$A$138)</f>
        <v/>
      </c>
      <c r="B138">
        <f>IF('CALL SHEET'!$C$138="","",'CALL SHEET'!$C$138)</f>
        <v/>
      </c>
      <c r="C138">
        <f>'CALL SHEET'!$U$138</f>
        <v/>
      </c>
      <c r="D138">
        <f>'CALL SHEET'!$AB$138</f>
        <v/>
      </c>
      <c r="E138">
        <f>'CALL SHEET'!$AF$138</f>
        <v/>
      </c>
      <c r="F138">
        <f>IF('CALL SHEET'!$V$138="","",'CALL SHEET'!$V$138)</f>
        <v/>
      </c>
      <c r="G138">
        <f>IF('CALL SHEET'!$D$138="","",'CALL SHEET'!$D$138)</f>
        <v/>
      </c>
      <c r="H138">
        <f>IF('CALL SHEET'!$G$138="","",'CALL SHEET'!$G$138)</f>
        <v/>
      </c>
      <c r="I138">
        <f>IF('CALL SHEET'!$AY$138="","",'CALL SHEET'!$AY$138)</f>
        <v/>
      </c>
      <c r="J138">
        <f>IF('CALL SHEET'!$BC$138="","",'CALL SHEET'!$BC$138)</f>
        <v/>
      </c>
      <c r="K138">
        <f>IF('CALL SHEET'!$N$138="","",'CALL SHEET'!$N$138)</f>
        <v/>
      </c>
      <c r="L138">
        <f>IF('CALL SHEET'!$AH$138="","",'CALL SHEET'!$AH$138)</f>
        <v/>
      </c>
      <c r="M138">
        <f>IF('CALL SHEET'!$AO$138="","",'CALL SHEET'!$AO$138)</f>
        <v/>
      </c>
      <c r="N138">
        <f>IF('CALL SHEET'!$BF$138="","",'CALL SHEET'!$BF$138)</f>
        <v/>
      </c>
      <c r="O138" t="inlineStr">
        <is>
          <t>TRADE</t>
        </is>
      </c>
      <c r="P138" t="inlineStr">
        <is>
          <t>CALL SHEET · row 138</t>
        </is>
      </c>
      <c r="Q138">
        <f>E138+ROW()*0.000000001</f>
        <v/>
      </c>
    </row>
    <row r="139">
      <c r="A139">
        <f>IF('CALL SHEET'!$A$139="","",'CALL SHEET'!$A$139)</f>
        <v/>
      </c>
      <c r="B139">
        <f>IF('CALL SHEET'!$C$139="","",'CALL SHEET'!$C$139)</f>
        <v/>
      </c>
      <c r="C139">
        <f>'CALL SHEET'!$U$139</f>
        <v/>
      </c>
      <c r="D139">
        <f>'CALL SHEET'!$AB$139</f>
        <v/>
      </c>
      <c r="E139">
        <f>'CALL SHEET'!$AF$139</f>
        <v/>
      </c>
      <c r="F139">
        <f>IF('CALL SHEET'!$V$139="","",'CALL SHEET'!$V$139)</f>
        <v/>
      </c>
      <c r="G139">
        <f>IF('CALL SHEET'!$D$139="","",'CALL SHEET'!$D$139)</f>
        <v/>
      </c>
      <c r="H139">
        <f>IF('CALL SHEET'!$G$139="","",'CALL SHEET'!$G$139)</f>
        <v/>
      </c>
      <c r="I139">
        <f>IF('CALL SHEET'!$AY$139="","",'CALL SHEET'!$AY$139)</f>
        <v/>
      </c>
      <c r="J139">
        <f>IF('CALL SHEET'!$BC$139="","",'CALL SHEET'!$BC$139)</f>
        <v/>
      </c>
      <c r="K139">
        <f>IF('CALL SHEET'!$N$139="","",'CALL SHEET'!$N$139)</f>
        <v/>
      </c>
      <c r="L139">
        <f>IF('CALL SHEET'!$AH$139="","",'CALL SHEET'!$AH$139)</f>
        <v/>
      </c>
      <c r="M139">
        <f>IF('CALL SHEET'!$AO$139="","",'CALL SHEET'!$AO$139)</f>
        <v/>
      </c>
      <c r="N139">
        <f>IF('CALL SHEET'!$BF$139="","",'CALL SHEET'!$BF$139)</f>
        <v/>
      </c>
      <c r="O139" t="inlineStr">
        <is>
          <t>TRADE</t>
        </is>
      </c>
      <c r="P139" t="inlineStr">
        <is>
          <t>CALL SHEET · row 139</t>
        </is>
      </c>
      <c r="Q139">
        <f>E139+ROW()*0.000000001</f>
        <v/>
      </c>
    </row>
    <row r="140">
      <c r="A140">
        <f>IF('CALL SHEET'!$A$140="","",'CALL SHEET'!$A$140)</f>
        <v/>
      </c>
      <c r="B140">
        <f>IF('CALL SHEET'!$C$140="","",'CALL SHEET'!$C$140)</f>
        <v/>
      </c>
      <c r="C140">
        <f>'CALL SHEET'!$U$140</f>
        <v/>
      </c>
      <c r="D140">
        <f>'CALL SHEET'!$AB$140</f>
        <v/>
      </c>
      <c r="E140">
        <f>'CALL SHEET'!$AF$140</f>
        <v/>
      </c>
      <c r="F140">
        <f>IF('CALL SHEET'!$V$140="","",'CALL SHEET'!$V$140)</f>
        <v/>
      </c>
      <c r="G140">
        <f>IF('CALL SHEET'!$D$140="","",'CALL SHEET'!$D$140)</f>
        <v/>
      </c>
      <c r="H140">
        <f>IF('CALL SHEET'!$G$140="","",'CALL SHEET'!$G$140)</f>
        <v/>
      </c>
      <c r="I140">
        <f>IF('CALL SHEET'!$AY$140="","",'CALL SHEET'!$AY$140)</f>
        <v/>
      </c>
      <c r="J140">
        <f>IF('CALL SHEET'!$BC$140="","",'CALL SHEET'!$BC$140)</f>
        <v/>
      </c>
      <c r="K140">
        <f>IF('CALL SHEET'!$N$140="","",'CALL SHEET'!$N$140)</f>
        <v/>
      </c>
      <c r="L140">
        <f>IF('CALL SHEET'!$AH$140="","",'CALL SHEET'!$AH$140)</f>
        <v/>
      </c>
      <c r="M140">
        <f>IF('CALL SHEET'!$AO$140="","",'CALL SHEET'!$AO$140)</f>
        <v/>
      </c>
      <c r="N140">
        <f>IF('CALL SHEET'!$BF$140="","",'CALL SHEET'!$BF$140)</f>
        <v/>
      </c>
      <c r="O140" t="inlineStr">
        <is>
          <t>TRADE</t>
        </is>
      </c>
      <c r="P140" t="inlineStr">
        <is>
          <t>CALL SHEET · row 140</t>
        </is>
      </c>
      <c r="Q140">
        <f>E140+ROW()*0.000000001</f>
        <v/>
      </c>
    </row>
    <row r="141">
      <c r="A141">
        <f>IF('CALL SHEET'!$A$141="","",'CALL SHEET'!$A$141)</f>
        <v/>
      </c>
      <c r="B141">
        <f>IF('CALL SHEET'!$C$141="","",'CALL SHEET'!$C$141)</f>
        <v/>
      </c>
      <c r="C141">
        <f>'CALL SHEET'!$U$141</f>
        <v/>
      </c>
      <c r="D141">
        <f>'CALL SHEET'!$AB$141</f>
        <v/>
      </c>
      <c r="E141">
        <f>'CALL SHEET'!$AF$141</f>
        <v/>
      </c>
      <c r="F141">
        <f>IF('CALL SHEET'!$V$141="","",'CALL SHEET'!$V$141)</f>
        <v/>
      </c>
      <c r="G141">
        <f>IF('CALL SHEET'!$D$141="","",'CALL SHEET'!$D$141)</f>
        <v/>
      </c>
      <c r="H141">
        <f>IF('CALL SHEET'!$G$141="","",'CALL SHEET'!$G$141)</f>
        <v/>
      </c>
      <c r="I141">
        <f>IF('CALL SHEET'!$AY$141="","",'CALL SHEET'!$AY$141)</f>
        <v/>
      </c>
      <c r="J141">
        <f>IF('CALL SHEET'!$BC$141="","",'CALL SHEET'!$BC$141)</f>
        <v/>
      </c>
      <c r="K141">
        <f>IF('CALL SHEET'!$N$141="","",'CALL SHEET'!$N$141)</f>
        <v/>
      </c>
      <c r="L141">
        <f>IF('CALL SHEET'!$AH$141="","",'CALL SHEET'!$AH$141)</f>
        <v/>
      </c>
      <c r="M141">
        <f>IF('CALL SHEET'!$AO$141="","",'CALL SHEET'!$AO$141)</f>
        <v/>
      </c>
      <c r="N141">
        <f>IF('CALL SHEET'!$BF$141="","",'CALL SHEET'!$BF$141)</f>
        <v/>
      </c>
      <c r="O141" t="inlineStr">
        <is>
          <t>TRADE</t>
        </is>
      </c>
      <c r="P141" t="inlineStr">
        <is>
          <t>CALL SHEET · row 141</t>
        </is>
      </c>
      <c r="Q141">
        <f>E141+ROW()*0.000000001</f>
        <v/>
      </c>
    </row>
    <row r="142">
      <c r="A142">
        <f>IF('CALL SHEET'!$A$142="","",'CALL SHEET'!$A$142)</f>
        <v/>
      </c>
      <c r="B142">
        <f>IF('CALL SHEET'!$C$142="","",'CALL SHEET'!$C$142)</f>
        <v/>
      </c>
      <c r="C142">
        <f>'CALL SHEET'!$U$142</f>
        <v/>
      </c>
      <c r="D142">
        <f>'CALL SHEET'!$AB$142</f>
        <v/>
      </c>
      <c r="E142">
        <f>'CALL SHEET'!$AF$142</f>
        <v/>
      </c>
      <c r="F142">
        <f>IF('CALL SHEET'!$V$142="","",'CALL SHEET'!$V$142)</f>
        <v/>
      </c>
      <c r="G142">
        <f>IF('CALL SHEET'!$D$142="","",'CALL SHEET'!$D$142)</f>
        <v/>
      </c>
      <c r="H142">
        <f>IF('CALL SHEET'!$G$142="","",'CALL SHEET'!$G$142)</f>
        <v/>
      </c>
      <c r="I142">
        <f>IF('CALL SHEET'!$AY$142="","",'CALL SHEET'!$AY$142)</f>
        <v/>
      </c>
      <c r="J142">
        <f>IF('CALL SHEET'!$BC$142="","",'CALL SHEET'!$BC$142)</f>
        <v/>
      </c>
      <c r="K142">
        <f>IF('CALL SHEET'!$N$142="","",'CALL SHEET'!$N$142)</f>
        <v/>
      </c>
      <c r="L142">
        <f>IF('CALL SHEET'!$AH$142="","",'CALL SHEET'!$AH$142)</f>
        <v/>
      </c>
      <c r="M142">
        <f>IF('CALL SHEET'!$AO$142="","",'CALL SHEET'!$AO$142)</f>
        <v/>
      </c>
      <c r="N142">
        <f>IF('CALL SHEET'!$BF$142="","",'CALL SHEET'!$BF$142)</f>
        <v/>
      </c>
      <c r="O142" t="inlineStr">
        <is>
          <t>TRADE</t>
        </is>
      </c>
      <c r="P142" t="inlineStr">
        <is>
          <t>CALL SHEET · row 142</t>
        </is>
      </c>
      <c r="Q142">
        <f>E142+ROW()*0.000000001</f>
        <v/>
      </c>
    </row>
    <row r="143">
      <c r="A143">
        <f>IF('CALL SHEET'!$A$143="","",'CALL SHEET'!$A$143)</f>
        <v/>
      </c>
      <c r="B143">
        <f>IF('CALL SHEET'!$C$143="","",'CALL SHEET'!$C$143)</f>
        <v/>
      </c>
      <c r="C143">
        <f>'CALL SHEET'!$U$143</f>
        <v/>
      </c>
      <c r="D143">
        <f>'CALL SHEET'!$AB$143</f>
        <v/>
      </c>
      <c r="E143">
        <f>'CALL SHEET'!$AF$143</f>
        <v/>
      </c>
      <c r="F143">
        <f>IF('CALL SHEET'!$V$143="","",'CALL SHEET'!$V$143)</f>
        <v/>
      </c>
      <c r="G143">
        <f>IF('CALL SHEET'!$D$143="","",'CALL SHEET'!$D$143)</f>
        <v/>
      </c>
      <c r="H143">
        <f>IF('CALL SHEET'!$G$143="","",'CALL SHEET'!$G$143)</f>
        <v/>
      </c>
      <c r="I143">
        <f>IF('CALL SHEET'!$AY$143="","",'CALL SHEET'!$AY$143)</f>
        <v/>
      </c>
      <c r="J143">
        <f>IF('CALL SHEET'!$BC$143="","",'CALL SHEET'!$BC$143)</f>
        <v/>
      </c>
      <c r="K143">
        <f>IF('CALL SHEET'!$N$143="","",'CALL SHEET'!$N$143)</f>
        <v/>
      </c>
      <c r="L143">
        <f>IF('CALL SHEET'!$AH$143="","",'CALL SHEET'!$AH$143)</f>
        <v/>
      </c>
      <c r="M143">
        <f>IF('CALL SHEET'!$AO$143="","",'CALL SHEET'!$AO$143)</f>
        <v/>
      </c>
      <c r="N143">
        <f>IF('CALL SHEET'!$BF$143="","",'CALL SHEET'!$BF$143)</f>
        <v/>
      </c>
      <c r="O143" t="inlineStr">
        <is>
          <t>TRADE</t>
        </is>
      </c>
      <c r="P143" t="inlineStr">
        <is>
          <t>CALL SHEET · row 143</t>
        </is>
      </c>
      <c r="Q143">
        <f>E143+ROW()*0.000000001</f>
        <v/>
      </c>
    </row>
    <row r="144">
      <c r="A144">
        <f>IF('CALL SHEET'!$A$144="","",'CALL SHEET'!$A$144)</f>
        <v/>
      </c>
      <c r="B144">
        <f>IF('CALL SHEET'!$C$144="","",'CALL SHEET'!$C$144)</f>
        <v/>
      </c>
      <c r="C144">
        <f>'CALL SHEET'!$U$144</f>
        <v/>
      </c>
      <c r="D144">
        <f>'CALL SHEET'!$AB$144</f>
        <v/>
      </c>
      <c r="E144">
        <f>'CALL SHEET'!$AF$144</f>
        <v/>
      </c>
      <c r="F144">
        <f>IF('CALL SHEET'!$V$144="","",'CALL SHEET'!$V$144)</f>
        <v/>
      </c>
      <c r="G144">
        <f>IF('CALL SHEET'!$D$144="","",'CALL SHEET'!$D$144)</f>
        <v/>
      </c>
      <c r="H144">
        <f>IF('CALL SHEET'!$G$144="","",'CALL SHEET'!$G$144)</f>
        <v/>
      </c>
      <c r="I144">
        <f>IF('CALL SHEET'!$AY$144="","",'CALL SHEET'!$AY$144)</f>
        <v/>
      </c>
      <c r="J144">
        <f>IF('CALL SHEET'!$BC$144="","",'CALL SHEET'!$BC$144)</f>
        <v/>
      </c>
      <c r="K144">
        <f>IF('CALL SHEET'!$N$144="","",'CALL SHEET'!$N$144)</f>
        <v/>
      </c>
      <c r="L144">
        <f>IF('CALL SHEET'!$AH$144="","",'CALL SHEET'!$AH$144)</f>
        <v/>
      </c>
      <c r="M144">
        <f>IF('CALL SHEET'!$AO$144="","",'CALL SHEET'!$AO$144)</f>
        <v/>
      </c>
      <c r="N144">
        <f>IF('CALL SHEET'!$BF$144="","",'CALL SHEET'!$BF$144)</f>
        <v/>
      </c>
      <c r="O144" t="inlineStr">
        <is>
          <t>TRADE</t>
        </is>
      </c>
      <c r="P144" t="inlineStr">
        <is>
          <t>CALL SHEET · row 144</t>
        </is>
      </c>
      <c r="Q144">
        <f>E144+ROW()*0.000000001</f>
        <v/>
      </c>
    </row>
    <row r="145">
      <c r="A145">
        <f>IF('CALL SHEET'!$A$145="","",'CALL SHEET'!$A$145)</f>
        <v/>
      </c>
      <c r="B145">
        <f>IF('CALL SHEET'!$C$145="","",'CALL SHEET'!$C$145)</f>
        <v/>
      </c>
      <c r="C145">
        <f>'CALL SHEET'!$U$145</f>
        <v/>
      </c>
      <c r="D145">
        <f>'CALL SHEET'!$AB$145</f>
        <v/>
      </c>
      <c r="E145">
        <f>'CALL SHEET'!$AF$145</f>
        <v/>
      </c>
      <c r="F145">
        <f>IF('CALL SHEET'!$V$145="","",'CALL SHEET'!$V$145)</f>
        <v/>
      </c>
      <c r="G145">
        <f>IF('CALL SHEET'!$D$145="","",'CALL SHEET'!$D$145)</f>
        <v/>
      </c>
      <c r="H145">
        <f>IF('CALL SHEET'!$G$145="","",'CALL SHEET'!$G$145)</f>
        <v/>
      </c>
      <c r="I145">
        <f>IF('CALL SHEET'!$AY$145="","",'CALL SHEET'!$AY$145)</f>
        <v/>
      </c>
      <c r="J145">
        <f>IF('CALL SHEET'!$BC$145="","",'CALL SHEET'!$BC$145)</f>
        <v/>
      </c>
      <c r="K145">
        <f>IF('CALL SHEET'!$N$145="","",'CALL SHEET'!$N$145)</f>
        <v/>
      </c>
      <c r="L145">
        <f>IF('CALL SHEET'!$AH$145="","",'CALL SHEET'!$AH$145)</f>
        <v/>
      </c>
      <c r="M145">
        <f>IF('CALL SHEET'!$AO$145="","",'CALL SHEET'!$AO$145)</f>
        <v/>
      </c>
      <c r="N145">
        <f>IF('CALL SHEET'!$BF$145="","",'CALL SHEET'!$BF$145)</f>
        <v/>
      </c>
      <c r="O145" t="inlineStr">
        <is>
          <t>TRADE</t>
        </is>
      </c>
      <c r="P145" t="inlineStr">
        <is>
          <t>CALL SHEET · row 145</t>
        </is>
      </c>
      <c r="Q145">
        <f>E145+ROW()*0.000000001</f>
        <v/>
      </c>
    </row>
    <row r="146">
      <c r="A146">
        <f>IF('CALL SHEET'!$A$146="","",'CALL SHEET'!$A$146)</f>
        <v/>
      </c>
      <c r="B146">
        <f>IF('CALL SHEET'!$C$146="","",'CALL SHEET'!$C$146)</f>
        <v/>
      </c>
      <c r="C146">
        <f>'CALL SHEET'!$U$146</f>
        <v/>
      </c>
      <c r="D146">
        <f>'CALL SHEET'!$AB$146</f>
        <v/>
      </c>
      <c r="E146">
        <f>'CALL SHEET'!$AF$146</f>
        <v/>
      </c>
      <c r="F146">
        <f>IF('CALL SHEET'!$V$146="","",'CALL SHEET'!$V$146)</f>
        <v/>
      </c>
      <c r="G146">
        <f>IF('CALL SHEET'!$D$146="","",'CALL SHEET'!$D$146)</f>
        <v/>
      </c>
      <c r="H146">
        <f>IF('CALL SHEET'!$G$146="","",'CALL SHEET'!$G$146)</f>
        <v/>
      </c>
      <c r="I146">
        <f>IF('CALL SHEET'!$AY$146="","",'CALL SHEET'!$AY$146)</f>
        <v/>
      </c>
      <c r="J146">
        <f>IF('CALL SHEET'!$BC$146="","",'CALL SHEET'!$BC$146)</f>
        <v/>
      </c>
      <c r="K146">
        <f>IF('CALL SHEET'!$N$146="","",'CALL SHEET'!$N$146)</f>
        <v/>
      </c>
      <c r="L146">
        <f>IF('CALL SHEET'!$AH$146="","",'CALL SHEET'!$AH$146)</f>
        <v/>
      </c>
      <c r="M146">
        <f>IF('CALL SHEET'!$AO$146="","",'CALL SHEET'!$AO$146)</f>
        <v/>
      </c>
      <c r="N146">
        <f>IF('CALL SHEET'!$BF$146="","",'CALL SHEET'!$BF$146)</f>
        <v/>
      </c>
      <c r="O146" t="inlineStr">
        <is>
          <t>TRADE</t>
        </is>
      </c>
      <c r="P146" t="inlineStr">
        <is>
          <t>CALL SHEET · row 146</t>
        </is>
      </c>
      <c r="Q146">
        <f>E146+ROW()*0.000000001</f>
        <v/>
      </c>
    </row>
    <row r="147">
      <c r="A147">
        <f>IF('CALL SHEET'!$A$147="","",'CALL SHEET'!$A$147)</f>
        <v/>
      </c>
      <c r="B147">
        <f>IF('CALL SHEET'!$C$147="","",'CALL SHEET'!$C$147)</f>
        <v/>
      </c>
      <c r="C147">
        <f>'CALL SHEET'!$U$147</f>
        <v/>
      </c>
      <c r="D147">
        <f>'CALL SHEET'!$AB$147</f>
        <v/>
      </c>
      <c r="E147">
        <f>'CALL SHEET'!$AF$147</f>
        <v/>
      </c>
      <c r="F147">
        <f>IF('CALL SHEET'!$V$147="","",'CALL SHEET'!$V$147)</f>
        <v/>
      </c>
      <c r="G147">
        <f>IF('CALL SHEET'!$D$147="","",'CALL SHEET'!$D$147)</f>
        <v/>
      </c>
      <c r="H147">
        <f>IF('CALL SHEET'!$G$147="","",'CALL SHEET'!$G$147)</f>
        <v/>
      </c>
      <c r="I147">
        <f>IF('CALL SHEET'!$AY$147="","",'CALL SHEET'!$AY$147)</f>
        <v/>
      </c>
      <c r="J147">
        <f>IF('CALL SHEET'!$BC$147="","",'CALL SHEET'!$BC$147)</f>
        <v/>
      </c>
      <c r="K147">
        <f>IF('CALL SHEET'!$N$147="","",'CALL SHEET'!$N$147)</f>
        <v/>
      </c>
      <c r="L147">
        <f>IF('CALL SHEET'!$AH$147="","",'CALL SHEET'!$AH$147)</f>
        <v/>
      </c>
      <c r="M147">
        <f>IF('CALL SHEET'!$AO$147="","",'CALL SHEET'!$AO$147)</f>
        <v/>
      </c>
      <c r="N147">
        <f>IF('CALL SHEET'!$BF$147="","",'CALL SHEET'!$BF$147)</f>
        <v/>
      </c>
      <c r="O147" t="inlineStr">
        <is>
          <t>TRADE</t>
        </is>
      </c>
      <c r="P147" t="inlineStr">
        <is>
          <t>CALL SHEET · row 147</t>
        </is>
      </c>
      <c r="Q147">
        <f>E147+ROW()*0.000000001</f>
        <v/>
      </c>
    </row>
    <row r="148">
      <c r="A148">
        <f>IF('CALL SHEET'!$A$148="","",'CALL SHEET'!$A$148)</f>
        <v/>
      </c>
      <c r="B148">
        <f>IF('CALL SHEET'!$C$148="","",'CALL SHEET'!$C$148)</f>
        <v/>
      </c>
      <c r="C148">
        <f>'CALL SHEET'!$U$148</f>
        <v/>
      </c>
      <c r="D148">
        <f>'CALL SHEET'!$AB$148</f>
        <v/>
      </c>
      <c r="E148">
        <f>'CALL SHEET'!$AF$148</f>
        <v/>
      </c>
      <c r="F148">
        <f>IF('CALL SHEET'!$V$148="","",'CALL SHEET'!$V$148)</f>
        <v/>
      </c>
      <c r="G148">
        <f>IF('CALL SHEET'!$D$148="","",'CALL SHEET'!$D$148)</f>
        <v/>
      </c>
      <c r="H148">
        <f>IF('CALL SHEET'!$G$148="","",'CALL SHEET'!$G$148)</f>
        <v/>
      </c>
      <c r="I148">
        <f>IF('CALL SHEET'!$AY$148="","",'CALL SHEET'!$AY$148)</f>
        <v/>
      </c>
      <c r="J148">
        <f>IF('CALL SHEET'!$BC$148="","",'CALL SHEET'!$BC$148)</f>
        <v/>
      </c>
      <c r="K148">
        <f>IF('CALL SHEET'!$N$148="","",'CALL SHEET'!$N$148)</f>
        <v/>
      </c>
      <c r="L148">
        <f>IF('CALL SHEET'!$AH$148="","",'CALL SHEET'!$AH$148)</f>
        <v/>
      </c>
      <c r="M148">
        <f>IF('CALL SHEET'!$AO$148="","",'CALL SHEET'!$AO$148)</f>
        <v/>
      </c>
      <c r="N148">
        <f>IF('CALL SHEET'!$BF$148="","",'CALL SHEET'!$BF$148)</f>
        <v/>
      </c>
      <c r="O148" t="inlineStr">
        <is>
          <t>TRADE</t>
        </is>
      </c>
      <c r="P148" t="inlineStr">
        <is>
          <t>CALL SHEET · row 148</t>
        </is>
      </c>
      <c r="Q148">
        <f>E148+ROW()*0.000000001</f>
        <v/>
      </c>
    </row>
    <row r="149">
      <c r="A149">
        <f>IF('CALL SHEET'!$A$149="","",'CALL SHEET'!$A$149)</f>
        <v/>
      </c>
      <c r="B149">
        <f>IF('CALL SHEET'!$C$149="","",'CALL SHEET'!$C$149)</f>
        <v/>
      </c>
      <c r="C149">
        <f>'CALL SHEET'!$U$149</f>
        <v/>
      </c>
      <c r="D149">
        <f>'CALL SHEET'!$AB$149</f>
        <v/>
      </c>
      <c r="E149">
        <f>'CALL SHEET'!$AF$149</f>
        <v/>
      </c>
      <c r="F149">
        <f>IF('CALL SHEET'!$V$149="","",'CALL SHEET'!$V$149)</f>
        <v/>
      </c>
      <c r="G149">
        <f>IF('CALL SHEET'!$D$149="","",'CALL SHEET'!$D$149)</f>
        <v/>
      </c>
      <c r="H149">
        <f>IF('CALL SHEET'!$G$149="","",'CALL SHEET'!$G$149)</f>
        <v/>
      </c>
      <c r="I149">
        <f>IF('CALL SHEET'!$AY$149="","",'CALL SHEET'!$AY$149)</f>
        <v/>
      </c>
      <c r="J149">
        <f>IF('CALL SHEET'!$BC$149="","",'CALL SHEET'!$BC$149)</f>
        <v/>
      </c>
      <c r="K149">
        <f>IF('CALL SHEET'!$N$149="","",'CALL SHEET'!$N$149)</f>
        <v/>
      </c>
      <c r="L149">
        <f>IF('CALL SHEET'!$AH$149="","",'CALL SHEET'!$AH$149)</f>
        <v/>
      </c>
      <c r="M149">
        <f>IF('CALL SHEET'!$AO$149="","",'CALL SHEET'!$AO$149)</f>
        <v/>
      </c>
      <c r="N149">
        <f>IF('CALL SHEET'!$BF$149="","",'CALL SHEET'!$BF$149)</f>
        <v/>
      </c>
      <c r="O149" t="inlineStr">
        <is>
          <t>TRADE</t>
        </is>
      </c>
      <c r="P149" t="inlineStr">
        <is>
          <t>CALL SHEET · row 149</t>
        </is>
      </c>
      <c r="Q149">
        <f>E149+ROW()*0.000000001</f>
        <v/>
      </c>
    </row>
    <row r="150">
      <c r="A150">
        <f>IF('CALL SHEET'!$A$150="","",'CALL SHEET'!$A$150)</f>
        <v/>
      </c>
      <c r="B150">
        <f>IF('CALL SHEET'!$C$150="","",'CALL SHEET'!$C$150)</f>
        <v/>
      </c>
      <c r="C150">
        <f>'CALL SHEET'!$U$150</f>
        <v/>
      </c>
      <c r="D150">
        <f>'CALL SHEET'!$AB$150</f>
        <v/>
      </c>
      <c r="E150">
        <f>'CALL SHEET'!$AF$150</f>
        <v/>
      </c>
      <c r="F150">
        <f>IF('CALL SHEET'!$V$150="","",'CALL SHEET'!$V$150)</f>
        <v/>
      </c>
      <c r="G150">
        <f>IF('CALL SHEET'!$D$150="","",'CALL SHEET'!$D$150)</f>
        <v/>
      </c>
      <c r="H150">
        <f>IF('CALL SHEET'!$G$150="","",'CALL SHEET'!$G$150)</f>
        <v/>
      </c>
      <c r="I150">
        <f>IF('CALL SHEET'!$AY$150="","",'CALL SHEET'!$AY$150)</f>
        <v/>
      </c>
      <c r="J150">
        <f>IF('CALL SHEET'!$BC$150="","",'CALL SHEET'!$BC$150)</f>
        <v/>
      </c>
      <c r="K150">
        <f>IF('CALL SHEET'!$N$150="","",'CALL SHEET'!$N$150)</f>
        <v/>
      </c>
      <c r="L150">
        <f>IF('CALL SHEET'!$AH$150="","",'CALL SHEET'!$AH$150)</f>
        <v/>
      </c>
      <c r="M150">
        <f>IF('CALL SHEET'!$AO$150="","",'CALL SHEET'!$AO$150)</f>
        <v/>
      </c>
      <c r="N150">
        <f>IF('CALL SHEET'!$BF$150="","",'CALL SHEET'!$BF$150)</f>
        <v/>
      </c>
      <c r="O150" t="inlineStr">
        <is>
          <t>TRADE</t>
        </is>
      </c>
      <c r="P150" t="inlineStr">
        <is>
          <t>CALL SHEET · row 150</t>
        </is>
      </c>
      <c r="Q150">
        <f>E150+ROW()*0.000000001</f>
        <v/>
      </c>
    </row>
    <row r="151">
      <c r="A151">
        <f>IF('CALL SHEET'!$A$151="","",'CALL SHEET'!$A$151)</f>
        <v/>
      </c>
      <c r="B151">
        <f>IF('CALL SHEET'!$C$151="","",'CALL SHEET'!$C$151)</f>
        <v/>
      </c>
      <c r="C151">
        <f>'CALL SHEET'!$U$151</f>
        <v/>
      </c>
      <c r="D151">
        <f>'CALL SHEET'!$AB$151</f>
        <v/>
      </c>
      <c r="E151">
        <f>'CALL SHEET'!$AF$151</f>
        <v/>
      </c>
      <c r="F151">
        <f>IF('CALL SHEET'!$V$151="","",'CALL SHEET'!$V$151)</f>
        <v/>
      </c>
      <c r="G151">
        <f>IF('CALL SHEET'!$D$151="","",'CALL SHEET'!$D$151)</f>
        <v/>
      </c>
      <c r="H151">
        <f>IF('CALL SHEET'!$G$151="","",'CALL SHEET'!$G$151)</f>
        <v/>
      </c>
      <c r="I151">
        <f>IF('CALL SHEET'!$AY$151="","",'CALL SHEET'!$AY$151)</f>
        <v/>
      </c>
      <c r="J151">
        <f>IF('CALL SHEET'!$BC$151="","",'CALL SHEET'!$BC$151)</f>
        <v/>
      </c>
      <c r="K151">
        <f>IF('CALL SHEET'!$N$151="","",'CALL SHEET'!$N$151)</f>
        <v/>
      </c>
      <c r="L151">
        <f>IF('CALL SHEET'!$AH$151="","",'CALL SHEET'!$AH$151)</f>
        <v/>
      </c>
      <c r="M151">
        <f>IF('CALL SHEET'!$AO$151="","",'CALL SHEET'!$AO$151)</f>
        <v/>
      </c>
      <c r="N151">
        <f>IF('CALL SHEET'!$BF$151="","",'CALL SHEET'!$BF$151)</f>
        <v/>
      </c>
      <c r="O151" t="inlineStr">
        <is>
          <t>TRADE</t>
        </is>
      </c>
      <c r="P151" t="inlineStr">
        <is>
          <t>CALL SHEET · row 151</t>
        </is>
      </c>
      <c r="Q151">
        <f>E151+ROW()*0.000000001</f>
        <v/>
      </c>
    </row>
    <row r="152">
      <c r="A152">
        <f>IF('CALL SHEET'!$A$152="","",'CALL SHEET'!$A$152)</f>
        <v/>
      </c>
      <c r="B152">
        <f>IF('CALL SHEET'!$C$152="","",'CALL SHEET'!$C$152)</f>
        <v/>
      </c>
      <c r="C152">
        <f>'CALL SHEET'!$U$152</f>
        <v/>
      </c>
      <c r="D152">
        <f>'CALL SHEET'!$AB$152</f>
        <v/>
      </c>
      <c r="E152">
        <f>'CALL SHEET'!$AF$152</f>
        <v/>
      </c>
      <c r="F152">
        <f>IF('CALL SHEET'!$V$152="","",'CALL SHEET'!$V$152)</f>
        <v/>
      </c>
      <c r="G152">
        <f>IF('CALL SHEET'!$D$152="","",'CALL SHEET'!$D$152)</f>
        <v/>
      </c>
      <c r="H152">
        <f>IF('CALL SHEET'!$G$152="","",'CALL SHEET'!$G$152)</f>
        <v/>
      </c>
      <c r="I152">
        <f>IF('CALL SHEET'!$AY$152="","",'CALL SHEET'!$AY$152)</f>
        <v/>
      </c>
      <c r="J152">
        <f>IF('CALL SHEET'!$BC$152="","",'CALL SHEET'!$BC$152)</f>
        <v/>
      </c>
      <c r="K152">
        <f>IF('CALL SHEET'!$N$152="","",'CALL SHEET'!$N$152)</f>
        <v/>
      </c>
      <c r="L152">
        <f>IF('CALL SHEET'!$AH$152="","",'CALL SHEET'!$AH$152)</f>
        <v/>
      </c>
      <c r="M152">
        <f>IF('CALL SHEET'!$AO$152="","",'CALL SHEET'!$AO$152)</f>
        <v/>
      </c>
      <c r="N152">
        <f>IF('CALL SHEET'!$BF$152="","",'CALL SHEET'!$BF$152)</f>
        <v/>
      </c>
      <c r="O152" t="inlineStr">
        <is>
          <t>TRADE</t>
        </is>
      </c>
      <c r="P152" t="inlineStr">
        <is>
          <t>CALL SHEET · row 152</t>
        </is>
      </c>
      <c r="Q152">
        <f>E152+ROW()*0.000000001</f>
        <v/>
      </c>
    </row>
    <row r="153">
      <c r="A153">
        <f>IF('CALL SHEET'!$A$153="","",'CALL SHEET'!$A$153)</f>
        <v/>
      </c>
      <c r="B153">
        <f>IF('CALL SHEET'!$C$153="","",'CALL SHEET'!$C$153)</f>
        <v/>
      </c>
      <c r="C153">
        <f>'CALL SHEET'!$U$153</f>
        <v/>
      </c>
      <c r="D153">
        <f>'CALL SHEET'!$AB$153</f>
        <v/>
      </c>
      <c r="E153">
        <f>'CALL SHEET'!$AF$153</f>
        <v/>
      </c>
      <c r="F153">
        <f>IF('CALL SHEET'!$V$153="","",'CALL SHEET'!$V$153)</f>
        <v/>
      </c>
      <c r="G153">
        <f>IF('CALL SHEET'!$D$153="","",'CALL SHEET'!$D$153)</f>
        <v/>
      </c>
      <c r="H153">
        <f>IF('CALL SHEET'!$G$153="","",'CALL SHEET'!$G$153)</f>
        <v/>
      </c>
      <c r="I153">
        <f>IF('CALL SHEET'!$AY$153="","",'CALL SHEET'!$AY$153)</f>
        <v/>
      </c>
      <c r="J153">
        <f>IF('CALL SHEET'!$BC$153="","",'CALL SHEET'!$BC$153)</f>
        <v/>
      </c>
      <c r="K153">
        <f>IF('CALL SHEET'!$N$153="","",'CALL SHEET'!$N$153)</f>
        <v/>
      </c>
      <c r="L153">
        <f>IF('CALL SHEET'!$AH$153="","",'CALL SHEET'!$AH$153)</f>
        <v/>
      </c>
      <c r="M153">
        <f>IF('CALL SHEET'!$AO$153="","",'CALL SHEET'!$AO$153)</f>
        <v/>
      </c>
      <c r="N153">
        <f>IF('CALL SHEET'!$BF$153="","",'CALL SHEET'!$BF$153)</f>
        <v/>
      </c>
      <c r="O153" t="inlineStr">
        <is>
          <t>TRADE</t>
        </is>
      </c>
      <c r="P153" t="inlineStr">
        <is>
          <t>CALL SHEET · row 153</t>
        </is>
      </c>
      <c r="Q153">
        <f>E153+ROW()*0.000000001</f>
        <v/>
      </c>
    </row>
    <row r="154">
      <c r="A154">
        <f>IF('CALL SHEET'!$A$154="","",'CALL SHEET'!$A$154)</f>
        <v/>
      </c>
      <c r="B154">
        <f>IF('CALL SHEET'!$C$154="","",'CALL SHEET'!$C$154)</f>
        <v/>
      </c>
      <c r="C154">
        <f>'CALL SHEET'!$U$154</f>
        <v/>
      </c>
      <c r="D154">
        <f>'CALL SHEET'!$AB$154</f>
        <v/>
      </c>
      <c r="E154">
        <f>'CALL SHEET'!$AF$154</f>
        <v/>
      </c>
      <c r="F154">
        <f>IF('CALL SHEET'!$V$154="","",'CALL SHEET'!$V$154)</f>
        <v/>
      </c>
      <c r="G154">
        <f>IF('CALL SHEET'!$D$154="","",'CALL SHEET'!$D$154)</f>
        <v/>
      </c>
      <c r="H154">
        <f>IF('CALL SHEET'!$G$154="","",'CALL SHEET'!$G$154)</f>
        <v/>
      </c>
      <c r="I154">
        <f>IF('CALL SHEET'!$AY$154="","",'CALL SHEET'!$AY$154)</f>
        <v/>
      </c>
      <c r="J154">
        <f>IF('CALL SHEET'!$BC$154="","",'CALL SHEET'!$BC$154)</f>
        <v/>
      </c>
      <c r="K154">
        <f>IF('CALL SHEET'!$N$154="","",'CALL SHEET'!$N$154)</f>
        <v/>
      </c>
      <c r="L154">
        <f>IF('CALL SHEET'!$AH$154="","",'CALL SHEET'!$AH$154)</f>
        <v/>
      </c>
      <c r="M154">
        <f>IF('CALL SHEET'!$AO$154="","",'CALL SHEET'!$AO$154)</f>
        <v/>
      </c>
      <c r="N154">
        <f>IF('CALL SHEET'!$BF$154="","",'CALL SHEET'!$BF$154)</f>
        <v/>
      </c>
      <c r="O154" t="inlineStr">
        <is>
          <t>TRADE</t>
        </is>
      </c>
      <c r="P154" t="inlineStr">
        <is>
          <t>CALL SHEET · row 154</t>
        </is>
      </c>
      <c r="Q154">
        <f>E154+ROW()*0.000000001</f>
        <v/>
      </c>
    </row>
    <row r="155">
      <c r="A155">
        <f>IF('CALL SHEET'!$A$155="","",'CALL SHEET'!$A$155)</f>
        <v/>
      </c>
      <c r="B155">
        <f>IF('CALL SHEET'!$C$155="","",'CALL SHEET'!$C$155)</f>
        <v/>
      </c>
      <c r="C155">
        <f>'CALL SHEET'!$U$155</f>
        <v/>
      </c>
      <c r="D155">
        <f>'CALL SHEET'!$AB$155</f>
        <v/>
      </c>
      <c r="E155">
        <f>'CALL SHEET'!$AF$155</f>
        <v/>
      </c>
      <c r="F155">
        <f>IF('CALL SHEET'!$V$155="","",'CALL SHEET'!$V$155)</f>
        <v/>
      </c>
      <c r="G155">
        <f>IF('CALL SHEET'!$D$155="","",'CALL SHEET'!$D$155)</f>
        <v/>
      </c>
      <c r="H155">
        <f>IF('CALL SHEET'!$G$155="","",'CALL SHEET'!$G$155)</f>
        <v/>
      </c>
      <c r="I155">
        <f>IF('CALL SHEET'!$AY$155="","",'CALL SHEET'!$AY$155)</f>
        <v/>
      </c>
      <c r="J155">
        <f>IF('CALL SHEET'!$BC$155="","",'CALL SHEET'!$BC$155)</f>
        <v/>
      </c>
      <c r="K155">
        <f>IF('CALL SHEET'!$N$155="","",'CALL SHEET'!$N$155)</f>
        <v/>
      </c>
      <c r="L155">
        <f>IF('CALL SHEET'!$AH$155="","",'CALL SHEET'!$AH$155)</f>
        <v/>
      </c>
      <c r="M155">
        <f>IF('CALL SHEET'!$AO$155="","",'CALL SHEET'!$AO$155)</f>
        <v/>
      </c>
      <c r="N155">
        <f>IF('CALL SHEET'!$BF$155="","",'CALL SHEET'!$BF$155)</f>
        <v/>
      </c>
      <c r="O155" t="inlineStr">
        <is>
          <t>TRADE</t>
        </is>
      </c>
      <c r="P155" t="inlineStr">
        <is>
          <t>CALL SHEET · row 155</t>
        </is>
      </c>
      <c r="Q155">
        <f>E155+ROW()*0.000000001</f>
        <v/>
      </c>
    </row>
    <row r="156">
      <c r="A156">
        <f>IF('CALL SHEET'!$A$156="","",'CALL SHEET'!$A$156)</f>
        <v/>
      </c>
      <c r="B156">
        <f>IF('CALL SHEET'!$C$156="","",'CALL SHEET'!$C$156)</f>
        <v/>
      </c>
      <c r="C156">
        <f>'CALL SHEET'!$U$156</f>
        <v/>
      </c>
      <c r="D156">
        <f>'CALL SHEET'!$AB$156</f>
        <v/>
      </c>
      <c r="E156">
        <f>'CALL SHEET'!$AF$156</f>
        <v/>
      </c>
      <c r="F156">
        <f>IF('CALL SHEET'!$V$156="","",'CALL SHEET'!$V$156)</f>
        <v/>
      </c>
      <c r="G156">
        <f>IF('CALL SHEET'!$D$156="","",'CALL SHEET'!$D$156)</f>
        <v/>
      </c>
      <c r="H156">
        <f>IF('CALL SHEET'!$G$156="","",'CALL SHEET'!$G$156)</f>
        <v/>
      </c>
      <c r="I156">
        <f>IF('CALL SHEET'!$AY$156="","",'CALL SHEET'!$AY$156)</f>
        <v/>
      </c>
      <c r="J156">
        <f>IF('CALL SHEET'!$BC$156="","",'CALL SHEET'!$BC$156)</f>
        <v/>
      </c>
      <c r="K156">
        <f>IF('CALL SHEET'!$N$156="","",'CALL SHEET'!$N$156)</f>
        <v/>
      </c>
      <c r="L156">
        <f>IF('CALL SHEET'!$AH$156="","",'CALL SHEET'!$AH$156)</f>
        <v/>
      </c>
      <c r="M156">
        <f>IF('CALL SHEET'!$AO$156="","",'CALL SHEET'!$AO$156)</f>
        <v/>
      </c>
      <c r="N156">
        <f>IF('CALL SHEET'!$BF$156="","",'CALL SHEET'!$BF$156)</f>
        <v/>
      </c>
      <c r="O156" t="inlineStr">
        <is>
          <t>TRADE</t>
        </is>
      </c>
      <c r="P156" t="inlineStr">
        <is>
          <t>CALL SHEET · row 156</t>
        </is>
      </c>
      <c r="Q156">
        <f>E156+ROW()*0.000000001</f>
        <v/>
      </c>
    </row>
    <row r="157">
      <c r="A157">
        <f>IF('CALL SHEET'!$A$157="","",'CALL SHEET'!$A$157)</f>
        <v/>
      </c>
      <c r="B157">
        <f>IF('CALL SHEET'!$C$157="","",'CALL SHEET'!$C$157)</f>
        <v/>
      </c>
      <c r="C157">
        <f>'CALL SHEET'!$U$157</f>
        <v/>
      </c>
      <c r="D157">
        <f>'CALL SHEET'!$AB$157</f>
        <v/>
      </c>
      <c r="E157">
        <f>'CALL SHEET'!$AF$157</f>
        <v/>
      </c>
      <c r="F157">
        <f>IF('CALL SHEET'!$V$157="","",'CALL SHEET'!$V$157)</f>
        <v/>
      </c>
      <c r="G157">
        <f>IF('CALL SHEET'!$D$157="","",'CALL SHEET'!$D$157)</f>
        <v/>
      </c>
      <c r="H157">
        <f>IF('CALL SHEET'!$G$157="","",'CALL SHEET'!$G$157)</f>
        <v/>
      </c>
      <c r="I157">
        <f>IF('CALL SHEET'!$AY$157="","",'CALL SHEET'!$AY$157)</f>
        <v/>
      </c>
      <c r="J157">
        <f>IF('CALL SHEET'!$BC$157="","",'CALL SHEET'!$BC$157)</f>
        <v/>
      </c>
      <c r="K157">
        <f>IF('CALL SHEET'!$N$157="","",'CALL SHEET'!$N$157)</f>
        <v/>
      </c>
      <c r="L157">
        <f>IF('CALL SHEET'!$AH$157="","",'CALL SHEET'!$AH$157)</f>
        <v/>
      </c>
      <c r="M157">
        <f>IF('CALL SHEET'!$AO$157="","",'CALL SHEET'!$AO$157)</f>
        <v/>
      </c>
      <c r="N157">
        <f>IF('CALL SHEET'!$BF$157="","",'CALL SHEET'!$BF$157)</f>
        <v/>
      </c>
      <c r="O157" t="inlineStr">
        <is>
          <t>TRADE</t>
        </is>
      </c>
      <c r="P157" t="inlineStr">
        <is>
          <t>CALL SHEET · row 157</t>
        </is>
      </c>
      <c r="Q157">
        <f>E157+ROW()*0.000000001</f>
        <v/>
      </c>
    </row>
    <row r="158">
      <c r="A158">
        <f>IF('CALL SHEET'!$A$158="","",'CALL SHEET'!$A$158)</f>
        <v/>
      </c>
      <c r="B158">
        <f>IF('CALL SHEET'!$C$158="","",'CALL SHEET'!$C$158)</f>
        <v/>
      </c>
      <c r="C158">
        <f>'CALL SHEET'!$U$158</f>
        <v/>
      </c>
      <c r="D158">
        <f>'CALL SHEET'!$AB$158</f>
        <v/>
      </c>
      <c r="E158">
        <f>'CALL SHEET'!$AF$158</f>
        <v/>
      </c>
      <c r="F158">
        <f>IF('CALL SHEET'!$V$158="","",'CALL SHEET'!$V$158)</f>
        <v/>
      </c>
      <c r="G158">
        <f>IF('CALL SHEET'!$D$158="","",'CALL SHEET'!$D$158)</f>
        <v/>
      </c>
      <c r="H158">
        <f>IF('CALL SHEET'!$G$158="","",'CALL SHEET'!$G$158)</f>
        <v/>
      </c>
      <c r="I158">
        <f>IF('CALL SHEET'!$AY$158="","",'CALL SHEET'!$AY$158)</f>
        <v/>
      </c>
      <c r="J158">
        <f>IF('CALL SHEET'!$BC$158="","",'CALL SHEET'!$BC$158)</f>
        <v/>
      </c>
      <c r="K158">
        <f>IF('CALL SHEET'!$N$158="","",'CALL SHEET'!$N$158)</f>
        <v/>
      </c>
      <c r="L158">
        <f>IF('CALL SHEET'!$AH$158="","",'CALL SHEET'!$AH$158)</f>
        <v/>
      </c>
      <c r="M158">
        <f>IF('CALL SHEET'!$AO$158="","",'CALL SHEET'!$AO$158)</f>
        <v/>
      </c>
      <c r="N158">
        <f>IF('CALL SHEET'!$BF$158="","",'CALL SHEET'!$BF$158)</f>
        <v/>
      </c>
      <c r="O158" t="inlineStr">
        <is>
          <t>TRADE</t>
        </is>
      </c>
      <c r="P158" t="inlineStr">
        <is>
          <t>CALL SHEET · row 158</t>
        </is>
      </c>
      <c r="Q158">
        <f>E158+ROW()*0.000000001</f>
        <v/>
      </c>
    </row>
    <row r="159">
      <c r="A159">
        <f>IF('CALL SHEET'!$A$159="","",'CALL SHEET'!$A$159)</f>
        <v/>
      </c>
      <c r="B159">
        <f>IF('CALL SHEET'!$C$159="","",'CALL SHEET'!$C$159)</f>
        <v/>
      </c>
      <c r="C159">
        <f>'CALL SHEET'!$U$159</f>
        <v/>
      </c>
      <c r="D159">
        <f>'CALL SHEET'!$AB$159</f>
        <v/>
      </c>
      <c r="E159">
        <f>'CALL SHEET'!$AF$159</f>
        <v/>
      </c>
      <c r="F159">
        <f>IF('CALL SHEET'!$V$159="","",'CALL SHEET'!$V$159)</f>
        <v/>
      </c>
      <c r="G159">
        <f>IF('CALL SHEET'!$D$159="","",'CALL SHEET'!$D$159)</f>
        <v/>
      </c>
      <c r="H159">
        <f>IF('CALL SHEET'!$G$159="","",'CALL SHEET'!$G$159)</f>
        <v/>
      </c>
      <c r="I159">
        <f>IF('CALL SHEET'!$AY$159="","",'CALL SHEET'!$AY$159)</f>
        <v/>
      </c>
      <c r="J159">
        <f>IF('CALL SHEET'!$BC$159="","",'CALL SHEET'!$BC$159)</f>
        <v/>
      </c>
      <c r="K159">
        <f>IF('CALL SHEET'!$N$159="","",'CALL SHEET'!$N$159)</f>
        <v/>
      </c>
      <c r="L159">
        <f>IF('CALL SHEET'!$AH$159="","",'CALL SHEET'!$AH$159)</f>
        <v/>
      </c>
      <c r="M159">
        <f>IF('CALL SHEET'!$AO$159="","",'CALL SHEET'!$AO$159)</f>
        <v/>
      </c>
      <c r="N159">
        <f>IF('CALL SHEET'!$BF$159="","",'CALL SHEET'!$BF$159)</f>
        <v/>
      </c>
      <c r="O159" t="inlineStr">
        <is>
          <t>TRADE</t>
        </is>
      </c>
      <c r="P159" t="inlineStr">
        <is>
          <t>CALL SHEET · row 159</t>
        </is>
      </c>
      <c r="Q159">
        <f>E159+ROW()*0.000000001</f>
        <v/>
      </c>
    </row>
    <row r="160">
      <c r="A160">
        <f>IF('CALL SHEET'!$A$160="","",'CALL SHEET'!$A$160)</f>
        <v/>
      </c>
      <c r="B160">
        <f>IF('CALL SHEET'!$C$160="","",'CALL SHEET'!$C$160)</f>
        <v/>
      </c>
      <c r="C160">
        <f>'CALL SHEET'!$U$160</f>
        <v/>
      </c>
      <c r="D160">
        <f>'CALL SHEET'!$AB$160</f>
        <v/>
      </c>
      <c r="E160">
        <f>'CALL SHEET'!$AF$160</f>
        <v/>
      </c>
      <c r="F160">
        <f>IF('CALL SHEET'!$V$160="","",'CALL SHEET'!$V$160)</f>
        <v/>
      </c>
      <c r="G160">
        <f>IF('CALL SHEET'!$D$160="","",'CALL SHEET'!$D$160)</f>
        <v/>
      </c>
      <c r="H160">
        <f>IF('CALL SHEET'!$G$160="","",'CALL SHEET'!$G$160)</f>
        <v/>
      </c>
      <c r="I160">
        <f>IF('CALL SHEET'!$AY$160="","",'CALL SHEET'!$AY$160)</f>
        <v/>
      </c>
      <c r="J160">
        <f>IF('CALL SHEET'!$BC$160="","",'CALL SHEET'!$BC$160)</f>
        <v/>
      </c>
      <c r="K160">
        <f>IF('CALL SHEET'!$N$160="","",'CALL SHEET'!$N$160)</f>
        <v/>
      </c>
      <c r="L160">
        <f>IF('CALL SHEET'!$AH$160="","",'CALL SHEET'!$AH$160)</f>
        <v/>
      </c>
      <c r="M160">
        <f>IF('CALL SHEET'!$AO$160="","",'CALL SHEET'!$AO$160)</f>
        <v/>
      </c>
      <c r="N160">
        <f>IF('CALL SHEET'!$BF$160="","",'CALL SHEET'!$BF$160)</f>
        <v/>
      </c>
      <c r="O160" t="inlineStr">
        <is>
          <t>TRADE</t>
        </is>
      </c>
      <c r="P160" t="inlineStr">
        <is>
          <t>CALL SHEET · row 160</t>
        </is>
      </c>
      <c r="Q160">
        <f>E160+ROW()*0.000000001</f>
        <v/>
      </c>
    </row>
    <row r="161">
      <c r="A161">
        <f>IF('CALL SHEET'!$A$161="","",'CALL SHEET'!$A$161)</f>
        <v/>
      </c>
      <c r="B161">
        <f>IF('CALL SHEET'!$C$161="","",'CALL SHEET'!$C$161)</f>
        <v/>
      </c>
      <c r="C161">
        <f>'CALL SHEET'!$U$161</f>
        <v/>
      </c>
      <c r="D161">
        <f>'CALL SHEET'!$AB$161</f>
        <v/>
      </c>
      <c r="E161">
        <f>'CALL SHEET'!$AF$161</f>
        <v/>
      </c>
      <c r="F161">
        <f>IF('CALL SHEET'!$V$161="","",'CALL SHEET'!$V$161)</f>
        <v/>
      </c>
      <c r="G161">
        <f>IF('CALL SHEET'!$D$161="","",'CALL SHEET'!$D$161)</f>
        <v/>
      </c>
      <c r="H161">
        <f>IF('CALL SHEET'!$G$161="","",'CALL SHEET'!$G$161)</f>
        <v/>
      </c>
      <c r="I161">
        <f>IF('CALL SHEET'!$AY$161="","",'CALL SHEET'!$AY$161)</f>
        <v/>
      </c>
      <c r="J161">
        <f>IF('CALL SHEET'!$BC$161="","",'CALL SHEET'!$BC$161)</f>
        <v/>
      </c>
      <c r="K161">
        <f>IF('CALL SHEET'!$N$161="","",'CALL SHEET'!$N$161)</f>
        <v/>
      </c>
      <c r="L161">
        <f>IF('CALL SHEET'!$AH$161="","",'CALL SHEET'!$AH$161)</f>
        <v/>
      </c>
      <c r="M161">
        <f>IF('CALL SHEET'!$AO$161="","",'CALL SHEET'!$AO$161)</f>
        <v/>
      </c>
      <c r="N161">
        <f>IF('CALL SHEET'!$BF$161="","",'CALL SHEET'!$BF$161)</f>
        <v/>
      </c>
      <c r="O161" t="inlineStr">
        <is>
          <t>TRADE</t>
        </is>
      </c>
      <c r="P161" t="inlineStr">
        <is>
          <t>CALL SHEET · row 161</t>
        </is>
      </c>
      <c r="Q161">
        <f>E161+ROW()*0.000000001</f>
        <v/>
      </c>
    </row>
    <row r="162">
      <c r="A162">
        <f>IF('CALL SHEET'!$A$162="","",'CALL SHEET'!$A$162)</f>
        <v/>
      </c>
      <c r="B162">
        <f>IF('CALL SHEET'!$C$162="","",'CALL SHEET'!$C$162)</f>
        <v/>
      </c>
      <c r="C162">
        <f>'CALL SHEET'!$U$162</f>
        <v/>
      </c>
      <c r="D162">
        <f>'CALL SHEET'!$AB$162</f>
        <v/>
      </c>
      <c r="E162">
        <f>'CALL SHEET'!$AF$162</f>
        <v/>
      </c>
      <c r="F162">
        <f>IF('CALL SHEET'!$V$162="","",'CALL SHEET'!$V$162)</f>
        <v/>
      </c>
      <c r="G162">
        <f>IF('CALL SHEET'!$D$162="","",'CALL SHEET'!$D$162)</f>
        <v/>
      </c>
      <c r="H162">
        <f>IF('CALL SHEET'!$G$162="","",'CALL SHEET'!$G$162)</f>
        <v/>
      </c>
      <c r="I162">
        <f>IF('CALL SHEET'!$AY$162="","",'CALL SHEET'!$AY$162)</f>
        <v/>
      </c>
      <c r="J162">
        <f>IF('CALL SHEET'!$BC$162="","",'CALL SHEET'!$BC$162)</f>
        <v/>
      </c>
      <c r="K162">
        <f>IF('CALL SHEET'!$N$162="","",'CALL SHEET'!$N$162)</f>
        <v/>
      </c>
      <c r="L162">
        <f>IF('CALL SHEET'!$AH$162="","",'CALL SHEET'!$AH$162)</f>
        <v/>
      </c>
      <c r="M162">
        <f>IF('CALL SHEET'!$AO$162="","",'CALL SHEET'!$AO$162)</f>
        <v/>
      </c>
      <c r="N162">
        <f>IF('CALL SHEET'!$BF$162="","",'CALL SHEET'!$BF$162)</f>
        <v/>
      </c>
      <c r="O162" t="inlineStr">
        <is>
          <t>TRADE</t>
        </is>
      </c>
      <c r="P162" t="inlineStr">
        <is>
          <t>CALL SHEET · row 162</t>
        </is>
      </c>
      <c r="Q162">
        <f>E162+ROW()*0.000000001</f>
        <v/>
      </c>
    </row>
    <row r="163">
      <c r="A163">
        <f>IF('CALL SHEET'!$A$163="","",'CALL SHEET'!$A$163)</f>
        <v/>
      </c>
      <c r="B163">
        <f>IF('CALL SHEET'!$C$163="","",'CALL SHEET'!$C$163)</f>
        <v/>
      </c>
      <c r="C163">
        <f>'CALL SHEET'!$U$163</f>
        <v/>
      </c>
      <c r="D163">
        <f>'CALL SHEET'!$AB$163</f>
        <v/>
      </c>
      <c r="E163">
        <f>'CALL SHEET'!$AF$163</f>
        <v/>
      </c>
      <c r="F163">
        <f>IF('CALL SHEET'!$V$163="","",'CALL SHEET'!$V$163)</f>
        <v/>
      </c>
      <c r="G163">
        <f>IF('CALL SHEET'!$D$163="","",'CALL SHEET'!$D$163)</f>
        <v/>
      </c>
      <c r="H163">
        <f>IF('CALL SHEET'!$G$163="","",'CALL SHEET'!$G$163)</f>
        <v/>
      </c>
      <c r="I163">
        <f>IF('CALL SHEET'!$AY$163="","",'CALL SHEET'!$AY$163)</f>
        <v/>
      </c>
      <c r="J163">
        <f>IF('CALL SHEET'!$BC$163="","",'CALL SHEET'!$BC$163)</f>
        <v/>
      </c>
      <c r="K163">
        <f>IF('CALL SHEET'!$N$163="","",'CALL SHEET'!$N$163)</f>
        <v/>
      </c>
      <c r="L163">
        <f>IF('CALL SHEET'!$AH$163="","",'CALL SHEET'!$AH$163)</f>
        <v/>
      </c>
      <c r="M163">
        <f>IF('CALL SHEET'!$AO$163="","",'CALL SHEET'!$AO$163)</f>
        <v/>
      </c>
      <c r="N163">
        <f>IF('CALL SHEET'!$BF$163="","",'CALL SHEET'!$BF$163)</f>
        <v/>
      </c>
      <c r="O163" t="inlineStr">
        <is>
          <t>TRADE</t>
        </is>
      </c>
      <c r="P163" t="inlineStr">
        <is>
          <t>CALL SHEET · row 163</t>
        </is>
      </c>
      <c r="Q163">
        <f>E163+ROW()*0.000000001</f>
        <v/>
      </c>
    </row>
    <row r="164">
      <c r="A164">
        <f>IF('CALL SHEET'!$A$164="","",'CALL SHEET'!$A$164)</f>
        <v/>
      </c>
      <c r="B164">
        <f>IF('CALL SHEET'!$C$164="","",'CALL SHEET'!$C$164)</f>
        <v/>
      </c>
      <c r="C164">
        <f>'CALL SHEET'!$U$164</f>
        <v/>
      </c>
      <c r="D164">
        <f>'CALL SHEET'!$AB$164</f>
        <v/>
      </c>
      <c r="E164">
        <f>'CALL SHEET'!$AF$164</f>
        <v/>
      </c>
      <c r="F164">
        <f>IF('CALL SHEET'!$V$164="","",'CALL SHEET'!$V$164)</f>
        <v/>
      </c>
      <c r="G164">
        <f>IF('CALL SHEET'!$D$164="","",'CALL SHEET'!$D$164)</f>
        <v/>
      </c>
      <c r="H164">
        <f>IF('CALL SHEET'!$G$164="","",'CALL SHEET'!$G$164)</f>
        <v/>
      </c>
      <c r="I164">
        <f>IF('CALL SHEET'!$AY$164="","",'CALL SHEET'!$AY$164)</f>
        <v/>
      </c>
      <c r="J164">
        <f>IF('CALL SHEET'!$BC$164="","",'CALL SHEET'!$BC$164)</f>
        <v/>
      </c>
      <c r="K164">
        <f>IF('CALL SHEET'!$N$164="","",'CALL SHEET'!$N$164)</f>
        <v/>
      </c>
      <c r="L164">
        <f>IF('CALL SHEET'!$AH$164="","",'CALL SHEET'!$AH$164)</f>
        <v/>
      </c>
      <c r="M164">
        <f>IF('CALL SHEET'!$AO$164="","",'CALL SHEET'!$AO$164)</f>
        <v/>
      </c>
      <c r="N164">
        <f>IF('CALL SHEET'!$BF$164="","",'CALL SHEET'!$BF$164)</f>
        <v/>
      </c>
      <c r="O164" t="inlineStr">
        <is>
          <t>TRADE</t>
        </is>
      </c>
      <c r="P164" t="inlineStr">
        <is>
          <t>CALL SHEET · row 164</t>
        </is>
      </c>
      <c r="Q164">
        <f>E164+ROW()*0.000000001</f>
        <v/>
      </c>
    </row>
    <row r="165">
      <c r="A165">
        <f>IF('CALL SHEET'!$A$165="","",'CALL SHEET'!$A$165)</f>
        <v/>
      </c>
      <c r="B165">
        <f>IF('CALL SHEET'!$C$165="","",'CALL SHEET'!$C$165)</f>
        <v/>
      </c>
      <c r="C165">
        <f>'CALL SHEET'!$U$165</f>
        <v/>
      </c>
      <c r="D165">
        <f>'CALL SHEET'!$AB$165</f>
        <v/>
      </c>
      <c r="E165">
        <f>'CALL SHEET'!$AF$165</f>
        <v/>
      </c>
      <c r="F165">
        <f>IF('CALL SHEET'!$V$165="","",'CALL SHEET'!$V$165)</f>
        <v/>
      </c>
      <c r="G165">
        <f>IF('CALL SHEET'!$D$165="","",'CALL SHEET'!$D$165)</f>
        <v/>
      </c>
      <c r="H165">
        <f>IF('CALL SHEET'!$G$165="","",'CALL SHEET'!$G$165)</f>
        <v/>
      </c>
      <c r="I165">
        <f>IF('CALL SHEET'!$AY$165="","",'CALL SHEET'!$AY$165)</f>
        <v/>
      </c>
      <c r="J165">
        <f>IF('CALL SHEET'!$BC$165="","",'CALL SHEET'!$BC$165)</f>
        <v/>
      </c>
      <c r="K165">
        <f>IF('CALL SHEET'!$N$165="","",'CALL SHEET'!$N$165)</f>
        <v/>
      </c>
      <c r="L165">
        <f>IF('CALL SHEET'!$AH$165="","",'CALL SHEET'!$AH$165)</f>
        <v/>
      </c>
      <c r="M165">
        <f>IF('CALL SHEET'!$AO$165="","",'CALL SHEET'!$AO$165)</f>
        <v/>
      </c>
      <c r="N165">
        <f>IF('CALL SHEET'!$BF$165="","",'CALL SHEET'!$BF$165)</f>
        <v/>
      </c>
      <c r="O165" t="inlineStr">
        <is>
          <t>TRADE</t>
        </is>
      </c>
      <c r="P165" t="inlineStr">
        <is>
          <t>CALL SHEET · row 165</t>
        </is>
      </c>
      <c r="Q165">
        <f>E165+ROW()*0.000000001</f>
        <v/>
      </c>
    </row>
    <row r="166">
      <c r="A166">
        <f>IF('CALL SHEET'!$A$166="","",'CALL SHEET'!$A$166)</f>
        <v/>
      </c>
      <c r="B166">
        <f>IF('CALL SHEET'!$C$166="","",'CALL SHEET'!$C$166)</f>
        <v/>
      </c>
      <c r="C166">
        <f>'CALL SHEET'!$U$166</f>
        <v/>
      </c>
      <c r="D166">
        <f>'CALL SHEET'!$AB$166</f>
        <v/>
      </c>
      <c r="E166">
        <f>'CALL SHEET'!$AF$166</f>
        <v/>
      </c>
      <c r="F166">
        <f>IF('CALL SHEET'!$V$166="","",'CALL SHEET'!$V$166)</f>
        <v/>
      </c>
      <c r="G166">
        <f>IF('CALL SHEET'!$D$166="","",'CALL SHEET'!$D$166)</f>
        <v/>
      </c>
      <c r="H166">
        <f>IF('CALL SHEET'!$G$166="","",'CALL SHEET'!$G$166)</f>
        <v/>
      </c>
      <c r="I166">
        <f>IF('CALL SHEET'!$AY$166="","",'CALL SHEET'!$AY$166)</f>
        <v/>
      </c>
      <c r="J166">
        <f>IF('CALL SHEET'!$BC$166="","",'CALL SHEET'!$BC$166)</f>
        <v/>
      </c>
      <c r="K166">
        <f>IF('CALL SHEET'!$N$166="","",'CALL SHEET'!$N$166)</f>
        <v/>
      </c>
      <c r="L166">
        <f>IF('CALL SHEET'!$AH$166="","",'CALL SHEET'!$AH$166)</f>
        <v/>
      </c>
      <c r="M166">
        <f>IF('CALL SHEET'!$AO$166="","",'CALL SHEET'!$AO$166)</f>
        <v/>
      </c>
      <c r="N166">
        <f>IF('CALL SHEET'!$BF$166="","",'CALL SHEET'!$BF$166)</f>
        <v/>
      </c>
      <c r="O166" t="inlineStr">
        <is>
          <t>TRADE</t>
        </is>
      </c>
      <c r="P166" t="inlineStr">
        <is>
          <t>CALL SHEET · row 166</t>
        </is>
      </c>
      <c r="Q166">
        <f>E166+ROW()*0.000000001</f>
        <v/>
      </c>
    </row>
    <row r="167">
      <c r="A167">
        <f>IF('CALL SHEET'!$A$167="","",'CALL SHEET'!$A$167)</f>
        <v/>
      </c>
      <c r="B167">
        <f>IF('CALL SHEET'!$C$167="","",'CALL SHEET'!$C$167)</f>
        <v/>
      </c>
      <c r="C167">
        <f>'CALL SHEET'!$U$167</f>
        <v/>
      </c>
      <c r="D167">
        <f>'CALL SHEET'!$AB$167</f>
        <v/>
      </c>
      <c r="E167">
        <f>'CALL SHEET'!$AF$167</f>
        <v/>
      </c>
      <c r="F167">
        <f>IF('CALL SHEET'!$V$167="","",'CALL SHEET'!$V$167)</f>
        <v/>
      </c>
      <c r="G167">
        <f>IF('CALL SHEET'!$D$167="","",'CALL SHEET'!$D$167)</f>
        <v/>
      </c>
      <c r="H167">
        <f>IF('CALL SHEET'!$G$167="","",'CALL SHEET'!$G$167)</f>
        <v/>
      </c>
      <c r="I167">
        <f>IF('CALL SHEET'!$AY$167="","",'CALL SHEET'!$AY$167)</f>
        <v/>
      </c>
      <c r="J167">
        <f>IF('CALL SHEET'!$BC$167="","",'CALL SHEET'!$BC$167)</f>
        <v/>
      </c>
      <c r="K167">
        <f>IF('CALL SHEET'!$N$167="","",'CALL SHEET'!$N$167)</f>
        <v/>
      </c>
      <c r="L167">
        <f>IF('CALL SHEET'!$AH$167="","",'CALL SHEET'!$AH$167)</f>
        <v/>
      </c>
      <c r="M167">
        <f>IF('CALL SHEET'!$AO$167="","",'CALL SHEET'!$AO$167)</f>
        <v/>
      </c>
      <c r="N167">
        <f>IF('CALL SHEET'!$BF$167="","",'CALL SHEET'!$BF$167)</f>
        <v/>
      </c>
      <c r="O167" t="inlineStr">
        <is>
          <t>TRADE</t>
        </is>
      </c>
      <c r="P167" t="inlineStr">
        <is>
          <t>CALL SHEET · row 167</t>
        </is>
      </c>
      <c r="Q167">
        <f>E167+ROW()*0.000000001</f>
        <v/>
      </c>
    </row>
    <row r="168">
      <c r="A168">
        <f>IF('CALL SHEET'!$A$168="","",'CALL SHEET'!$A$168)</f>
        <v/>
      </c>
      <c r="B168">
        <f>IF('CALL SHEET'!$C$168="","",'CALL SHEET'!$C$168)</f>
        <v/>
      </c>
      <c r="C168">
        <f>'CALL SHEET'!$U$168</f>
        <v/>
      </c>
      <c r="D168">
        <f>'CALL SHEET'!$AB$168</f>
        <v/>
      </c>
      <c r="E168">
        <f>'CALL SHEET'!$AF$168</f>
        <v/>
      </c>
      <c r="F168">
        <f>IF('CALL SHEET'!$V$168="","",'CALL SHEET'!$V$168)</f>
        <v/>
      </c>
      <c r="G168">
        <f>IF('CALL SHEET'!$D$168="","",'CALL SHEET'!$D$168)</f>
        <v/>
      </c>
      <c r="H168">
        <f>IF('CALL SHEET'!$G$168="","",'CALL SHEET'!$G$168)</f>
        <v/>
      </c>
      <c r="I168">
        <f>IF('CALL SHEET'!$AY$168="","",'CALL SHEET'!$AY$168)</f>
        <v/>
      </c>
      <c r="J168">
        <f>IF('CALL SHEET'!$BC$168="","",'CALL SHEET'!$BC$168)</f>
        <v/>
      </c>
      <c r="K168">
        <f>IF('CALL SHEET'!$N$168="","",'CALL SHEET'!$N$168)</f>
        <v/>
      </c>
      <c r="L168">
        <f>IF('CALL SHEET'!$AH$168="","",'CALL SHEET'!$AH$168)</f>
        <v/>
      </c>
      <c r="M168">
        <f>IF('CALL SHEET'!$AO$168="","",'CALL SHEET'!$AO$168)</f>
        <v/>
      </c>
      <c r="N168">
        <f>IF('CALL SHEET'!$BF$168="","",'CALL SHEET'!$BF$168)</f>
        <v/>
      </c>
      <c r="O168" t="inlineStr">
        <is>
          <t>TRADE</t>
        </is>
      </c>
      <c r="P168" t="inlineStr">
        <is>
          <t>CALL SHEET · row 168</t>
        </is>
      </c>
      <c r="Q168">
        <f>E168+ROW()*0.000000001</f>
        <v/>
      </c>
    </row>
    <row r="169">
      <c r="A169">
        <f>IF('CALL SHEET'!$A$169="","",'CALL SHEET'!$A$169)</f>
        <v/>
      </c>
      <c r="B169">
        <f>IF('CALL SHEET'!$C$169="","",'CALL SHEET'!$C$169)</f>
        <v/>
      </c>
      <c r="C169">
        <f>'CALL SHEET'!$U$169</f>
        <v/>
      </c>
      <c r="D169">
        <f>'CALL SHEET'!$AB$169</f>
        <v/>
      </c>
      <c r="E169">
        <f>'CALL SHEET'!$AF$169</f>
        <v/>
      </c>
      <c r="F169">
        <f>IF('CALL SHEET'!$V$169="","",'CALL SHEET'!$V$169)</f>
        <v/>
      </c>
      <c r="G169">
        <f>IF('CALL SHEET'!$D$169="","",'CALL SHEET'!$D$169)</f>
        <v/>
      </c>
      <c r="H169">
        <f>IF('CALL SHEET'!$G$169="","",'CALL SHEET'!$G$169)</f>
        <v/>
      </c>
      <c r="I169">
        <f>IF('CALL SHEET'!$AY$169="","",'CALL SHEET'!$AY$169)</f>
        <v/>
      </c>
      <c r="J169">
        <f>IF('CALL SHEET'!$BC$169="","",'CALL SHEET'!$BC$169)</f>
        <v/>
      </c>
      <c r="K169">
        <f>IF('CALL SHEET'!$N$169="","",'CALL SHEET'!$N$169)</f>
        <v/>
      </c>
      <c r="L169">
        <f>IF('CALL SHEET'!$AH$169="","",'CALL SHEET'!$AH$169)</f>
        <v/>
      </c>
      <c r="M169">
        <f>IF('CALL SHEET'!$AO$169="","",'CALL SHEET'!$AO$169)</f>
        <v/>
      </c>
      <c r="N169">
        <f>IF('CALL SHEET'!$BF$169="","",'CALL SHEET'!$BF$169)</f>
        <v/>
      </c>
      <c r="O169" t="inlineStr">
        <is>
          <t>TRADE</t>
        </is>
      </c>
      <c r="P169" t="inlineStr">
        <is>
          <t>CALL SHEET · row 169</t>
        </is>
      </c>
      <c r="Q169">
        <f>E169+ROW()*0.000000001</f>
        <v/>
      </c>
    </row>
    <row r="170">
      <c r="A170">
        <f>IF('CALL SHEET'!$A$170="","",'CALL SHEET'!$A$170)</f>
        <v/>
      </c>
      <c r="B170">
        <f>IF('CALL SHEET'!$C$170="","",'CALL SHEET'!$C$170)</f>
        <v/>
      </c>
      <c r="C170">
        <f>'CALL SHEET'!$U$170</f>
        <v/>
      </c>
      <c r="D170">
        <f>'CALL SHEET'!$AB$170</f>
        <v/>
      </c>
      <c r="E170">
        <f>'CALL SHEET'!$AF$170</f>
        <v/>
      </c>
      <c r="F170">
        <f>IF('CALL SHEET'!$V$170="","",'CALL SHEET'!$V$170)</f>
        <v/>
      </c>
      <c r="G170">
        <f>IF('CALL SHEET'!$D$170="","",'CALL SHEET'!$D$170)</f>
        <v/>
      </c>
      <c r="H170">
        <f>IF('CALL SHEET'!$G$170="","",'CALL SHEET'!$G$170)</f>
        <v/>
      </c>
      <c r="I170">
        <f>IF('CALL SHEET'!$AY$170="","",'CALL SHEET'!$AY$170)</f>
        <v/>
      </c>
      <c r="J170">
        <f>IF('CALL SHEET'!$BC$170="","",'CALL SHEET'!$BC$170)</f>
        <v/>
      </c>
      <c r="K170">
        <f>IF('CALL SHEET'!$N$170="","",'CALL SHEET'!$N$170)</f>
        <v/>
      </c>
      <c r="L170">
        <f>IF('CALL SHEET'!$AH$170="","",'CALL SHEET'!$AH$170)</f>
        <v/>
      </c>
      <c r="M170">
        <f>IF('CALL SHEET'!$AO$170="","",'CALL SHEET'!$AO$170)</f>
        <v/>
      </c>
      <c r="N170">
        <f>IF('CALL SHEET'!$BF$170="","",'CALL SHEET'!$BF$170)</f>
        <v/>
      </c>
      <c r="O170" t="inlineStr">
        <is>
          <t>TRADE</t>
        </is>
      </c>
      <c r="P170" t="inlineStr">
        <is>
          <t>CALL SHEET · row 170</t>
        </is>
      </c>
      <c r="Q170">
        <f>E170+ROW()*0.000000001</f>
        <v/>
      </c>
    </row>
    <row r="171">
      <c r="A171">
        <f>IF('CALL SHEET'!$A$171="","",'CALL SHEET'!$A$171)</f>
        <v/>
      </c>
      <c r="B171">
        <f>IF('CALL SHEET'!$C$171="","",'CALL SHEET'!$C$171)</f>
        <v/>
      </c>
      <c r="C171">
        <f>'CALL SHEET'!$U$171</f>
        <v/>
      </c>
      <c r="D171">
        <f>'CALL SHEET'!$AB$171</f>
        <v/>
      </c>
      <c r="E171">
        <f>'CALL SHEET'!$AF$171</f>
        <v/>
      </c>
      <c r="F171">
        <f>IF('CALL SHEET'!$V$171="","",'CALL SHEET'!$V$171)</f>
        <v/>
      </c>
      <c r="G171">
        <f>IF('CALL SHEET'!$D$171="","",'CALL SHEET'!$D$171)</f>
        <v/>
      </c>
      <c r="H171">
        <f>IF('CALL SHEET'!$G$171="","",'CALL SHEET'!$G$171)</f>
        <v/>
      </c>
      <c r="I171">
        <f>IF('CALL SHEET'!$AY$171="","",'CALL SHEET'!$AY$171)</f>
        <v/>
      </c>
      <c r="J171">
        <f>IF('CALL SHEET'!$BC$171="","",'CALL SHEET'!$BC$171)</f>
        <v/>
      </c>
      <c r="K171">
        <f>IF('CALL SHEET'!$N$171="","",'CALL SHEET'!$N$171)</f>
        <v/>
      </c>
      <c r="L171">
        <f>IF('CALL SHEET'!$AH$171="","",'CALL SHEET'!$AH$171)</f>
        <v/>
      </c>
      <c r="M171">
        <f>IF('CALL SHEET'!$AO$171="","",'CALL SHEET'!$AO$171)</f>
        <v/>
      </c>
      <c r="N171">
        <f>IF('CALL SHEET'!$BF$171="","",'CALL SHEET'!$BF$171)</f>
        <v/>
      </c>
      <c r="O171" t="inlineStr">
        <is>
          <t>TRADE</t>
        </is>
      </c>
      <c r="P171" t="inlineStr">
        <is>
          <t>CALL SHEET · row 171</t>
        </is>
      </c>
      <c r="Q171">
        <f>E171+ROW()*0.000000001</f>
        <v/>
      </c>
    </row>
    <row r="172">
      <c r="A172">
        <f>IF('CALL SHEET'!$A$172="","",'CALL SHEET'!$A$172)</f>
        <v/>
      </c>
      <c r="B172">
        <f>IF('CALL SHEET'!$C$172="","",'CALL SHEET'!$C$172)</f>
        <v/>
      </c>
      <c r="C172">
        <f>'CALL SHEET'!$U$172</f>
        <v/>
      </c>
      <c r="D172">
        <f>'CALL SHEET'!$AB$172</f>
        <v/>
      </c>
      <c r="E172">
        <f>'CALL SHEET'!$AF$172</f>
        <v/>
      </c>
      <c r="F172">
        <f>IF('CALL SHEET'!$V$172="","",'CALL SHEET'!$V$172)</f>
        <v/>
      </c>
      <c r="G172">
        <f>IF('CALL SHEET'!$D$172="","",'CALL SHEET'!$D$172)</f>
        <v/>
      </c>
      <c r="H172">
        <f>IF('CALL SHEET'!$G$172="","",'CALL SHEET'!$G$172)</f>
        <v/>
      </c>
      <c r="I172">
        <f>IF('CALL SHEET'!$AY$172="","",'CALL SHEET'!$AY$172)</f>
        <v/>
      </c>
      <c r="J172">
        <f>IF('CALL SHEET'!$BC$172="","",'CALL SHEET'!$BC$172)</f>
        <v/>
      </c>
      <c r="K172">
        <f>IF('CALL SHEET'!$N$172="","",'CALL SHEET'!$N$172)</f>
        <v/>
      </c>
      <c r="L172">
        <f>IF('CALL SHEET'!$AH$172="","",'CALL SHEET'!$AH$172)</f>
        <v/>
      </c>
      <c r="M172">
        <f>IF('CALL SHEET'!$AO$172="","",'CALL SHEET'!$AO$172)</f>
        <v/>
      </c>
      <c r="N172">
        <f>IF('CALL SHEET'!$BF$172="","",'CALL SHEET'!$BF$172)</f>
        <v/>
      </c>
      <c r="O172" t="inlineStr">
        <is>
          <t>TRADE</t>
        </is>
      </c>
      <c r="P172" t="inlineStr">
        <is>
          <t>CALL SHEET · row 172</t>
        </is>
      </c>
      <c r="Q172">
        <f>E172+ROW()*0.000000001</f>
        <v/>
      </c>
    </row>
    <row r="173">
      <c r="A173">
        <f>IF('CALL SHEET'!$A$173="","",'CALL SHEET'!$A$173)</f>
        <v/>
      </c>
      <c r="B173">
        <f>IF('CALL SHEET'!$C$173="","",'CALL SHEET'!$C$173)</f>
        <v/>
      </c>
      <c r="C173">
        <f>'CALL SHEET'!$U$173</f>
        <v/>
      </c>
      <c r="D173">
        <f>'CALL SHEET'!$AB$173</f>
        <v/>
      </c>
      <c r="E173">
        <f>'CALL SHEET'!$AF$173</f>
        <v/>
      </c>
      <c r="F173">
        <f>IF('CALL SHEET'!$V$173="","",'CALL SHEET'!$V$173)</f>
        <v/>
      </c>
      <c r="G173">
        <f>IF('CALL SHEET'!$D$173="","",'CALL SHEET'!$D$173)</f>
        <v/>
      </c>
      <c r="H173">
        <f>IF('CALL SHEET'!$G$173="","",'CALL SHEET'!$G$173)</f>
        <v/>
      </c>
      <c r="I173">
        <f>IF('CALL SHEET'!$AY$173="","",'CALL SHEET'!$AY$173)</f>
        <v/>
      </c>
      <c r="J173">
        <f>IF('CALL SHEET'!$BC$173="","",'CALL SHEET'!$BC$173)</f>
        <v/>
      </c>
      <c r="K173">
        <f>IF('CALL SHEET'!$N$173="","",'CALL SHEET'!$N$173)</f>
        <v/>
      </c>
      <c r="L173">
        <f>IF('CALL SHEET'!$AH$173="","",'CALL SHEET'!$AH$173)</f>
        <v/>
      </c>
      <c r="M173">
        <f>IF('CALL SHEET'!$AO$173="","",'CALL SHEET'!$AO$173)</f>
        <v/>
      </c>
      <c r="N173">
        <f>IF('CALL SHEET'!$BF$173="","",'CALL SHEET'!$BF$173)</f>
        <v/>
      </c>
      <c r="O173" t="inlineStr">
        <is>
          <t>TRADE</t>
        </is>
      </c>
      <c r="P173" t="inlineStr">
        <is>
          <t>CALL SHEET · row 173</t>
        </is>
      </c>
      <c r="Q173">
        <f>E173+ROW()*0.000000001</f>
        <v/>
      </c>
    </row>
    <row r="174">
      <c r="A174">
        <f>IF('CALL SHEET'!$A$174="","",'CALL SHEET'!$A$174)</f>
        <v/>
      </c>
      <c r="B174">
        <f>IF('CALL SHEET'!$C$174="","",'CALL SHEET'!$C$174)</f>
        <v/>
      </c>
      <c r="C174">
        <f>'CALL SHEET'!$U$174</f>
        <v/>
      </c>
      <c r="D174">
        <f>'CALL SHEET'!$AB$174</f>
        <v/>
      </c>
      <c r="E174">
        <f>'CALL SHEET'!$AF$174</f>
        <v/>
      </c>
      <c r="F174">
        <f>IF('CALL SHEET'!$V$174="","",'CALL SHEET'!$V$174)</f>
        <v/>
      </c>
      <c r="G174">
        <f>IF('CALL SHEET'!$D$174="","",'CALL SHEET'!$D$174)</f>
        <v/>
      </c>
      <c r="H174">
        <f>IF('CALL SHEET'!$G$174="","",'CALL SHEET'!$G$174)</f>
        <v/>
      </c>
      <c r="I174">
        <f>IF('CALL SHEET'!$AY$174="","",'CALL SHEET'!$AY$174)</f>
        <v/>
      </c>
      <c r="J174">
        <f>IF('CALL SHEET'!$BC$174="","",'CALL SHEET'!$BC$174)</f>
        <v/>
      </c>
      <c r="K174">
        <f>IF('CALL SHEET'!$N$174="","",'CALL SHEET'!$N$174)</f>
        <v/>
      </c>
      <c r="L174">
        <f>IF('CALL SHEET'!$AH$174="","",'CALL SHEET'!$AH$174)</f>
        <v/>
      </c>
      <c r="M174">
        <f>IF('CALL SHEET'!$AO$174="","",'CALL SHEET'!$AO$174)</f>
        <v/>
      </c>
      <c r="N174">
        <f>IF('CALL SHEET'!$BF$174="","",'CALL SHEET'!$BF$174)</f>
        <v/>
      </c>
      <c r="O174" t="inlineStr">
        <is>
          <t>TRADE</t>
        </is>
      </c>
      <c r="P174" t="inlineStr">
        <is>
          <t>CALL SHEET · row 174</t>
        </is>
      </c>
      <c r="Q174">
        <f>E174+ROW()*0.000000001</f>
        <v/>
      </c>
    </row>
    <row r="175">
      <c r="A175">
        <f>IF('CALL SHEET'!$A$175="","",'CALL SHEET'!$A$175)</f>
        <v/>
      </c>
      <c r="B175">
        <f>IF('CALL SHEET'!$C$175="","",'CALL SHEET'!$C$175)</f>
        <v/>
      </c>
      <c r="C175">
        <f>'CALL SHEET'!$U$175</f>
        <v/>
      </c>
      <c r="D175">
        <f>'CALL SHEET'!$AB$175</f>
        <v/>
      </c>
      <c r="E175">
        <f>'CALL SHEET'!$AF$175</f>
        <v/>
      </c>
      <c r="F175">
        <f>IF('CALL SHEET'!$V$175="","",'CALL SHEET'!$V$175)</f>
        <v/>
      </c>
      <c r="G175">
        <f>IF('CALL SHEET'!$D$175="","",'CALL SHEET'!$D$175)</f>
        <v/>
      </c>
      <c r="H175">
        <f>IF('CALL SHEET'!$G$175="","",'CALL SHEET'!$G$175)</f>
        <v/>
      </c>
      <c r="I175">
        <f>IF('CALL SHEET'!$AY$175="","",'CALL SHEET'!$AY$175)</f>
        <v/>
      </c>
      <c r="J175">
        <f>IF('CALL SHEET'!$BC$175="","",'CALL SHEET'!$BC$175)</f>
        <v/>
      </c>
      <c r="K175">
        <f>IF('CALL SHEET'!$N$175="","",'CALL SHEET'!$N$175)</f>
        <v/>
      </c>
      <c r="L175">
        <f>IF('CALL SHEET'!$AH$175="","",'CALL SHEET'!$AH$175)</f>
        <v/>
      </c>
      <c r="M175">
        <f>IF('CALL SHEET'!$AO$175="","",'CALL SHEET'!$AO$175)</f>
        <v/>
      </c>
      <c r="N175">
        <f>IF('CALL SHEET'!$BF$175="","",'CALL SHEET'!$BF$175)</f>
        <v/>
      </c>
      <c r="O175" t="inlineStr">
        <is>
          <t>TRADE</t>
        </is>
      </c>
      <c r="P175" t="inlineStr">
        <is>
          <t>CALL SHEET · row 175</t>
        </is>
      </c>
      <c r="Q175">
        <f>E175+ROW()*0.000000001</f>
        <v/>
      </c>
    </row>
    <row r="176">
      <c r="A176">
        <f>IF('CALL SHEET'!$A$176="","",'CALL SHEET'!$A$176)</f>
        <v/>
      </c>
      <c r="B176">
        <f>IF('CALL SHEET'!$C$176="","",'CALL SHEET'!$C$176)</f>
        <v/>
      </c>
      <c r="C176">
        <f>'CALL SHEET'!$U$176</f>
        <v/>
      </c>
      <c r="D176">
        <f>'CALL SHEET'!$AB$176</f>
        <v/>
      </c>
      <c r="E176">
        <f>'CALL SHEET'!$AF$176</f>
        <v/>
      </c>
      <c r="F176">
        <f>IF('CALL SHEET'!$V$176="","",'CALL SHEET'!$V$176)</f>
        <v/>
      </c>
      <c r="G176">
        <f>IF('CALL SHEET'!$D$176="","",'CALL SHEET'!$D$176)</f>
        <v/>
      </c>
      <c r="H176">
        <f>IF('CALL SHEET'!$G$176="","",'CALL SHEET'!$G$176)</f>
        <v/>
      </c>
      <c r="I176">
        <f>IF('CALL SHEET'!$AY$176="","",'CALL SHEET'!$AY$176)</f>
        <v/>
      </c>
      <c r="J176">
        <f>IF('CALL SHEET'!$BC$176="","",'CALL SHEET'!$BC$176)</f>
        <v/>
      </c>
      <c r="K176">
        <f>IF('CALL SHEET'!$N$176="","",'CALL SHEET'!$N$176)</f>
        <v/>
      </c>
      <c r="L176">
        <f>IF('CALL SHEET'!$AH$176="","",'CALL SHEET'!$AH$176)</f>
        <v/>
      </c>
      <c r="M176">
        <f>IF('CALL SHEET'!$AO$176="","",'CALL SHEET'!$AO$176)</f>
        <v/>
      </c>
      <c r="N176">
        <f>IF('CALL SHEET'!$BF$176="","",'CALL SHEET'!$BF$176)</f>
        <v/>
      </c>
      <c r="O176" t="inlineStr">
        <is>
          <t>TRADE</t>
        </is>
      </c>
      <c r="P176" t="inlineStr">
        <is>
          <t>CALL SHEET · row 176</t>
        </is>
      </c>
      <c r="Q176">
        <f>E176+ROW()*0.000000001</f>
        <v/>
      </c>
    </row>
    <row r="177">
      <c r="A177">
        <f>IF('CALL SHEET'!$A$177="","",'CALL SHEET'!$A$177)</f>
        <v/>
      </c>
      <c r="B177">
        <f>IF('CALL SHEET'!$C$177="","",'CALL SHEET'!$C$177)</f>
        <v/>
      </c>
      <c r="C177">
        <f>'CALL SHEET'!$U$177</f>
        <v/>
      </c>
      <c r="D177">
        <f>'CALL SHEET'!$AB$177</f>
        <v/>
      </c>
      <c r="E177">
        <f>'CALL SHEET'!$AF$177</f>
        <v/>
      </c>
      <c r="F177">
        <f>IF('CALL SHEET'!$V$177="","",'CALL SHEET'!$V$177)</f>
        <v/>
      </c>
      <c r="G177">
        <f>IF('CALL SHEET'!$D$177="","",'CALL SHEET'!$D$177)</f>
        <v/>
      </c>
      <c r="H177">
        <f>IF('CALL SHEET'!$G$177="","",'CALL SHEET'!$G$177)</f>
        <v/>
      </c>
      <c r="I177">
        <f>IF('CALL SHEET'!$AY$177="","",'CALL SHEET'!$AY$177)</f>
        <v/>
      </c>
      <c r="J177">
        <f>IF('CALL SHEET'!$BC$177="","",'CALL SHEET'!$BC$177)</f>
        <v/>
      </c>
      <c r="K177">
        <f>IF('CALL SHEET'!$N$177="","",'CALL SHEET'!$N$177)</f>
        <v/>
      </c>
      <c r="L177">
        <f>IF('CALL SHEET'!$AH$177="","",'CALL SHEET'!$AH$177)</f>
        <v/>
      </c>
      <c r="M177">
        <f>IF('CALL SHEET'!$AO$177="","",'CALL SHEET'!$AO$177)</f>
        <v/>
      </c>
      <c r="N177">
        <f>IF('CALL SHEET'!$BF$177="","",'CALL SHEET'!$BF$177)</f>
        <v/>
      </c>
      <c r="O177" t="inlineStr">
        <is>
          <t>TRADE</t>
        </is>
      </c>
      <c r="P177" t="inlineStr">
        <is>
          <t>CALL SHEET · row 177</t>
        </is>
      </c>
      <c r="Q177">
        <f>E177+ROW()*0.000000001</f>
        <v/>
      </c>
    </row>
    <row r="178">
      <c r="A178">
        <f>IF('CALL SHEET'!$A$178="","",'CALL SHEET'!$A$178)</f>
        <v/>
      </c>
      <c r="B178">
        <f>IF('CALL SHEET'!$C$178="","",'CALL SHEET'!$C$178)</f>
        <v/>
      </c>
      <c r="C178">
        <f>'CALL SHEET'!$U$178</f>
        <v/>
      </c>
      <c r="D178">
        <f>'CALL SHEET'!$AB$178</f>
        <v/>
      </c>
      <c r="E178">
        <f>'CALL SHEET'!$AF$178</f>
        <v/>
      </c>
      <c r="F178">
        <f>IF('CALL SHEET'!$V$178="","",'CALL SHEET'!$V$178)</f>
        <v/>
      </c>
      <c r="G178">
        <f>IF('CALL SHEET'!$D$178="","",'CALL SHEET'!$D$178)</f>
        <v/>
      </c>
      <c r="H178">
        <f>IF('CALL SHEET'!$G$178="","",'CALL SHEET'!$G$178)</f>
        <v/>
      </c>
      <c r="I178">
        <f>IF('CALL SHEET'!$AY$178="","",'CALL SHEET'!$AY$178)</f>
        <v/>
      </c>
      <c r="J178">
        <f>IF('CALL SHEET'!$BC$178="","",'CALL SHEET'!$BC$178)</f>
        <v/>
      </c>
      <c r="K178">
        <f>IF('CALL SHEET'!$N$178="","",'CALL SHEET'!$N$178)</f>
        <v/>
      </c>
      <c r="L178">
        <f>IF('CALL SHEET'!$AH$178="","",'CALL SHEET'!$AH$178)</f>
        <v/>
      </c>
      <c r="M178">
        <f>IF('CALL SHEET'!$AO$178="","",'CALL SHEET'!$AO$178)</f>
        <v/>
      </c>
      <c r="N178">
        <f>IF('CALL SHEET'!$BF$178="","",'CALL SHEET'!$BF$178)</f>
        <v/>
      </c>
      <c r="O178" t="inlineStr">
        <is>
          <t>TRADE</t>
        </is>
      </c>
      <c r="P178" t="inlineStr">
        <is>
          <t>CALL SHEET · row 178</t>
        </is>
      </c>
      <c r="Q178">
        <f>E178+ROW()*0.000000001</f>
        <v/>
      </c>
    </row>
    <row r="179">
      <c r="A179">
        <f>IF('CALL SHEET'!$A$179="","",'CALL SHEET'!$A$179)</f>
        <v/>
      </c>
      <c r="B179">
        <f>IF('CALL SHEET'!$C$179="","",'CALL SHEET'!$C$179)</f>
        <v/>
      </c>
      <c r="C179">
        <f>'CALL SHEET'!$U$179</f>
        <v/>
      </c>
      <c r="D179">
        <f>'CALL SHEET'!$AB$179</f>
        <v/>
      </c>
      <c r="E179">
        <f>'CALL SHEET'!$AF$179</f>
        <v/>
      </c>
      <c r="F179">
        <f>IF('CALL SHEET'!$V$179="","",'CALL SHEET'!$V$179)</f>
        <v/>
      </c>
      <c r="G179">
        <f>IF('CALL SHEET'!$D$179="","",'CALL SHEET'!$D$179)</f>
        <v/>
      </c>
      <c r="H179">
        <f>IF('CALL SHEET'!$G$179="","",'CALL SHEET'!$G$179)</f>
        <v/>
      </c>
      <c r="I179">
        <f>IF('CALL SHEET'!$AY$179="","",'CALL SHEET'!$AY$179)</f>
        <v/>
      </c>
      <c r="J179">
        <f>IF('CALL SHEET'!$BC$179="","",'CALL SHEET'!$BC$179)</f>
        <v/>
      </c>
      <c r="K179">
        <f>IF('CALL SHEET'!$N$179="","",'CALL SHEET'!$N$179)</f>
        <v/>
      </c>
      <c r="L179">
        <f>IF('CALL SHEET'!$AH$179="","",'CALL SHEET'!$AH$179)</f>
        <v/>
      </c>
      <c r="M179">
        <f>IF('CALL SHEET'!$AO$179="","",'CALL SHEET'!$AO$179)</f>
        <v/>
      </c>
      <c r="N179">
        <f>IF('CALL SHEET'!$BF$179="","",'CALL SHEET'!$BF$179)</f>
        <v/>
      </c>
      <c r="O179" t="inlineStr">
        <is>
          <t>TRADE</t>
        </is>
      </c>
      <c r="P179" t="inlineStr">
        <is>
          <t>CALL SHEET · row 179</t>
        </is>
      </c>
      <c r="Q179">
        <f>E179+ROW()*0.000000001</f>
        <v/>
      </c>
    </row>
    <row r="180">
      <c r="A180">
        <f>IF('CALL SHEET'!$A$180="","",'CALL SHEET'!$A$180)</f>
        <v/>
      </c>
      <c r="B180">
        <f>IF('CALL SHEET'!$C$180="","",'CALL SHEET'!$C$180)</f>
        <v/>
      </c>
      <c r="C180">
        <f>'CALL SHEET'!$U$180</f>
        <v/>
      </c>
      <c r="D180">
        <f>'CALL SHEET'!$AB$180</f>
        <v/>
      </c>
      <c r="E180">
        <f>'CALL SHEET'!$AF$180</f>
        <v/>
      </c>
      <c r="F180">
        <f>IF('CALL SHEET'!$V$180="","",'CALL SHEET'!$V$180)</f>
        <v/>
      </c>
      <c r="G180">
        <f>IF('CALL SHEET'!$D$180="","",'CALL SHEET'!$D$180)</f>
        <v/>
      </c>
      <c r="H180">
        <f>IF('CALL SHEET'!$G$180="","",'CALL SHEET'!$G$180)</f>
        <v/>
      </c>
      <c r="I180">
        <f>IF('CALL SHEET'!$AY$180="","",'CALL SHEET'!$AY$180)</f>
        <v/>
      </c>
      <c r="J180">
        <f>IF('CALL SHEET'!$BC$180="","",'CALL SHEET'!$BC$180)</f>
        <v/>
      </c>
      <c r="K180">
        <f>IF('CALL SHEET'!$N$180="","",'CALL SHEET'!$N$180)</f>
        <v/>
      </c>
      <c r="L180">
        <f>IF('CALL SHEET'!$AH$180="","",'CALL SHEET'!$AH$180)</f>
        <v/>
      </c>
      <c r="M180">
        <f>IF('CALL SHEET'!$AO$180="","",'CALL SHEET'!$AO$180)</f>
        <v/>
      </c>
      <c r="N180">
        <f>IF('CALL SHEET'!$BF$180="","",'CALL SHEET'!$BF$180)</f>
        <v/>
      </c>
      <c r="O180" t="inlineStr">
        <is>
          <t>TRADE</t>
        </is>
      </c>
      <c r="P180" t="inlineStr">
        <is>
          <t>CALL SHEET · row 180</t>
        </is>
      </c>
      <c r="Q180">
        <f>E180+ROW()*0.000000001</f>
        <v/>
      </c>
    </row>
    <row r="181">
      <c r="A181">
        <f>IF('CALL SHEET'!$A$181="","",'CALL SHEET'!$A$181)</f>
        <v/>
      </c>
      <c r="B181">
        <f>IF('CALL SHEET'!$C$181="","",'CALL SHEET'!$C$181)</f>
        <v/>
      </c>
      <c r="C181">
        <f>'CALL SHEET'!$U$181</f>
        <v/>
      </c>
      <c r="D181">
        <f>'CALL SHEET'!$AB$181</f>
        <v/>
      </c>
      <c r="E181">
        <f>'CALL SHEET'!$AF$181</f>
        <v/>
      </c>
      <c r="F181">
        <f>IF('CALL SHEET'!$V$181="","",'CALL SHEET'!$V$181)</f>
        <v/>
      </c>
      <c r="G181">
        <f>IF('CALL SHEET'!$D$181="","",'CALL SHEET'!$D$181)</f>
        <v/>
      </c>
      <c r="H181">
        <f>IF('CALL SHEET'!$G$181="","",'CALL SHEET'!$G$181)</f>
        <v/>
      </c>
      <c r="I181">
        <f>IF('CALL SHEET'!$AY$181="","",'CALL SHEET'!$AY$181)</f>
        <v/>
      </c>
      <c r="J181">
        <f>IF('CALL SHEET'!$BC$181="","",'CALL SHEET'!$BC$181)</f>
        <v/>
      </c>
      <c r="K181">
        <f>IF('CALL SHEET'!$N$181="","",'CALL SHEET'!$N$181)</f>
        <v/>
      </c>
      <c r="L181">
        <f>IF('CALL SHEET'!$AH$181="","",'CALL SHEET'!$AH$181)</f>
        <v/>
      </c>
      <c r="M181">
        <f>IF('CALL SHEET'!$AO$181="","",'CALL SHEET'!$AO$181)</f>
        <v/>
      </c>
      <c r="N181">
        <f>IF('CALL SHEET'!$BF$181="","",'CALL SHEET'!$BF$181)</f>
        <v/>
      </c>
      <c r="O181" t="inlineStr">
        <is>
          <t>TRADE</t>
        </is>
      </c>
      <c r="P181" t="inlineStr">
        <is>
          <t>CALL SHEET · row 181</t>
        </is>
      </c>
      <c r="Q181">
        <f>E181+ROW()*0.000000001</f>
        <v/>
      </c>
    </row>
    <row r="182">
      <c r="A182">
        <f>IF('CALL SHEET'!$A$182="","",'CALL SHEET'!$A$182)</f>
        <v/>
      </c>
      <c r="B182">
        <f>IF('CALL SHEET'!$C$182="","",'CALL SHEET'!$C$182)</f>
        <v/>
      </c>
      <c r="C182">
        <f>'CALL SHEET'!$U$182</f>
        <v/>
      </c>
      <c r="D182">
        <f>'CALL SHEET'!$AB$182</f>
        <v/>
      </c>
      <c r="E182">
        <f>'CALL SHEET'!$AF$182</f>
        <v/>
      </c>
      <c r="F182">
        <f>IF('CALL SHEET'!$V$182="","",'CALL SHEET'!$V$182)</f>
        <v/>
      </c>
      <c r="G182">
        <f>IF('CALL SHEET'!$D$182="","",'CALL SHEET'!$D$182)</f>
        <v/>
      </c>
      <c r="H182">
        <f>IF('CALL SHEET'!$G$182="","",'CALL SHEET'!$G$182)</f>
        <v/>
      </c>
      <c r="I182">
        <f>IF('CALL SHEET'!$AY$182="","",'CALL SHEET'!$AY$182)</f>
        <v/>
      </c>
      <c r="J182">
        <f>IF('CALL SHEET'!$BC$182="","",'CALL SHEET'!$BC$182)</f>
        <v/>
      </c>
      <c r="K182">
        <f>IF('CALL SHEET'!$N$182="","",'CALL SHEET'!$N$182)</f>
        <v/>
      </c>
      <c r="L182">
        <f>IF('CALL SHEET'!$AH$182="","",'CALL SHEET'!$AH$182)</f>
        <v/>
      </c>
      <c r="M182">
        <f>IF('CALL SHEET'!$AO$182="","",'CALL SHEET'!$AO$182)</f>
        <v/>
      </c>
      <c r="N182">
        <f>IF('CALL SHEET'!$BF$182="","",'CALL SHEET'!$BF$182)</f>
        <v/>
      </c>
      <c r="O182" t="inlineStr">
        <is>
          <t>TRADE</t>
        </is>
      </c>
      <c r="P182" t="inlineStr">
        <is>
          <t>CALL SHEET · row 182</t>
        </is>
      </c>
      <c r="Q182">
        <f>E182+ROW()*0.000000001</f>
        <v/>
      </c>
    </row>
    <row r="183">
      <c r="A183">
        <f>IF('CALL SHEET'!$A$183="","",'CALL SHEET'!$A$183)</f>
        <v/>
      </c>
      <c r="B183">
        <f>IF('CALL SHEET'!$C$183="","",'CALL SHEET'!$C$183)</f>
        <v/>
      </c>
      <c r="C183">
        <f>'CALL SHEET'!$U$183</f>
        <v/>
      </c>
      <c r="D183">
        <f>'CALL SHEET'!$AB$183</f>
        <v/>
      </c>
      <c r="E183">
        <f>'CALL SHEET'!$AF$183</f>
        <v/>
      </c>
      <c r="F183">
        <f>IF('CALL SHEET'!$V$183="","",'CALL SHEET'!$V$183)</f>
        <v/>
      </c>
      <c r="G183">
        <f>IF('CALL SHEET'!$D$183="","",'CALL SHEET'!$D$183)</f>
        <v/>
      </c>
      <c r="H183">
        <f>IF('CALL SHEET'!$G$183="","",'CALL SHEET'!$G$183)</f>
        <v/>
      </c>
      <c r="I183">
        <f>IF('CALL SHEET'!$AY$183="","",'CALL SHEET'!$AY$183)</f>
        <v/>
      </c>
      <c r="J183">
        <f>IF('CALL SHEET'!$BC$183="","",'CALL SHEET'!$BC$183)</f>
        <v/>
      </c>
      <c r="K183">
        <f>IF('CALL SHEET'!$N$183="","",'CALL SHEET'!$N$183)</f>
        <v/>
      </c>
      <c r="L183">
        <f>IF('CALL SHEET'!$AH$183="","",'CALL SHEET'!$AH$183)</f>
        <v/>
      </c>
      <c r="M183">
        <f>IF('CALL SHEET'!$AO$183="","",'CALL SHEET'!$AO$183)</f>
        <v/>
      </c>
      <c r="N183">
        <f>IF('CALL SHEET'!$BF$183="","",'CALL SHEET'!$BF$183)</f>
        <v/>
      </c>
      <c r="O183" t="inlineStr">
        <is>
          <t>TRADE</t>
        </is>
      </c>
      <c r="P183" t="inlineStr">
        <is>
          <t>CALL SHEET · row 183</t>
        </is>
      </c>
      <c r="Q183">
        <f>E183+ROW()*0.000000001</f>
        <v/>
      </c>
    </row>
    <row r="184">
      <c r="A184">
        <f>IF('CALL SHEET'!$A$184="","",'CALL SHEET'!$A$184)</f>
        <v/>
      </c>
      <c r="B184">
        <f>IF('CALL SHEET'!$C$184="","",'CALL SHEET'!$C$184)</f>
        <v/>
      </c>
      <c r="C184">
        <f>'CALL SHEET'!$U$184</f>
        <v/>
      </c>
      <c r="D184">
        <f>'CALL SHEET'!$AB$184</f>
        <v/>
      </c>
      <c r="E184">
        <f>'CALL SHEET'!$AF$184</f>
        <v/>
      </c>
      <c r="F184">
        <f>IF('CALL SHEET'!$V$184="","",'CALL SHEET'!$V$184)</f>
        <v/>
      </c>
      <c r="G184">
        <f>IF('CALL SHEET'!$D$184="","",'CALL SHEET'!$D$184)</f>
        <v/>
      </c>
      <c r="H184">
        <f>IF('CALL SHEET'!$G$184="","",'CALL SHEET'!$G$184)</f>
        <v/>
      </c>
      <c r="I184">
        <f>IF('CALL SHEET'!$AY$184="","",'CALL SHEET'!$AY$184)</f>
        <v/>
      </c>
      <c r="J184">
        <f>IF('CALL SHEET'!$BC$184="","",'CALL SHEET'!$BC$184)</f>
        <v/>
      </c>
      <c r="K184">
        <f>IF('CALL SHEET'!$N$184="","",'CALL SHEET'!$N$184)</f>
        <v/>
      </c>
      <c r="L184">
        <f>IF('CALL SHEET'!$AH$184="","",'CALL SHEET'!$AH$184)</f>
        <v/>
      </c>
      <c r="M184">
        <f>IF('CALL SHEET'!$AO$184="","",'CALL SHEET'!$AO$184)</f>
        <v/>
      </c>
      <c r="N184">
        <f>IF('CALL SHEET'!$BF$184="","",'CALL SHEET'!$BF$184)</f>
        <v/>
      </c>
      <c r="O184" t="inlineStr">
        <is>
          <t>TRADE</t>
        </is>
      </c>
      <c r="P184" t="inlineStr">
        <is>
          <t>CALL SHEET · row 184</t>
        </is>
      </c>
      <c r="Q184">
        <f>E184+ROW()*0.000000001</f>
        <v/>
      </c>
    </row>
    <row r="185">
      <c r="A185">
        <f>IF('CALL SHEET'!$A$185="","",'CALL SHEET'!$A$185)</f>
        <v/>
      </c>
      <c r="B185">
        <f>IF('CALL SHEET'!$C$185="","",'CALL SHEET'!$C$185)</f>
        <v/>
      </c>
      <c r="C185">
        <f>'CALL SHEET'!$U$185</f>
        <v/>
      </c>
      <c r="D185">
        <f>'CALL SHEET'!$AB$185</f>
        <v/>
      </c>
      <c r="E185">
        <f>'CALL SHEET'!$AF$185</f>
        <v/>
      </c>
      <c r="F185">
        <f>IF('CALL SHEET'!$V$185="","",'CALL SHEET'!$V$185)</f>
        <v/>
      </c>
      <c r="G185">
        <f>IF('CALL SHEET'!$D$185="","",'CALL SHEET'!$D$185)</f>
        <v/>
      </c>
      <c r="H185">
        <f>IF('CALL SHEET'!$G$185="","",'CALL SHEET'!$G$185)</f>
        <v/>
      </c>
      <c r="I185">
        <f>IF('CALL SHEET'!$AY$185="","",'CALL SHEET'!$AY$185)</f>
        <v/>
      </c>
      <c r="J185">
        <f>IF('CALL SHEET'!$BC$185="","",'CALL SHEET'!$BC$185)</f>
        <v/>
      </c>
      <c r="K185">
        <f>IF('CALL SHEET'!$N$185="","",'CALL SHEET'!$N$185)</f>
        <v/>
      </c>
      <c r="L185">
        <f>IF('CALL SHEET'!$AH$185="","",'CALL SHEET'!$AH$185)</f>
        <v/>
      </c>
      <c r="M185">
        <f>IF('CALL SHEET'!$AO$185="","",'CALL SHEET'!$AO$185)</f>
        <v/>
      </c>
      <c r="N185">
        <f>IF('CALL SHEET'!$BF$185="","",'CALL SHEET'!$BF$185)</f>
        <v/>
      </c>
      <c r="O185" t="inlineStr">
        <is>
          <t>TRADE</t>
        </is>
      </c>
      <c r="P185" t="inlineStr">
        <is>
          <t>CALL SHEET · row 185</t>
        </is>
      </c>
      <c r="Q185">
        <f>E185+ROW()*0.000000001</f>
        <v/>
      </c>
    </row>
    <row r="186">
      <c r="A186">
        <f>IF('CALL SHEET'!$A$186="","",'CALL SHEET'!$A$186)</f>
        <v/>
      </c>
      <c r="B186">
        <f>IF('CALL SHEET'!$C$186="","",'CALL SHEET'!$C$186)</f>
        <v/>
      </c>
      <c r="C186">
        <f>'CALL SHEET'!$U$186</f>
        <v/>
      </c>
      <c r="D186">
        <f>'CALL SHEET'!$AB$186</f>
        <v/>
      </c>
      <c r="E186">
        <f>'CALL SHEET'!$AF$186</f>
        <v/>
      </c>
      <c r="F186">
        <f>IF('CALL SHEET'!$V$186="","",'CALL SHEET'!$V$186)</f>
        <v/>
      </c>
      <c r="G186">
        <f>IF('CALL SHEET'!$D$186="","",'CALL SHEET'!$D$186)</f>
        <v/>
      </c>
      <c r="H186">
        <f>IF('CALL SHEET'!$G$186="","",'CALL SHEET'!$G$186)</f>
        <v/>
      </c>
      <c r="I186">
        <f>IF('CALL SHEET'!$AY$186="","",'CALL SHEET'!$AY$186)</f>
        <v/>
      </c>
      <c r="J186">
        <f>IF('CALL SHEET'!$BC$186="","",'CALL SHEET'!$BC$186)</f>
        <v/>
      </c>
      <c r="K186">
        <f>IF('CALL SHEET'!$N$186="","",'CALL SHEET'!$N$186)</f>
        <v/>
      </c>
      <c r="L186">
        <f>IF('CALL SHEET'!$AH$186="","",'CALL SHEET'!$AH$186)</f>
        <v/>
      </c>
      <c r="M186">
        <f>IF('CALL SHEET'!$AO$186="","",'CALL SHEET'!$AO$186)</f>
        <v/>
      </c>
      <c r="N186">
        <f>IF('CALL SHEET'!$BF$186="","",'CALL SHEET'!$BF$186)</f>
        <v/>
      </c>
      <c r="O186" t="inlineStr">
        <is>
          <t>TRADE</t>
        </is>
      </c>
      <c r="P186" t="inlineStr">
        <is>
          <t>CALL SHEET · row 186</t>
        </is>
      </c>
      <c r="Q186">
        <f>E186+ROW()*0.000000001</f>
        <v/>
      </c>
    </row>
    <row r="187">
      <c r="A187">
        <f>IF('CALL SHEET'!$A$187="","",'CALL SHEET'!$A$187)</f>
        <v/>
      </c>
      <c r="B187">
        <f>IF('CALL SHEET'!$C$187="","",'CALL SHEET'!$C$187)</f>
        <v/>
      </c>
      <c r="C187">
        <f>'CALL SHEET'!$U$187</f>
        <v/>
      </c>
      <c r="D187">
        <f>'CALL SHEET'!$AB$187</f>
        <v/>
      </c>
      <c r="E187">
        <f>'CALL SHEET'!$AF$187</f>
        <v/>
      </c>
      <c r="F187">
        <f>IF('CALL SHEET'!$V$187="","",'CALL SHEET'!$V$187)</f>
        <v/>
      </c>
      <c r="G187">
        <f>IF('CALL SHEET'!$D$187="","",'CALL SHEET'!$D$187)</f>
        <v/>
      </c>
      <c r="H187">
        <f>IF('CALL SHEET'!$G$187="","",'CALL SHEET'!$G$187)</f>
        <v/>
      </c>
      <c r="I187">
        <f>IF('CALL SHEET'!$AY$187="","",'CALL SHEET'!$AY$187)</f>
        <v/>
      </c>
      <c r="J187">
        <f>IF('CALL SHEET'!$BC$187="","",'CALL SHEET'!$BC$187)</f>
        <v/>
      </c>
      <c r="K187">
        <f>IF('CALL SHEET'!$N$187="","",'CALL SHEET'!$N$187)</f>
        <v/>
      </c>
      <c r="L187">
        <f>IF('CALL SHEET'!$AH$187="","",'CALL SHEET'!$AH$187)</f>
        <v/>
      </c>
      <c r="M187">
        <f>IF('CALL SHEET'!$AO$187="","",'CALL SHEET'!$AO$187)</f>
        <v/>
      </c>
      <c r="N187">
        <f>IF('CALL SHEET'!$BF$187="","",'CALL SHEET'!$BF$187)</f>
        <v/>
      </c>
      <c r="O187" t="inlineStr">
        <is>
          <t>TRADE</t>
        </is>
      </c>
      <c r="P187" t="inlineStr">
        <is>
          <t>CALL SHEET · row 187</t>
        </is>
      </c>
      <c r="Q187">
        <f>E187+ROW()*0.000000001</f>
        <v/>
      </c>
    </row>
    <row r="188">
      <c r="A188">
        <f>IF('CALL SHEET'!$A$188="","",'CALL SHEET'!$A$188)</f>
        <v/>
      </c>
      <c r="B188">
        <f>IF('CALL SHEET'!$C$188="","",'CALL SHEET'!$C$188)</f>
        <v/>
      </c>
      <c r="C188">
        <f>'CALL SHEET'!$U$188</f>
        <v/>
      </c>
      <c r="D188">
        <f>'CALL SHEET'!$AB$188</f>
        <v/>
      </c>
      <c r="E188">
        <f>'CALL SHEET'!$AF$188</f>
        <v/>
      </c>
      <c r="F188">
        <f>IF('CALL SHEET'!$V$188="","",'CALL SHEET'!$V$188)</f>
        <v/>
      </c>
      <c r="G188">
        <f>IF('CALL SHEET'!$D$188="","",'CALL SHEET'!$D$188)</f>
        <v/>
      </c>
      <c r="H188">
        <f>IF('CALL SHEET'!$G$188="","",'CALL SHEET'!$G$188)</f>
        <v/>
      </c>
      <c r="I188">
        <f>IF('CALL SHEET'!$AY$188="","",'CALL SHEET'!$AY$188)</f>
        <v/>
      </c>
      <c r="J188">
        <f>IF('CALL SHEET'!$BC$188="","",'CALL SHEET'!$BC$188)</f>
        <v/>
      </c>
      <c r="K188">
        <f>IF('CALL SHEET'!$N$188="","",'CALL SHEET'!$N$188)</f>
        <v/>
      </c>
      <c r="L188">
        <f>IF('CALL SHEET'!$AH$188="","",'CALL SHEET'!$AH$188)</f>
        <v/>
      </c>
      <c r="M188">
        <f>IF('CALL SHEET'!$AO$188="","",'CALL SHEET'!$AO$188)</f>
        <v/>
      </c>
      <c r="N188">
        <f>IF('CALL SHEET'!$BF$188="","",'CALL SHEET'!$BF$188)</f>
        <v/>
      </c>
      <c r="O188" t="inlineStr">
        <is>
          <t>TRADE</t>
        </is>
      </c>
      <c r="P188" t="inlineStr">
        <is>
          <t>CALL SHEET · row 188</t>
        </is>
      </c>
      <c r="Q188">
        <f>E188+ROW()*0.000000001</f>
        <v/>
      </c>
    </row>
    <row r="189">
      <c r="A189">
        <f>IF('CALL SHEET'!$A$189="","",'CALL SHEET'!$A$189)</f>
        <v/>
      </c>
      <c r="B189">
        <f>IF('CALL SHEET'!$C$189="","",'CALL SHEET'!$C$189)</f>
        <v/>
      </c>
      <c r="C189">
        <f>'CALL SHEET'!$U$189</f>
        <v/>
      </c>
      <c r="D189">
        <f>'CALL SHEET'!$AB$189</f>
        <v/>
      </c>
      <c r="E189">
        <f>'CALL SHEET'!$AF$189</f>
        <v/>
      </c>
      <c r="F189">
        <f>IF('CALL SHEET'!$V$189="","",'CALL SHEET'!$V$189)</f>
        <v/>
      </c>
      <c r="G189">
        <f>IF('CALL SHEET'!$D$189="","",'CALL SHEET'!$D$189)</f>
        <v/>
      </c>
      <c r="H189">
        <f>IF('CALL SHEET'!$G$189="","",'CALL SHEET'!$G$189)</f>
        <v/>
      </c>
      <c r="I189">
        <f>IF('CALL SHEET'!$AY$189="","",'CALL SHEET'!$AY$189)</f>
        <v/>
      </c>
      <c r="J189">
        <f>IF('CALL SHEET'!$BC$189="","",'CALL SHEET'!$BC$189)</f>
        <v/>
      </c>
      <c r="K189">
        <f>IF('CALL SHEET'!$N$189="","",'CALL SHEET'!$N$189)</f>
        <v/>
      </c>
      <c r="L189">
        <f>IF('CALL SHEET'!$AH$189="","",'CALL SHEET'!$AH$189)</f>
        <v/>
      </c>
      <c r="M189">
        <f>IF('CALL SHEET'!$AO$189="","",'CALL SHEET'!$AO$189)</f>
        <v/>
      </c>
      <c r="N189">
        <f>IF('CALL SHEET'!$BF$189="","",'CALL SHEET'!$BF$189)</f>
        <v/>
      </c>
      <c r="O189" t="inlineStr">
        <is>
          <t>TRADE</t>
        </is>
      </c>
      <c r="P189" t="inlineStr">
        <is>
          <t>CALL SHEET · row 189</t>
        </is>
      </c>
      <c r="Q189">
        <f>E189+ROW()*0.000000001</f>
        <v/>
      </c>
    </row>
    <row r="190">
      <c r="A190">
        <f>IF('CALL SHEET'!$A$190="","",'CALL SHEET'!$A$190)</f>
        <v/>
      </c>
      <c r="B190">
        <f>IF('CALL SHEET'!$C$190="","",'CALL SHEET'!$C$190)</f>
        <v/>
      </c>
      <c r="C190">
        <f>'CALL SHEET'!$U$190</f>
        <v/>
      </c>
      <c r="D190">
        <f>'CALL SHEET'!$AB$190</f>
        <v/>
      </c>
      <c r="E190">
        <f>'CALL SHEET'!$AF$190</f>
        <v/>
      </c>
      <c r="F190">
        <f>IF('CALL SHEET'!$V$190="","",'CALL SHEET'!$V$190)</f>
        <v/>
      </c>
      <c r="G190">
        <f>IF('CALL SHEET'!$D$190="","",'CALL SHEET'!$D$190)</f>
        <v/>
      </c>
      <c r="H190">
        <f>IF('CALL SHEET'!$G$190="","",'CALL SHEET'!$G$190)</f>
        <v/>
      </c>
      <c r="I190">
        <f>IF('CALL SHEET'!$AY$190="","",'CALL SHEET'!$AY$190)</f>
        <v/>
      </c>
      <c r="J190">
        <f>IF('CALL SHEET'!$BC$190="","",'CALL SHEET'!$BC$190)</f>
        <v/>
      </c>
      <c r="K190">
        <f>IF('CALL SHEET'!$N$190="","",'CALL SHEET'!$N$190)</f>
        <v/>
      </c>
      <c r="L190">
        <f>IF('CALL SHEET'!$AH$190="","",'CALL SHEET'!$AH$190)</f>
        <v/>
      </c>
      <c r="M190">
        <f>IF('CALL SHEET'!$AO$190="","",'CALL SHEET'!$AO$190)</f>
        <v/>
      </c>
      <c r="N190">
        <f>IF('CALL SHEET'!$BF$190="","",'CALL SHEET'!$BF$190)</f>
        <v/>
      </c>
      <c r="O190" t="inlineStr">
        <is>
          <t>TRADE</t>
        </is>
      </c>
      <c r="P190" t="inlineStr">
        <is>
          <t>CALL SHEET · row 190</t>
        </is>
      </c>
      <c r="Q190">
        <f>E190+ROW()*0.000000001</f>
        <v/>
      </c>
    </row>
    <row r="191">
      <c r="A191">
        <f>IF('CALL SHEET'!$A$191="","",'CALL SHEET'!$A$191)</f>
        <v/>
      </c>
      <c r="B191">
        <f>IF('CALL SHEET'!$C$191="","",'CALL SHEET'!$C$191)</f>
        <v/>
      </c>
      <c r="C191">
        <f>'CALL SHEET'!$U$191</f>
        <v/>
      </c>
      <c r="D191">
        <f>'CALL SHEET'!$AB$191</f>
        <v/>
      </c>
      <c r="E191">
        <f>'CALL SHEET'!$AF$191</f>
        <v/>
      </c>
      <c r="F191">
        <f>IF('CALL SHEET'!$V$191="","",'CALL SHEET'!$V$191)</f>
        <v/>
      </c>
      <c r="G191">
        <f>IF('CALL SHEET'!$D$191="","",'CALL SHEET'!$D$191)</f>
        <v/>
      </c>
      <c r="H191">
        <f>IF('CALL SHEET'!$G$191="","",'CALL SHEET'!$G$191)</f>
        <v/>
      </c>
      <c r="I191">
        <f>IF('CALL SHEET'!$AY$191="","",'CALL SHEET'!$AY$191)</f>
        <v/>
      </c>
      <c r="J191">
        <f>IF('CALL SHEET'!$BC$191="","",'CALL SHEET'!$BC$191)</f>
        <v/>
      </c>
      <c r="K191">
        <f>IF('CALL SHEET'!$N$191="","",'CALL SHEET'!$N$191)</f>
        <v/>
      </c>
      <c r="L191">
        <f>IF('CALL SHEET'!$AH$191="","",'CALL SHEET'!$AH$191)</f>
        <v/>
      </c>
      <c r="M191">
        <f>IF('CALL SHEET'!$AO$191="","",'CALL SHEET'!$AO$191)</f>
        <v/>
      </c>
      <c r="N191">
        <f>IF('CALL SHEET'!$BF$191="","",'CALL SHEET'!$BF$191)</f>
        <v/>
      </c>
      <c r="O191" t="inlineStr">
        <is>
          <t>TRADE</t>
        </is>
      </c>
      <c r="P191" t="inlineStr">
        <is>
          <t>CALL SHEET · row 191</t>
        </is>
      </c>
      <c r="Q191">
        <f>E191+ROW()*0.000000001</f>
        <v/>
      </c>
    </row>
    <row r="192">
      <c r="A192">
        <f>IF('CALL SHEET'!$A$192="","",'CALL SHEET'!$A$192)</f>
        <v/>
      </c>
      <c r="B192">
        <f>IF('CALL SHEET'!$C$192="","",'CALL SHEET'!$C$192)</f>
        <v/>
      </c>
      <c r="C192">
        <f>'CALL SHEET'!$U$192</f>
        <v/>
      </c>
      <c r="D192">
        <f>'CALL SHEET'!$AB$192</f>
        <v/>
      </c>
      <c r="E192">
        <f>'CALL SHEET'!$AF$192</f>
        <v/>
      </c>
      <c r="F192">
        <f>IF('CALL SHEET'!$V$192="","",'CALL SHEET'!$V$192)</f>
        <v/>
      </c>
      <c r="G192">
        <f>IF('CALL SHEET'!$D$192="","",'CALL SHEET'!$D$192)</f>
        <v/>
      </c>
      <c r="H192">
        <f>IF('CALL SHEET'!$G$192="","",'CALL SHEET'!$G$192)</f>
        <v/>
      </c>
      <c r="I192">
        <f>IF('CALL SHEET'!$AY$192="","",'CALL SHEET'!$AY$192)</f>
        <v/>
      </c>
      <c r="J192">
        <f>IF('CALL SHEET'!$BC$192="","",'CALL SHEET'!$BC$192)</f>
        <v/>
      </c>
      <c r="K192">
        <f>IF('CALL SHEET'!$N$192="","",'CALL SHEET'!$N$192)</f>
        <v/>
      </c>
      <c r="L192">
        <f>IF('CALL SHEET'!$AH$192="","",'CALL SHEET'!$AH$192)</f>
        <v/>
      </c>
      <c r="M192">
        <f>IF('CALL SHEET'!$AO$192="","",'CALL SHEET'!$AO$192)</f>
        <v/>
      </c>
      <c r="N192">
        <f>IF('CALL SHEET'!$BF$192="","",'CALL SHEET'!$BF$192)</f>
        <v/>
      </c>
      <c r="O192" t="inlineStr">
        <is>
          <t>TRADE</t>
        </is>
      </c>
      <c r="P192" t="inlineStr">
        <is>
          <t>CALL SHEET · row 192</t>
        </is>
      </c>
      <c r="Q192">
        <f>E192+ROW()*0.000000001</f>
        <v/>
      </c>
    </row>
    <row r="193">
      <c r="A193">
        <f>IF('CALL SHEET'!$A$193="","",'CALL SHEET'!$A$193)</f>
        <v/>
      </c>
      <c r="B193">
        <f>IF('CALL SHEET'!$C$193="","",'CALL SHEET'!$C$193)</f>
        <v/>
      </c>
      <c r="C193">
        <f>'CALL SHEET'!$U$193</f>
        <v/>
      </c>
      <c r="D193">
        <f>'CALL SHEET'!$AB$193</f>
        <v/>
      </c>
      <c r="E193">
        <f>'CALL SHEET'!$AF$193</f>
        <v/>
      </c>
      <c r="F193">
        <f>IF('CALL SHEET'!$V$193="","",'CALL SHEET'!$V$193)</f>
        <v/>
      </c>
      <c r="G193">
        <f>IF('CALL SHEET'!$D$193="","",'CALL SHEET'!$D$193)</f>
        <v/>
      </c>
      <c r="H193">
        <f>IF('CALL SHEET'!$G$193="","",'CALL SHEET'!$G$193)</f>
        <v/>
      </c>
      <c r="I193">
        <f>IF('CALL SHEET'!$AY$193="","",'CALL SHEET'!$AY$193)</f>
        <v/>
      </c>
      <c r="J193">
        <f>IF('CALL SHEET'!$BC$193="","",'CALL SHEET'!$BC$193)</f>
        <v/>
      </c>
      <c r="K193">
        <f>IF('CALL SHEET'!$N$193="","",'CALL SHEET'!$N$193)</f>
        <v/>
      </c>
      <c r="L193">
        <f>IF('CALL SHEET'!$AH$193="","",'CALL SHEET'!$AH$193)</f>
        <v/>
      </c>
      <c r="M193">
        <f>IF('CALL SHEET'!$AO$193="","",'CALL SHEET'!$AO$193)</f>
        <v/>
      </c>
      <c r="N193">
        <f>IF('CALL SHEET'!$BF$193="","",'CALL SHEET'!$BF$193)</f>
        <v/>
      </c>
      <c r="O193" t="inlineStr">
        <is>
          <t>TRADE</t>
        </is>
      </c>
      <c r="P193" t="inlineStr">
        <is>
          <t>CALL SHEET · row 193</t>
        </is>
      </c>
      <c r="Q193">
        <f>E193+ROW()*0.000000001</f>
        <v/>
      </c>
    </row>
    <row r="194">
      <c r="A194">
        <f>IF('CALL SHEET'!$A$194="","",'CALL SHEET'!$A$194)</f>
        <v/>
      </c>
      <c r="B194">
        <f>IF('CALL SHEET'!$C$194="","",'CALL SHEET'!$C$194)</f>
        <v/>
      </c>
      <c r="C194">
        <f>'CALL SHEET'!$U$194</f>
        <v/>
      </c>
      <c r="D194">
        <f>'CALL SHEET'!$AB$194</f>
        <v/>
      </c>
      <c r="E194">
        <f>'CALL SHEET'!$AF$194</f>
        <v/>
      </c>
      <c r="F194">
        <f>IF('CALL SHEET'!$V$194="","",'CALL SHEET'!$V$194)</f>
        <v/>
      </c>
      <c r="G194">
        <f>IF('CALL SHEET'!$D$194="","",'CALL SHEET'!$D$194)</f>
        <v/>
      </c>
      <c r="H194">
        <f>IF('CALL SHEET'!$G$194="","",'CALL SHEET'!$G$194)</f>
        <v/>
      </c>
      <c r="I194">
        <f>IF('CALL SHEET'!$AY$194="","",'CALL SHEET'!$AY$194)</f>
        <v/>
      </c>
      <c r="J194">
        <f>IF('CALL SHEET'!$BC$194="","",'CALL SHEET'!$BC$194)</f>
        <v/>
      </c>
      <c r="K194">
        <f>IF('CALL SHEET'!$N$194="","",'CALL SHEET'!$N$194)</f>
        <v/>
      </c>
      <c r="L194">
        <f>IF('CALL SHEET'!$AH$194="","",'CALL SHEET'!$AH$194)</f>
        <v/>
      </c>
      <c r="M194">
        <f>IF('CALL SHEET'!$AO$194="","",'CALL SHEET'!$AO$194)</f>
        <v/>
      </c>
      <c r="N194">
        <f>IF('CALL SHEET'!$BF$194="","",'CALL SHEET'!$BF$194)</f>
        <v/>
      </c>
      <c r="O194" t="inlineStr">
        <is>
          <t>TRADE</t>
        </is>
      </c>
      <c r="P194" t="inlineStr">
        <is>
          <t>CALL SHEET · row 194</t>
        </is>
      </c>
      <c r="Q194">
        <f>E194+ROW()*0.000000001</f>
        <v/>
      </c>
    </row>
    <row r="195">
      <c r="A195">
        <f>IF('CALL SHEET'!$A$195="","",'CALL SHEET'!$A$195)</f>
        <v/>
      </c>
      <c r="B195">
        <f>IF('CALL SHEET'!$C$195="","",'CALL SHEET'!$C$195)</f>
        <v/>
      </c>
      <c r="C195">
        <f>'CALL SHEET'!$U$195</f>
        <v/>
      </c>
      <c r="D195">
        <f>'CALL SHEET'!$AB$195</f>
        <v/>
      </c>
      <c r="E195">
        <f>'CALL SHEET'!$AF$195</f>
        <v/>
      </c>
      <c r="F195">
        <f>IF('CALL SHEET'!$V$195="","",'CALL SHEET'!$V$195)</f>
        <v/>
      </c>
      <c r="G195">
        <f>IF('CALL SHEET'!$D$195="","",'CALL SHEET'!$D$195)</f>
        <v/>
      </c>
      <c r="H195">
        <f>IF('CALL SHEET'!$G$195="","",'CALL SHEET'!$G$195)</f>
        <v/>
      </c>
      <c r="I195">
        <f>IF('CALL SHEET'!$AY$195="","",'CALL SHEET'!$AY$195)</f>
        <v/>
      </c>
      <c r="J195">
        <f>IF('CALL SHEET'!$BC$195="","",'CALL SHEET'!$BC$195)</f>
        <v/>
      </c>
      <c r="K195">
        <f>IF('CALL SHEET'!$N$195="","",'CALL SHEET'!$N$195)</f>
        <v/>
      </c>
      <c r="L195">
        <f>IF('CALL SHEET'!$AH$195="","",'CALL SHEET'!$AH$195)</f>
        <v/>
      </c>
      <c r="M195">
        <f>IF('CALL SHEET'!$AO$195="","",'CALL SHEET'!$AO$195)</f>
        <v/>
      </c>
      <c r="N195">
        <f>IF('CALL SHEET'!$BF$195="","",'CALL SHEET'!$BF$195)</f>
        <v/>
      </c>
      <c r="O195" t="inlineStr">
        <is>
          <t>TRADE</t>
        </is>
      </c>
      <c r="P195" t="inlineStr">
        <is>
          <t>CALL SHEET · row 195</t>
        </is>
      </c>
      <c r="Q195">
        <f>E195+ROW()*0.000000001</f>
        <v/>
      </c>
    </row>
    <row r="196">
      <c r="A196">
        <f>IF('CALL SHEET'!$A$196="","",'CALL SHEET'!$A$196)</f>
        <v/>
      </c>
      <c r="B196">
        <f>IF('CALL SHEET'!$C$196="","",'CALL SHEET'!$C$196)</f>
        <v/>
      </c>
      <c r="C196">
        <f>'CALL SHEET'!$U$196</f>
        <v/>
      </c>
      <c r="D196">
        <f>'CALL SHEET'!$AB$196</f>
        <v/>
      </c>
      <c r="E196">
        <f>'CALL SHEET'!$AF$196</f>
        <v/>
      </c>
      <c r="F196">
        <f>IF('CALL SHEET'!$V$196="","",'CALL SHEET'!$V$196)</f>
        <v/>
      </c>
      <c r="G196">
        <f>IF('CALL SHEET'!$D$196="","",'CALL SHEET'!$D$196)</f>
        <v/>
      </c>
      <c r="H196">
        <f>IF('CALL SHEET'!$G$196="","",'CALL SHEET'!$G$196)</f>
        <v/>
      </c>
      <c r="I196">
        <f>IF('CALL SHEET'!$AY$196="","",'CALL SHEET'!$AY$196)</f>
        <v/>
      </c>
      <c r="J196">
        <f>IF('CALL SHEET'!$BC$196="","",'CALL SHEET'!$BC$196)</f>
        <v/>
      </c>
      <c r="K196">
        <f>IF('CALL SHEET'!$N$196="","",'CALL SHEET'!$N$196)</f>
        <v/>
      </c>
      <c r="L196">
        <f>IF('CALL SHEET'!$AH$196="","",'CALL SHEET'!$AH$196)</f>
        <v/>
      </c>
      <c r="M196">
        <f>IF('CALL SHEET'!$AO$196="","",'CALL SHEET'!$AO$196)</f>
        <v/>
      </c>
      <c r="N196">
        <f>IF('CALL SHEET'!$BF$196="","",'CALL SHEET'!$BF$196)</f>
        <v/>
      </c>
      <c r="O196" t="inlineStr">
        <is>
          <t>TRADE</t>
        </is>
      </c>
      <c r="P196" t="inlineStr">
        <is>
          <t>CALL SHEET · row 196</t>
        </is>
      </c>
      <c r="Q196">
        <f>E196+ROW()*0.000000001</f>
        <v/>
      </c>
    </row>
    <row r="197">
      <c r="A197">
        <f>IF('CALL SHEET'!$A$197="","",'CALL SHEET'!$A$197)</f>
        <v/>
      </c>
      <c r="B197">
        <f>IF('CALL SHEET'!$C$197="","",'CALL SHEET'!$C$197)</f>
        <v/>
      </c>
      <c r="C197">
        <f>'CALL SHEET'!$U$197</f>
        <v/>
      </c>
      <c r="D197">
        <f>'CALL SHEET'!$AB$197</f>
        <v/>
      </c>
      <c r="E197">
        <f>'CALL SHEET'!$AF$197</f>
        <v/>
      </c>
      <c r="F197">
        <f>IF('CALL SHEET'!$V$197="","",'CALL SHEET'!$V$197)</f>
        <v/>
      </c>
      <c r="G197">
        <f>IF('CALL SHEET'!$D$197="","",'CALL SHEET'!$D$197)</f>
        <v/>
      </c>
      <c r="H197">
        <f>IF('CALL SHEET'!$G$197="","",'CALL SHEET'!$G$197)</f>
        <v/>
      </c>
      <c r="I197">
        <f>IF('CALL SHEET'!$AY$197="","",'CALL SHEET'!$AY$197)</f>
        <v/>
      </c>
      <c r="J197">
        <f>IF('CALL SHEET'!$BC$197="","",'CALL SHEET'!$BC$197)</f>
        <v/>
      </c>
      <c r="K197">
        <f>IF('CALL SHEET'!$N$197="","",'CALL SHEET'!$N$197)</f>
        <v/>
      </c>
      <c r="L197">
        <f>IF('CALL SHEET'!$AH$197="","",'CALL SHEET'!$AH$197)</f>
        <v/>
      </c>
      <c r="M197">
        <f>IF('CALL SHEET'!$AO$197="","",'CALL SHEET'!$AO$197)</f>
        <v/>
      </c>
      <c r="N197">
        <f>IF('CALL SHEET'!$BF$197="","",'CALL SHEET'!$BF$197)</f>
        <v/>
      </c>
      <c r="O197" t="inlineStr">
        <is>
          <t>TRADE</t>
        </is>
      </c>
      <c r="P197" t="inlineStr">
        <is>
          <t>CALL SHEET · row 197</t>
        </is>
      </c>
      <c r="Q197">
        <f>E197+ROW()*0.000000001</f>
        <v/>
      </c>
    </row>
    <row r="198">
      <c r="A198">
        <f>IF('CALL SHEET'!$A$198="","",'CALL SHEET'!$A$198)</f>
        <v/>
      </c>
      <c r="B198">
        <f>IF('CALL SHEET'!$C$198="","",'CALL SHEET'!$C$198)</f>
        <v/>
      </c>
      <c r="C198">
        <f>'CALL SHEET'!$U$198</f>
        <v/>
      </c>
      <c r="D198">
        <f>'CALL SHEET'!$AB$198</f>
        <v/>
      </c>
      <c r="E198">
        <f>'CALL SHEET'!$AF$198</f>
        <v/>
      </c>
      <c r="F198">
        <f>IF('CALL SHEET'!$V$198="","",'CALL SHEET'!$V$198)</f>
        <v/>
      </c>
      <c r="G198">
        <f>IF('CALL SHEET'!$D$198="","",'CALL SHEET'!$D$198)</f>
        <v/>
      </c>
      <c r="H198">
        <f>IF('CALL SHEET'!$G$198="","",'CALL SHEET'!$G$198)</f>
        <v/>
      </c>
      <c r="I198">
        <f>IF('CALL SHEET'!$AY$198="","",'CALL SHEET'!$AY$198)</f>
        <v/>
      </c>
      <c r="J198">
        <f>IF('CALL SHEET'!$BC$198="","",'CALL SHEET'!$BC$198)</f>
        <v/>
      </c>
      <c r="K198">
        <f>IF('CALL SHEET'!$N$198="","",'CALL SHEET'!$N$198)</f>
        <v/>
      </c>
      <c r="L198">
        <f>IF('CALL SHEET'!$AH$198="","",'CALL SHEET'!$AH$198)</f>
        <v/>
      </c>
      <c r="M198">
        <f>IF('CALL SHEET'!$AO$198="","",'CALL SHEET'!$AO$198)</f>
        <v/>
      </c>
      <c r="N198">
        <f>IF('CALL SHEET'!$BF$198="","",'CALL SHEET'!$BF$198)</f>
        <v/>
      </c>
      <c r="O198" t="inlineStr">
        <is>
          <t>TRADE</t>
        </is>
      </c>
      <c r="P198" t="inlineStr">
        <is>
          <t>CALL SHEET · row 198</t>
        </is>
      </c>
      <c r="Q198">
        <f>E198+ROW()*0.000000001</f>
        <v/>
      </c>
    </row>
    <row r="199">
      <c r="A199">
        <f>IF('CALL SHEET'!$A$199="","",'CALL SHEET'!$A$199)</f>
        <v/>
      </c>
      <c r="B199">
        <f>IF('CALL SHEET'!$C$199="","",'CALL SHEET'!$C$199)</f>
        <v/>
      </c>
      <c r="C199">
        <f>'CALL SHEET'!$U$199</f>
        <v/>
      </c>
      <c r="D199">
        <f>'CALL SHEET'!$AB$199</f>
        <v/>
      </c>
      <c r="E199">
        <f>'CALL SHEET'!$AF$199</f>
        <v/>
      </c>
      <c r="F199">
        <f>IF('CALL SHEET'!$V$199="","",'CALL SHEET'!$V$199)</f>
        <v/>
      </c>
      <c r="G199">
        <f>IF('CALL SHEET'!$D$199="","",'CALL SHEET'!$D$199)</f>
        <v/>
      </c>
      <c r="H199">
        <f>IF('CALL SHEET'!$G$199="","",'CALL SHEET'!$G$199)</f>
        <v/>
      </c>
      <c r="I199">
        <f>IF('CALL SHEET'!$AY$199="","",'CALL SHEET'!$AY$199)</f>
        <v/>
      </c>
      <c r="J199">
        <f>IF('CALL SHEET'!$BC$199="","",'CALL SHEET'!$BC$199)</f>
        <v/>
      </c>
      <c r="K199">
        <f>IF('CALL SHEET'!$N$199="","",'CALL SHEET'!$N$199)</f>
        <v/>
      </c>
      <c r="L199">
        <f>IF('CALL SHEET'!$AH$199="","",'CALL SHEET'!$AH$199)</f>
        <v/>
      </c>
      <c r="M199">
        <f>IF('CALL SHEET'!$AO$199="","",'CALL SHEET'!$AO$199)</f>
        <v/>
      </c>
      <c r="N199">
        <f>IF('CALL SHEET'!$BF$199="","",'CALL SHEET'!$BF$199)</f>
        <v/>
      </c>
      <c r="O199" t="inlineStr">
        <is>
          <t>TRADE</t>
        </is>
      </c>
      <c r="P199" t="inlineStr">
        <is>
          <t>CALL SHEET · row 199</t>
        </is>
      </c>
      <c r="Q199">
        <f>E199+ROW()*0.000000001</f>
        <v/>
      </c>
    </row>
    <row r="200">
      <c r="A200">
        <f>IF('CALL SHEET'!$A$200="","",'CALL SHEET'!$A$200)</f>
        <v/>
      </c>
      <c r="B200">
        <f>IF('CALL SHEET'!$C$200="","",'CALL SHEET'!$C$200)</f>
        <v/>
      </c>
      <c r="C200">
        <f>'CALL SHEET'!$U$200</f>
        <v/>
      </c>
      <c r="D200">
        <f>'CALL SHEET'!$AB$200</f>
        <v/>
      </c>
      <c r="E200">
        <f>'CALL SHEET'!$AF$200</f>
        <v/>
      </c>
      <c r="F200">
        <f>IF('CALL SHEET'!$V$200="","",'CALL SHEET'!$V$200)</f>
        <v/>
      </c>
      <c r="G200">
        <f>IF('CALL SHEET'!$D$200="","",'CALL SHEET'!$D$200)</f>
        <v/>
      </c>
      <c r="H200">
        <f>IF('CALL SHEET'!$G$200="","",'CALL SHEET'!$G$200)</f>
        <v/>
      </c>
      <c r="I200">
        <f>IF('CALL SHEET'!$AY$200="","",'CALL SHEET'!$AY$200)</f>
        <v/>
      </c>
      <c r="J200">
        <f>IF('CALL SHEET'!$BC$200="","",'CALL SHEET'!$BC$200)</f>
        <v/>
      </c>
      <c r="K200">
        <f>IF('CALL SHEET'!$N$200="","",'CALL SHEET'!$N$200)</f>
        <v/>
      </c>
      <c r="L200">
        <f>IF('CALL SHEET'!$AH$200="","",'CALL SHEET'!$AH$200)</f>
        <v/>
      </c>
      <c r="M200">
        <f>IF('CALL SHEET'!$AO$200="","",'CALL SHEET'!$AO$200)</f>
        <v/>
      </c>
      <c r="N200">
        <f>IF('CALL SHEET'!$BF$200="","",'CALL SHEET'!$BF$200)</f>
        <v/>
      </c>
      <c r="O200" t="inlineStr">
        <is>
          <t>TRADE</t>
        </is>
      </c>
      <c r="P200" t="inlineStr">
        <is>
          <t>CALL SHEET · row 200</t>
        </is>
      </c>
      <c r="Q200">
        <f>E200+ROW()*0.000000001</f>
        <v/>
      </c>
    </row>
    <row r="201">
      <c r="A201">
        <f>IF('CALL SHEET'!$A$201="","",'CALL SHEET'!$A$201)</f>
        <v/>
      </c>
      <c r="B201">
        <f>IF('CALL SHEET'!$C$201="","",'CALL SHEET'!$C$201)</f>
        <v/>
      </c>
      <c r="C201">
        <f>'CALL SHEET'!$U$201</f>
        <v/>
      </c>
      <c r="D201">
        <f>'CALL SHEET'!$AB$201</f>
        <v/>
      </c>
      <c r="E201">
        <f>'CALL SHEET'!$AF$201</f>
        <v/>
      </c>
      <c r="F201">
        <f>IF('CALL SHEET'!$V$201="","",'CALL SHEET'!$V$201)</f>
        <v/>
      </c>
      <c r="G201">
        <f>IF('CALL SHEET'!$D$201="","",'CALL SHEET'!$D$201)</f>
        <v/>
      </c>
      <c r="H201">
        <f>IF('CALL SHEET'!$G$201="","",'CALL SHEET'!$G$201)</f>
        <v/>
      </c>
      <c r="I201">
        <f>IF('CALL SHEET'!$AY$201="","",'CALL SHEET'!$AY$201)</f>
        <v/>
      </c>
      <c r="J201">
        <f>IF('CALL SHEET'!$BC$201="","",'CALL SHEET'!$BC$201)</f>
        <v/>
      </c>
      <c r="K201">
        <f>IF('CALL SHEET'!$N$201="","",'CALL SHEET'!$N$201)</f>
        <v/>
      </c>
      <c r="L201">
        <f>IF('CALL SHEET'!$AH$201="","",'CALL SHEET'!$AH$201)</f>
        <v/>
      </c>
      <c r="M201">
        <f>IF('CALL SHEET'!$AO$201="","",'CALL SHEET'!$AO$201)</f>
        <v/>
      </c>
      <c r="N201">
        <f>IF('CALL SHEET'!$BF$201="","",'CALL SHEET'!$BF$201)</f>
        <v/>
      </c>
      <c r="O201" t="inlineStr">
        <is>
          <t>TRADE</t>
        </is>
      </c>
      <c r="P201" t="inlineStr">
        <is>
          <t>CALL SHEET · row 201</t>
        </is>
      </c>
      <c r="Q201">
        <f>E201+ROW()*0.000000001</f>
        <v/>
      </c>
    </row>
    <row r="202">
      <c r="A202">
        <f>IF('CALL SHEET'!$A$202="","",'CALL SHEET'!$A$202)</f>
        <v/>
      </c>
      <c r="B202">
        <f>IF('CALL SHEET'!$C$202="","",'CALL SHEET'!$C$202)</f>
        <v/>
      </c>
      <c r="C202">
        <f>'CALL SHEET'!$U$202</f>
        <v/>
      </c>
      <c r="D202">
        <f>'CALL SHEET'!$AB$202</f>
        <v/>
      </c>
      <c r="E202">
        <f>'CALL SHEET'!$AF$202</f>
        <v/>
      </c>
      <c r="F202">
        <f>IF('CALL SHEET'!$V$202="","",'CALL SHEET'!$V$202)</f>
        <v/>
      </c>
      <c r="G202">
        <f>IF('CALL SHEET'!$D$202="","",'CALL SHEET'!$D$202)</f>
        <v/>
      </c>
      <c r="H202">
        <f>IF('CALL SHEET'!$G$202="","",'CALL SHEET'!$G$202)</f>
        <v/>
      </c>
      <c r="I202">
        <f>IF('CALL SHEET'!$AY$202="","",'CALL SHEET'!$AY$202)</f>
        <v/>
      </c>
      <c r="J202">
        <f>IF('CALL SHEET'!$BC$202="","",'CALL SHEET'!$BC$202)</f>
        <v/>
      </c>
      <c r="K202">
        <f>IF('CALL SHEET'!$N$202="","",'CALL SHEET'!$N$202)</f>
        <v/>
      </c>
      <c r="L202">
        <f>IF('CALL SHEET'!$AH$202="","",'CALL SHEET'!$AH$202)</f>
        <v/>
      </c>
      <c r="M202">
        <f>IF('CALL SHEET'!$AO$202="","",'CALL SHEET'!$AO$202)</f>
        <v/>
      </c>
      <c r="N202">
        <f>IF('CALL SHEET'!$BF$202="","",'CALL SHEET'!$BF$202)</f>
        <v/>
      </c>
      <c r="O202" t="inlineStr">
        <is>
          <t>TRADE</t>
        </is>
      </c>
      <c r="P202" t="inlineStr">
        <is>
          <t>CALL SHEET · row 202</t>
        </is>
      </c>
      <c r="Q202">
        <f>E202+ROW()*0.000000001</f>
        <v/>
      </c>
    </row>
    <row r="203">
      <c r="A203">
        <f>IF('CALL SHEET'!$A$203="","",'CALL SHEET'!$A$203)</f>
        <v/>
      </c>
      <c r="B203">
        <f>IF('CALL SHEET'!$C$203="","",'CALL SHEET'!$C$203)</f>
        <v/>
      </c>
      <c r="C203">
        <f>'CALL SHEET'!$U$203</f>
        <v/>
      </c>
      <c r="D203">
        <f>'CALL SHEET'!$AB$203</f>
        <v/>
      </c>
      <c r="E203">
        <f>'CALL SHEET'!$AF$203</f>
        <v/>
      </c>
      <c r="F203">
        <f>IF('CALL SHEET'!$V$203="","",'CALL SHEET'!$V$203)</f>
        <v/>
      </c>
      <c r="G203">
        <f>IF('CALL SHEET'!$D$203="","",'CALL SHEET'!$D$203)</f>
        <v/>
      </c>
      <c r="H203">
        <f>IF('CALL SHEET'!$G$203="","",'CALL SHEET'!$G$203)</f>
        <v/>
      </c>
      <c r="I203">
        <f>IF('CALL SHEET'!$AY$203="","",'CALL SHEET'!$AY$203)</f>
        <v/>
      </c>
      <c r="J203">
        <f>IF('CALL SHEET'!$BC$203="","",'CALL SHEET'!$BC$203)</f>
        <v/>
      </c>
      <c r="K203">
        <f>IF('CALL SHEET'!$N$203="","",'CALL SHEET'!$N$203)</f>
        <v/>
      </c>
      <c r="L203">
        <f>IF('CALL SHEET'!$AH$203="","",'CALL SHEET'!$AH$203)</f>
        <v/>
      </c>
      <c r="M203">
        <f>IF('CALL SHEET'!$AO$203="","",'CALL SHEET'!$AO$203)</f>
        <v/>
      </c>
      <c r="N203">
        <f>IF('CALL SHEET'!$BF$203="","",'CALL SHEET'!$BF$203)</f>
        <v/>
      </c>
      <c r="O203" t="inlineStr">
        <is>
          <t>TRADE</t>
        </is>
      </c>
      <c r="P203" t="inlineStr">
        <is>
          <t>CALL SHEET · row 203</t>
        </is>
      </c>
      <c r="Q203">
        <f>E203+ROW()*0.000000001</f>
        <v/>
      </c>
    </row>
    <row r="204">
      <c r="A204">
        <f>IF('CALL SHEET'!$A$204="","",'CALL SHEET'!$A$204)</f>
        <v/>
      </c>
      <c r="B204">
        <f>IF('CALL SHEET'!$C$204="","",'CALL SHEET'!$C$204)</f>
        <v/>
      </c>
      <c r="C204">
        <f>'CALL SHEET'!$U$204</f>
        <v/>
      </c>
      <c r="D204">
        <f>'CALL SHEET'!$AB$204</f>
        <v/>
      </c>
      <c r="E204">
        <f>'CALL SHEET'!$AF$204</f>
        <v/>
      </c>
      <c r="F204">
        <f>IF('CALL SHEET'!$V$204="","",'CALL SHEET'!$V$204)</f>
        <v/>
      </c>
      <c r="G204">
        <f>IF('CALL SHEET'!$D$204="","",'CALL SHEET'!$D$204)</f>
        <v/>
      </c>
      <c r="H204">
        <f>IF('CALL SHEET'!$G$204="","",'CALL SHEET'!$G$204)</f>
        <v/>
      </c>
      <c r="I204">
        <f>IF('CALL SHEET'!$AY$204="","",'CALL SHEET'!$AY$204)</f>
        <v/>
      </c>
      <c r="J204">
        <f>IF('CALL SHEET'!$BC$204="","",'CALL SHEET'!$BC$204)</f>
        <v/>
      </c>
      <c r="K204">
        <f>IF('CALL SHEET'!$N$204="","",'CALL SHEET'!$N$204)</f>
        <v/>
      </c>
      <c r="L204">
        <f>IF('CALL SHEET'!$AH$204="","",'CALL SHEET'!$AH$204)</f>
        <v/>
      </c>
      <c r="M204">
        <f>IF('CALL SHEET'!$AO$204="","",'CALL SHEET'!$AO$204)</f>
        <v/>
      </c>
      <c r="N204">
        <f>IF('CALL SHEET'!$BF$204="","",'CALL SHEET'!$BF$204)</f>
        <v/>
      </c>
      <c r="O204" t="inlineStr">
        <is>
          <t>TRADE</t>
        </is>
      </c>
      <c r="P204" t="inlineStr">
        <is>
          <t>CALL SHEET · row 204</t>
        </is>
      </c>
      <c r="Q204">
        <f>E204+ROW()*0.000000001</f>
        <v/>
      </c>
    </row>
    <row r="205">
      <c r="A205">
        <f>IF('CALL SHEET'!$A$205="","",'CALL SHEET'!$A$205)</f>
        <v/>
      </c>
      <c r="B205">
        <f>IF('CALL SHEET'!$C$205="","",'CALL SHEET'!$C$205)</f>
        <v/>
      </c>
      <c r="C205">
        <f>'CALL SHEET'!$U$205</f>
        <v/>
      </c>
      <c r="D205">
        <f>'CALL SHEET'!$AB$205</f>
        <v/>
      </c>
      <c r="E205">
        <f>'CALL SHEET'!$AF$205</f>
        <v/>
      </c>
      <c r="F205">
        <f>IF('CALL SHEET'!$V$205="","",'CALL SHEET'!$V$205)</f>
        <v/>
      </c>
      <c r="G205">
        <f>IF('CALL SHEET'!$D$205="","",'CALL SHEET'!$D$205)</f>
        <v/>
      </c>
      <c r="H205">
        <f>IF('CALL SHEET'!$G$205="","",'CALL SHEET'!$G$205)</f>
        <v/>
      </c>
      <c r="I205">
        <f>IF('CALL SHEET'!$AY$205="","",'CALL SHEET'!$AY$205)</f>
        <v/>
      </c>
      <c r="J205">
        <f>IF('CALL SHEET'!$BC$205="","",'CALL SHEET'!$BC$205)</f>
        <v/>
      </c>
      <c r="K205">
        <f>IF('CALL SHEET'!$N$205="","",'CALL SHEET'!$N$205)</f>
        <v/>
      </c>
      <c r="L205">
        <f>IF('CALL SHEET'!$AH$205="","",'CALL SHEET'!$AH$205)</f>
        <v/>
      </c>
      <c r="M205">
        <f>IF('CALL SHEET'!$AO$205="","",'CALL SHEET'!$AO$205)</f>
        <v/>
      </c>
      <c r="N205">
        <f>IF('CALL SHEET'!$BF$205="","",'CALL SHEET'!$BF$205)</f>
        <v/>
      </c>
      <c r="O205" t="inlineStr">
        <is>
          <t>TRADE</t>
        </is>
      </c>
      <c r="P205" t="inlineStr">
        <is>
          <t>CALL SHEET · row 205</t>
        </is>
      </c>
      <c r="Q205">
        <f>E205+ROW()*0.000000001</f>
        <v/>
      </c>
    </row>
    <row r="206">
      <c r="A206">
        <f>IF('CALL SHEET'!$A$206="","",'CALL SHEET'!$A$206)</f>
        <v/>
      </c>
      <c r="B206">
        <f>IF('CALL SHEET'!$C$206="","",'CALL SHEET'!$C$206)</f>
        <v/>
      </c>
      <c r="C206">
        <f>'CALL SHEET'!$U$206</f>
        <v/>
      </c>
      <c r="D206">
        <f>'CALL SHEET'!$AB$206</f>
        <v/>
      </c>
      <c r="E206">
        <f>'CALL SHEET'!$AF$206</f>
        <v/>
      </c>
      <c r="F206">
        <f>IF('CALL SHEET'!$V$206="","",'CALL SHEET'!$V$206)</f>
        <v/>
      </c>
      <c r="G206">
        <f>IF('CALL SHEET'!$D$206="","",'CALL SHEET'!$D$206)</f>
        <v/>
      </c>
      <c r="H206">
        <f>IF('CALL SHEET'!$G$206="","",'CALL SHEET'!$G$206)</f>
        <v/>
      </c>
      <c r="I206">
        <f>IF('CALL SHEET'!$AY$206="","",'CALL SHEET'!$AY$206)</f>
        <v/>
      </c>
      <c r="J206">
        <f>IF('CALL SHEET'!$BC$206="","",'CALL SHEET'!$BC$206)</f>
        <v/>
      </c>
      <c r="K206">
        <f>IF('CALL SHEET'!$N$206="","",'CALL SHEET'!$N$206)</f>
        <v/>
      </c>
      <c r="L206">
        <f>IF('CALL SHEET'!$AH$206="","",'CALL SHEET'!$AH$206)</f>
        <v/>
      </c>
      <c r="M206">
        <f>IF('CALL SHEET'!$AO$206="","",'CALL SHEET'!$AO$206)</f>
        <v/>
      </c>
      <c r="N206">
        <f>IF('CALL SHEET'!$BF$206="","",'CALL SHEET'!$BF$206)</f>
        <v/>
      </c>
      <c r="O206" t="inlineStr">
        <is>
          <t>TRADE</t>
        </is>
      </c>
      <c r="P206" t="inlineStr">
        <is>
          <t>CALL SHEET · row 206</t>
        </is>
      </c>
      <c r="Q206">
        <f>E206+ROW()*0.000000001</f>
        <v/>
      </c>
    </row>
    <row r="207">
      <c r="A207">
        <f>IF('CALL SHEET'!$A$207="","",'CALL SHEET'!$A$207)</f>
        <v/>
      </c>
      <c r="B207">
        <f>IF('CALL SHEET'!$C$207="","",'CALL SHEET'!$C$207)</f>
        <v/>
      </c>
      <c r="C207">
        <f>'CALL SHEET'!$U$207</f>
        <v/>
      </c>
      <c r="D207">
        <f>'CALL SHEET'!$AB$207</f>
        <v/>
      </c>
      <c r="E207">
        <f>'CALL SHEET'!$AF$207</f>
        <v/>
      </c>
      <c r="F207">
        <f>IF('CALL SHEET'!$V$207="","",'CALL SHEET'!$V$207)</f>
        <v/>
      </c>
      <c r="G207">
        <f>IF('CALL SHEET'!$D$207="","",'CALL SHEET'!$D$207)</f>
        <v/>
      </c>
      <c r="H207">
        <f>IF('CALL SHEET'!$G$207="","",'CALL SHEET'!$G$207)</f>
        <v/>
      </c>
      <c r="I207">
        <f>IF('CALL SHEET'!$AY$207="","",'CALL SHEET'!$AY$207)</f>
        <v/>
      </c>
      <c r="J207">
        <f>IF('CALL SHEET'!$BC$207="","",'CALL SHEET'!$BC$207)</f>
        <v/>
      </c>
      <c r="K207">
        <f>IF('CALL SHEET'!$N$207="","",'CALL SHEET'!$N$207)</f>
        <v/>
      </c>
      <c r="L207">
        <f>IF('CALL SHEET'!$AH$207="","",'CALL SHEET'!$AH$207)</f>
        <v/>
      </c>
      <c r="M207">
        <f>IF('CALL SHEET'!$AO$207="","",'CALL SHEET'!$AO$207)</f>
        <v/>
      </c>
      <c r="N207">
        <f>IF('CALL SHEET'!$BF$207="","",'CALL SHEET'!$BF$207)</f>
        <v/>
      </c>
      <c r="O207" t="inlineStr">
        <is>
          <t>TRADE</t>
        </is>
      </c>
      <c r="P207" t="inlineStr">
        <is>
          <t>CALL SHEET · row 207</t>
        </is>
      </c>
      <c r="Q207">
        <f>E207+ROW()*0.000000001</f>
        <v/>
      </c>
    </row>
    <row r="208">
      <c r="A208">
        <f>IF('CALL SHEET'!$A$208="","",'CALL SHEET'!$A$208)</f>
        <v/>
      </c>
      <c r="B208">
        <f>IF('CALL SHEET'!$C$208="","",'CALL SHEET'!$C$208)</f>
        <v/>
      </c>
      <c r="C208">
        <f>'CALL SHEET'!$U$208</f>
        <v/>
      </c>
      <c r="D208">
        <f>'CALL SHEET'!$AB$208</f>
        <v/>
      </c>
      <c r="E208">
        <f>'CALL SHEET'!$AF$208</f>
        <v/>
      </c>
      <c r="F208">
        <f>IF('CALL SHEET'!$V$208="","",'CALL SHEET'!$V$208)</f>
        <v/>
      </c>
      <c r="G208">
        <f>IF('CALL SHEET'!$D$208="","",'CALL SHEET'!$D$208)</f>
        <v/>
      </c>
      <c r="H208">
        <f>IF('CALL SHEET'!$G$208="","",'CALL SHEET'!$G$208)</f>
        <v/>
      </c>
      <c r="I208">
        <f>IF('CALL SHEET'!$AY$208="","",'CALL SHEET'!$AY$208)</f>
        <v/>
      </c>
      <c r="J208">
        <f>IF('CALL SHEET'!$BC$208="","",'CALL SHEET'!$BC$208)</f>
        <v/>
      </c>
      <c r="K208">
        <f>IF('CALL SHEET'!$N$208="","",'CALL SHEET'!$N$208)</f>
        <v/>
      </c>
      <c r="L208">
        <f>IF('CALL SHEET'!$AH$208="","",'CALL SHEET'!$AH$208)</f>
        <v/>
      </c>
      <c r="M208">
        <f>IF('CALL SHEET'!$AO$208="","",'CALL SHEET'!$AO$208)</f>
        <v/>
      </c>
      <c r="N208">
        <f>IF('CALL SHEET'!$BF$208="","",'CALL SHEET'!$BF$208)</f>
        <v/>
      </c>
      <c r="O208" t="inlineStr">
        <is>
          <t>TRADE</t>
        </is>
      </c>
      <c r="P208" t="inlineStr">
        <is>
          <t>CALL SHEET · row 208</t>
        </is>
      </c>
      <c r="Q208">
        <f>E208+ROW()*0.000000001</f>
        <v/>
      </c>
    </row>
    <row r="209">
      <c r="A209">
        <f>IF('CALL SHEET'!$A$209="","",'CALL SHEET'!$A$209)</f>
        <v/>
      </c>
      <c r="B209">
        <f>IF('CALL SHEET'!$C$209="","",'CALL SHEET'!$C$209)</f>
        <v/>
      </c>
      <c r="C209">
        <f>'CALL SHEET'!$U$209</f>
        <v/>
      </c>
      <c r="D209">
        <f>'CALL SHEET'!$AB$209</f>
        <v/>
      </c>
      <c r="E209">
        <f>'CALL SHEET'!$AF$209</f>
        <v/>
      </c>
      <c r="F209">
        <f>IF('CALL SHEET'!$V$209="","",'CALL SHEET'!$V$209)</f>
        <v/>
      </c>
      <c r="G209">
        <f>IF('CALL SHEET'!$D$209="","",'CALL SHEET'!$D$209)</f>
        <v/>
      </c>
      <c r="H209">
        <f>IF('CALL SHEET'!$G$209="","",'CALL SHEET'!$G$209)</f>
        <v/>
      </c>
      <c r="I209">
        <f>IF('CALL SHEET'!$AY$209="","",'CALL SHEET'!$AY$209)</f>
        <v/>
      </c>
      <c r="J209">
        <f>IF('CALL SHEET'!$BC$209="","",'CALL SHEET'!$BC$209)</f>
        <v/>
      </c>
      <c r="K209">
        <f>IF('CALL SHEET'!$N$209="","",'CALL SHEET'!$N$209)</f>
        <v/>
      </c>
      <c r="L209">
        <f>IF('CALL SHEET'!$AH$209="","",'CALL SHEET'!$AH$209)</f>
        <v/>
      </c>
      <c r="M209">
        <f>IF('CALL SHEET'!$AO$209="","",'CALL SHEET'!$AO$209)</f>
        <v/>
      </c>
      <c r="N209">
        <f>IF('CALL SHEET'!$BF$209="","",'CALL SHEET'!$BF$209)</f>
        <v/>
      </c>
      <c r="O209" t="inlineStr">
        <is>
          <t>TRADE</t>
        </is>
      </c>
      <c r="P209" t="inlineStr">
        <is>
          <t>CALL SHEET · row 209</t>
        </is>
      </c>
      <c r="Q209">
        <f>E209+ROW()*0.000000001</f>
        <v/>
      </c>
    </row>
    <row r="210">
      <c r="A210">
        <f>IF('CALL SHEET'!$A$210="","",'CALL SHEET'!$A$210)</f>
        <v/>
      </c>
      <c r="B210">
        <f>IF('CALL SHEET'!$C$210="","",'CALL SHEET'!$C$210)</f>
        <v/>
      </c>
      <c r="C210">
        <f>'CALL SHEET'!$U$210</f>
        <v/>
      </c>
      <c r="D210">
        <f>'CALL SHEET'!$AB$210</f>
        <v/>
      </c>
      <c r="E210">
        <f>'CALL SHEET'!$AF$210</f>
        <v/>
      </c>
      <c r="F210">
        <f>IF('CALL SHEET'!$V$210="","",'CALL SHEET'!$V$210)</f>
        <v/>
      </c>
      <c r="G210">
        <f>IF('CALL SHEET'!$D$210="","",'CALL SHEET'!$D$210)</f>
        <v/>
      </c>
      <c r="H210">
        <f>IF('CALL SHEET'!$G$210="","",'CALL SHEET'!$G$210)</f>
        <v/>
      </c>
      <c r="I210">
        <f>IF('CALL SHEET'!$AY$210="","",'CALL SHEET'!$AY$210)</f>
        <v/>
      </c>
      <c r="J210">
        <f>IF('CALL SHEET'!$BC$210="","",'CALL SHEET'!$BC$210)</f>
        <v/>
      </c>
      <c r="K210">
        <f>IF('CALL SHEET'!$N$210="","",'CALL SHEET'!$N$210)</f>
        <v/>
      </c>
      <c r="L210">
        <f>IF('CALL SHEET'!$AH$210="","",'CALL SHEET'!$AH$210)</f>
        <v/>
      </c>
      <c r="M210">
        <f>IF('CALL SHEET'!$AO$210="","",'CALL SHEET'!$AO$210)</f>
        <v/>
      </c>
      <c r="N210">
        <f>IF('CALL SHEET'!$BF$210="","",'CALL SHEET'!$BF$210)</f>
        <v/>
      </c>
      <c r="O210" t="inlineStr">
        <is>
          <t>TRADE</t>
        </is>
      </c>
      <c r="P210" t="inlineStr">
        <is>
          <t>CALL SHEET · row 210</t>
        </is>
      </c>
      <c r="Q210">
        <f>E210+ROW()*0.000000001</f>
        <v/>
      </c>
    </row>
    <row r="211">
      <c r="A211">
        <f>IF('CALL SHEET'!$A$211="","",'CALL SHEET'!$A$211)</f>
        <v/>
      </c>
      <c r="B211">
        <f>IF('CALL SHEET'!$C$211="","",'CALL SHEET'!$C$211)</f>
        <v/>
      </c>
      <c r="C211">
        <f>'CALL SHEET'!$U$211</f>
        <v/>
      </c>
      <c r="D211">
        <f>'CALL SHEET'!$AB$211</f>
        <v/>
      </c>
      <c r="E211">
        <f>'CALL SHEET'!$AF$211</f>
        <v/>
      </c>
      <c r="F211">
        <f>IF('CALL SHEET'!$V$211="","",'CALL SHEET'!$V$211)</f>
        <v/>
      </c>
      <c r="G211">
        <f>IF('CALL SHEET'!$D$211="","",'CALL SHEET'!$D$211)</f>
        <v/>
      </c>
      <c r="H211">
        <f>IF('CALL SHEET'!$G$211="","",'CALL SHEET'!$G$211)</f>
        <v/>
      </c>
      <c r="I211">
        <f>IF('CALL SHEET'!$AY$211="","",'CALL SHEET'!$AY$211)</f>
        <v/>
      </c>
      <c r="J211">
        <f>IF('CALL SHEET'!$BC$211="","",'CALL SHEET'!$BC$211)</f>
        <v/>
      </c>
      <c r="K211">
        <f>IF('CALL SHEET'!$N$211="","",'CALL SHEET'!$N$211)</f>
        <v/>
      </c>
      <c r="L211">
        <f>IF('CALL SHEET'!$AH$211="","",'CALL SHEET'!$AH$211)</f>
        <v/>
      </c>
      <c r="M211">
        <f>IF('CALL SHEET'!$AO$211="","",'CALL SHEET'!$AO$211)</f>
        <v/>
      </c>
      <c r="N211">
        <f>IF('CALL SHEET'!$BF$211="","",'CALL SHEET'!$BF$211)</f>
        <v/>
      </c>
      <c r="O211" t="inlineStr">
        <is>
          <t>TRADE</t>
        </is>
      </c>
      <c r="P211" t="inlineStr">
        <is>
          <t>CALL SHEET · row 211</t>
        </is>
      </c>
      <c r="Q211">
        <f>E211+ROW()*0.000000001</f>
        <v/>
      </c>
    </row>
    <row r="212">
      <c r="A212">
        <f>IF('CALL SHEET'!$A$212="","",'CALL SHEET'!$A$212)</f>
        <v/>
      </c>
      <c r="B212">
        <f>IF('CALL SHEET'!$C$212="","",'CALL SHEET'!$C$212)</f>
        <v/>
      </c>
      <c r="C212">
        <f>'CALL SHEET'!$U$212</f>
        <v/>
      </c>
      <c r="D212">
        <f>'CALL SHEET'!$AB$212</f>
        <v/>
      </c>
      <c r="E212">
        <f>'CALL SHEET'!$AF$212</f>
        <v/>
      </c>
      <c r="F212">
        <f>IF('CALL SHEET'!$V$212="","",'CALL SHEET'!$V$212)</f>
        <v/>
      </c>
      <c r="G212">
        <f>IF('CALL SHEET'!$D$212="","",'CALL SHEET'!$D$212)</f>
        <v/>
      </c>
      <c r="H212">
        <f>IF('CALL SHEET'!$G$212="","",'CALL SHEET'!$G$212)</f>
        <v/>
      </c>
      <c r="I212">
        <f>IF('CALL SHEET'!$AY$212="","",'CALL SHEET'!$AY$212)</f>
        <v/>
      </c>
      <c r="J212">
        <f>IF('CALL SHEET'!$BC$212="","",'CALL SHEET'!$BC$212)</f>
        <v/>
      </c>
      <c r="K212">
        <f>IF('CALL SHEET'!$N$212="","",'CALL SHEET'!$N$212)</f>
        <v/>
      </c>
      <c r="L212">
        <f>IF('CALL SHEET'!$AH$212="","",'CALL SHEET'!$AH$212)</f>
        <v/>
      </c>
      <c r="M212">
        <f>IF('CALL SHEET'!$AO$212="","",'CALL SHEET'!$AO$212)</f>
        <v/>
      </c>
      <c r="N212">
        <f>IF('CALL SHEET'!$BF$212="","",'CALL SHEET'!$BF$212)</f>
        <v/>
      </c>
      <c r="O212" t="inlineStr">
        <is>
          <t>TRADE</t>
        </is>
      </c>
      <c r="P212" t="inlineStr">
        <is>
          <t>CALL SHEET · row 212</t>
        </is>
      </c>
      <c r="Q212">
        <f>E212+ROW()*0.000000001</f>
        <v/>
      </c>
    </row>
    <row r="213">
      <c r="A213">
        <f>IF('CALL SHEET'!$A$213="","",'CALL SHEET'!$A$213)</f>
        <v/>
      </c>
      <c r="B213">
        <f>IF('CALL SHEET'!$C$213="","",'CALL SHEET'!$C$213)</f>
        <v/>
      </c>
      <c r="C213">
        <f>'CALL SHEET'!$U$213</f>
        <v/>
      </c>
      <c r="D213">
        <f>'CALL SHEET'!$AB$213</f>
        <v/>
      </c>
      <c r="E213">
        <f>'CALL SHEET'!$AF$213</f>
        <v/>
      </c>
      <c r="F213">
        <f>IF('CALL SHEET'!$V$213="","",'CALL SHEET'!$V$213)</f>
        <v/>
      </c>
      <c r="G213">
        <f>IF('CALL SHEET'!$D$213="","",'CALL SHEET'!$D$213)</f>
        <v/>
      </c>
      <c r="H213">
        <f>IF('CALL SHEET'!$G$213="","",'CALL SHEET'!$G$213)</f>
        <v/>
      </c>
      <c r="I213">
        <f>IF('CALL SHEET'!$AY$213="","",'CALL SHEET'!$AY$213)</f>
        <v/>
      </c>
      <c r="J213">
        <f>IF('CALL SHEET'!$BC$213="","",'CALL SHEET'!$BC$213)</f>
        <v/>
      </c>
      <c r="K213">
        <f>IF('CALL SHEET'!$N$213="","",'CALL SHEET'!$N$213)</f>
        <v/>
      </c>
      <c r="L213">
        <f>IF('CALL SHEET'!$AH$213="","",'CALL SHEET'!$AH$213)</f>
        <v/>
      </c>
      <c r="M213">
        <f>IF('CALL SHEET'!$AO$213="","",'CALL SHEET'!$AO$213)</f>
        <v/>
      </c>
      <c r="N213">
        <f>IF('CALL SHEET'!$BF$213="","",'CALL SHEET'!$BF$213)</f>
        <v/>
      </c>
      <c r="O213" t="inlineStr">
        <is>
          <t>TRADE</t>
        </is>
      </c>
      <c r="P213" t="inlineStr">
        <is>
          <t>CALL SHEET · row 213</t>
        </is>
      </c>
      <c r="Q213">
        <f>E213+ROW()*0.000000001</f>
        <v/>
      </c>
    </row>
    <row r="214">
      <c r="A214">
        <f>IF('CALL SHEET'!$A$214="","",'CALL SHEET'!$A$214)</f>
        <v/>
      </c>
      <c r="B214">
        <f>IF('CALL SHEET'!$C$214="","",'CALL SHEET'!$C$214)</f>
        <v/>
      </c>
      <c r="C214">
        <f>'CALL SHEET'!$U$214</f>
        <v/>
      </c>
      <c r="D214">
        <f>'CALL SHEET'!$AB$214</f>
        <v/>
      </c>
      <c r="E214">
        <f>'CALL SHEET'!$AF$214</f>
        <v/>
      </c>
      <c r="F214">
        <f>IF('CALL SHEET'!$V$214="","",'CALL SHEET'!$V$214)</f>
        <v/>
      </c>
      <c r="G214">
        <f>IF('CALL SHEET'!$D$214="","",'CALL SHEET'!$D$214)</f>
        <v/>
      </c>
      <c r="H214">
        <f>IF('CALL SHEET'!$G$214="","",'CALL SHEET'!$G$214)</f>
        <v/>
      </c>
      <c r="I214">
        <f>IF('CALL SHEET'!$AY$214="","",'CALL SHEET'!$AY$214)</f>
        <v/>
      </c>
      <c r="J214">
        <f>IF('CALL SHEET'!$BC$214="","",'CALL SHEET'!$BC$214)</f>
        <v/>
      </c>
      <c r="K214">
        <f>IF('CALL SHEET'!$N$214="","",'CALL SHEET'!$N$214)</f>
        <v/>
      </c>
      <c r="L214">
        <f>IF('CALL SHEET'!$AH$214="","",'CALL SHEET'!$AH$214)</f>
        <v/>
      </c>
      <c r="M214">
        <f>IF('CALL SHEET'!$AO$214="","",'CALL SHEET'!$AO$214)</f>
        <v/>
      </c>
      <c r="N214">
        <f>IF('CALL SHEET'!$BF$214="","",'CALL SHEET'!$BF$214)</f>
        <v/>
      </c>
      <c r="O214" t="inlineStr">
        <is>
          <t>TRADE</t>
        </is>
      </c>
      <c r="P214" t="inlineStr">
        <is>
          <t>CALL SHEET · row 214</t>
        </is>
      </c>
      <c r="Q214">
        <f>E214+ROW()*0.000000001</f>
        <v/>
      </c>
    </row>
    <row r="215">
      <c r="A215">
        <f>IF('CALL SHEET'!$A$215="","",'CALL SHEET'!$A$215)</f>
        <v/>
      </c>
      <c r="B215">
        <f>IF('CALL SHEET'!$C$215="","",'CALL SHEET'!$C$215)</f>
        <v/>
      </c>
      <c r="C215">
        <f>'CALL SHEET'!$U$215</f>
        <v/>
      </c>
      <c r="D215">
        <f>'CALL SHEET'!$AB$215</f>
        <v/>
      </c>
      <c r="E215">
        <f>'CALL SHEET'!$AF$215</f>
        <v/>
      </c>
      <c r="F215">
        <f>IF('CALL SHEET'!$V$215="","",'CALL SHEET'!$V$215)</f>
        <v/>
      </c>
      <c r="G215">
        <f>IF('CALL SHEET'!$D$215="","",'CALL SHEET'!$D$215)</f>
        <v/>
      </c>
      <c r="H215">
        <f>IF('CALL SHEET'!$G$215="","",'CALL SHEET'!$G$215)</f>
        <v/>
      </c>
      <c r="I215">
        <f>IF('CALL SHEET'!$AY$215="","",'CALL SHEET'!$AY$215)</f>
        <v/>
      </c>
      <c r="J215">
        <f>IF('CALL SHEET'!$BC$215="","",'CALL SHEET'!$BC$215)</f>
        <v/>
      </c>
      <c r="K215">
        <f>IF('CALL SHEET'!$N$215="","",'CALL SHEET'!$N$215)</f>
        <v/>
      </c>
      <c r="L215">
        <f>IF('CALL SHEET'!$AH$215="","",'CALL SHEET'!$AH$215)</f>
        <v/>
      </c>
      <c r="M215">
        <f>IF('CALL SHEET'!$AO$215="","",'CALL SHEET'!$AO$215)</f>
        <v/>
      </c>
      <c r="N215">
        <f>IF('CALL SHEET'!$BF$215="","",'CALL SHEET'!$BF$215)</f>
        <v/>
      </c>
      <c r="O215" t="inlineStr">
        <is>
          <t>TRADE</t>
        </is>
      </c>
      <c r="P215" t="inlineStr">
        <is>
          <t>CALL SHEET · row 215</t>
        </is>
      </c>
      <c r="Q215">
        <f>E215+ROW()*0.000000001</f>
        <v/>
      </c>
    </row>
    <row r="216">
      <c r="A216">
        <f>IF('CALL SHEET'!$A$216="","",'CALL SHEET'!$A$216)</f>
        <v/>
      </c>
      <c r="B216">
        <f>IF('CALL SHEET'!$C$216="","",'CALL SHEET'!$C$216)</f>
        <v/>
      </c>
      <c r="C216">
        <f>'CALL SHEET'!$U$216</f>
        <v/>
      </c>
      <c r="D216">
        <f>'CALL SHEET'!$AB$216</f>
        <v/>
      </c>
      <c r="E216">
        <f>'CALL SHEET'!$AF$216</f>
        <v/>
      </c>
      <c r="F216">
        <f>IF('CALL SHEET'!$V$216="","",'CALL SHEET'!$V$216)</f>
        <v/>
      </c>
      <c r="G216">
        <f>IF('CALL SHEET'!$D$216="","",'CALL SHEET'!$D$216)</f>
        <v/>
      </c>
      <c r="H216">
        <f>IF('CALL SHEET'!$G$216="","",'CALL SHEET'!$G$216)</f>
        <v/>
      </c>
      <c r="I216">
        <f>IF('CALL SHEET'!$AY$216="","",'CALL SHEET'!$AY$216)</f>
        <v/>
      </c>
      <c r="J216">
        <f>IF('CALL SHEET'!$BC$216="","",'CALL SHEET'!$BC$216)</f>
        <v/>
      </c>
      <c r="K216">
        <f>IF('CALL SHEET'!$N$216="","",'CALL SHEET'!$N$216)</f>
        <v/>
      </c>
      <c r="L216">
        <f>IF('CALL SHEET'!$AH$216="","",'CALL SHEET'!$AH$216)</f>
        <v/>
      </c>
      <c r="M216">
        <f>IF('CALL SHEET'!$AO$216="","",'CALL SHEET'!$AO$216)</f>
        <v/>
      </c>
      <c r="N216">
        <f>IF('CALL SHEET'!$BF$216="","",'CALL SHEET'!$BF$216)</f>
        <v/>
      </c>
      <c r="O216" t="inlineStr">
        <is>
          <t>TRADE</t>
        </is>
      </c>
      <c r="P216" t="inlineStr">
        <is>
          <t>CALL SHEET · row 216</t>
        </is>
      </c>
      <c r="Q216">
        <f>E216+ROW()*0.000000001</f>
        <v/>
      </c>
    </row>
    <row r="217">
      <c r="A217">
        <f>IF('CALL SHEET'!$A$217="","",'CALL SHEET'!$A$217)</f>
        <v/>
      </c>
      <c r="B217">
        <f>IF('CALL SHEET'!$C$217="","",'CALL SHEET'!$C$217)</f>
        <v/>
      </c>
      <c r="C217">
        <f>'CALL SHEET'!$U$217</f>
        <v/>
      </c>
      <c r="D217">
        <f>'CALL SHEET'!$AB$217</f>
        <v/>
      </c>
      <c r="E217">
        <f>'CALL SHEET'!$AF$217</f>
        <v/>
      </c>
      <c r="F217">
        <f>IF('CALL SHEET'!$V$217="","",'CALL SHEET'!$V$217)</f>
        <v/>
      </c>
      <c r="G217">
        <f>IF('CALL SHEET'!$D$217="","",'CALL SHEET'!$D$217)</f>
        <v/>
      </c>
      <c r="H217">
        <f>IF('CALL SHEET'!$G$217="","",'CALL SHEET'!$G$217)</f>
        <v/>
      </c>
      <c r="I217">
        <f>IF('CALL SHEET'!$AY$217="","",'CALL SHEET'!$AY$217)</f>
        <v/>
      </c>
      <c r="J217">
        <f>IF('CALL SHEET'!$BC$217="","",'CALL SHEET'!$BC$217)</f>
        <v/>
      </c>
      <c r="K217">
        <f>IF('CALL SHEET'!$N$217="","",'CALL SHEET'!$N$217)</f>
        <v/>
      </c>
      <c r="L217">
        <f>IF('CALL SHEET'!$AH$217="","",'CALL SHEET'!$AH$217)</f>
        <v/>
      </c>
      <c r="M217">
        <f>IF('CALL SHEET'!$AO$217="","",'CALL SHEET'!$AO$217)</f>
        <v/>
      </c>
      <c r="N217">
        <f>IF('CALL SHEET'!$BF$217="","",'CALL SHEET'!$BF$217)</f>
        <v/>
      </c>
      <c r="O217" t="inlineStr">
        <is>
          <t>TRADE</t>
        </is>
      </c>
      <c r="P217" t="inlineStr">
        <is>
          <t>CALL SHEET · row 217</t>
        </is>
      </c>
      <c r="Q217">
        <f>E217+ROW()*0.000000001</f>
        <v/>
      </c>
    </row>
    <row r="218">
      <c r="A218">
        <f>IF('CALL SHEET'!$A$218="","",'CALL SHEET'!$A$218)</f>
        <v/>
      </c>
      <c r="B218">
        <f>IF('CALL SHEET'!$C$218="","",'CALL SHEET'!$C$218)</f>
        <v/>
      </c>
      <c r="C218">
        <f>'CALL SHEET'!$U$218</f>
        <v/>
      </c>
      <c r="D218">
        <f>'CALL SHEET'!$AB$218</f>
        <v/>
      </c>
      <c r="E218">
        <f>'CALL SHEET'!$AF$218</f>
        <v/>
      </c>
      <c r="F218">
        <f>IF('CALL SHEET'!$V$218="","",'CALL SHEET'!$V$218)</f>
        <v/>
      </c>
      <c r="G218">
        <f>IF('CALL SHEET'!$D$218="","",'CALL SHEET'!$D$218)</f>
        <v/>
      </c>
      <c r="H218">
        <f>IF('CALL SHEET'!$G$218="","",'CALL SHEET'!$G$218)</f>
        <v/>
      </c>
      <c r="I218">
        <f>IF('CALL SHEET'!$AY$218="","",'CALL SHEET'!$AY$218)</f>
        <v/>
      </c>
      <c r="J218">
        <f>IF('CALL SHEET'!$BC$218="","",'CALL SHEET'!$BC$218)</f>
        <v/>
      </c>
      <c r="K218">
        <f>IF('CALL SHEET'!$N$218="","",'CALL SHEET'!$N$218)</f>
        <v/>
      </c>
      <c r="L218">
        <f>IF('CALL SHEET'!$AH$218="","",'CALL SHEET'!$AH$218)</f>
        <v/>
      </c>
      <c r="M218">
        <f>IF('CALL SHEET'!$AO$218="","",'CALL SHEET'!$AO$218)</f>
        <v/>
      </c>
      <c r="N218">
        <f>IF('CALL SHEET'!$BF$218="","",'CALL SHEET'!$BF$218)</f>
        <v/>
      </c>
      <c r="O218" t="inlineStr">
        <is>
          <t>TRADE</t>
        </is>
      </c>
      <c r="P218" t="inlineStr">
        <is>
          <t>CALL SHEET · row 218</t>
        </is>
      </c>
      <c r="Q218">
        <f>E218+ROW()*0.000000001</f>
        <v/>
      </c>
    </row>
    <row r="219">
      <c r="A219">
        <f>IF('CALL SHEET'!$A$219="","",'CALL SHEET'!$A$219)</f>
        <v/>
      </c>
      <c r="B219">
        <f>IF('CALL SHEET'!$C$219="","",'CALL SHEET'!$C$219)</f>
        <v/>
      </c>
      <c r="C219">
        <f>'CALL SHEET'!$U$219</f>
        <v/>
      </c>
      <c r="D219">
        <f>'CALL SHEET'!$AB$219</f>
        <v/>
      </c>
      <c r="E219">
        <f>'CALL SHEET'!$AF$219</f>
        <v/>
      </c>
      <c r="F219">
        <f>IF('CALL SHEET'!$V$219="","",'CALL SHEET'!$V$219)</f>
        <v/>
      </c>
      <c r="G219">
        <f>IF('CALL SHEET'!$D$219="","",'CALL SHEET'!$D$219)</f>
        <v/>
      </c>
      <c r="H219">
        <f>IF('CALL SHEET'!$G$219="","",'CALL SHEET'!$G$219)</f>
        <v/>
      </c>
      <c r="I219">
        <f>IF('CALL SHEET'!$AY$219="","",'CALL SHEET'!$AY$219)</f>
        <v/>
      </c>
      <c r="J219">
        <f>IF('CALL SHEET'!$BC$219="","",'CALL SHEET'!$BC$219)</f>
        <v/>
      </c>
      <c r="K219">
        <f>IF('CALL SHEET'!$N$219="","",'CALL SHEET'!$N$219)</f>
        <v/>
      </c>
      <c r="L219">
        <f>IF('CALL SHEET'!$AH$219="","",'CALL SHEET'!$AH$219)</f>
        <v/>
      </c>
      <c r="M219">
        <f>IF('CALL SHEET'!$AO$219="","",'CALL SHEET'!$AO$219)</f>
        <v/>
      </c>
      <c r="N219">
        <f>IF('CALL SHEET'!$BF$219="","",'CALL SHEET'!$BF$219)</f>
        <v/>
      </c>
      <c r="O219" t="inlineStr">
        <is>
          <t>TRADE</t>
        </is>
      </c>
      <c r="P219" t="inlineStr">
        <is>
          <t>CALL SHEET · row 219</t>
        </is>
      </c>
      <c r="Q219">
        <f>E219+ROW()*0.000000001</f>
        <v/>
      </c>
    </row>
    <row r="220">
      <c r="A220">
        <f>IF('CALL SHEET'!$A$220="","",'CALL SHEET'!$A$220)</f>
        <v/>
      </c>
      <c r="B220">
        <f>IF('CALL SHEET'!$C$220="","",'CALL SHEET'!$C$220)</f>
        <v/>
      </c>
      <c r="C220">
        <f>'CALL SHEET'!$U$220</f>
        <v/>
      </c>
      <c r="D220">
        <f>'CALL SHEET'!$AB$220</f>
        <v/>
      </c>
      <c r="E220">
        <f>'CALL SHEET'!$AF$220</f>
        <v/>
      </c>
      <c r="F220">
        <f>IF('CALL SHEET'!$V$220="","",'CALL SHEET'!$V$220)</f>
        <v/>
      </c>
      <c r="G220">
        <f>IF('CALL SHEET'!$D$220="","",'CALL SHEET'!$D$220)</f>
        <v/>
      </c>
      <c r="H220">
        <f>IF('CALL SHEET'!$G$220="","",'CALL SHEET'!$G$220)</f>
        <v/>
      </c>
      <c r="I220">
        <f>IF('CALL SHEET'!$AY$220="","",'CALL SHEET'!$AY$220)</f>
        <v/>
      </c>
      <c r="J220">
        <f>IF('CALL SHEET'!$BC$220="","",'CALL SHEET'!$BC$220)</f>
        <v/>
      </c>
      <c r="K220">
        <f>IF('CALL SHEET'!$N$220="","",'CALL SHEET'!$N$220)</f>
        <v/>
      </c>
      <c r="L220">
        <f>IF('CALL SHEET'!$AH$220="","",'CALL SHEET'!$AH$220)</f>
        <v/>
      </c>
      <c r="M220">
        <f>IF('CALL SHEET'!$AO$220="","",'CALL SHEET'!$AO$220)</f>
        <v/>
      </c>
      <c r="N220">
        <f>IF('CALL SHEET'!$BF$220="","",'CALL SHEET'!$BF$220)</f>
        <v/>
      </c>
      <c r="O220" t="inlineStr">
        <is>
          <t>TRADE</t>
        </is>
      </c>
      <c r="P220" t="inlineStr">
        <is>
          <t>CALL SHEET · row 220</t>
        </is>
      </c>
      <c r="Q220">
        <f>E220+ROW()*0.000000001</f>
        <v/>
      </c>
    </row>
    <row r="221">
      <c r="A221">
        <f>IF('CALL SHEET'!$A$221="","",'CALL SHEET'!$A$221)</f>
        <v/>
      </c>
      <c r="B221">
        <f>IF('CALL SHEET'!$C$221="","",'CALL SHEET'!$C$221)</f>
        <v/>
      </c>
      <c r="C221">
        <f>'CALL SHEET'!$U$221</f>
        <v/>
      </c>
      <c r="D221">
        <f>'CALL SHEET'!$AB$221</f>
        <v/>
      </c>
      <c r="E221">
        <f>'CALL SHEET'!$AF$221</f>
        <v/>
      </c>
      <c r="F221">
        <f>IF('CALL SHEET'!$V$221="","",'CALL SHEET'!$V$221)</f>
        <v/>
      </c>
      <c r="G221">
        <f>IF('CALL SHEET'!$D$221="","",'CALL SHEET'!$D$221)</f>
        <v/>
      </c>
      <c r="H221">
        <f>IF('CALL SHEET'!$G$221="","",'CALL SHEET'!$G$221)</f>
        <v/>
      </c>
      <c r="I221">
        <f>IF('CALL SHEET'!$AY$221="","",'CALL SHEET'!$AY$221)</f>
        <v/>
      </c>
      <c r="J221">
        <f>IF('CALL SHEET'!$BC$221="","",'CALL SHEET'!$BC$221)</f>
        <v/>
      </c>
      <c r="K221">
        <f>IF('CALL SHEET'!$N$221="","",'CALL SHEET'!$N$221)</f>
        <v/>
      </c>
      <c r="L221">
        <f>IF('CALL SHEET'!$AH$221="","",'CALL SHEET'!$AH$221)</f>
        <v/>
      </c>
      <c r="M221">
        <f>IF('CALL SHEET'!$AO$221="","",'CALL SHEET'!$AO$221)</f>
        <v/>
      </c>
      <c r="N221">
        <f>IF('CALL SHEET'!$BF$221="","",'CALL SHEET'!$BF$221)</f>
        <v/>
      </c>
      <c r="O221" t="inlineStr">
        <is>
          <t>TRADE</t>
        </is>
      </c>
      <c r="P221" t="inlineStr">
        <is>
          <t>CALL SHEET · row 221</t>
        </is>
      </c>
      <c r="Q221">
        <f>E221+ROW()*0.000000001</f>
        <v/>
      </c>
    </row>
    <row r="222">
      <c r="A222">
        <f>IF('CALL SHEET'!$A$222="","",'CALL SHEET'!$A$222)</f>
        <v/>
      </c>
      <c r="B222">
        <f>IF('CALL SHEET'!$C$222="","",'CALL SHEET'!$C$222)</f>
        <v/>
      </c>
      <c r="C222">
        <f>'CALL SHEET'!$U$222</f>
        <v/>
      </c>
      <c r="D222">
        <f>'CALL SHEET'!$AB$222</f>
        <v/>
      </c>
      <c r="E222">
        <f>'CALL SHEET'!$AF$222</f>
        <v/>
      </c>
      <c r="F222">
        <f>IF('CALL SHEET'!$V$222="","",'CALL SHEET'!$V$222)</f>
        <v/>
      </c>
      <c r="G222">
        <f>IF('CALL SHEET'!$D$222="","",'CALL SHEET'!$D$222)</f>
        <v/>
      </c>
      <c r="H222">
        <f>IF('CALL SHEET'!$G$222="","",'CALL SHEET'!$G$222)</f>
        <v/>
      </c>
      <c r="I222">
        <f>IF('CALL SHEET'!$AY$222="","",'CALL SHEET'!$AY$222)</f>
        <v/>
      </c>
      <c r="J222">
        <f>IF('CALL SHEET'!$BC$222="","",'CALL SHEET'!$BC$222)</f>
        <v/>
      </c>
      <c r="K222">
        <f>IF('CALL SHEET'!$N$222="","",'CALL SHEET'!$N$222)</f>
        <v/>
      </c>
      <c r="L222">
        <f>IF('CALL SHEET'!$AH$222="","",'CALL SHEET'!$AH$222)</f>
        <v/>
      </c>
      <c r="M222">
        <f>IF('CALL SHEET'!$AO$222="","",'CALL SHEET'!$AO$222)</f>
        <v/>
      </c>
      <c r="N222">
        <f>IF('CALL SHEET'!$BF$222="","",'CALL SHEET'!$BF$222)</f>
        <v/>
      </c>
      <c r="O222" t="inlineStr">
        <is>
          <t>TRADE</t>
        </is>
      </c>
      <c r="P222" t="inlineStr">
        <is>
          <t>CALL SHEET · row 222</t>
        </is>
      </c>
      <c r="Q222">
        <f>E222+ROW()*0.000000001</f>
        <v/>
      </c>
    </row>
    <row r="223">
      <c r="A223">
        <f>IF('CALL SHEET'!$A$223="","",'CALL SHEET'!$A$223)</f>
        <v/>
      </c>
      <c r="B223">
        <f>IF('CALL SHEET'!$C$223="","",'CALL SHEET'!$C$223)</f>
        <v/>
      </c>
      <c r="C223">
        <f>'CALL SHEET'!$U$223</f>
        <v/>
      </c>
      <c r="D223">
        <f>'CALL SHEET'!$AB$223</f>
        <v/>
      </c>
      <c r="E223">
        <f>'CALL SHEET'!$AF$223</f>
        <v/>
      </c>
      <c r="F223">
        <f>IF('CALL SHEET'!$V$223="","",'CALL SHEET'!$V$223)</f>
        <v/>
      </c>
      <c r="G223">
        <f>IF('CALL SHEET'!$D$223="","",'CALL SHEET'!$D$223)</f>
        <v/>
      </c>
      <c r="H223">
        <f>IF('CALL SHEET'!$G$223="","",'CALL SHEET'!$G$223)</f>
        <v/>
      </c>
      <c r="I223">
        <f>IF('CALL SHEET'!$AY$223="","",'CALL SHEET'!$AY$223)</f>
        <v/>
      </c>
      <c r="J223">
        <f>IF('CALL SHEET'!$BC$223="","",'CALL SHEET'!$BC$223)</f>
        <v/>
      </c>
      <c r="K223">
        <f>IF('CALL SHEET'!$N$223="","",'CALL SHEET'!$N$223)</f>
        <v/>
      </c>
      <c r="L223">
        <f>IF('CALL SHEET'!$AH$223="","",'CALL SHEET'!$AH$223)</f>
        <v/>
      </c>
      <c r="M223">
        <f>IF('CALL SHEET'!$AO$223="","",'CALL SHEET'!$AO$223)</f>
        <v/>
      </c>
      <c r="N223">
        <f>IF('CALL SHEET'!$BF$223="","",'CALL SHEET'!$BF$223)</f>
        <v/>
      </c>
      <c r="O223" t="inlineStr">
        <is>
          <t>TRADE</t>
        </is>
      </c>
      <c r="P223" t="inlineStr">
        <is>
          <t>CALL SHEET · row 223</t>
        </is>
      </c>
      <c r="Q223">
        <f>E223+ROW()*0.000000001</f>
        <v/>
      </c>
    </row>
    <row r="224">
      <c r="A224">
        <f>IF('CALL SHEET'!$A$224="","",'CALL SHEET'!$A$224)</f>
        <v/>
      </c>
      <c r="B224">
        <f>IF('CALL SHEET'!$C$224="","",'CALL SHEET'!$C$224)</f>
        <v/>
      </c>
      <c r="C224">
        <f>'CALL SHEET'!$U$224</f>
        <v/>
      </c>
      <c r="D224">
        <f>'CALL SHEET'!$AB$224</f>
        <v/>
      </c>
      <c r="E224">
        <f>'CALL SHEET'!$AF$224</f>
        <v/>
      </c>
      <c r="F224">
        <f>IF('CALL SHEET'!$V$224="","",'CALL SHEET'!$V$224)</f>
        <v/>
      </c>
      <c r="G224">
        <f>IF('CALL SHEET'!$D$224="","",'CALL SHEET'!$D$224)</f>
        <v/>
      </c>
      <c r="H224">
        <f>IF('CALL SHEET'!$G$224="","",'CALL SHEET'!$G$224)</f>
        <v/>
      </c>
      <c r="I224">
        <f>IF('CALL SHEET'!$AY$224="","",'CALL SHEET'!$AY$224)</f>
        <v/>
      </c>
      <c r="J224">
        <f>IF('CALL SHEET'!$BC$224="","",'CALL SHEET'!$BC$224)</f>
        <v/>
      </c>
      <c r="K224">
        <f>IF('CALL SHEET'!$N$224="","",'CALL SHEET'!$N$224)</f>
        <v/>
      </c>
      <c r="L224">
        <f>IF('CALL SHEET'!$AH$224="","",'CALL SHEET'!$AH$224)</f>
        <v/>
      </c>
      <c r="M224">
        <f>IF('CALL SHEET'!$AO$224="","",'CALL SHEET'!$AO$224)</f>
        <v/>
      </c>
      <c r="N224">
        <f>IF('CALL SHEET'!$BF$224="","",'CALL SHEET'!$BF$224)</f>
        <v/>
      </c>
      <c r="O224" t="inlineStr">
        <is>
          <t>TRADE</t>
        </is>
      </c>
      <c r="P224" t="inlineStr">
        <is>
          <t>CALL SHEET · row 224</t>
        </is>
      </c>
      <c r="Q224">
        <f>E224+ROW()*0.000000001</f>
        <v/>
      </c>
    </row>
    <row r="225">
      <c r="A225">
        <f>IF('CALL SHEET'!$A$225="","",'CALL SHEET'!$A$225)</f>
        <v/>
      </c>
      <c r="B225">
        <f>IF('CALL SHEET'!$C$225="","",'CALL SHEET'!$C$225)</f>
        <v/>
      </c>
      <c r="C225">
        <f>'CALL SHEET'!$U$225</f>
        <v/>
      </c>
      <c r="D225">
        <f>'CALL SHEET'!$AB$225</f>
        <v/>
      </c>
      <c r="E225">
        <f>'CALL SHEET'!$AF$225</f>
        <v/>
      </c>
      <c r="F225">
        <f>IF('CALL SHEET'!$V$225="","",'CALL SHEET'!$V$225)</f>
        <v/>
      </c>
      <c r="G225">
        <f>IF('CALL SHEET'!$D$225="","",'CALL SHEET'!$D$225)</f>
        <v/>
      </c>
      <c r="H225">
        <f>IF('CALL SHEET'!$G$225="","",'CALL SHEET'!$G$225)</f>
        <v/>
      </c>
      <c r="I225">
        <f>IF('CALL SHEET'!$AY$225="","",'CALL SHEET'!$AY$225)</f>
        <v/>
      </c>
      <c r="J225">
        <f>IF('CALL SHEET'!$BC$225="","",'CALL SHEET'!$BC$225)</f>
        <v/>
      </c>
      <c r="K225">
        <f>IF('CALL SHEET'!$N$225="","",'CALL SHEET'!$N$225)</f>
        <v/>
      </c>
      <c r="L225">
        <f>IF('CALL SHEET'!$AH$225="","",'CALL SHEET'!$AH$225)</f>
        <v/>
      </c>
      <c r="M225">
        <f>IF('CALL SHEET'!$AO$225="","",'CALL SHEET'!$AO$225)</f>
        <v/>
      </c>
      <c r="N225">
        <f>IF('CALL SHEET'!$BF$225="","",'CALL SHEET'!$BF$225)</f>
        <v/>
      </c>
      <c r="O225" t="inlineStr">
        <is>
          <t>TRADE</t>
        </is>
      </c>
      <c r="P225" t="inlineStr">
        <is>
          <t>CALL SHEET · row 225</t>
        </is>
      </c>
      <c r="Q225">
        <f>E225+ROW()*0.000000001</f>
        <v/>
      </c>
    </row>
    <row r="226">
      <c r="A226">
        <f>IF('CALL SHEET'!$A$226="","",'CALL SHEET'!$A$226)</f>
        <v/>
      </c>
      <c r="B226">
        <f>IF('CALL SHEET'!$C$226="","",'CALL SHEET'!$C$226)</f>
        <v/>
      </c>
      <c r="C226">
        <f>'CALL SHEET'!$U$226</f>
        <v/>
      </c>
      <c r="D226">
        <f>'CALL SHEET'!$AB$226</f>
        <v/>
      </c>
      <c r="E226">
        <f>'CALL SHEET'!$AF$226</f>
        <v/>
      </c>
      <c r="F226">
        <f>IF('CALL SHEET'!$V$226="","",'CALL SHEET'!$V$226)</f>
        <v/>
      </c>
      <c r="G226">
        <f>IF('CALL SHEET'!$D$226="","",'CALL SHEET'!$D$226)</f>
        <v/>
      </c>
      <c r="H226">
        <f>IF('CALL SHEET'!$G$226="","",'CALL SHEET'!$G$226)</f>
        <v/>
      </c>
      <c r="I226">
        <f>IF('CALL SHEET'!$AY$226="","",'CALL SHEET'!$AY$226)</f>
        <v/>
      </c>
      <c r="J226">
        <f>IF('CALL SHEET'!$BC$226="","",'CALL SHEET'!$BC$226)</f>
        <v/>
      </c>
      <c r="K226">
        <f>IF('CALL SHEET'!$N$226="","",'CALL SHEET'!$N$226)</f>
        <v/>
      </c>
      <c r="L226">
        <f>IF('CALL SHEET'!$AH$226="","",'CALL SHEET'!$AH$226)</f>
        <v/>
      </c>
      <c r="M226">
        <f>IF('CALL SHEET'!$AO$226="","",'CALL SHEET'!$AO$226)</f>
        <v/>
      </c>
      <c r="N226">
        <f>IF('CALL SHEET'!$BF$226="","",'CALL SHEET'!$BF$226)</f>
        <v/>
      </c>
      <c r="O226" t="inlineStr">
        <is>
          <t>TRADE</t>
        </is>
      </c>
      <c r="P226" t="inlineStr">
        <is>
          <t>CALL SHEET · row 226</t>
        </is>
      </c>
      <c r="Q226">
        <f>E226+ROW()*0.000000001</f>
        <v/>
      </c>
    </row>
    <row r="227">
      <c r="A227">
        <f>IF('CALL SHEET'!$A$227="","",'CALL SHEET'!$A$227)</f>
        <v/>
      </c>
      <c r="B227">
        <f>IF('CALL SHEET'!$C$227="","",'CALL SHEET'!$C$227)</f>
        <v/>
      </c>
      <c r="C227">
        <f>'CALL SHEET'!$U$227</f>
        <v/>
      </c>
      <c r="D227">
        <f>'CALL SHEET'!$AB$227</f>
        <v/>
      </c>
      <c r="E227">
        <f>'CALL SHEET'!$AF$227</f>
        <v/>
      </c>
      <c r="F227">
        <f>IF('CALL SHEET'!$V$227="","",'CALL SHEET'!$V$227)</f>
        <v/>
      </c>
      <c r="G227">
        <f>IF('CALL SHEET'!$D$227="","",'CALL SHEET'!$D$227)</f>
        <v/>
      </c>
      <c r="H227">
        <f>IF('CALL SHEET'!$G$227="","",'CALL SHEET'!$G$227)</f>
        <v/>
      </c>
      <c r="I227">
        <f>IF('CALL SHEET'!$AY$227="","",'CALL SHEET'!$AY$227)</f>
        <v/>
      </c>
      <c r="J227">
        <f>IF('CALL SHEET'!$BC$227="","",'CALL SHEET'!$BC$227)</f>
        <v/>
      </c>
      <c r="K227">
        <f>IF('CALL SHEET'!$N$227="","",'CALL SHEET'!$N$227)</f>
        <v/>
      </c>
      <c r="L227">
        <f>IF('CALL SHEET'!$AH$227="","",'CALL SHEET'!$AH$227)</f>
        <v/>
      </c>
      <c r="M227">
        <f>IF('CALL SHEET'!$AO$227="","",'CALL SHEET'!$AO$227)</f>
        <v/>
      </c>
      <c r="N227">
        <f>IF('CALL SHEET'!$BF$227="","",'CALL SHEET'!$BF$227)</f>
        <v/>
      </c>
      <c r="O227" t="inlineStr">
        <is>
          <t>TRADE</t>
        </is>
      </c>
      <c r="P227" t="inlineStr">
        <is>
          <t>CALL SHEET · row 227</t>
        </is>
      </c>
      <c r="Q227">
        <f>E227+ROW()*0.000000001</f>
        <v/>
      </c>
    </row>
    <row r="228">
      <c r="A228">
        <f>IF('CALL SHEET'!$A$228="","",'CALL SHEET'!$A$228)</f>
        <v/>
      </c>
      <c r="B228">
        <f>IF('CALL SHEET'!$C$228="","",'CALL SHEET'!$C$228)</f>
        <v/>
      </c>
      <c r="C228">
        <f>'CALL SHEET'!$U$228</f>
        <v/>
      </c>
      <c r="D228">
        <f>'CALL SHEET'!$AB$228</f>
        <v/>
      </c>
      <c r="E228">
        <f>'CALL SHEET'!$AF$228</f>
        <v/>
      </c>
      <c r="F228">
        <f>IF('CALL SHEET'!$V$228="","",'CALL SHEET'!$V$228)</f>
        <v/>
      </c>
      <c r="G228">
        <f>IF('CALL SHEET'!$D$228="","",'CALL SHEET'!$D$228)</f>
        <v/>
      </c>
      <c r="H228">
        <f>IF('CALL SHEET'!$G$228="","",'CALL SHEET'!$G$228)</f>
        <v/>
      </c>
      <c r="I228">
        <f>IF('CALL SHEET'!$AY$228="","",'CALL SHEET'!$AY$228)</f>
        <v/>
      </c>
      <c r="J228">
        <f>IF('CALL SHEET'!$BC$228="","",'CALL SHEET'!$BC$228)</f>
        <v/>
      </c>
      <c r="K228">
        <f>IF('CALL SHEET'!$N$228="","",'CALL SHEET'!$N$228)</f>
        <v/>
      </c>
      <c r="L228">
        <f>IF('CALL SHEET'!$AH$228="","",'CALL SHEET'!$AH$228)</f>
        <v/>
      </c>
      <c r="M228">
        <f>IF('CALL SHEET'!$AO$228="","",'CALL SHEET'!$AO$228)</f>
        <v/>
      </c>
      <c r="N228">
        <f>IF('CALL SHEET'!$BF$228="","",'CALL SHEET'!$BF$228)</f>
        <v/>
      </c>
      <c r="O228" t="inlineStr">
        <is>
          <t>TRADE</t>
        </is>
      </c>
      <c r="P228" t="inlineStr">
        <is>
          <t>CALL SHEET · row 228</t>
        </is>
      </c>
      <c r="Q228">
        <f>E228+ROW()*0.000000001</f>
        <v/>
      </c>
    </row>
    <row r="229">
      <c r="A229">
        <f>IF('CALL SHEET'!$A$229="","",'CALL SHEET'!$A$229)</f>
        <v/>
      </c>
      <c r="B229">
        <f>IF('CALL SHEET'!$C$229="","",'CALL SHEET'!$C$229)</f>
        <v/>
      </c>
      <c r="C229">
        <f>'CALL SHEET'!$U$229</f>
        <v/>
      </c>
      <c r="D229">
        <f>'CALL SHEET'!$AB$229</f>
        <v/>
      </c>
      <c r="E229">
        <f>'CALL SHEET'!$AF$229</f>
        <v/>
      </c>
      <c r="F229">
        <f>IF('CALL SHEET'!$V$229="","",'CALL SHEET'!$V$229)</f>
        <v/>
      </c>
      <c r="G229">
        <f>IF('CALL SHEET'!$D$229="","",'CALL SHEET'!$D$229)</f>
        <v/>
      </c>
      <c r="H229">
        <f>IF('CALL SHEET'!$G$229="","",'CALL SHEET'!$G$229)</f>
        <v/>
      </c>
      <c r="I229">
        <f>IF('CALL SHEET'!$AY$229="","",'CALL SHEET'!$AY$229)</f>
        <v/>
      </c>
      <c r="J229">
        <f>IF('CALL SHEET'!$BC$229="","",'CALL SHEET'!$BC$229)</f>
        <v/>
      </c>
      <c r="K229">
        <f>IF('CALL SHEET'!$N$229="","",'CALL SHEET'!$N$229)</f>
        <v/>
      </c>
      <c r="L229">
        <f>IF('CALL SHEET'!$AH$229="","",'CALL SHEET'!$AH$229)</f>
        <v/>
      </c>
      <c r="M229">
        <f>IF('CALL SHEET'!$AO$229="","",'CALL SHEET'!$AO$229)</f>
        <v/>
      </c>
      <c r="N229">
        <f>IF('CALL SHEET'!$BF$229="","",'CALL SHEET'!$BF$229)</f>
        <v/>
      </c>
      <c r="O229" t="inlineStr">
        <is>
          <t>TRADE</t>
        </is>
      </c>
      <c r="P229" t="inlineStr">
        <is>
          <t>CALL SHEET · row 229</t>
        </is>
      </c>
      <c r="Q229">
        <f>E229+ROW()*0.000000001</f>
        <v/>
      </c>
    </row>
    <row r="230">
      <c r="A230">
        <f>IF('CALL SHEET'!$A$230="","",'CALL SHEET'!$A$230)</f>
        <v/>
      </c>
      <c r="B230">
        <f>IF('CALL SHEET'!$C$230="","",'CALL SHEET'!$C$230)</f>
        <v/>
      </c>
      <c r="C230">
        <f>'CALL SHEET'!$U$230</f>
        <v/>
      </c>
      <c r="D230">
        <f>'CALL SHEET'!$AB$230</f>
        <v/>
      </c>
      <c r="E230">
        <f>'CALL SHEET'!$AF$230</f>
        <v/>
      </c>
      <c r="F230">
        <f>IF('CALL SHEET'!$V$230="","",'CALL SHEET'!$V$230)</f>
        <v/>
      </c>
      <c r="G230">
        <f>IF('CALL SHEET'!$D$230="","",'CALL SHEET'!$D$230)</f>
        <v/>
      </c>
      <c r="H230">
        <f>IF('CALL SHEET'!$G$230="","",'CALL SHEET'!$G$230)</f>
        <v/>
      </c>
      <c r="I230">
        <f>IF('CALL SHEET'!$AY$230="","",'CALL SHEET'!$AY$230)</f>
        <v/>
      </c>
      <c r="J230">
        <f>IF('CALL SHEET'!$BC$230="","",'CALL SHEET'!$BC$230)</f>
        <v/>
      </c>
      <c r="K230">
        <f>IF('CALL SHEET'!$N$230="","",'CALL SHEET'!$N$230)</f>
        <v/>
      </c>
      <c r="L230">
        <f>IF('CALL SHEET'!$AH$230="","",'CALL SHEET'!$AH$230)</f>
        <v/>
      </c>
      <c r="M230">
        <f>IF('CALL SHEET'!$AO$230="","",'CALL SHEET'!$AO$230)</f>
        <v/>
      </c>
      <c r="N230">
        <f>IF('CALL SHEET'!$BF$230="","",'CALL SHEET'!$BF$230)</f>
        <v/>
      </c>
      <c r="O230" t="inlineStr">
        <is>
          <t>TRADE</t>
        </is>
      </c>
      <c r="P230" t="inlineStr">
        <is>
          <t>CALL SHEET · row 230</t>
        </is>
      </c>
      <c r="Q230">
        <f>E230+ROW()*0.000000001</f>
        <v/>
      </c>
    </row>
    <row r="231">
      <c r="A231">
        <f>IF('CALL SHEET'!$A$231="","",'CALL SHEET'!$A$231)</f>
        <v/>
      </c>
      <c r="B231">
        <f>IF('CALL SHEET'!$C$231="","",'CALL SHEET'!$C$231)</f>
        <v/>
      </c>
      <c r="C231">
        <f>'CALL SHEET'!$U$231</f>
        <v/>
      </c>
      <c r="D231">
        <f>'CALL SHEET'!$AB$231</f>
        <v/>
      </c>
      <c r="E231">
        <f>'CALL SHEET'!$AF$231</f>
        <v/>
      </c>
      <c r="F231">
        <f>IF('CALL SHEET'!$V$231="","",'CALL SHEET'!$V$231)</f>
        <v/>
      </c>
      <c r="G231">
        <f>IF('CALL SHEET'!$D$231="","",'CALL SHEET'!$D$231)</f>
        <v/>
      </c>
      <c r="H231">
        <f>IF('CALL SHEET'!$G$231="","",'CALL SHEET'!$G$231)</f>
        <v/>
      </c>
      <c r="I231">
        <f>IF('CALL SHEET'!$AY$231="","",'CALL SHEET'!$AY$231)</f>
        <v/>
      </c>
      <c r="J231">
        <f>IF('CALL SHEET'!$BC$231="","",'CALL SHEET'!$BC$231)</f>
        <v/>
      </c>
      <c r="K231">
        <f>IF('CALL SHEET'!$N$231="","",'CALL SHEET'!$N$231)</f>
        <v/>
      </c>
      <c r="L231">
        <f>IF('CALL SHEET'!$AH$231="","",'CALL SHEET'!$AH$231)</f>
        <v/>
      </c>
      <c r="M231">
        <f>IF('CALL SHEET'!$AO$231="","",'CALL SHEET'!$AO$231)</f>
        <v/>
      </c>
      <c r="N231">
        <f>IF('CALL SHEET'!$BF$231="","",'CALL SHEET'!$BF$231)</f>
        <v/>
      </c>
      <c r="O231" t="inlineStr">
        <is>
          <t>TRADE</t>
        </is>
      </c>
      <c r="P231" t="inlineStr">
        <is>
          <t>CALL SHEET · row 231</t>
        </is>
      </c>
      <c r="Q231">
        <f>E231+ROW()*0.000000001</f>
        <v/>
      </c>
    </row>
    <row r="232">
      <c r="A232">
        <f>IF('CALL SHEET'!$A$232="","",'CALL SHEET'!$A$232)</f>
        <v/>
      </c>
      <c r="B232">
        <f>IF('CALL SHEET'!$C$232="","",'CALL SHEET'!$C$232)</f>
        <v/>
      </c>
      <c r="C232">
        <f>'CALL SHEET'!$U$232</f>
        <v/>
      </c>
      <c r="D232">
        <f>'CALL SHEET'!$AB$232</f>
        <v/>
      </c>
      <c r="E232">
        <f>'CALL SHEET'!$AF$232</f>
        <v/>
      </c>
      <c r="F232">
        <f>IF('CALL SHEET'!$V$232="","",'CALL SHEET'!$V$232)</f>
        <v/>
      </c>
      <c r="G232">
        <f>IF('CALL SHEET'!$D$232="","",'CALL SHEET'!$D$232)</f>
        <v/>
      </c>
      <c r="H232">
        <f>IF('CALL SHEET'!$G$232="","",'CALL SHEET'!$G$232)</f>
        <v/>
      </c>
      <c r="I232">
        <f>IF('CALL SHEET'!$AY$232="","",'CALL SHEET'!$AY$232)</f>
        <v/>
      </c>
      <c r="J232">
        <f>IF('CALL SHEET'!$BC$232="","",'CALL SHEET'!$BC$232)</f>
        <v/>
      </c>
      <c r="K232">
        <f>IF('CALL SHEET'!$N$232="","",'CALL SHEET'!$N$232)</f>
        <v/>
      </c>
      <c r="L232">
        <f>IF('CALL SHEET'!$AH$232="","",'CALL SHEET'!$AH$232)</f>
        <v/>
      </c>
      <c r="M232">
        <f>IF('CALL SHEET'!$AO$232="","",'CALL SHEET'!$AO$232)</f>
        <v/>
      </c>
      <c r="N232">
        <f>IF('CALL SHEET'!$BF$232="","",'CALL SHEET'!$BF$232)</f>
        <v/>
      </c>
      <c r="O232" t="inlineStr">
        <is>
          <t>TRADE</t>
        </is>
      </c>
      <c r="P232" t="inlineStr">
        <is>
          <t>CALL SHEET · row 232</t>
        </is>
      </c>
      <c r="Q232">
        <f>E232+ROW()*0.000000001</f>
        <v/>
      </c>
    </row>
    <row r="233">
      <c r="A233">
        <f>IF('CALL SHEET'!$A$233="","",'CALL SHEET'!$A$233)</f>
        <v/>
      </c>
      <c r="B233">
        <f>IF('CALL SHEET'!$C$233="","",'CALL SHEET'!$C$233)</f>
        <v/>
      </c>
      <c r="C233">
        <f>'CALL SHEET'!$U$233</f>
        <v/>
      </c>
      <c r="D233">
        <f>'CALL SHEET'!$AB$233</f>
        <v/>
      </c>
      <c r="E233">
        <f>'CALL SHEET'!$AF$233</f>
        <v/>
      </c>
      <c r="F233">
        <f>IF('CALL SHEET'!$V$233="","",'CALL SHEET'!$V$233)</f>
        <v/>
      </c>
      <c r="G233">
        <f>IF('CALL SHEET'!$D$233="","",'CALL SHEET'!$D$233)</f>
        <v/>
      </c>
      <c r="H233">
        <f>IF('CALL SHEET'!$G$233="","",'CALL SHEET'!$G$233)</f>
        <v/>
      </c>
      <c r="I233">
        <f>IF('CALL SHEET'!$AY$233="","",'CALL SHEET'!$AY$233)</f>
        <v/>
      </c>
      <c r="J233">
        <f>IF('CALL SHEET'!$BC$233="","",'CALL SHEET'!$BC$233)</f>
        <v/>
      </c>
      <c r="K233">
        <f>IF('CALL SHEET'!$N$233="","",'CALL SHEET'!$N$233)</f>
        <v/>
      </c>
      <c r="L233">
        <f>IF('CALL SHEET'!$AH$233="","",'CALL SHEET'!$AH$233)</f>
        <v/>
      </c>
      <c r="M233">
        <f>IF('CALL SHEET'!$AO$233="","",'CALL SHEET'!$AO$233)</f>
        <v/>
      </c>
      <c r="N233">
        <f>IF('CALL SHEET'!$BF$233="","",'CALL SHEET'!$BF$233)</f>
        <v/>
      </c>
      <c r="O233" t="inlineStr">
        <is>
          <t>TRADE</t>
        </is>
      </c>
      <c r="P233" t="inlineStr">
        <is>
          <t>CALL SHEET · row 233</t>
        </is>
      </c>
      <c r="Q233">
        <f>E233+ROW()*0.000000001</f>
        <v/>
      </c>
    </row>
    <row r="234">
      <c r="A234">
        <f>IF('CALL SHEET'!$A$234="","",'CALL SHEET'!$A$234)</f>
        <v/>
      </c>
      <c r="B234">
        <f>IF('CALL SHEET'!$C$234="","",'CALL SHEET'!$C$234)</f>
        <v/>
      </c>
      <c r="C234">
        <f>'CALL SHEET'!$U$234</f>
        <v/>
      </c>
      <c r="D234">
        <f>'CALL SHEET'!$AB$234</f>
        <v/>
      </c>
      <c r="E234">
        <f>'CALL SHEET'!$AF$234</f>
        <v/>
      </c>
      <c r="F234">
        <f>IF('CALL SHEET'!$V$234="","",'CALL SHEET'!$V$234)</f>
        <v/>
      </c>
      <c r="G234">
        <f>IF('CALL SHEET'!$D$234="","",'CALL SHEET'!$D$234)</f>
        <v/>
      </c>
      <c r="H234">
        <f>IF('CALL SHEET'!$G$234="","",'CALL SHEET'!$G$234)</f>
        <v/>
      </c>
      <c r="I234">
        <f>IF('CALL SHEET'!$AY$234="","",'CALL SHEET'!$AY$234)</f>
        <v/>
      </c>
      <c r="J234">
        <f>IF('CALL SHEET'!$BC$234="","",'CALL SHEET'!$BC$234)</f>
        <v/>
      </c>
      <c r="K234">
        <f>IF('CALL SHEET'!$N$234="","",'CALL SHEET'!$N$234)</f>
        <v/>
      </c>
      <c r="L234">
        <f>IF('CALL SHEET'!$AH$234="","",'CALL SHEET'!$AH$234)</f>
        <v/>
      </c>
      <c r="M234">
        <f>IF('CALL SHEET'!$AO$234="","",'CALL SHEET'!$AO$234)</f>
        <v/>
      </c>
      <c r="N234">
        <f>IF('CALL SHEET'!$BF$234="","",'CALL SHEET'!$BF$234)</f>
        <v/>
      </c>
      <c r="O234" t="inlineStr">
        <is>
          <t>TRADE</t>
        </is>
      </c>
      <c r="P234" t="inlineStr">
        <is>
          <t>CALL SHEET · row 234</t>
        </is>
      </c>
      <c r="Q234">
        <f>E234+ROW()*0.000000001</f>
        <v/>
      </c>
    </row>
    <row r="235">
      <c r="A235">
        <f>IF('CALL SHEET'!$A$235="","",'CALL SHEET'!$A$235)</f>
        <v/>
      </c>
      <c r="B235">
        <f>IF('CALL SHEET'!$C$235="","",'CALL SHEET'!$C$235)</f>
        <v/>
      </c>
      <c r="C235">
        <f>'CALL SHEET'!$U$235</f>
        <v/>
      </c>
      <c r="D235">
        <f>'CALL SHEET'!$AB$235</f>
        <v/>
      </c>
      <c r="E235">
        <f>'CALL SHEET'!$AF$235</f>
        <v/>
      </c>
      <c r="F235">
        <f>IF('CALL SHEET'!$V$235="","",'CALL SHEET'!$V$235)</f>
        <v/>
      </c>
      <c r="G235">
        <f>IF('CALL SHEET'!$D$235="","",'CALL SHEET'!$D$235)</f>
        <v/>
      </c>
      <c r="H235">
        <f>IF('CALL SHEET'!$G$235="","",'CALL SHEET'!$G$235)</f>
        <v/>
      </c>
      <c r="I235">
        <f>IF('CALL SHEET'!$AY$235="","",'CALL SHEET'!$AY$235)</f>
        <v/>
      </c>
      <c r="J235">
        <f>IF('CALL SHEET'!$BC$235="","",'CALL SHEET'!$BC$235)</f>
        <v/>
      </c>
      <c r="K235">
        <f>IF('CALL SHEET'!$N$235="","",'CALL SHEET'!$N$235)</f>
        <v/>
      </c>
      <c r="L235">
        <f>IF('CALL SHEET'!$AH$235="","",'CALL SHEET'!$AH$235)</f>
        <v/>
      </c>
      <c r="M235">
        <f>IF('CALL SHEET'!$AO$235="","",'CALL SHEET'!$AO$235)</f>
        <v/>
      </c>
      <c r="N235">
        <f>IF('CALL SHEET'!$BF$235="","",'CALL SHEET'!$BF$235)</f>
        <v/>
      </c>
      <c r="O235" t="inlineStr">
        <is>
          <t>TRADE</t>
        </is>
      </c>
      <c r="P235" t="inlineStr">
        <is>
          <t>CALL SHEET · row 235</t>
        </is>
      </c>
      <c r="Q235">
        <f>E235+ROW()*0.000000001</f>
        <v/>
      </c>
    </row>
    <row r="236">
      <c r="A236">
        <f>IF('CALL SHEET'!$A$236="","",'CALL SHEET'!$A$236)</f>
        <v/>
      </c>
      <c r="B236">
        <f>IF('CALL SHEET'!$C$236="","",'CALL SHEET'!$C$236)</f>
        <v/>
      </c>
      <c r="C236">
        <f>'CALL SHEET'!$U$236</f>
        <v/>
      </c>
      <c r="D236">
        <f>'CALL SHEET'!$AB$236</f>
        <v/>
      </c>
      <c r="E236">
        <f>'CALL SHEET'!$AF$236</f>
        <v/>
      </c>
      <c r="F236">
        <f>IF('CALL SHEET'!$V$236="","",'CALL SHEET'!$V$236)</f>
        <v/>
      </c>
      <c r="G236">
        <f>IF('CALL SHEET'!$D$236="","",'CALL SHEET'!$D$236)</f>
        <v/>
      </c>
      <c r="H236">
        <f>IF('CALL SHEET'!$G$236="","",'CALL SHEET'!$G$236)</f>
        <v/>
      </c>
      <c r="I236">
        <f>IF('CALL SHEET'!$AY$236="","",'CALL SHEET'!$AY$236)</f>
        <v/>
      </c>
      <c r="J236">
        <f>IF('CALL SHEET'!$BC$236="","",'CALL SHEET'!$BC$236)</f>
        <v/>
      </c>
      <c r="K236">
        <f>IF('CALL SHEET'!$N$236="","",'CALL SHEET'!$N$236)</f>
        <v/>
      </c>
      <c r="L236">
        <f>IF('CALL SHEET'!$AH$236="","",'CALL SHEET'!$AH$236)</f>
        <v/>
      </c>
      <c r="M236">
        <f>IF('CALL SHEET'!$AO$236="","",'CALL SHEET'!$AO$236)</f>
        <v/>
      </c>
      <c r="N236">
        <f>IF('CALL SHEET'!$BF$236="","",'CALL SHEET'!$BF$236)</f>
        <v/>
      </c>
      <c r="O236" t="inlineStr">
        <is>
          <t>TRADE</t>
        </is>
      </c>
      <c r="P236" t="inlineStr">
        <is>
          <t>CALL SHEET · row 236</t>
        </is>
      </c>
      <c r="Q236">
        <f>E236+ROW()*0.000000001</f>
        <v/>
      </c>
    </row>
    <row r="237">
      <c r="A237">
        <f>IF('CALL SHEET'!$A$237="","",'CALL SHEET'!$A$237)</f>
        <v/>
      </c>
      <c r="B237">
        <f>IF('CALL SHEET'!$C$237="","",'CALL SHEET'!$C$237)</f>
        <v/>
      </c>
      <c r="C237">
        <f>'CALL SHEET'!$U$237</f>
        <v/>
      </c>
      <c r="D237">
        <f>'CALL SHEET'!$AB$237</f>
        <v/>
      </c>
      <c r="E237">
        <f>'CALL SHEET'!$AF$237</f>
        <v/>
      </c>
      <c r="F237">
        <f>IF('CALL SHEET'!$V$237="","",'CALL SHEET'!$V$237)</f>
        <v/>
      </c>
      <c r="G237">
        <f>IF('CALL SHEET'!$D$237="","",'CALL SHEET'!$D$237)</f>
        <v/>
      </c>
      <c r="H237">
        <f>IF('CALL SHEET'!$G$237="","",'CALL SHEET'!$G$237)</f>
        <v/>
      </c>
      <c r="I237">
        <f>IF('CALL SHEET'!$AY$237="","",'CALL SHEET'!$AY$237)</f>
        <v/>
      </c>
      <c r="J237">
        <f>IF('CALL SHEET'!$BC$237="","",'CALL SHEET'!$BC$237)</f>
        <v/>
      </c>
      <c r="K237">
        <f>IF('CALL SHEET'!$N$237="","",'CALL SHEET'!$N$237)</f>
        <v/>
      </c>
      <c r="L237">
        <f>IF('CALL SHEET'!$AH$237="","",'CALL SHEET'!$AH$237)</f>
        <v/>
      </c>
      <c r="M237">
        <f>IF('CALL SHEET'!$AO$237="","",'CALL SHEET'!$AO$237)</f>
        <v/>
      </c>
      <c r="N237">
        <f>IF('CALL SHEET'!$BF$237="","",'CALL SHEET'!$BF$237)</f>
        <v/>
      </c>
      <c r="O237" t="inlineStr">
        <is>
          <t>TRADE</t>
        </is>
      </c>
      <c r="P237" t="inlineStr">
        <is>
          <t>CALL SHEET · row 237</t>
        </is>
      </c>
      <c r="Q237">
        <f>E237+ROW()*0.000000001</f>
        <v/>
      </c>
    </row>
    <row r="238">
      <c r="A238">
        <f>IF('CALL SHEET'!$A$238="","",'CALL SHEET'!$A$238)</f>
        <v/>
      </c>
      <c r="B238">
        <f>IF('CALL SHEET'!$C$238="","",'CALL SHEET'!$C$238)</f>
        <v/>
      </c>
      <c r="C238">
        <f>'CALL SHEET'!$U$238</f>
        <v/>
      </c>
      <c r="D238">
        <f>'CALL SHEET'!$AB$238</f>
        <v/>
      </c>
      <c r="E238">
        <f>'CALL SHEET'!$AF$238</f>
        <v/>
      </c>
      <c r="F238">
        <f>IF('CALL SHEET'!$V$238="","",'CALL SHEET'!$V$238)</f>
        <v/>
      </c>
      <c r="G238">
        <f>IF('CALL SHEET'!$D$238="","",'CALL SHEET'!$D$238)</f>
        <v/>
      </c>
      <c r="H238">
        <f>IF('CALL SHEET'!$G$238="","",'CALL SHEET'!$G$238)</f>
        <v/>
      </c>
      <c r="I238">
        <f>IF('CALL SHEET'!$AY$238="","",'CALL SHEET'!$AY$238)</f>
        <v/>
      </c>
      <c r="J238">
        <f>IF('CALL SHEET'!$BC$238="","",'CALL SHEET'!$BC$238)</f>
        <v/>
      </c>
      <c r="K238">
        <f>IF('CALL SHEET'!$N$238="","",'CALL SHEET'!$N$238)</f>
        <v/>
      </c>
      <c r="L238">
        <f>IF('CALL SHEET'!$AH$238="","",'CALL SHEET'!$AH$238)</f>
        <v/>
      </c>
      <c r="M238">
        <f>IF('CALL SHEET'!$AO$238="","",'CALL SHEET'!$AO$238)</f>
        <v/>
      </c>
      <c r="N238">
        <f>IF('CALL SHEET'!$BF$238="","",'CALL SHEET'!$BF$238)</f>
        <v/>
      </c>
      <c r="O238" t="inlineStr">
        <is>
          <t>TRADE</t>
        </is>
      </c>
      <c r="P238" t="inlineStr">
        <is>
          <t>CALL SHEET · row 238</t>
        </is>
      </c>
      <c r="Q238">
        <f>E238+ROW()*0.000000001</f>
        <v/>
      </c>
    </row>
    <row r="239">
      <c r="A239">
        <f>IF('CALL SHEET'!$A$239="","",'CALL SHEET'!$A$239)</f>
        <v/>
      </c>
      <c r="B239">
        <f>IF('CALL SHEET'!$C$239="","",'CALL SHEET'!$C$239)</f>
        <v/>
      </c>
      <c r="C239">
        <f>'CALL SHEET'!$U$239</f>
        <v/>
      </c>
      <c r="D239">
        <f>'CALL SHEET'!$AB$239</f>
        <v/>
      </c>
      <c r="E239">
        <f>'CALL SHEET'!$AF$239</f>
        <v/>
      </c>
      <c r="F239">
        <f>IF('CALL SHEET'!$V$239="","",'CALL SHEET'!$V$239)</f>
        <v/>
      </c>
      <c r="G239">
        <f>IF('CALL SHEET'!$D$239="","",'CALL SHEET'!$D$239)</f>
        <v/>
      </c>
      <c r="H239">
        <f>IF('CALL SHEET'!$G$239="","",'CALL SHEET'!$G$239)</f>
        <v/>
      </c>
      <c r="I239">
        <f>IF('CALL SHEET'!$AY$239="","",'CALL SHEET'!$AY$239)</f>
        <v/>
      </c>
      <c r="J239">
        <f>IF('CALL SHEET'!$BC$239="","",'CALL SHEET'!$BC$239)</f>
        <v/>
      </c>
      <c r="K239">
        <f>IF('CALL SHEET'!$N$239="","",'CALL SHEET'!$N$239)</f>
        <v/>
      </c>
      <c r="L239">
        <f>IF('CALL SHEET'!$AH$239="","",'CALL SHEET'!$AH$239)</f>
        <v/>
      </c>
      <c r="M239">
        <f>IF('CALL SHEET'!$AO$239="","",'CALL SHEET'!$AO$239)</f>
        <v/>
      </c>
      <c r="N239">
        <f>IF('CALL SHEET'!$BF$239="","",'CALL SHEET'!$BF$239)</f>
        <v/>
      </c>
      <c r="O239" t="inlineStr">
        <is>
          <t>TRADE</t>
        </is>
      </c>
      <c r="P239" t="inlineStr">
        <is>
          <t>CALL SHEET · row 239</t>
        </is>
      </c>
      <c r="Q239">
        <f>E239+ROW()*0.000000001</f>
        <v/>
      </c>
    </row>
    <row r="240">
      <c r="A240">
        <f>IF('CALL SHEET'!$A$240="","",'CALL SHEET'!$A$240)</f>
        <v/>
      </c>
      <c r="B240">
        <f>IF('CALL SHEET'!$C$240="","",'CALL SHEET'!$C$240)</f>
        <v/>
      </c>
      <c r="C240">
        <f>'CALL SHEET'!$U$240</f>
        <v/>
      </c>
      <c r="D240">
        <f>'CALL SHEET'!$AB$240</f>
        <v/>
      </c>
      <c r="E240">
        <f>'CALL SHEET'!$AF$240</f>
        <v/>
      </c>
      <c r="F240">
        <f>IF('CALL SHEET'!$V$240="","",'CALL SHEET'!$V$240)</f>
        <v/>
      </c>
      <c r="G240">
        <f>IF('CALL SHEET'!$D$240="","",'CALL SHEET'!$D$240)</f>
        <v/>
      </c>
      <c r="H240">
        <f>IF('CALL SHEET'!$G$240="","",'CALL SHEET'!$G$240)</f>
        <v/>
      </c>
      <c r="I240">
        <f>IF('CALL SHEET'!$AY$240="","",'CALL SHEET'!$AY$240)</f>
        <v/>
      </c>
      <c r="J240">
        <f>IF('CALL SHEET'!$BC$240="","",'CALL SHEET'!$BC$240)</f>
        <v/>
      </c>
      <c r="K240">
        <f>IF('CALL SHEET'!$N$240="","",'CALL SHEET'!$N$240)</f>
        <v/>
      </c>
      <c r="L240">
        <f>IF('CALL SHEET'!$AH$240="","",'CALL SHEET'!$AH$240)</f>
        <v/>
      </c>
      <c r="M240">
        <f>IF('CALL SHEET'!$AO$240="","",'CALL SHEET'!$AO$240)</f>
        <v/>
      </c>
      <c r="N240">
        <f>IF('CALL SHEET'!$BF$240="","",'CALL SHEET'!$BF$240)</f>
        <v/>
      </c>
      <c r="O240" t="inlineStr">
        <is>
          <t>TRADE</t>
        </is>
      </c>
      <c r="P240" t="inlineStr">
        <is>
          <t>CALL SHEET · row 240</t>
        </is>
      </c>
      <c r="Q240">
        <f>E240+ROW()*0.000000001</f>
        <v/>
      </c>
    </row>
    <row r="241">
      <c r="A241">
        <f>IF('CALL SHEET'!$A$241="","",'CALL SHEET'!$A$241)</f>
        <v/>
      </c>
      <c r="B241">
        <f>IF('CALL SHEET'!$C$241="","",'CALL SHEET'!$C$241)</f>
        <v/>
      </c>
      <c r="C241">
        <f>'CALL SHEET'!$U$241</f>
        <v/>
      </c>
      <c r="D241">
        <f>'CALL SHEET'!$AB$241</f>
        <v/>
      </c>
      <c r="E241">
        <f>'CALL SHEET'!$AF$241</f>
        <v/>
      </c>
      <c r="F241">
        <f>IF('CALL SHEET'!$V$241="","",'CALL SHEET'!$V$241)</f>
        <v/>
      </c>
      <c r="G241">
        <f>IF('CALL SHEET'!$D$241="","",'CALL SHEET'!$D$241)</f>
        <v/>
      </c>
      <c r="H241">
        <f>IF('CALL SHEET'!$G$241="","",'CALL SHEET'!$G$241)</f>
        <v/>
      </c>
      <c r="I241">
        <f>IF('CALL SHEET'!$AY$241="","",'CALL SHEET'!$AY$241)</f>
        <v/>
      </c>
      <c r="J241">
        <f>IF('CALL SHEET'!$BC$241="","",'CALL SHEET'!$BC$241)</f>
        <v/>
      </c>
      <c r="K241">
        <f>IF('CALL SHEET'!$N$241="","",'CALL SHEET'!$N$241)</f>
        <v/>
      </c>
      <c r="L241">
        <f>IF('CALL SHEET'!$AH$241="","",'CALL SHEET'!$AH$241)</f>
        <v/>
      </c>
      <c r="M241">
        <f>IF('CALL SHEET'!$AO$241="","",'CALL SHEET'!$AO$241)</f>
        <v/>
      </c>
      <c r="N241">
        <f>IF('CALL SHEET'!$BF$241="","",'CALL SHEET'!$BF$241)</f>
        <v/>
      </c>
      <c r="O241" t="inlineStr">
        <is>
          <t>TRADE</t>
        </is>
      </c>
      <c r="P241" t="inlineStr">
        <is>
          <t>CALL SHEET · row 241</t>
        </is>
      </c>
      <c r="Q241">
        <f>E241+ROW()*0.000000001</f>
        <v/>
      </c>
    </row>
    <row r="242">
      <c r="A242">
        <f>IF('CALL SHEET'!$A$242="","",'CALL SHEET'!$A$242)</f>
        <v/>
      </c>
      <c r="B242">
        <f>IF('CALL SHEET'!$C$242="","",'CALL SHEET'!$C$242)</f>
        <v/>
      </c>
      <c r="C242">
        <f>'CALL SHEET'!$U$242</f>
        <v/>
      </c>
      <c r="D242">
        <f>'CALL SHEET'!$AB$242</f>
        <v/>
      </c>
      <c r="E242">
        <f>'CALL SHEET'!$AF$242</f>
        <v/>
      </c>
      <c r="F242">
        <f>IF('CALL SHEET'!$V$242="","",'CALL SHEET'!$V$242)</f>
        <v/>
      </c>
      <c r="G242">
        <f>IF('CALL SHEET'!$D$242="","",'CALL SHEET'!$D$242)</f>
        <v/>
      </c>
      <c r="H242">
        <f>IF('CALL SHEET'!$G$242="","",'CALL SHEET'!$G$242)</f>
        <v/>
      </c>
      <c r="I242">
        <f>IF('CALL SHEET'!$AY$242="","",'CALL SHEET'!$AY$242)</f>
        <v/>
      </c>
      <c r="J242">
        <f>IF('CALL SHEET'!$BC$242="","",'CALL SHEET'!$BC$242)</f>
        <v/>
      </c>
      <c r="K242">
        <f>IF('CALL SHEET'!$N$242="","",'CALL SHEET'!$N$242)</f>
        <v/>
      </c>
      <c r="L242">
        <f>IF('CALL SHEET'!$AH$242="","",'CALL SHEET'!$AH$242)</f>
        <v/>
      </c>
      <c r="M242">
        <f>IF('CALL SHEET'!$AO$242="","",'CALL SHEET'!$AO$242)</f>
        <v/>
      </c>
      <c r="N242">
        <f>IF('CALL SHEET'!$BF$242="","",'CALL SHEET'!$BF$242)</f>
        <v/>
      </c>
      <c r="O242" t="inlineStr">
        <is>
          <t>TRADE</t>
        </is>
      </c>
      <c r="P242" t="inlineStr">
        <is>
          <t>CALL SHEET · row 242</t>
        </is>
      </c>
      <c r="Q242">
        <f>E242+ROW()*0.000000001</f>
        <v/>
      </c>
    </row>
    <row r="243">
      <c r="A243">
        <f>IF('CALL SHEET'!$A$243="","",'CALL SHEET'!$A$243)</f>
        <v/>
      </c>
      <c r="B243">
        <f>IF('CALL SHEET'!$C$243="","",'CALL SHEET'!$C$243)</f>
        <v/>
      </c>
      <c r="C243">
        <f>'CALL SHEET'!$U$243</f>
        <v/>
      </c>
      <c r="D243">
        <f>'CALL SHEET'!$AB$243</f>
        <v/>
      </c>
      <c r="E243">
        <f>'CALL SHEET'!$AF$243</f>
        <v/>
      </c>
      <c r="F243">
        <f>IF('CALL SHEET'!$V$243="","",'CALL SHEET'!$V$243)</f>
        <v/>
      </c>
      <c r="G243">
        <f>IF('CALL SHEET'!$D$243="","",'CALL SHEET'!$D$243)</f>
        <v/>
      </c>
      <c r="H243">
        <f>IF('CALL SHEET'!$G$243="","",'CALL SHEET'!$G$243)</f>
        <v/>
      </c>
      <c r="I243">
        <f>IF('CALL SHEET'!$AY$243="","",'CALL SHEET'!$AY$243)</f>
        <v/>
      </c>
      <c r="J243">
        <f>IF('CALL SHEET'!$BC$243="","",'CALL SHEET'!$BC$243)</f>
        <v/>
      </c>
      <c r="K243">
        <f>IF('CALL SHEET'!$N$243="","",'CALL SHEET'!$N$243)</f>
        <v/>
      </c>
      <c r="L243">
        <f>IF('CALL SHEET'!$AH$243="","",'CALL SHEET'!$AH$243)</f>
        <v/>
      </c>
      <c r="M243">
        <f>IF('CALL SHEET'!$AO$243="","",'CALL SHEET'!$AO$243)</f>
        <v/>
      </c>
      <c r="N243">
        <f>IF('CALL SHEET'!$BF$243="","",'CALL SHEET'!$BF$243)</f>
        <v/>
      </c>
      <c r="O243" t="inlineStr">
        <is>
          <t>TRADE</t>
        </is>
      </c>
      <c r="P243" t="inlineStr">
        <is>
          <t>CALL SHEET · row 243</t>
        </is>
      </c>
      <c r="Q243">
        <f>E243+ROW()*0.000000001</f>
        <v/>
      </c>
    </row>
    <row r="244">
      <c r="A244">
        <f>IF('CALL SHEET'!$A$244="","",'CALL SHEET'!$A$244)</f>
        <v/>
      </c>
      <c r="B244">
        <f>IF('CALL SHEET'!$C$244="","",'CALL SHEET'!$C$244)</f>
        <v/>
      </c>
      <c r="C244">
        <f>'CALL SHEET'!$U$244</f>
        <v/>
      </c>
      <c r="D244">
        <f>'CALL SHEET'!$AB$244</f>
        <v/>
      </c>
      <c r="E244">
        <f>'CALL SHEET'!$AF$244</f>
        <v/>
      </c>
      <c r="F244">
        <f>IF('CALL SHEET'!$V$244="","",'CALL SHEET'!$V$244)</f>
        <v/>
      </c>
      <c r="G244">
        <f>IF('CALL SHEET'!$D$244="","",'CALL SHEET'!$D$244)</f>
        <v/>
      </c>
      <c r="H244">
        <f>IF('CALL SHEET'!$G$244="","",'CALL SHEET'!$G$244)</f>
        <v/>
      </c>
      <c r="I244">
        <f>IF('CALL SHEET'!$AY$244="","",'CALL SHEET'!$AY$244)</f>
        <v/>
      </c>
      <c r="J244">
        <f>IF('CALL SHEET'!$BC$244="","",'CALL SHEET'!$BC$244)</f>
        <v/>
      </c>
      <c r="K244">
        <f>IF('CALL SHEET'!$N$244="","",'CALL SHEET'!$N$244)</f>
        <v/>
      </c>
      <c r="L244">
        <f>IF('CALL SHEET'!$AH$244="","",'CALL SHEET'!$AH$244)</f>
        <v/>
      </c>
      <c r="M244">
        <f>IF('CALL SHEET'!$AO$244="","",'CALL SHEET'!$AO$244)</f>
        <v/>
      </c>
      <c r="N244">
        <f>IF('CALL SHEET'!$BF$244="","",'CALL SHEET'!$BF$244)</f>
        <v/>
      </c>
      <c r="O244" t="inlineStr">
        <is>
          <t>TRADE</t>
        </is>
      </c>
      <c r="P244" t="inlineStr">
        <is>
          <t>CALL SHEET · row 244</t>
        </is>
      </c>
      <c r="Q244">
        <f>E244+ROW()*0.000000001</f>
        <v/>
      </c>
    </row>
    <row r="245">
      <c r="A245">
        <f>IF('CALL SHEET'!$A$245="","",'CALL SHEET'!$A$245)</f>
        <v/>
      </c>
      <c r="B245">
        <f>IF('CALL SHEET'!$C$245="","",'CALL SHEET'!$C$245)</f>
        <v/>
      </c>
      <c r="C245">
        <f>'CALL SHEET'!$U$245</f>
        <v/>
      </c>
      <c r="D245">
        <f>'CALL SHEET'!$AB$245</f>
        <v/>
      </c>
      <c r="E245">
        <f>'CALL SHEET'!$AF$245</f>
        <v/>
      </c>
      <c r="F245">
        <f>IF('CALL SHEET'!$V$245="","",'CALL SHEET'!$V$245)</f>
        <v/>
      </c>
      <c r="G245">
        <f>IF('CALL SHEET'!$D$245="","",'CALL SHEET'!$D$245)</f>
        <v/>
      </c>
      <c r="H245">
        <f>IF('CALL SHEET'!$G$245="","",'CALL SHEET'!$G$245)</f>
        <v/>
      </c>
      <c r="I245">
        <f>IF('CALL SHEET'!$AY$245="","",'CALL SHEET'!$AY$245)</f>
        <v/>
      </c>
      <c r="J245">
        <f>IF('CALL SHEET'!$BC$245="","",'CALL SHEET'!$BC$245)</f>
        <v/>
      </c>
      <c r="K245">
        <f>IF('CALL SHEET'!$N$245="","",'CALL SHEET'!$N$245)</f>
        <v/>
      </c>
      <c r="L245">
        <f>IF('CALL SHEET'!$AH$245="","",'CALL SHEET'!$AH$245)</f>
        <v/>
      </c>
      <c r="M245">
        <f>IF('CALL SHEET'!$AO$245="","",'CALL SHEET'!$AO$245)</f>
        <v/>
      </c>
      <c r="N245">
        <f>IF('CALL SHEET'!$BF$245="","",'CALL SHEET'!$BF$245)</f>
        <v/>
      </c>
      <c r="O245" t="inlineStr">
        <is>
          <t>TRADE</t>
        </is>
      </c>
      <c r="P245" t="inlineStr">
        <is>
          <t>CALL SHEET · row 245</t>
        </is>
      </c>
      <c r="Q245">
        <f>E245+ROW()*0.000000001</f>
        <v/>
      </c>
    </row>
    <row r="246">
      <c r="A246">
        <f>IF('CALL SHEET'!$A$246="","",'CALL SHEET'!$A$246)</f>
        <v/>
      </c>
      <c r="B246">
        <f>IF('CALL SHEET'!$C$246="","",'CALL SHEET'!$C$246)</f>
        <v/>
      </c>
      <c r="C246">
        <f>'CALL SHEET'!$U$246</f>
        <v/>
      </c>
      <c r="D246">
        <f>'CALL SHEET'!$AB$246</f>
        <v/>
      </c>
      <c r="E246">
        <f>'CALL SHEET'!$AF$246</f>
        <v/>
      </c>
      <c r="F246">
        <f>IF('CALL SHEET'!$V$246="","",'CALL SHEET'!$V$246)</f>
        <v/>
      </c>
      <c r="G246">
        <f>IF('CALL SHEET'!$D$246="","",'CALL SHEET'!$D$246)</f>
        <v/>
      </c>
      <c r="H246">
        <f>IF('CALL SHEET'!$G$246="","",'CALL SHEET'!$G$246)</f>
        <v/>
      </c>
      <c r="I246">
        <f>IF('CALL SHEET'!$AY$246="","",'CALL SHEET'!$AY$246)</f>
        <v/>
      </c>
      <c r="J246">
        <f>IF('CALL SHEET'!$BC$246="","",'CALL SHEET'!$BC$246)</f>
        <v/>
      </c>
      <c r="K246">
        <f>IF('CALL SHEET'!$N$246="","",'CALL SHEET'!$N$246)</f>
        <v/>
      </c>
      <c r="L246">
        <f>IF('CALL SHEET'!$AH$246="","",'CALL SHEET'!$AH$246)</f>
        <v/>
      </c>
      <c r="M246">
        <f>IF('CALL SHEET'!$AO$246="","",'CALL SHEET'!$AO$246)</f>
        <v/>
      </c>
      <c r="N246">
        <f>IF('CALL SHEET'!$BF$246="","",'CALL SHEET'!$BF$246)</f>
        <v/>
      </c>
      <c r="O246" t="inlineStr">
        <is>
          <t>TRADE</t>
        </is>
      </c>
      <c r="P246" t="inlineStr">
        <is>
          <t>CALL SHEET · row 246</t>
        </is>
      </c>
      <c r="Q246">
        <f>E246+ROW()*0.000000001</f>
        <v/>
      </c>
    </row>
    <row r="247">
      <c r="A247">
        <f>IF('CALL SHEET'!$A$247="","",'CALL SHEET'!$A$247)</f>
        <v/>
      </c>
      <c r="B247">
        <f>IF('CALL SHEET'!$C$247="","",'CALL SHEET'!$C$247)</f>
        <v/>
      </c>
      <c r="C247">
        <f>'CALL SHEET'!$U$247</f>
        <v/>
      </c>
      <c r="D247">
        <f>'CALL SHEET'!$AB$247</f>
        <v/>
      </c>
      <c r="E247">
        <f>'CALL SHEET'!$AF$247</f>
        <v/>
      </c>
      <c r="F247">
        <f>IF('CALL SHEET'!$V$247="","",'CALL SHEET'!$V$247)</f>
        <v/>
      </c>
      <c r="G247">
        <f>IF('CALL SHEET'!$D$247="","",'CALL SHEET'!$D$247)</f>
        <v/>
      </c>
      <c r="H247">
        <f>IF('CALL SHEET'!$G$247="","",'CALL SHEET'!$G$247)</f>
        <v/>
      </c>
      <c r="I247">
        <f>IF('CALL SHEET'!$AY$247="","",'CALL SHEET'!$AY$247)</f>
        <v/>
      </c>
      <c r="J247">
        <f>IF('CALL SHEET'!$BC$247="","",'CALL SHEET'!$BC$247)</f>
        <v/>
      </c>
      <c r="K247">
        <f>IF('CALL SHEET'!$N$247="","",'CALL SHEET'!$N$247)</f>
        <v/>
      </c>
      <c r="L247">
        <f>IF('CALL SHEET'!$AH$247="","",'CALL SHEET'!$AH$247)</f>
        <v/>
      </c>
      <c r="M247">
        <f>IF('CALL SHEET'!$AO$247="","",'CALL SHEET'!$AO$247)</f>
        <v/>
      </c>
      <c r="N247">
        <f>IF('CALL SHEET'!$BF$247="","",'CALL SHEET'!$BF$247)</f>
        <v/>
      </c>
      <c r="O247" t="inlineStr">
        <is>
          <t>TRADE</t>
        </is>
      </c>
      <c r="P247" t="inlineStr">
        <is>
          <t>CALL SHEET · row 247</t>
        </is>
      </c>
      <c r="Q247">
        <f>E247+ROW()*0.000000001</f>
        <v/>
      </c>
    </row>
    <row r="248">
      <c r="A248">
        <f>IF('CALL SHEET'!$A$248="","",'CALL SHEET'!$A$248)</f>
        <v/>
      </c>
      <c r="B248">
        <f>IF('CALL SHEET'!$C$248="","",'CALL SHEET'!$C$248)</f>
        <v/>
      </c>
      <c r="C248">
        <f>'CALL SHEET'!$U$248</f>
        <v/>
      </c>
      <c r="D248">
        <f>'CALL SHEET'!$AB$248</f>
        <v/>
      </c>
      <c r="E248">
        <f>'CALL SHEET'!$AF$248</f>
        <v/>
      </c>
      <c r="F248">
        <f>IF('CALL SHEET'!$V$248="","",'CALL SHEET'!$V$248)</f>
        <v/>
      </c>
      <c r="G248">
        <f>IF('CALL SHEET'!$D$248="","",'CALL SHEET'!$D$248)</f>
        <v/>
      </c>
      <c r="H248">
        <f>IF('CALL SHEET'!$G$248="","",'CALL SHEET'!$G$248)</f>
        <v/>
      </c>
      <c r="I248">
        <f>IF('CALL SHEET'!$AY$248="","",'CALL SHEET'!$AY$248)</f>
        <v/>
      </c>
      <c r="J248">
        <f>IF('CALL SHEET'!$BC$248="","",'CALL SHEET'!$BC$248)</f>
        <v/>
      </c>
      <c r="K248">
        <f>IF('CALL SHEET'!$N$248="","",'CALL SHEET'!$N$248)</f>
        <v/>
      </c>
      <c r="L248">
        <f>IF('CALL SHEET'!$AH$248="","",'CALL SHEET'!$AH$248)</f>
        <v/>
      </c>
      <c r="M248">
        <f>IF('CALL SHEET'!$AO$248="","",'CALL SHEET'!$AO$248)</f>
        <v/>
      </c>
      <c r="N248">
        <f>IF('CALL SHEET'!$BF$248="","",'CALL SHEET'!$BF$248)</f>
        <v/>
      </c>
      <c r="O248" t="inlineStr">
        <is>
          <t>TRADE</t>
        </is>
      </c>
      <c r="P248" t="inlineStr">
        <is>
          <t>CALL SHEET · row 248</t>
        </is>
      </c>
      <c r="Q248">
        <f>E248+ROW()*0.000000001</f>
        <v/>
      </c>
    </row>
    <row r="249">
      <c r="A249">
        <f>IF('CALL SHEET'!$A$249="","",'CALL SHEET'!$A$249)</f>
        <v/>
      </c>
      <c r="B249">
        <f>IF('CALL SHEET'!$C$249="","",'CALL SHEET'!$C$249)</f>
        <v/>
      </c>
      <c r="C249">
        <f>'CALL SHEET'!$U$249</f>
        <v/>
      </c>
      <c r="D249">
        <f>'CALL SHEET'!$AB$249</f>
        <v/>
      </c>
      <c r="E249">
        <f>'CALL SHEET'!$AF$249</f>
        <v/>
      </c>
      <c r="F249">
        <f>IF('CALL SHEET'!$V$249="","",'CALL SHEET'!$V$249)</f>
        <v/>
      </c>
      <c r="G249">
        <f>IF('CALL SHEET'!$D$249="","",'CALL SHEET'!$D$249)</f>
        <v/>
      </c>
      <c r="H249">
        <f>IF('CALL SHEET'!$G$249="","",'CALL SHEET'!$G$249)</f>
        <v/>
      </c>
      <c r="I249">
        <f>IF('CALL SHEET'!$AY$249="","",'CALL SHEET'!$AY$249)</f>
        <v/>
      </c>
      <c r="J249">
        <f>IF('CALL SHEET'!$BC$249="","",'CALL SHEET'!$BC$249)</f>
        <v/>
      </c>
      <c r="K249">
        <f>IF('CALL SHEET'!$N$249="","",'CALL SHEET'!$N$249)</f>
        <v/>
      </c>
      <c r="L249">
        <f>IF('CALL SHEET'!$AH$249="","",'CALL SHEET'!$AH$249)</f>
        <v/>
      </c>
      <c r="M249">
        <f>IF('CALL SHEET'!$AO$249="","",'CALL SHEET'!$AO$249)</f>
        <v/>
      </c>
      <c r="N249">
        <f>IF('CALL SHEET'!$BF$249="","",'CALL SHEET'!$BF$249)</f>
        <v/>
      </c>
      <c r="O249" t="inlineStr">
        <is>
          <t>TRADE</t>
        </is>
      </c>
      <c r="P249" t="inlineStr">
        <is>
          <t>CALL SHEET · row 249</t>
        </is>
      </c>
      <c r="Q249">
        <f>E249+ROW()*0.000000001</f>
        <v/>
      </c>
    </row>
    <row r="250">
      <c r="A250">
        <f>IF('CALL SHEET'!$A$250="","",'CALL SHEET'!$A$250)</f>
        <v/>
      </c>
      <c r="B250">
        <f>IF('CALL SHEET'!$C$250="","",'CALL SHEET'!$C$250)</f>
        <v/>
      </c>
      <c r="C250">
        <f>'CALL SHEET'!$U$250</f>
        <v/>
      </c>
      <c r="D250">
        <f>'CALL SHEET'!$AB$250</f>
        <v/>
      </c>
      <c r="E250">
        <f>'CALL SHEET'!$AF$250</f>
        <v/>
      </c>
      <c r="F250">
        <f>IF('CALL SHEET'!$V$250="","",'CALL SHEET'!$V$250)</f>
        <v/>
      </c>
      <c r="G250">
        <f>IF('CALL SHEET'!$D$250="","",'CALL SHEET'!$D$250)</f>
        <v/>
      </c>
      <c r="H250">
        <f>IF('CALL SHEET'!$G$250="","",'CALL SHEET'!$G$250)</f>
        <v/>
      </c>
      <c r="I250">
        <f>IF('CALL SHEET'!$AY$250="","",'CALL SHEET'!$AY$250)</f>
        <v/>
      </c>
      <c r="J250">
        <f>IF('CALL SHEET'!$BC$250="","",'CALL SHEET'!$BC$250)</f>
        <v/>
      </c>
      <c r="K250">
        <f>IF('CALL SHEET'!$N$250="","",'CALL SHEET'!$N$250)</f>
        <v/>
      </c>
      <c r="L250">
        <f>IF('CALL SHEET'!$AH$250="","",'CALL SHEET'!$AH$250)</f>
        <v/>
      </c>
      <c r="M250">
        <f>IF('CALL SHEET'!$AO$250="","",'CALL SHEET'!$AO$250)</f>
        <v/>
      </c>
      <c r="N250">
        <f>IF('CALL SHEET'!$BF$250="","",'CALL SHEET'!$BF$250)</f>
        <v/>
      </c>
      <c r="O250" t="inlineStr">
        <is>
          <t>TRADE</t>
        </is>
      </c>
      <c r="P250" t="inlineStr">
        <is>
          <t>CALL SHEET · row 250</t>
        </is>
      </c>
      <c r="Q250">
        <f>E250+ROW()*0.000000001</f>
        <v/>
      </c>
    </row>
    <row r="251">
      <c r="A251">
        <f>IF('CALL SHEET'!$A$251="","",'CALL SHEET'!$A$251)</f>
        <v/>
      </c>
      <c r="B251">
        <f>IF('CALL SHEET'!$C$251="","",'CALL SHEET'!$C$251)</f>
        <v/>
      </c>
      <c r="C251">
        <f>'CALL SHEET'!$U$251</f>
        <v/>
      </c>
      <c r="D251">
        <f>'CALL SHEET'!$AB$251</f>
        <v/>
      </c>
      <c r="E251">
        <f>'CALL SHEET'!$AF$251</f>
        <v/>
      </c>
      <c r="F251">
        <f>IF('CALL SHEET'!$V$251="","",'CALL SHEET'!$V$251)</f>
        <v/>
      </c>
      <c r="G251">
        <f>IF('CALL SHEET'!$D$251="","",'CALL SHEET'!$D$251)</f>
        <v/>
      </c>
      <c r="H251">
        <f>IF('CALL SHEET'!$G$251="","",'CALL SHEET'!$G$251)</f>
        <v/>
      </c>
      <c r="I251">
        <f>IF('CALL SHEET'!$AY$251="","",'CALL SHEET'!$AY$251)</f>
        <v/>
      </c>
      <c r="J251">
        <f>IF('CALL SHEET'!$BC$251="","",'CALL SHEET'!$BC$251)</f>
        <v/>
      </c>
      <c r="K251">
        <f>IF('CALL SHEET'!$N$251="","",'CALL SHEET'!$N$251)</f>
        <v/>
      </c>
      <c r="L251">
        <f>IF('CALL SHEET'!$AH$251="","",'CALL SHEET'!$AH$251)</f>
        <v/>
      </c>
      <c r="M251">
        <f>IF('CALL SHEET'!$AO$251="","",'CALL SHEET'!$AO$251)</f>
        <v/>
      </c>
      <c r="N251">
        <f>IF('CALL SHEET'!$BF$251="","",'CALL SHEET'!$BF$251)</f>
        <v/>
      </c>
      <c r="O251" t="inlineStr">
        <is>
          <t>TRADE</t>
        </is>
      </c>
      <c r="P251" t="inlineStr">
        <is>
          <t>CALL SHEET · row 251</t>
        </is>
      </c>
      <c r="Q251">
        <f>E251+ROW()*0.000000001</f>
        <v/>
      </c>
    </row>
    <row r="252">
      <c r="A252">
        <f>IF('CALL SHEET'!$A$252="","",'CALL SHEET'!$A$252)</f>
        <v/>
      </c>
      <c r="B252">
        <f>IF('CALL SHEET'!$C$252="","",'CALL SHEET'!$C$252)</f>
        <v/>
      </c>
      <c r="C252">
        <f>'CALL SHEET'!$U$252</f>
        <v/>
      </c>
      <c r="D252">
        <f>'CALL SHEET'!$AB$252</f>
        <v/>
      </c>
      <c r="E252">
        <f>'CALL SHEET'!$AF$252</f>
        <v/>
      </c>
      <c r="F252">
        <f>IF('CALL SHEET'!$V$252="","",'CALL SHEET'!$V$252)</f>
        <v/>
      </c>
      <c r="G252">
        <f>IF('CALL SHEET'!$D$252="","",'CALL SHEET'!$D$252)</f>
        <v/>
      </c>
      <c r="H252">
        <f>IF('CALL SHEET'!$G$252="","",'CALL SHEET'!$G$252)</f>
        <v/>
      </c>
      <c r="I252">
        <f>IF('CALL SHEET'!$AY$252="","",'CALL SHEET'!$AY$252)</f>
        <v/>
      </c>
      <c r="J252">
        <f>IF('CALL SHEET'!$BC$252="","",'CALL SHEET'!$BC$252)</f>
        <v/>
      </c>
      <c r="K252">
        <f>IF('CALL SHEET'!$N$252="","",'CALL SHEET'!$N$252)</f>
        <v/>
      </c>
      <c r="L252">
        <f>IF('CALL SHEET'!$AH$252="","",'CALL SHEET'!$AH$252)</f>
        <v/>
      </c>
      <c r="M252">
        <f>IF('CALL SHEET'!$AO$252="","",'CALL SHEET'!$AO$252)</f>
        <v/>
      </c>
      <c r="N252">
        <f>IF('CALL SHEET'!$BF$252="","",'CALL SHEET'!$BF$252)</f>
        <v/>
      </c>
      <c r="O252" t="inlineStr">
        <is>
          <t>TRADE</t>
        </is>
      </c>
      <c r="P252" t="inlineStr">
        <is>
          <t>CALL SHEET · row 252</t>
        </is>
      </c>
      <c r="Q252">
        <f>E252+ROW()*0.000000001</f>
        <v/>
      </c>
    </row>
    <row r="253">
      <c r="A253">
        <f>IF('CALL SHEET'!$A$253="","",'CALL SHEET'!$A$253)</f>
        <v/>
      </c>
      <c r="B253">
        <f>IF('CALL SHEET'!$C$253="","",'CALL SHEET'!$C$253)</f>
        <v/>
      </c>
      <c r="C253">
        <f>'CALL SHEET'!$U$253</f>
        <v/>
      </c>
      <c r="D253">
        <f>'CALL SHEET'!$AB$253</f>
        <v/>
      </c>
      <c r="E253">
        <f>'CALL SHEET'!$AF$253</f>
        <v/>
      </c>
      <c r="F253">
        <f>IF('CALL SHEET'!$V$253="","",'CALL SHEET'!$V$253)</f>
        <v/>
      </c>
      <c r="G253">
        <f>IF('CALL SHEET'!$D$253="","",'CALL SHEET'!$D$253)</f>
        <v/>
      </c>
      <c r="H253">
        <f>IF('CALL SHEET'!$G$253="","",'CALL SHEET'!$G$253)</f>
        <v/>
      </c>
      <c r="I253">
        <f>IF('CALL SHEET'!$AY$253="","",'CALL SHEET'!$AY$253)</f>
        <v/>
      </c>
      <c r="J253">
        <f>IF('CALL SHEET'!$BC$253="","",'CALL SHEET'!$BC$253)</f>
        <v/>
      </c>
      <c r="K253">
        <f>IF('CALL SHEET'!$N$253="","",'CALL SHEET'!$N$253)</f>
        <v/>
      </c>
      <c r="L253">
        <f>IF('CALL SHEET'!$AH$253="","",'CALL SHEET'!$AH$253)</f>
        <v/>
      </c>
      <c r="M253">
        <f>IF('CALL SHEET'!$AO$253="","",'CALL SHEET'!$AO$253)</f>
        <v/>
      </c>
      <c r="N253">
        <f>IF('CALL SHEET'!$BF$253="","",'CALL SHEET'!$BF$253)</f>
        <v/>
      </c>
      <c r="O253" t="inlineStr">
        <is>
          <t>TRADE</t>
        </is>
      </c>
      <c r="P253" t="inlineStr">
        <is>
          <t>CALL SHEET · row 253</t>
        </is>
      </c>
      <c r="Q253">
        <f>E253+ROW()*0.000000001</f>
        <v/>
      </c>
    </row>
    <row r="254">
      <c r="A254">
        <f>IF('CALL SHEET'!$A$254="","",'CALL SHEET'!$A$254)</f>
        <v/>
      </c>
      <c r="B254">
        <f>IF('CALL SHEET'!$C$254="","",'CALL SHEET'!$C$254)</f>
        <v/>
      </c>
      <c r="C254">
        <f>'CALL SHEET'!$U$254</f>
        <v/>
      </c>
      <c r="D254">
        <f>'CALL SHEET'!$AB$254</f>
        <v/>
      </c>
      <c r="E254">
        <f>'CALL SHEET'!$AF$254</f>
        <v/>
      </c>
      <c r="F254">
        <f>IF('CALL SHEET'!$V$254="","",'CALL SHEET'!$V$254)</f>
        <v/>
      </c>
      <c r="G254">
        <f>IF('CALL SHEET'!$D$254="","",'CALL SHEET'!$D$254)</f>
        <v/>
      </c>
      <c r="H254">
        <f>IF('CALL SHEET'!$G$254="","",'CALL SHEET'!$G$254)</f>
        <v/>
      </c>
      <c r="I254">
        <f>IF('CALL SHEET'!$AY$254="","",'CALL SHEET'!$AY$254)</f>
        <v/>
      </c>
      <c r="J254">
        <f>IF('CALL SHEET'!$BC$254="","",'CALL SHEET'!$BC$254)</f>
        <v/>
      </c>
      <c r="K254">
        <f>IF('CALL SHEET'!$N$254="","",'CALL SHEET'!$N$254)</f>
        <v/>
      </c>
      <c r="L254">
        <f>IF('CALL SHEET'!$AH$254="","",'CALL SHEET'!$AH$254)</f>
        <v/>
      </c>
      <c r="M254">
        <f>IF('CALL SHEET'!$AO$254="","",'CALL SHEET'!$AO$254)</f>
        <v/>
      </c>
      <c r="N254">
        <f>IF('CALL SHEET'!$BF$254="","",'CALL SHEET'!$BF$254)</f>
        <v/>
      </c>
      <c r="O254" t="inlineStr">
        <is>
          <t>TRADE</t>
        </is>
      </c>
      <c r="P254" t="inlineStr">
        <is>
          <t>CALL SHEET · row 254</t>
        </is>
      </c>
      <c r="Q254">
        <f>E254+ROW()*0.000000001</f>
        <v/>
      </c>
    </row>
    <row r="255">
      <c r="A255">
        <f>IF('CALL SHEET'!$A$255="","",'CALL SHEET'!$A$255)</f>
        <v/>
      </c>
      <c r="B255">
        <f>IF('CALL SHEET'!$C$255="","",'CALL SHEET'!$C$255)</f>
        <v/>
      </c>
      <c r="C255">
        <f>'CALL SHEET'!$U$255</f>
        <v/>
      </c>
      <c r="D255">
        <f>'CALL SHEET'!$AB$255</f>
        <v/>
      </c>
      <c r="E255">
        <f>'CALL SHEET'!$AF$255</f>
        <v/>
      </c>
      <c r="F255">
        <f>IF('CALL SHEET'!$V$255="","",'CALL SHEET'!$V$255)</f>
        <v/>
      </c>
      <c r="G255">
        <f>IF('CALL SHEET'!$D$255="","",'CALL SHEET'!$D$255)</f>
        <v/>
      </c>
      <c r="H255">
        <f>IF('CALL SHEET'!$G$255="","",'CALL SHEET'!$G$255)</f>
        <v/>
      </c>
      <c r="I255">
        <f>IF('CALL SHEET'!$AY$255="","",'CALL SHEET'!$AY$255)</f>
        <v/>
      </c>
      <c r="J255">
        <f>IF('CALL SHEET'!$BC$255="","",'CALL SHEET'!$BC$255)</f>
        <v/>
      </c>
      <c r="K255">
        <f>IF('CALL SHEET'!$N$255="","",'CALL SHEET'!$N$255)</f>
        <v/>
      </c>
      <c r="L255">
        <f>IF('CALL SHEET'!$AH$255="","",'CALL SHEET'!$AH$255)</f>
        <v/>
      </c>
      <c r="M255">
        <f>IF('CALL SHEET'!$AO$255="","",'CALL SHEET'!$AO$255)</f>
        <v/>
      </c>
      <c r="N255">
        <f>IF('CALL SHEET'!$BF$255="","",'CALL SHEET'!$BF$255)</f>
        <v/>
      </c>
      <c r="O255" t="inlineStr">
        <is>
          <t>TRADE</t>
        </is>
      </c>
      <c r="P255" t="inlineStr">
        <is>
          <t>CALL SHEET · row 255</t>
        </is>
      </c>
      <c r="Q255">
        <f>E255+ROW()*0.000000001</f>
        <v/>
      </c>
    </row>
    <row r="256">
      <c r="A256">
        <f>IF('CALL SHEET'!$A$256="","",'CALL SHEET'!$A$256)</f>
        <v/>
      </c>
      <c r="B256">
        <f>IF('CALL SHEET'!$C$256="","",'CALL SHEET'!$C$256)</f>
        <v/>
      </c>
      <c r="C256">
        <f>'CALL SHEET'!$U$256</f>
        <v/>
      </c>
      <c r="D256">
        <f>'CALL SHEET'!$AB$256</f>
        <v/>
      </c>
      <c r="E256">
        <f>'CALL SHEET'!$AF$256</f>
        <v/>
      </c>
      <c r="F256">
        <f>IF('CALL SHEET'!$V$256="","",'CALL SHEET'!$V$256)</f>
        <v/>
      </c>
      <c r="G256">
        <f>IF('CALL SHEET'!$D$256="","",'CALL SHEET'!$D$256)</f>
        <v/>
      </c>
      <c r="H256">
        <f>IF('CALL SHEET'!$G$256="","",'CALL SHEET'!$G$256)</f>
        <v/>
      </c>
      <c r="I256">
        <f>IF('CALL SHEET'!$AY$256="","",'CALL SHEET'!$AY$256)</f>
        <v/>
      </c>
      <c r="J256">
        <f>IF('CALL SHEET'!$BC$256="","",'CALL SHEET'!$BC$256)</f>
        <v/>
      </c>
      <c r="K256">
        <f>IF('CALL SHEET'!$N$256="","",'CALL SHEET'!$N$256)</f>
        <v/>
      </c>
      <c r="L256">
        <f>IF('CALL SHEET'!$AH$256="","",'CALL SHEET'!$AH$256)</f>
        <v/>
      </c>
      <c r="M256">
        <f>IF('CALL SHEET'!$AO$256="","",'CALL SHEET'!$AO$256)</f>
        <v/>
      </c>
      <c r="N256">
        <f>IF('CALL SHEET'!$BF$256="","",'CALL SHEET'!$BF$256)</f>
        <v/>
      </c>
      <c r="O256" t="inlineStr">
        <is>
          <t>TRADE</t>
        </is>
      </c>
      <c r="P256" t="inlineStr">
        <is>
          <t>CALL SHEET · row 256</t>
        </is>
      </c>
      <c r="Q256">
        <f>E256+ROW()*0.000000001</f>
        <v/>
      </c>
    </row>
    <row r="257">
      <c r="A257">
        <f>IF('CALL SHEET'!$A$257="","",'CALL SHEET'!$A$257)</f>
        <v/>
      </c>
      <c r="B257">
        <f>IF('CALL SHEET'!$C$257="","",'CALL SHEET'!$C$257)</f>
        <v/>
      </c>
      <c r="C257">
        <f>'CALL SHEET'!$U$257</f>
        <v/>
      </c>
      <c r="D257">
        <f>'CALL SHEET'!$AB$257</f>
        <v/>
      </c>
      <c r="E257">
        <f>'CALL SHEET'!$AF$257</f>
        <v/>
      </c>
      <c r="F257">
        <f>IF('CALL SHEET'!$V$257="","",'CALL SHEET'!$V$257)</f>
        <v/>
      </c>
      <c r="G257">
        <f>IF('CALL SHEET'!$D$257="","",'CALL SHEET'!$D$257)</f>
        <v/>
      </c>
      <c r="H257">
        <f>IF('CALL SHEET'!$G$257="","",'CALL SHEET'!$G$257)</f>
        <v/>
      </c>
      <c r="I257">
        <f>IF('CALL SHEET'!$AY$257="","",'CALL SHEET'!$AY$257)</f>
        <v/>
      </c>
      <c r="J257">
        <f>IF('CALL SHEET'!$BC$257="","",'CALL SHEET'!$BC$257)</f>
        <v/>
      </c>
      <c r="K257">
        <f>IF('CALL SHEET'!$N$257="","",'CALL SHEET'!$N$257)</f>
        <v/>
      </c>
      <c r="L257">
        <f>IF('CALL SHEET'!$AH$257="","",'CALL SHEET'!$AH$257)</f>
        <v/>
      </c>
      <c r="M257">
        <f>IF('CALL SHEET'!$AO$257="","",'CALL SHEET'!$AO$257)</f>
        <v/>
      </c>
      <c r="N257">
        <f>IF('CALL SHEET'!$BF$257="","",'CALL SHEET'!$BF$257)</f>
        <v/>
      </c>
      <c r="O257" t="inlineStr">
        <is>
          <t>TRADE</t>
        </is>
      </c>
      <c r="P257" t="inlineStr">
        <is>
          <t>CALL SHEET · row 257</t>
        </is>
      </c>
      <c r="Q257">
        <f>E257+ROW()*0.000000001</f>
        <v/>
      </c>
    </row>
    <row r="258">
      <c r="A258">
        <f>IF('CALL SHEET'!$A$258="","",'CALL SHEET'!$A$258)</f>
        <v/>
      </c>
      <c r="B258">
        <f>IF('CALL SHEET'!$C$258="","",'CALL SHEET'!$C$258)</f>
        <v/>
      </c>
      <c r="C258">
        <f>'CALL SHEET'!$U$258</f>
        <v/>
      </c>
      <c r="D258">
        <f>'CALL SHEET'!$AB$258</f>
        <v/>
      </c>
      <c r="E258">
        <f>'CALL SHEET'!$AF$258</f>
        <v/>
      </c>
      <c r="F258">
        <f>IF('CALL SHEET'!$V$258="","",'CALL SHEET'!$V$258)</f>
        <v/>
      </c>
      <c r="G258">
        <f>IF('CALL SHEET'!$D$258="","",'CALL SHEET'!$D$258)</f>
        <v/>
      </c>
      <c r="H258">
        <f>IF('CALL SHEET'!$G$258="","",'CALL SHEET'!$G$258)</f>
        <v/>
      </c>
      <c r="I258">
        <f>IF('CALL SHEET'!$AY$258="","",'CALL SHEET'!$AY$258)</f>
        <v/>
      </c>
      <c r="J258">
        <f>IF('CALL SHEET'!$BC$258="","",'CALL SHEET'!$BC$258)</f>
        <v/>
      </c>
      <c r="K258">
        <f>IF('CALL SHEET'!$N$258="","",'CALL SHEET'!$N$258)</f>
        <v/>
      </c>
      <c r="L258">
        <f>IF('CALL SHEET'!$AH$258="","",'CALL SHEET'!$AH$258)</f>
        <v/>
      </c>
      <c r="M258">
        <f>IF('CALL SHEET'!$AO$258="","",'CALL SHEET'!$AO$258)</f>
        <v/>
      </c>
      <c r="N258">
        <f>IF('CALL SHEET'!$BF$258="","",'CALL SHEET'!$BF$258)</f>
        <v/>
      </c>
      <c r="O258" t="inlineStr">
        <is>
          <t>TRADE</t>
        </is>
      </c>
      <c r="P258" t="inlineStr">
        <is>
          <t>CALL SHEET · row 258</t>
        </is>
      </c>
      <c r="Q258">
        <f>E258+ROW()*0.000000001</f>
        <v/>
      </c>
    </row>
    <row r="259">
      <c r="A259">
        <f>IF('CALL SHEET'!$A$259="","",'CALL SHEET'!$A$259)</f>
        <v/>
      </c>
      <c r="B259">
        <f>IF('CALL SHEET'!$C$259="","",'CALL SHEET'!$C$259)</f>
        <v/>
      </c>
      <c r="C259">
        <f>'CALL SHEET'!$U$259</f>
        <v/>
      </c>
      <c r="D259">
        <f>'CALL SHEET'!$AB$259</f>
        <v/>
      </c>
      <c r="E259">
        <f>'CALL SHEET'!$AF$259</f>
        <v/>
      </c>
      <c r="F259">
        <f>IF('CALL SHEET'!$V$259="","",'CALL SHEET'!$V$259)</f>
        <v/>
      </c>
      <c r="G259">
        <f>IF('CALL SHEET'!$D$259="","",'CALL SHEET'!$D$259)</f>
        <v/>
      </c>
      <c r="H259">
        <f>IF('CALL SHEET'!$G$259="","",'CALL SHEET'!$G$259)</f>
        <v/>
      </c>
      <c r="I259">
        <f>IF('CALL SHEET'!$AY$259="","",'CALL SHEET'!$AY$259)</f>
        <v/>
      </c>
      <c r="J259">
        <f>IF('CALL SHEET'!$BC$259="","",'CALL SHEET'!$BC$259)</f>
        <v/>
      </c>
      <c r="K259">
        <f>IF('CALL SHEET'!$N$259="","",'CALL SHEET'!$N$259)</f>
        <v/>
      </c>
      <c r="L259">
        <f>IF('CALL SHEET'!$AH$259="","",'CALL SHEET'!$AH$259)</f>
        <v/>
      </c>
      <c r="M259">
        <f>IF('CALL SHEET'!$AO$259="","",'CALL SHEET'!$AO$259)</f>
        <v/>
      </c>
      <c r="N259">
        <f>IF('CALL SHEET'!$BF$259="","",'CALL SHEET'!$BF$259)</f>
        <v/>
      </c>
      <c r="O259" t="inlineStr">
        <is>
          <t>TRADE</t>
        </is>
      </c>
      <c r="P259" t="inlineStr">
        <is>
          <t>CALL SHEET · row 259</t>
        </is>
      </c>
      <c r="Q259">
        <f>E259+ROW()*0.000000001</f>
        <v/>
      </c>
    </row>
    <row r="260">
      <c r="A260">
        <f>IF('CALL SHEET'!$A$260="","",'CALL SHEET'!$A$260)</f>
        <v/>
      </c>
      <c r="B260">
        <f>IF('CALL SHEET'!$C$260="","",'CALL SHEET'!$C$260)</f>
        <v/>
      </c>
      <c r="C260">
        <f>'CALL SHEET'!$U$260</f>
        <v/>
      </c>
      <c r="D260">
        <f>'CALL SHEET'!$AB$260</f>
        <v/>
      </c>
      <c r="E260">
        <f>'CALL SHEET'!$AF$260</f>
        <v/>
      </c>
      <c r="F260">
        <f>IF('CALL SHEET'!$V$260="","",'CALL SHEET'!$V$260)</f>
        <v/>
      </c>
      <c r="G260">
        <f>IF('CALL SHEET'!$D$260="","",'CALL SHEET'!$D$260)</f>
        <v/>
      </c>
      <c r="H260">
        <f>IF('CALL SHEET'!$G$260="","",'CALL SHEET'!$G$260)</f>
        <v/>
      </c>
      <c r="I260">
        <f>IF('CALL SHEET'!$AY$260="","",'CALL SHEET'!$AY$260)</f>
        <v/>
      </c>
      <c r="J260">
        <f>IF('CALL SHEET'!$BC$260="","",'CALL SHEET'!$BC$260)</f>
        <v/>
      </c>
      <c r="K260">
        <f>IF('CALL SHEET'!$N$260="","",'CALL SHEET'!$N$260)</f>
        <v/>
      </c>
      <c r="L260">
        <f>IF('CALL SHEET'!$AH$260="","",'CALL SHEET'!$AH$260)</f>
        <v/>
      </c>
      <c r="M260">
        <f>IF('CALL SHEET'!$AO$260="","",'CALL SHEET'!$AO$260)</f>
        <v/>
      </c>
      <c r="N260">
        <f>IF('CALL SHEET'!$BF$260="","",'CALL SHEET'!$BF$260)</f>
        <v/>
      </c>
      <c r="O260" t="inlineStr">
        <is>
          <t>TRADE</t>
        </is>
      </c>
      <c r="P260" t="inlineStr">
        <is>
          <t>CALL SHEET · row 260</t>
        </is>
      </c>
      <c r="Q260">
        <f>E260+ROW()*0.000000001</f>
        <v/>
      </c>
    </row>
    <row r="261">
      <c r="A261">
        <f>IF('CALL SHEET'!$A$261="","",'CALL SHEET'!$A$261)</f>
        <v/>
      </c>
      <c r="B261">
        <f>IF('CALL SHEET'!$C$261="","",'CALL SHEET'!$C$261)</f>
        <v/>
      </c>
      <c r="C261">
        <f>'CALL SHEET'!$U$261</f>
        <v/>
      </c>
      <c r="D261">
        <f>'CALL SHEET'!$AB$261</f>
        <v/>
      </c>
      <c r="E261">
        <f>'CALL SHEET'!$AF$261</f>
        <v/>
      </c>
      <c r="F261">
        <f>IF('CALL SHEET'!$V$261="","",'CALL SHEET'!$V$261)</f>
        <v/>
      </c>
      <c r="G261">
        <f>IF('CALL SHEET'!$D$261="","",'CALL SHEET'!$D$261)</f>
        <v/>
      </c>
      <c r="H261">
        <f>IF('CALL SHEET'!$G$261="","",'CALL SHEET'!$G$261)</f>
        <v/>
      </c>
      <c r="I261">
        <f>IF('CALL SHEET'!$AY$261="","",'CALL SHEET'!$AY$261)</f>
        <v/>
      </c>
      <c r="J261">
        <f>IF('CALL SHEET'!$BC$261="","",'CALL SHEET'!$BC$261)</f>
        <v/>
      </c>
      <c r="K261">
        <f>IF('CALL SHEET'!$N$261="","",'CALL SHEET'!$N$261)</f>
        <v/>
      </c>
      <c r="L261">
        <f>IF('CALL SHEET'!$AH$261="","",'CALL SHEET'!$AH$261)</f>
        <v/>
      </c>
      <c r="M261">
        <f>IF('CALL SHEET'!$AO$261="","",'CALL SHEET'!$AO$261)</f>
        <v/>
      </c>
      <c r="N261">
        <f>IF('CALL SHEET'!$BF$261="","",'CALL SHEET'!$BF$261)</f>
        <v/>
      </c>
      <c r="O261" t="inlineStr">
        <is>
          <t>TRADE</t>
        </is>
      </c>
      <c r="P261" t="inlineStr">
        <is>
          <t>CALL SHEET · row 261</t>
        </is>
      </c>
      <c r="Q261">
        <f>E261+ROW()*0.000000001</f>
        <v/>
      </c>
    </row>
    <row r="262">
      <c r="A262">
        <f>IF('CALL SHEET'!$A$262="","",'CALL SHEET'!$A$262)</f>
        <v/>
      </c>
      <c r="B262">
        <f>IF('CALL SHEET'!$C$262="","",'CALL SHEET'!$C$262)</f>
        <v/>
      </c>
      <c r="C262">
        <f>'CALL SHEET'!$U$262</f>
        <v/>
      </c>
      <c r="D262">
        <f>'CALL SHEET'!$AB$262</f>
        <v/>
      </c>
      <c r="E262">
        <f>'CALL SHEET'!$AF$262</f>
        <v/>
      </c>
      <c r="F262">
        <f>IF('CALL SHEET'!$V$262="","",'CALL SHEET'!$V$262)</f>
        <v/>
      </c>
      <c r="G262">
        <f>IF('CALL SHEET'!$D$262="","",'CALL SHEET'!$D$262)</f>
        <v/>
      </c>
      <c r="H262">
        <f>IF('CALL SHEET'!$G$262="","",'CALL SHEET'!$G$262)</f>
        <v/>
      </c>
      <c r="I262">
        <f>IF('CALL SHEET'!$AY$262="","",'CALL SHEET'!$AY$262)</f>
        <v/>
      </c>
      <c r="J262">
        <f>IF('CALL SHEET'!$BC$262="","",'CALL SHEET'!$BC$262)</f>
        <v/>
      </c>
      <c r="K262">
        <f>IF('CALL SHEET'!$N$262="","",'CALL SHEET'!$N$262)</f>
        <v/>
      </c>
      <c r="L262">
        <f>IF('CALL SHEET'!$AH$262="","",'CALL SHEET'!$AH$262)</f>
        <v/>
      </c>
      <c r="M262">
        <f>IF('CALL SHEET'!$AO$262="","",'CALL SHEET'!$AO$262)</f>
        <v/>
      </c>
      <c r="N262">
        <f>IF('CALL SHEET'!$BF$262="","",'CALL SHEET'!$BF$262)</f>
        <v/>
      </c>
      <c r="O262" t="inlineStr">
        <is>
          <t>TRADE</t>
        </is>
      </c>
      <c r="P262" t="inlineStr">
        <is>
          <t>CALL SHEET · row 262</t>
        </is>
      </c>
      <c r="Q262">
        <f>E262+ROW()*0.000000001</f>
        <v/>
      </c>
    </row>
    <row r="263">
      <c r="A263">
        <f>IF('CALL SHEET'!$A$263="","",'CALL SHEET'!$A$263)</f>
        <v/>
      </c>
      <c r="B263">
        <f>IF('CALL SHEET'!$C$263="","",'CALL SHEET'!$C$263)</f>
        <v/>
      </c>
      <c r="C263">
        <f>'CALL SHEET'!$U$263</f>
        <v/>
      </c>
      <c r="D263">
        <f>'CALL SHEET'!$AB$263</f>
        <v/>
      </c>
      <c r="E263">
        <f>'CALL SHEET'!$AF$263</f>
        <v/>
      </c>
      <c r="F263">
        <f>IF('CALL SHEET'!$V$263="","",'CALL SHEET'!$V$263)</f>
        <v/>
      </c>
      <c r="G263">
        <f>IF('CALL SHEET'!$D$263="","",'CALL SHEET'!$D$263)</f>
        <v/>
      </c>
      <c r="H263">
        <f>IF('CALL SHEET'!$G$263="","",'CALL SHEET'!$G$263)</f>
        <v/>
      </c>
      <c r="I263">
        <f>IF('CALL SHEET'!$AY$263="","",'CALL SHEET'!$AY$263)</f>
        <v/>
      </c>
      <c r="J263">
        <f>IF('CALL SHEET'!$BC$263="","",'CALL SHEET'!$BC$263)</f>
        <v/>
      </c>
      <c r="K263">
        <f>IF('CALL SHEET'!$N$263="","",'CALL SHEET'!$N$263)</f>
        <v/>
      </c>
      <c r="L263">
        <f>IF('CALL SHEET'!$AH$263="","",'CALL SHEET'!$AH$263)</f>
        <v/>
      </c>
      <c r="M263">
        <f>IF('CALL SHEET'!$AO$263="","",'CALL SHEET'!$AO$263)</f>
        <v/>
      </c>
      <c r="N263">
        <f>IF('CALL SHEET'!$BF$263="","",'CALL SHEET'!$BF$263)</f>
        <v/>
      </c>
      <c r="O263" t="inlineStr">
        <is>
          <t>TRADE</t>
        </is>
      </c>
      <c r="P263" t="inlineStr">
        <is>
          <t>CALL SHEET · row 263</t>
        </is>
      </c>
      <c r="Q263">
        <f>E263+ROW()*0.000000001</f>
        <v/>
      </c>
    </row>
    <row r="264">
      <c r="A264">
        <f>IF('CALL SHEET'!$A$264="","",'CALL SHEET'!$A$264)</f>
        <v/>
      </c>
      <c r="B264">
        <f>IF('CALL SHEET'!$C$264="","",'CALL SHEET'!$C$264)</f>
        <v/>
      </c>
      <c r="C264">
        <f>'CALL SHEET'!$U$264</f>
        <v/>
      </c>
      <c r="D264">
        <f>'CALL SHEET'!$AB$264</f>
        <v/>
      </c>
      <c r="E264">
        <f>'CALL SHEET'!$AF$264</f>
        <v/>
      </c>
      <c r="F264">
        <f>IF('CALL SHEET'!$V$264="","",'CALL SHEET'!$V$264)</f>
        <v/>
      </c>
      <c r="G264">
        <f>IF('CALL SHEET'!$D$264="","",'CALL SHEET'!$D$264)</f>
        <v/>
      </c>
      <c r="H264">
        <f>IF('CALL SHEET'!$G$264="","",'CALL SHEET'!$G$264)</f>
        <v/>
      </c>
      <c r="I264">
        <f>IF('CALL SHEET'!$AY$264="","",'CALL SHEET'!$AY$264)</f>
        <v/>
      </c>
      <c r="J264">
        <f>IF('CALL SHEET'!$BC$264="","",'CALL SHEET'!$BC$264)</f>
        <v/>
      </c>
      <c r="K264">
        <f>IF('CALL SHEET'!$N$264="","",'CALL SHEET'!$N$264)</f>
        <v/>
      </c>
      <c r="L264">
        <f>IF('CALL SHEET'!$AH$264="","",'CALL SHEET'!$AH$264)</f>
        <v/>
      </c>
      <c r="M264">
        <f>IF('CALL SHEET'!$AO$264="","",'CALL SHEET'!$AO$264)</f>
        <v/>
      </c>
      <c r="N264">
        <f>IF('CALL SHEET'!$BF$264="","",'CALL SHEET'!$BF$264)</f>
        <v/>
      </c>
      <c r="O264" t="inlineStr">
        <is>
          <t>TRADE</t>
        </is>
      </c>
      <c r="P264" t="inlineStr">
        <is>
          <t>CALL SHEET · row 264</t>
        </is>
      </c>
      <c r="Q264">
        <f>E264+ROW()*0.000000001</f>
        <v/>
      </c>
    </row>
    <row r="265">
      <c r="A265">
        <f>IF('CALL SHEET'!$A$265="","",'CALL SHEET'!$A$265)</f>
        <v/>
      </c>
      <c r="B265">
        <f>IF('CALL SHEET'!$C$265="","",'CALL SHEET'!$C$265)</f>
        <v/>
      </c>
      <c r="C265">
        <f>'CALL SHEET'!$U$265</f>
        <v/>
      </c>
      <c r="D265">
        <f>'CALL SHEET'!$AB$265</f>
        <v/>
      </c>
      <c r="E265">
        <f>'CALL SHEET'!$AF$265</f>
        <v/>
      </c>
      <c r="F265">
        <f>IF('CALL SHEET'!$V$265="","",'CALL SHEET'!$V$265)</f>
        <v/>
      </c>
      <c r="G265">
        <f>IF('CALL SHEET'!$D$265="","",'CALL SHEET'!$D$265)</f>
        <v/>
      </c>
      <c r="H265">
        <f>IF('CALL SHEET'!$G$265="","",'CALL SHEET'!$G$265)</f>
        <v/>
      </c>
      <c r="I265">
        <f>IF('CALL SHEET'!$AY$265="","",'CALL SHEET'!$AY$265)</f>
        <v/>
      </c>
      <c r="J265">
        <f>IF('CALL SHEET'!$BC$265="","",'CALL SHEET'!$BC$265)</f>
        <v/>
      </c>
      <c r="K265">
        <f>IF('CALL SHEET'!$N$265="","",'CALL SHEET'!$N$265)</f>
        <v/>
      </c>
      <c r="L265">
        <f>IF('CALL SHEET'!$AH$265="","",'CALL SHEET'!$AH$265)</f>
        <v/>
      </c>
      <c r="M265">
        <f>IF('CALL SHEET'!$AO$265="","",'CALL SHEET'!$AO$265)</f>
        <v/>
      </c>
      <c r="N265">
        <f>IF('CALL SHEET'!$BF$265="","",'CALL SHEET'!$BF$265)</f>
        <v/>
      </c>
      <c r="O265" t="inlineStr">
        <is>
          <t>TRADE</t>
        </is>
      </c>
      <c r="P265" t="inlineStr">
        <is>
          <t>CALL SHEET · row 265</t>
        </is>
      </c>
      <c r="Q265">
        <f>E265+ROW()*0.000000001</f>
        <v/>
      </c>
    </row>
    <row r="266">
      <c r="A266">
        <f>IF('CALL SHEET'!$A$266="","",'CALL SHEET'!$A$266)</f>
        <v/>
      </c>
      <c r="B266">
        <f>IF('CALL SHEET'!$C$266="","",'CALL SHEET'!$C$266)</f>
        <v/>
      </c>
      <c r="C266">
        <f>'CALL SHEET'!$U$266</f>
        <v/>
      </c>
      <c r="D266">
        <f>'CALL SHEET'!$AB$266</f>
        <v/>
      </c>
      <c r="E266">
        <f>'CALL SHEET'!$AF$266</f>
        <v/>
      </c>
      <c r="F266">
        <f>IF('CALL SHEET'!$V$266="","",'CALL SHEET'!$V$266)</f>
        <v/>
      </c>
      <c r="G266">
        <f>IF('CALL SHEET'!$D$266="","",'CALL SHEET'!$D$266)</f>
        <v/>
      </c>
      <c r="H266">
        <f>IF('CALL SHEET'!$G$266="","",'CALL SHEET'!$G$266)</f>
        <v/>
      </c>
      <c r="I266">
        <f>IF('CALL SHEET'!$AY$266="","",'CALL SHEET'!$AY$266)</f>
        <v/>
      </c>
      <c r="J266">
        <f>IF('CALL SHEET'!$BC$266="","",'CALL SHEET'!$BC$266)</f>
        <v/>
      </c>
      <c r="K266">
        <f>IF('CALL SHEET'!$N$266="","",'CALL SHEET'!$N$266)</f>
        <v/>
      </c>
      <c r="L266">
        <f>IF('CALL SHEET'!$AH$266="","",'CALL SHEET'!$AH$266)</f>
        <v/>
      </c>
      <c r="M266">
        <f>IF('CALL SHEET'!$AO$266="","",'CALL SHEET'!$AO$266)</f>
        <v/>
      </c>
      <c r="N266">
        <f>IF('CALL SHEET'!$BF$266="","",'CALL SHEET'!$BF$266)</f>
        <v/>
      </c>
      <c r="O266" t="inlineStr">
        <is>
          <t>TRADE</t>
        </is>
      </c>
      <c r="P266" t="inlineStr">
        <is>
          <t>CALL SHEET · row 266</t>
        </is>
      </c>
      <c r="Q266">
        <f>E266+ROW()*0.000000001</f>
        <v/>
      </c>
    </row>
    <row r="267">
      <c r="A267">
        <f>IF('CALL SHEET'!$A$267="","",'CALL SHEET'!$A$267)</f>
        <v/>
      </c>
      <c r="B267">
        <f>IF('CALL SHEET'!$C$267="","",'CALL SHEET'!$C$267)</f>
        <v/>
      </c>
      <c r="C267">
        <f>'CALL SHEET'!$U$267</f>
        <v/>
      </c>
      <c r="D267">
        <f>'CALL SHEET'!$AB$267</f>
        <v/>
      </c>
      <c r="E267">
        <f>'CALL SHEET'!$AF$267</f>
        <v/>
      </c>
      <c r="F267">
        <f>IF('CALL SHEET'!$V$267="","",'CALL SHEET'!$V$267)</f>
        <v/>
      </c>
      <c r="G267">
        <f>IF('CALL SHEET'!$D$267="","",'CALL SHEET'!$D$267)</f>
        <v/>
      </c>
      <c r="H267">
        <f>IF('CALL SHEET'!$G$267="","",'CALL SHEET'!$G$267)</f>
        <v/>
      </c>
      <c r="I267">
        <f>IF('CALL SHEET'!$AY$267="","",'CALL SHEET'!$AY$267)</f>
        <v/>
      </c>
      <c r="J267">
        <f>IF('CALL SHEET'!$BC$267="","",'CALL SHEET'!$BC$267)</f>
        <v/>
      </c>
      <c r="K267">
        <f>IF('CALL SHEET'!$N$267="","",'CALL SHEET'!$N$267)</f>
        <v/>
      </c>
      <c r="L267">
        <f>IF('CALL SHEET'!$AH$267="","",'CALL SHEET'!$AH$267)</f>
        <v/>
      </c>
      <c r="M267">
        <f>IF('CALL SHEET'!$AO$267="","",'CALL SHEET'!$AO$267)</f>
        <v/>
      </c>
      <c r="N267">
        <f>IF('CALL SHEET'!$BF$267="","",'CALL SHEET'!$BF$267)</f>
        <v/>
      </c>
      <c r="O267" t="inlineStr">
        <is>
          <t>TRADE</t>
        </is>
      </c>
      <c r="P267" t="inlineStr">
        <is>
          <t>CALL SHEET · row 267</t>
        </is>
      </c>
      <c r="Q267">
        <f>E267+ROW()*0.000000001</f>
        <v/>
      </c>
    </row>
    <row r="268">
      <c r="A268">
        <f>IF('CALL SHEET'!$A$268="","",'CALL SHEET'!$A$268)</f>
        <v/>
      </c>
      <c r="B268">
        <f>IF('CALL SHEET'!$C$268="","",'CALL SHEET'!$C$268)</f>
        <v/>
      </c>
      <c r="C268">
        <f>'CALL SHEET'!$U$268</f>
        <v/>
      </c>
      <c r="D268">
        <f>'CALL SHEET'!$AB$268</f>
        <v/>
      </c>
      <c r="E268">
        <f>'CALL SHEET'!$AF$268</f>
        <v/>
      </c>
      <c r="F268">
        <f>IF('CALL SHEET'!$V$268="","",'CALL SHEET'!$V$268)</f>
        <v/>
      </c>
      <c r="G268">
        <f>IF('CALL SHEET'!$D$268="","",'CALL SHEET'!$D$268)</f>
        <v/>
      </c>
      <c r="H268">
        <f>IF('CALL SHEET'!$G$268="","",'CALL SHEET'!$G$268)</f>
        <v/>
      </c>
      <c r="I268">
        <f>IF('CALL SHEET'!$AY$268="","",'CALL SHEET'!$AY$268)</f>
        <v/>
      </c>
      <c r="J268">
        <f>IF('CALL SHEET'!$BC$268="","",'CALL SHEET'!$BC$268)</f>
        <v/>
      </c>
      <c r="K268">
        <f>IF('CALL SHEET'!$N$268="","",'CALL SHEET'!$N$268)</f>
        <v/>
      </c>
      <c r="L268">
        <f>IF('CALL SHEET'!$AH$268="","",'CALL SHEET'!$AH$268)</f>
        <v/>
      </c>
      <c r="M268">
        <f>IF('CALL SHEET'!$AO$268="","",'CALL SHEET'!$AO$268)</f>
        <v/>
      </c>
      <c r="N268">
        <f>IF('CALL SHEET'!$BF$268="","",'CALL SHEET'!$BF$268)</f>
        <v/>
      </c>
      <c r="O268" t="inlineStr">
        <is>
          <t>TRADE</t>
        </is>
      </c>
      <c r="P268" t="inlineStr">
        <is>
          <t>CALL SHEET · row 268</t>
        </is>
      </c>
      <c r="Q268">
        <f>E268+ROW()*0.000000001</f>
        <v/>
      </c>
    </row>
    <row r="269">
      <c r="A269">
        <f>IF('CALL SHEET'!$A$269="","",'CALL SHEET'!$A$269)</f>
        <v/>
      </c>
      <c r="B269">
        <f>IF('CALL SHEET'!$C$269="","",'CALL SHEET'!$C$269)</f>
        <v/>
      </c>
      <c r="C269">
        <f>'CALL SHEET'!$U$269</f>
        <v/>
      </c>
      <c r="D269">
        <f>'CALL SHEET'!$AB$269</f>
        <v/>
      </c>
      <c r="E269">
        <f>'CALL SHEET'!$AF$269</f>
        <v/>
      </c>
      <c r="F269">
        <f>IF('CALL SHEET'!$V$269="","",'CALL SHEET'!$V$269)</f>
        <v/>
      </c>
      <c r="G269">
        <f>IF('CALL SHEET'!$D$269="","",'CALL SHEET'!$D$269)</f>
        <v/>
      </c>
      <c r="H269">
        <f>IF('CALL SHEET'!$G$269="","",'CALL SHEET'!$G$269)</f>
        <v/>
      </c>
      <c r="I269">
        <f>IF('CALL SHEET'!$AY$269="","",'CALL SHEET'!$AY$269)</f>
        <v/>
      </c>
      <c r="J269">
        <f>IF('CALL SHEET'!$BC$269="","",'CALL SHEET'!$BC$269)</f>
        <v/>
      </c>
      <c r="K269">
        <f>IF('CALL SHEET'!$N$269="","",'CALL SHEET'!$N$269)</f>
        <v/>
      </c>
      <c r="L269">
        <f>IF('CALL SHEET'!$AH$269="","",'CALL SHEET'!$AH$269)</f>
        <v/>
      </c>
      <c r="M269">
        <f>IF('CALL SHEET'!$AO$269="","",'CALL SHEET'!$AO$269)</f>
        <v/>
      </c>
      <c r="N269">
        <f>IF('CALL SHEET'!$BF$269="","",'CALL SHEET'!$BF$269)</f>
        <v/>
      </c>
      <c r="O269" t="inlineStr">
        <is>
          <t>TRADE</t>
        </is>
      </c>
      <c r="P269" t="inlineStr">
        <is>
          <t>CALL SHEET · row 269</t>
        </is>
      </c>
      <c r="Q269">
        <f>E269+ROW()*0.000000001</f>
        <v/>
      </c>
    </row>
    <row r="270">
      <c r="A270">
        <f>IF('CALL SHEET'!$A$270="","",'CALL SHEET'!$A$270)</f>
        <v/>
      </c>
      <c r="B270">
        <f>IF('CALL SHEET'!$C$270="","",'CALL SHEET'!$C$270)</f>
        <v/>
      </c>
      <c r="C270">
        <f>'CALL SHEET'!$U$270</f>
        <v/>
      </c>
      <c r="D270">
        <f>'CALL SHEET'!$AB$270</f>
        <v/>
      </c>
      <c r="E270">
        <f>'CALL SHEET'!$AF$270</f>
        <v/>
      </c>
      <c r="F270">
        <f>IF('CALL SHEET'!$V$270="","",'CALL SHEET'!$V$270)</f>
        <v/>
      </c>
      <c r="G270">
        <f>IF('CALL SHEET'!$D$270="","",'CALL SHEET'!$D$270)</f>
        <v/>
      </c>
      <c r="H270">
        <f>IF('CALL SHEET'!$G$270="","",'CALL SHEET'!$G$270)</f>
        <v/>
      </c>
      <c r="I270">
        <f>IF('CALL SHEET'!$AY$270="","",'CALL SHEET'!$AY$270)</f>
        <v/>
      </c>
      <c r="J270">
        <f>IF('CALL SHEET'!$BC$270="","",'CALL SHEET'!$BC$270)</f>
        <v/>
      </c>
      <c r="K270">
        <f>IF('CALL SHEET'!$N$270="","",'CALL SHEET'!$N$270)</f>
        <v/>
      </c>
      <c r="L270">
        <f>IF('CALL SHEET'!$AH$270="","",'CALL SHEET'!$AH$270)</f>
        <v/>
      </c>
      <c r="M270">
        <f>IF('CALL SHEET'!$AO$270="","",'CALL SHEET'!$AO$270)</f>
        <v/>
      </c>
      <c r="N270">
        <f>IF('CALL SHEET'!$BF$270="","",'CALL SHEET'!$BF$270)</f>
        <v/>
      </c>
      <c r="O270" t="inlineStr">
        <is>
          <t>TRADE</t>
        </is>
      </c>
      <c r="P270" t="inlineStr">
        <is>
          <t>CALL SHEET · row 270</t>
        </is>
      </c>
      <c r="Q270">
        <f>E270+ROW()*0.000000001</f>
        <v/>
      </c>
    </row>
    <row r="271">
      <c r="A271">
        <f>IF('CALL SHEET'!$A$271="","",'CALL SHEET'!$A$271)</f>
        <v/>
      </c>
      <c r="B271">
        <f>IF('CALL SHEET'!$C$271="","",'CALL SHEET'!$C$271)</f>
        <v/>
      </c>
      <c r="C271">
        <f>'CALL SHEET'!$U$271</f>
        <v/>
      </c>
      <c r="D271">
        <f>'CALL SHEET'!$AB$271</f>
        <v/>
      </c>
      <c r="E271">
        <f>'CALL SHEET'!$AF$271</f>
        <v/>
      </c>
      <c r="F271">
        <f>IF('CALL SHEET'!$V$271="","",'CALL SHEET'!$V$271)</f>
        <v/>
      </c>
      <c r="G271">
        <f>IF('CALL SHEET'!$D$271="","",'CALL SHEET'!$D$271)</f>
        <v/>
      </c>
      <c r="H271">
        <f>IF('CALL SHEET'!$G$271="","",'CALL SHEET'!$G$271)</f>
        <v/>
      </c>
      <c r="I271">
        <f>IF('CALL SHEET'!$AY$271="","",'CALL SHEET'!$AY$271)</f>
        <v/>
      </c>
      <c r="J271">
        <f>IF('CALL SHEET'!$BC$271="","",'CALL SHEET'!$BC$271)</f>
        <v/>
      </c>
      <c r="K271">
        <f>IF('CALL SHEET'!$N$271="","",'CALL SHEET'!$N$271)</f>
        <v/>
      </c>
      <c r="L271">
        <f>IF('CALL SHEET'!$AH$271="","",'CALL SHEET'!$AH$271)</f>
        <v/>
      </c>
      <c r="M271">
        <f>IF('CALL SHEET'!$AO$271="","",'CALL SHEET'!$AO$271)</f>
        <v/>
      </c>
      <c r="N271">
        <f>IF('CALL SHEET'!$BF$271="","",'CALL SHEET'!$BF$271)</f>
        <v/>
      </c>
      <c r="O271" t="inlineStr">
        <is>
          <t>TRADE</t>
        </is>
      </c>
      <c r="P271" t="inlineStr">
        <is>
          <t>CALL SHEET · row 271</t>
        </is>
      </c>
      <c r="Q271">
        <f>E271+ROW()*0.000000001</f>
        <v/>
      </c>
    </row>
    <row r="272">
      <c r="A272">
        <f>IF('CALL SHEET'!$A$272="","",'CALL SHEET'!$A$272)</f>
        <v/>
      </c>
      <c r="B272">
        <f>IF('CALL SHEET'!$C$272="","",'CALL SHEET'!$C$272)</f>
        <v/>
      </c>
      <c r="C272">
        <f>'CALL SHEET'!$U$272</f>
        <v/>
      </c>
      <c r="D272">
        <f>'CALL SHEET'!$AB$272</f>
        <v/>
      </c>
      <c r="E272">
        <f>'CALL SHEET'!$AF$272</f>
        <v/>
      </c>
      <c r="F272">
        <f>IF('CALL SHEET'!$V$272="","",'CALL SHEET'!$V$272)</f>
        <v/>
      </c>
      <c r="G272">
        <f>IF('CALL SHEET'!$D$272="","",'CALL SHEET'!$D$272)</f>
        <v/>
      </c>
      <c r="H272">
        <f>IF('CALL SHEET'!$G$272="","",'CALL SHEET'!$G$272)</f>
        <v/>
      </c>
      <c r="I272">
        <f>IF('CALL SHEET'!$AY$272="","",'CALL SHEET'!$AY$272)</f>
        <v/>
      </c>
      <c r="J272">
        <f>IF('CALL SHEET'!$BC$272="","",'CALL SHEET'!$BC$272)</f>
        <v/>
      </c>
      <c r="K272">
        <f>IF('CALL SHEET'!$N$272="","",'CALL SHEET'!$N$272)</f>
        <v/>
      </c>
      <c r="L272">
        <f>IF('CALL SHEET'!$AH$272="","",'CALL SHEET'!$AH$272)</f>
        <v/>
      </c>
      <c r="M272">
        <f>IF('CALL SHEET'!$AO$272="","",'CALL SHEET'!$AO$272)</f>
        <v/>
      </c>
      <c r="N272">
        <f>IF('CALL SHEET'!$BF$272="","",'CALL SHEET'!$BF$272)</f>
        <v/>
      </c>
      <c r="O272" t="inlineStr">
        <is>
          <t>TRADE</t>
        </is>
      </c>
      <c r="P272" t="inlineStr">
        <is>
          <t>CALL SHEET · row 272</t>
        </is>
      </c>
      <c r="Q272">
        <f>E272+ROW()*0.000000001</f>
        <v/>
      </c>
    </row>
    <row r="273">
      <c r="A273">
        <f>IF('CALL SHEET'!$A$273="","",'CALL SHEET'!$A$273)</f>
        <v/>
      </c>
      <c r="B273">
        <f>IF('CALL SHEET'!$C$273="","",'CALL SHEET'!$C$273)</f>
        <v/>
      </c>
      <c r="C273">
        <f>'CALL SHEET'!$U$273</f>
        <v/>
      </c>
      <c r="D273">
        <f>'CALL SHEET'!$AB$273</f>
        <v/>
      </c>
      <c r="E273">
        <f>'CALL SHEET'!$AF$273</f>
        <v/>
      </c>
      <c r="F273">
        <f>IF('CALL SHEET'!$V$273="","",'CALL SHEET'!$V$273)</f>
        <v/>
      </c>
      <c r="G273">
        <f>IF('CALL SHEET'!$D$273="","",'CALL SHEET'!$D$273)</f>
        <v/>
      </c>
      <c r="H273">
        <f>IF('CALL SHEET'!$G$273="","",'CALL SHEET'!$G$273)</f>
        <v/>
      </c>
      <c r="I273">
        <f>IF('CALL SHEET'!$AY$273="","",'CALL SHEET'!$AY$273)</f>
        <v/>
      </c>
      <c r="J273">
        <f>IF('CALL SHEET'!$BC$273="","",'CALL SHEET'!$BC$273)</f>
        <v/>
      </c>
      <c r="K273">
        <f>IF('CALL SHEET'!$N$273="","",'CALL SHEET'!$N$273)</f>
        <v/>
      </c>
      <c r="L273">
        <f>IF('CALL SHEET'!$AH$273="","",'CALL SHEET'!$AH$273)</f>
        <v/>
      </c>
      <c r="M273">
        <f>IF('CALL SHEET'!$AO$273="","",'CALL SHEET'!$AO$273)</f>
        <v/>
      </c>
      <c r="N273">
        <f>IF('CALL SHEET'!$BF$273="","",'CALL SHEET'!$BF$273)</f>
        <v/>
      </c>
      <c r="O273" t="inlineStr">
        <is>
          <t>TRADE</t>
        </is>
      </c>
      <c r="P273" t="inlineStr">
        <is>
          <t>CALL SHEET · row 273</t>
        </is>
      </c>
      <c r="Q273">
        <f>E273+ROW()*0.000000001</f>
        <v/>
      </c>
    </row>
    <row r="274">
      <c r="A274">
        <f>IF('CALL SHEET'!$A$274="","",'CALL SHEET'!$A$274)</f>
        <v/>
      </c>
      <c r="B274">
        <f>IF('CALL SHEET'!$C$274="","",'CALL SHEET'!$C$274)</f>
        <v/>
      </c>
      <c r="C274">
        <f>'CALL SHEET'!$U$274</f>
        <v/>
      </c>
      <c r="D274">
        <f>'CALL SHEET'!$AB$274</f>
        <v/>
      </c>
      <c r="E274">
        <f>'CALL SHEET'!$AF$274</f>
        <v/>
      </c>
      <c r="F274">
        <f>IF('CALL SHEET'!$V$274="","",'CALL SHEET'!$V$274)</f>
        <v/>
      </c>
      <c r="G274">
        <f>IF('CALL SHEET'!$D$274="","",'CALL SHEET'!$D$274)</f>
        <v/>
      </c>
      <c r="H274">
        <f>IF('CALL SHEET'!$G$274="","",'CALL SHEET'!$G$274)</f>
        <v/>
      </c>
      <c r="I274">
        <f>IF('CALL SHEET'!$AY$274="","",'CALL SHEET'!$AY$274)</f>
        <v/>
      </c>
      <c r="J274">
        <f>IF('CALL SHEET'!$BC$274="","",'CALL SHEET'!$BC$274)</f>
        <v/>
      </c>
      <c r="K274">
        <f>IF('CALL SHEET'!$N$274="","",'CALL SHEET'!$N$274)</f>
        <v/>
      </c>
      <c r="L274">
        <f>IF('CALL SHEET'!$AH$274="","",'CALL SHEET'!$AH$274)</f>
        <v/>
      </c>
      <c r="M274">
        <f>IF('CALL SHEET'!$AO$274="","",'CALL SHEET'!$AO$274)</f>
        <v/>
      </c>
      <c r="N274">
        <f>IF('CALL SHEET'!$BF$274="","",'CALL SHEET'!$BF$274)</f>
        <v/>
      </c>
      <c r="O274" t="inlineStr">
        <is>
          <t>TRADE</t>
        </is>
      </c>
      <c r="P274" t="inlineStr">
        <is>
          <t>CALL SHEET · row 274</t>
        </is>
      </c>
      <c r="Q274">
        <f>E274+ROW()*0.000000001</f>
        <v/>
      </c>
    </row>
    <row r="275">
      <c r="A275">
        <f>IF('CALL SHEET'!$A$275="","",'CALL SHEET'!$A$275)</f>
        <v/>
      </c>
      <c r="B275">
        <f>IF('CALL SHEET'!$C$275="","",'CALL SHEET'!$C$275)</f>
        <v/>
      </c>
      <c r="C275">
        <f>'CALL SHEET'!$U$275</f>
        <v/>
      </c>
      <c r="D275">
        <f>'CALL SHEET'!$AB$275</f>
        <v/>
      </c>
      <c r="E275">
        <f>'CALL SHEET'!$AF$275</f>
        <v/>
      </c>
      <c r="F275">
        <f>IF('CALL SHEET'!$V$275="","",'CALL SHEET'!$V$275)</f>
        <v/>
      </c>
      <c r="G275">
        <f>IF('CALL SHEET'!$D$275="","",'CALL SHEET'!$D$275)</f>
        <v/>
      </c>
      <c r="H275">
        <f>IF('CALL SHEET'!$G$275="","",'CALL SHEET'!$G$275)</f>
        <v/>
      </c>
      <c r="I275">
        <f>IF('CALL SHEET'!$AY$275="","",'CALL SHEET'!$AY$275)</f>
        <v/>
      </c>
      <c r="J275">
        <f>IF('CALL SHEET'!$BC$275="","",'CALL SHEET'!$BC$275)</f>
        <v/>
      </c>
      <c r="K275">
        <f>IF('CALL SHEET'!$N$275="","",'CALL SHEET'!$N$275)</f>
        <v/>
      </c>
      <c r="L275">
        <f>IF('CALL SHEET'!$AH$275="","",'CALL SHEET'!$AH$275)</f>
        <v/>
      </c>
      <c r="M275">
        <f>IF('CALL SHEET'!$AO$275="","",'CALL SHEET'!$AO$275)</f>
        <v/>
      </c>
      <c r="N275">
        <f>IF('CALL SHEET'!$BF$275="","",'CALL SHEET'!$BF$275)</f>
        <v/>
      </c>
      <c r="O275" t="inlineStr">
        <is>
          <t>TRADE</t>
        </is>
      </c>
      <c r="P275" t="inlineStr">
        <is>
          <t>CALL SHEET · row 275</t>
        </is>
      </c>
      <c r="Q275">
        <f>E275+ROW()*0.000000001</f>
        <v/>
      </c>
    </row>
    <row r="276">
      <c r="A276">
        <f>IF('CALL SHEET'!$A$276="","",'CALL SHEET'!$A$276)</f>
        <v/>
      </c>
      <c r="B276">
        <f>IF('CALL SHEET'!$C$276="","",'CALL SHEET'!$C$276)</f>
        <v/>
      </c>
      <c r="C276">
        <f>'CALL SHEET'!$U$276</f>
        <v/>
      </c>
      <c r="D276">
        <f>'CALL SHEET'!$AB$276</f>
        <v/>
      </c>
      <c r="E276">
        <f>'CALL SHEET'!$AF$276</f>
        <v/>
      </c>
      <c r="F276">
        <f>IF('CALL SHEET'!$V$276="","",'CALL SHEET'!$V$276)</f>
        <v/>
      </c>
      <c r="G276">
        <f>IF('CALL SHEET'!$D$276="","",'CALL SHEET'!$D$276)</f>
        <v/>
      </c>
      <c r="H276">
        <f>IF('CALL SHEET'!$G$276="","",'CALL SHEET'!$G$276)</f>
        <v/>
      </c>
      <c r="I276">
        <f>IF('CALL SHEET'!$AY$276="","",'CALL SHEET'!$AY$276)</f>
        <v/>
      </c>
      <c r="J276">
        <f>IF('CALL SHEET'!$BC$276="","",'CALL SHEET'!$BC$276)</f>
        <v/>
      </c>
      <c r="K276">
        <f>IF('CALL SHEET'!$N$276="","",'CALL SHEET'!$N$276)</f>
        <v/>
      </c>
      <c r="L276">
        <f>IF('CALL SHEET'!$AH$276="","",'CALL SHEET'!$AH$276)</f>
        <v/>
      </c>
      <c r="M276">
        <f>IF('CALL SHEET'!$AO$276="","",'CALL SHEET'!$AO$276)</f>
        <v/>
      </c>
      <c r="N276">
        <f>IF('CALL SHEET'!$BF$276="","",'CALL SHEET'!$BF$276)</f>
        <v/>
      </c>
      <c r="O276" t="inlineStr">
        <is>
          <t>TRADE</t>
        </is>
      </c>
      <c r="P276" t="inlineStr">
        <is>
          <t>CALL SHEET · row 276</t>
        </is>
      </c>
      <c r="Q276">
        <f>E276+ROW()*0.000000001</f>
        <v/>
      </c>
    </row>
    <row r="277">
      <c r="A277">
        <f>IF('CALL SHEET'!$A$277="","",'CALL SHEET'!$A$277)</f>
        <v/>
      </c>
      <c r="B277">
        <f>IF('CALL SHEET'!$C$277="","",'CALL SHEET'!$C$277)</f>
        <v/>
      </c>
      <c r="C277">
        <f>'CALL SHEET'!$U$277</f>
        <v/>
      </c>
      <c r="D277">
        <f>'CALL SHEET'!$AB$277</f>
        <v/>
      </c>
      <c r="E277">
        <f>'CALL SHEET'!$AF$277</f>
        <v/>
      </c>
      <c r="F277">
        <f>IF('CALL SHEET'!$V$277="","",'CALL SHEET'!$V$277)</f>
        <v/>
      </c>
      <c r="G277">
        <f>IF('CALL SHEET'!$D$277="","",'CALL SHEET'!$D$277)</f>
        <v/>
      </c>
      <c r="H277">
        <f>IF('CALL SHEET'!$G$277="","",'CALL SHEET'!$G$277)</f>
        <v/>
      </c>
      <c r="I277">
        <f>IF('CALL SHEET'!$AY$277="","",'CALL SHEET'!$AY$277)</f>
        <v/>
      </c>
      <c r="J277">
        <f>IF('CALL SHEET'!$BC$277="","",'CALL SHEET'!$BC$277)</f>
        <v/>
      </c>
      <c r="K277">
        <f>IF('CALL SHEET'!$N$277="","",'CALL SHEET'!$N$277)</f>
        <v/>
      </c>
      <c r="L277">
        <f>IF('CALL SHEET'!$AH$277="","",'CALL SHEET'!$AH$277)</f>
        <v/>
      </c>
      <c r="M277">
        <f>IF('CALL SHEET'!$AO$277="","",'CALL SHEET'!$AO$277)</f>
        <v/>
      </c>
      <c r="N277">
        <f>IF('CALL SHEET'!$BF$277="","",'CALL SHEET'!$BF$277)</f>
        <v/>
      </c>
      <c r="O277" t="inlineStr">
        <is>
          <t>TRADE</t>
        </is>
      </c>
      <c r="P277" t="inlineStr">
        <is>
          <t>CALL SHEET · row 277</t>
        </is>
      </c>
      <c r="Q277">
        <f>E277+ROW()*0.000000001</f>
        <v/>
      </c>
    </row>
    <row r="278">
      <c r="A278">
        <f>IF('CALL SHEET'!$A$278="","",'CALL SHEET'!$A$278)</f>
        <v/>
      </c>
      <c r="B278">
        <f>IF('CALL SHEET'!$C$278="","",'CALL SHEET'!$C$278)</f>
        <v/>
      </c>
      <c r="C278">
        <f>'CALL SHEET'!$U$278</f>
        <v/>
      </c>
      <c r="D278">
        <f>'CALL SHEET'!$AB$278</f>
        <v/>
      </c>
      <c r="E278">
        <f>'CALL SHEET'!$AF$278</f>
        <v/>
      </c>
      <c r="F278">
        <f>IF('CALL SHEET'!$V$278="","",'CALL SHEET'!$V$278)</f>
        <v/>
      </c>
      <c r="G278">
        <f>IF('CALL SHEET'!$D$278="","",'CALL SHEET'!$D$278)</f>
        <v/>
      </c>
      <c r="H278">
        <f>IF('CALL SHEET'!$G$278="","",'CALL SHEET'!$G$278)</f>
        <v/>
      </c>
      <c r="I278">
        <f>IF('CALL SHEET'!$AY$278="","",'CALL SHEET'!$AY$278)</f>
        <v/>
      </c>
      <c r="J278">
        <f>IF('CALL SHEET'!$BC$278="","",'CALL SHEET'!$BC$278)</f>
        <v/>
      </c>
      <c r="K278">
        <f>IF('CALL SHEET'!$N$278="","",'CALL SHEET'!$N$278)</f>
        <v/>
      </c>
      <c r="L278">
        <f>IF('CALL SHEET'!$AH$278="","",'CALL SHEET'!$AH$278)</f>
        <v/>
      </c>
      <c r="M278">
        <f>IF('CALL SHEET'!$AO$278="","",'CALL SHEET'!$AO$278)</f>
        <v/>
      </c>
      <c r="N278">
        <f>IF('CALL SHEET'!$BF$278="","",'CALL SHEET'!$BF$278)</f>
        <v/>
      </c>
      <c r="O278" t="inlineStr">
        <is>
          <t>TRADE</t>
        </is>
      </c>
      <c r="P278" t="inlineStr">
        <is>
          <t>CALL SHEET · row 278</t>
        </is>
      </c>
      <c r="Q278">
        <f>E278+ROW()*0.000000001</f>
        <v/>
      </c>
    </row>
    <row r="279">
      <c r="A279">
        <f>IF('CALL SHEET'!$A$279="","",'CALL SHEET'!$A$279)</f>
        <v/>
      </c>
      <c r="B279">
        <f>IF('CALL SHEET'!$C$279="","",'CALL SHEET'!$C$279)</f>
        <v/>
      </c>
      <c r="C279">
        <f>'CALL SHEET'!$U$279</f>
        <v/>
      </c>
      <c r="D279">
        <f>'CALL SHEET'!$AB$279</f>
        <v/>
      </c>
      <c r="E279">
        <f>'CALL SHEET'!$AF$279</f>
        <v/>
      </c>
      <c r="F279">
        <f>IF('CALL SHEET'!$V$279="","",'CALL SHEET'!$V$279)</f>
        <v/>
      </c>
      <c r="G279">
        <f>IF('CALL SHEET'!$D$279="","",'CALL SHEET'!$D$279)</f>
        <v/>
      </c>
      <c r="H279">
        <f>IF('CALL SHEET'!$G$279="","",'CALL SHEET'!$G$279)</f>
        <v/>
      </c>
      <c r="I279">
        <f>IF('CALL SHEET'!$AY$279="","",'CALL SHEET'!$AY$279)</f>
        <v/>
      </c>
      <c r="J279">
        <f>IF('CALL SHEET'!$BC$279="","",'CALL SHEET'!$BC$279)</f>
        <v/>
      </c>
      <c r="K279">
        <f>IF('CALL SHEET'!$N$279="","",'CALL SHEET'!$N$279)</f>
        <v/>
      </c>
      <c r="L279">
        <f>IF('CALL SHEET'!$AH$279="","",'CALL SHEET'!$AH$279)</f>
        <v/>
      </c>
      <c r="M279">
        <f>IF('CALL SHEET'!$AO$279="","",'CALL SHEET'!$AO$279)</f>
        <v/>
      </c>
      <c r="N279">
        <f>IF('CALL SHEET'!$BF$279="","",'CALL SHEET'!$BF$279)</f>
        <v/>
      </c>
      <c r="O279" t="inlineStr">
        <is>
          <t>TRADE</t>
        </is>
      </c>
      <c r="P279" t="inlineStr">
        <is>
          <t>CALL SHEET · row 279</t>
        </is>
      </c>
      <c r="Q279">
        <f>E279+ROW()*0.000000001</f>
        <v/>
      </c>
    </row>
    <row r="280">
      <c r="A280">
        <f>IF('CALL SHEET'!$A$280="","",'CALL SHEET'!$A$280)</f>
        <v/>
      </c>
      <c r="B280">
        <f>IF('CALL SHEET'!$C$280="","",'CALL SHEET'!$C$280)</f>
        <v/>
      </c>
      <c r="C280">
        <f>'CALL SHEET'!$U$280</f>
        <v/>
      </c>
      <c r="D280">
        <f>'CALL SHEET'!$AB$280</f>
        <v/>
      </c>
      <c r="E280">
        <f>'CALL SHEET'!$AF$280</f>
        <v/>
      </c>
      <c r="F280">
        <f>IF('CALL SHEET'!$V$280="","",'CALL SHEET'!$V$280)</f>
        <v/>
      </c>
      <c r="G280">
        <f>IF('CALL SHEET'!$D$280="","",'CALL SHEET'!$D$280)</f>
        <v/>
      </c>
      <c r="H280">
        <f>IF('CALL SHEET'!$G$280="","",'CALL SHEET'!$G$280)</f>
        <v/>
      </c>
      <c r="I280">
        <f>IF('CALL SHEET'!$AY$280="","",'CALL SHEET'!$AY$280)</f>
        <v/>
      </c>
      <c r="J280">
        <f>IF('CALL SHEET'!$BC$280="","",'CALL SHEET'!$BC$280)</f>
        <v/>
      </c>
      <c r="K280">
        <f>IF('CALL SHEET'!$N$280="","",'CALL SHEET'!$N$280)</f>
        <v/>
      </c>
      <c r="L280">
        <f>IF('CALL SHEET'!$AH$280="","",'CALL SHEET'!$AH$280)</f>
        <v/>
      </c>
      <c r="M280">
        <f>IF('CALL SHEET'!$AO$280="","",'CALL SHEET'!$AO$280)</f>
        <v/>
      </c>
      <c r="N280">
        <f>IF('CALL SHEET'!$BF$280="","",'CALL SHEET'!$BF$280)</f>
        <v/>
      </c>
      <c r="O280" t="inlineStr">
        <is>
          <t>TRADE</t>
        </is>
      </c>
      <c r="P280" t="inlineStr">
        <is>
          <t>CALL SHEET · row 280</t>
        </is>
      </c>
      <c r="Q280">
        <f>E280+ROW()*0.000000001</f>
        <v/>
      </c>
    </row>
    <row r="281">
      <c r="A281">
        <f>IF('CALL SHEET'!$A$281="","",'CALL SHEET'!$A$281)</f>
        <v/>
      </c>
      <c r="B281">
        <f>IF('CALL SHEET'!$C$281="","",'CALL SHEET'!$C$281)</f>
        <v/>
      </c>
      <c r="C281">
        <f>'CALL SHEET'!$U$281</f>
        <v/>
      </c>
      <c r="D281">
        <f>'CALL SHEET'!$AB$281</f>
        <v/>
      </c>
      <c r="E281">
        <f>'CALL SHEET'!$AF$281</f>
        <v/>
      </c>
      <c r="F281">
        <f>IF('CALL SHEET'!$V$281="","",'CALL SHEET'!$V$281)</f>
        <v/>
      </c>
      <c r="G281">
        <f>IF('CALL SHEET'!$D$281="","",'CALL SHEET'!$D$281)</f>
        <v/>
      </c>
      <c r="H281">
        <f>IF('CALL SHEET'!$G$281="","",'CALL SHEET'!$G$281)</f>
        <v/>
      </c>
      <c r="I281">
        <f>IF('CALL SHEET'!$AY$281="","",'CALL SHEET'!$AY$281)</f>
        <v/>
      </c>
      <c r="J281">
        <f>IF('CALL SHEET'!$BC$281="","",'CALL SHEET'!$BC$281)</f>
        <v/>
      </c>
      <c r="K281">
        <f>IF('CALL SHEET'!$N$281="","",'CALL SHEET'!$N$281)</f>
        <v/>
      </c>
      <c r="L281">
        <f>IF('CALL SHEET'!$AH$281="","",'CALL SHEET'!$AH$281)</f>
        <v/>
      </c>
      <c r="M281">
        <f>IF('CALL SHEET'!$AO$281="","",'CALL SHEET'!$AO$281)</f>
        <v/>
      </c>
      <c r="N281">
        <f>IF('CALL SHEET'!$BF$281="","",'CALL SHEET'!$BF$281)</f>
        <v/>
      </c>
      <c r="O281" t="inlineStr">
        <is>
          <t>TRADE</t>
        </is>
      </c>
      <c r="P281" t="inlineStr">
        <is>
          <t>CALL SHEET · row 281</t>
        </is>
      </c>
      <c r="Q281">
        <f>E281+ROW()*0.000000001</f>
        <v/>
      </c>
    </row>
    <row r="282">
      <c r="A282">
        <f>IF('CALL SHEET'!$A$282="","",'CALL SHEET'!$A$282)</f>
        <v/>
      </c>
      <c r="B282">
        <f>IF('CALL SHEET'!$C$282="","",'CALL SHEET'!$C$282)</f>
        <v/>
      </c>
      <c r="C282">
        <f>'CALL SHEET'!$U$282</f>
        <v/>
      </c>
      <c r="D282">
        <f>'CALL SHEET'!$AB$282</f>
        <v/>
      </c>
      <c r="E282">
        <f>'CALL SHEET'!$AF$282</f>
        <v/>
      </c>
      <c r="F282">
        <f>IF('CALL SHEET'!$V$282="","",'CALL SHEET'!$V$282)</f>
        <v/>
      </c>
      <c r="G282">
        <f>IF('CALL SHEET'!$D$282="","",'CALL SHEET'!$D$282)</f>
        <v/>
      </c>
      <c r="H282">
        <f>IF('CALL SHEET'!$G$282="","",'CALL SHEET'!$G$282)</f>
        <v/>
      </c>
      <c r="I282">
        <f>IF('CALL SHEET'!$AY$282="","",'CALL SHEET'!$AY$282)</f>
        <v/>
      </c>
      <c r="J282">
        <f>IF('CALL SHEET'!$BC$282="","",'CALL SHEET'!$BC$282)</f>
        <v/>
      </c>
      <c r="K282">
        <f>IF('CALL SHEET'!$N$282="","",'CALL SHEET'!$N$282)</f>
        <v/>
      </c>
      <c r="L282">
        <f>IF('CALL SHEET'!$AH$282="","",'CALL SHEET'!$AH$282)</f>
        <v/>
      </c>
      <c r="M282">
        <f>IF('CALL SHEET'!$AO$282="","",'CALL SHEET'!$AO$282)</f>
        <v/>
      </c>
      <c r="N282">
        <f>IF('CALL SHEET'!$BF$282="","",'CALL SHEET'!$BF$282)</f>
        <v/>
      </c>
      <c r="O282" t="inlineStr">
        <is>
          <t>TRADE</t>
        </is>
      </c>
      <c r="P282" t="inlineStr">
        <is>
          <t>CALL SHEET · row 282</t>
        </is>
      </c>
      <c r="Q282">
        <f>E282+ROW()*0.000000001</f>
        <v/>
      </c>
    </row>
    <row r="283">
      <c r="A283">
        <f>IF('CALL SHEET'!$A$283="","",'CALL SHEET'!$A$283)</f>
        <v/>
      </c>
      <c r="B283">
        <f>IF('CALL SHEET'!$C$283="","",'CALL SHEET'!$C$283)</f>
        <v/>
      </c>
      <c r="C283">
        <f>'CALL SHEET'!$U$283</f>
        <v/>
      </c>
      <c r="D283">
        <f>'CALL SHEET'!$AB$283</f>
        <v/>
      </c>
      <c r="E283">
        <f>'CALL SHEET'!$AF$283</f>
        <v/>
      </c>
      <c r="F283">
        <f>IF('CALL SHEET'!$V$283="","",'CALL SHEET'!$V$283)</f>
        <v/>
      </c>
      <c r="G283">
        <f>IF('CALL SHEET'!$D$283="","",'CALL SHEET'!$D$283)</f>
        <v/>
      </c>
      <c r="H283">
        <f>IF('CALL SHEET'!$G$283="","",'CALL SHEET'!$G$283)</f>
        <v/>
      </c>
      <c r="I283">
        <f>IF('CALL SHEET'!$AY$283="","",'CALL SHEET'!$AY$283)</f>
        <v/>
      </c>
      <c r="J283">
        <f>IF('CALL SHEET'!$BC$283="","",'CALL SHEET'!$BC$283)</f>
        <v/>
      </c>
      <c r="K283">
        <f>IF('CALL SHEET'!$N$283="","",'CALL SHEET'!$N$283)</f>
        <v/>
      </c>
      <c r="L283">
        <f>IF('CALL SHEET'!$AH$283="","",'CALL SHEET'!$AH$283)</f>
        <v/>
      </c>
      <c r="M283">
        <f>IF('CALL SHEET'!$AO$283="","",'CALL SHEET'!$AO$283)</f>
        <v/>
      </c>
      <c r="N283">
        <f>IF('CALL SHEET'!$BF$283="","",'CALL SHEET'!$BF$283)</f>
        <v/>
      </c>
      <c r="O283" t="inlineStr">
        <is>
          <t>TRADE</t>
        </is>
      </c>
      <c r="P283" t="inlineStr">
        <is>
          <t>CALL SHEET · row 283</t>
        </is>
      </c>
      <c r="Q283">
        <f>E283+ROW()*0.000000001</f>
        <v/>
      </c>
    </row>
    <row r="284">
      <c r="A284">
        <f>IF('CALL SHEET'!$A$284="","",'CALL SHEET'!$A$284)</f>
        <v/>
      </c>
      <c r="B284">
        <f>IF('CALL SHEET'!$C$284="","",'CALL SHEET'!$C$284)</f>
        <v/>
      </c>
      <c r="C284">
        <f>'CALL SHEET'!$U$284</f>
        <v/>
      </c>
      <c r="D284">
        <f>'CALL SHEET'!$AB$284</f>
        <v/>
      </c>
      <c r="E284">
        <f>'CALL SHEET'!$AF$284</f>
        <v/>
      </c>
      <c r="F284">
        <f>IF('CALL SHEET'!$V$284="","",'CALL SHEET'!$V$284)</f>
        <v/>
      </c>
      <c r="G284">
        <f>IF('CALL SHEET'!$D$284="","",'CALL SHEET'!$D$284)</f>
        <v/>
      </c>
      <c r="H284">
        <f>IF('CALL SHEET'!$G$284="","",'CALL SHEET'!$G$284)</f>
        <v/>
      </c>
      <c r="I284">
        <f>IF('CALL SHEET'!$AY$284="","",'CALL SHEET'!$AY$284)</f>
        <v/>
      </c>
      <c r="J284">
        <f>IF('CALL SHEET'!$BC$284="","",'CALL SHEET'!$BC$284)</f>
        <v/>
      </c>
      <c r="K284">
        <f>IF('CALL SHEET'!$N$284="","",'CALL SHEET'!$N$284)</f>
        <v/>
      </c>
      <c r="L284">
        <f>IF('CALL SHEET'!$AH$284="","",'CALL SHEET'!$AH$284)</f>
        <v/>
      </c>
      <c r="M284">
        <f>IF('CALL SHEET'!$AO$284="","",'CALL SHEET'!$AO$284)</f>
        <v/>
      </c>
      <c r="N284">
        <f>IF('CALL SHEET'!$BF$284="","",'CALL SHEET'!$BF$284)</f>
        <v/>
      </c>
      <c r="O284" t="inlineStr">
        <is>
          <t>TRADE</t>
        </is>
      </c>
      <c r="P284" t="inlineStr">
        <is>
          <t>CALL SHEET · row 284</t>
        </is>
      </c>
      <c r="Q284">
        <f>E284+ROW()*0.000000001</f>
        <v/>
      </c>
    </row>
    <row r="285">
      <c r="A285">
        <f>IF('CALL SHEET'!$A$285="","",'CALL SHEET'!$A$285)</f>
        <v/>
      </c>
      <c r="B285">
        <f>IF('CALL SHEET'!$C$285="","",'CALL SHEET'!$C$285)</f>
        <v/>
      </c>
      <c r="C285">
        <f>'CALL SHEET'!$U$285</f>
        <v/>
      </c>
      <c r="D285">
        <f>'CALL SHEET'!$AB$285</f>
        <v/>
      </c>
      <c r="E285">
        <f>'CALL SHEET'!$AF$285</f>
        <v/>
      </c>
      <c r="F285">
        <f>IF('CALL SHEET'!$V$285="","",'CALL SHEET'!$V$285)</f>
        <v/>
      </c>
      <c r="G285">
        <f>IF('CALL SHEET'!$D$285="","",'CALL SHEET'!$D$285)</f>
        <v/>
      </c>
      <c r="H285">
        <f>IF('CALL SHEET'!$G$285="","",'CALL SHEET'!$G$285)</f>
        <v/>
      </c>
      <c r="I285">
        <f>IF('CALL SHEET'!$AY$285="","",'CALL SHEET'!$AY$285)</f>
        <v/>
      </c>
      <c r="J285">
        <f>IF('CALL SHEET'!$BC$285="","",'CALL SHEET'!$BC$285)</f>
        <v/>
      </c>
      <c r="K285">
        <f>IF('CALL SHEET'!$N$285="","",'CALL SHEET'!$N$285)</f>
        <v/>
      </c>
      <c r="L285">
        <f>IF('CALL SHEET'!$AH$285="","",'CALL SHEET'!$AH$285)</f>
        <v/>
      </c>
      <c r="M285">
        <f>IF('CALL SHEET'!$AO$285="","",'CALL SHEET'!$AO$285)</f>
        <v/>
      </c>
      <c r="N285">
        <f>IF('CALL SHEET'!$BF$285="","",'CALL SHEET'!$BF$285)</f>
        <v/>
      </c>
      <c r="O285" t="inlineStr">
        <is>
          <t>TRADE</t>
        </is>
      </c>
      <c r="P285" t="inlineStr">
        <is>
          <t>CALL SHEET · row 285</t>
        </is>
      </c>
      <c r="Q285">
        <f>E285+ROW()*0.000000001</f>
        <v/>
      </c>
    </row>
    <row r="286">
      <c r="A286">
        <f>IF('CALL SHEET'!$A$286="","",'CALL SHEET'!$A$286)</f>
        <v/>
      </c>
      <c r="B286">
        <f>IF('CALL SHEET'!$C$286="","",'CALL SHEET'!$C$286)</f>
        <v/>
      </c>
      <c r="C286">
        <f>'CALL SHEET'!$U$286</f>
        <v/>
      </c>
      <c r="D286">
        <f>'CALL SHEET'!$AB$286</f>
        <v/>
      </c>
      <c r="E286">
        <f>'CALL SHEET'!$AF$286</f>
        <v/>
      </c>
      <c r="F286">
        <f>IF('CALL SHEET'!$V$286="","",'CALL SHEET'!$V$286)</f>
        <v/>
      </c>
      <c r="G286">
        <f>IF('CALL SHEET'!$D$286="","",'CALL SHEET'!$D$286)</f>
        <v/>
      </c>
      <c r="H286">
        <f>IF('CALL SHEET'!$G$286="","",'CALL SHEET'!$G$286)</f>
        <v/>
      </c>
      <c r="I286">
        <f>IF('CALL SHEET'!$AY$286="","",'CALL SHEET'!$AY$286)</f>
        <v/>
      </c>
      <c r="J286">
        <f>IF('CALL SHEET'!$BC$286="","",'CALL SHEET'!$BC$286)</f>
        <v/>
      </c>
      <c r="K286">
        <f>IF('CALL SHEET'!$N$286="","",'CALL SHEET'!$N$286)</f>
        <v/>
      </c>
      <c r="L286">
        <f>IF('CALL SHEET'!$AH$286="","",'CALL SHEET'!$AH$286)</f>
        <v/>
      </c>
      <c r="M286">
        <f>IF('CALL SHEET'!$AO$286="","",'CALL SHEET'!$AO$286)</f>
        <v/>
      </c>
      <c r="N286">
        <f>IF('CALL SHEET'!$BF$286="","",'CALL SHEET'!$BF$286)</f>
        <v/>
      </c>
      <c r="O286" t="inlineStr">
        <is>
          <t>TRADE</t>
        </is>
      </c>
      <c r="P286" t="inlineStr">
        <is>
          <t>CALL SHEET · row 286</t>
        </is>
      </c>
      <c r="Q286">
        <f>E286+ROW()*0.000000001</f>
        <v/>
      </c>
    </row>
    <row r="287">
      <c r="A287">
        <f>IF('CALL SHEET'!$A$287="","",'CALL SHEET'!$A$287)</f>
        <v/>
      </c>
      <c r="B287">
        <f>IF('CALL SHEET'!$C$287="","",'CALL SHEET'!$C$287)</f>
        <v/>
      </c>
      <c r="C287">
        <f>'CALL SHEET'!$U$287</f>
        <v/>
      </c>
      <c r="D287">
        <f>'CALL SHEET'!$AB$287</f>
        <v/>
      </c>
      <c r="E287">
        <f>'CALL SHEET'!$AF$287</f>
        <v/>
      </c>
      <c r="F287">
        <f>IF('CALL SHEET'!$V$287="","",'CALL SHEET'!$V$287)</f>
        <v/>
      </c>
      <c r="G287">
        <f>IF('CALL SHEET'!$D$287="","",'CALL SHEET'!$D$287)</f>
        <v/>
      </c>
      <c r="H287">
        <f>IF('CALL SHEET'!$G$287="","",'CALL SHEET'!$G$287)</f>
        <v/>
      </c>
      <c r="I287">
        <f>IF('CALL SHEET'!$AY$287="","",'CALL SHEET'!$AY$287)</f>
        <v/>
      </c>
      <c r="J287">
        <f>IF('CALL SHEET'!$BC$287="","",'CALL SHEET'!$BC$287)</f>
        <v/>
      </c>
      <c r="K287">
        <f>IF('CALL SHEET'!$N$287="","",'CALL SHEET'!$N$287)</f>
        <v/>
      </c>
      <c r="L287">
        <f>IF('CALL SHEET'!$AH$287="","",'CALL SHEET'!$AH$287)</f>
        <v/>
      </c>
      <c r="M287">
        <f>IF('CALL SHEET'!$AO$287="","",'CALL SHEET'!$AO$287)</f>
        <v/>
      </c>
      <c r="N287">
        <f>IF('CALL SHEET'!$BF$287="","",'CALL SHEET'!$BF$287)</f>
        <v/>
      </c>
      <c r="O287" t="inlineStr">
        <is>
          <t>TRADE</t>
        </is>
      </c>
      <c r="P287" t="inlineStr">
        <is>
          <t>CALL SHEET · row 287</t>
        </is>
      </c>
      <c r="Q287">
        <f>E287+ROW()*0.000000001</f>
        <v/>
      </c>
    </row>
    <row r="288">
      <c r="A288">
        <f>IF('CALL SHEET'!$A$288="","",'CALL SHEET'!$A$288)</f>
        <v/>
      </c>
      <c r="B288">
        <f>IF('CALL SHEET'!$C$288="","",'CALL SHEET'!$C$288)</f>
        <v/>
      </c>
      <c r="C288">
        <f>'CALL SHEET'!$U$288</f>
        <v/>
      </c>
      <c r="D288">
        <f>'CALL SHEET'!$AB$288</f>
        <v/>
      </c>
      <c r="E288">
        <f>'CALL SHEET'!$AF$288</f>
        <v/>
      </c>
      <c r="F288">
        <f>IF('CALL SHEET'!$V$288="","",'CALL SHEET'!$V$288)</f>
        <v/>
      </c>
      <c r="G288">
        <f>IF('CALL SHEET'!$D$288="","",'CALL SHEET'!$D$288)</f>
        <v/>
      </c>
      <c r="H288">
        <f>IF('CALL SHEET'!$G$288="","",'CALL SHEET'!$G$288)</f>
        <v/>
      </c>
      <c r="I288">
        <f>IF('CALL SHEET'!$AY$288="","",'CALL SHEET'!$AY$288)</f>
        <v/>
      </c>
      <c r="J288">
        <f>IF('CALL SHEET'!$BC$288="","",'CALL SHEET'!$BC$288)</f>
        <v/>
      </c>
      <c r="K288">
        <f>IF('CALL SHEET'!$N$288="","",'CALL SHEET'!$N$288)</f>
        <v/>
      </c>
      <c r="L288">
        <f>IF('CALL SHEET'!$AH$288="","",'CALL SHEET'!$AH$288)</f>
        <v/>
      </c>
      <c r="M288">
        <f>IF('CALL SHEET'!$AO$288="","",'CALL SHEET'!$AO$288)</f>
        <v/>
      </c>
      <c r="N288">
        <f>IF('CALL SHEET'!$BF$288="","",'CALL SHEET'!$BF$288)</f>
        <v/>
      </c>
      <c r="O288" t="inlineStr">
        <is>
          <t>TRADE</t>
        </is>
      </c>
      <c r="P288" t="inlineStr">
        <is>
          <t>CALL SHEET · row 288</t>
        </is>
      </c>
      <c r="Q288">
        <f>E288+ROW()*0.000000001</f>
        <v/>
      </c>
    </row>
    <row r="289">
      <c r="A289">
        <f>IF('CALL SHEET'!$A$289="","",'CALL SHEET'!$A$289)</f>
        <v/>
      </c>
      <c r="B289">
        <f>IF('CALL SHEET'!$C$289="","",'CALL SHEET'!$C$289)</f>
        <v/>
      </c>
      <c r="C289">
        <f>'CALL SHEET'!$U$289</f>
        <v/>
      </c>
      <c r="D289">
        <f>'CALL SHEET'!$AB$289</f>
        <v/>
      </c>
      <c r="E289">
        <f>'CALL SHEET'!$AF$289</f>
        <v/>
      </c>
      <c r="F289">
        <f>IF('CALL SHEET'!$V$289="","",'CALL SHEET'!$V$289)</f>
        <v/>
      </c>
      <c r="G289">
        <f>IF('CALL SHEET'!$D$289="","",'CALL SHEET'!$D$289)</f>
        <v/>
      </c>
      <c r="H289">
        <f>IF('CALL SHEET'!$G$289="","",'CALL SHEET'!$G$289)</f>
        <v/>
      </c>
      <c r="I289">
        <f>IF('CALL SHEET'!$AY$289="","",'CALL SHEET'!$AY$289)</f>
        <v/>
      </c>
      <c r="J289">
        <f>IF('CALL SHEET'!$BC$289="","",'CALL SHEET'!$BC$289)</f>
        <v/>
      </c>
      <c r="K289">
        <f>IF('CALL SHEET'!$N$289="","",'CALL SHEET'!$N$289)</f>
        <v/>
      </c>
      <c r="L289">
        <f>IF('CALL SHEET'!$AH$289="","",'CALL SHEET'!$AH$289)</f>
        <v/>
      </c>
      <c r="M289">
        <f>IF('CALL SHEET'!$AO$289="","",'CALL SHEET'!$AO$289)</f>
        <v/>
      </c>
      <c r="N289">
        <f>IF('CALL SHEET'!$BF$289="","",'CALL SHEET'!$BF$289)</f>
        <v/>
      </c>
      <c r="O289" t="inlineStr">
        <is>
          <t>TRADE</t>
        </is>
      </c>
      <c r="P289" t="inlineStr">
        <is>
          <t>CALL SHEET · row 289</t>
        </is>
      </c>
      <c r="Q289">
        <f>E289+ROW()*0.000000001</f>
        <v/>
      </c>
    </row>
    <row r="290">
      <c r="A290">
        <f>IF('CALL SHEET'!$A$290="","",'CALL SHEET'!$A$290)</f>
        <v/>
      </c>
      <c r="B290">
        <f>IF('CALL SHEET'!$C$290="","",'CALL SHEET'!$C$290)</f>
        <v/>
      </c>
      <c r="C290">
        <f>'CALL SHEET'!$U$290</f>
        <v/>
      </c>
      <c r="D290">
        <f>'CALL SHEET'!$AB$290</f>
        <v/>
      </c>
      <c r="E290">
        <f>'CALL SHEET'!$AF$290</f>
        <v/>
      </c>
      <c r="F290">
        <f>IF('CALL SHEET'!$V$290="","",'CALL SHEET'!$V$290)</f>
        <v/>
      </c>
      <c r="G290">
        <f>IF('CALL SHEET'!$D$290="","",'CALL SHEET'!$D$290)</f>
        <v/>
      </c>
      <c r="H290">
        <f>IF('CALL SHEET'!$G$290="","",'CALL SHEET'!$G$290)</f>
        <v/>
      </c>
      <c r="I290">
        <f>IF('CALL SHEET'!$AY$290="","",'CALL SHEET'!$AY$290)</f>
        <v/>
      </c>
      <c r="J290">
        <f>IF('CALL SHEET'!$BC$290="","",'CALL SHEET'!$BC$290)</f>
        <v/>
      </c>
      <c r="K290">
        <f>IF('CALL SHEET'!$N$290="","",'CALL SHEET'!$N$290)</f>
        <v/>
      </c>
      <c r="L290">
        <f>IF('CALL SHEET'!$AH$290="","",'CALL SHEET'!$AH$290)</f>
        <v/>
      </c>
      <c r="M290">
        <f>IF('CALL SHEET'!$AO$290="","",'CALL SHEET'!$AO$290)</f>
        <v/>
      </c>
      <c r="N290">
        <f>IF('CALL SHEET'!$BF$290="","",'CALL SHEET'!$BF$290)</f>
        <v/>
      </c>
      <c r="O290" t="inlineStr">
        <is>
          <t>TRADE</t>
        </is>
      </c>
      <c r="P290" t="inlineStr">
        <is>
          <t>CALL SHEET · row 290</t>
        </is>
      </c>
      <c r="Q290">
        <f>E290+ROW()*0.000000001</f>
        <v/>
      </c>
    </row>
    <row r="291">
      <c r="A291">
        <f>IF('CALL SHEET'!$A$291="","",'CALL SHEET'!$A$291)</f>
        <v/>
      </c>
      <c r="B291">
        <f>IF('CALL SHEET'!$C$291="","",'CALL SHEET'!$C$291)</f>
        <v/>
      </c>
      <c r="C291">
        <f>'CALL SHEET'!$U$291</f>
        <v/>
      </c>
      <c r="D291">
        <f>'CALL SHEET'!$AB$291</f>
        <v/>
      </c>
      <c r="E291">
        <f>'CALL SHEET'!$AF$291</f>
        <v/>
      </c>
      <c r="F291">
        <f>IF('CALL SHEET'!$V$291="","",'CALL SHEET'!$V$291)</f>
        <v/>
      </c>
      <c r="G291">
        <f>IF('CALL SHEET'!$D$291="","",'CALL SHEET'!$D$291)</f>
        <v/>
      </c>
      <c r="H291">
        <f>IF('CALL SHEET'!$G$291="","",'CALL SHEET'!$G$291)</f>
        <v/>
      </c>
      <c r="I291">
        <f>IF('CALL SHEET'!$AY$291="","",'CALL SHEET'!$AY$291)</f>
        <v/>
      </c>
      <c r="J291">
        <f>IF('CALL SHEET'!$BC$291="","",'CALL SHEET'!$BC$291)</f>
        <v/>
      </c>
      <c r="K291">
        <f>IF('CALL SHEET'!$N$291="","",'CALL SHEET'!$N$291)</f>
        <v/>
      </c>
      <c r="L291">
        <f>IF('CALL SHEET'!$AH$291="","",'CALL SHEET'!$AH$291)</f>
        <v/>
      </c>
      <c r="M291">
        <f>IF('CALL SHEET'!$AO$291="","",'CALL SHEET'!$AO$291)</f>
        <v/>
      </c>
      <c r="N291">
        <f>IF('CALL SHEET'!$BF$291="","",'CALL SHEET'!$BF$291)</f>
        <v/>
      </c>
      <c r="O291" t="inlineStr">
        <is>
          <t>TRADE</t>
        </is>
      </c>
      <c r="P291" t="inlineStr">
        <is>
          <t>CALL SHEET · row 291</t>
        </is>
      </c>
      <c r="Q291">
        <f>E291+ROW()*0.000000001</f>
        <v/>
      </c>
    </row>
    <row r="292">
      <c r="A292">
        <f>IF('CALL SHEET'!$A$292="","",'CALL SHEET'!$A$292)</f>
        <v/>
      </c>
      <c r="B292">
        <f>IF('CALL SHEET'!$C$292="","",'CALL SHEET'!$C$292)</f>
        <v/>
      </c>
      <c r="C292">
        <f>'CALL SHEET'!$U$292</f>
        <v/>
      </c>
      <c r="D292">
        <f>'CALL SHEET'!$AB$292</f>
        <v/>
      </c>
      <c r="E292">
        <f>'CALL SHEET'!$AF$292</f>
        <v/>
      </c>
      <c r="F292">
        <f>IF('CALL SHEET'!$V$292="","",'CALL SHEET'!$V$292)</f>
        <v/>
      </c>
      <c r="G292">
        <f>IF('CALL SHEET'!$D$292="","",'CALL SHEET'!$D$292)</f>
        <v/>
      </c>
      <c r="H292">
        <f>IF('CALL SHEET'!$G$292="","",'CALL SHEET'!$G$292)</f>
        <v/>
      </c>
      <c r="I292">
        <f>IF('CALL SHEET'!$AY$292="","",'CALL SHEET'!$AY$292)</f>
        <v/>
      </c>
      <c r="J292">
        <f>IF('CALL SHEET'!$BC$292="","",'CALL SHEET'!$BC$292)</f>
        <v/>
      </c>
      <c r="K292">
        <f>IF('CALL SHEET'!$N$292="","",'CALL SHEET'!$N$292)</f>
        <v/>
      </c>
      <c r="L292">
        <f>IF('CALL SHEET'!$AH$292="","",'CALL SHEET'!$AH$292)</f>
        <v/>
      </c>
      <c r="M292">
        <f>IF('CALL SHEET'!$AO$292="","",'CALL SHEET'!$AO$292)</f>
        <v/>
      </c>
      <c r="N292">
        <f>IF('CALL SHEET'!$BF$292="","",'CALL SHEET'!$BF$292)</f>
        <v/>
      </c>
      <c r="O292" t="inlineStr">
        <is>
          <t>TRADE</t>
        </is>
      </c>
      <c r="P292" t="inlineStr">
        <is>
          <t>CALL SHEET · row 292</t>
        </is>
      </c>
      <c r="Q292">
        <f>E292+ROW()*0.000000001</f>
        <v/>
      </c>
    </row>
    <row r="293">
      <c r="A293">
        <f>IF('CALL SHEET'!$A$293="","",'CALL SHEET'!$A$293)</f>
        <v/>
      </c>
      <c r="B293">
        <f>IF('CALL SHEET'!$C$293="","",'CALL SHEET'!$C$293)</f>
        <v/>
      </c>
      <c r="C293">
        <f>'CALL SHEET'!$U$293</f>
        <v/>
      </c>
      <c r="D293">
        <f>'CALL SHEET'!$AB$293</f>
        <v/>
      </c>
      <c r="E293">
        <f>'CALL SHEET'!$AF$293</f>
        <v/>
      </c>
      <c r="F293">
        <f>IF('CALL SHEET'!$V$293="","",'CALL SHEET'!$V$293)</f>
        <v/>
      </c>
      <c r="G293">
        <f>IF('CALL SHEET'!$D$293="","",'CALL SHEET'!$D$293)</f>
        <v/>
      </c>
      <c r="H293">
        <f>IF('CALL SHEET'!$G$293="","",'CALL SHEET'!$G$293)</f>
        <v/>
      </c>
      <c r="I293">
        <f>IF('CALL SHEET'!$AY$293="","",'CALL SHEET'!$AY$293)</f>
        <v/>
      </c>
      <c r="J293">
        <f>IF('CALL SHEET'!$BC$293="","",'CALL SHEET'!$BC$293)</f>
        <v/>
      </c>
      <c r="K293">
        <f>IF('CALL SHEET'!$N$293="","",'CALL SHEET'!$N$293)</f>
        <v/>
      </c>
      <c r="L293">
        <f>IF('CALL SHEET'!$AH$293="","",'CALL SHEET'!$AH$293)</f>
        <v/>
      </c>
      <c r="M293">
        <f>IF('CALL SHEET'!$AO$293="","",'CALL SHEET'!$AO$293)</f>
        <v/>
      </c>
      <c r="N293">
        <f>IF('CALL SHEET'!$BF$293="","",'CALL SHEET'!$BF$293)</f>
        <v/>
      </c>
      <c r="O293" t="inlineStr">
        <is>
          <t>TRADE</t>
        </is>
      </c>
      <c r="P293" t="inlineStr">
        <is>
          <t>CALL SHEET · row 293</t>
        </is>
      </c>
      <c r="Q293">
        <f>E293+ROW()*0.000000001</f>
        <v/>
      </c>
    </row>
    <row r="294">
      <c r="A294">
        <f>IF('CALL SHEET'!$A$294="","",'CALL SHEET'!$A$294)</f>
        <v/>
      </c>
      <c r="B294">
        <f>IF('CALL SHEET'!$C$294="","",'CALL SHEET'!$C$294)</f>
        <v/>
      </c>
      <c r="C294">
        <f>'CALL SHEET'!$U$294</f>
        <v/>
      </c>
      <c r="D294">
        <f>'CALL SHEET'!$AB$294</f>
        <v/>
      </c>
      <c r="E294">
        <f>'CALL SHEET'!$AF$294</f>
        <v/>
      </c>
      <c r="F294">
        <f>IF('CALL SHEET'!$V$294="","",'CALL SHEET'!$V$294)</f>
        <v/>
      </c>
      <c r="G294">
        <f>IF('CALL SHEET'!$D$294="","",'CALL SHEET'!$D$294)</f>
        <v/>
      </c>
      <c r="H294">
        <f>IF('CALL SHEET'!$G$294="","",'CALL SHEET'!$G$294)</f>
        <v/>
      </c>
      <c r="I294">
        <f>IF('CALL SHEET'!$AY$294="","",'CALL SHEET'!$AY$294)</f>
        <v/>
      </c>
      <c r="J294">
        <f>IF('CALL SHEET'!$BC$294="","",'CALL SHEET'!$BC$294)</f>
        <v/>
      </c>
      <c r="K294">
        <f>IF('CALL SHEET'!$N$294="","",'CALL SHEET'!$N$294)</f>
        <v/>
      </c>
      <c r="L294">
        <f>IF('CALL SHEET'!$AH$294="","",'CALL SHEET'!$AH$294)</f>
        <v/>
      </c>
      <c r="M294">
        <f>IF('CALL SHEET'!$AO$294="","",'CALL SHEET'!$AO$294)</f>
        <v/>
      </c>
      <c r="N294">
        <f>IF('CALL SHEET'!$BF$294="","",'CALL SHEET'!$BF$294)</f>
        <v/>
      </c>
      <c r="O294" t="inlineStr">
        <is>
          <t>TRADE</t>
        </is>
      </c>
      <c r="P294" t="inlineStr">
        <is>
          <t>CALL SHEET · row 294</t>
        </is>
      </c>
      <c r="Q294">
        <f>E294+ROW()*0.000000001</f>
        <v/>
      </c>
    </row>
    <row r="295">
      <c r="A295">
        <f>IF('CALL SHEET'!$A$295="","",'CALL SHEET'!$A$295)</f>
        <v/>
      </c>
      <c r="B295">
        <f>IF('CALL SHEET'!$C$295="","",'CALL SHEET'!$C$295)</f>
        <v/>
      </c>
      <c r="C295">
        <f>'CALL SHEET'!$U$295</f>
        <v/>
      </c>
      <c r="D295">
        <f>'CALL SHEET'!$AB$295</f>
        <v/>
      </c>
      <c r="E295">
        <f>'CALL SHEET'!$AF$295</f>
        <v/>
      </c>
      <c r="F295">
        <f>IF('CALL SHEET'!$V$295="","",'CALL SHEET'!$V$295)</f>
        <v/>
      </c>
      <c r="G295">
        <f>IF('CALL SHEET'!$D$295="","",'CALL SHEET'!$D$295)</f>
        <v/>
      </c>
      <c r="H295">
        <f>IF('CALL SHEET'!$G$295="","",'CALL SHEET'!$G$295)</f>
        <v/>
      </c>
      <c r="I295">
        <f>IF('CALL SHEET'!$AY$295="","",'CALL SHEET'!$AY$295)</f>
        <v/>
      </c>
      <c r="J295">
        <f>IF('CALL SHEET'!$BC$295="","",'CALL SHEET'!$BC$295)</f>
        <v/>
      </c>
      <c r="K295">
        <f>IF('CALL SHEET'!$N$295="","",'CALL SHEET'!$N$295)</f>
        <v/>
      </c>
      <c r="L295">
        <f>IF('CALL SHEET'!$AH$295="","",'CALL SHEET'!$AH$295)</f>
        <v/>
      </c>
      <c r="M295">
        <f>IF('CALL SHEET'!$AO$295="","",'CALL SHEET'!$AO$295)</f>
        <v/>
      </c>
      <c r="N295">
        <f>IF('CALL SHEET'!$BF$295="","",'CALL SHEET'!$BF$295)</f>
        <v/>
      </c>
      <c r="O295" t="inlineStr">
        <is>
          <t>TRADE</t>
        </is>
      </c>
      <c r="P295" t="inlineStr">
        <is>
          <t>CALL SHEET · row 295</t>
        </is>
      </c>
      <c r="Q295">
        <f>E295+ROW()*0.000000001</f>
        <v/>
      </c>
    </row>
    <row r="296">
      <c r="A296">
        <f>IF('CALL SHEET'!$A$296="","",'CALL SHEET'!$A$296)</f>
        <v/>
      </c>
      <c r="B296">
        <f>IF('CALL SHEET'!$C$296="","",'CALL SHEET'!$C$296)</f>
        <v/>
      </c>
      <c r="C296">
        <f>'CALL SHEET'!$U$296</f>
        <v/>
      </c>
      <c r="D296">
        <f>'CALL SHEET'!$AB$296</f>
        <v/>
      </c>
      <c r="E296">
        <f>'CALL SHEET'!$AF$296</f>
        <v/>
      </c>
      <c r="F296">
        <f>IF('CALL SHEET'!$V$296="","",'CALL SHEET'!$V$296)</f>
        <v/>
      </c>
      <c r="G296">
        <f>IF('CALL SHEET'!$D$296="","",'CALL SHEET'!$D$296)</f>
        <v/>
      </c>
      <c r="H296">
        <f>IF('CALL SHEET'!$G$296="","",'CALL SHEET'!$G$296)</f>
        <v/>
      </c>
      <c r="I296">
        <f>IF('CALL SHEET'!$AY$296="","",'CALL SHEET'!$AY$296)</f>
        <v/>
      </c>
      <c r="J296">
        <f>IF('CALL SHEET'!$BC$296="","",'CALL SHEET'!$BC$296)</f>
        <v/>
      </c>
      <c r="K296">
        <f>IF('CALL SHEET'!$N$296="","",'CALL SHEET'!$N$296)</f>
        <v/>
      </c>
      <c r="L296">
        <f>IF('CALL SHEET'!$AH$296="","",'CALL SHEET'!$AH$296)</f>
        <v/>
      </c>
      <c r="M296">
        <f>IF('CALL SHEET'!$AO$296="","",'CALL SHEET'!$AO$296)</f>
        <v/>
      </c>
      <c r="N296">
        <f>IF('CALL SHEET'!$BF$296="","",'CALL SHEET'!$BF$296)</f>
        <v/>
      </c>
      <c r="O296" t="inlineStr">
        <is>
          <t>TRADE</t>
        </is>
      </c>
      <c r="P296" t="inlineStr">
        <is>
          <t>CALL SHEET · row 296</t>
        </is>
      </c>
      <c r="Q296">
        <f>E296+ROW()*0.000000001</f>
        <v/>
      </c>
    </row>
    <row r="297">
      <c r="A297">
        <f>IF('CALL SHEET'!$A$297="","",'CALL SHEET'!$A$297)</f>
        <v/>
      </c>
      <c r="B297">
        <f>IF('CALL SHEET'!$C$297="","",'CALL SHEET'!$C$297)</f>
        <v/>
      </c>
      <c r="C297">
        <f>'CALL SHEET'!$U$297</f>
        <v/>
      </c>
      <c r="D297">
        <f>'CALL SHEET'!$AB$297</f>
        <v/>
      </c>
      <c r="E297">
        <f>'CALL SHEET'!$AF$297</f>
        <v/>
      </c>
      <c r="F297">
        <f>IF('CALL SHEET'!$V$297="","",'CALL SHEET'!$V$297)</f>
        <v/>
      </c>
      <c r="G297">
        <f>IF('CALL SHEET'!$D$297="","",'CALL SHEET'!$D$297)</f>
        <v/>
      </c>
      <c r="H297">
        <f>IF('CALL SHEET'!$G$297="","",'CALL SHEET'!$G$297)</f>
        <v/>
      </c>
      <c r="I297">
        <f>IF('CALL SHEET'!$AY$297="","",'CALL SHEET'!$AY$297)</f>
        <v/>
      </c>
      <c r="J297">
        <f>IF('CALL SHEET'!$BC$297="","",'CALL SHEET'!$BC$297)</f>
        <v/>
      </c>
      <c r="K297">
        <f>IF('CALL SHEET'!$N$297="","",'CALL SHEET'!$N$297)</f>
        <v/>
      </c>
      <c r="L297">
        <f>IF('CALL SHEET'!$AH$297="","",'CALL SHEET'!$AH$297)</f>
        <v/>
      </c>
      <c r="M297">
        <f>IF('CALL SHEET'!$AO$297="","",'CALL SHEET'!$AO$297)</f>
        <v/>
      </c>
      <c r="N297">
        <f>IF('CALL SHEET'!$BF$297="","",'CALL SHEET'!$BF$297)</f>
        <v/>
      </c>
      <c r="O297" t="inlineStr">
        <is>
          <t>TRADE</t>
        </is>
      </c>
      <c r="P297" t="inlineStr">
        <is>
          <t>CALL SHEET · row 297</t>
        </is>
      </c>
      <c r="Q297">
        <f>E297+ROW()*0.000000001</f>
        <v/>
      </c>
    </row>
    <row r="298">
      <c r="A298">
        <f>IF('CALL SHEET'!$A$298="","",'CALL SHEET'!$A$298)</f>
        <v/>
      </c>
      <c r="B298">
        <f>IF('CALL SHEET'!$C$298="","",'CALL SHEET'!$C$298)</f>
        <v/>
      </c>
      <c r="C298">
        <f>'CALL SHEET'!$U$298</f>
        <v/>
      </c>
      <c r="D298">
        <f>'CALL SHEET'!$AB$298</f>
        <v/>
      </c>
      <c r="E298">
        <f>'CALL SHEET'!$AF$298</f>
        <v/>
      </c>
      <c r="F298">
        <f>IF('CALL SHEET'!$V$298="","",'CALL SHEET'!$V$298)</f>
        <v/>
      </c>
      <c r="G298">
        <f>IF('CALL SHEET'!$D$298="","",'CALL SHEET'!$D$298)</f>
        <v/>
      </c>
      <c r="H298">
        <f>IF('CALL SHEET'!$G$298="","",'CALL SHEET'!$G$298)</f>
        <v/>
      </c>
      <c r="I298">
        <f>IF('CALL SHEET'!$AY$298="","",'CALL SHEET'!$AY$298)</f>
        <v/>
      </c>
      <c r="J298">
        <f>IF('CALL SHEET'!$BC$298="","",'CALL SHEET'!$BC$298)</f>
        <v/>
      </c>
      <c r="K298">
        <f>IF('CALL SHEET'!$N$298="","",'CALL SHEET'!$N$298)</f>
        <v/>
      </c>
      <c r="L298">
        <f>IF('CALL SHEET'!$AH$298="","",'CALL SHEET'!$AH$298)</f>
        <v/>
      </c>
      <c r="M298">
        <f>IF('CALL SHEET'!$AO$298="","",'CALL SHEET'!$AO$298)</f>
        <v/>
      </c>
      <c r="N298">
        <f>IF('CALL SHEET'!$BF$298="","",'CALL SHEET'!$BF$298)</f>
        <v/>
      </c>
      <c r="O298" t="inlineStr">
        <is>
          <t>TRADE</t>
        </is>
      </c>
      <c r="P298" t="inlineStr">
        <is>
          <t>CALL SHEET · row 298</t>
        </is>
      </c>
      <c r="Q298">
        <f>E298+ROW()*0.000000001</f>
        <v/>
      </c>
    </row>
    <row r="299">
      <c r="A299">
        <f>IF('CALL SHEET'!$A$299="","",'CALL SHEET'!$A$299)</f>
        <v/>
      </c>
      <c r="B299">
        <f>IF('CALL SHEET'!$C$299="","",'CALL SHEET'!$C$299)</f>
        <v/>
      </c>
      <c r="C299">
        <f>'CALL SHEET'!$U$299</f>
        <v/>
      </c>
      <c r="D299">
        <f>'CALL SHEET'!$AB$299</f>
        <v/>
      </c>
      <c r="E299">
        <f>'CALL SHEET'!$AF$299</f>
        <v/>
      </c>
      <c r="F299">
        <f>IF('CALL SHEET'!$V$299="","",'CALL SHEET'!$V$299)</f>
        <v/>
      </c>
      <c r="G299">
        <f>IF('CALL SHEET'!$D$299="","",'CALL SHEET'!$D$299)</f>
        <v/>
      </c>
      <c r="H299">
        <f>IF('CALL SHEET'!$G$299="","",'CALL SHEET'!$G$299)</f>
        <v/>
      </c>
      <c r="I299">
        <f>IF('CALL SHEET'!$AY$299="","",'CALL SHEET'!$AY$299)</f>
        <v/>
      </c>
      <c r="J299">
        <f>IF('CALL SHEET'!$BC$299="","",'CALL SHEET'!$BC$299)</f>
        <v/>
      </c>
      <c r="K299">
        <f>IF('CALL SHEET'!$N$299="","",'CALL SHEET'!$N$299)</f>
        <v/>
      </c>
      <c r="L299">
        <f>IF('CALL SHEET'!$AH$299="","",'CALL SHEET'!$AH$299)</f>
        <v/>
      </c>
      <c r="M299">
        <f>IF('CALL SHEET'!$AO$299="","",'CALL SHEET'!$AO$299)</f>
        <v/>
      </c>
      <c r="N299">
        <f>IF('CALL SHEET'!$BF$299="","",'CALL SHEET'!$BF$299)</f>
        <v/>
      </c>
      <c r="O299" t="inlineStr">
        <is>
          <t>TRADE</t>
        </is>
      </c>
      <c r="P299" t="inlineStr">
        <is>
          <t>CALL SHEET · row 299</t>
        </is>
      </c>
      <c r="Q299">
        <f>E299+ROW()*0.000000001</f>
        <v/>
      </c>
    </row>
    <row r="300">
      <c r="A300">
        <f>IF('CALL SHEET'!$A$300="","",'CALL SHEET'!$A$300)</f>
        <v/>
      </c>
      <c r="B300">
        <f>IF('CALL SHEET'!$C$300="","",'CALL SHEET'!$C$300)</f>
        <v/>
      </c>
      <c r="C300">
        <f>'CALL SHEET'!$U$300</f>
        <v/>
      </c>
      <c r="D300">
        <f>'CALL SHEET'!$AB$300</f>
        <v/>
      </c>
      <c r="E300">
        <f>'CALL SHEET'!$AF$300</f>
        <v/>
      </c>
      <c r="F300">
        <f>IF('CALL SHEET'!$V$300="","",'CALL SHEET'!$V$300)</f>
        <v/>
      </c>
      <c r="G300">
        <f>IF('CALL SHEET'!$D$300="","",'CALL SHEET'!$D$300)</f>
        <v/>
      </c>
      <c r="H300">
        <f>IF('CALL SHEET'!$G$300="","",'CALL SHEET'!$G$300)</f>
        <v/>
      </c>
      <c r="I300">
        <f>IF('CALL SHEET'!$AY$300="","",'CALL SHEET'!$AY$300)</f>
        <v/>
      </c>
      <c r="J300">
        <f>IF('CALL SHEET'!$BC$300="","",'CALL SHEET'!$BC$300)</f>
        <v/>
      </c>
      <c r="K300">
        <f>IF('CALL SHEET'!$N$300="","",'CALL SHEET'!$N$300)</f>
        <v/>
      </c>
      <c r="L300">
        <f>IF('CALL SHEET'!$AH$300="","",'CALL SHEET'!$AH$300)</f>
        <v/>
      </c>
      <c r="M300">
        <f>IF('CALL SHEET'!$AO$300="","",'CALL SHEET'!$AO$300)</f>
        <v/>
      </c>
      <c r="N300">
        <f>IF('CALL SHEET'!$BF$300="","",'CALL SHEET'!$BF$300)</f>
        <v/>
      </c>
      <c r="O300" t="inlineStr">
        <is>
          <t>TRADE</t>
        </is>
      </c>
      <c r="P300" t="inlineStr">
        <is>
          <t>CALL SHEET · row 300</t>
        </is>
      </c>
      <c r="Q300">
        <f>E300+ROW()*0.000000001</f>
        <v/>
      </c>
    </row>
    <row r="301">
      <c r="A301">
        <f>IF('CALL SHEET'!$A$301="","",'CALL SHEET'!$A$301)</f>
        <v/>
      </c>
      <c r="B301">
        <f>IF('CALL SHEET'!$C$301="","",'CALL SHEET'!$C$301)</f>
        <v/>
      </c>
      <c r="C301">
        <f>'CALL SHEET'!$U$301</f>
        <v/>
      </c>
      <c r="D301">
        <f>'CALL SHEET'!$AB$301</f>
        <v/>
      </c>
      <c r="E301">
        <f>'CALL SHEET'!$AF$301</f>
        <v/>
      </c>
      <c r="F301">
        <f>IF('CALL SHEET'!$V$301="","",'CALL SHEET'!$V$301)</f>
        <v/>
      </c>
      <c r="G301">
        <f>IF('CALL SHEET'!$D$301="","",'CALL SHEET'!$D$301)</f>
        <v/>
      </c>
      <c r="H301">
        <f>IF('CALL SHEET'!$G$301="","",'CALL SHEET'!$G$301)</f>
        <v/>
      </c>
      <c r="I301">
        <f>IF('CALL SHEET'!$AY$301="","",'CALL SHEET'!$AY$301)</f>
        <v/>
      </c>
      <c r="J301">
        <f>IF('CALL SHEET'!$BC$301="","",'CALL SHEET'!$BC$301)</f>
        <v/>
      </c>
      <c r="K301">
        <f>IF('CALL SHEET'!$N$301="","",'CALL SHEET'!$N$301)</f>
        <v/>
      </c>
      <c r="L301">
        <f>IF('CALL SHEET'!$AH$301="","",'CALL SHEET'!$AH$301)</f>
        <v/>
      </c>
      <c r="M301">
        <f>IF('CALL SHEET'!$AO$301="","",'CALL SHEET'!$AO$301)</f>
        <v/>
      </c>
      <c r="N301">
        <f>IF('CALL SHEET'!$BF$301="","",'CALL SHEET'!$BF$301)</f>
        <v/>
      </c>
      <c r="O301" t="inlineStr">
        <is>
          <t>TRADE</t>
        </is>
      </c>
      <c r="P301" t="inlineStr">
        <is>
          <t>CALL SHEET · row 301</t>
        </is>
      </c>
      <c r="Q301">
        <f>E301+ROW()*0.000000001</f>
        <v/>
      </c>
    </row>
    <row r="302">
      <c r="A302">
        <f>IF('CALL SHEET'!$A$302="","",'CALL SHEET'!$A$302)</f>
        <v/>
      </c>
      <c r="B302">
        <f>IF('CALL SHEET'!$C$302="","",'CALL SHEET'!$C$302)</f>
        <v/>
      </c>
      <c r="C302">
        <f>'CALL SHEET'!$U$302</f>
        <v/>
      </c>
      <c r="D302">
        <f>'CALL SHEET'!$AB$302</f>
        <v/>
      </c>
      <c r="E302">
        <f>'CALL SHEET'!$AF$302</f>
        <v/>
      </c>
      <c r="F302">
        <f>IF('CALL SHEET'!$V$302="","",'CALL SHEET'!$V$302)</f>
        <v/>
      </c>
      <c r="G302">
        <f>IF('CALL SHEET'!$D$302="","",'CALL SHEET'!$D$302)</f>
        <v/>
      </c>
      <c r="H302">
        <f>IF('CALL SHEET'!$G$302="","",'CALL SHEET'!$G$302)</f>
        <v/>
      </c>
      <c r="I302">
        <f>IF('CALL SHEET'!$AY$302="","",'CALL SHEET'!$AY$302)</f>
        <v/>
      </c>
      <c r="J302">
        <f>IF('CALL SHEET'!$BC$302="","",'CALL SHEET'!$BC$302)</f>
        <v/>
      </c>
      <c r="K302">
        <f>IF('CALL SHEET'!$N$302="","",'CALL SHEET'!$N$302)</f>
        <v/>
      </c>
      <c r="L302">
        <f>IF('CALL SHEET'!$AH$302="","",'CALL SHEET'!$AH$302)</f>
        <v/>
      </c>
      <c r="M302">
        <f>IF('CALL SHEET'!$AO$302="","",'CALL SHEET'!$AO$302)</f>
        <v/>
      </c>
      <c r="N302">
        <f>IF('CALL SHEET'!$BF$302="","",'CALL SHEET'!$BF$302)</f>
        <v/>
      </c>
      <c r="O302" t="inlineStr">
        <is>
          <t>TRADE</t>
        </is>
      </c>
      <c r="P302" t="inlineStr">
        <is>
          <t>CALL SHEET · row 302</t>
        </is>
      </c>
      <c r="Q302">
        <f>E302+ROW()*0.000000001</f>
        <v/>
      </c>
    </row>
    <row r="303">
      <c r="A303">
        <f>IF('CALL SHEET'!$A$303="","",'CALL SHEET'!$A$303)</f>
        <v/>
      </c>
      <c r="B303">
        <f>IF('CALL SHEET'!$C$303="","",'CALL SHEET'!$C$303)</f>
        <v/>
      </c>
      <c r="C303">
        <f>'CALL SHEET'!$U$303</f>
        <v/>
      </c>
      <c r="D303">
        <f>'CALL SHEET'!$AB$303</f>
        <v/>
      </c>
      <c r="E303">
        <f>'CALL SHEET'!$AF$303</f>
        <v/>
      </c>
      <c r="F303">
        <f>IF('CALL SHEET'!$V$303="","",'CALL SHEET'!$V$303)</f>
        <v/>
      </c>
      <c r="G303">
        <f>IF('CALL SHEET'!$D$303="","",'CALL SHEET'!$D$303)</f>
        <v/>
      </c>
      <c r="H303">
        <f>IF('CALL SHEET'!$G$303="","",'CALL SHEET'!$G$303)</f>
        <v/>
      </c>
      <c r="I303">
        <f>IF('CALL SHEET'!$AY$303="","",'CALL SHEET'!$AY$303)</f>
        <v/>
      </c>
      <c r="J303">
        <f>IF('CALL SHEET'!$BC$303="","",'CALL SHEET'!$BC$303)</f>
        <v/>
      </c>
      <c r="K303">
        <f>IF('CALL SHEET'!$N$303="","",'CALL SHEET'!$N$303)</f>
        <v/>
      </c>
      <c r="L303">
        <f>IF('CALL SHEET'!$AH$303="","",'CALL SHEET'!$AH$303)</f>
        <v/>
      </c>
      <c r="M303">
        <f>IF('CALL SHEET'!$AO$303="","",'CALL SHEET'!$AO$303)</f>
        <v/>
      </c>
      <c r="N303">
        <f>IF('CALL SHEET'!$BF$303="","",'CALL SHEET'!$BF$303)</f>
        <v/>
      </c>
      <c r="O303" t="inlineStr">
        <is>
          <t>TRADE</t>
        </is>
      </c>
      <c r="P303" t="inlineStr">
        <is>
          <t>CALL SHEET · row 303</t>
        </is>
      </c>
      <c r="Q303">
        <f>E303+ROW()*0.000000001</f>
        <v/>
      </c>
    </row>
    <row r="304">
      <c r="A304">
        <f>IF('CALL SHEET'!$A$304="","",'CALL SHEET'!$A$304)</f>
        <v/>
      </c>
      <c r="B304">
        <f>IF('CALL SHEET'!$C$304="","",'CALL SHEET'!$C$304)</f>
        <v/>
      </c>
      <c r="C304">
        <f>'CALL SHEET'!$U$304</f>
        <v/>
      </c>
      <c r="D304">
        <f>'CALL SHEET'!$AB$304</f>
        <v/>
      </c>
      <c r="E304">
        <f>'CALL SHEET'!$AF$304</f>
        <v/>
      </c>
      <c r="F304">
        <f>IF('CALL SHEET'!$V$304="","",'CALL SHEET'!$V$304)</f>
        <v/>
      </c>
      <c r="G304">
        <f>IF('CALL SHEET'!$D$304="","",'CALL SHEET'!$D$304)</f>
        <v/>
      </c>
      <c r="H304">
        <f>IF('CALL SHEET'!$G$304="","",'CALL SHEET'!$G$304)</f>
        <v/>
      </c>
      <c r="I304">
        <f>IF('CALL SHEET'!$AY$304="","",'CALL SHEET'!$AY$304)</f>
        <v/>
      </c>
      <c r="J304">
        <f>IF('CALL SHEET'!$BC$304="","",'CALL SHEET'!$BC$304)</f>
        <v/>
      </c>
      <c r="K304">
        <f>IF('CALL SHEET'!$N$304="","",'CALL SHEET'!$N$304)</f>
        <v/>
      </c>
      <c r="L304">
        <f>IF('CALL SHEET'!$AH$304="","",'CALL SHEET'!$AH$304)</f>
        <v/>
      </c>
      <c r="M304">
        <f>IF('CALL SHEET'!$AO$304="","",'CALL SHEET'!$AO$304)</f>
        <v/>
      </c>
      <c r="N304">
        <f>IF('CALL SHEET'!$BF$304="","",'CALL SHEET'!$BF$304)</f>
        <v/>
      </c>
      <c r="O304" t="inlineStr">
        <is>
          <t>TRADE</t>
        </is>
      </c>
      <c r="P304" t="inlineStr">
        <is>
          <t>CALL SHEET · row 304</t>
        </is>
      </c>
      <c r="Q304">
        <f>E304+ROW()*0.000000001</f>
        <v/>
      </c>
    </row>
    <row r="305">
      <c r="A305">
        <f>IF('CALL SHEET'!$A$305="","",'CALL SHEET'!$A$305)</f>
        <v/>
      </c>
      <c r="B305">
        <f>IF('CALL SHEET'!$C$305="","",'CALL SHEET'!$C$305)</f>
        <v/>
      </c>
      <c r="C305">
        <f>'CALL SHEET'!$U$305</f>
        <v/>
      </c>
      <c r="D305">
        <f>'CALL SHEET'!$AB$305</f>
        <v/>
      </c>
      <c r="E305">
        <f>'CALL SHEET'!$AF$305</f>
        <v/>
      </c>
      <c r="F305">
        <f>IF('CALL SHEET'!$V$305="","",'CALL SHEET'!$V$305)</f>
        <v/>
      </c>
      <c r="G305">
        <f>IF('CALL SHEET'!$D$305="","",'CALL SHEET'!$D$305)</f>
        <v/>
      </c>
      <c r="H305">
        <f>IF('CALL SHEET'!$G$305="","",'CALL SHEET'!$G$305)</f>
        <v/>
      </c>
      <c r="I305">
        <f>IF('CALL SHEET'!$AY$305="","",'CALL SHEET'!$AY$305)</f>
        <v/>
      </c>
      <c r="J305">
        <f>IF('CALL SHEET'!$BC$305="","",'CALL SHEET'!$BC$305)</f>
        <v/>
      </c>
      <c r="K305">
        <f>IF('CALL SHEET'!$N$305="","",'CALL SHEET'!$N$305)</f>
        <v/>
      </c>
      <c r="L305">
        <f>IF('CALL SHEET'!$AH$305="","",'CALL SHEET'!$AH$305)</f>
        <v/>
      </c>
      <c r="M305">
        <f>IF('CALL SHEET'!$AO$305="","",'CALL SHEET'!$AO$305)</f>
        <v/>
      </c>
      <c r="N305">
        <f>IF('CALL SHEET'!$BF$305="","",'CALL SHEET'!$BF$305)</f>
        <v/>
      </c>
      <c r="O305" t="inlineStr">
        <is>
          <t>TRADE</t>
        </is>
      </c>
      <c r="P305" t="inlineStr">
        <is>
          <t>CALL SHEET · row 305</t>
        </is>
      </c>
      <c r="Q305">
        <f>E305+ROW()*0.000000001</f>
        <v/>
      </c>
    </row>
    <row r="306">
      <c r="A306">
        <f>IF('CALL SHEET'!$A$306="","",'CALL SHEET'!$A$306)</f>
        <v/>
      </c>
      <c r="B306">
        <f>IF('CALL SHEET'!$C$306="","",'CALL SHEET'!$C$306)</f>
        <v/>
      </c>
      <c r="C306">
        <f>'CALL SHEET'!$U$306</f>
        <v/>
      </c>
      <c r="D306">
        <f>'CALL SHEET'!$AB$306</f>
        <v/>
      </c>
      <c r="E306">
        <f>'CALL SHEET'!$AF$306</f>
        <v/>
      </c>
      <c r="F306">
        <f>IF('CALL SHEET'!$V$306="","",'CALL SHEET'!$V$306)</f>
        <v/>
      </c>
      <c r="G306">
        <f>IF('CALL SHEET'!$D$306="","",'CALL SHEET'!$D$306)</f>
        <v/>
      </c>
      <c r="H306">
        <f>IF('CALL SHEET'!$G$306="","",'CALL SHEET'!$G$306)</f>
        <v/>
      </c>
      <c r="I306">
        <f>IF('CALL SHEET'!$AY$306="","",'CALL SHEET'!$AY$306)</f>
        <v/>
      </c>
      <c r="J306">
        <f>IF('CALL SHEET'!$BC$306="","",'CALL SHEET'!$BC$306)</f>
        <v/>
      </c>
      <c r="K306">
        <f>IF('CALL SHEET'!$N$306="","",'CALL SHEET'!$N$306)</f>
        <v/>
      </c>
      <c r="L306">
        <f>IF('CALL SHEET'!$AH$306="","",'CALL SHEET'!$AH$306)</f>
        <v/>
      </c>
      <c r="M306">
        <f>IF('CALL SHEET'!$AO$306="","",'CALL SHEET'!$AO$306)</f>
        <v/>
      </c>
      <c r="N306">
        <f>IF('CALL SHEET'!$BF$306="","",'CALL SHEET'!$BF$306)</f>
        <v/>
      </c>
      <c r="O306" t="inlineStr">
        <is>
          <t>TRADE</t>
        </is>
      </c>
      <c r="P306" t="inlineStr">
        <is>
          <t>CALL SHEET · row 306</t>
        </is>
      </c>
      <c r="Q306">
        <f>E306+ROW()*0.000000001</f>
        <v/>
      </c>
    </row>
    <row r="307">
      <c r="A307">
        <f>IF('CALL SHEET'!$A$307="","",'CALL SHEET'!$A$307)</f>
        <v/>
      </c>
      <c r="B307">
        <f>IF('CALL SHEET'!$C$307="","",'CALL SHEET'!$C$307)</f>
        <v/>
      </c>
      <c r="C307">
        <f>'CALL SHEET'!$U$307</f>
        <v/>
      </c>
      <c r="D307">
        <f>'CALL SHEET'!$AB$307</f>
        <v/>
      </c>
      <c r="E307">
        <f>'CALL SHEET'!$AF$307</f>
        <v/>
      </c>
      <c r="F307">
        <f>IF('CALL SHEET'!$V$307="","",'CALL SHEET'!$V$307)</f>
        <v/>
      </c>
      <c r="G307">
        <f>IF('CALL SHEET'!$D$307="","",'CALL SHEET'!$D$307)</f>
        <v/>
      </c>
      <c r="H307">
        <f>IF('CALL SHEET'!$G$307="","",'CALL SHEET'!$G$307)</f>
        <v/>
      </c>
      <c r="I307">
        <f>IF('CALL SHEET'!$AY$307="","",'CALL SHEET'!$AY$307)</f>
        <v/>
      </c>
      <c r="J307">
        <f>IF('CALL SHEET'!$BC$307="","",'CALL SHEET'!$BC$307)</f>
        <v/>
      </c>
      <c r="K307">
        <f>IF('CALL SHEET'!$N$307="","",'CALL SHEET'!$N$307)</f>
        <v/>
      </c>
      <c r="L307">
        <f>IF('CALL SHEET'!$AH$307="","",'CALL SHEET'!$AH$307)</f>
        <v/>
      </c>
      <c r="M307">
        <f>IF('CALL SHEET'!$AO$307="","",'CALL SHEET'!$AO$307)</f>
        <v/>
      </c>
      <c r="N307">
        <f>IF('CALL SHEET'!$BF$307="","",'CALL SHEET'!$BF$307)</f>
        <v/>
      </c>
      <c r="O307" t="inlineStr">
        <is>
          <t>TRADE</t>
        </is>
      </c>
      <c r="P307" t="inlineStr">
        <is>
          <t>CALL SHEET · row 307</t>
        </is>
      </c>
      <c r="Q307">
        <f>E307+ROW()*0.000000001</f>
        <v/>
      </c>
    </row>
    <row r="308">
      <c r="A308">
        <f>IF('CALL SHEET'!$A$308="","",'CALL SHEET'!$A$308)</f>
        <v/>
      </c>
      <c r="B308">
        <f>IF('CALL SHEET'!$C$308="","",'CALL SHEET'!$C$308)</f>
        <v/>
      </c>
      <c r="C308">
        <f>'CALL SHEET'!$U$308</f>
        <v/>
      </c>
      <c r="D308">
        <f>'CALL SHEET'!$AB$308</f>
        <v/>
      </c>
      <c r="E308">
        <f>'CALL SHEET'!$AF$308</f>
        <v/>
      </c>
      <c r="F308">
        <f>IF('CALL SHEET'!$V$308="","",'CALL SHEET'!$V$308)</f>
        <v/>
      </c>
      <c r="G308">
        <f>IF('CALL SHEET'!$D$308="","",'CALL SHEET'!$D$308)</f>
        <v/>
      </c>
      <c r="H308">
        <f>IF('CALL SHEET'!$G$308="","",'CALL SHEET'!$G$308)</f>
        <v/>
      </c>
      <c r="I308">
        <f>IF('CALL SHEET'!$AY$308="","",'CALL SHEET'!$AY$308)</f>
        <v/>
      </c>
      <c r="J308">
        <f>IF('CALL SHEET'!$BC$308="","",'CALL SHEET'!$BC$308)</f>
        <v/>
      </c>
      <c r="K308">
        <f>IF('CALL SHEET'!$N$308="","",'CALL SHEET'!$N$308)</f>
        <v/>
      </c>
      <c r="L308">
        <f>IF('CALL SHEET'!$AH$308="","",'CALL SHEET'!$AH$308)</f>
        <v/>
      </c>
      <c r="M308">
        <f>IF('CALL SHEET'!$AO$308="","",'CALL SHEET'!$AO$308)</f>
        <v/>
      </c>
      <c r="N308">
        <f>IF('CALL SHEET'!$BF$308="","",'CALL SHEET'!$BF$308)</f>
        <v/>
      </c>
      <c r="O308" t="inlineStr">
        <is>
          <t>TRADE</t>
        </is>
      </c>
      <c r="P308" t="inlineStr">
        <is>
          <t>CALL SHEET · row 308</t>
        </is>
      </c>
      <c r="Q308">
        <f>E308+ROW()*0.000000001</f>
        <v/>
      </c>
    </row>
    <row r="309">
      <c r="A309">
        <f>IF('CALL SHEET'!$A$309="","",'CALL SHEET'!$A$309)</f>
        <v/>
      </c>
      <c r="B309">
        <f>IF('CALL SHEET'!$C$309="","",'CALL SHEET'!$C$309)</f>
        <v/>
      </c>
      <c r="C309">
        <f>'CALL SHEET'!$U$309</f>
        <v/>
      </c>
      <c r="D309">
        <f>'CALL SHEET'!$AB$309</f>
        <v/>
      </c>
      <c r="E309">
        <f>'CALL SHEET'!$AF$309</f>
        <v/>
      </c>
      <c r="F309">
        <f>IF('CALL SHEET'!$V$309="","",'CALL SHEET'!$V$309)</f>
        <v/>
      </c>
      <c r="G309">
        <f>IF('CALL SHEET'!$D$309="","",'CALL SHEET'!$D$309)</f>
        <v/>
      </c>
      <c r="H309">
        <f>IF('CALL SHEET'!$G$309="","",'CALL SHEET'!$G$309)</f>
        <v/>
      </c>
      <c r="I309">
        <f>IF('CALL SHEET'!$AY$309="","",'CALL SHEET'!$AY$309)</f>
        <v/>
      </c>
      <c r="J309">
        <f>IF('CALL SHEET'!$BC$309="","",'CALL SHEET'!$BC$309)</f>
        <v/>
      </c>
      <c r="K309">
        <f>IF('CALL SHEET'!$N$309="","",'CALL SHEET'!$N$309)</f>
        <v/>
      </c>
      <c r="L309">
        <f>IF('CALL SHEET'!$AH$309="","",'CALL SHEET'!$AH$309)</f>
        <v/>
      </c>
      <c r="M309">
        <f>IF('CALL SHEET'!$AO$309="","",'CALL SHEET'!$AO$309)</f>
        <v/>
      </c>
      <c r="N309">
        <f>IF('CALL SHEET'!$BF$309="","",'CALL SHEET'!$BF$309)</f>
        <v/>
      </c>
      <c r="O309" t="inlineStr">
        <is>
          <t>TRADE</t>
        </is>
      </c>
      <c r="P309" t="inlineStr">
        <is>
          <t>CALL SHEET · row 309</t>
        </is>
      </c>
      <c r="Q309">
        <f>E309+ROW()*0.000000001</f>
        <v/>
      </c>
    </row>
    <row r="310">
      <c r="A310">
        <f>IF('CALL SHEET'!$A$310="","",'CALL SHEET'!$A$310)</f>
        <v/>
      </c>
      <c r="B310">
        <f>IF('CALL SHEET'!$C$310="","",'CALL SHEET'!$C$310)</f>
        <v/>
      </c>
      <c r="C310">
        <f>'CALL SHEET'!$U$310</f>
        <v/>
      </c>
      <c r="D310">
        <f>'CALL SHEET'!$AB$310</f>
        <v/>
      </c>
      <c r="E310">
        <f>'CALL SHEET'!$AF$310</f>
        <v/>
      </c>
      <c r="F310">
        <f>IF('CALL SHEET'!$V$310="","",'CALL SHEET'!$V$310)</f>
        <v/>
      </c>
      <c r="G310">
        <f>IF('CALL SHEET'!$D$310="","",'CALL SHEET'!$D$310)</f>
        <v/>
      </c>
      <c r="H310">
        <f>IF('CALL SHEET'!$G$310="","",'CALL SHEET'!$G$310)</f>
        <v/>
      </c>
      <c r="I310">
        <f>IF('CALL SHEET'!$AY$310="","",'CALL SHEET'!$AY$310)</f>
        <v/>
      </c>
      <c r="J310">
        <f>IF('CALL SHEET'!$BC$310="","",'CALL SHEET'!$BC$310)</f>
        <v/>
      </c>
      <c r="K310">
        <f>IF('CALL SHEET'!$N$310="","",'CALL SHEET'!$N$310)</f>
        <v/>
      </c>
      <c r="L310">
        <f>IF('CALL SHEET'!$AH$310="","",'CALL SHEET'!$AH$310)</f>
        <v/>
      </c>
      <c r="M310">
        <f>IF('CALL SHEET'!$AO$310="","",'CALL SHEET'!$AO$310)</f>
        <v/>
      </c>
      <c r="N310">
        <f>IF('CALL SHEET'!$BF$310="","",'CALL SHEET'!$BF$310)</f>
        <v/>
      </c>
      <c r="O310" t="inlineStr">
        <is>
          <t>TRADE</t>
        </is>
      </c>
      <c r="P310" t="inlineStr">
        <is>
          <t>CALL SHEET · row 310</t>
        </is>
      </c>
      <c r="Q310">
        <f>E310+ROW()*0.000000001</f>
        <v/>
      </c>
    </row>
    <row r="311">
      <c r="A311">
        <f>IF('CALL SHEET'!$A$311="","",'CALL SHEET'!$A$311)</f>
        <v/>
      </c>
      <c r="B311">
        <f>IF('CALL SHEET'!$C$311="","",'CALL SHEET'!$C$311)</f>
        <v/>
      </c>
      <c r="C311">
        <f>'CALL SHEET'!$U$311</f>
        <v/>
      </c>
      <c r="D311">
        <f>'CALL SHEET'!$AB$311</f>
        <v/>
      </c>
      <c r="E311">
        <f>'CALL SHEET'!$AF$311</f>
        <v/>
      </c>
      <c r="F311">
        <f>IF('CALL SHEET'!$V$311="","",'CALL SHEET'!$V$311)</f>
        <v/>
      </c>
      <c r="G311">
        <f>IF('CALL SHEET'!$D$311="","",'CALL SHEET'!$D$311)</f>
        <v/>
      </c>
      <c r="H311">
        <f>IF('CALL SHEET'!$G$311="","",'CALL SHEET'!$G$311)</f>
        <v/>
      </c>
      <c r="I311">
        <f>IF('CALL SHEET'!$AY$311="","",'CALL SHEET'!$AY$311)</f>
        <v/>
      </c>
      <c r="J311">
        <f>IF('CALL SHEET'!$BC$311="","",'CALL SHEET'!$BC$311)</f>
        <v/>
      </c>
      <c r="K311">
        <f>IF('CALL SHEET'!$N$311="","",'CALL SHEET'!$N$311)</f>
        <v/>
      </c>
      <c r="L311">
        <f>IF('CALL SHEET'!$AH$311="","",'CALL SHEET'!$AH$311)</f>
        <v/>
      </c>
      <c r="M311">
        <f>IF('CALL SHEET'!$AO$311="","",'CALL SHEET'!$AO$311)</f>
        <v/>
      </c>
      <c r="N311">
        <f>IF('CALL SHEET'!$BF$311="","",'CALL SHEET'!$BF$311)</f>
        <v/>
      </c>
      <c r="O311" t="inlineStr">
        <is>
          <t>TRADE</t>
        </is>
      </c>
      <c r="P311" t="inlineStr">
        <is>
          <t>CALL SHEET · row 311</t>
        </is>
      </c>
      <c r="Q311">
        <f>E311+ROW()*0.000000001</f>
        <v/>
      </c>
    </row>
    <row r="312">
      <c r="A312">
        <f>IF('CALL SHEET'!$A$312="","",'CALL SHEET'!$A$312)</f>
        <v/>
      </c>
      <c r="B312">
        <f>IF('CALL SHEET'!$C$312="","",'CALL SHEET'!$C$312)</f>
        <v/>
      </c>
      <c r="C312">
        <f>'CALL SHEET'!$U$312</f>
        <v/>
      </c>
      <c r="D312">
        <f>'CALL SHEET'!$AB$312</f>
        <v/>
      </c>
      <c r="E312">
        <f>'CALL SHEET'!$AF$312</f>
        <v/>
      </c>
      <c r="F312">
        <f>IF('CALL SHEET'!$V$312="","",'CALL SHEET'!$V$312)</f>
        <v/>
      </c>
      <c r="G312">
        <f>IF('CALL SHEET'!$D$312="","",'CALL SHEET'!$D$312)</f>
        <v/>
      </c>
      <c r="H312">
        <f>IF('CALL SHEET'!$G$312="","",'CALL SHEET'!$G$312)</f>
        <v/>
      </c>
      <c r="I312">
        <f>IF('CALL SHEET'!$AY$312="","",'CALL SHEET'!$AY$312)</f>
        <v/>
      </c>
      <c r="J312">
        <f>IF('CALL SHEET'!$BC$312="","",'CALL SHEET'!$BC$312)</f>
        <v/>
      </c>
      <c r="K312">
        <f>IF('CALL SHEET'!$N$312="","",'CALL SHEET'!$N$312)</f>
        <v/>
      </c>
      <c r="L312">
        <f>IF('CALL SHEET'!$AH$312="","",'CALL SHEET'!$AH$312)</f>
        <v/>
      </c>
      <c r="M312">
        <f>IF('CALL SHEET'!$AO$312="","",'CALL SHEET'!$AO$312)</f>
        <v/>
      </c>
      <c r="N312">
        <f>IF('CALL SHEET'!$BF$312="","",'CALL SHEET'!$BF$312)</f>
        <v/>
      </c>
      <c r="O312" t="inlineStr">
        <is>
          <t>TRADE</t>
        </is>
      </c>
      <c r="P312" t="inlineStr">
        <is>
          <t>CALL SHEET · row 312</t>
        </is>
      </c>
      <c r="Q312">
        <f>E312+ROW()*0.000000001</f>
        <v/>
      </c>
    </row>
    <row r="313">
      <c r="A313">
        <f>IF('CALL SHEET'!$A$313="","",'CALL SHEET'!$A$313)</f>
        <v/>
      </c>
      <c r="B313">
        <f>IF('CALL SHEET'!$C$313="","",'CALL SHEET'!$C$313)</f>
        <v/>
      </c>
      <c r="C313">
        <f>'CALL SHEET'!$U$313</f>
        <v/>
      </c>
      <c r="D313">
        <f>'CALL SHEET'!$AB$313</f>
        <v/>
      </c>
      <c r="E313">
        <f>'CALL SHEET'!$AF$313</f>
        <v/>
      </c>
      <c r="F313">
        <f>IF('CALL SHEET'!$V$313="","",'CALL SHEET'!$V$313)</f>
        <v/>
      </c>
      <c r="G313">
        <f>IF('CALL SHEET'!$D$313="","",'CALL SHEET'!$D$313)</f>
        <v/>
      </c>
      <c r="H313">
        <f>IF('CALL SHEET'!$G$313="","",'CALL SHEET'!$G$313)</f>
        <v/>
      </c>
      <c r="I313">
        <f>IF('CALL SHEET'!$AY$313="","",'CALL SHEET'!$AY$313)</f>
        <v/>
      </c>
      <c r="J313">
        <f>IF('CALL SHEET'!$BC$313="","",'CALL SHEET'!$BC$313)</f>
        <v/>
      </c>
      <c r="K313">
        <f>IF('CALL SHEET'!$N$313="","",'CALL SHEET'!$N$313)</f>
        <v/>
      </c>
      <c r="L313">
        <f>IF('CALL SHEET'!$AH$313="","",'CALL SHEET'!$AH$313)</f>
        <v/>
      </c>
      <c r="M313">
        <f>IF('CALL SHEET'!$AO$313="","",'CALL SHEET'!$AO$313)</f>
        <v/>
      </c>
      <c r="N313">
        <f>IF('CALL SHEET'!$BF$313="","",'CALL SHEET'!$BF$313)</f>
        <v/>
      </c>
      <c r="O313" t="inlineStr">
        <is>
          <t>TRADE</t>
        </is>
      </c>
      <c r="P313" t="inlineStr">
        <is>
          <t>CALL SHEET · row 313</t>
        </is>
      </c>
      <c r="Q313">
        <f>E313+ROW()*0.000000001</f>
        <v/>
      </c>
    </row>
    <row r="314">
      <c r="A314">
        <f>IF('CALL SHEET'!$A$314="","",'CALL SHEET'!$A$314)</f>
        <v/>
      </c>
      <c r="B314">
        <f>IF('CALL SHEET'!$C$314="","",'CALL SHEET'!$C$314)</f>
        <v/>
      </c>
      <c r="C314">
        <f>'CALL SHEET'!$U$314</f>
        <v/>
      </c>
      <c r="D314">
        <f>'CALL SHEET'!$AB$314</f>
        <v/>
      </c>
      <c r="E314">
        <f>'CALL SHEET'!$AF$314</f>
        <v/>
      </c>
      <c r="F314">
        <f>IF('CALL SHEET'!$V$314="","",'CALL SHEET'!$V$314)</f>
        <v/>
      </c>
      <c r="G314">
        <f>IF('CALL SHEET'!$D$314="","",'CALL SHEET'!$D$314)</f>
        <v/>
      </c>
      <c r="H314">
        <f>IF('CALL SHEET'!$G$314="","",'CALL SHEET'!$G$314)</f>
        <v/>
      </c>
      <c r="I314">
        <f>IF('CALL SHEET'!$AY$314="","",'CALL SHEET'!$AY$314)</f>
        <v/>
      </c>
      <c r="J314">
        <f>IF('CALL SHEET'!$BC$314="","",'CALL SHEET'!$BC$314)</f>
        <v/>
      </c>
      <c r="K314">
        <f>IF('CALL SHEET'!$N$314="","",'CALL SHEET'!$N$314)</f>
        <v/>
      </c>
      <c r="L314">
        <f>IF('CALL SHEET'!$AH$314="","",'CALL SHEET'!$AH$314)</f>
        <v/>
      </c>
      <c r="M314">
        <f>IF('CALL SHEET'!$AO$314="","",'CALL SHEET'!$AO$314)</f>
        <v/>
      </c>
      <c r="N314">
        <f>IF('CALL SHEET'!$BF$314="","",'CALL SHEET'!$BF$314)</f>
        <v/>
      </c>
      <c r="O314" t="inlineStr">
        <is>
          <t>TRADE</t>
        </is>
      </c>
      <c r="P314" t="inlineStr">
        <is>
          <t>CALL SHEET · row 314</t>
        </is>
      </c>
      <c r="Q314">
        <f>E314+ROW()*0.000000001</f>
        <v/>
      </c>
    </row>
    <row r="315">
      <c r="A315">
        <f>IF('CALL SHEET'!$A$315="","",'CALL SHEET'!$A$315)</f>
        <v/>
      </c>
      <c r="B315">
        <f>IF('CALL SHEET'!$C$315="","",'CALL SHEET'!$C$315)</f>
        <v/>
      </c>
      <c r="C315">
        <f>'CALL SHEET'!$U$315</f>
        <v/>
      </c>
      <c r="D315">
        <f>'CALL SHEET'!$AB$315</f>
        <v/>
      </c>
      <c r="E315">
        <f>'CALL SHEET'!$AF$315</f>
        <v/>
      </c>
      <c r="F315">
        <f>IF('CALL SHEET'!$V$315="","",'CALL SHEET'!$V$315)</f>
        <v/>
      </c>
      <c r="G315">
        <f>IF('CALL SHEET'!$D$315="","",'CALL SHEET'!$D$315)</f>
        <v/>
      </c>
      <c r="H315">
        <f>IF('CALL SHEET'!$G$315="","",'CALL SHEET'!$G$315)</f>
        <v/>
      </c>
      <c r="I315">
        <f>IF('CALL SHEET'!$AY$315="","",'CALL SHEET'!$AY$315)</f>
        <v/>
      </c>
      <c r="J315">
        <f>IF('CALL SHEET'!$BC$315="","",'CALL SHEET'!$BC$315)</f>
        <v/>
      </c>
      <c r="K315">
        <f>IF('CALL SHEET'!$N$315="","",'CALL SHEET'!$N$315)</f>
        <v/>
      </c>
      <c r="L315">
        <f>IF('CALL SHEET'!$AH$315="","",'CALL SHEET'!$AH$315)</f>
        <v/>
      </c>
      <c r="M315">
        <f>IF('CALL SHEET'!$AO$315="","",'CALL SHEET'!$AO$315)</f>
        <v/>
      </c>
      <c r="N315">
        <f>IF('CALL SHEET'!$BF$315="","",'CALL SHEET'!$BF$315)</f>
        <v/>
      </c>
      <c r="O315" t="inlineStr">
        <is>
          <t>TRADE</t>
        </is>
      </c>
      <c r="P315" t="inlineStr">
        <is>
          <t>CALL SHEET · row 315</t>
        </is>
      </c>
      <c r="Q315">
        <f>E315+ROW()*0.000000001</f>
        <v/>
      </c>
    </row>
    <row r="316">
      <c r="A316">
        <f>IF('CALL SHEET'!$A$316="","",'CALL SHEET'!$A$316)</f>
        <v/>
      </c>
      <c r="B316">
        <f>IF('CALL SHEET'!$C$316="","",'CALL SHEET'!$C$316)</f>
        <v/>
      </c>
      <c r="C316">
        <f>'CALL SHEET'!$U$316</f>
        <v/>
      </c>
      <c r="D316">
        <f>'CALL SHEET'!$AB$316</f>
        <v/>
      </c>
      <c r="E316">
        <f>'CALL SHEET'!$AF$316</f>
        <v/>
      </c>
      <c r="F316">
        <f>IF('CALL SHEET'!$V$316="","",'CALL SHEET'!$V$316)</f>
        <v/>
      </c>
      <c r="G316">
        <f>IF('CALL SHEET'!$D$316="","",'CALL SHEET'!$D$316)</f>
        <v/>
      </c>
      <c r="H316">
        <f>IF('CALL SHEET'!$G$316="","",'CALL SHEET'!$G$316)</f>
        <v/>
      </c>
      <c r="I316">
        <f>IF('CALL SHEET'!$AY$316="","",'CALL SHEET'!$AY$316)</f>
        <v/>
      </c>
      <c r="J316">
        <f>IF('CALL SHEET'!$BC$316="","",'CALL SHEET'!$BC$316)</f>
        <v/>
      </c>
      <c r="K316">
        <f>IF('CALL SHEET'!$N$316="","",'CALL SHEET'!$N$316)</f>
        <v/>
      </c>
      <c r="L316">
        <f>IF('CALL SHEET'!$AH$316="","",'CALL SHEET'!$AH$316)</f>
        <v/>
      </c>
      <c r="M316">
        <f>IF('CALL SHEET'!$AO$316="","",'CALL SHEET'!$AO$316)</f>
        <v/>
      </c>
      <c r="N316">
        <f>IF('CALL SHEET'!$BF$316="","",'CALL SHEET'!$BF$316)</f>
        <v/>
      </c>
      <c r="O316" t="inlineStr">
        <is>
          <t>TRADE</t>
        </is>
      </c>
      <c r="P316" t="inlineStr">
        <is>
          <t>CALL SHEET · row 316</t>
        </is>
      </c>
      <c r="Q316">
        <f>E316+ROW()*0.000000001</f>
        <v/>
      </c>
    </row>
    <row r="317">
      <c r="A317">
        <f>IF('CALL SHEET'!$A$317="","",'CALL SHEET'!$A$317)</f>
        <v/>
      </c>
      <c r="B317">
        <f>IF('CALL SHEET'!$C$317="","",'CALL SHEET'!$C$317)</f>
        <v/>
      </c>
      <c r="C317">
        <f>'CALL SHEET'!$U$317</f>
        <v/>
      </c>
      <c r="D317">
        <f>'CALL SHEET'!$AB$317</f>
        <v/>
      </c>
      <c r="E317">
        <f>'CALL SHEET'!$AF$317</f>
        <v/>
      </c>
      <c r="F317">
        <f>IF('CALL SHEET'!$V$317="","",'CALL SHEET'!$V$317)</f>
        <v/>
      </c>
      <c r="G317">
        <f>IF('CALL SHEET'!$D$317="","",'CALL SHEET'!$D$317)</f>
        <v/>
      </c>
      <c r="H317">
        <f>IF('CALL SHEET'!$G$317="","",'CALL SHEET'!$G$317)</f>
        <v/>
      </c>
      <c r="I317">
        <f>IF('CALL SHEET'!$AY$317="","",'CALL SHEET'!$AY$317)</f>
        <v/>
      </c>
      <c r="J317">
        <f>IF('CALL SHEET'!$BC$317="","",'CALL SHEET'!$BC$317)</f>
        <v/>
      </c>
      <c r="K317">
        <f>IF('CALL SHEET'!$N$317="","",'CALL SHEET'!$N$317)</f>
        <v/>
      </c>
      <c r="L317">
        <f>IF('CALL SHEET'!$AH$317="","",'CALL SHEET'!$AH$317)</f>
        <v/>
      </c>
      <c r="M317">
        <f>IF('CALL SHEET'!$AO$317="","",'CALL SHEET'!$AO$317)</f>
        <v/>
      </c>
      <c r="N317">
        <f>IF('CALL SHEET'!$BF$317="","",'CALL SHEET'!$BF$317)</f>
        <v/>
      </c>
      <c r="O317" t="inlineStr">
        <is>
          <t>TRADE</t>
        </is>
      </c>
      <c r="P317" t="inlineStr">
        <is>
          <t>CALL SHEET · row 317</t>
        </is>
      </c>
      <c r="Q317">
        <f>E317+ROW()*0.000000001</f>
        <v/>
      </c>
    </row>
    <row r="318">
      <c r="A318">
        <f>IF('CALL SHEET'!$A$318="","",'CALL SHEET'!$A$318)</f>
        <v/>
      </c>
      <c r="B318">
        <f>IF('CALL SHEET'!$C$318="","",'CALL SHEET'!$C$318)</f>
        <v/>
      </c>
      <c r="C318">
        <f>'CALL SHEET'!$U$318</f>
        <v/>
      </c>
      <c r="D318">
        <f>'CALL SHEET'!$AB$318</f>
        <v/>
      </c>
      <c r="E318">
        <f>'CALL SHEET'!$AF$318</f>
        <v/>
      </c>
      <c r="F318">
        <f>IF('CALL SHEET'!$V$318="","",'CALL SHEET'!$V$318)</f>
        <v/>
      </c>
      <c r="G318">
        <f>IF('CALL SHEET'!$D$318="","",'CALL SHEET'!$D$318)</f>
        <v/>
      </c>
      <c r="H318">
        <f>IF('CALL SHEET'!$G$318="","",'CALL SHEET'!$G$318)</f>
        <v/>
      </c>
      <c r="I318">
        <f>IF('CALL SHEET'!$AY$318="","",'CALL SHEET'!$AY$318)</f>
        <v/>
      </c>
      <c r="J318">
        <f>IF('CALL SHEET'!$BC$318="","",'CALL SHEET'!$BC$318)</f>
        <v/>
      </c>
      <c r="K318">
        <f>IF('CALL SHEET'!$N$318="","",'CALL SHEET'!$N$318)</f>
        <v/>
      </c>
      <c r="L318">
        <f>IF('CALL SHEET'!$AH$318="","",'CALL SHEET'!$AH$318)</f>
        <v/>
      </c>
      <c r="M318">
        <f>IF('CALL SHEET'!$AO$318="","",'CALL SHEET'!$AO$318)</f>
        <v/>
      </c>
      <c r="N318">
        <f>IF('CALL SHEET'!$BF$318="","",'CALL SHEET'!$BF$318)</f>
        <v/>
      </c>
      <c r="O318" t="inlineStr">
        <is>
          <t>TRADE</t>
        </is>
      </c>
      <c r="P318" t="inlineStr">
        <is>
          <t>CALL SHEET · row 318</t>
        </is>
      </c>
      <c r="Q318">
        <f>E318+ROW()*0.000000001</f>
        <v/>
      </c>
    </row>
    <row r="319">
      <c r="A319">
        <f>IF('CALL SHEET'!$A$319="","",'CALL SHEET'!$A$319)</f>
        <v/>
      </c>
      <c r="B319">
        <f>IF('CALL SHEET'!$C$319="","",'CALL SHEET'!$C$319)</f>
        <v/>
      </c>
      <c r="C319">
        <f>'CALL SHEET'!$U$319</f>
        <v/>
      </c>
      <c r="D319">
        <f>'CALL SHEET'!$AB$319</f>
        <v/>
      </c>
      <c r="E319">
        <f>'CALL SHEET'!$AF$319</f>
        <v/>
      </c>
      <c r="F319">
        <f>IF('CALL SHEET'!$V$319="","",'CALL SHEET'!$V$319)</f>
        <v/>
      </c>
      <c r="G319">
        <f>IF('CALL SHEET'!$D$319="","",'CALL SHEET'!$D$319)</f>
        <v/>
      </c>
      <c r="H319">
        <f>IF('CALL SHEET'!$G$319="","",'CALL SHEET'!$G$319)</f>
        <v/>
      </c>
      <c r="I319">
        <f>IF('CALL SHEET'!$AY$319="","",'CALL SHEET'!$AY$319)</f>
        <v/>
      </c>
      <c r="J319">
        <f>IF('CALL SHEET'!$BC$319="","",'CALL SHEET'!$BC$319)</f>
        <v/>
      </c>
      <c r="K319">
        <f>IF('CALL SHEET'!$N$319="","",'CALL SHEET'!$N$319)</f>
        <v/>
      </c>
      <c r="L319">
        <f>IF('CALL SHEET'!$AH$319="","",'CALL SHEET'!$AH$319)</f>
        <v/>
      </c>
      <c r="M319">
        <f>IF('CALL SHEET'!$AO$319="","",'CALL SHEET'!$AO$319)</f>
        <v/>
      </c>
      <c r="N319">
        <f>IF('CALL SHEET'!$BF$319="","",'CALL SHEET'!$BF$319)</f>
        <v/>
      </c>
      <c r="O319" t="inlineStr">
        <is>
          <t>TRADE</t>
        </is>
      </c>
      <c r="P319" t="inlineStr">
        <is>
          <t>CALL SHEET · row 319</t>
        </is>
      </c>
      <c r="Q319">
        <f>E319+ROW()*0.000000001</f>
        <v/>
      </c>
    </row>
    <row r="320">
      <c r="A320">
        <f>IF('CALL SHEET'!$A$320="","",'CALL SHEET'!$A$320)</f>
        <v/>
      </c>
      <c r="B320">
        <f>IF('CALL SHEET'!$C$320="","",'CALL SHEET'!$C$320)</f>
        <v/>
      </c>
      <c r="C320">
        <f>'CALL SHEET'!$U$320</f>
        <v/>
      </c>
      <c r="D320">
        <f>'CALL SHEET'!$AB$320</f>
        <v/>
      </c>
      <c r="E320">
        <f>'CALL SHEET'!$AF$320</f>
        <v/>
      </c>
      <c r="F320">
        <f>IF('CALL SHEET'!$V$320="","",'CALL SHEET'!$V$320)</f>
        <v/>
      </c>
      <c r="G320">
        <f>IF('CALL SHEET'!$D$320="","",'CALL SHEET'!$D$320)</f>
        <v/>
      </c>
      <c r="H320">
        <f>IF('CALL SHEET'!$G$320="","",'CALL SHEET'!$G$320)</f>
        <v/>
      </c>
      <c r="I320">
        <f>IF('CALL SHEET'!$AY$320="","",'CALL SHEET'!$AY$320)</f>
        <v/>
      </c>
      <c r="J320">
        <f>IF('CALL SHEET'!$BC$320="","",'CALL SHEET'!$BC$320)</f>
        <v/>
      </c>
      <c r="K320">
        <f>IF('CALL SHEET'!$N$320="","",'CALL SHEET'!$N$320)</f>
        <v/>
      </c>
      <c r="L320">
        <f>IF('CALL SHEET'!$AH$320="","",'CALL SHEET'!$AH$320)</f>
        <v/>
      </c>
      <c r="M320">
        <f>IF('CALL SHEET'!$AO$320="","",'CALL SHEET'!$AO$320)</f>
        <v/>
      </c>
      <c r="N320">
        <f>IF('CALL SHEET'!$BF$320="","",'CALL SHEET'!$BF$320)</f>
        <v/>
      </c>
      <c r="O320" t="inlineStr">
        <is>
          <t>TRADE</t>
        </is>
      </c>
      <c r="P320" t="inlineStr">
        <is>
          <t>CALL SHEET · row 320</t>
        </is>
      </c>
      <c r="Q320">
        <f>E320+ROW()*0.000000001</f>
        <v/>
      </c>
    </row>
    <row r="321">
      <c r="A321">
        <f>IF('CALL SHEET'!$A$321="","",'CALL SHEET'!$A$321)</f>
        <v/>
      </c>
      <c r="B321">
        <f>IF('CALL SHEET'!$C$321="","",'CALL SHEET'!$C$321)</f>
        <v/>
      </c>
      <c r="C321">
        <f>'CALL SHEET'!$U$321</f>
        <v/>
      </c>
      <c r="D321">
        <f>'CALL SHEET'!$AB$321</f>
        <v/>
      </c>
      <c r="E321">
        <f>'CALL SHEET'!$AF$321</f>
        <v/>
      </c>
      <c r="F321">
        <f>IF('CALL SHEET'!$V$321="","",'CALL SHEET'!$V$321)</f>
        <v/>
      </c>
      <c r="G321">
        <f>IF('CALL SHEET'!$D$321="","",'CALL SHEET'!$D$321)</f>
        <v/>
      </c>
      <c r="H321">
        <f>IF('CALL SHEET'!$G$321="","",'CALL SHEET'!$G$321)</f>
        <v/>
      </c>
      <c r="I321">
        <f>IF('CALL SHEET'!$AY$321="","",'CALL SHEET'!$AY$321)</f>
        <v/>
      </c>
      <c r="J321">
        <f>IF('CALL SHEET'!$BC$321="","",'CALL SHEET'!$BC$321)</f>
        <v/>
      </c>
      <c r="K321">
        <f>IF('CALL SHEET'!$N$321="","",'CALL SHEET'!$N$321)</f>
        <v/>
      </c>
      <c r="L321">
        <f>IF('CALL SHEET'!$AH$321="","",'CALL SHEET'!$AH$321)</f>
        <v/>
      </c>
      <c r="M321">
        <f>IF('CALL SHEET'!$AO$321="","",'CALL SHEET'!$AO$321)</f>
        <v/>
      </c>
      <c r="N321">
        <f>IF('CALL SHEET'!$BF$321="","",'CALL SHEET'!$BF$321)</f>
        <v/>
      </c>
      <c r="O321" t="inlineStr">
        <is>
          <t>TRADE</t>
        </is>
      </c>
      <c r="P321" t="inlineStr">
        <is>
          <t>CALL SHEET · row 321</t>
        </is>
      </c>
      <c r="Q321">
        <f>E321+ROW()*0.000000001</f>
        <v/>
      </c>
    </row>
    <row r="322">
      <c r="A322">
        <f>IF('CALL SHEET'!$A$322="","",'CALL SHEET'!$A$322)</f>
        <v/>
      </c>
      <c r="B322">
        <f>IF('CALL SHEET'!$C$322="","",'CALL SHEET'!$C$322)</f>
        <v/>
      </c>
      <c r="C322">
        <f>'CALL SHEET'!$U$322</f>
        <v/>
      </c>
      <c r="D322">
        <f>'CALL SHEET'!$AB$322</f>
        <v/>
      </c>
      <c r="E322">
        <f>'CALL SHEET'!$AF$322</f>
        <v/>
      </c>
      <c r="F322">
        <f>IF('CALL SHEET'!$V$322="","",'CALL SHEET'!$V$322)</f>
        <v/>
      </c>
      <c r="G322">
        <f>IF('CALL SHEET'!$D$322="","",'CALL SHEET'!$D$322)</f>
        <v/>
      </c>
      <c r="H322">
        <f>IF('CALL SHEET'!$G$322="","",'CALL SHEET'!$G$322)</f>
        <v/>
      </c>
      <c r="I322">
        <f>IF('CALL SHEET'!$AY$322="","",'CALL SHEET'!$AY$322)</f>
        <v/>
      </c>
      <c r="J322">
        <f>IF('CALL SHEET'!$BC$322="","",'CALL SHEET'!$BC$322)</f>
        <v/>
      </c>
      <c r="K322">
        <f>IF('CALL SHEET'!$N$322="","",'CALL SHEET'!$N$322)</f>
        <v/>
      </c>
      <c r="L322">
        <f>IF('CALL SHEET'!$AH$322="","",'CALL SHEET'!$AH$322)</f>
        <v/>
      </c>
      <c r="M322">
        <f>IF('CALL SHEET'!$AO$322="","",'CALL SHEET'!$AO$322)</f>
        <v/>
      </c>
      <c r="N322">
        <f>IF('CALL SHEET'!$BF$322="","",'CALL SHEET'!$BF$322)</f>
        <v/>
      </c>
      <c r="O322" t="inlineStr">
        <is>
          <t>TRADE</t>
        </is>
      </c>
      <c r="P322" t="inlineStr">
        <is>
          <t>CALL SHEET · row 322</t>
        </is>
      </c>
      <c r="Q322">
        <f>E322+ROW()*0.000000001</f>
        <v/>
      </c>
    </row>
    <row r="323">
      <c r="A323">
        <f>IF('CALL SHEET'!$A$323="","",'CALL SHEET'!$A$323)</f>
        <v/>
      </c>
      <c r="B323">
        <f>IF('CALL SHEET'!$C$323="","",'CALL SHEET'!$C$323)</f>
        <v/>
      </c>
      <c r="C323">
        <f>'CALL SHEET'!$U$323</f>
        <v/>
      </c>
      <c r="D323">
        <f>'CALL SHEET'!$AB$323</f>
        <v/>
      </c>
      <c r="E323">
        <f>'CALL SHEET'!$AF$323</f>
        <v/>
      </c>
      <c r="F323">
        <f>IF('CALL SHEET'!$V$323="","",'CALL SHEET'!$V$323)</f>
        <v/>
      </c>
      <c r="G323">
        <f>IF('CALL SHEET'!$D$323="","",'CALL SHEET'!$D$323)</f>
        <v/>
      </c>
      <c r="H323">
        <f>IF('CALL SHEET'!$G$323="","",'CALL SHEET'!$G$323)</f>
        <v/>
      </c>
      <c r="I323">
        <f>IF('CALL SHEET'!$AY$323="","",'CALL SHEET'!$AY$323)</f>
        <v/>
      </c>
      <c r="J323">
        <f>IF('CALL SHEET'!$BC$323="","",'CALL SHEET'!$BC$323)</f>
        <v/>
      </c>
      <c r="K323">
        <f>IF('CALL SHEET'!$N$323="","",'CALL SHEET'!$N$323)</f>
        <v/>
      </c>
      <c r="L323">
        <f>IF('CALL SHEET'!$AH$323="","",'CALL SHEET'!$AH$323)</f>
        <v/>
      </c>
      <c r="M323">
        <f>IF('CALL SHEET'!$AO$323="","",'CALL SHEET'!$AO$323)</f>
        <v/>
      </c>
      <c r="N323">
        <f>IF('CALL SHEET'!$BF$323="","",'CALL SHEET'!$BF$323)</f>
        <v/>
      </c>
      <c r="O323" t="inlineStr">
        <is>
          <t>TRADE</t>
        </is>
      </c>
      <c r="P323" t="inlineStr">
        <is>
          <t>CALL SHEET · row 323</t>
        </is>
      </c>
      <c r="Q323">
        <f>E323+ROW()*0.000000001</f>
        <v/>
      </c>
    </row>
    <row r="324">
      <c r="A324">
        <f>IF('CALL SHEET'!$A$324="","",'CALL SHEET'!$A$324)</f>
        <v/>
      </c>
      <c r="B324">
        <f>IF('CALL SHEET'!$C$324="","",'CALL SHEET'!$C$324)</f>
        <v/>
      </c>
      <c r="C324">
        <f>'CALL SHEET'!$U$324</f>
        <v/>
      </c>
      <c r="D324">
        <f>'CALL SHEET'!$AB$324</f>
        <v/>
      </c>
      <c r="E324">
        <f>'CALL SHEET'!$AF$324</f>
        <v/>
      </c>
      <c r="F324">
        <f>IF('CALL SHEET'!$V$324="","",'CALL SHEET'!$V$324)</f>
        <v/>
      </c>
      <c r="G324">
        <f>IF('CALL SHEET'!$D$324="","",'CALL SHEET'!$D$324)</f>
        <v/>
      </c>
      <c r="H324">
        <f>IF('CALL SHEET'!$G$324="","",'CALL SHEET'!$G$324)</f>
        <v/>
      </c>
      <c r="I324">
        <f>IF('CALL SHEET'!$AY$324="","",'CALL SHEET'!$AY$324)</f>
        <v/>
      </c>
      <c r="J324">
        <f>IF('CALL SHEET'!$BC$324="","",'CALL SHEET'!$BC$324)</f>
        <v/>
      </c>
      <c r="K324">
        <f>IF('CALL SHEET'!$N$324="","",'CALL SHEET'!$N$324)</f>
        <v/>
      </c>
      <c r="L324">
        <f>IF('CALL SHEET'!$AH$324="","",'CALL SHEET'!$AH$324)</f>
        <v/>
      </c>
      <c r="M324">
        <f>IF('CALL SHEET'!$AO$324="","",'CALL SHEET'!$AO$324)</f>
        <v/>
      </c>
      <c r="N324">
        <f>IF('CALL SHEET'!$BF$324="","",'CALL SHEET'!$BF$324)</f>
        <v/>
      </c>
      <c r="O324" t="inlineStr">
        <is>
          <t>TRADE</t>
        </is>
      </c>
      <c r="P324" t="inlineStr">
        <is>
          <t>CALL SHEET · row 324</t>
        </is>
      </c>
      <c r="Q324">
        <f>E324+ROW()*0.000000001</f>
        <v/>
      </c>
    </row>
    <row r="325">
      <c r="A325">
        <f>IF('CALL SHEET'!$A$325="","",'CALL SHEET'!$A$325)</f>
        <v/>
      </c>
      <c r="B325">
        <f>IF('CALL SHEET'!$C$325="","",'CALL SHEET'!$C$325)</f>
        <v/>
      </c>
      <c r="C325">
        <f>'CALL SHEET'!$U$325</f>
        <v/>
      </c>
      <c r="D325">
        <f>'CALL SHEET'!$AB$325</f>
        <v/>
      </c>
      <c r="E325">
        <f>'CALL SHEET'!$AF$325</f>
        <v/>
      </c>
      <c r="F325">
        <f>IF('CALL SHEET'!$V$325="","",'CALL SHEET'!$V$325)</f>
        <v/>
      </c>
      <c r="G325">
        <f>IF('CALL SHEET'!$D$325="","",'CALL SHEET'!$D$325)</f>
        <v/>
      </c>
      <c r="H325">
        <f>IF('CALL SHEET'!$G$325="","",'CALL SHEET'!$G$325)</f>
        <v/>
      </c>
      <c r="I325">
        <f>IF('CALL SHEET'!$AY$325="","",'CALL SHEET'!$AY$325)</f>
        <v/>
      </c>
      <c r="J325">
        <f>IF('CALL SHEET'!$BC$325="","",'CALL SHEET'!$BC$325)</f>
        <v/>
      </c>
      <c r="K325">
        <f>IF('CALL SHEET'!$N$325="","",'CALL SHEET'!$N$325)</f>
        <v/>
      </c>
      <c r="L325">
        <f>IF('CALL SHEET'!$AH$325="","",'CALL SHEET'!$AH$325)</f>
        <v/>
      </c>
      <c r="M325">
        <f>IF('CALL SHEET'!$AO$325="","",'CALL SHEET'!$AO$325)</f>
        <v/>
      </c>
      <c r="N325">
        <f>IF('CALL SHEET'!$BF$325="","",'CALL SHEET'!$BF$325)</f>
        <v/>
      </c>
      <c r="O325" t="inlineStr">
        <is>
          <t>TRADE</t>
        </is>
      </c>
      <c r="P325" t="inlineStr">
        <is>
          <t>CALL SHEET · row 325</t>
        </is>
      </c>
      <c r="Q325">
        <f>E325+ROW()*0.000000001</f>
        <v/>
      </c>
    </row>
    <row r="326">
      <c r="A326">
        <f>IF('CALL SHEET'!$A$326="","",'CALL SHEET'!$A$326)</f>
        <v/>
      </c>
      <c r="B326">
        <f>IF('CALL SHEET'!$C$326="","",'CALL SHEET'!$C$326)</f>
        <v/>
      </c>
      <c r="C326">
        <f>'CALL SHEET'!$U$326</f>
        <v/>
      </c>
      <c r="D326">
        <f>'CALL SHEET'!$AB$326</f>
        <v/>
      </c>
      <c r="E326">
        <f>'CALL SHEET'!$AF$326</f>
        <v/>
      </c>
      <c r="F326">
        <f>IF('CALL SHEET'!$V$326="","",'CALL SHEET'!$V$326)</f>
        <v/>
      </c>
      <c r="G326">
        <f>IF('CALL SHEET'!$D$326="","",'CALL SHEET'!$D$326)</f>
        <v/>
      </c>
      <c r="H326">
        <f>IF('CALL SHEET'!$G$326="","",'CALL SHEET'!$G$326)</f>
        <v/>
      </c>
      <c r="I326">
        <f>IF('CALL SHEET'!$AY$326="","",'CALL SHEET'!$AY$326)</f>
        <v/>
      </c>
      <c r="J326">
        <f>IF('CALL SHEET'!$BC$326="","",'CALL SHEET'!$BC$326)</f>
        <v/>
      </c>
      <c r="K326">
        <f>IF('CALL SHEET'!$N$326="","",'CALL SHEET'!$N$326)</f>
        <v/>
      </c>
      <c r="L326">
        <f>IF('CALL SHEET'!$AH$326="","",'CALL SHEET'!$AH$326)</f>
        <v/>
      </c>
      <c r="M326">
        <f>IF('CALL SHEET'!$AO$326="","",'CALL SHEET'!$AO$326)</f>
        <v/>
      </c>
      <c r="N326">
        <f>IF('CALL SHEET'!$BF$326="","",'CALL SHEET'!$BF$326)</f>
        <v/>
      </c>
      <c r="O326" t="inlineStr">
        <is>
          <t>TRADE</t>
        </is>
      </c>
      <c r="P326" t="inlineStr">
        <is>
          <t>CALL SHEET · row 326</t>
        </is>
      </c>
      <c r="Q326">
        <f>E326+ROW()*0.000000001</f>
        <v/>
      </c>
    </row>
    <row r="327">
      <c r="A327">
        <f>IF('CALL SHEET'!$A$327="","",'CALL SHEET'!$A$327)</f>
        <v/>
      </c>
      <c r="B327">
        <f>IF('CALL SHEET'!$C$327="","",'CALL SHEET'!$C$327)</f>
        <v/>
      </c>
      <c r="C327">
        <f>'CALL SHEET'!$U$327</f>
        <v/>
      </c>
      <c r="D327">
        <f>'CALL SHEET'!$AB$327</f>
        <v/>
      </c>
      <c r="E327">
        <f>'CALL SHEET'!$AF$327</f>
        <v/>
      </c>
      <c r="F327">
        <f>IF('CALL SHEET'!$V$327="","",'CALL SHEET'!$V$327)</f>
        <v/>
      </c>
      <c r="G327">
        <f>IF('CALL SHEET'!$D$327="","",'CALL SHEET'!$D$327)</f>
        <v/>
      </c>
      <c r="H327">
        <f>IF('CALL SHEET'!$G$327="","",'CALL SHEET'!$G$327)</f>
        <v/>
      </c>
      <c r="I327">
        <f>IF('CALL SHEET'!$AY$327="","",'CALL SHEET'!$AY$327)</f>
        <v/>
      </c>
      <c r="J327">
        <f>IF('CALL SHEET'!$BC$327="","",'CALL SHEET'!$BC$327)</f>
        <v/>
      </c>
      <c r="K327">
        <f>IF('CALL SHEET'!$N$327="","",'CALL SHEET'!$N$327)</f>
        <v/>
      </c>
      <c r="L327">
        <f>IF('CALL SHEET'!$AH$327="","",'CALL SHEET'!$AH$327)</f>
        <v/>
      </c>
      <c r="M327">
        <f>IF('CALL SHEET'!$AO$327="","",'CALL SHEET'!$AO$327)</f>
        <v/>
      </c>
      <c r="N327">
        <f>IF('CALL SHEET'!$BF$327="","",'CALL SHEET'!$BF$327)</f>
        <v/>
      </c>
      <c r="O327" t="inlineStr">
        <is>
          <t>TRADE</t>
        </is>
      </c>
      <c r="P327" t="inlineStr">
        <is>
          <t>CALL SHEET · row 327</t>
        </is>
      </c>
      <c r="Q327">
        <f>E327+ROW()*0.000000001</f>
        <v/>
      </c>
    </row>
    <row r="328">
      <c r="A328">
        <f>IF('CALL SHEET'!$A$328="","",'CALL SHEET'!$A$328)</f>
        <v/>
      </c>
      <c r="B328">
        <f>IF('CALL SHEET'!$C$328="","",'CALL SHEET'!$C$328)</f>
        <v/>
      </c>
      <c r="C328">
        <f>'CALL SHEET'!$U$328</f>
        <v/>
      </c>
      <c r="D328">
        <f>'CALL SHEET'!$AB$328</f>
        <v/>
      </c>
      <c r="E328">
        <f>'CALL SHEET'!$AF$328</f>
        <v/>
      </c>
      <c r="F328">
        <f>IF('CALL SHEET'!$V$328="","",'CALL SHEET'!$V$328)</f>
        <v/>
      </c>
      <c r="G328">
        <f>IF('CALL SHEET'!$D$328="","",'CALL SHEET'!$D$328)</f>
        <v/>
      </c>
      <c r="H328">
        <f>IF('CALL SHEET'!$G$328="","",'CALL SHEET'!$G$328)</f>
        <v/>
      </c>
      <c r="I328">
        <f>IF('CALL SHEET'!$AY$328="","",'CALL SHEET'!$AY$328)</f>
        <v/>
      </c>
      <c r="J328">
        <f>IF('CALL SHEET'!$BC$328="","",'CALL SHEET'!$BC$328)</f>
        <v/>
      </c>
      <c r="K328">
        <f>IF('CALL SHEET'!$N$328="","",'CALL SHEET'!$N$328)</f>
        <v/>
      </c>
      <c r="L328">
        <f>IF('CALL SHEET'!$AH$328="","",'CALL SHEET'!$AH$328)</f>
        <v/>
      </c>
      <c r="M328">
        <f>IF('CALL SHEET'!$AO$328="","",'CALL SHEET'!$AO$328)</f>
        <v/>
      </c>
      <c r="N328">
        <f>IF('CALL SHEET'!$BF$328="","",'CALL SHEET'!$BF$328)</f>
        <v/>
      </c>
      <c r="O328" t="inlineStr">
        <is>
          <t>TRADE</t>
        </is>
      </c>
      <c r="P328" t="inlineStr">
        <is>
          <t>CALL SHEET · row 328</t>
        </is>
      </c>
      <c r="Q328">
        <f>E328+ROW()*0.000000001</f>
        <v/>
      </c>
    </row>
    <row r="329">
      <c r="A329">
        <f>IF('CALL SHEET'!$A$329="","",'CALL SHEET'!$A$329)</f>
        <v/>
      </c>
      <c r="B329">
        <f>IF('CALL SHEET'!$C$329="","",'CALL SHEET'!$C$329)</f>
        <v/>
      </c>
      <c r="C329">
        <f>'CALL SHEET'!$U$329</f>
        <v/>
      </c>
      <c r="D329">
        <f>'CALL SHEET'!$AB$329</f>
        <v/>
      </c>
      <c r="E329">
        <f>'CALL SHEET'!$AF$329</f>
        <v/>
      </c>
      <c r="F329">
        <f>IF('CALL SHEET'!$V$329="","",'CALL SHEET'!$V$329)</f>
        <v/>
      </c>
      <c r="G329">
        <f>IF('CALL SHEET'!$D$329="","",'CALL SHEET'!$D$329)</f>
        <v/>
      </c>
      <c r="H329">
        <f>IF('CALL SHEET'!$G$329="","",'CALL SHEET'!$G$329)</f>
        <v/>
      </c>
      <c r="I329">
        <f>IF('CALL SHEET'!$AY$329="","",'CALL SHEET'!$AY$329)</f>
        <v/>
      </c>
      <c r="J329">
        <f>IF('CALL SHEET'!$BC$329="","",'CALL SHEET'!$BC$329)</f>
        <v/>
      </c>
      <c r="K329">
        <f>IF('CALL SHEET'!$N$329="","",'CALL SHEET'!$N$329)</f>
        <v/>
      </c>
      <c r="L329">
        <f>IF('CALL SHEET'!$AH$329="","",'CALL SHEET'!$AH$329)</f>
        <v/>
      </c>
      <c r="M329">
        <f>IF('CALL SHEET'!$AO$329="","",'CALL SHEET'!$AO$329)</f>
        <v/>
      </c>
      <c r="N329">
        <f>IF('CALL SHEET'!$BF$329="","",'CALL SHEET'!$BF$329)</f>
        <v/>
      </c>
      <c r="O329" t="inlineStr">
        <is>
          <t>TRADE</t>
        </is>
      </c>
      <c r="P329" t="inlineStr">
        <is>
          <t>CALL SHEET · row 329</t>
        </is>
      </c>
      <c r="Q329">
        <f>E329+ROW()*0.000000001</f>
        <v/>
      </c>
    </row>
    <row r="330">
      <c r="A330">
        <f>IF('CALL SHEET'!$A$330="","",'CALL SHEET'!$A$330)</f>
        <v/>
      </c>
      <c r="B330">
        <f>IF('CALL SHEET'!$C$330="","",'CALL SHEET'!$C$330)</f>
        <v/>
      </c>
      <c r="C330">
        <f>'CALL SHEET'!$U$330</f>
        <v/>
      </c>
      <c r="D330">
        <f>'CALL SHEET'!$AB$330</f>
        <v/>
      </c>
      <c r="E330">
        <f>'CALL SHEET'!$AF$330</f>
        <v/>
      </c>
      <c r="F330">
        <f>IF('CALL SHEET'!$V$330="","",'CALL SHEET'!$V$330)</f>
        <v/>
      </c>
      <c r="G330">
        <f>IF('CALL SHEET'!$D$330="","",'CALL SHEET'!$D$330)</f>
        <v/>
      </c>
      <c r="H330">
        <f>IF('CALL SHEET'!$G$330="","",'CALL SHEET'!$G$330)</f>
        <v/>
      </c>
      <c r="I330">
        <f>IF('CALL SHEET'!$AY$330="","",'CALL SHEET'!$AY$330)</f>
        <v/>
      </c>
      <c r="J330">
        <f>IF('CALL SHEET'!$BC$330="","",'CALL SHEET'!$BC$330)</f>
        <v/>
      </c>
      <c r="K330">
        <f>IF('CALL SHEET'!$N$330="","",'CALL SHEET'!$N$330)</f>
        <v/>
      </c>
      <c r="L330">
        <f>IF('CALL SHEET'!$AH$330="","",'CALL SHEET'!$AH$330)</f>
        <v/>
      </c>
      <c r="M330">
        <f>IF('CALL SHEET'!$AO$330="","",'CALL SHEET'!$AO$330)</f>
        <v/>
      </c>
      <c r="N330">
        <f>IF('CALL SHEET'!$BF$330="","",'CALL SHEET'!$BF$330)</f>
        <v/>
      </c>
      <c r="O330" t="inlineStr">
        <is>
          <t>TRADE</t>
        </is>
      </c>
      <c r="P330" t="inlineStr">
        <is>
          <t>CALL SHEET · row 330</t>
        </is>
      </c>
      <c r="Q330">
        <f>E330+ROW()*0.000000001</f>
        <v/>
      </c>
    </row>
    <row r="331">
      <c r="A331">
        <f>IF('CALL SHEET'!$A$331="","",'CALL SHEET'!$A$331)</f>
        <v/>
      </c>
      <c r="B331">
        <f>IF('CALL SHEET'!$C$331="","",'CALL SHEET'!$C$331)</f>
        <v/>
      </c>
      <c r="C331">
        <f>'CALL SHEET'!$U$331</f>
        <v/>
      </c>
      <c r="D331">
        <f>'CALL SHEET'!$AB$331</f>
        <v/>
      </c>
      <c r="E331">
        <f>'CALL SHEET'!$AF$331</f>
        <v/>
      </c>
      <c r="F331">
        <f>IF('CALL SHEET'!$V$331="","",'CALL SHEET'!$V$331)</f>
        <v/>
      </c>
      <c r="G331">
        <f>IF('CALL SHEET'!$D$331="","",'CALL SHEET'!$D$331)</f>
        <v/>
      </c>
      <c r="H331">
        <f>IF('CALL SHEET'!$G$331="","",'CALL SHEET'!$G$331)</f>
        <v/>
      </c>
      <c r="I331">
        <f>IF('CALL SHEET'!$AY$331="","",'CALL SHEET'!$AY$331)</f>
        <v/>
      </c>
      <c r="J331">
        <f>IF('CALL SHEET'!$BC$331="","",'CALL SHEET'!$BC$331)</f>
        <v/>
      </c>
      <c r="K331">
        <f>IF('CALL SHEET'!$N$331="","",'CALL SHEET'!$N$331)</f>
        <v/>
      </c>
      <c r="L331">
        <f>IF('CALL SHEET'!$AH$331="","",'CALL SHEET'!$AH$331)</f>
        <v/>
      </c>
      <c r="M331">
        <f>IF('CALL SHEET'!$AO$331="","",'CALL SHEET'!$AO$331)</f>
        <v/>
      </c>
      <c r="N331">
        <f>IF('CALL SHEET'!$BF$331="","",'CALL SHEET'!$BF$331)</f>
        <v/>
      </c>
      <c r="O331" t="inlineStr">
        <is>
          <t>TRADE</t>
        </is>
      </c>
      <c r="P331" t="inlineStr">
        <is>
          <t>CALL SHEET · row 331</t>
        </is>
      </c>
      <c r="Q331">
        <f>E331+ROW()*0.000000001</f>
        <v/>
      </c>
    </row>
    <row r="332">
      <c r="A332">
        <f>IF('CALL SHEET'!$A$332="","",'CALL SHEET'!$A$332)</f>
        <v/>
      </c>
      <c r="B332">
        <f>IF('CALL SHEET'!$C$332="","",'CALL SHEET'!$C$332)</f>
        <v/>
      </c>
      <c r="C332">
        <f>'CALL SHEET'!$U$332</f>
        <v/>
      </c>
      <c r="D332">
        <f>'CALL SHEET'!$AB$332</f>
        <v/>
      </c>
      <c r="E332">
        <f>'CALL SHEET'!$AF$332</f>
        <v/>
      </c>
      <c r="F332">
        <f>IF('CALL SHEET'!$V$332="","",'CALL SHEET'!$V$332)</f>
        <v/>
      </c>
      <c r="G332">
        <f>IF('CALL SHEET'!$D$332="","",'CALL SHEET'!$D$332)</f>
        <v/>
      </c>
      <c r="H332">
        <f>IF('CALL SHEET'!$G$332="","",'CALL SHEET'!$G$332)</f>
        <v/>
      </c>
      <c r="I332">
        <f>IF('CALL SHEET'!$AY$332="","",'CALL SHEET'!$AY$332)</f>
        <v/>
      </c>
      <c r="J332">
        <f>IF('CALL SHEET'!$BC$332="","",'CALL SHEET'!$BC$332)</f>
        <v/>
      </c>
      <c r="K332">
        <f>IF('CALL SHEET'!$N$332="","",'CALL SHEET'!$N$332)</f>
        <v/>
      </c>
      <c r="L332">
        <f>IF('CALL SHEET'!$AH$332="","",'CALL SHEET'!$AH$332)</f>
        <v/>
      </c>
      <c r="M332">
        <f>IF('CALL SHEET'!$AO$332="","",'CALL SHEET'!$AO$332)</f>
        <v/>
      </c>
      <c r="N332">
        <f>IF('CALL SHEET'!$BF$332="","",'CALL SHEET'!$BF$332)</f>
        <v/>
      </c>
      <c r="O332" t="inlineStr">
        <is>
          <t>TRADE</t>
        </is>
      </c>
      <c r="P332" t="inlineStr">
        <is>
          <t>CALL SHEET · row 332</t>
        </is>
      </c>
      <c r="Q332">
        <f>E332+ROW()*0.000000001</f>
        <v/>
      </c>
    </row>
    <row r="333">
      <c r="A333">
        <f>IF('CALL SHEET'!$A$333="","",'CALL SHEET'!$A$333)</f>
        <v/>
      </c>
      <c r="B333">
        <f>IF('CALL SHEET'!$C$333="","",'CALL SHEET'!$C$333)</f>
        <v/>
      </c>
      <c r="C333">
        <f>'CALL SHEET'!$U$333</f>
        <v/>
      </c>
      <c r="D333">
        <f>'CALL SHEET'!$AB$333</f>
        <v/>
      </c>
      <c r="E333">
        <f>'CALL SHEET'!$AF$333</f>
        <v/>
      </c>
      <c r="F333">
        <f>IF('CALL SHEET'!$V$333="","",'CALL SHEET'!$V$333)</f>
        <v/>
      </c>
      <c r="G333">
        <f>IF('CALL SHEET'!$D$333="","",'CALL SHEET'!$D$333)</f>
        <v/>
      </c>
      <c r="H333">
        <f>IF('CALL SHEET'!$G$333="","",'CALL SHEET'!$G$333)</f>
        <v/>
      </c>
      <c r="I333">
        <f>IF('CALL SHEET'!$AY$333="","",'CALL SHEET'!$AY$333)</f>
        <v/>
      </c>
      <c r="J333">
        <f>IF('CALL SHEET'!$BC$333="","",'CALL SHEET'!$BC$333)</f>
        <v/>
      </c>
      <c r="K333">
        <f>IF('CALL SHEET'!$N$333="","",'CALL SHEET'!$N$333)</f>
        <v/>
      </c>
      <c r="L333">
        <f>IF('CALL SHEET'!$AH$333="","",'CALL SHEET'!$AH$333)</f>
        <v/>
      </c>
      <c r="M333">
        <f>IF('CALL SHEET'!$AO$333="","",'CALL SHEET'!$AO$333)</f>
        <v/>
      </c>
      <c r="N333">
        <f>IF('CALL SHEET'!$BF$333="","",'CALL SHEET'!$BF$333)</f>
        <v/>
      </c>
      <c r="O333" t="inlineStr">
        <is>
          <t>TRADE</t>
        </is>
      </c>
      <c r="P333" t="inlineStr">
        <is>
          <t>CALL SHEET · row 333</t>
        </is>
      </c>
      <c r="Q333">
        <f>E333+ROW()*0.000000001</f>
        <v/>
      </c>
    </row>
    <row r="334">
      <c r="A334">
        <f>IF('CALL SHEET'!$A$334="","",'CALL SHEET'!$A$334)</f>
        <v/>
      </c>
      <c r="B334">
        <f>IF('CALL SHEET'!$C$334="","",'CALL SHEET'!$C$334)</f>
        <v/>
      </c>
      <c r="C334">
        <f>'CALL SHEET'!$U$334</f>
        <v/>
      </c>
      <c r="D334">
        <f>'CALL SHEET'!$AB$334</f>
        <v/>
      </c>
      <c r="E334">
        <f>'CALL SHEET'!$AF$334</f>
        <v/>
      </c>
      <c r="F334">
        <f>IF('CALL SHEET'!$V$334="","",'CALL SHEET'!$V$334)</f>
        <v/>
      </c>
      <c r="G334">
        <f>IF('CALL SHEET'!$D$334="","",'CALL SHEET'!$D$334)</f>
        <v/>
      </c>
      <c r="H334">
        <f>IF('CALL SHEET'!$G$334="","",'CALL SHEET'!$G$334)</f>
        <v/>
      </c>
      <c r="I334">
        <f>IF('CALL SHEET'!$AY$334="","",'CALL SHEET'!$AY$334)</f>
        <v/>
      </c>
      <c r="J334">
        <f>IF('CALL SHEET'!$BC$334="","",'CALL SHEET'!$BC$334)</f>
        <v/>
      </c>
      <c r="K334">
        <f>IF('CALL SHEET'!$N$334="","",'CALL SHEET'!$N$334)</f>
        <v/>
      </c>
      <c r="L334">
        <f>IF('CALL SHEET'!$AH$334="","",'CALL SHEET'!$AH$334)</f>
        <v/>
      </c>
      <c r="M334">
        <f>IF('CALL SHEET'!$AO$334="","",'CALL SHEET'!$AO$334)</f>
        <v/>
      </c>
      <c r="N334">
        <f>IF('CALL SHEET'!$BF$334="","",'CALL SHEET'!$BF$334)</f>
        <v/>
      </c>
      <c r="O334" t="inlineStr">
        <is>
          <t>TRADE</t>
        </is>
      </c>
      <c r="P334" t="inlineStr">
        <is>
          <t>CALL SHEET · row 334</t>
        </is>
      </c>
      <c r="Q334">
        <f>E334+ROW()*0.000000001</f>
        <v/>
      </c>
    </row>
    <row r="335">
      <c r="A335">
        <f>IF('CALL SHEET'!$A$335="","",'CALL SHEET'!$A$335)</f>
        <v/>
      </c>
      <c r="B335">
        <f>IF('CALL SHEET'!$C$335="","",'CALL SHEET'!$C$335)</f>
        <v/>
      </c>
      <c r="C335">
        <f>'CALL SHEET'!$U$335</f>
        <v/>
      </c>
      <c r="D335">
        <f>'CALL SHEET'!$AB$335</f>
        <v/>
      </c>
      <c r="E335">
        <f>'CALL SHEET'!$AF$335</f>
        <v/>
      </c>
      <c r="F335">
        <f>IF('CALL SHEET'!$V$335="","",'CALL SHEET'!$V$335)</f>
        <v/>
      </c>
      <c r="G335">
        <f>IF('CALL SHEET'!$D$335="","",'CALL SHEET'!$D$335)</f>
        <v/>
      </c>
      <c r="H335">
        <f>IF('CALL SHEET'!$G$335="","",'CALL SHEET'!$G$335)</f>
        <v/>
      </c>
      <c r="I335">
        <f>IF('CALL SHEET'!$AY$335="","",'CALL SHEET'!$AY$335)</f>
        <v/>
      </c>
      <c r="J335">
        <f>IF('CALL SHEET'!$BC$335="","",'CALL SHEET'!$BC$335)</f>
        <v/>
      </c>
      <c r="K335">
        <f>IF('CALL SHEET'!$N$335="","",'CALL SHEET'!$N$335)</f>
        <v/>
      </c>
      <c r="L335">
        <f>IF('CALL SHEET'!$AH$335="","",'CALL SHEET'!$AH$335)</f>
        <v/>
      </c>
      <c r="M335">
        <f>IF('CALL SHEET'!$AO$335="","",'CALL SHEET'!$AO$335)</f>
        <v/>
      </c>
      <c r="N335">
        <f>IF('CALL SHEET'!$BF$335="","",'CALL SHEET'!$BF$335)</f>
        <v/>
      </c>
      <c r="O335" t="inlineStr">
        <is>
          <t>TRADE</t>
        </is>
      </c>
      <c r="P335" t="inlineStr">
        <is>
          <t>CALL SHEET · row 335</t>
        </is>
      </c>
      <c r="Q335">
        <f>E335+ROW()*0.000000001</f>
        <v/>
      </c>
    </row>
    <row r="336">
      <c r="A336">
        <f>IF('CALL SHEET'!$A$336="","",'CALL SHEET'!$A$336)</f>
        <v/>
      </c>
      <c r="B336">
        <f>IF('CALL SHEET'!$C$336="","",'CALL SHEET'!$C$336)</f>
        <v/>
      </c>
      <c r="C336">
        <f>'CALL SHEET'!$U$336</f>
        <v/>
      </c>
      <c r="D336">
        <f>'CALL SHEET'!$AB$336</f>
        <v/>
      </c>
      <c r="E336">
        <f>'CALL SHEET'!$AF$336</f>
        <v/>
      </c>
      <c r="F336">
        <f>IF('CALL SHEET'!$V$336="","",'CALL SHEET'!$V$336)</f>
        <v/>
      </c>
      <c r="G336">
        <f>IF('CALL SHEET'!$D$336="","",'CALL SHEET'!$D$336)</f>
        <v/>
      </c>
      <c r="H336">
        <f>IF('CALL SHEET'!$G$336="","",'CALL SHEET'!$G$336)</f>
        <v/>
      </c>
      <c r="I336">
        <f>IF('CALL SHEET'!$AY$336="","",'CALL SHEET'!$AY$336)</f>
        <v/>
      </c>
      <c r="J336">
        <f>IF('CALL SHEET'!$BC$336="","",'CALL SHEET'!$BC$336)</f>
        <v/>
      </c>
      <c r="K336">
        <f>IF('CALL SHEET'!$N$336="","",'CALL SHEET'!$N$336)</f>
        <v/>
      </c>
      <c r="L336">
        <f>IF('CALL SHEET'!$AH$336="","",'CALL SHEET'!$AH$336)</f>
        <v/>
      </c>
      <c r="M336">
        <f>IF('CALL SHEET'!$AO$336="","",'CALL SHEET'!$AO$336)</f>
        <v/>
      </c>
      <c r="N336">
        <f>IF('CALL SHEET'!$BF$336="","",'CALL SHEET'!$BF$336)</f>
        <v/>
      </c>
      <c r="O336" t="inlineStr">
        <is>
          <t>TRADE</t>
        </is>
      </c>
      <c r="P336" t="inlineStr">
        <is>
          <t>CALL SHEET · row 336</t>
        </is>
      </c>
      <c r="Q336">
        <f>E336+ROW()*0.000000001</f>
        <v/>
      </c>
    </row>
    <row r="337">
      <c r="A337">
        <f>IF('CALL SHEET'!$A$337="","",'CALL SHEET'!$A$337)</f>
        <v/>
      </c>
      <c r="B337">
        <f>IF('CALL SHEET'!$C$337="","",'CALL SHEET'!$C$337)</f>
        <v/>
      </c>
      <c r="C337">
        <f>'CALL SHEET'!$U$337</f>
        <v/>
      </c>
      <c r="D337">
        <f>'CALL SHEET'!$AB$337</f>
        <v/>
      </c>
      <c r="E337">
        <f>'CALL SHEET'!$AF$337</f>
        <v/>
      </c>
      <c r="F337">
        <f>IF('CALL SHEET'!$V$337="","",'CALL SHEET'!$V$337)</f>
        <v/>
      </c>
      <c r="G337">
        <f>IF('CALL SHEET'!$D$337="","",'CALL SHEET'!$D$337)</f>
        <v/>
      </c>
      <c r="H337">
        <f>IF('CALL SHEET'!$G$337="","",'CALL SHEET'!$G$337)</f>
        <v/>
      </c>
      <c r="I337">
        <f>IF('CALL SHEET'!$AY$337="","",'CALL SHEET'!$AY$337)</f>
        <v/>
      </c>
      <c r="J337">
        <f>IF('CALL SHEET'!$BC$337="","",'CALL SHEET'!$BC$337)</f>
        <v/>
      </c>
      <c r="K337">
        <f>IF('CALL SHEET'!$N$337="","",'CALL SHEET'!$N$337)</f>
        <v/>
      </c>
      <c r="L337">
        <f>IF('CALL SHEET'!$AH$337="","",'CALL SHEET'!$AH$337)</f>
        <v/>
      </c>
      <c r="M337">
        <f>IF('CALL SHEET'!$AO$337="","",'CALL SHEET'!$AO$337)</f>
        <v/>
      </c>
      <c r="N337">
        <f>IF('CALL SHEET'!$BF$337="","",'CALL SHEET'!$BF$337)</f>
        <v/>
      </c>
      <c r="O337" t="inlineStr">
        <is>
          <t>TRADE</t>
        </is>
      </c>
      <c r="P337" t="inlineStr">
        <is>
          <t>CALL SHEET · row 337</t>
        </is>
      </c>
      <c r="Q337">
        <f>E337+ROW()*0.000000001</f>
        <v/>
      </c>
    </row>
    <row r="338">
      <c r="A338">
        <f>IF('CALL SHEET'!$A$338="","",'CALL SHEET'!$A$338)</f>
        <v/>
      </c>
      <c r="B338">
        <f>IF('CALL SHEET'!$C$338="","",'CALL SHEET'!$C$338)</f>
        <v/>
      </c>
      <c r="C338">
        <f>'CALL SHEET'!$U$338</f>
        <v/>
      </c>
      <c r="D338">
        <f>'CALL SHEET'!$AB$338</f>
        <v/>
      </c>
      <c r="E338">
        <f>'CALL SHEET'!$AF$338</f>
        <v/>
      </c>
      <c r="F338">
        <f>IF('CALL SHEET'!$V$338="","",'CALL SHEET'!$V$338)</f>
        <v/>
      </c>
      <c r="G338">
        <f>IF('CALL SHEET'!$D$338="","",'CALL SHEET'!$D$338)</f>
        <v/>
      </c>
      <c r="H338">
        <f>IF('CALL SHEET'!$G$338="","",'CALL SHEET'!$G$338)</f>
        <v/>
      </c>
      <c r="I338">
        <f>IF('CALL SHEET'!$AY$338="","",'CALL SHEET'!$AY$338)</f>
        <v/>
      </c>
      <c r="J338">
        <f>IF('CALL SHEET'!$BC$338="","",'CALL SHEET'!$BC$338)</f>
        <v/>
      </c>
      <c r="K338">
        <f>IF('CALL SHEET'!$N$338="","",'CALL SHEET'!$N$338)</f>
        <v/>
      </c>
      <c r="L338">
        <f>IF('CALL SHEET'!$AH$338="","",'CALL SHEET'!$AH$338)</f>
        <v/>
      </c>
      <c r="M338">
        <f>IF('CALL SHEET'!$AO$338="","",'CALL SHEET'!$AO$338)</f>
        <v/>
      </c>
      <c r="N338">
        <f>IF('CALL SHEET'!$BF$338="","",'CALL SHEET'!$BF$338)</f>
        <v/>
      </c>
      <c r="O338" t="inlineStr">
        <is>
          <t>TRADE</t>
        </is>
      </c>
      <c r="P338" t="inlineStr">
        <is>
          <t>CALL SHEET · row 338</t>
        </is>
      </c>
      <c r="Q338">
        <f>E338+ROW()*0.000000001</f>
        <v/>
      </c>
    </row>
    <row r="339">
      <c r="A339">
        <f>IF('CALL SHEET'!$A$339="","",'CALL SHEET'!$A$339)</f>
        <v/>
      </c>
      <c r="B339">
        <f>IF('CALL SHEET'!$C$339="","",'CALL SHEET'!$C$339)</f>
        <v/>
      </c>
      <c r="C339">
        <f>'CALL SHEET'!$U$339</f>
        <v/>
      </c>
      <c r="D339">
        <f>'CALL SHEET'!$AB$339</f>
        <v/>
      </c>
      <c r="E339">
        <f>'CALL SHEET'!$AF$339</f>
        <v/>
      </c>
      <c r="F339">
        <f>IF('CALL SHEET'!$V$339="","",'CALL SHEET'!$V$339)</f>
        <v/>
      </c>
      <c r="G339">
        <f>IF('CALL SHEET'!$D$339="","",'CALL SHEET'!$D$339)</f>
        <v/>
      </c>
      <c r="H339">
        <f>IF('CALL SHEET'!$G$339="","",'CALL SHEET'!$G$339)</f>
        <v/>
      </c>
      <c r="I339">
        <f>IF('CALL SHEET'!$AY$339="","",'CALL SHEET'!$AY$339)</f>
        <v/>
      </c>
      <c r="J339">
        <f>IF('CALL SHEET'!$BC$339="","",'CALL SHEET'!$BC$339)</f>
        <v/>
      </c>
      <c r="K339">
        <f>IF('CALL SHEET'!$N$339="","",'CALL SHEET'!$N$339)</f>
        <v/>
      </c>
      <c r="L339">
        <f>IF('CALL SHEET'!$AH$339="","",'CALL SHEET'!$AH$339)</f>
        <v/>
      </c>
      <c r="M339">
        <f>IF('CALL SHEET'!$AO$339="","",'CALL SHEET'!$AO$339)</f>
        <v/>
      </c>
      <c r="N339">
        <f>IF('CALL SHEET'!$BF$339="","",'CALL SHEET'!$BF$339)</f>
        <v/>
      </c>
      <c r="O339" t="inlineStr">
        <is>
          <t>TRADE</t>
        </is>
      </c>
      <c r="P339" t="inlineStr">
        <is>
          <t>CALL SHEET · row 339</t>
        </is>
      </c>
      <c r="Q339">
        <f>E339+ROW()*0.000000001</f>
        <v/>
      </c>
    </row>
    <row r="340">
      <c r="A340">
        <f>IF('CALL SHEET'!$A$340="","",'CALL SHEET'!$A$340)</f>
        <v/>
      </c>
      <c r="B340">
        <f>IF('CALL SHEET'!$C$340="","",'CALL SHEET'!$C$340)</f>
        <v/>
      </c>
      <c r="C340">
        <f>'CALL SHEET'!$U$340</f>
        <v/>
      </c>
      <c r="D340">
        <f>'CALL SHEET'!$AB$340</f>
        <v/>
      </c>
      <c r="E340">
        <f>'CALL SHEET'!$AF$340</f>
        <v/>
      </c>
      <c r="F340">
        <f>IF('CALL SHEET'!$V$340="","",'CALL SHEET'!$V$340)</f>
        <v/>
      </c>
      <c r="G340">
        <f>IF('CALL SHEET'!$D$340="","",'CALL SHEET'!$D$340)</f>
        <v/>
      </c>
      <c r="H340">
        <f>IF('CALL SHEET'!$G$340="","",'CALL SHEET'!$G$340)</f>
        <v/>
      </c>
      <c r="I340">
        <f>IF('CALL SHEET'!$AY$340="","",'CALL SHEET'!$AY$340)</f>
        <v/>
      </c>
      <c r="J340">
        <f>IF('CALL SHEET'!$BC$340="","",'CALL SHEET'!$BC$340)</f>
        <v/>
      </c>
      <c r="K340">
        <f>IF('CALL SHEET'!$N$340="","",'CALL SHEET'!$N$340)</f>
        <v/>
      </c>
      <c r="L340">
        <f>IF('CALL SHEET'!$AH$340="","",'CALL SHEET'!$AH$340)</f>
        <v/>
      </c>
      <c r="M340">
        <f>IF('CALL SHEET'!$AO$340="","",'CALL SHEET'!$AO$340)</f>
        <v/>
      </c>
      <c r="N340">
        <f>IF('CALL SHEET'!$BF$340="","",'CALL SHEET'!$BF$340)</f>
        <v/>
      </c>
      <c r="O340" t="inlineStr">
        <is>
          <t>TRADE</t>
        </is>
      </c>
      <c r="P340" t="inlineStr">
        <is>
          <t>CALL SHEET · row 340</t>
        </is>
      </c>
      <c r="Q340">
        <f>E340+ROW()*0.000000001</f>
        <v/>
      </c>
    </row>
    <row r="341">
      <c r="A341">
        <f>IF('CALL SHEET'!$A$341="","",'CALL SHEET'!$A$341)</f>
        <v/>
      </c>
      <c r="B341">
        <f>IF('CALL SHEET'!$C$341="","",'CALL SHEET'!$C$341)</f>
        <v/>
      </c>
      <c r="C341">
        <f>'CALL SHEET'!$U$341</f>
        <v/>
      </c>
      <c r="D341">
        <f>'CALL SHEET'!$AB$341</f>
        <v/>
      </c>
      <c r="E341">
        <f>'CALL SHEET'!$AF$341</f>
        <v/>
      </c>
      <c r="F341">
        <f>IF('CALL SHEET'!$V$341="","",'CALL SHEET'!$V$341)</f>
        <v/>
      </c>
      <c r="G341">
        <f>IF('CALL SHEET'!$D$341="","",'CALL SHEET'!$D$341)</f>
        <v/>
      </c>
      <c r="H341">
        <f>IF('CALL SHEET'!$G$341="","",'CALL SHEET'!$G$341)</f>
        <v/>
      </c>
      <c r="I341">
        <f>IF('CALL SHEET'!$AY$341="","",'CALL SHEET'!$AY$341)</f>
        <v/>
      </c>
      <c r="J341">
        <f>IF('CALL SHEET'!$BC$341="","",'CALL SHEET'!$BC$341)</f>
        <v/>
      </c>
      <c r="K341">
        <f>IF('CALL SHEET'!$N$341="","",'CALL SHEET'!$N$341)</f>
        <v/>
      </c>
      <c r="L341">
        <f>IF('CALL SHEET'!$AH$341="","",'CALL SHEET'!$AH$341)</f>
        <v/>
      </c>
      <c r="M341">
        <f>IF('CALL SHEET'!$AO$341="","",'CALL SHEET'!$AO$341)</f>
        <v/>
      </c>
      <c r="N341">
        <f>IF('CALL SHEET'!$BF$341="","",'CALL SHEET'!$BF$341)</f>
        <v/>
      </c>
      <c r="O341" t="inlineStr">
        <is>
          <t>TRADE</t>
        </is>
      </c>
      <c r="P341" t="inlineStr">
        <is>
          <t>CALL SHEET · row 341</t>
        </is>
      </c>
      <c r="Q341">
        <f>E341+ROW()*0.000000001</f>
        <v/>
      </c>
    </row>
    <row r="342">
      <c r="A342">
        <f>IF('CALL SHEET'!$A$342="","",'CALL SHEET'!$A$342)</f>
        <v/>
      </c>
      <c r="B342">
        <f>IF('CALL SHEET'!$C$342="","",'CALL SHEET'!$C$342)</f>
        <v/>
      </c>
      <c r="C342">
        <f>'CALL SHEET'!$U$342</f>
        <v/>
      </c>
      <c r="D342">
        <f>'CALL SHEET'!$AB$342</f>
        <v/>
      </c>
      <c r="E342">
        <f>'CALL SHEET'!$AF$342</f>
        <v/>
      </c>
      <c r="F342">
        <f>IF('CALL SHEET'!$V$342="","",'CALL SHEET'!$V$342)</f>
        <v/>
      </c>
      <c r="G342">
        <f>IF('CALL SHEET'!$D$342="","",'CALL SHEET'!$D$342)</f>
        <v/>
      </c>
      <c r="H342">
        <f>IF('CALL SHEET'!$G$342="","",'CALL SHEET'!$G$342)</f>
        <v/>
      </c>
      <c r="I342">
        <f>IF('CALL SHEET'!$AY$342="","",'CALL SHEET'!$AY$342)</f>
        <v/>
      </c>
      <c r="J342">
        <f>IF('CALL SHEET'!$BC$342="","",'CALL SHEET'!$BC$342)</f>
        <v/>
      </c>
      <c r="K342">
        <f>IF('CALL SHEET'!$N$342="","",'CALL SHEET'!$N$342)</f>
        <v/>
      </c>
      <c r="L342">
        <f>IF('CALL SHEET'!$AH$342="","",'CALL SHEET'!$AH$342)</f>
        <v/>
      </c>
      <c r="M342">
        <f>IF('CALL SHEET'!$AO$342="","",'CALL SHEET'!$AO$342)</f>
        <v/>
      </c>
      <c r="N342">
        <f>IF('CALL SHEET'!$BF$342="","",'CALL SHEET'!$BF$342)</f>
        <v/>
      </c>
      <c r="O342" t="inlineStr">
        <is>
          <t>TRADE</t>
        </is>
      </c>
      <c r="P342" t="inlineStr">
        <is>
          <t>CALL SHEET · row 342</t>
        </is>
      </c>
      <c r="Q342">
        <f>E342+ROW()*0.000000001</f>
        <v/>
      </c>
    </row>
    <row r="343">
      <c r="A343">
        <f>IF('CALL SHEET'!$A$343="","",'CALL SHEET'!$A$343)</f>
        <v/>
      </c>
      <c r="B343">
        <f>IF('CALL SHEET'!$C$343="","",'CALL SHEET'!$C$343)</f>
        <v/>
      </c>
      <c r="C343">
        <f>'CALL SHEET'!$U$343</f>
        <v/>
      </c>
      <c r="D343">
        <f>'CALL SHEET'!$AB$343</f>
        <v/>
      </c>
      <c r="E343">
        <f>'CALL SHEET'!$AF$343</f>
        <v/>
      </c>
      <c r="F343">
        <f>IF('CALL SHEET'!$V$343="","",'CALL SHEET'!$V$343)</f>
        <v/>
      </c>
      <c r="G343">
        <f>IF('CALL SHEET'!$D$343="","",'CALL SHEET'!$D$343)</f>
        <v/>
      </c>
      <c r="H343">
        <f>IF('CALL SHEET'!$G$343="","",'CALL SHEET'!$G$343)</f>
        <v/>
      </c>
      <c r="I343">
        <f>IF('CALL SHEET'!$AY$343="","",'CALL SHEET'!$AY$343)</f>
        <v/>
      </c>
      <c r="J343">
        <f>IF('CALL SHEET'!$BC$343="","",'CALL SHEET'!$BC$343)</f>
        <v/>
      </c>
      <c r="K343">
        <f>IF('CALL SHEET'!$N$343="","",'CALL SHEET'!$N$343)</f>
        <v/>
      </c>
      <c r="L343">
        <f>IF('CALL SHEET'!$AH$343="","",'CALL SHEET'!$AH$343)</f>
        <v/>
      </c>
      <c r="M343">
        <f>IF('CALL SHEET'!$AO$343="","",'CALL SHEET'!$AO$343)</f>
        <v/>
      </c>
      <c r="N343">
        <f>IF('CALL SHEET'!$BF$343="","",'CALL SHEET'!$BF$343)</f>
        <v/>
      </c>
      <c r="O343" t="inlineStr">
        <is>
          <t>TRADE</t>
        </is>
      </c>
      <c r="P343" t="inlineStr">
        <is>
          <t>CALL SHEET · row 343</t>
        </is>
      </c>
      <c r="Q343">
        <f>E343+ROW()*0.000000001</f>
        <v/>
      </c>
    </row>
    <row r="344">
      <c r="A344">
        <f>IF('CALL SHEET'!$A$344="","",'CALL SHEET'!$A$344)</f>
        <v/>
      </c>
      <c r="B344">
        <f>IF('CALL SHEET'!$C$344="","",'CALL SHEET'!$C$344)</f>
        <v/>
      </c>
      <c r="C344">
        <f>'CALL SHEET'!$U$344</f>
        <v/>
      </c>
      <c r="D344">
        <f>'CALL SHEET'!$AB$344</f>
        <v/>
      </c>
      <c r="E344">
        <f>'CALL SHEET'!$AF$344</f>
        <v/>
      </c>
      <c r="F344">
        <f>IF('CALL SHEET'!$V$344="","",'CALL SHEET'!$V$344)</f>
        <v/>
      </c>
      <c r="G344">
        <f>IF('CALL SHEET'!$D$344="","",'CALL SHEET'!$D$344)</f>
        <v/>
      </c>
      <c r="H344">
        <f>IF('CALL SHEET'!$G$344="","",'CALL SHEET'!$G$344)</f>
        <v/>
      </c>
      <c r="I344">
        <f>IF('CALL SHEET'!$AY$344="","",'CALL SHEET'!$AY$344)</f>
        <v/>
      </c>
      <c r="J344">
        <f>IF('CALL SHEET'!$BC$344="","",'CALL SHEET'!$BC$344)</f>
        <v/>
      </c>
      <c r="K344">
        <f>IF('CALL SHEET'!$N$344="","",'CALL SHEET'!$N$344)</f>
        <v/>
      </c>
      <c r="L344">
        <f>IF('CALL SHEET'!$AH$344="","",'CALL SHEET'!$AH$344)</f>
        <v/>
      </c>
      <c r="M344">
        <f>IF('CALL SHEET'!$AO$344="","",'CALL SHEET'!$AO$344)</f>
        <v/>
      </c>
      <c r="N344">
        <f>IF('CALL SHEET'!$BF$344="","",'CALL SHEET'!$BF$344)</f>
        <v/>
      </c>
      <c r="O344" t="inlineStr">
        <is>
          <t>TRADE</t>
        </is>
      </c>
      <c r="P344" t="inlineStr">
        <is>
          <t>CALL SHEET · row 344</t>
        </is>
      </c>
      <c r="Q344">
        <f>E344+ROW()*0.000000001</f>
        <v/>
      </c>
    </row>
    <row r="345">
      <c r="A345">
        <f>IF('CALL SHEET'!$A$345="","",'CALL SHEET'!$A$345)</f>
        <v/>
      </c>
      <c r="B345">
        <f>IF('CALL SHEET'!$C$345="","",'CALL SHEET'!$C$345)</f>
        <v/>
      </c>
      <c r="C345">
        <f>'CALL SHEET'!$U$345</f>
        <v/>
      </c>
      <c r="D345">
        <f>'CALL SHEET'!$AB$345</f>
        <v/>
      </c>
      <c r="E345">
        <f>'CALL SHEET'!$AF$345</f>
        <v/>
      </c>
      <c r="F345">
        <f>IF('CALL SHEET'!$V$345="","",'CALL SHEET'!$V$345)</f>
        <v/>
      </c>
      <c r="G345">
        <f>IF('CALL SHEET'!$D$345="","",'CALL SHEET'!$D$345)</f>
        <v/>
      </c>
      <c r="H345">
        <f>IF('CALL SHEET'!$G$345="","",'CALL SHEET'!$G$345)</f>
        <v/>
      </c>
      <c r="I345">
        <f>IF('CALL SHEET'!$AY$345="","",'CALL SHEET'!$AY$345)</f>
        <v/>
      </c>
      <c r="J345">
        <f>IF('CALL SHEET'!$BC$345="","",'CALL SHEET'!$BC$345)</f>
        <v/>
      </c>
      <c r="K345">
        <f>IF('CALL SHEET'!$N$345="","",'CALL SHEET'!$N$345)</f>
        <v/>
      </c>
      <c r="L345">
        <f>IF('CALL SHEET'!$AH$345="","",'CALL SHEET'!$AH$345)</f>
        <v/>
      </c>
      <c r="M345">
        <f>IF('CALL SHEET'!$AO$345="","",'CALL SHEET'!$AO$345)</f>
        <v/>
      </c>
      <c r="N345">
        <f>IF('CALL SHEET'!$BF$345="","",'CALL SHEET'!$BF$345)</f>
        <v/>
      </c>
      <c r="O345" t="inlineStr">
        <is>
          <t>TRADE</t>
        </is>
      </c>
      <c r="P345" t="inlineStr">
        <is>
          <t>CALL SHEET · row 345</t>
        </is>
      </c>
      <c r="Q345">
        <f>E345+ROW()*0.000000001</f>
        <v/>
      </c>
    </row>
    <row r="346">
      <c r="A346">
        <f>IF('CALL SHEET'!$A$346="","",'CALL SHEET'!$A$346)</f>
        <v/>
      </c>
      <c r="B346">
        <f>IF('CALL SHEET'!$C$346="","",'CALL SHEET'!$C$346)</f>
        <v/>
      </c>
      <c r="C346">
        <f>'CALL SHEET'!$U$346</f>
        <v/>
      </c>
      <c r="D346">
        <f>'CALL SHEET'!$AB$346</f>
        <v/>
      </c>
      <c r="E346">
        <f>'CALL SHEET'!$AF$346</f>
        <v/>
      </c>
      <c r="F346">
        <f>IF('CALL SHEET'!$V$346="","",'CALL SHEET'!$V$346)</f>
        <v/>
      </c>
      <c r="G346">
        <f>IF('CALL SHEET'!$D$346="","",'CALL SHEET'!$D$346)</f>
        <v/>
      </c>
      <c r="H346">
        <f>IF('CALL SHEET'!$G$346="","",'CALL SHEET'!$G$346)</f>
        <v/>
      </c>
      <c r="I346">
        <f>IF('CALL SHEET'!$AY$346="","",'CALL SHEET'!$AY$346)</f>
        <v/>
      </c>
      <c r="J346">
        <f>IF('CALL SHEET'!$BC$346="","",'CALL SHEET'!$BC$346)</f>
        <v/>
      </c>
      <c r="K346">
        <f>IF('CALL SHEET'!$N$346="","",'CALL SHEET'!$N$346)</f>
        <v/>
      </c>
      <c r="L346">
        <f>IF('CALL SHEET'!$AH$346="","",'CALL SHEET'!$AH$346)</f>
        <v/>
      </c>
      <c r="M346">
        <f>IF('CALL SHEET'!$AO$346="","",'CALL SHEET'!$AO$346)</f>
        <v/>
      </c>
      <c r="N346">
        <f>IF('CALL SHEET'!$BF$346="","",'CALL SHEET'!$BF$346)</f>
        <v/>
      </c>
      <c r="O346" t="inlineStr">
        <is>
          <t>TRADE</t>
        </is>
      </c>
      <c r="P346" t="inlineStr">
        <is>
          <t>CALL SHEET · row 346</t>
        </is>
      </c>
      <c r="Q346">
        <f>E346+ROW()*0.000000001</f>
        <v/>
      </c>
    </row>
    <row r="347">
      <c r="A347">
        <f>IF('CALL SHEET'!$A$347="","",'CALL SHEET'!$A$347)</f>
        <v/>
      </c>
      <c r="B347">
        <f>IF('CALL SHEET'!$C$347="","",'CALL SHEET'!$C$347)</f>
        <v/>
      </c>
      <c r="C347">
        <f>'CALL SHEET'!$U$347</f>
        <v/>
      </c>
      <c r="D347">
        <f>'CALL SHEET'!$AB$347</f>
        <v/>
      </c>
      <c r="E347">
        <f>'CALL SHEET'!$AF$347</f>
        <v/>
      </c>
      <c r="F347">
        <f>IF('CALL SHEET'!$V$347="","",'CALL SHEET'!$V$347)</f>
        <v/>
      </c>
      <c r="G347">
        <f>IF('CALL SHEET'!$D$347="","",'CALL SHEET'!$D$347)</f>
        <v/>
      </c>
      <c r="H347">
        <f>IF('CALL SHEET'!$G$347="","",'CALL SHEET'!$G$347)</f>
        <v/>
      </c>
      <c r="I347">
        <f>IF('CALL SHEET'!$AY$347="","",'CALL SHEET'!$AY$347)</f>
        <v/>
      </c>
      <c r="J347">
        <f>IF('CALL SHEET'!$BC$347="","",'CALL SHEET'!$BC$347)</f>
        <v/>
      </c>
      <c r="K347">
        <f>IF('CALL SHEET'!$N$347="","",'CALL SHEET'!$N$347)</f>
        <v/>
      </c>
      <c r="L347">
        <f>IF('CALL SHEET'!$AH$347="","",'CALL SHEET'!$AH$347)</f>
        <v/>
      </c>
      <c r="M347">
        <f>IF('CALL SHEET'!$AO$347="","",'CALL SHEET'!$AO$347)</f>
        <v/>
      </c>
      <c r="N347">
        <f>IF('CALL SHEET'!$BF$347="","",'CALL SHEET'!$BF$347)</f>
        <v/>
      </c>
      <c r="O347" t="inlineStr">
        <is>
          <t>TRADE</t>
        </is>
      </c>
      <c r="P347" t="inlineStr">
        <is>
          <t>CALL SHEET · row 347</t>
        </is>
      </c>
      <c r="Q347">
        <f>E347+ROW()*0.000000001</f>
        <v/>
      </c>
    </row>
    <row r="348">
      <c r="A348">
        <f>IF('CALL SHEET'!$A$348="","",'CALL SHEET'!$A$348)</f>
        <v/>
      </c>
      <c r="B348">
        <f>IF('CALL SHEET'!$C$348="","",'CALL SHEET'!$C$348)</f>
        <v/>
      </c>
      <c r="C348">
        <f>'CALL SHEET'!$U$348</f>
        <v/>
      </c>
      <c r="D348">
        <f>'CALL SHEET'!$AB$348</f>
        <v/>
      </c>
      <c r="E348">
        <f>'CALL SHEET'!$AF$348</f>
        <v/>
      </c>
      <c r="F348">
        <f>IF('CALL SHEET'!$V$348="","",'CALL SHEET'!$V$348)</f>
        <v/>
      </c>
      <c r="G348">
        <f>IF('CALL SHEET'!$D$348="","",'CALL SHEET'!$D$348)</f>
        <v/>
      </c>
      <c r="H348">
        <f>IF('CALL SHEET'!$G$348="","",'CALL SHEET'!$G$348)</f>
        <v/>
      </c>
      <c r="I348">
        <f>IF('CALL SHEET'!$AY$348="","",'CALL SHEET'!$AY$348)</f>
        <v/>
      </c>
      <c r="J348">
        <f>IF('CALL SHEET'!$BC$348="","",'CALL SHEET'!$BC$348)</f>
        <v/>
      </c>
      <c r="K348">
        <f>IF('CALL SHEET'!$N$348="","",'CALL SHEET'!$N$348)</f>
        <v/>
      </c>
      <c r="L348">
        <f>IF('CALL SHEET'!$AH$348="","",'CALL SHEET'!$AH$348)</f>
        <v/>
      </c>
      <c r="M348">
        <f>IF('CALL SHEET'!$AO$348="","",'CALL SHEET'!$AO$348)</f>
        <v/>
      </c>
      <c r="N348">
        <f>IF('CALL SHEET'!$BF$348="","",'CALL SHEET'!$BF$348)</f>
        <v/>
      </c>
      <c r="O348" t="inlineStr">
        <is>
          <t>TRADE</t>
        </is>
      </c>
      <c r="P348" t="inlineStr">
        <is>
          <t>CALL SHEET · row 348</t>
        </is>
      </c>
      <c r="Q348">
        <f>E348+ROW()*0.000000001</f>
        <v/>
      </c>
    </row>
    <row r="349">
      <c r="A349">
        <f>IF('CALL SHEET'!$A$349="","",'CALL SHEET'!$A$349)</f>
        <v/>
      </c>
      <c r="B349">
        <f>IF('CALL SHEET'!$C$349="","",'CALL SHEET'!$C$349)</f>
        <v/>
      </c>
      <c r="C349">
        <f>'CALL SHEET'!$U$349</f>
        <v/>
      </c>
      <c r="D349">
        <f>'CALL SHEET'!$AB$349</f>
        <v/>
      </c>
      <c r="E349">
        <f>'CALL SHEET'!$AF$349</f>
        <v/>
      </c>
      <c r="F349">
        <f>IF('CALL SHEET'!$V$349="","",'CALL SHEET'!$V$349)</f>
        <v/>
      </c>
      <c r="G349">
        <f>IF('CALL SHEET'!$D$349="","",'CALL SHEET'!$D$349)</f>
        <v/>
      </c>
      <c r="H349">
        <f>IF('CALL SHEET'!$G$349="","",'CALL SHEET'!$G$349)</f>
        <v/>
      </c>
      <c r="I349">
        <f>IF('CALL SHEET'!$AY$349="","",'CALL SHEET'!$AY$349)</f>
        <v/>
      </c>
      <c r="J349">
        <f>IF('CALL SHEET'!$BC$349="","",'CALL SHEET'!$BC$349)</f>
        <v/>
      </c>
      <c r="K349">
        <f>IF('CALL SHEET'!$N$349="","",'CALL SHEET'!$N$349)</f>
        <v/>
      </c>
      <c r="L349">
        <f>IF('CALL SHEET'!$AH$349="","",'CALL SHEET'!$AH$349)</f>
        <v/>
      </c>
      <c r="M349">
        <f>IF('CALL SHEET'!$AO$349="","",'CALL SHEET'!$AO$349)</f>
        <v/>
      </c>
      <c r="N349">
        <f>IF('CALL SHEET'!$BF$349="","",'CALL SHEET'!$BF$349)</f>
        <v/>
      </c>
      <c r="O349" t="inlineStr">
        <is>
          <t>TRADE</t>
        </is>
      </c>
      <c r="P349" t="inlineStr">
        <is>
          <t>CALL SHEET · row 349</t>
        </is>
      </c>
      <c r="Q349">
        <f>E349+ROW()*0.000000001</f>
        <v/>
      </c>
    </row>
    <row r="350">
      <c r="A350">
        <f>IF('CALL SHEET'!$A$350="","",'CALL SHEET'!$A$350)</f>
        <v/>
      </c>
      <c r="B350">
        <f>IF('CALL SHEET'!$C$350="","",'CALL SHEET'!$C$350)</f>
        <v/>
      </c>
      <c r="C350">
        <f>'CALL SHEET'!$U$350</f>
        <v/>
      </c>
      <c r="D350">
        <f>'CALL SHEET'!$AB$350</f>
        <v/>
      </c>
      <c r="E350">
        <f>'CALL SHEET'!$AF$350</f>
        <v/>
      </c>
      <c r="F350">
        <f>IF('CALL SHEET'!$V$350="","",'CALL SHEET'!$V$350)</f>
        <v/>
      </c>
      <c r="G350">
        <f>IF('CALL SHEET'!$D$350="","",'CALL SHEET'!$D$350)</f>
        <v/>
      </c>
      <c r="H350">
        <f>IF('CALL SHEET'!$G$350="","",'CALL SHEET'!$G$350)</f>
        <v/>
      </c>
      <c r="I350">
        <f>IF('CALL SHEET'!$AY$350="","",'CALL SHEET'!$AY$350)</f>
        <v/>
      </c>
      <c r="J350">
        <f>IF('CALL SHEET'!$BC$350="","",'CALL SHEET'!$BC$350)</f>
        <v/>
      </c>
      <c r="K350">
        <f>IF('CALL SHEET'!$N$350="","",'CALL SHEET'!$N$350)</f>
        <v/>
      </c>
      <c r="L350">
        <f>IF('CALL SHEET'!$AH$350="","",'CALL SHEET'!$AH$350)</f>
        <v/>
      </c>
      <c r="M350">
        <f>IF('CALL SHEET'!$AO$350="","",'CALL SHEET'!$AO$350)</f>
        <v/>
      </c>
      <c r="N350">
        <f>IF('CALL SHEET'!$BF$350="","",'CALL SHEET'!$BF$350)</f>
        <v/>
      </c>
      <c r="O350" t="inlineStr">
        <is>
          <t>TRADE</t>
        </is>
      </c>
      <c r="P350" t="inlineStr">
        <is>
          <t>CALL SHEET · row 350</t>
        </is>
      </c>
      <c r="Q350">
        <f>E350+ROW()*0.000000001</f>
        <v/>
      </c>
    </row>
    <row r="351">
      <c r="A351">
        <f>IF('CALL SHEET'!$A$351="","",'CALL SHEET'!$A$351)</f>
        <v/>
      </c>
      <c r="B351">
        <f>IF('CALL SHEET'!$C$351="","",'CALL SHEET'!$C$351)</f>
        <v/>
      </c>
      <c r="C351">
        <f>'CALL SHEET'!$U$351</f>
        <v/>
      </c>
      <c r="D351">
        <f>'CALL SHEET'!$AB$351</f>
        <v/>
      </c>
      <c r="E351">
        <f>'CALL SHEET'!$AF$351</f>
        <v/>
      </c>
      <c r="F351">
        <f>IF('CALL SHEET'!$V$351="","",'CALL SHEET'!$V$351)</f>
        <v/>
      </c>
      <c r="G351">
        <f>IF('CALL SHEET'!$D$351="","",'CALL SHEET'!$D$351)</f>
        <v/>
      </c>
      <c r="H351">
        <f>IF('CALL SHEET'!$G$351="","",'CALL SHEET'!$G$351)</f>
        <v/>
      </c>
      <c r="I351">
        <f>IF('CALL SHEET'!$AY$351="","",'CALL SHEET'!$AY$351)</f>
        <v/>
      </c>
      <c r="J351">
        <f>IF('CALL SHEET'!$BC$351="","",'CALL SHEET'!$BC$351)</f>
        <v/>
      </c>
      <c r="K351">
        <f>IF('CALL SHEET'!$N$351="","",'CALL SHEET'!$N$351)</f>
        <v/>
      </c>
      <c r="L351">
        <f>IF('CALL SHEET'!$AH$351="","",'CALL SHEET'!$AH$351)</f>
        <v/>
      </c>
      <c r="M351">
        <f>IF('CALL SHEET'!$AO$351="","",'CALL SHEET'!$AO$351)</f>
        <v/>
      </c>
      <c r="N351">
        <f>IF('CALL SHEET'!$BF$351="","",'CALL SHEET'!$BF$351)</f>
        <v/>
      </c>
      <c r="O351" t="inlineStr">
        <is>
          <t>TRADE</t>
        </is>
      </c>
      <c r="P351" t="inlineStr">
        <is>
          <t>CALL SHEET · row 351</t>
        </is>
      </c>
      <c r="Q351">
        <f>E351+ROW()*0.000000001</f>
        <v/>
      </c>
    </row>
    <row r="352">
      <c r="A352">
        <f>IF('CALL SHEET'!$A$352="","",'CALL SHEET'!$A$352)</f>
        <v/>
      </c>
      <c r="B352">
        <f>IF('CALL SHEET'!$C$352="","",'CALL SHEET'!$C$352)</f>
        <v/>
      </c>
      <c r="C352">
        <f>'CALL SHEET'!$U$352</f>
        <v/>
      </c>
      <c r="D352">
        <f>'CALL SHEET'!$AB$352</f>
        <v/>
      </c>
      <c r="E352">
        <f>'CALL SHEET'!$AF$352</f>
        <v/>
      </c>
      <c r="F352">
        <f>IF('CALL SHEET'!$V$352="","",'CALL SHEET'!$V$352)</f>
        <v/>
      </c>
      <c r="G352">
        <f>IF('CALL SHEET'!$D$352="","",'CALL SHEET'!$D$352)</f>
        <v/>
      </c>
      <c r="H352">
        <f>IF('CALL SHEET'!$G$352="","",'CALL SHEET'!$G$352)</f>
        <v/>
      </c>
      <c r="I352">
        <f>IF('CALL SHEET'!$AY$352="","",'CALL SHEET'!$AY$352)</f>
        <v/>
      </c>
      <c r="J352">
        <f>IF('CALL SHEET'!$BC$352="","",'CALL SHEET'!$BC$352)</f>
        <v/>
      </c>
      <c r="K352">
        <f>IF('CALL SHEET'!$N$352="","",'CALL SHEET'!$N$352)</f>
        <v/>
      </c>
      <c r="L352">
        <f>IF('CALL SHEET'!$AH$352="","",'CALL SHEET'!$AH$352)</f>
        <v/>
      </c>
      <c r="M352">
        <f>IF('CALL SHEET'!$AO$352="","",'CALL SHEET'!$AO$352)</f>
        <v/>
      </c>
      <c r="N352">
        <f>IF('CALL SHEET'!$BF$352="","",'CALL SHEET'!$BF$352)</f>
        <v/>
      </c>
      <c r="O352" t="inlineStr">
        <is>
          <t>TRADE</t>
        </is>
      </c>
      <c r="P352" t="inlineStr">
        <is>
          <t>CALL SHEET · row 352</t>
        </is>
      </c>
      <c r="Q352">
        <f>E352+ROW()*0.000000001</f>
        <v/>
      </c>
    </row>
    <row r="353">
      <c r="A353">
        <f>IF('CALL SHEET'!$A$353="","",'CALL SHEET'!$A$353)</f>
        <v/>
      </c>
      <c r="B353">
        <f>IF('CALL SHEET'!$C$353="","",'CALL SHEET'!$C$353)</f>
        <v/>
      </c>
      <c r="C353">
        <f>'CALL SHEET'!$U$353</f>
        <v/>
      </c>
      <c r="D353">
        <f>'CALL SHEET'!$AB$353</f>
        <v/>
      </c>
      <c r="E353">
        <f>'CALL SHEET'!$AF$353</f>
        <v/>
      </c>
      <c r="F353">
        <f>IF('CALL SHEET'!$V$353="","",'CALL SHEET'!$V$353)</f>
        <v/>
      </c>
      <c r="G353">
        <f>IF('CALL SHEET'!$D$353="","",'CALL SHEET'!$D$353)</f>
        <v/>
      </c>
      <c r="H353">
        <f>IF('CALL SHEET'!$G$353="","",'CALL SHEET'!$G$353)</f>
        <v/>
      </c>
      <c r="I353">
        <f>IF('CALL SHEET'!$AY$353="","",'CALL SHEET'!$AY$353)</f>
        <v/>
      </c>
      <c r="J353">
        <f>IF('CALL SHEET'!$BC$353="","",'CALL SHEET'!$BC$353)</f>
        <v/>
      </c>
      <c r="K353">
        <f>IF('CALL SHEET'!$N$353="","",'CALL SHEET'!$N$353)</f>
        <v/>
      </c>
      <c r="L353">
        <f>IF('CALL SHEET'!$AH$353="","",'CALL SHEET'!$AH$353)</f>
        <v/>
      </c>
      <c r="M353">
        <f>IF('CALL SHEET'!$AO$353="","",'CALL SHEET'!$AO$353)</f>
        <v/>
      </c>
      <c r="N353">
        <f>IF('CALL SHEET'!$BF$353="","",'CALL SHEET'!$BF$353)</f>
        <v/>
      </c>
      <c r="O353" t="inlineStr">
        <is>
          <t>TRADE</t>
        </is>
      </c>
      <c r="P353" t="inlineStr">
        <is>
          <t>CALL SHEET · row 353</t>
        </is>
      </c>
      <c r="Q353">
        <f>E353+ROW()*0.000000001</f>
        <v/>
      </c>
    </row>
    <row r="354">
      <c r="A354">
        <f>IF('CALL SHEET'!$A$354="","",'CALL SHEET'!$A$354)</f>
        <v/>
      </c>
      <c r="B354">
        <f>IF('CALL SHEET'!$C$354="","",'CALL SHEET'!$C$354)</f>
        <v/>
      </c>
      <c r="C354">
        <f>'CALL SHEET'!$U$354</f>
        <v/>
      </c>
      <c r="D354">
        <f>'CALL SHEET'!$AB$354</f>
        <v/>
      </c>
      <c r="E354">
        <f>'CALL SHEET'!$AF$354</f>
        <v/>
      </c>
      <c r="F354">
        <f>IF('CALL SHEET'!$V$354="","",'CALL SHEET'!$V$354)</f>
        <v/>
      </c>
      <c r="G354">
        <f>IF('CALL SHEET'!$D$354="","",'CALL SHEET'!$D$354)</f>
        <v/>
      </c>
      <c r="H354">
        <f>IF('CALL SHEET'!$G$354="","",'CALL SHEET'!$G$354)</f>
        <v/>
      </c>
      <c r="I354">
        <f>IF('CALL SHEET'!$AY$354="","",'CALL SHEET'!$AY$354)</f>
        <v/>
      </c>
      <c r="J354">
        <f>IF('CALL SHEET'!$BC$354="","",'CALL SHEET'!$BC$354)</f>
        <v/>
      </c>
      <c r="K354">
        <f>IF('CALL SHEET'!$N$354="","",'CALL SHEET'!$N$354)</f>
        <v/>
      </c>
      <c r="L354">
        <f>IF('CALL SHEET'!$AH$354="","",'CALL SHEET'!$AH$354)</f>
        <v/>
      </c>
      <c r="M354">
        <f>IF('CALL SHEET'!$AO$354="","",'CALL SHEET'!$AO$354)</f>
        <v/>
      </c>
      <c r="N354">
        <f>IF('CALL SHEET'!$BF$354="","",'CALL SHEET'!$BF$354)</f>
        <v/>
      </c>
      <c r="O354" t="inlineStr">
        <is>
          <t>TRADE</t>
        </is>
      </c>
      <c r="P354" t="inlineStr">
        <is>
          <t>CALL SHEET · row 354</t>
        </is>
      </c>
      <c r="Q354">
        <f>E354+ROW()*0.000000001</f>
        <v/>
      </c>
    </row>
    <row r="355">
      <c r="A355">
        <f>IF('CALL SHEET'!$A$355="","",'CALL SHEET'!$A$355)</f>
        <v/>
      </c>
      <c r="B355">
        <f>IF('CALL SHEET'!$C$355="","",'CALL SHEET'!$C$355)</f>
        <v/>
      </c>
      <c r="C355">
        <f>'CALL SHEET'!$U$355</f>
        <v/>
      </c>
      <c r="D355">
        <f>'CALL SHEET'!$AB$355</f>
        <v/>
      </c>
      <c r="E355">
        <f>'CALL SHEET'!$AF$355</f>
        <v/>
      </c>
      <c r="F355">
        <f>IF('CALL SHEET'!$V$355="","",'CALL SHEET'!$V$355)</f>
        <v/>
      </c>
      <c r="G355">
        <f>IF('CALL SHEET'!$D$355="","",'CALL SHEET'!$D$355)</f>
        <v/>
      </c>
      <c r="H355">
        <f>IF('CALL SHEET'!$G$355="","",'CALL SHEET'!$G$355)</f>
        <v/>
      </c>
      <c r="I355">
        <f>IF('CALL SHEET'!$AY$355="","",'CALL SHEET'!$AY$355)</f>
        <v/>
      </c>
      <c r="J355">
        <f>IF('CALL SHEET'!$BC$355="","",'CALL SHEET'!$BC$355)</f>
        <v/>
      </c>
      <c r="K355">
        <f>IF('CALL SHEET'!$N$355="","",'CALL SHEET'!$N$355)</f>
        <v/>
      </c>
      <c r="L355">
        <f>IF('CALL SHEET'!$AH$355="","",'CALL SHEET'!$AH$355)</f>
        <v/>
      </c>
      <c r="M355">
        <f>IF('CALL SHEET'!$AO$355="","",'CALL SHEET'!$AO$355)</f>
        <v/>
      </c>
      <c r="N355">
        <f>IF('CALL SHEET'!$BF$355="","",'CALL SHEET'!$BF$355)</f>
        <v/>
      </c>
      <c r="O355" t="inlineStr">
        <is>
          <t>TRADE</t>
        </is>
      </c>
      <c r="P355" t="inlineStr">
        <is>
          <t>CALL SHEET · row 355</t>
        </is>
      </c>
      <c r="Q355">
        <f>E355+ROW()*0.000000001</f>
        <v/>
      </c>
    </row>
    <row r="356">
      <c r="A356">
        <f>IF('CALL SHEET'!$A$356="","",'CALL SHEET'!$A$356)</f>
        <v/>
      </c>
      <c r="B356">
        <f>IF('CALL SHEET'!$C$356="","",'CALL SHEET'!$C$356)</f>
        <v/>
      </c>
      <c r="C356">
        <f>'CALL SHEET'!$U$356</f>
        <v/>
      </c>
      <c r="D356">
        <f>'CALL SHEET'!$AB$356</f>
        <v/>
      </c>
      <c r="E356">
        <f>'CALL SHEET'!$AF$356</f>
        <v/>
      </c>
      <c r="F356">
        <f>IF('CALL SHEET'!$V$356="","",'CALL SHEET'!$V$356)</f>
        <v/>
      </c>
      <c r="G356">
        <f>IF('CALL SHEET'!$D$356="","",'CALL SHEET'!$D$356)</f>
        <v/>
      </c>
      <c r="H356">
        <f>IF('CALL SHEET'!$G$356="","",'CALL SHEET'!$G$356)</f>
        <v/>
      </c>
      <c r="I356">
        <f>IF('CALL SHEET'!$AY$356="","",'CALL SHEET'!$AY$356)</f>
        <v/>
      </c>
      <c r="J356">
        <f>IF('CALL SHEET'!$BC$356="","",'CALL SHEET'!$BC$356)</f>
        <v/>
      </c>
      <c r="K356">
        <f>IF('CALL SHEET'!$N$356="","",'CALL SHEET'!$N$356)</f>
        <v/>
      </c>
      <c r="L356">
        <f>IF('CALL SHEET'!$AH$356="","",'CALL SHEET'!$AH$356)</f>
        <v/>
      </c>
      <c r="M356">
        <f>IF('CALL SHEET'!$AO$356="","",'CALL SHEET'!$AO$356)</f>
        <v/>
      </c>
      <c r="N356">
        <f>IF('CALL SHEET'!$BF$356="","",'CALL SHEET'!$BF$356)</f>
        <v/>
      </c>
      <c r="O356" t="inlineStr">
        <is>
          <t>TRADE</t>
        </is>
      </c>
      <c r="P356" t="inlineStr">
        <is>
          <t>CALL SHEET · row 356</t>
        </is>
      </c>
      <c r="Q356">
        <f>E356+ROW()*0.000000001</f>
        <v/>
      </c>
    </row>
    <row r="357">
      <c r="A357">
        <f>IF('CALL SHEET'!$A$357="","",'CALL SHEET'!$A$357)</f>
        <v/>
      </c>
      <c r="B357">
        <f>IF('CALL SHEET'!$C$357="","",'CALL SHEET'!$C$357)</f>
        <v/>
      </c>
      <c r="C357">
        <f>'CALL SHEET'!$U$357</f>
        <v/>
      </c>
      <c r="D357">
        <f>'CALL SHEET'!$AB$357</f>
        <v/>
      </c>
      <c r="E357">
        <f>'CALL SHEET'!$AF$357</f>
        <v/>
      </c>
      <c r="F357">
        <f>IF('CALL SHEET'!$V$357="","",'CALL SHEET'!$V$357)</f>
        <v/>
      </c>
      <c r="G357">
        <f>IF('CALL SHEET'!$D$357="","",'CALL SHEET'!$D$357)</f>
        <v/>
      </c>
      <c r="H357">
        <f>IF('CALL SHEET'!$G$357="","",'CALL SHEET'!$G$357)</f>
        <v/>
      </c>
      <c r="I357">
        <f>IF('CALL SHEET'!$AY$357="","",'CALL SHEET'!$AY$357)</f>
        <v/>
      </c>
      <c r="J357">
        <f>IF('CALL SHEET'!$BC$357="","",'CALL SHEET'!$BC$357)</f>
        <v/>
      </c>
      <c r="K357">
        <f>IF('CALL SHEET'!$N$357="","",'CALL SHEET'!$N$357)</f>
        <v/>
      </c>
      <c r="L357">
        <f>IF('CALL SHEET'!$AH$357="","",'CALL SHEET'!$AH$357)</f>
        <v/>
      </c>
      <c r="M357">
        <f>IF('CALL SHEET'!$AO$357="","",'CALL SHEET'!$AO$357)</f>
        <v/>
      </c>
      <c r="N357">
        <f>IF('CALL SHEET'!$BF$357="","",'CALL SHEET'!$BF$357)</f>
        <v/>
      </c>
      <c r="O357" t="inlineStr">
        <is>
          <t>TRADE</t>
        </is>
      </c>
      <c r="P357" t="inlineStr">
        <is>
          <t>CALL SHEET · row 357</t>
        </is>
      </c>
      <c r="Q357">
        <f>E357+ROW()*0.000000001</f>
        <v/>
      </c>
    </row>
    <row r="358">
      <c r="A358">
        <f>IF('CALL SHEET'!$A$358="","",'CALL SHEET'!$A$358)</f>
        <v/>
      </c>
      <c r="B358">
        <f>IF('CALL SHEET'!$C$358="","",'CALL SHEET'!$C$358)</f>
        <v/>
      </c>
      <c r="C358">
        <f>'CALL SHEET'!$U$358</f>
        <v/>
      </c>
      <c r="D358">
        <f>'CALL SHEET'!$AB$358</f>
        <v/>
      </c>
      <c r="E358">
        <f>'CALL SHEET'!$AF$358</f>
        <v/>
      </c>
      <c r="F358">
        <f>IF('CALL SHEET'!$V$358="","",'CALL SHEET'!$V$358)</f>
        <v/>
      </c>
      <c r="G358">
        <f>IF('CALL SHEET'!$D$358="","",'CALL SHEET'!$D$358)</f>
        <v/>
      </c>
      <c r="H358">
        <f>IF('CALL SHEET'!$G$358="","",'CALL SHEET'!$G$358)</f>
        <v/>
      </c>
      <c r="I358">
        <f>IF('CALL SHEET'!$AY$358="","",'CALL SHEET'!$AY$358)</f>
        <v/>
      </c>
      <c r="J358">
        <f>IF('CALL SHEET'!$BC$358="","",'CALL SHEET'!$BC$358)</f>
        <v/>
      </c>
      <c r="K358">
        <f>IF('CALL SHEET'!$N$358="","",'CALL SHEET'!$N$358)</f>
        <v/>
      </c>
      <c r="L358">
        <f>IF('CALL SHEET'!$AH$358="","",'CALL SHEET'!$AH$358)</f>
        <v/>
      </c>
      <c r="M358">
        <f>IF('CALL SHEET'!$AO$358="","",'CALL SHEET'!$AO$358)</f>
        <v/>
      </c>
      <c r="N358">
        <f>IF('CALL SHEET'!$BF$358="","",'CALL SHEET'!$BF$358)</f>
        <v/>
      </c>
      <c r="O358" t="inlineStr">
        <is>
          <t>TRADE</t>
        </is>
      </c>
      <c r="P358" t="inlineStr">
        <is>
          <t>CALL SHEET · row 358</t>
        </is>
      </c>
      <c r="Q358">
        <f>E358+ROW()*0.000000001</f>
        <v/>
      </c>
    </row>
    <row r="359">
      <c r="A359">
        <f>IF('CALL SHEET'!$A$359="","",'CALL SHEET'!$A$359)</f>
        <v/>
      </c>
      <c r="B359">
        <f>IF('CALL SHEET'!$C$359="","",'CALL SHEET'!$C$359)</f>
        <v/>
      </c>
      <c r="C359">
        <f>'CALL SHEET'!$U$359</f>
        <v/>
      </c>
      <c r="D359">
        <f>'CALL SHEET'!$AB$359</f>
        <v/>
      </c>
      <c r="E359">
        <f>'CALL SHEET'!$AF$359</f>
        <v/>
      </c>
      <c r="F359">
        <f>IF('CALL SHEET'!$V$359="","",'CALL SHEET'!$V$359)</f>
        <v/>
      </c>
      <c r="G359">
        <f>IF('CALL SHEET'!$D$359="","",'CALL SHEET'!$D$359)</f>
        <v/>
      </c>
      <c r="H359">
        <f>IF('CALL SHEET'!$G$359="","",'CALL SHEET'!$G$359)</f>
        <v/>
      </c>
      <c r="I359">
        <f>IF('CALL SHEET'!$AY$359="","",'CALL SHEET'!$AY$359)</f>
        <v/>
      </c>
      <c r="J359">
        <f>IF('CALL SHEET'!$BC$359="","",'CALL SHEET'!$BC$359)</f>
        <v/>
      </c>
      <c r="K359">
        <f>IF('CALL SHEET'!$N$359="","",'CALL SHEET'!$N$359)</f>
        <v/>
      </c>
      <c r="L359">
        <f>IF('CALL SHEET'!$AH$359="","",'CALL SHEET'!$AH$359)</f>
        <v/>
      </c>
      <c r="M359">
        <f>IF('CALL SHEET'!$AO$359="","",'CALL SHEET'!$AO$359)</f>
        <v/>
      </c>
      <c r="N359">
        <f>IF('CALL SHEET'!$BF$359="","",'CALL SHEET'!$BF$359)</f>
        <v/>
      </c>
      <c r="O359" t="inlineStr">
        <is>
          <t>TRADE</t>
        </is>
      </c>
      <c r="P359" t="inlineStr">
        <is>
          <t>CALL SHEET · row 359</t>
        </is>
      </c>
      <c r="Q359">
        <f>E359+ROW()*0.000000001</f>
        <v/>
      </c>
    </row>
    <row r="360">
      <c r="A360">
        <f>IF('CALL SHEET'!$A$360="","",'CALL SHEET'!$A$360)</f>
        <v/>
      </c>
      <c r="B360">
        <f>IF('CALL SHEET'!$C$360="","",'CALL SHEET'!$C$360)</f>
        <v/>
      </c>
      <c r="C360">
        <f>'CALL SHEET'!$U$360</f>
        <v/>
      </c>
      <c r="D360">
        <f>'CALL SHEET'!$AB$360</f>
        <v/>
      </c>
      <c r="E360">
        <f>'CALL SHEET'!$AF$360</f>
        <v/>
      </c>
      <c r="F360">
        <f>IF('CALL SHEET'!$V$360="","",'CALL SHEET'!$V$360)</f>
        <v/>
      </c>
      <c r="G360">
        <f>IF('CALL SHEET'!$D$360="","",'CALL SHEET'!$D$360)</f>
        <v/>
      </c>
      <c r="H360">
        <f>IF('CALL SHEET'!$G$360="","",'CALL SHEET'!$G$360)</f>
        <v/>
      </c>
      <c r="I360">
        <f>IF('CALL SHEET'!$AY$360="","",'CALL SHEET'!$AY$360)</f>
        <v/>
      </c>
      <c r="J360">
        <f>IF('CALL SHEET'!$BC$360="","",'CALL SHEET'!$BC$360)</f>
        <v/>
      </c>
      <c r="K360">
        <f>IF('CALL SHEET'!$N$360="","",'CALL SHEET'!$N$360)</f>
        <v/>
      </c>
      <c r="L360">
        <f>IF('CALL SHEET'!$AH$360="","",'CALL SHEET'!$AH$360)</f>
        <v/>
      </c>
      <c r="M360">
        <f>IF('CALL SHEET'!$AO$360="","",'CALL SHEET'!$AO$360)</f>
        <v/>
      </c>
      <c r="N360">
        <f>IF('CALL SHEET'!$BF$360="","",'CALL SHEET'!$BF$360)</f>
        <v/>
      </c>
      <c r="O360" t="inlineStr">
        <is>
          <t>TRADE</t>
        </is>
      </c>
      <c r="P360" t="inlineStr">
        <is>
          <t>CALL SHEET · row 360</t>
        </is>
      </c>
      <c r="Q360">
        <f>E360+ROW()*0.000000001</f>
        <v/>
      </c>
    </row>
    <row r="361">
      <c r="A361">
        <f>IF('CALL SHEET'!$A$361="","",'CALL SHEET'!$A$361)</f>
        <v/>
      </c>
      <c r="B361">
        <f>IF('CALL SHEET'!$C$361="","",'CALL SHEET'!$C$361)</f>
        <v/>
      </c>
      <c r="C361">
        <f>'CALL SHEET'!$U$361</f>
        <v/>
      </c>
      <c r="D361">
        <f>'CALL SHEET'!$AB$361</f>
        <v/>
      </c>
      <c r="E361">
        <f>'CALL SHEET'!$AF$361</f>
        <v/>
      </c>
      <c r="F361">
        <f>IF('CALL SHEET'!$V$361="","",'CALL SHEET'!$V$361)</f>
        <v/>
      </c>
      <c r="G361">
        <f>IF('CALL SHEET'!$D$361="","",'CALL SHEET'!$D$361)</f>
        <v/>
      </c>
      <c r="H361">
        <f>IF('CALL SHEET'!$G$361="","",'CALL SHEET'!$G$361)</f>
        <v/>
      </c>
      <c r="I361">
        <f>IF('CALL SHEET'!$AY$361="","",'CALL SHEET'!$AY$361)</f>
        <v/>
      </c>
      <c r="J361">
        <f>IF('CALL SHEET'!$BC$361="","",'CALL SHEET'!$BC$361)</f>
        <v/>
      </c>
      <c r="K361">
        <f>IF('CALL SHEET'!$N$361="","",'CALL SHEET'!$N$361)</f>
        <v/>
      </c>
      <c r="L361">
        <f>IF('CALL SHEET'!$AH$361="","",'CALL SHEET'!$AH$361)</f>
        <v/>
      </c>
      <c r="M361">
        <f>IF('CALL SHEET'!$AO$361="","",'CALL SHEET'!$AO$361)</f>
        <v/>
      </c>
      <c r="N361">
        <f>IF('CALL SHEET'!$BF$361="","",'CALL SHEET'!$BF$361)</f>
        <v/>
      </c>
      <c r="O361" t="inlineStr">
        <is>
          <t>TRADE</t>
        </is>
      </c>
      <c r="P361" t="inlineStr">
        <is>
          <t>CALL SHEET · row 361</t>
        </is>
      </c>
      <c r="Q361">
        <f>E361+ROW()*0.000000001</f>
        <v/>
      </c>
    </row>
    <row r="362">
      <c r="A362">
        <f>IF('CALL SHEET'!$A$362="","",'CALL SHEET'!$A$362)</f>
        <v/>
      </c>
      <c r="B362">
        <f>IF('CALL SHEET'!$C$362="","",'CALL SHEET'!$C$362)</f>
        <v/>
      </c>
      <c r="C362">
        <f>'CALL SHEET'!$U$362</f>
        <v/>
      </c>
      <c r="D362">
        <f>'CALL SHEET'!$AB$362</f>
        <v/>
      </c>
      <c r="E362">
        <f>'CALL SHEET'!$AF$362</f>
        <v/>
      </c>
      <c r="F362">
        <f>IF('CALL SHEET'!$V$362="","",'CALL SHEET'!$V$362)</f>
        <v/>
      </c>
      <c r="G362">
        <f>IF('CALL SHEET'!$D$362="","",'CALL SHEET'!$D$362)</f>
        <v/>
      </c>
      <c r="H362">
        <f>IF('CALL SHEET'!$G$362="","",'CALL SHEET'!$G$362)</f>
        <v/>
      </c>
      <c r="I362">
        <f>IF('CALL SHEET'!$AY$362="","",'CALL SHEET'!$AY$362)</f>
        <v/>
      </c>
      <c r="J362">
        <f>IF('CALL SHEET'!$BC$362="","",'CALL SHEET'!$BC$362)</f>
        <v/>
      </c>
      <c r="K362">
        <f>IF('CALL SHEET'!$N$362="","",'CALL SHEET'!$N$362)</f>
        <v/>
      </c>
      <c r="L362">
        <f>IF('CALL SHEET'!$AH$362="","",'CALL SHEET'!$AH$362)</f>
        <v/>
      </c>
      <c r="M362">
        <f>IF('CALL SHEET'!$AO$362="","",'CALL SHEET'!$AO$362)</f>
        <v/>
      </c>
      <c r="N362">
        <f>IF('CALL SHEET'!$BF$362="","",'CALL SHEET'!$BF$362)</f>
        <v/>
      </c>
      <c r="O362" t="inlineStr">
        <is>
          <t>TRADE</t>
        </is>
      </c>
      <c r="P362" t="inlineStr">
        <is>
          <t>CALL SHEET · row 362</t>
        </is>
      </c>
      <c r="Q362">
        <f>E362+ROW()*0.000000001</f>
        <v/>
      </c>
    </row>
    <row r="363">
      <c r="A363">
        <f>IF('CALL SHEET'!$A$363="","",'CALL SHEET'!$A$363)</f>
        <v/>
      </c>
      <c r="B363">
        <f>IF('CALL SHEET'!$C$363="","",'CALL SHEET'!$C$363)</f>
        <v/>
      </c>
      <c r="C363">
        <f>'CALL SHEET'!$U$363</f>
        <v/>
      </c>
      <c r="D363">
        <f>'CALL SHEET'!$AB$363</f>
        <v/>
      </c>
      <c r="E363">
        <f>'CALL SHEET'!$AF$363</f>
        <v/>
      </c>
      <c r="F363">
        <f>IF('CALL SHEET'!$V$363="","",'CALL SHEET'!$V$363)</f>
        <v/>
      </c>
      <c r="G363">
        <f>IF('CALL SHEET'!$D$363="","",'CALL SHEET'!$D$363)</f>
        <v/>
      </c>
      <c r="H363">
        <f>IF('CALL SHEET'!$G$363="","",'CALL SHEET'!$G$363)</f>
        <v/>
      </c>
      <c r="I363">
        <f>IF('CALL SHEET'!$AY$363="","",'CALL SHEET'!$AY$363)</f>
        <v/>
      </c>
      <c r="J363">
        <f>IF('CALL SHEET'!$BC$363="","",'CALL SHEET'!$BC$363)</f>
        <v/>
      </c>
      <c r="K363">
        <f>IF('CALL SHEET'!$N$363="","",'CALL SHEET'!$N$363)</f>
        <v/>
      </c>
      <c r="L363">
        <f>IF('CALL SHEET'!$AH$363="","",'CALL SHEET'!$AH$363)</f>
        <v/>
      </c>
      <c r="M363">
        <f>IF('CALL SHEET'!$AO$363="","",'CALL SHEET'!$AO$363)</f>
        <v/>
      </c>
      <c r="N363">
        <f>IF('CALL SHEET'!$BF$363="","",'CALL SHEET'!$BF$363)</f>
        <v/>
      </c>
      <c r="O363" t="inlineStr">
        <is>
          <t>TRADE</t>
        </is>
      </c>
      <c r="P363" t="inlineStr">
        <is>
          <t>CALL SHEET · row 363</t>
        </is>
      </c>
      <c r="Q363">
        <f>E363+ROW()*0.000000001</f>
        <v/>
      </c>
    </row>
    <row r="364">
      <c r="A364">
        <f>IF('CALL SHEET'!$A$364="","",'CALL SHEET'!$A$364)</f>
        <v/>
      </c>
      <c r="B364">
        <f>IF('CALL SHEET'!$C$364="","",'CALL SHEET'!$C$364)</f>
        <v/>
      </c>
      <c r="C364">
        <f>'CALL SHEET'!$U$364</f>
        <v/>
      </c>
      <c r="D364">
        <f>'CALL SHEET'!$AB$364</f>
        <v/>
      </c>
      <c r="E364">
        <f>'CALL SHEET'!$AF$364</f>
        <v/>
      </c>
      <c r="F364">
        <f>IF('CALL SHEET'!$V$364="","",'CALL SHEET'!$V$364)</f>
        <v/>
      </c>
      <c r="G364">
        <f>IF('CALL SHEET'!$D$364="","",'CALL SHEET'!$D$364)</f>
        <v/>
      </c>
      <c r="H364">
        <f>IF('CALL SHEET'!$G$364="","",'CALL SHEET'!$G$364)</f>
        <v/>
      </c>
      <c r="I364">
        <f>IF('CALL SHEET'!$AY$364="","",'CALL SHEET'!$AY$364)</f>
        <v/>
      </c>
      <c r="J364">
        <f>IF('CALL SHEET'!$BC$364="","",'CALL SHEET'!$BC$364)</f>
        <v/>
      </c>
      <c r="K364">
        <f>IF('CALL SHEET'!$N$364="","",'CALL SHEET'!$N$364)</f>
        <v/>
      </c>
      <c r="L364">
        <f>IF('CALL SHEET'!$AH$364="","",'CALL SHEET'!$AH$364)</f>
        <v/>
      </c>
      <c r="M364">
        <f>IF('CALL SHEET'!$AO$364="","",'CALL SHEET'!$AO$364)</f>
        <v/>
      </c>
      <c r="N364">
        <f>IF('CALL SHEET'!$BF$364="","",'CALL SHEET'!$BF$364)</f>
        <v/>
      </c>
      <c r="O364" t="inlineStr">
        <is>
          <t>TRADE</t>
        </is>
      </c>
      <c r="P364" t="inlineStr">
        <is>
          <t>CALL SHEET · row 364</t>
        </is>
      </c>
      <c r="Q364">
        <f>E364+ROW()*0.000000001</f>
        <v/>
      </c>
    </row>
    <row r="365">
      <c r="A365">
        <f>IF('CALL SHEET'!$A$365="","",'CALL SHEET'!$A$365)</f>
        <v/>
      </c>
      <c r="B365">
        <f>IF('CALL SHEET'!$C$365="","",'CALL SHEET'!$C$365)</f>
        <v/>
      </c>
      <c r="C365">
        <f>'CALL SHEET'!$U$365</f>
        <v/>
      </c>
      <c r="D365">
        <f>'CALL SHEET'!$AB$365</f>
        <v/>
      </c>
      <c r="E365">
        <f>'CALL SHEET'!$AF$365</f>
        <v/>
      </c>
      <c r="F365">
        <f>IF('CALL SHEET'!$V$365="","",'CALL SHEET'!$V$365)</f>
        <v/>
      </c>
      <c r="G365">
        <f>IF('CALL SHEET'!$D$365="","",'CALL SHEET'!$D$365)</f>
        <v/>
      </c>
      <c r="H365">
        <f>IF('CALL SHEET'!$G$365="","",'CALL SHEET'!$G$365)</f>
        <v/>
      </c>
      <c r="I365">
        <f>IF('CALL SHEET'!$AY$365="","",'CALL SHEET'!$AY$365)</f>
        <v/>
      </c>
      <c r="J365">
        <f>IF('CALL SHEET'!$BC$365="","",'CALL SHEET'!$BC$365)</f>
        <v/>
      </c>
      <c r="K365">
        <f>IF('CALL SHEET'!$N$365="","",'CALL SHEET'!$N$365)</f>
        <v/>
      </c>
      <c r="L365">
        <f>IF('CALL SHEET'!$AH$365="","",'CALL SHEET'!$AH$365)</f>
        <v/>
      </c>
      <c r="M365">
        <f>IF('CALL SHEET'!$AO$365="","",'CALL SHEET'!$AO$365)</f>
        <v/>
      </c>
      <c r="N365">
        <f>IF('CALL SHEET'!$BF$365="","",'CALL SHEET'!$BF$365)</f>
        <v/>
      </c>
      <c r="O365" t="inlineStr">
        <is>
          <t>TRADE</t>
        </is>
      </c>
      <c r="P365" t="inlineStr">
        <is>
          <t>CALL SHEET · row 365</t>
        </is>
      </c>
      <c r="Q365">
        <f>E365+ROW()*0.000000001</f>
        <v/>
      </c>
    </row>
    <row r="366">
      <c r="A366">
        <f>IF('CALL SHEET'!$A$366="","",'CALL SHEET'!$A$366)</f>
        <v/>
      </c>
      <c r="B366">
        <f>IF('CALL SHEET'!$C$366="","",'CALL SHEET'!$C$366)</f>
        <v/>
      </c>
      <c r="C366">
        <f>'CALL SHEET'!$U$366</f>
        <v/>
      </c>
      <c r="D366">
        <f>'CALL SHEET'!$AB$366</f>
        <v/>
      </c>
      <c r="E366">
        <f>'CALL SHEET'!$AF$366</f>
        <v/>
      </c>
      <c r="F366">
        <f>IF('CALL SHEET'!$V$366="","",'CALL SHEET'!$V$366)</f>
        <v/>
      </c>
      <c r="G366">
        <f>IF('CALL SHEET'!$D$366="","",'CALL SHEET'!$D$366)</f>
        <v/>
      </c>
      <c r="H366">
        <f>IF('CALL SHEET'!$G$366="","",'CALL SHEET'!$G$366)</f>
        <v/>
      </c>
      <c r="I366">
        <f>IF('CALL SHEET'!$AY$366="","",'CALL SHEET'!$AY$366)</f>
        <v/>
      </c>
      <c r="J366">
        <f>IF('CALL SHEET'!$BC$366="","",'CALL SHEET'!$BC$366)</f>
        <v/>
      </c>
      <c r="K366">
        <f>IF('CALL SHEET'!$N$366="","",'CALL SHEET'!$N$366)</f>
        <v/>
      </c>
      <c r="L366">
        <f>IF('CALL SHEET'!$AH$366="","",'CALL SHEET'!$AH$366)</f>
        <v/>
      </c>
      <c r="M366">
        <f>IF('CALL SHEET'!$AO$366="","",'CALL SHEET'!$AO$366)</f>
        <v/>
      </c>
      <c r="N366">
        <f>IF('CALL SHEET'!$BF$366="","",'CALL SHEET'!$BF$366)</f>
        <v/>
      </c>
      <c r="O366" t="inlineStr">
        <is>
          <t>TRADE</t>
        </is>
      </c>
      <c r="P366" t="inlineStr">
        <is>
          <t>CALL SHEET · row 366</t>
        </is>
      </c>
      <c r="Q366">
        <f>E366+ROW()*0.000000001</f>
        <v/>
      </c>
    </row>
    <row r="367">
      <c r="A367">
        <f>IF('CALL SHEET'!$A$367="","",'CALL SHEET'!$A$367)</f>
        <v/>
      </c>
      <c r="B367">
        <f>IF('CALL SHEET'!$C$367="","",'CALL SHEET'!$C$367)</f>
        <v/>
      </c>
      <c r="C367">
        <f>'CALL SHEET'!$U$367</f>
        <v/>
      </c>
      <c r="D367">
        <f>'CALL SHEET'!$AB$367</f>
        <v/>
      </c>
      <c r="E367">
        <f>'CALL SHEET'!$AF$367</f>
        <v/>
      </c>
      <c r="F367">
        <f>IF('CALL SHEET'!$V$367="","",'CALL SHEET'!$V$367)</f>
        <v/>
      </c>
      <c r="G367">
        <f>IF('CALL SHEET'!$D$367="","",'CALL SHEET'!$D$367)</f>
        <v/>
      </c>
      <c r="H367">
        <f>IF('CALL SHEET'!$G$367="","",'CALL SHEET'!$G$367)</f>
        <v/>
      </c>
      <c r="I367">
        <f>IF('CALL SHEET'!$AY$367="","",'CALL SHEET'!$AY$367)</f>
        <v/>
      </c>
      <c r="J367">
        <f>IF('CALL SHEET'!$BC$367="","",'CALL SHEET'!$BC$367)</f>
        <v/>
      </c>
      <c r="K367">
        <f>IF('CALL SHEET'!$N$367="","",'CALL SHEET'!$N$367)</f>
        <v/>
      </c>
      <c r="L367">
        <f>IF('CALL SHEET'!$AH$367="","",'CALL SHEET'!$AH$367)</f>
        <v/>
      </c>
      <c r="M367">
        <f>IF('CALL SHEET'!$AO$367="","",'CALL SHEET'!$AO$367)</f>
        <v/>
      </c>
      <c r="N367">
        <f>IF('CALL SHEET'!$BF$367="","",'CALL SHEET'!$BF$367)</f>
        <v/>
      </c>
      <c r="O367" t="inlineStr">
        <is>
          <t>TRADE</t>
        </is>
      </c>
      <c r="P367" t="inlineStr">
        <is>
          <t>CALL SHEET · row 367</t>
        </is>
      </c>
      <c r="Q367">
        <f>E367+ROW()*0.000000001</f>
        <v/>
      </c>
    </row>
    <row r="368">
      <c r="A368">
        <f>IF('CALL SHEET'!$A$368="","",'CALL SHEET'!$A$368)</f>
        <v/>
      </c>
      <c r="B368">
        <f>IF('CALL SHEET'!$C$368="","",'CALL SHEET'!$C$368)</f>
        <v/>
      </c>
      <c r="C368">
        <f>'CALL SHEET'!$U$368</f>
        <v/>
      </c>
      <c r="D368">
        <f>'CALL SHEET'!$AB$368</f>
        <v/>
      </c>
      <c r="E368">
        <f>'CALL SHEET'!$AF$368</f>
        <v/>
      </c>
      <c r="F368">
        <f>IF('CALL SHEET'!$V$368="","",'CALL SHEET'!$V$368)</f>
        <v/>
      </c>
      <c r="G368">
        <f>IF('CALL SHEET'!$D$368="","",'CALL SHEET'!$D$368)</f>
        <v/>
      </c>
      <c r="H368">
        <f>IF('CALL SHEET'!$G$368="","",'CALL SHEET'!$G$368)</f>
        <v/>
      </c>
      <c r="I368">
        <f>IF('CALL SHEET'!$AY$368="","",'CALL SHEET'!$AY$368)</f>
        <v/>
      </c>
      <c r="J368">
        <f>IF('CALL SHEET'!$BC$368="","",'CALL SHEET'!$BC$368)</f>
        <v/>
      </c>
      <c r="K368">
        <f>IF('CALL SHEET'!$N$368="","",'CALL SHEET'!$N$368)</f>
        <v/>
      </c>
      <c r="L368">
        <f>IF('CALL SHEET'!$AH$368="","",'CALL SHEET'!$AH$368)</f>
        <v/>
      </c>
      <c r="M368">
        <f>IF('CALL SHEET'!$AO$368="","",'CALL SHEET'!$AO$368)</f>
        <v/>
      </c>
      <c r="N368">
        <f>IF('CALL SHEET'!$BF$368="","",'CALL SHEET'!$BF$368)</f>
        <v/>
      </c>
      <c r="O368" t="inlineStr">
        <is>
          <t>TRADE</t>
        </is>
      </c>
      <c r="P368" t="inlineStr">
        <is>
          <t>CALL SHEET · row 368</t>
        </is>
      </c>
      <c r="Q368">
        <f>E368+ROW()*0.000000001</f>
        <v/>
      </c>
    </row>
    <row r="369">
      <c r="A369">
        <f>IF('CALL SHEET'!$A$369="","",'CALL SHEET'!$A$369)</f>
        <v/>
      </c>
      <c r="B369">
        <f>IF('CALL SHEET'!$C$369="","",'CALL SHEET'!$C$369)</f>
        <v/>
      </c>
      <c r="C369">
        <f>'CALL SHEET'!$U$369</f>
        <v/>
      </c>
      <c r="D369">
        <f>'CALL SHEET'!$AB$369</f>
        <v/>
      </c>
      <c r="E369">
        <f>'CALL SHEET'!$AF$369</f>
        <v/>
      </c>
      <c r="F369">
        <f>IF('CALL SHEET'!$V$369="","",'CALL SHEET'!$V$369)</f>
        <v/>
      </c>
      <c r="G369">
        <f>IF('CALL SHEET'!$D$369="","",'CALL SHEET'!$D$369)</f>
        <v/>
      </c>
      <c r="H369">
        <f>IF('CALL SHEET'!$G$369="","",'CALL SHEET'!$G$369)</f>
        <v/>
      </c>
      <c r="I369">
        <f>IF('CALL SHEET'!$AY$369="","",'CALL SHEET'!$AY$369)</f>
        <v/>
      </c>
      <c r="J369">
        <f>IF('CALL SHEET'!$BC$369="","",'CALL SHEET'!$BC$369)</f>
        <v/>
      </c>
      <c r="K369">
        <f>IF('CALL SHEET'!$N$369="","",'CALL SHEET'!$N$369)</f>
        <v/>
      </c>
      <c r="L369">
        <f>IF('CALL SHEET'!$AH$369="","",'CALL SHEET'!$AH$369)</f>
        <v/>
      </c>
      <c r="M369">
        <f>IF('CALL SHEET'!$AO$369="","",'CALL SHEET'!$AO$369)</f>
        <v/>
      </c>
      <c r="N369">
        <f>IF('CALL SHEET'!$BF$369="","",'CALL SHEET'!$BF$369)</f>
        <v/>
      </c>
      <c r="O369" t="inlineStr">
        <is>
          <t>TRADE</t>
        </is>
      </c>
      <c r="P369" t="inlineStr">
        <is>
          <t>CALL SHEET · row 369</t>
        </is>
      </c>
      <c r="Q369">
        <f>E369+ROW()*0.000000001</f>
        <v/>
      </c>
    </row>
    <row r="370">
      <c r="A370">
        <f>IF('CALL SHEET'!$A$370="","",'CALL SHEET'!$A$370)</f>
        <v/>
      </c>
      <c r="B370">
        <f>IF('CALL SHEET'!$C$370="","",'CALL SHEET'!$C$370)</f>
        <v/>
      </c>
      <c r="C370">
        <f>'CALL SHEET'!$U$370</f>
        <v/>
      </c>
      <c r="D370">
        <f>'CALL SHEET'!$AB$370</f>
        <v/>
      </c>
      <c r="E370">
        <f>'CALL SHEET'!$AF$370</f>
        <v/>
      </c>
      <c r="F370">
        <f>IF('CALL SHEET'!$V$370="","",'CALL SHEET'!$V$370)</f>
        <v/>
      </c>
      <c r="G370">
        <f>IF('CALL SHEET'!$D$370="","",'CALL SHEET'!$D$370)</f>
        <v/>
      </c>
      <c r="H370">
        <f>IF('CALL SHEET'!$G$370="","",'CALL SHEET'!$G$370)</f>
        <v/>
      </c>
      <c r="I370">
        <f>IF('CALL SHEET'!$AY$370="","",'CALL SHEET'!$AY$370)</f>
        <v/>
      </c>
      <c r="J370">
        <f>IF('CALL SHEET'!$BC$370="","",'CALL SHEET'!$BC$370)</f>
        <v/>
      </c>
      <c r="K370">
        <f>IF('CALL SHEET'!$N$370="","",'CALL SHEET'!$N$370)</f>
        <v/>
      </c>
      <c r="L370">
        <f>IF('CALL SHEET'!$AH$370="","",'CALL SHEET'!$AH$370)</f>
        <v/>
      </c>
      <c r="M370">
        <f>IF('CALL SHEET'!$AO$370="","",'CALL SHEET'!$AO$370)</f>
        <v/>
      </c>
      <c r="N370">
        <f>IF('CALL SHEET'!$BF$370="","",'CALL SHEET'!$BF$370)</f>
        <v/>
      </c>
      <c r="O370" t="inlineStr">
        <is>
          <t>TRADE</t>
        </is>
      </c>
      <c r="P370" t="inlineStr">
        <is>
          <t>CALL SHEET · row 370</t>
        </is>
      </c>
      <c r="Q370">
        <f>E370+ROW()*0.000000001</f>
        <v/>
      </c>
    </row>
    <row r="371">
      <c r="A371">
        <f>IF('CALL SHEET'!$A$371="","",'CALL SHEET'!$A$371)</f>
        <v/>
      </c>
      <c r="B371">
        <f>IF('CALL SHEET'!$C$371="","",'CALL SHEET'!$C$371)</f>
        <v/>
      </c>
      <c r="C371">
        <f>'CALL SHEET'!$U$371</f>
        <v/>
      </c>
      <c r="D371">
        <f>'CALL SHEET'!$AB$371</f>
        <v/>
      </c>
      <c r="E371">
        <f>'CALL SHEET'!$AF$371</f>
        <v/>
      </c>
      <c r="F371">
        <f>IF('CALL SHEET'!$V$371="","",'CALL SHEET'!$V$371)</f>
        <v/>
      </c>
      <c r="G371">
        <f>IF('CALL SHEET'!$D$371="","",'CALL SHEET'!$D$371)</f>
        <v/>
      </c>
      <c r="H371">
        <f>IF('CALL SHEET'!$G$371="","",'CALL SHEET'!$G$371)</f>
        <v/>
      </c>
      <c r="I371">
        <f>IF('CALL SHEET'!$AY$371="","",'CALL SHEET'!$AY$371)</f>
        <v/>
      </c>
      <c r="J371">
        <f>IF('CALL SHEET'!$BC$371="","",'CALL SHEET'!$BC$371)</f>
        <v/>
      </c>
      <c r="K371">
        <f>IF('CALL SHEET'!$N$371="","",'CALL SHEET'!$N$371)</f>
        <v/>
      </c>
      <c r="L371">
        <f>IF('CALL SHEET'!$AH$371="","",'CALL SHEET'!$AH$371)</f>
        <v/>
      </c>
      <c r="M371">
        <f>IF('CALL SHEET'!$AO$371="","",'CALL SHEET'!$AO$371)</f>
        <v/>
      </c>
      <c r="N371">
        <f>IF('CALL SHEET'!$BF$371="","",'CALL SHEET'!$BF$371)</f>
        <v/>
      </c>
      <c r="O371" t="inlineStr">
        <is>
          <t>TRADE</t>
        </is>
      </c>
      <c r="P371" t="inlineStr">
        <is>
          <t>CALL SHEET · row 371</t>
        </is>
      </c>
      <c r="Q371">
        <f>E371+ROW()*0.000000001</f>
        <v/>
      </c>
    </row>
    <row r="372">
      <c r="A372">
        <f>IF('CALL SHEET'!$A$372="","",'CALL SHEET'!$A$372)</f>
        <v/>
      </c>
      <c r="B372">
        <f>IF('CALL SHEET'!$C$372="","",'CALL SHEET'!$C$372)</f>
        <v/>
      </c>
      <c r="C372">
        <f>'CALL SHEET'!$U$372</f>
        <v/>
      </c>
      <c r="D372">
        <f>'CALL SHEET'!$AB$372</f>
        <v/>
      </c>
      <c r="E372">
        <f>'CALL SHEET'!$AF$372</f>
        <v/>
      </c>
      <c r="F372">
        <f>IF('CALL SHEET'!$V$372="","",'CALL SHEET'!$V$372)</f>
        <v/>
      </c>
      <c r="G372">
        <f>IF('CALL SHEET'!$D$372="","",'CALL SHEET'!$D$372)</f>
        <v/>
      </c>
      <c r="H372">
        <f>IF('CALL SHEET'!$G$372="","",'CALL SHEET'!$G$372)</f>
        <v/>
      </c>
      <c r="I372">
        <f>IF('CALL SHEET'!$AY$372="","",'CALL SHEET'!$AY$372)</f>
        <v/>
      </c>
      <c r="J372">
        <f>IF('CALL SHEET'!$BC$372="","",'CALL SHEET'!$BC$372)</f>
        <v/>
      </c>
      <c r="K372">
        <f>IF('CALL SHEET'!$N$372="","",'CALL SHEET'!$N$372)</f>
        <v/>
      </c>
      <c r="L372">
        <f>IF('CALL SHEET'!$AH$372="","",'CALL SHEET'!$AH$372)</f>
        <v/>
      </c>
      <c r="M372">
        <f>IF('CALL SHEET'!$AO$372="","",'CALL SHEET'!$AO$372)</f>
        <v/>
      </c>
      <c r="N372">
        <f>IF('CALL SHEET'!$BF$372="","",'CALL SHEET'!$BF$372)</f>
        <v/>
      </c>
      <c r="O372" t="inlineStr">
        <is>
          <t>TRADE</t>
        </is>
      </c>
      <c r="P372" t="inlineStr">
        <is>
          <t>CALL SHEET · row 372</t>
        </is>
      </c>
      <c r="Q372">
        <f>E372+ROW()*0.000000001</f>
        <v/>
      </c>
    </row>
    <row r="373">
      <c r="A373">
        <f>IF('CALL SHEET'!$A$373="","",'CALL SHEET'!$A$373)</f>
        <v/>
      </c>
      <c r="B373">
        <f>IF('CALL SHEET'!$C$373="","",'CALL SHEET'!$C$373)</f>
        <v/>
      </c>
      <c r="C373">
        <f>'CALL SHEET'!$U$373</f>
        <v/>
      </c>
      <c r="D373">
        <f>'CALL SHEET'!$AB$373</f>
        <v/>
      </c>
      <c r="E373">
        <f>'CALL SHEET'!$AF$373</f>
        <v/>
      </c>
      <c r="F373">
        <f>IF('CALL SHEET'!$V$373="","",'CALL SHEET'!$V$373)</f>
        <v/>
      </c>
      <c r="G373">
        <f>IF('CALL SHEET'!$D$373="","",'CALL SHEET'!$D$373)</f>
        <v/>
      </c>
      <c r="H373">
        <f>IF('CALL SHEET'!$G$373="","",'CALL SHEET'!$G$373)</f>
        <v/>
      </c>
      <c r="I373">
        <f>IF('CALL SHEET'!$AY$373="","",'CALL SHEET'!$AY$373)</f>
        <v/>
      </c>
      <c r="J373">
        <f>IF('CALL SHEET'!$BC$373="","",'CALL SHEET'!$BC$373)</f>
        <v/>
      </c>
      <c r="K373">
        <f>IF('CALL SHEET'!$N$373="","",'CALL SHEET'!$N$373)</f>
        <v/>
      </c>
      <c r="L373">
        <f>IF('CALL SHEET'!$AH$373="","",'CALL SHEET'!$AH$373)</f>
        <v/>
      </c>
      <c r="M373">
        <f>IF('CALL SHEET'!$AO$373="","",'CALL SHEET'!$AO$373)</f>
        <v/>
      </c>
      <c r="N373">
        <f>IF('CALL SHEET'!$BF$373="","",'CALL SHEET'!$BF$373)</f>
        <v/>
      </c>
      <c r="O373" t="inlineStr">
        <is>
          <t>TRADE</t>
        </is>
      </c>
      <c r="P373" t="inlineStr">
        <is>
          <t>CALL SHEET · row 373</t>
        </is>
      </c>
      <c r="Q373">
        <f>E373+ROW()*0.000000001</f>
        <v/>
      </c>
    </row>
    <row r="374">
      <c r="A374">
        <f>IF('CALL SHEET'!$A$374="","",'CALL SHEET'!$A$374)</f>
        <v/>
      </c>
      <c r="B374">
        <f>IF('CALL SHEET'!$C$374="","",'CALL SHEET'!$C$374)</f>
        <v/>
      </c>
      <c r="C374">
        <f>'CALL SHEET'!$U$374</f>
        <v/>
      </c>
      <c r="D374">
        <f>'CALL SHEET'!$AB$374</f>
        <v/>
      </c>
      <c r="E374">
        <f>'CALL SHEET'!$AF$374</f>
        <v/>
      </c>
      <c r="F374">
        <f>IF('CALL SHEET'!$V$374="","",'CALL SHEET'!$V$374)</f>
        <v/>
      </c>
      <c r="G374">
        <f>IF('CALL SHEET'!$D$374="","",'CALL SHEET'!$D$374)</f>
        <v/>
      </c>
      <c r="H374">
        <f>IF('CALL SHEET'!$G$374="","",'CALL SHEET'!$G$374)</f>
        <v/>
      </c>
      <c r="I374">
        <f>IF('CALL SHEET'!$AY$374="","",'CALL SHEET'!$AY$374)</f>
        <v/>
      </c>
      <c r="J374">
        <f>IF('CALL SHEET'!$BC$374="","",'CALL SHEET'!$BC$374)</f>
        <v/>
      </c>
      <c r="K374">
        <f>IF('CALL SHEET'!$N$374="","",'CALL SHEET'!$N$374)</f>
        <v/>
      </c>
      <c r="L374">
        <f>IF('CALL SHEET'!$AH$374="","",'CALL SHEET'!$AH$374)</f>
        <v/>
      </c>
      <c r="M374">
        <f>IF('CALL SHEET'!$AO$374="","",'CALL SHEET'!$AO$374)</f>
        <v/>
      </c>
      <c r="N374">
        <f>IF('CALL SHEET'!$BF$374="","",'CALL SHEET'!$BF$374)</f>
        <v/>
      </c>
      <c r="O374" t="inlineStr">
        <is>
          <t>TRADE</t>
        </is>
      </c>
      <c r="P374" t="inlineStr">
        <is>
          <t>CALL SHEET · row 374</t>
        </is>
      </c>
      <c r="Q374">
        <f>E374+ROW()*0.000000001</f>
        <v/>
      </c>
    </row>
    <row r="375">
      <c r="A375">
        <f>IF('CALL SHEET'!$A$375="","",'CALL SHEET'!$A$375)</f>
        <v/>
      </c>
      <c r="B375">
        <f>IF('CALL SHEET'!$C$375="","",'CALL SHEET'!$C$375)</f>
        <v/>
      </c>
      <c r="C375">
        <f>'CALL SHEET'!$U$375</f>
        <v/>
      </c>
      <c r="D375">
        <f>'CALL SHEET'!$AB$375</f>
        <v/>
      </c>
      <c r="E375">
        <f>'CALL SHEET'!$AF$375</f>
        <v/>
      </c>
      <c r="F375">
        <f>IF('CALL SHEET'!$V$375="","",'CALL SHEET'!$V$375)</f>
        <v/>
      </c>
      <c r="G375">
        <f>IF('CALL SHEET'!$D$375="","",'CALL SHEET'!$D$375)</f>
        <v/>
      </c>
      <c r="H375">
        <f>IF('CALL SHEET'!$G$375="","",'CALL SHEET'!$G$375)</f>
        <v/>
      </c>
      <c r="I375">
        <f>IF('CALL SHEET'!$AY$375="","",'CALL SHEET'!$AY$375)</f>
        <v/>
      </c>
      <c r="J375">
        <f>IF('CALL SHEET'!$BC$375="","",'CALL SHEET'!$BC$375)</f>
        <v/>
      </c>
      <c r="K375">
        <f>IF('CALL SHEET'!$N$375="","",'CALL SHEET'!$N$375)</f>
        <v/>
      </c>
      <c r="L375">
        <f>IF('CALL SHEET'!$AH$375="","",'CALL SHEET'!$AH$375)</f>
        <v/>
      </c>
      <c r="M375">
        <f>IF('CALL SHEET'!$AO$375="","",'CALL SHEET'!$AO$375)</f>
        <v/>
      </c>
      <c r="N375">
        <f>IF('CALL SHEET'!$BF$375="","",'CALL SHEET'!$BF$375)</f>
        <v/>
      </c>
      <c r="O375" t="inlineStr">
        <is>
          <t>TRADE</t>
        </is>
      </c>
      <c r="P375" t="inlineStr">
        <is>
          <t>CALL SHEET · row 375</t>
        </is>
      </c>
      <c r="Q375">
        <f>E375+ROW()*0.000000001</f>
        <v/>
      </c>
    </row>
    <row r="376">
      <c r="A376">
        <f>IF('CALL SHEET'!$A$376="","",'CALL SHEET'!$A$376)</f>
        <v/>
      </c>
      <c r="B376">
        <f>IF('CALL SHEET'!$C$376="","",'CALL SHEET'!$C$376)</f>
        <v/>
      </c>
      <c r="C376">
        <f>'CALL SHEET'!$U$376</f>
        <v/>
      </c>
      <c r="D376">
        <f>'CALL SHEET'!$AB$376</f>
        <v/>
      </c>
      <c r="E376">
        <f>'CALL SHEET'!$AF$376</f>
        <v/>
      </c>
      <c r="F376">
        <f>IF('CALL SHEET'!$V$376="","",'CALL SHEET'!$V$376)</f>
        <v/>
      </c>
      <c r="G376">
        <f>IF('CALL SHEET'!$D$376="","",'CALL SHEET'!$D$376)</f>
        <v/>
      </c>
      <c r="H376">
        <f>IF('CALL SHEET'!$G$376="","",'CALL SHEET'!$G$376)</f>
        <v/>
      </c>
      <c r="I376">
        <f>IF('CALL SHEET'!$AY$376="","",'CALL SHEET'!$AY$376)</f>
        <v/>
      </c>
      <c r="J376">
        <f>IF('CALL SHEET'!$BC$376="","",'CALL SHEET'!$BC$376)</f>
        <v/>
      </c>
      <c r="K376">
        <f>IF('CALL SHEET'!$N$376="","",'CALL SHEET'!$N$376)</f>
        <v/>
      </c>
      <c r="L376">
        <f>IF('CALL SHEET'!$AH$376="","",'CALL SHEET'!$AH$376)</f>
        <v/>
      </c>
      <c r="M376">
        <f>IF('CALL SHEET'!$AO$376="","",'CALL SHEET'!$AO$376)</f>
        <v/>
      </c>
      <c r="N376">
        <f>IF('CALL SHEET'!$BF$376="","",'CALL SHEET'!$BF$376)</f>
        <v/>
      </c>
      <c r="O376" t="inlineStr">
        <is>
          <t>TRADE</t>
        </is>
      </c>
      <c r="P376" t="inlineStr">
        <is>
          <t>CALL SHEET · row 376</t>
        </is>
      </c>
      <c r="Q376">
        <f>E376+ROW()*0.000000001</f>
        <v/>
      </c>
    </row>
    <row r="377">
      <c r="A377">
        <f>IF('CALL SHEET'!$A$377="","",'CALL SHEET'!$A$377)</f>
        <v/>
      </c>
      <c r="B377">
        <f>IF('CALL SHEET'!$C$377="","",'CALL SHEET'!$C$377)</f>
        <v/>
      </c>
      <c r="C377">
        <f>'CALL SHEET'!$U$377</f>
        <v/>
      </c>
      <c r="D377">
        <f>'CALL SHEET'!$AB$377</f>
        <v/>
      </c>
      <c r="E377">
        <f>'CALL SHEET'!$AF$377</f>
        <v/>
      </c>
      <c r="F377">
        <f>IF('CALL SHEET'!$V$377="","",'CALL SHEET'!$V$377)</f>
        <v/>
      </c>
      <c r="G377">
        <f>IF('CALL SHEET'!$D$377="","",'CALL SHEET'!$D$377)</f>
        <v/>
      </c>
      <c r="H377">
        <f>IF('CALL SHEET'!$G$377="","",'CALL SHEET'!$G$377)</f>
        <v/>
      </c>
      <c r="I377">
        <f>IF('CALL SHEET'!$AY$377="","",'CALL SHEET'!$AY$377)</f>
        <v/>
      </c>
      <c r="J377">
        <f>IF('CALL SHEET'!$BC$377="","",'CALL SHEET'!$BC$377)</f>
        <v/>
      </c>
      <c r="K377">
        <f>IF('CALL SHEET'!$N$377="","",'CALL SHEET'!$N$377)</f>
        <v/>
      </c>
      <c r="L377">
        <f>IF('CALL SHEET'!$AH$377="","",'CALL SHEET'!$AH$377)</f>
        <v/>
      </c>
      <c r="M377">
        <f>IF('CALL SHEET'!$AO$377="","",'CALL SHEET'!$AO$377)</f>
        <v/>
      </c>
      <c r="N377">
        <f>IF('CALL SHEET'!$BF$377="","",'CALL SHEET'!$BF$377)</f>
        <v/>
      </c>
      <c r="O377" t="inlineStr">
        <is>
          <t>TRADE</t>
        </is>
      </c>
      <c r="P377" t="inlineStr">
        <is>
          <t>CALL SHEET · row 377</t>
        </is>
      </c>
      <c r="Q377">
        <f>E377+ROW()*0.000000001</f>
        <v/>
      </c>
    </row>
    <row r="378">
      <c r="A378">
        <f>IF('CALL SHEET'!$A$378="","",'CALL SHEET'!$A$378)</f>
        <v/>
      </c>
      <c r="B378">
        <f>IF('CALL SHEET'!$C$378="","",'CALL SHEET'!$C$378)</f>
        <v/>
      </c>
      <c r="C378">
        <f>'CALL SHEET'!$U$378</f>
        <v/>
      </c>
      <c r="D378">
        <f>'CALL SHEET'!$AB$378</f>
        <v/>
      </c>
      <c r="E378">
        <f>'CALL SHEET'!$AF$378</f>
        <v/>
      </c>
      <c r="F378">
        <f>IF('CALL SHEET'!$V$378="","",'CALL SHEET'!$V$378)</f>
        <v/>
      </c>
      <c r="G378">
        <f>IF('CALL SHEET'!$D$378="","",'CALL SHEET'!$D$378)</f>
        <v/>
      </c>
      <c r="H378">
        <f>IF('CALL SHEET'!$G$378="","",'CALL SHEET'!$G$378)</f>
        <v/>
      </c>
      <c r="I378">
        <f>IF('CALL SHEET'!$AY$378="","",'CALL SHEET'!$AY$378)</f>
        <v/>
      </c>
      <c r="J378">
        <f>IF('CALL SHEET'!$BC$378="","",'CALL SHEET'!$BC$378)</f>
        <v/>
      </c>
      <c r="K378">
        <f>IF('CALL SHEET'!$N$378="","",'CALL SHEET'!$N$378)</f>
        <v/>
      </c>
      <c r="L378">
        <f>IF('CALL SHEET'!$AH$378="","",'CALL SHEET'!$AH$378)</f>
        <v/>
      </c>
      <c r="M378">
        <f>IF('CALL SHEET'!$AO$378="","",'CALL SHEET'!$AO$378)</f>
        <v/>
      </c>
      <c r="N378">
        <f>IF('CALL SHEET'!$BF$378="","",'CALL SHEET'!$BF$378)</f>
        <v/>
      </c>
      <c r="O378" t="inlineStr">
        <is>
          <t>TRADE</t>
        </is>
      </c>
      <c r="P378" t="inlineStr">
        <is>
          <t>CALL SHEET · row 378</t>
        </is>
      </c>
      <c r="Q378">
        <f>E378+ROW()*0.000000001</f>
        <v/>
      </c>
    </row>
    <row r="379">
      <c r="A379">
        <f>IF('CALL SHEET'!$A$379="","",'CALL SHEET'!$A$379)</f>
        <v/>
      </c>
      <c r="B379">
        <f>IF('CALL SHEET'!$C$379="","",'CALL SHEET'!$C$379)</f>
        <v/>
      </c>
      <c r="C379">
        <f>'CALL SHEET'!$U$379</f>
        <v/>
      </c>
      <c r="D379">
        <f>'CALL SHEET'!$AB$379</f>
        <v/>
      </c>
      <c r="E379">
        <f>'CALL SHEET'!$AF$379</f>
        <v/>
      </c>
      <c r="F379">
        <f>IF('CALL SHEET'!$V$379="","",'CALL SHEET'!$V$379)</f>
        <v/>
      </c>
      <c r="G379">
        <f>IF('CALL SHEET'!$D$379="","",'CALL SHEET'!$D$379)</f>
        <v/>
      </c>
      <c r="H379">
        <f>IF('CALL SHEET'!$G$379="","",'CALL SHEET'!$G$379)</f>
        <v/>
      </c>
      <c r="I379">
        <f>IF('CALL SHEET'!$AY$379="","",'CALL SHEET'!$AY$379)</f>
        <v/>
      </c>
      <c r="J379">
        <f>IF('CALL SHEET'!$BC$379="","",'CALL SHEET'!$BC$379)</f>
        <v/>
      </c>
      <c r="K379">
        <f>IF('CALL SHEET'!$N$379="","",'CALL SHEET'!$N$379)</f>
        <v/>
      </c>
      <c r="L379">
        <f>IF('CALL SHEET'!$AH$379="","",'CALL SHEET'!$AH$379)</f>
        <v/>
      </c>
      <c r="M379">
        <f>IF('CALL SHEET'!$AO$379="","",'CALL SHEET'!$AO$379)</f>
        <v/>
      </c>
      <c r="N379">
        <f>IF('CALL SHEET'!$BF$379="","",'CALL SHEET'!$BF$379)</f>
        <v/>
      </c>
      <c r="O379" t="inlineStr">
        <is>
          <t>TRADE</t>
        </is>
      </c>
      <c r="P379" t="inlineStr">
        <is>
          <t>CALL SHEET · row 379</t>
        </is>
      </c>
      <c r="Q379">
        <f>E379+ROW()*0.000000001</f>
        <v/>
      </c>
    </row>
    <row r="380">
      <c r="A380">
        <f>IF('CALL SHEET'!$A$380="","",'CALL SHEET'!$A$380)</f>
        <v/>
      </c>
      <c r="B380">
        <f>IF('CALL SHEET'!$C$380="","",'CALL SHEET'!$C$380)</f>
        <v/>
      </c>
      <c r="C380">
        <f>'CALL SHEET'!$U$380</f>
        <v/>
      </c>
      <c r="D380">
        <f>'CALL SHEET'!$AB$380</f>
        <v/>
      </c>
      <c r="E380">
        <f>'CALL SHEET'!$AF$380</f>
        <v/>
      </c>
      <c r="F380">
        <f>IF('CALL SHEET'!$V$380="","",'CALL SHEET'!$V$380)</f>
        <v/>
      </c>
      <c r="G380">
        <f>IF('CALL SHEET'!$D$380="","",'CALL SHEET'!$D$380)</f>
        <v/>
      </c>
      <c r="H380">
        <f>IF('CALL SHEET'!$G$380="","",'CALL SHEET'!$G$380)</f>
        <v/>
      </c>
      <c r="I380">
        <f>IF('CALL SHEET'!$AY$380="","",'CALL SHEET'!$AY$380)</f>
        <v/>
      </c>
      <c r="J380">
        <f>IF('CALL SHEET'!$BC$380="","",'CALL SHEET'!$BC$380)</f>
        <v/>
      </c>
      <c r="K380">
        <f>IF('CALL SHEET'!$N$380="","",'CALL SHEET'!$N$380)</f>
        <v/>
      </c>
      <c r="L380">
        <f>IF('CALL SHEET'!$AH$380="","",'CALL SHEET'!$AH$380)</f>
        <v/>
      </c>
      <c r="M380">
        <f>IF('CALL SHEET'!$AO$380="","",'CALL SHEET'!$AO$380)</f>
        <v/>
      </c>
      <c r="N380">
        <f>IF('CALL SHEET'!$BF$380="","",'CALL SHEET'!$BF$380)</f>
        <v/>
      </c>
      <c r="O380" t="inlineStr">
        <is>
          <t>TRADE</t>
        </is>
      </c>
      <c r="P380" t="inlineStr">
        <is>
          <t>CALL SHEET · row 380</t>
        </is>
      </c>
      <c r="Q380">
        <f>E380+ROW()*0.000000001</f>
        <v/>
      </c>
    </row>
    <row r="381">
      <c r="A381">
        <f>IF('CALL SHEET'!$A$381="","",'CALL SHEET'!$A$381)</f>
        <v/>
      </c>
      <c r="B381">
        <f>IF('CALL SHEET'!$C$381="","",'CALL SHEET'!$C$381)</f>
        <v/>
      </c>
      <c r="C381">
        <f>'CALL SHEET'!$U$381</f>
        <v/>
      </c>
      <c r="D381">
        <f>'CALL SHEET'!$AB$381</f>
        <v/>
      </c>
      <c r="E381">
        <f>'CALL SHEET'!$AF$381</f>
        <v/>
      </c>
      <c r="F381">
        <f>IF('CALL SHEET'!$V$381="","",'CALL SHEET'!$V$381)</f>
        <v/>
      </c>
      <c r="G381">
        <f>IF('CALL SHEET'!$D$381="","",'CALL SHEET'!$D$381)</f>
        <v/>
      </c>
      <c r="H381">
        <f>IF('CALL SHEET'!$G$381="","",'CALL SHEET'!$G$381)</f>
        <v/>
      </c>
      <c r="I381">
        <f>IF('CALL SHEET'!$AY$381="","",'CALL SHEET'!$AY$381)</f>
        <v/>
      </c>
      <c r="J381">
        <f>IF('CALL SHEET'!$BC$381="","",'CALL SHEET'!$BC$381)</f>
        <v/>
      </c>
      <c r="K381">
        <f>IF('CALL SHEET'!$N$381="","",'CALL SHEET'!$N$381)</f>
        <v/>
      </c>
      <c r="L381">
        <f>IF('CALL SHEET'!$AH$381="","",'CALL SHEET'!$AH$381)</f>
        <v/>
      </c>
      <c r="M381">
        <f>IF('CALL SHEET'!$AO$381="","",'CALL SHEET'!$AO$381)</f>
        <v/>
      </c>
      <c r="N381">
        <f>IF('CALL SHEET'!$BF$381="","",'CALL SHEET'!$BF$381)</f>
        <v/>
      </c>
      <c r="O381" t="inlineStr">
        <is>
          <t>TRADE</t>
        </is>
      </c>
      <c r="P381" t="inlineStr">
        <is>
          <t>CALL SHEET · row 381</t>
        </is>
      </c>
      <c r="Q381">
        <f>E381+ROW()*0.000000001</f>
        <v/>
      </c>
    </row>
    <row r="382">
      <c r="A382">
        <f>IF('CALL SHEET'!$A$382="","",'CALL SHEET'!$A$382)</f>
        <v/>
      </c>
      <c r="B382">
        <f>IF('CALL SHEET'!$C$382="","",'CALL SHEET'!$C$382)</f>
        <v/>
      </c>
      <c r="C382">
        <f>'CALL SHEET'!$U$382</f>
        <v/>
      </c>
      <c r="D382">
        <f>'CALL SHEET'!$AB$382</f>
        <v/>
      </c>
      <c r="E382">
        <f>'CALL SHEET'!$AF$382</f>
        <v/>
      </c>
      <c r="F382">
        <f>IF('CALL SHEET'!$V$382="","",'CALL SHEET'!$V$382)</f>
        <v/>
      </c>
      <c r="G382">
        <f>IF('CALL SHEET'!$D$382="","",'CALL SHEET'!$D$382)</f>
        <v/>
      </c>
      <c r="H382">
        <f>IF('CALL SHEET'!$G$382="","",'CALL SHEET'!$G$382)</f>
        <v/>
      </c>
      <c r="I382">
        <f>IF('CALL SHEET'!$AY$382="","",'CALL SHEET'!$AY$382)</f>
        <v/>
      </c>
      <c r="J382">
        <f>IF('CALL SHEET'!$BC$382="","",'CALL SHEET'!$BC$382)</f>
        <v/>
      </c>
      <c r="K382">
        <f>IF('CALL SHEET'!$N$382="","",'CALL SHEET'!$N$382)</f>
        <v/>
      </c>
      <c r="L382">
        <f>IF('CALL SHEET'!$AH$382="","",'CALL SHEET'!$AH$382)</f>
        <v/>
      </c>
      <c r="M382">
        <f>IF('CALL SHEET'!$AO$382="","",'CALL SHEET'!$AO$382)</f>
        <v/>
      </c>
      <c r="N382">
        <f>IF('CALL SHEET'!$BF$382="","",'CALL SHEET'!$BF$382)</f>
        <v/>
      </c>
      <c r="O382" t="inlineStr">
        <is>
          <t>TRADE</t>
        </is>
      </c>
      <c r="P382" t="inlineStr">
        <is>
          <t>CALL SHEET · row 382</t>
        </is>
      </c>
      <c r="Q382">
        <f>E382+ROW()*0.000000001</f>
        <v/>
      </c>
    </row>
    <row r="383">
      <c r="A383">
        <f>IF('CALL SHEET'!$A$383="","",'CALL SHEET'!$A$383)</f>
        <v/>
      </c>
      <c r="B383">
        <f>IF('CALL SHEET'!$C$383="","",'CALL SHEET'!$C$383)</f>
        <v/>
      </c>
      <c r="C383">
        <f>'CALL SHEET'!$U$383</f>
        <v/>
      </c>
      <c r="D383">
        <f>'CALL SHEET'!$AB$383</f>
        <v/>
      </c>
      <c r="E383">
        <f>'CALL SHEET'!$AF$383</f>
        <v/>
      </c>
      <c r="F383">
        <f>IF('CALL SHEET'!$V$383="","",'CALL SHEET'!$V$383)</f>
        <v/>
      </c>
      <c r="G383">
        <f>IF('CALL SHEET'!$D$383="","",'CALL SHEET'!$D$383)</f>
        <v/>
      </c>
      <c r="H383">
        <f>IF('CALL SHEET'!$G$383="","",'CALL SHEET'!$G$383)</f>
        <v/>
      </c>
      <c r="I383">
        <f>IF('CALL SHEET'!$AY$383="","",'CALL SHEET'!$AY$383)</f>
        <v/>
      </c>
      <c r="J383">
        <f>IF('CALL SHEET'!$BC$383="","",'CALL SHEET'!$BC$383)</f>
        <v/>
      </c>
      <c r="K383">
        <f>IF('CALL SHEET'!$N$383="","",'CALL SHEET'!$N$383)</f>
        <v/>
      </c>
      <c r="L383">
        <f>IF('CALL SHEET'!$AH$383="","",'CALL SHEET'!$AH$383)</f>
        <v/>
      </c>
      <c r="M383">
        <f>IF('CALL SHEET'!$AO$383="","",'CALL SHEET'!$AO$383)</f>
        <v/>
      </c>
      <c r="N383">
        <f>IF('CALL SHEET'!$BF$383="","",'CALL SHEET'!$BF$383)</f>
        <v/>
      </c>
      <c r="O383" t="inlineStr">
        <is>
          <t>TRADE</t>
        </is>
      </c>
      <c r="P383" t="inlineStr">
        <is>
          <t>CALL SHEET · row 383</t>
        </is>
      </c>
      <c r="Q383">
        <f>E383+ROW()*0.000000001</f>
        <v/>
      </c>
    </row>
    <row r="384">
      <c r="A384">
        <f>IF('CALL SHEET'!$A$384="","",'CALL SHEET'!$A$384)</f>
        <v/>
      </c>
      <c r="B384">
        <f>IF('CALL SHEET'!$C$384="","",'CALL SHEET'!$C$384)</f>
        <v/>
      </c>
      <c r="C384">
        <f>'CALL SHEET'!$U$384</f>
        <v/>
      </c>
      <c r="D384">
        <f>'CALL SHEET'!$AB$384</f>
        <v/>
      </c>
      <c r="E384">
        <f>'CALL SHEET'!$AF$384</f>
        <v/>
      </c>
      <c r="F384">
        <f>IF('CALL SHEET'!$V$384="","",'CALL SHEET'!$V$384)</f>
        <v/>
      </c>
      <c r="G384">
        <f>IF('CALL SHEET'!$D$384="","",'CALL SHEET'!$D$384)</f>
        <v/>
      </c>
      <c r="H384">
        <f>IF('CALL SHEET'!$G$384="","",'CALL SHEET'!$G$384)</f>
        <v/>
      </c>
      <c r="I384">
        <f>IF('CALL SHEET'!$AY$384="","",'CALL SHEET'!$AY$384)</f>
        <v/>
      </c>
      <c r="J384">
        <f>IF('CALL SHEET'!$BC$384="","",'CALL SHEET'!$BC$384)</f>
        <v/>
      </c>
      <c r="K384">
        <f>IF('CALL SHEET'!$N$384="","",'CALL SHEET'!$N$384)</f>
        <v/>
      </c>
      <c r="L384">
        <f>IF('CALL SHEET'!$AH$384="","",'CALL SHEET'!$AH$384)</f>
        <v/>
      </c>
      <c r="M384">
        <f>IF('CALL SHEET'!$AO$384="","",'CALL SHEET'!$AO$384)</f>
        <v/>
      </c>
      <c r="N384">
        <f>IF('CALL SHEET'!$BF$384="","",'CALL SHEET'!$BF$384)</f>
        <v/>
      </c>
      <c r="O384" t="inlineStr">
        <is>
          <t>TRADE</t>
        </is>
      </c>
      <c r="P384" t="inlineStr">
        <is>
          <t>CALL SHEET · row 384</t>
        </is>
      </c>
      <c r="Q384">
        <f>E384+ROW()*0.000000001</f>
        <v/>
      </c>
    </row>
    <row r="385">
      <c r="A385">
        <f>IF('CALL SHEET'!$A$385="","",'CALL SHEET'!$A$385)</f>
        <v/>
      </c>
      <c r="B385">
        <f>IF('CALL SHEET'!$C$385="","",'CALL SHEET'!$C$385)</f>
        <v/>
      </c>
      <c r="C385">
        <f>'CALL SHEET'!$U$385</f>
        <v/>
      </c>
      <c r="D385">
        <f>'CALL SHEET'!$AB$385</f>
        <v/>
      </c>
      <c r="E385">
        <f>'CALL SHEET'!$AF$385</f>
        <v/>
      </c>
      <c r="F385">
        <f>IF('CALL SHEET'!$V$385="","",'CALL SHEET'!$V$385)</f>
        <v/>
      </c>
      <c r="G385">
        <f>IF('CALL SHEET'!$D$385="","",'CALL SHEET'!$D$385)</f>
        <v/>
      </c>
      <c r="H385">
        <f>IF('CALL SHEET'!$G$385="","",'CALL SHEET'!$G$385)</f>
        <v/>
      </c>
      <c r="I385">
        <f>IF('CALL SHEET'!$AY$385="","",'CALL SHEET'!$AY$385)</f>
        <v/>
      </c>
      <c r="J385">
        <f>IF('CALL SHEET'!$BC$385="","",'CALL SHEET'!$BC$385)</f>
        <v/>
      </c>
      <c r="K385">
        <f>IF('CALL SHEET'!$N$385="","",'CALL SHEET'!$N$385)</f>
        <v/>
      </c>
      <c r="L385">
        <f>IF('CALL SHEET'!$AH$385="","",'CALL SHEET'!$AH$385)</f>
        <v/>
      </c>
      <c r="M385">
        <f>IF('CALL SHEET'!$AO$385="","",'CALL SHEET'!$AO$385)</f>
        <v/>
      </c>
      <c r="N385">
        <f>IF('CALL SHEET'!$BF$385="","",'CALL SHEET'!$BF$385)</f>
        <v/>
      </c>
      <c r="O385" t="inlineStr">
        <is>
          <t>TRADE</t>
        </is>
      </c>
      <c r="P385" t="inlineStr">
        <is>
          <t>CALL SHEET · row 385</t>
        </is>
      </c>
      <c r="Q385">
        <f>E385+ROW()*0.000000001</f>
        <v/>
      </c>
    </row>
    <row r="386">
      <c r="A386">
        <f>IF('CALL SHEET'!$A$386="","",'CALL SHEET'!$A$386)</f>
        <v/>
      </c>
      <c r="B386">
        <f>IF('CALL SHEET'!$C$386="","",'CALL SHEET'!$C$386)</f>
        <v/>
      </c>
      <c r="C386">
        <f>'CALL SHEET'!$U$386</f>
        <v/>
      </c>
      <c r="D386">
        <f>'CALL SHEET'!$AB$386</f>
        <v/>
      </c>
      <c r="E386">
        <f>'CALL SHEET'!$AF$386</f>
        <v/>
      </c>
      <c r="F386">
        <f>IF('CALL SHEET'!$V$386="","",'CALL SHEET'!$V$386)</f>
        <v/>
      </c>
      <c r="G386">
        <f>IF('CALL SHEET'!$D$386="","",'CALL SHEET'!$D$386)</f>
        <v/>
      </c>
      <c r="H386">
        <f>IF('CALL SHEET'!$G$386="","",'CALL SHEET'!$G$386)</f>
        <v/>
      </c>
      <c r="I386">
        <f>IF('CALL SHEET'!$AY$386="","",'CALL SHEET'!$AY$386)</f>
        <v/>
      </c>
      <c r="J386">
        <f>IF('CALL SHEET'!$BC$386="","",'CALL SHEET'!$BC$386)</f>
        <v/>
      </c>
      <c r="K386">
        <f>IF('CALL SHEET'!$N$386="","",'CALL SHEET'!$N$386)</f>
        <v/>
      </c>
      <c r="L386">
        <f>IF('CALL SHEET'!$AH$386="","",'CALL SHEET'!$AH$386)</f>
        <v/>
      </c>
      <c r="M386">
        <f>IF('CALL SHEET'!$AO$386="","",'CALL SHEET'!$AO$386)</f>
        <v/>
      </c>
      <c r="N386">
        <f>IF('CALL SHEET'!$BF$386="","",'CALL SHEET'!$BF$386)</f>
        <v/>
      </c>
      <c r="O386" t="inlineStr">
        <is>
          <t>TRADE</t>
        </is>
      </c>
      <c r="P386" t="inlineStr">
        <is>
          <t>CALL SHEET · row 386</t>
        </is>
      </c>
      <c r="Q386">
        <f>E386+ROW()*0.000000001</f>
        <v/>
      </c>
    </row>
    <row r="387">
      <c r="A387">
        <f>IF('CALL SHEET'!$A$387="","",'CALL SHEET'!$A$387)</f>
        <v/>
      </c>
      <c r="B387">
        <f>IF('CALL SHEET'!$C$387="","",'CALL SHEET'!$C$387)</f>
        <v/>
      </c>
      <c r="C387">
        <f>'CALL SHEET'!$U$387</f>
        <v/>
      </c>
      <c r="D387">
        <f>'CALL SHEET'!$AB$387</f>
        <v/>
      </c>
      <c r="E387">
        <f>'CALL SHEET'!$AF$387</f>
        <v/>
      </c>
      <c r="F387">
        <f>IF('CALL SHEET'!$V$387="","",'CALL SHEET'!$V$387)</f>
        <v/>
      </c>
      <c r="G387">
        <f>IF('CALL SHEET'!$D$387="","",'CALL SHEET'!$D$387)</f>
        <v/>
      </c>
      <c r="H387">
        <f>IF('CALL SHEET'!$G$387="","",'CALL SHEET'!$G$387)</f>
        <v/>
      </c>
      <c r="I387">
        <f>IF('CALL SHEET'!$AY$387="","",'CALL SHEET'!$AY$387)</f>
        <v/>
      </c>
      <c r="J387">
        <f>IF('CALL SHEET'!$BC$387="","",'CALL SHEET'!$BC$387)</f>
        <v/>
      </c>
      <c r="K387">
        <f>IF('CALL SHEET'!$N$387="","",'CALL SHEET'!$N$387)</f>
        <v/>
      </c>
      <c r="L387">
        <f>IF('CALL SHEET'!$AH$387="","",'CALL SHEET'!$AH$387)</f>
        <v/>
      </c>
      <c r="M387">
        <f>IF('CALL SHEET'!$AO$387="","",'CALL SHEET'!$AO$387)</f>
        <v/>
      </c>
      <c r="N387">
        <f>IF('CALL SHEET'!$BF$387="","",'CALL SHEET'!$BF$387)</f>
        <v/>
      </c>
      <c r="O387" t="inlineStr">
        <is>
          <t>TRADE</t>
        </is>
      </c>
      <c r="P387" t="inlineStr">
        <is>
          <t>CALL SHEET · row 387</t>
        </is>
      </c>
      <c r="Q387">
        <f>E387+ROW()*0.000000001</f>
        <v/>
      </c>
    </row>
    <row r="388">
      <c r="A388">
        <f>IF('CALL SHEET'!$A$388="","",'CALL SHEET'!$A$388)</f>
        <v/>
      </c>
      <c r="B388">
        <f>IF('CALL SHEET'!$C$388="","",'CALL SHEET'!$C$388)</f>
        <v/>
      </c>
      <c r="C388">
        <f>'CALL SHEET'!$U$388</f>
        <v/>
      </c>
      <c r="D388">
        <f>'CALL SHEET'!$AB$388</f>
        <v/>
      </c>
      <c r="E388">
        <f>'CALL SHEET'!$AF$388</f>
        <v/>
      </c>
      <c r="F388">
        <f>IF('CALL SHEET'!$V$388="","",'CALL SHEET'!$V$388)</f>
        <v/>
      </c>
      <c r="G388">
        <f>IF('CALL SHEET'!$D$388="","",'CALL SHEET'!$D$388)</f>
        <v/>
      </c>
      <c r="H388">
        <f>IF('CALL SHEET'!$G$388="","",'CALL SHEET'!$G$388)</f>
        <v/>
      </c>
      <c r="I388">
        <f>IF('CALL SHEET'!$AY$388="","",'CALL SHEET'!$AY$388)</f>
        <v/>
      </c>
      <c r="J388">
        <f>IF('CALL SHEET'!$BC$388="","",'CALL SHEET'!$BC$388)</f>
        <v/>
      </c>
      <c r="K388">
        <f>IF('CALL SHEET'!$N$388="","",'CALL SHEET'!$N$388)</f>
        <v/>
      </c>
      <c r="L388">
        <f>IF('CALL SHEET'!$AH$388="","",'CALL SHEET'!$AH$388)</f>
        <v/>
      </c>
      <c r="M388">
        <f>IF('CALL SHEET'!$AO$388="","",'CALL SHEET'!$AO$388)</f>
        <v/>
      </c>
      <c r="N388">
        <f>IF('CALL SHEET'!$BF$388="","",'CALL SHEET'!$BF$388)</f>
        <v/>
      </c>
      <c r="O388" t="inlineStr">
        <is>
          <t>TRADE</t>
        </is>
      </c>
      <c r="P388" t="inlineStr">
        <is>
          <t>CALL SHEET · row 388</t>
        </is>
      </c>
      <c r="Q388">
        <f>E388+ROW()*0.000000001</f>
        <v/>
      </c>
    </row>
    <row r="389">
      <c r="A389">
        <f>IF('CALL SHEET'!$A$389="","",'CALL SHEET'!$A$389)</f>
        <v/>
      </c>
      <c r="B389">
        <f>IF('CALL SHEET'!$C$389="","",'CALL SHEET'!$C$389)</f>
        <v/>
      </c>
      <c r="C389">
        <f>'CALL SHEET'!$U$389</f>
        <v/>
      </c>
      <c r="D389">
        <f>'CALL SHEET'!$AB$389</f>
        <v/>
      </c>
      <c r="E389">
        <f>'CALL SHEET'!$AF$389</f>
        <v/>
      </c>
      <c r="F389">
        <f>IF('CALL SHEET'!$V$389="","",'CALL SHEET'!$V$389)</f>
        <v/>
      </c>
      <c r="G389">
        <f>IF('CALL SHEET'!$D$389="","",'CALL SHEET'!$D$389)</f>
        <v/>
      </c>
      <c r="H389">
        <f>IF('CALL SHEET'!$G$389="","",'CALL SHEET'!$G$389)</f>
        <v/>
      </c>
      <c r="I389">
        <f>IF('CALL SHEET'!$AY$389="","",'CALL SHEET'!$AY$389)</f>
        <v/>
      </c>
      <c r="J389">
        <f>IF('CALL SHEET'!$BC$389="","",'CALL SHEET'!$BC$389)</f>
        <v/>
      </c>
      <c r="K389">
        <f>IF('CALL SHEET'!$N$389="","",'CALL SHEET'!$N$389)</f>
        <v/>
      </c>
      <c r="L389">
        <f>IF('CALL SHEET'!$AH$389="","",'CALL SHEET'!$AH$389)</f>
        <v/>
      </c>
      <c r="M389">
        <f>IF('CALL SHEET'!$AO$389="","",'CALL SHEET'!$AO$389)</f>
        <v/>
      </c>
      <c r="N389">
        <f>IF('CALL SHEET'!$BF$389="","",'CALL SHEET'!$BF$389)</f>
        <v/>
      </c>
      <c r="O389" t="inlineStr">
        <is>
          <t>TRADE</t>
        </is>
      </c>
      <c r="P389" t="inlineStr">
        <is>
          <t>CALL SHEET · row 389</t>
        </is>
      </c>
      <c r="Q389">
        <f>E389+ROW()*0.000000001</f>
        <v/>
      </c>
    </row>
    <row r="390">
      <c r="A390">
        <f>IF('CALL SHEET'!$A$390="","",'CALL SHEET'!$A$390)</f>
        <v/>
      </c>
      <c r="B390">
        <f>IF('CALL SHEET'!$C$390="","",'CALL SHEET'!$C$390)</f>
        <v/>
      </c>
      <c r="C390">
        <f>'CALL SHEET'!$U$390</f>
        <v/>
      </c>
      <c r="D390">
        <f>'CALL SHEET'!$AB$390</f>
        <v/>
      </c>
      <c r="E390">
        <f>'CALL SHEET'!$AF$390</f>
        <v/>
      </c>
      <c r="F390">
        <f>IF('CALL SHEET'!$V$390="","",'CALL SHEET'!$V$390)</f>
        <v/>
      </c>
      <c r="G390">
        <f>IF('CALL SHEET'!$D$390="","",'CALL SHEET'!$D$390)</f>
        <v/>
      </c>
      <c r="H390">
        <f>IF('CALL SHEET'!$G$390="","",'CALL SHEET'!$G$390)</f>
        <v/>
      </c>
      <c r="I390">
        <f>IF('CALL SHEET'!$AY$390="","",'CALL SHEET'!$AY$390)</f>
        <v/>
      </c>
      <c r="J390">
        <f>IF('CALL SHEET'!$BC$390="","",'CALL SHEET'!$BC$390)</f>
        <v/>
      </c>
      <c r="K390">
        <f>IF('CALL SHEET'!$N$390="","",'CALL SHEET'!$N$390)</f>
        <v/>
      </c>
      <c r="L390">
        <f>IF('CALL SHEET'!$AH$390="","",'CALL SHEET'!$AH$390)</f>
        <v/>
      </c>
      <c r="M390">
        <f>IF('CALL SHEET'!$AO$390="","",'CALL SHEET'!$AO$390)</f>
        <v/>
      </c>
      <c r="N390">
        <f>IF('CALL SHEET'!$BF$390="","",'CALL SHEET'!$BF$390)</f>
        <v/>
      </c>
      <c r="O390" t="inlineStr">
        <is>
          <t>TRADE</t>
        </is>
      </c>
      <c r="P390" t="inlineStr">
        <is>
          <t>CALL SHEET · row 390</t>
        </is>
      </c>
      <c r="Q390">
        <f>E390+ROW()*0.000000001</f>
        <v/>
      </c>
    </row>
    <row r="391">
      <c r="A391">
        <f>IF('CALL SHEET'!$A$391="","",'CALL SHEET'!$A$391)</f>
        <v/>
      </c>
      <c r="B391">
        <f>IF('CALL SHEET'!$C$391="","",'CALL SHEET'!$C$391)</f>
        <v/>
      </c>
      <c r="C391">
        <f>'CALL SHEET'!$U$391</f>
        <v/>
      </c>
      <c r="D391">
        <f>'CALL SHEET'!$AB$391</f>
        <v/>
      </c>
      <c r="E391">
        <f>'CALL SHEET'!$AF$391</f>
        <v/>
      </c>
      <c r="F391">
        <f>IF('CALL SHEET'!$V$391="","",'CALL SHEET'!$V$391)</f>
        <v/>
      </c>
      <c r="G391">
        <f>IF('CALL SHEET'!$D$391="","",'CALL SHEET'!$D$391)</f>
        <v/>
      </c>
      <c r="H391">
        <f>IF('CALL SHEET'!$G$391="","",'CALL SHEET'!$G$391)</f>
        <v/>
      </c>
      <c r="I391">
        <f>IF('CALL SHEET'!$AY$391="","",'CALL SHEET'!$AY$391)</f>
        <v/>
      </c>
      <c r="J391">
        <f>IF('CALL SHEET'!$BC$391="","",'CALL SHEET'!$BC$391)</f>
        <v/>
      </c>
      <c r="K391">
        <f>IF('CALL SHEET'!$N$391="","",'CALL SHEET'!$N$391)</f>
        <v/>
      </c>
      <c r="L391">
        <f>IF('CALL SHEET'!$AH$391="","",'CALL SHEET'!$AH$391)</f>
        <v/>
      </c>
      <c r="M391">
        <f>IF('CALL SHEET'!$AO$391="","",'CALL SHEET'!$AO$391)</f>
        <v/>
      </c>
      <c r="N391">
        <f>IF('CALL SHEET'!$BF$391="","",'CALL SHEET'!$BF$391)</f>
        <v/>
      </c>
      <c r="O391" t="inlineStr">
        <is>
          <t>TRADE</t>
        </is>
      </c>
      <c r="P391" t="inlineStr">
        <is>
          <t>CALL SHEET · row 391</t>
        </is>
      </c>
      <c r="Q391">
        <f>E391+ROW()*0.000000001</f>
        <v/>
      </c>
    </row>
    <row r="392">
      <c r="A392">
        <f>IF('CALL SHEET'!$A$392="","",'CALL SHEET'!$A$392)</f>
        <v/>
      </c>
      <c r="B392">
        <f>IF('CALL SHEET'!$C$392="","",'CALL SHEET'!$C$392)</f>
        <v/>
      </c>
      <c r="C392">
        <f>'CALL SHEET'!$U$392</f>
        <v/>
      </c>
      <c r="D392">
        <f>'CALL SHEET'!$AB$392</f>
        <v/>
      </c>
      <c r="E392">
        <f>'CALL SHEET'!$AF$392</f>
        <v/>
      </c>
      <c r="F392">
        <f>IF('CALL SHEET'!$V$392="","",'CALL SHEET'!$V$392)</f>
        <v/>
      </c>
      <c r="G392">
        <f>IF('CALL SHEET'!$D$392="","",'CALL SHEET'!$D$392)</f>
        <v/>
      </c>
      <c r="H392">
        <f>IF('CALL SHEET'!$G$392="","",'CALL SHEET'!$G$392)</f>
        <v/>
      </c>
      <c r="I392">
        <f>IF('CALL SHEET'!$AY$392="","",'CALL SHEET'!$AY$392)</f>
        <v/>
      </c>
      <c r="J392">
        <f>IF('CALL SHEET'!$BC$392="","",'CALL SHEET'!$BC$392)</f>
        <v/>
      </c>
      <c r="K392">
        <f>IF('CALL SHEET'!$N$392="","",'CALL SHEET'!$N$392)</f>
        <v/>
      </c>
      <c r="L392">
        <f>IF('CALL SHEET'!$AH$392="","",'CALL SHEET'!$AH$392)</f>
        <v/>
      </c>
      <c r="M392">
        <f>IF('CALL SHEET'!$AO$392="","",'CALL SHEET'!$AO$392)</f>
        <v/>
      </c>
      <c r="N392">
        <f>IF('CALL SHEET'!$BF$392="","",'CALL SHEET'!$BF$392)</f>
        <v/>
      </c>
      <c r="O392" t="inlineStr">
        <is>
          <t>TRADE</t>
        </is>
      </c>
      <c r="P392" t="inlineStr">
        <is>
          <t>CALL SHEET · row 392</t>
        </is>
      </c>
      <c r="Q392">
        <f>E392+ROW()*0.000000001</f>
        <v/>
      </c>
    </row>
    <row r="393">
      <c r="A393">
        <f>IF('CALL SHEET'!$A$393="","",'CALL SHEET'!$A$393)</f>
        <v/>
      </c>
      <c r="B393">
        <f>IF('CALL SHEET'!$C$393="","",'CALL SHEET'!$C$393)</f>
        <v/>
      </c>
      <c r="C393">
        <f>'CALL SHEET'!$U$393</f>
        <v/>
      </c>
      <c r="D393">
        <f>'CALL SHEET'!$AB$393</f>
        <v/>
      </c>
      <c r="E393">
        <f>'CALL SHEET'!$AF$393</f>
        <v/>
      </c>
      <c r="F393">
        <f>IF('CALL SHEET'!$V$393="","",'CALL SHEET'!$V$393)</f>
        <v/>
      </c>
      <c r="G393">
        <f>IF('CALL SHEET'!$D$393="","",'CALL SHEET'!$D$393)</f>
        <v/>
      </c>
      <c r="H393">
        <f>IF('CALL SHEET'!$G$393="","",'CALL SHEET'!$G$393)</f>
        <v/>
      </c>
      <c r="I393">
        <f>IF('CALL SHEET'!$AY$393="","",'CALL SHEET'!$AY$393)</f>
        <v/>
      </c>
      <c r="J393">
        <f>IF('CALL SHEET'!$BC$393="","",'CALL SHEET'!$BC$393)</f>
        <v/>
      </c>
      <c r="K393">
        <f>IF('CALL SHEET'!$N$393="","",'CALL SHEET'!$N$393)</f>
        <v/>
      </c>
      <c r="L393">
        <f>IF('CALL SHEET'!$AH$393="","",'CALL SHEET'!$AH$393)</f>
        <v/>
      </c>
      <c r="M393">
        <f>IF('CALL SHEET'!$AO$393="","",'CALL SHEET'!$AO$393)</f>
        <v/>
      </c>
      <c r="N393">
        <f>IF('CALL SHEET'!$BF$393="","",'CALL SHEET'!$BF$393)</f>
        <v/>
      </c>
      <c r="O393" t="inlineStr">
        <is>
          <t>TRADE</t>
        </is>
      </c>
      <c r="P393" t="inlineStr">
        <is>
          <t>CALL SHEET · row 393</t>
        </is>
      </c>
      <c r="Q393">
        <f>E393+ROW()*0.000000001</f>
        <v/>
      </c>
    </row>
    <row r="394">
      <c r="A394">
        <f>IF('CALL SHEET'!$A$394="","",'CALL SHEET'!$A$394)</f>
        <v/>
      </c>
      <c r="B394">
        <f>IF('CALL SHEET'!$C$394="","",'CALL SHEET'!$C$394)</f>
        <v/>
      </c>
      <c r="C394">
        <f>'CALL SHEET'!$U$394</f>
        <v/>
      </c>
      <c r="D394">
        <f>'CALL SHEET'!$AB$394</f>
        <v/>
      </c>
      <c r="E394">
        <f>'CALL SHEET'!$AF$394</f>
        <v/>
      </c>
      <c r="F394">
        <f>IF('CALL SHEET'!$V$394="","",'CALL SHEET'!$V$394)</f>
        <v/>
      </c>
      <c r="G394">
        <f>IF('CALL SHEET'!$D$394="","",'CALL SHEET'!$D$394)</f>
        <v/>
      </c>
      <c r="H394">
        <f>IF('CALL SHEET'!$G$394="","",'CALL SHEET'!$G$394)</f>
        <v/>
      </c>
      <c r="I394">
        <f>IF('CALL SHEET'!$AY$394="","",'CALL SHEET'!$AY$394)</f>
        <v/>
      </c>
      <c r="J394">
        <f>IF('CALL SHEET'!$BC$394="","",'CALL SHEET'!$BC$394)</f>
        <v/>
      </c>
      <c r="K394">
        <f>IF('CALL SHEET'!$N$394="","",'CALL SHEET'!$N$394)</f>
        <v/>
      </c>
      <c r="L394">
        <f>IF('CALL SHEET'!$AH$394="","",'CALL SHEET'!$AH$394)</f>
        <v/>
      </c>
      <c r="M394">
        <f>IF('CALL SHEET'!$AO$394="","",'CALL SHEET'!$AO$394)</f>
        <v/>
      </c>
      <c r="N394">
        <f>IF('CALL SHEET'!$BF$394="","",'CALL SHEET'!$BF$394)</f>
        <v/>
      </c>
      <c r="O394" t="inlineStr">
        <is>
          <t>TRADE</t>
        </is>
      </c>
      <c r="P394" t="inlineStr">
        <is>
          <t>CALL SHEET · row 394</t>
        </is>
      </c>
      <c r="Q394">
        <f>E394+ROW()*0.000000001</f>
        <v/>
      </c>
    </row>
    <row r="395">
      <c r="A395">
        <f>IF('CALL SHEET'!$A$395="","",'CALL SHEET'!$A$395)</f>
        <v/>
      </c>
      <c r="B395">
        <f>IF('CALL SHEET'!$C$395="","",'CALL SHEET'!$C$395)</f>
        <v/>
      </c>
      <c r="C395">
        <f>'CALL SHEET'!$U$395</f>
        <v/>
      </c>
      <c r="D395">
        <f>'CALL SHEET'!$AB$395</f>
        <v/>
      </c>
      <c r="E395">
        <f>'CALL SHEET'!$AF$395</f>
        <v/>
      </c>
      <c r="F395">
        <f>IF('CALL SHEET'!$V$395="","",'CALL SHEET'!$V$395)</f>
        <v/>
      </c>
      <c r="G395">
        <f>IF('CALL SHEET'!$D$395="","",'CALL SHEET'!$D$395)</f>
        <v/>
      </c>
      <c r="H395">
        <f>IF('CALL SHEET'!$G$395="","",'CALL SHEET'!$G$395)</f>
        <v/>
      </c>
      <c r="I395">
        <f>IF('CALL SHEET'!$AY$395="","",'CALL SHEET'!$AY$395)</f>
        <v/>
      </c>
      <c r="J395">
        <f>IF('CALL SHEET'!$BC$395="","",'CALL SHEET'!$BC$395)</f>
        <v/>
      </c>
      <c r="K395">
        <f>IF('CALL SHEET'!$N$395="","",'CALL SHEET'!$N$395)</f>
        <v/>
      </c>
      <c r="L395">
        <f>IF('CALL SHEET'!$AH$395="","",'CALL SHEET'!$AH$395)</f>
        <v/>
      </c>
      <c r="M395">
        <f>IF('CALL SHEET'!$AO$395="","",'CALL SHEET'!$AO$395)</f>
        <v/>
      </c>
      <c r="N395">
        <f>IF('CALL SHEET'!$BF$395="","",'CALL SHEET'!$BF$395)</f>
        <v/>
      </c>
      <c r="O395" t="inlineStr">
        <is>
          <t>TRADE</t>
        </is>
      </c>
      <c r="P395" t="inlineStr">
        <is>
          <t>CALL SHEET · row 395</t>
        </is>
      </c>
      <c r="Q395">
        <f>E395+ROW()*0.000000001</f>
        <v/>
      </c>
    </row>
    <row r="396">
      <c r="A396">
        <f>IF('CALL SHEET'!$A$396="","",'CALL SHEET'!$A$396)</f>
        <v/>
      </c>
      <c r="B396">
        <f>IF('CALL SHEET'!$C$396="","",'CALL SHEET'!$C$396)</f>
        <v/>
      </c>
      <c r="C396">
        <f>'CALL SHEET'!$U$396</f>
        <v/>
      </c>
      <c r="D396">
        <f>'CALL SHEET'!$AB$396</f>
        <v/>
      </c>
      <c r="E396">
        <f>'CALL SHEET'!$AF$396</f>
        <v/>
      </c>
      <c r="F396">
        <f>IF('CALL SHEET'!$V$396="","",'CALL SHEET'!$V$396)</f>
        <v/>
      </c>
      <c r="G396">
        <f>IF('CALL SHEET'!$D$396="","",'CALL SHEET'!$D$396)</f>
        <v/>
      </c>
      <c r="H396">
        <f>IF('CALL SHEET'!$G$396="","",'CALL SHEET'!$G$396)</f>
        <v/>
      </c>
      <c r="I396">
        <f>IF('CALL SHEET'!$AY$396="","",'CALL SHEET'!$AY$396)</f>
        <v/>
      </c>
      <c r="J396">
        <f>IF('CALL SHEET'!$BC$396="","",'CALL SHEET'!$BC$396)</f>
        <v/>
      </c>
      <c r="K396">
        <f>IF('CALL SHEET'!$N$396="","",'CALL SHEET'!$N$396)</f>
        <v/>
      </c>
      <c r="L396">
        <f>IF('CALL SHEET'!$AH$396="","",'CALL SHEET'!$AH$396)</f>
        <v/>
      </c>
      <c r="M396">
        <f>IF('CALL SHEET'!$AO$396="","",'CALL SHEET'!$AO$396)</f>
        <v/>
      </c>
      <c r="N396">
        <f>IF('CALL SHEET'!$BF$396="","",'CALL SHEET'!$BF$396)</f>
        <v/>
      </c>
      <c r="O396" t="inlineStr">
        <is>
          <t>TRADE</t>
        </is>
      </c>
      <c r="P396" t="inlineStr">
        <is>
          <t>CALL SHEET · row 396</t>
        </is>
      </c>
      <c r="Q396">
        <f>E396+ROW()*0.000000001</f>
        <v/>
      </c>
    </row>
    <row r="397">
      <c r="A397">
        <f>IF('CALL SHEET'!$A$397="","",'CALL SHEET'!$A$397)</f>
        <v/>
      </c>
      <c r="B397">
        <f>IF('CALL SHEET'!$C$397="","",'CALL SHEET'!$C$397)</f>
        <v/>
      </c>
      <c r="C397">
        <f>'CALL SHEET'!$U$397</f>
        <v/>
      </c>
      <c r="D397">
        <f>'CALL SHEET'!$AB$397</f>
        <v/>
      </c>
      <c r="E397">
        <f>'CALL SHEET'!$AF$397</f>
        <v/>
      </c>
      <c r="F397">
        <f>IF('CALL SHEET'!$V$397="","",'CALL SHEET'!$V$397)</f>
        <v/>
      </c>
      <c r="G397">
        <f>IF('CALL SHEET'!$D$397="","",'CALL SHEET'!$D$397)</f>
        <v/>
      </c>
      <c r="H397">
        <f>IF('CALL SHEET'!$G$397="","",'CALL SHEET'!$G$397)</f>
        <v/>
      </c>
      <c r="I397">
        <f>IF('CALL SHEET'!$AY$397="","",'CALL SHEET'!$AY$397)</f>
        <v/>
      </c>
      <c r="J397">
        <f>IF('CALL SHEET'!$BC$397="","",'CALL SHEET'!$BC$397)</f>
        <v/>
      </c>
      <c r="K397">
        <f>IF('CALL SHEET'!$N$397="","",'CALL SHEET'!$N$397)</f>
        <v/>
      </c>
      <c r="L397">
        <f>IF('CALL SHEET'!$AH$397="","",'CALL SHEET'!$AH$397)</f>
        <v/>
      </c>
      <c r="M397">
        <f>IF('CALL SHEET'!$AO$397="","",'CALL SHEET'!$AO$397)</f>
        <v/>
      </c>
      <c r="N397">
        <f>IF('CALL SHEET'!$BF$397="","",'CALL SHEET'!$BF$397)</f>
        <v/>
      </c>
      <c r="O397" t="inlineStr">
        <is>
          <t>TRADE</t>
        </is>
      </c>
      <c r="P397" t="inlineStr">
        <is>
          <t>CALL SHEET · row 397</t>
        </is>
      </c>
      <c r="Q397">
        <f>E397+ROW()*0.000000001</f>
        <v/>
      </c>
    </row>
    <row r="398">
      <c r="A398">
        <f>IF('CALL SHEET'!$A$398="","",'CALL SHEET'!$A$398)</f>
        <v/>
      </c>
      <c r="B398">
        <f>IF('CALL SHEET'!$C$398="","",'CALL SHEET'!$C$398)</f>
        <v/>
      </c>
      <c r="C398">
        <f>'CALL SHEET'!$U$398</f>
        <v/>
      </c>
      <c r="D398">
        <f>'CALL SHEET'!$AB$398</f>
        <v/>
      </c>
      <c r="E398">
        <f>'CALL SHEET'!$AF$398</f>
        <v/>
      </c>
      <c r="F398">
        <f>IF('CALL SHEET'!$V$398="","",'CALL SHEET'!$V$398)</f>
        <v/>
      </c>
      <c r="G398">
        <f>IF('CALL SHEET'!$D$398="","",'CALL SHEET'!$D$398)</f>
        <v/>
      </c>
      <c r="H398">
        <f>IF('CALL SHEET'!$G$398="","",'CALL SHEET'!$G$398)</f>
        <v/>
      </c>
      <c r="I398">
        <f>IF('CALL SHEET'!$AY$398="","",'CALL SHEET'!$AY$398)</f>
        <v/>
      </c>
      <c r="J398">
        <f>IF('CALL SHEET'!$BC$398="","",'CALL SHEET'!$BC$398)</f>
        <v/>
      </c>
      <c r="K398">
        <f>IF('CALL SHEET'!$N$398="","",'CALL SHEET'!$N$398)</f>
        <v/>
      </c>
      <c r="L398">
        <f>IF('CALL SHEET'!$AH$398="","",'CALL SHEET'!$AH$398)</f>
        <v/>
      </c>
      <c r="M398">
        <f>IF('CALL SHEET'!$AO$398="","",'CALL SHEET'!$AO$398)</f>
        <v/>
      </c>
      <c r="N398">
        <f>IF('CALL SHEET'!$BF$398="","",'CALL SHEET'!$BF$398)</f>
        <v/>
      </c>
      <c r="O398" t="inlineStr">
        <is>
          <t>TRADE</t>
        </is>
      </c>
      <c r="P398" t="inlineStr">
        <is>
          <t>CALL SHEET · row 398</t>
        </is>
      </c>
      <c r="Q398">
        <f>E398+ROW()*0.000000001</f>
        <v/>
      </c>
    </row>
    <row r="399">
      <c r="A399">
        <f>IF('CALL SHEET'!$A$399="","",'CALL SHEET'!$A$399)</f>
        <v/>
      </c>
      <c r="B399">
        <f>IF('CALL SHEET'!$C$399="","",'CALL SHEET'!$C$399)</f>
        <v/>
      </c>
      <c r="C399">
        <f>'CALL SHEET'!$U$399</f>
        <v/>
      </c>
      <c r="D399">
        <f>'CALL SHEET'!$AB$399</f>
        <v/>
      </c>
      <c r="E399">
        <f>'CALL SHEET'!$AF$399</f>
        <v/>
      </c>
      <c r="F399">
        <f>IF('CALL SHEET'!$V$399="","",'CALL SHEET'!$V$399)</f>
        <v/>
      </c>
      <c r="G399">
        <f>IF('CALL SHEET'!$D$399="","",'CALL SHEET'!$D$399)</f>
        <v/>
      </c>
      <c r="H399">
        <f>IF('CALL SHEET'!$G$399="","",'CALL SHEET'!$G$399)</f>
        <v/>
      </c>
      <c r="I399">
        <f>IF('CALL SHEET'!$AY$399="","",'CALL SHEET'!$AY$399)</f>
        <v/>
      </c>
      <c r="J399">
        <f>IF('CALL SHEET'!$BC$399="","",'CALL SHEET'!$BC$399)</f>
        <v/>
      </c>
      <c r="K399">
        <f>IF('CALL SHEET'!$N$399="","",'CALL SHEET'!$N$399)</f>
        <v/>
      </c>
      <c r="L399">
        <f>IF('CALL SHEET'!$AH$399="","",'CALL SHEET'!$AH$399)</f>
        <v/>
      </c>
      <c r="M399">
        <f>IF('CALL SHEET'!$AO$399="","",'CALL SHEET'!$AO$399)</f>
        <v/>
      </c>
      <c r="N399">
        <f>IF('CALL SHEET'!$BF$399="","",'CALL SHEET'!$BF$399)</f>
        <v/>
      </c>
      <c r="O399" t="inlineStr">
        <is>
          <t>TRADE</t>
        </is>
      </c>
      <c r="P399" t="inlineStr">
        <is>
          <t>CALL SHEET · row 399</t>
        </is>
      </c>
      <c r="Q399">
        <f>E399+ROW()*0.000000001</f>
        <v/>
      </c>
    </row>
    <row r="400">
      <c r="A400">
        <f>IF('CALL SHEET'!$A$400="","",'CALL SHEET'!$A$400)</f>
        <v/>
      </c>
      <c r="B400">
        <f>IF('CALL SHEET'!$C$400="","",'CALL SHEET'!$C$400)</f>
        <v/>
      </c>
      <c r="C400">
        <f>'CALL SHEET'!$U$400</f>
        <v/>
      </c>
      <c r="D400">
        <f>'CALL SHEET'!$AB$400</f>
        <v/>
      </c>
      <c r="E400">
        <f>'CALL SHEET'!$AF$400</f>
        <v/>
      </c>
      <c r="F400">
        <f>IF('CALL SHEET'!$V$400="","",'CALL SHEET'!$V$400)</f>
        <v/>
      </c>
      <c r="G400">
        <f>IF('CALL SHEET'!$D$400="","",'CALL SHEET'!$D$400)</f>
        <v/>
      </c>
      <c r="H400">
        <f>IF('CALL SHEET'!$G$400="","",'CALL SHEET'!$G$400)</f>
        <v/>
      </c>
      <c r="I400">
        <f>IF('CALL SHEET'!$AY$400="","",'CALL SHEET'!$AY$400)</f>
        <v/>
      </c>
      <c r="J400">
        <f>IF('CALL SHEET'!$BC$400="","",'CALL SHEET'!$BC$400)</f>
        <v/>
      </c>
      <c r="K400">
        <f>IF('CALL SHEET'!$N$400="","",'CALL SHEET'!$N$400)</f>
        <v/>
      </c>
      <c r="L400">
        <f>IF('CALL SHEET'!$AH$400="","",'CALL SHEET'!$AH$400)</f>
        <v/>
      </c>
      <c r="M400">
        <f>IF('CALL SHEET'!$AO$400="","",'CALL SHEET'!$AO$400)</f>
        <v/>
      </c>
      <c r="N400">
        <f>IF('CALL SHEET'!$BF$400="","",'CALL SHEET'!$BF$400)</f>
        <v/>
      </c>
      <c r="O400" t="inlineStr">
        <is>
          <t>TRADE</t>
        </is>
      </c>
      <c r="P400" t="inlineStr">
        <is>
          <t>CALL SHEET · row 400</t>
        </is>
      </c>
      <c r="Q400">
        <f>E400+ROW()*0.000000001</f>
        <v/>
      </c>
    </row>
    <row r="401">
      <c r="A401">
        <f>IF('CALL SHEET'!$A$401="","",'CALL SHEET'!$A$401)</f>
        <v/>
      </c>
      <c r="B401">
        <f>IF('CALL SHEET'!$C$401="","",'CALL SHEET'!$C$401)</f>
        <v/>
      </c>
      <c r="C401">
        <f>'CALL SHEET'!$U$401</f>
        <v/>
      </c>
      <c r="D401">
        <f>'CALL SHEET'!$AB$401</f>
        <v/>
      </c>
      <c r="E401">
        <f>'CALL SHEET'!$AF$401</f>
        <v/>
      </c>
      <c r="F401">
        <f>IF('CALL SHEET'!$V$401="","",'CALL SHEET'!$V$401)</f>
        <v/>
      </c>
      <c r="G401">
        <f>IF('CALL SHEET'!$D$401="","",'CALL SHEET'!$D$401)</f>
        <v/>
      </c>
      <c r="H401">
        <f>IF('CALL SHEET'!$G$401="","",'CALL SHEET'!$G$401)</f>
        <v/>
      </c>
      <c r="I401">
        <f>IF('CALL SHEET'!$AY$401="","",'CALL SHEET'!$AY$401)</f>
        <v/>
      </c>
      <c r="J401">
        <f>IF('CALL SHEET'!$BC$401="","",'CALL SHEET'!$BC$401)</f>
        <v/>
      </c>
      <c r="K401">
        <f>IF('CALL SHEET'!$N$401="","",'CALL SHEET'!$N$401)</f>
        <v/>
      </c>
      <c r="L401">
        <f>IF('CALL SHEET'!$AH$401="","",'CALL SHEET'!$AH$401)</f>
        <v/>
      </c>
      <c r="M401">
        <f>IF('CALL SHEET'!$AO$401="","",'CALL SHEET'!$AO$401)</f>
        <v/>
      </c>
      <c r="N401">
        <f>IF('CALL SHEET'!$BF$401="","",'CALL SHEET'!$BF$401)</f>
        <v/>
      </c>
      <c r="O401" t="inlineStr">
        <is>
          <t>TRADE</t>
        </is>
      </c>
      <c r="P401" t="inlineStr">
        <is>
          <t>CALL SHEET · row 401</t>
        </is>
      </c>
      <c r="Q401">
        <f>E401+ROW()*0.000000001</f>
        <v/>
      </c>
    </row>
    <row r="402">
      <c r="A402">
        <f>IF('CALL SHEET'!$A$402="","",'CALL SHEET'!$A$402)</f>
        <v/>
      </c>
      <c r="B402">
        <f>IF('CALL SHEET'!$C$402="","",'CALL SHEET'!$C$402)</f>
        <v/>
      </c>
      <c r="C402">
        <f>'CALL SHEET'!$U$402</f>
        <v/>
      </c>
      <c r="D402">
        <f>'CALL SHEET'!$AB$402</f>
        <v/>
      </c>
      <c r="E402">
        <f>'CALL SHEET'!$AF$402</f>
        <v/>
      </c>
      <c r="F402">
        <f>IF('CALL SHEET'!$V$402="","",'CALL SHEET'!$V$402)</f>
        <v/>
      </c>
      <c r="G402">
        <f>IF('CALL SHEET'!$D$402="","",'CALL SHEET'!$D$402)</f>
        <v/>
      </c>
      <c r="H402">
        <f>IF('CALL SHEET'!$G$402="","",'CALL SHEET'!$G$402)</f>
        <v/>
      </c>
      <c r="I402">
        <f>IF('CALL SHEET'!$AY$402="","",'CALL SHEET'!$AY$402)</f>
        <v/>
      </c>
      <c r="J402">
        <f>IF('CALL SHEET'!$BC$402="","",'CALL SHEET'!$BC$402)</f>
        <v/>
      </c>
      <c r="K402">
        <f>IF('CALL SHEET'!$N$402="","",'CALL SHEET'!$N$402)</f>
        <v/>
      </c>
      <c r="L402">
        <f>IF('CALL SHEET'!$AH$402="","",'CALL SHEET'!$AH$402)</f>
        <v/>
      </c>
      <c r="M402">
        <f>IF('CALL SHEET'!$AO$402="","",'CALL SHEET'!$AO$402)</f>
        <v/>
      </c>
      <c r="N402">
        <f>IF('CALL SHEET'!$BF$402="","",'CALL SHEET'!$BF$402)</f>
        <v/>
      </c>
      <c r="O402" t="inlineStr">
        <is>
          <t>TRADE</t>
        </is>
      </c>
      <c r="P402" t="inlineStr">
        <is>
          <t>CALL SHEET · row 402</t>
        </is>
      </c>
      <c r="Q402">
        <f>E402+ROW()*0.000000001</f>
        <v/>
      </c>
    </row>
    <row r="403">
      <c r="A403">
        <f>IF('CALL SHEET'!$A$403="","",'CALL SHEET'!$A$403)</f>
        <v/>
      </c>
      <c r="B403">
        <f>IF('CALL SHEET'!$C$403="","",'CALL SHEET'!$C$403)</f>
        <v/>
      </c>
      <c r="C403">
        <f>'CALL SHEET'!$U$403</f>
        <v/>
      </c>
      <c r="D403">
        <f>'CALL SHEET'!$AB$403</f>
        <v/>
      </c>
      <c r="E403">
        <f>'CALL SHEET'!$AF$403</f>
        <v/>
      </c>
      <c r="F403">
        <f>IF('CALL SHEET'!$V$403="","",'CALL SHEET'!$V$403)</f>
        <v/>
      </c>
      <c r="G403">
        <f>IF('CALL SHEET'!$D$403="","",'CALL SHEET'!$D$403)</f>
        <v/>
      </c>
      <c r="H403">
        <f>IF('CALL SHEET'!$G$403="","",'CALL SHEET'!$G$403)</f>
        <v/>
      </c>
      <c r="I403">
        <f>IF('CALL SHEET'!$AY$403="","",'CALL SHEET'!$AY$403)</f>
        <v/>
      </c>
      <c r="J403">
        <f>IF('CALL SHEET'!$BC$403="","",'CALL SHEET'!$BC$403)</f>
        <v/>
      </c>
      <c r="K403">
        <f>IF('CALL SHEET'!$N$403="","",'CALL SHEET'!$N$403)</f>
        <v/>
      </c>
      <c r="L403">
        <f>IF('CALL SHEET'!$AH$403="","",'CALL SHEET'!$AH$403)</f>
        <v/>
      </c>
      <c r="M403">
        <f>IF('CALL SHEET'!$AO$403="","",'CALL SHEET'!$AO$403)</f>
        <v/>
      </c>
      <c r="N403">
        <f>IF('CALL SHEET'!$BF$403="","",'CALL SHEET'!$BF$403)</f>
        <v/>
      </c>
      <c r="O403" t="inlineStr">
        <is>
          <t>TRADE</t>
        </is>
      </c>
      <c r="P403" t="inlineStr">
        <is>
          <t>CALL SHEET · row 403</t>
        </is>
      </c>
      <c r="Q403">
        <f>E403+ROW()*0.000000001</f>
        <v/>
      </c>
    </row>
    <row r="404">
      <c r="A404">
        <f>IF('CALL SHEET'!$A$404="","",'CALL SHEET'!$A$404)</f>
        <v/>
      </c>
      <c r="B404">
        <f>IF('CALL SHEET'!$C$404="","",'CALL SHEET'!$C$404)</f>
        <v/>
      </c>
      <c r="C404">
        <f>'CALL SHEET'!$U$404</f>
        <v/>
      </c>
      <c r="D404">
        <f>'CALL SHEET'!$AB$404</f>
        <v/>
      </c>
      <c r="E404">
        <f>'CALL SHEET'!$AF$404</f>
        <v/>
      </c>
      <c r="F404">
        <f>IF('CALL SHEET'!$V$404="","",'CALL SHEET'!$V$404)</f>
        <v/>
      </c>
      <c r="G404">
        <f>IF('CALL SHEET'!$D$404="","",'CALL SHEET'!$D$404)</f>
        <v/>
      </c>
      <c r="H404">
        <f>IF('CALL SHEET'!$G$404="","",'CALL SHEET'!$G$404)</f>
        <v/>
      </c>
      <c r="I404">
        <f>IF('CALL SHEET'!$AY$404="","",'CALL SHEET'!$AY$404)</f>
        <v/>
      </c>
      <c r="J404">
        <f>IF('CALL SHEET'!$BC$404="","",'CALL SHEET'!$BC$404)</f>
        <v/>
      </c>
      <c r="K404">
        <f>IF('CALL SHEET'!$N$404="","",'CALL SHEET'!$N$404)</f>
        <v/>
      </c>
      <c r="L404">
        <f>IF('CALL SHEET'!$AH$404="","",'CALL SHEET'!$AH$404)</f>
        <v/>
      </c>
      <c r="M404">
        <f>IF('CALL SHEET'!$AO$404="","",'CALL SHEET'!$AO$404)</f>
        <v/>
      </c>
      <c r="N404">
        <f>IF('CALL SHEET'!$BF$404="","",'CALL SHEET'!$BF$404)</f>
        <v/>
      </c>
      <c r="O404" t="inlineStr">
        <is>
          <t>TRADE</t>
        </is>
      </c>
      <c r="P404" t="inlineStr">
        <is>
          <t>CALL SHEET · row 404</t>
        </is>
      </c>
      <c r="Q404">
        <f>E404+ROW()*0.000000001</f>
        <v/>
      </c>
    </row>
    <row r="405">
      <c r="A405">
        <f>IF('CALL SHEET'!$A$405="","",'CALL SHEET'!$A$405)</f>
        <v/>
      </c>
      <c r="B405">
        <f>IF('CALL SHEET'!$C$405="","",'CALL SHEET'!$C$405)</f>
        <v/>
      </c>
      <c r="C405">
        <f>'CALL SHEET'!$U$405</f>
        <v/>
      </c>
      <c r="D405">
        <f>'CALL SHEET'!$AB$405</f>
        <v/>
      </c>
      <c r="E405">
        <f>'CALL SHEET'!$AF$405</f>
        <v/>
      </c>
      <c r="F405">
        <f>IF('CALL SHEET'!$V$405="","",'CALL SHEET'!$V$405)</f>
        <v/>
      </c>
      <c r="G405">
        <f>IF('CALL SHEET'!$D$405="","",'CALL SHEET'!$D$405)</f>
        <v/>
      </c>
      <c r="H405">
        <f>IF('CALL SHEET'!$G$405="","",'CALL SHEET'!$G$405)</f>
        <v/>
      </c>
      <c r="I405">
        <f>IF('CALL SHEET'!$AY$405="","",'CALL SHEET'!$AY$405)</f>
        <v/>
      </c>
      <c r="J405">
        <f>IF('CALL SHEET'!$BC$405="","",'CALL SHEET'!$BC$405)</f>
        <v/>
      </c>
      <c r="K405">
        <f>IF('CALL SHEET'!$N$405="","",'CALL SHEET'!$N$405)</f>
        <v/>
      </c>
      <c r="L405">
        <f>IF('CALL SHEET'!$AH$405="","",'CALL SHEET'!$AH$405)</f>
        <v/>
      </c>
      <c r="M405">
        <f>IF('CALL SHEET'!$AO$405="","",'CALL SHEET'!$AO$405)</f>
        <v/>
      </c>
      <c r="N405">
        <f>IF('CALL SHEET'!$BF$405="","",'CALL SHEET'!$BF$405)</f>
        <v/>
      </c>
      <c r="O405" t="inlineStr">
        <is>
          <t>TRADE</t>
        </is>
      </c>
      <c r="P405" t="inlineStr">
        <is>
          <t>CALL SHEET · row 405</t>
        </is>
      </c>
      <c r="Q405">
        <f>E405+ROW()*0.000000001</f>
        <v/>
      </c>
    </row>
    <row r="406">
      <c r="A406">
        <f>IF('CALL SHEET'!$A$406="","",'CALL SHEET'!$A$406)</f>
        <v/>
      </c>
      <c r="B406">
        <f>IF('CALL SHEET'!$C$406="","",'CALL SHEET'!$C$406)</f>
        <v/>
      </c>
      <c r="C406">
        <f>'CALL SHEET'!$U$406</f>
        <v/>
      </c>
      <c r="D406">
        <f>'CALL SHEET'!$AB$406</f>
        <v/>
      </c>
      <c r="E406">
        <f>'CALL SHEET'!$AF$406</f>
        <v/>
      </c>
      <c r="F406">
        <f>IF('CALL SHEET'!$V$406="","",'CALL SHEET'!$V$406)</f>
        <v/>
      </c>
      <c r="G406">
        <f>IF('CALL SHEET'!$D$406="","",'CALL SHEET'!$D$406)</f>
        <v/>
      </c>
      <c r="H406">
        <f>IF('CALL SHEET'!$G$406="","",'CALL SHEET'!$G$406)</f>
        <v/>
      </c>
      <c r="I406">
        <f>IF('CALL SHEET'!$AY$406="","",'CALL SHEET'!$AY$406)</f>
        <v/>
      </c>
      <c r="J406">
        <f>IF('CALL SHEET'!$BC$406="","",'CALL SHEET'!$BC$406)</f>
        <v/>
      </c>
      <c r="K406">
        <f>IF('CALL SHEET'!$N$406="","",'CALL SHEET'!$N$406)</f>
        <v/>
      </c>
      <c r="L406">
        <f>IF('CALL SHEET'!$AH$406="","",'CALL SHEET'!$AH$406)</f>
        <v/>
      </c>
      <c r="M406">
        <f>IF('CALL SHEET'!$AO$406="","",'CALL SHEET'!$AO$406)</f>
        <v/>
      </c>
      <c r="N406">
        <f>IF('CALL SHEET'!$BF$406="","",'CALL SHEET'!$BF$406)</f>
        <v/>
      </c>
      <c r="O406" t="inlineStr">
        <is>
          <t>TRADE</t>
        </is>
      </c>
      <c r="P406" t="inlineStr">
        <is>
          <t>CALL SHEET · row 406</t>
        </is>
      </c>
      <c r="Q406">
        <f>E406+ROW()*0.000000001</f>
        <v/>
      </c>
    </row>
    <row r="407">
      <c r="A407">
        <f>IF('CALL SHEET'!$A$407="","",'CALL SHEET'!$A$407)</f>
        <v/>
      </c>
      <c r="B407">
        <f>IF('CALL SHEET'!$C$407="","",'CALL SHEET'!$C$407)</f>
        <v/>
      </c>
      <c r="C407">
        <f>'CALL SHEET'!$U$407</f>
        <v/>
      </c>
      <c r="D407">
        <f>'CALL SHEET'!$AB$407</f>
        <v/>
      </c>
      <c r="E407">
        <f>'CALL SHEET'!$AF$407</f>
        <v/>
      </c>
      <c r="F407">
        <f>IF('CALL SHEET'!$V$407="","",'CALL SHEET'!$V$407)</f>
        <v/>
      </c>
      <c r="G407">
        <f>IF('CALL SHEET'!$D$407="","",'CALL SHEET'!$D$407)</f>
        <v/>
      </c>
      <c r="H407">
        <f>IF('CALL SHEET'!$G$407="","",'CALL SHEET'!$G$407)</f>
        <v/>
      </c>
      <c r="I407">
        <f>IF('CALL SHEET'!$AY$407="","",'CALL SHEET'!$AY$407)</f>
        <v/>
      </c>
      <c r="J407">
        <f>IF('CALL SHEET'!$BC$407="","",'CALL SHEET'!$BC$407)</f>
        <v/>
      </c>
      <c r="K407">
        <f>IF('CALL SHEET'!$N$407="","",'CALL SHEET'!$N$407)</f>
        <v/>
      </c>
      <c r="L407">
        <f>IF('CALL SHEET'!$AH$407="","",'CALL SHEET'!$AH$407)</f>
        <v/>
      </c>
      <c r="M407">
        <f>IF('CALL SHEET'!$AO$407="","",'CALL SHEET'!$AO$407)</f>
        <v/>
      </c>
      <c r="N407">
        <f>IF('CALL SHEET'!$BF$407="","",'CALL SHEET'!$BF$407)</f>
        <v/>
      </c>
      <c r="O407" t="inlineStr">
        <is>
          <t>TRADE</t>
        </is>
      </c>
      <c r="P407" t="inlineStr">
        <is>
          <t>CALL SHEET · row 407</t>
        </is>
      </c>
      <c r="Q407">
        <f>E407+ROW()*0.000000001</f>
        <v/>
      </c>
    </row>
    <row r="408">
      <c r="A408">
        <f>IF('CALL SHEET'!$A$408="","",'CALL SHEET'!$A$408)</f>
        <v/>
      </c>
      <c r="B408">
        <f>IF('CALL SHEET'!$C$408="","",'CALL SHEET'!$C$408)</f>
        <v/>
      </c>
      <c r="C408">
        <f>'CALL SHEET'!$U$408</f>
        <v/>
      </c>
      <c r="D408">
        <f>'CALL SHEET'!$AB$408</f>
        <v/>
      </c>
      <c r="E408">
        <f>'CALL SHEET'!$AF$408</f>
        <v/>
      </c>
      <c r="F408">
        <f>IF('CALL SHEET'!$V$408="","",'CALL SHEET'!$V$408)</f>
        <v/>
      </c>
      <c r="G408">
        <f>IF('CALL SHEET'!$D$408="","",'CALL SHEET'!$D$408)</f>
        <v/>
      </c>
      <c r="H408">
        <f>IF('CALL SHEET'!$G$408="","",'CALL SHEET'!$G$408)</f>
        <v/>
      </c>
      <c r="I408">
        <f>IF('CALL SHEET'!$AY$408="","",'CALL SHEET'!$AY$408)</f>
        <v/>
      </c>
      <c r="J408">
        <f>IF('CALL SHEET'!$BC$408="","",'CALL SHEET'!$BC$408)</f>
        <v/>
      </c>
      <c r="K408">
        <f>IF('CALL SHEET'!$N$408="","",'CALL SHEET'!$N$408)</f>
        <v/>
      </c>
      <c r="L408">
        <f>IF('CALL SHEET'!$AH$408="","",'CALL SHEET'!$AH$408)</f>
        <v/>
      </c>
      <c r="M408">
        <f>IF('CALL SHEET'!$AO$408="","",'CALL SHEET'!$AO$408)</f>
        <v/>
      </c>
      <c r="N408">
        <f>IF('CALL SHEET'!$BF$408="","",'CALL SHEET'!$BF$408)</f>
        <v/>
      </c>
      <c r="O408" t="inlineStr">
        <is>
          <t>TRADE</t>
        </is>
      </c>
      <c r="P408" t="inlineStr">
        <is>
          <t>CALL SHEET · row 408</t>
        </is>
      </c>
      <c r="Q408">
        <f>E408+ROW()*0.000000001</f>
        <v/>
      </c>
    </row>
    <row r="409">
      <c r="A409">
        <f>IF('CALL SHEET'!$A$409="","",'CALL SHEET'!$A$409)</f>
        <v/>
      </c>
      <c r="B409">
        <f>IF('CALL SHEET'!$C$409="","",'CALL SHEET'!$C$409)</f>
        <v/>
      </c>
      <c r="C409">
        <f>'CALL SHEET'!$U$409</f>
        <v/>
      </c>
      <c r="D409">
        <f>'CALL SHEET'!$AB$409</f>
        <v/>
      </c>
      <c r="E409">
        <f>'CALL SHEET'!$AF$409</f>
        <v/>
      </c>
      <c r="F409">
        <f>IF('CALL SHEET'!$V$409="","",'CALL SHEET'!$V$409)</f>
        <v/>
      </c>
      <c r="G409">
        <f>IF('CALL SHEET'!$D$409="","",'CALL SHEET'!$D$409)</f>
        <v/>
      </c>
      <c r="H409">
        <f>IF('CALL SHEET'!$G$409="","",'CALL SHEET'!$G$409)</f>
        <v/>
      </c>
      <c r="I409">
        <f>IF('CALL SHEET'!$AY$409="","",'CALL SHEET'!$AY$409)</f>
        <v/>
      </c>
      <c r="J409">
        <f>IF('CALL SHEET'!$BC$409="","",'CALL SHEET'!$BC$409)</f>
        <v/>
      </c>
      <c r="K409">
        <f>IF('CALL SHEET'!$N$409="","",'CALL SHEET'!$N$409)</f>
        <v/>
      </c>
      <c r="L409">
        <f>IF('CALL SHEET'!$AH$409="","",'CALL SHEET'!$AH$409)</f>
        <v/>
      </c>
      <c r="M409">
        <f>IF('CALL SHEET'!$AO$409="","",'CALL SHEET'!$AO$409)</f>
        <v/>
      </c>
      <c r="N409">
        <f>IF('CALL SHEET'!$BF$409="","",'CALL SHEET'!$BF$409)</f>
        <v/>
      </c>
      <c r="O409" t="inlineStr">
        <is>
          <t>TRADE</t>
        </is>
      </c>
      <c r="P409" t="inlineStr">
        <is>
          <t>CALL SHEET · row 409</t>
        </is>
      </c>
      <c r="Q409">
        <f>E409+ROW()*0.000000001</f>
        <v/>
      </c>
    </row>
    <row r="410">
      <c r="A410">
        <f>IF('CALL SHEET'!$A$410="","",'CALL SHEET'!$A$410)</f>
        <v/>
      </c>
      <c r="B410">
        <f>IF('CALL SHEET'!$C$410="","",'CALL SHEET'!$C$410)</f>
        <v/>
      </c>
      <c r="C410">
        <f>'CALL SHEET'!$U$410</f>
        <v/>
      </c>
      <c r="D410">
        <f>'CALL SHEET'!$AB$410</f>
        <v/>
      </c>
      <c r="E410">
        <f>'CALL SHEET'!$AF$410</f>
        <v/>
      </c>
      <c r="F410">
        <f>IF('CALL SHEET'!$V$410="","",'CALL SHEET'!$V$410)</f>
        <v/>
      </c>
      <c r="G410">
        <f>IF('CALL SHEET'!$D$410="","",'CALL SHEET'!$D$410)</f>
        <v/>
      </c>
      <c r="H410">
        <f>IF('CALL SHEET'!$G$410="","",'CALL SHEET'!$G$410)</f>
        <v/>
      </c>
      <c r="I410">
        <f>IF('CALL SHEET'!$AY$410="","",'CALL SHEET'!$AY$410)</f>
        <v/>
      </c>
      <c r="J410">
        <f>IF('CALL SHEET'!$BC$410="","",'CALL SHEET'!$BC$410)</f>
        <v/>
      </c>
      <c r="K410">
        <f>IF('CALL SHEET'!$N$410="","",'CALL SHEET'!$N$410)</f>
        <v/>
      </c>
      <c r="L410">
        <f>IF('CALL SHEET'!$AH$410="","",'CALL SHEET'!$AH$410)</f>
        <v/>
      </c>
      <c r="M410">
        <f>IF('CALL SHEET'!$AO$410="","",'CALL SHEET'!$AO$410)</f>
        <v/>
      </c>
      <c r="N410">
        <f>IF('CALL SHEET'!$BF$410="","",'CALL SHEET'!$BF$410)</f>
        <v/>
      </c>
      <c r="O410" t="inlineStr">
        <is>
          <t>TRADE</t>
        </is>
      </c>
      <c r="P410" t="inlineStr">
        <is>
          <t>CALL SHEET · row 410</t>
        </is>
      </c>
      <c r="Q410">
        <f>E410+ROW()*0.000000001</f>
        <v/>
      </c>
    </row>
    <row r="411">
      <c r="A411">
        <f>IF('CALL SHEET'!$A$411="","",'CALL SHEET'!$A$411)</f>
        <v/>
      </c>
      <c r="B411">
        <f>IF('CALL SHEET'!$C$411="","",'CALL SHEET'!$C$411)</f>
        <v/>
      </c>
      <c r="C411">
        <f>'CALL SHEET'!$U$411</f>
        <v/>
      </c>
      <c r="D411">
        <f>'CALL SHEET'!$AB$411</f>
        <v/>
      </c>
      <c r="E411">
        <f>'CALL SHEET'!$AF$411</f>
        <v/>
      </c>
      <c r="F411">
        <f>IF('CALL SHEET'!$V$411="","",'CALL SHEET'!$V$411)</f>
        <v/>
      </c>
      <c r="G411">
        <f>IF('CALL SHEET'!$D$411="","",'CALL SHEET'!$D$411)</f>
        <v/>
      </c>
      <c r="H411">
        <f>IF('CALL SHEET'!$G$411="","",'CALL SHEET'!$G$411)</f>
        <v/>
      </c>
      <c r="I411">
        <f>IF('CALL SHEET'!$AY$411="","",'CALL SHEET'!$AY$411)</f>
        <v/>
      </c>
      <c r="J411">
        <f>IF('CALL SHEET'!$BC$411="","",'CALL SHEET'!$BC$411)</f>
        <v/>
      </c>
      <c r="K411">
        <f>IF('CALL SHEET'!$N$411="","",'CALL SHEET'!$N$411)</f>
        <v/>
      </c>
      <c r="L411">
        <f>IF('CALL SHEET'!$AH$411="","",'CALL SHEET'!$AH$411)</f>
        <v/>
      </c>
      <c r="M411">
        <f>IF('CALL SHEET'!$AO$411="","",'CALL SHEET'!$AO$411)</f>
        <v/>
      </c>
      <c r="N411">
        <f>IF('CALL SHEET'!$BF$411="","",'CALL SHEET'!$BF$411)</f>
        <v/>
      </c>
      <c r="O411" t="inlineStr">
        <is>
          <t>TRADE</t>
        </is>
      </c>
      <c r="P411" t="inlineStr">
        <is>
          <t>CALL SHEET · row 411</t>
        </is>
      </c>
      <c r="Q411">
        <f>E411+ROW()*0.000000001</f>
        <v/>
      </c>
    </row>
    <row r="412">
      <c r="A412">
        <f>IF('CALL SHEET'!$A$412="","",'CALL SHEET'!$A$412)</f>
        <v/>
      </c>
      <c r="B412">
        <f>IF('CALL SHEET'!$C$412="","",'CALL SHEET'!$C$412)</f>
        <v/>
      </c>
      <c r="C412">
        <f>'CALL SHEET'!$U$412</f>
        <v/>
      </c>
      <c r="D412">
        <f>'CALL SHEET'!$AB$412</f>
        <v/>
      </c>
      <c r="E412">
        <f>'CALL SHEET'!$AF$412</f>
        <v/>
      </c>
      <c r="F412">
        <f>IF('CALL SHEET'!$V$412="","",'CALL SHEET'!$V$412)</f>
        <v/>
      </c>
      <c r="G412">
        <f>IF('CALL SHEET'!$D$412="","",'CALL SHEET'!$D$412)</f>
        <v/>
      </c>
      <c r="H412">
        <f>IF('CALL SHEET'!$G$412="","",'CALL SHEET'!$G$412)</f>
        <v/>
      </c>
      <c r="I412">
        <f>IF('CALL SHEET'!$AY$412="","",'CALL SHEET'!$AY$412)</f>
        <v/>
      </c>
      <c r="J412">
        <f>IF('CALL SHEET'!$BC$412="","",'CALL SHEET'!$BC$412)</f>
        <v/>
      </c>
      <c r="K412">
        <f>IF('CALL SHEET'!$N$412="","",'CALL SHEET'!$N$412)</f>
        <v/>
      </c>
      <c r="L412">
        <f>IF('CALL SHEET'!$AH$412="","",'CALL SHEET'!$AH$412)</f>
        <v/>
      </c>
      <c r="M412">
        <f>IF('CALL SHEET'!$AO$412="","",'CALL SHEET'!$AO$412)</f>
        <v/>
      </c>
      <c r="N412">
        <f>IF('CALL SHEET'!$BF$412="","",'CALL SHEET'!$BF$412)</f>
        <v/>
      </c>
      <c r="O412" t="inlineStr">
        <is>
          <t>TRADE</t>
        </is>
      </c>
      <c r="P412" t="inlineStr">
        <is>
          <t>CALL SHEET · row 412</t>
        </is>
      </c>
      <c r="Q412">
        <f>E412+ROW()*0.000000001</f>
        <v/>
      </c>
    </row>
    <row r="413">
      <c r="A413">
        <f>IF('CALL SHEET'!$A$413="","",'CALL SHEET'!$A$413)</f>
        <v/>
      </c>
      <c r="B413">
        <f>IF('CALL SHEET'!$C$413="","",'CALL SHEET'!$C$413)</f>
        <v/>
      </c>
      <c r="C413">
        <f>'CALL SHEET'!$U$413</f>
        <v/>
      </c>
      <c r="D413">
        <f>'CALL SHEET'!$AB$413</f>
        <v/>
      </c>
      <c r="E413">
        <f>'CALL SHEET'!$AF$413</f>
        <v/>
      </c>
      <c r="F413">
        <f>IF('CALL SHEET'!$V$413="","",'CALL SHEET'!$V$413)</f>
        <v/>
      </c>
      <c r="G413">
        <f>IF('CALL SHEET'!$D$413="","",'CALL SHEET'!$D$413)</f>
        <v/>
      </c>
      <c r="H413">
        <f>IF('CALL SHEET'!$G$413="","",'CALL SHEET'!$G$413)</f>
        <v/>
      </c>
      <c r="I413">
        <f>IF('CALL SHEET'!$AY$413="","",'CALL SHEET'!$AY$413)</f>
        <v/>
      </c>
      <c r="J413">
        <f>IF('CALL SHEET'!$BC$413="","",'CALL SHEET'!$BC$413)</f>
        <v/>
      </c>
      <c r="K413">
        <f>IF('CALL SHEET'!$N$413="","",'CALL SHEET'!$N$413)</f>
        <v/>
      </c>
      <c r="L413">
        <f>IF('CALL SHEET'!$AH$413="","",'CALL SHEET'!$AH$413)</f>
        <v/>
      </c>
      <c r="M413">
        <f>IF('CALL SHEET'!$AO$413="","",'CALL SHEET'!$AO$413)</f>
        <v/>
      </c>
      <c r="N413">
        <f>IF('CALL SHEET'!$BF$413="","",'CALL SHEET'!$BF$413)</f>
        <v/>
      </c>
      <c r="O413" t="inlineStr">
        <is>
          <t>TRADE</t>
        </is>
      </c>
      <c r="P413" t="inlineStr">
        <is>
          <t>CALL SHEET · row 413</t>
        </is>
      </c>
      <c r="Q413">
        <f>E413+ROW()*0.000000001</f>
        <v/>
      </c>
    </row>
    <row r="414">
      <c r="A414">
        <f>IF('CALL SHEET'!$A$414="","",'CALL SHEET'!$A$414)</f>
        <v/>
      </c>
      <c r="B414">
        <f>IF('CALL SHEET'!$C$414="","",'CALL SHEET'!$C$414)</f>
        <v/>
      </c>
      <c r="C414">
        <f>'CALL SHEET'!$U$414</f>
        <v/>
      </c>
      <c r="D414">
        <f>'CALL SHEET'!$AB$414</f>
        <v/>
      </c>
      <c r="E414">
        <f>'CALL SHEET'!$AF$414</f>
        <v/>
      </c>
      <c r="F414">
        <f>IF('CALL SHEET'!$V$414="","",'CALL SHEET'!$V$414)</f>
        <v/>
      </c>
      <c r="G414">
        <f>IF('CALL SHEET'!$D$414="","",'CALL SHEET'!$D$414)</f>
        <v/>
      </c>
      <c r="H414">
        <f>IF('CALL SHEET'!$G$414="","",'CALL SHEET'!$G$414)</f>
        <v/>
      </c>
      <c r="I414">
        <f>IF('CALL SHEET'!$AY$414="","",'CALL SHEET'!$AY$414)</f>
        <v/>
      </c>
      <c r="J414">
        <f>IF('CALL SHEET'!$BC$414="","",'CALL SHEET'!$BC$414)</f>
        <v/>
      </c>
      <c r="K414">
        <f>IF('CALL SHEET'!$N$414="","",'CALL SHEET'!$N$414)</f>
        <v/>
      </c>
      <c r="L414">
        <f>IF('CALL SHEET'!$AH$414="","",'CALL SHEET'!$AH$414)</f>
        <v/>
      </c>
      <c r="M414">
        <f>IF('CALL SHEET'!$AO$414="","",'CALL SHEET'!$AO$414)</f>
        <v/>
      </c>
      <c r="N414">
        <f>IF('CALL SHEET'!$BF$414="","",'CALL SHEET'!$BF$414)</f>
        <v/>
      </c>
      <c r="O414" t="inlineStr">
        <is>
          <t>TRADE</t>
        </is>
      </c>
      <c r="P414" t="inlineStr">
        <is>
          <t>CALL SHEET · row 414</t>
        </is>
      </c>
      <c r="Q414">
        <f>E414+ROW()*0.000000001</f>
        <v/>
      </c>
    </row>
    <row r="415">
      <c r="A415">
        <f>IF('CALL SHEET'!$A$415="","",'CALL SHEET'!$A$415)</f>
        <v/>
      </c>
      <c r="B415">
        <f>IF('CALL SHEET'!$C$415="","",'CALL SHEET'!$C$415)</f>
        <v/>
      </c>
      <c r="C415">
        <f>'CALL SHEET'!$U$415</f>
        <v/>
      </c>
      <c r="D415">
        <f>'CALL SHEET'!$AB$415</f>
        <v/>
      </c>
      <c r="E415">
        <f>'CALL SHEET'!$AF$415</f>
        <v/>
      </c>
      <c r="F415">
        <f>IF('CALL SHEET'!$V$415="","",'CALL SHEET'!$V$415)</f>
        <v/>
      </c>
      <c r="G415">
        <f>IF('CALL SHEET'!$D$415="","",'CALL SHEET'!$D$415)</f>
        <v/>
      </c>
      <c r="H415">
        <f>IF('CALL SHEET'!$G$415="","",'CALL SHEET'!$G$415)</f>
        <v/>
      </c>
      <c r="I415">
        <f>IF('CALL SHEET'!$AY$415="","",'CALL SHEET'!$AY$415)</f>
        <v/>
      </c>
      <c r="J415">
        <f>IF('CALL SHEET'!$BC$415="","",'CALL SHEET'!$BC$415)</f>
        <v/>
      </c>
      <c r="K415">
        <f>IF('CALL SHEET'!$N$415="","",'CALL SHEET'!$N$415)</f>
        <v/>
      </c>
      <c r="L415">
        <f>IF('CALL SHEET'!$AH$415="","",'CALL SHEET'!$AH$415)</f>
        <v/>
      </c>
      <c r="M415">
        <f>IF('CALL SHEET'!$AO$415="","",'CALL SHEET'!$AO$415)</f>
        <v/>
      </c>
      <c r="N415">
        <f>IF('CALL SHEET'!$BF$415="","",'CALL SHEET'!$BF$415)</f>
        <v/>
      </c>
      <c r="O415" t="inlineStr">
        <is>
          <t>TRADE</t>
        </is>
      </c>
      <c r="P415" t="inlineStr">
        <is>
          <t>CALL SHEET · row 415</t>
        </is>
      </c>
      <c r="Q415">
        <f>E415+ROW()*0.000000001</f>
        <v/>
      </c>
    </row>
    <row r="416">
      <c r="A416">
        <f>IF('CALL SHEET'!$A$416="","",'CALL SHEET'!$A$416)</f>
        <v/>
      </c>
      <c r="B416">
        <f>IF('CALL SHEET'!$C$416="","",'CALL SHEET'!$C$416)</f>
        <v/>
      </c>
      <c r="C416">
        <f>'CALL SHEET'!$U$416</f>
        <v/>
      </c>
      <c r="D416">
        <f>'CALL SHEET'!$AB$416</f>
        <v/>
      </c>
      <c r="E416">
        <f>'CALL SHEET'!$AF$416</f>
        <v/>
      </c>
      <c r="F416">
        <f>IF('CALL SHEET'!$V$416="","",'CALL SHEET'!$V$416)</f>
        <v/>
      </c>
      <c r="G416">
        <f>IF('CALL SHEET'!$D$416="","",'CALL SHEET'!$D$416)</f>
        <v/>
      </c>
      <c r="H416">
        <f>IF('CALL SHEET'!$G$416="","",'CALL SHEET'!$G$416)</f>
        <v/>
      </c>
      <c r="I416">
        <f>IF('CALL SHEET'!$AY$416="","",'CALL SHEET'!$AY$416)</f>
        <v/>
      </c>
      <c r="J416">
        <f>IF('CALL SHEET'!$BC$416="","",'CALL SHEET'!$BC$416)</f>
        <v/>
      </c>
      <c r="K416">
        <f>IF('CALL SHEET'!$N$416="","",'CALL SHEET'!$N$416)</f>
        <v/>
      </c>
      <c r="L416">
        <f>IF('CALL SHEET'!$AH$416="","",'CALL SHEET'!$AH$416)</f>
        <v/>
      </c>
      <c r="M416">
        <f>IF('CALL SHEET'!$AO$416="","",'CALL SHEET'!$AO$416)</f>
        <v/>
      </c>
      <c r="N416">
        <f>IF('CALL SHEET'!$BF$416="","",'CALL SHEET'!$BF$416)</f>
        <v/>
      </c>
      <c r="O416" t="inlineStr">
        <is>
          <t>TRADE</t>
        </is>
      </c>
      <c r="P416" t="inlineStr">
        <is>
          <t>CALL SHEET · row 416</t>
        </is>
      </c>
      <c r="Q416">
        <f>E416+ROW()*0.000000001</f>
        <v/>
      </c>
    </row>
    <row r="417">
      <c r="A417">
        <f>IF('CALL SHEET'!$A$417="","",'CALL SHEET'!$A$417)</f>
        <v/>
      </c>
      <c r="B417">
        <f>IF('CALL SHEET'!$C$417="","",'CALL SHEET'!$C$417)</f>
        <v/>
      </c>
      <c r="C417">
        <f>'CALL SHEET'!$U$417</f>
        <v/>
      </c>
      <c r="D417">
        <f>'CALL SHEET'!$AB$417</f>
        <v/>
      </c>
      <c r="E417">
        <f>'CALL SHEET'!$AF$417</f>
        <v/>
      </c>
      <c r="F417">
        <f>IF('CALL SHEET'!$V$417="","",'CALL SHEET'!$V$417)</f>
        <v/>
      </c>
      <c r="G417">
        <f>IF('CALL SHEET'!$D$417="","",'CALL SHEET'!$D$417)</f>
        <v/>
      </c>
      <c r="H417">
        <f>IF('CALL SHEET'!$G$417="","",'CALL SHEET'!$G$417)</f>
        <v/>
      </c>
      <c r="I417">
        <f>IF('CALL SHEET'!$AY$417="","",'CALL SHEET'!$AY$417)</f>
        <v/>
      </c>
      <c r="J417">
        <f>IF('CALL SHEET'!$BC$417="","",'CALL SHEET'!$BC$417)</f>
        <v/>
      </c>
      <c r="K417">
        <f>IF('CALL SHEET'!$N$417="","",'CALL SHEET'!$N$417)</f>
        <v/>
      </c>
      <c r="L417">
        <f>IF('CALL SHEET'!$AH$417="","",'CALL SHEET'!$AH$417)</f>
        <v/>
      </c>
      <c r="M417">
        <f>IF('CALL SHEET'!$AO$417="","",'CALL SHEET'!$AO$417)</f>
        <v/>
      </c>
      <c r="N417">
        <f>IF('CALL SHEET'!$BF$417="","",'CALL SHEET'!$BF$417)</f>
        <v/>
      </c>
      <c r="O417" t="inlineStr">
        <is>
          <t>TRADE</t>
        </is>
      </c>
      <c r="P417" t="inlineStr">
        <is>
          <t>CALL SHEET · row 417</t>
        </is>
      </c>
      <c r="Q417">
        <f>E417+ROW()*0.000000001</f>
        <v/>
      </c>
    </row>
    <row r="418">
      <c r="A418">
        <f>IF('CALL SHEET'!$A$418="","",'CALL SHEET'!$A$418)</f>
        <v/>
      </c>
      <c r="B418">
        <f>IF('CALL SHEET'!$C$418="","",'CALL SHEET'!$C$418)</f>
        <v/>
      </c>
      <c r="C418">
        <f>'CALL SHEET'!$U$418</f>
        <v/>
      </c>
      <c r="D418">
        <f>'CALL SHEET'!$AB$418</f>
        <v/>
      </c>
      <c r="E418">
        <f>'CALL SHEET'!$AF$418</f>
        <v/>
      </c>
      <c r="F418">
        <f>IF('CALL SHEET'!$V$418="","",'CALL SHEET'!$V$418)</f>
        <v/>
      </c>
      <c r="G418">
        <f>IF('CALL SHEET'!$D$418="","",'CALL SHEET'!$D$418)</f>
        <v/>
      </c>
      <c r="H418">
        <f>IF('CALL SHEET'!$G$418="","",'CALL SHEET'!$G$418)</f>
        <v/>
      </c>
      <c r="I418">
        <f>IF('CALL SHEET'!$AY$418="","",'CALL SHEET'!$AY$418)</f>
        <v/>
      </c>
      <c r="J418">
        <f>IF('CALL SHEET'!$BC$418="","",'CALL SHEET'!$BC$418)</f>
        <v/>
      </c>
      <c r="K418">
        <f>IF('CALL SHEET'!$N$418="","",'CALL SHEET'!$N$418)</f>
        <v/>
      </c>
      <c r="L418">
        <f>IF('CALL SHEET'!$AH$418="","",'CALL SHEET'!$AH$418)</f>
        <v/>
      </c>
      <c r="M418">
        <f>IF('CALL SHEET'!$AO$418="","",'CALL SHEET'!$AO$418)</f>
        <v/>
      </c>
      <c r="N418">
        <f>IF('CALL SHEET'!$BF$418="","",'CALL SHEET'!$BF$418)</f>
        <v/>
      </c>
      <c r="O418" t="inlineStr">
        <is>
          <t>TRADE</t>
        </is>
      </c>
      <c r="P418" t="inlineStr">
        <is>
          <t>CALL SHEET · row 418</t>
        </is>
      </c>
      <c r="Q418">
        <f>E418+ROW()*0.000000001</f>
        <v/>
      </c>
    </row>
    <row r="419">
      <c r="A419">
        <f>IF('CALL SHEET'!$A$419="","",'CALL SHEET'!$A$419)</f>
        <v/>
      </c>
      <c r="B419">
        <f>IF('CALL SHEET'!$C$419="","",'CALL SHEET'!$C$419)</f>
        <v/>
      </c>
      <c r="C419">
        <f>'CALL SHEET'!$U$419</f>
        <v/>
      </c>
      <c r="D419">
        <f>'CALL SHEET'!$AB$419</f>
        <v/>
      </c>
      <c r="E419">
        <f>'CALL SHEET'!$AF$419</f>
        <v/>
      </c>
      <c r="F419">
        <f>IF('CALL SHEET'!$V$419="","",'CALL SHEET'!$V$419)</f>
        <v/>
      </c>
      <c r="G419">
        <f>IF('CALL SHEET'!$D$419="","",'CALL SHEET'!$D$419)</f>
        <v/>
      </c>
      <c r="H419">
        <f>IF('CALL SHEET'!$G$419="","",'CALL SHEET'!$G$419)</f>
        <v/>
      </c>
      <c r="I419">
        <f>IF('CALL SHEET'!$AY$419="","",'CALL SHEET'!$AY$419)</f>
        <v/>
      </c>
      <c r="J419">
        <f>IF('CALL SHEET'!$BC$419="","",'CALL SHEET'!$BC$419)</f>
        <v/>
      </c>
      <c r="K419">
        <f>IF('CALL SHEET'!$N$419="","",'CALL SHEET'!$N$419)</f>
        <v/>
      </c>
      <c r="L419">
        <f>IF('CALL SHEET'!$AH$419="","",'CALL SHEET'!$AH$419)</f>
        <v/>
      </c>
      <c r="M419">
        <f>IF('CALL SHEET'!$AO$419="","",'CALL SHEET'!$AO$419)</f>
        <v/>
      </c>
      <c r="N419">
        <f>IF('CALL SHEET'!$BF$419="","",'CALL SHEET'!$BF$419)</f>
        <v/>
      </c>
      <c r="O419" t="inlineStr">
        <is>
          <t>TRADE</t>
        </is>
      </c>
      <c r="P419" t="inlineStr">
        <is>
          <t>CALL SHEET · row 419</t>
        </is>
      </c>
      <c r="Q419">
        <f>E419+ROW()*0.000000001</f>
        <v/>
      </c>
    </row>
    <row r="420">
      <c r="A420">
        <f>IF('CALL SHEET'!$A$420="","",'CALL SHEET'!$A$420)</f>
        <v/>
      </c>
      <c r="B420">
        <f>IF('CALL SHEET'!$C$420="","",'CALL SHEET'!$C$420)</f>
        <v/>
      </c>
      <c r="C420">
        <f>'CALL SHEET'!$U$420</f>
        <v/>
      </c>
      <c r="D420">
        <f>'CALL SHEET'!$AB$420</f>
        <v/>
      </c>
      <c r="E420">
        <f>'CALL SHEET'!$AF$420</f>
        <v/>
      </c>
      <c r="F420">
        <f>IF('CALL SHEET'!$V$420="","",'CALL SHEET'!$V$420)</f>
        <v/>
      </c>
      <c r="G420">
        <f>IF('CALL SHEET'!$D$420="","",'CALL SHEET'!$D$420)</f>
        <v/>
      </c>
      <c r="H420">
        <f>IF('CALL SHEET'!$G$420="","",'CALL SHEET'!$G$420)</f>
        <v/>
      </c>
      <c r="I420">
        <f>IF('CALL SHEET'!$AY$420="","",'CALL SHEET'!$AY$420)</f>
        <v/>
      </c>
      <c r="J420">
        <f>IF('CALL SHEET'!$BC$420="","",'CALL SHEET'!$BC$420)</f>
        <v/>
      </c>
      <c r="K420">
        <f>IF('CALL SHEET'!$N$420="","",'CALL SHEET'!$N$420)</f>
        <v/>
      </c>
      <c r="L420">
        <f>IF('CALL SHEET'!$AH$420="","",'CALL SHEET'!$AH$420)</f>
        <v/>
      </c>
      <c r="M420">
        <f>IF('CALL SHEET'!$AO$420="","",'CALL SHEET'!$AO$420)</f>
        <v/>
      </c>
      <c r="N420">
        <f>IF('CALL SHEET'!$BF$420="","",'CALL SHEET'!$BF$420)</f>
        <v/>
      </c>
      <c r="O420" t="inlineStr">
        <is>
          <t>TRADE</t>
        </is>
      </c>
      <c r="P420" t="inlineStr">
        <is>
          <t>CALL SHEET · row 420</t>
        </is>
      </c>
      <c r="Q420">
        <f>E420+ROW()*0.000000001</f>
        <v/>
      </c>
    </row>
    <row r="421">
      <c r="A421">
        <f>IF('CALL SHEET'!$A$421="","",'CALL SHEET'!$A$421)</f>
        <v/>
      </c>
      <c r="B421">
        <f>IF('CALL SHEET'!$C$421="","",'CALL SHEET'!$C$421)</f>
        <v/>
      </c>
      <c r="C421">
        <f>'CALL SHEET'!$U$421</f>
        <v/>
      </c>
      <c r="D421">
        <f>'CALL SHEET'!$AB$421</f>
        <v/>
      </c>
      <c r="E421">
        <f>'CALL SHEET'!$AF$421</f>
        <v/>
      </c>
      <c r="F421">
        <f>IF('CALL SHEET'!$V$421="","",'CALL SHEET'!$V$421)</f>
        <v/>
      </c>
      <c r="G421">
        <f>IF('CALL SHEET'!$D$421="","",'CALL SHEET'!$D$421)</f>
        <v/>
      </c>
      <c r="H421">
        <f>IF('CALL SHEET'!$G$421="","",'CALL SHEET'!$G$421)</f>
        <v/>
      </c>
      <c r="I421">
        <f>IF('CALL SHEET'!$AY$421="","",'CALL SHEET'!$AY$421)</f>
        <v/>
      </c>
      <c r="J421">
        <f>IF('CALL SHEET'!$BC$421="","",'CALL SHEET'!$BC$421)</f>
        <v/>
      </c>
      <c r="K421">
        <f>IF('CALL SHEET'!$N$421="","",'CALL SHEET'!$N$421)</f>
        <v/>
      </c>
      <c r="L421">
        <f>IF('CALL SHEET'!$AH$421="","",'CALL SHEET'!$AH$421)</f>
        <v/>
      </c>
      <c r="M421">
        <f>IF('CALL SHEET'!$AO$421="","",'CALL SHEET'!$AO$421)</f>
        <v/>
      </c>
      <c r="N421">
        <f>IF('CALL SHEET'!$BF$421="","",'CALL SHEET'!$BF$421)</f>
        <v/>
      </c>
      <c r="O421" t="inlineStr">
        <is>
          <t>TRADE</t>
        </is>
      </c>
      <c r="P421" t="inlineStr">
        <is>
          <t>CALL SHEET · row 421</t>
        </is>
      </c>
      <c r="Q421">
        <f>E421+ROW()*0.000000001</f>
        <v/>
      </c>
    </row>
    <row r="422">
      <c r="A422">
        <f>IF('CALL SHEET'!$A$422="","",'CALL SHEET'!$A$422)</f>
        <v/>
      </c>
      <c r="B422">
        <f>IF('CALL SHEET'!$C$422="","",'CALL SHEET'!$C$422)</f>
        <v/>
      </c>
      <c r="C422">
        <f>'CALL SHEET'!$U$422</f>
        <v/>
      </c>
      <c r="D422">
        <f>'CALL SHEET'!$AB$422</f>
        <v/>
      </c>
      <c r="E422">
        <f>'CALL SHEET'!$AF$422</f>
        <v/>
      </c>
      <c r="F422">
        <f>IF('CALL SHEET'!$V$422="","",'CALL SHEET'!$V$422)</f>
        <v/>
      </c>
      <c r="G422">
        <f>IF('CALL SHEET'!$D$422="","",'CALL SHEET'!$D$422)</f>
        <v/>
      </c>
      <c r="H422">
        <f>IF('CALL SHEET'!$G$422="","",'CALL SHEET'!$G$422)</f>
        <v/>
      </c>
      <c r="I422">
        <f>IF('CALL SHEET'!$AY$422="","",'CALL SHEET'!$AY$422)</f>
        <v/>
      </c>
      <c r="J422">
        <f>IF('CALL SHEET'!$BC$422="","",'CALL SHEET'!$BC$422)</f>
        <v/>
      </c>
      <c r="K422">
        <f>IF('CALL SHEET'!$N$422="","",'CALL SHEET'!$N$422)</f>
        <v/>
      </c>
      <c r="L422">
        <f>IF('CALL SHEET'!$AH$422="","",'CALL SHEET'!$AH$422)</f>
        <v/>
      </c>
      <c r="M422">
        <f>IF('CALL SHEET'!$AO$422="","",'CALL SHEET'!$AO$422)</f>
        <v/>
      </c>
      <c r="N422">
        <f>IF('CALL SHEET'!$BF$422="","",'CALL SHEET'!$BF$422)</f>
        <v/>
      </c>
      <c r="O422" t="inlineStr">
        <is>
          <t>TRADE</t>
        </is>
      </c>
      <c r="P422" t="inlineStr">
        <is>
          <t>CALL SHEET · row 422</t>
        </is>
      </c>
      <c r="Q422">
        <f>E422+ROW()*0.000000001</f>
        <v/>
      </c>
    </row>
    <row r="423">
      <c r="A423">
        <f>IF('CALL SHEET'!$A$423="","",'CALL SHEET'!$A$423)</f>
        <v/>
      </c>
      <c r="B423">
        <f>IF('CALL SHEET'!$C$423="","",'CALL SHEET'!$C$423)</f>
        <v/>
      </c>
      <c r="C423">
        <f>'CALL SHEET'!$U$423</f>
        <v/>
      </c>
      <c r="D423">
        <f>'CALL SHEET'!$AB$423</f>
        <v/>
      </c>
      <c r="E423">
        <f>'CALL SHEET'!$AF$423</f>
        <v/>
      </c>
      <c r="F423">
        <f>IF('CALL SHEET'!$V$423="","",'CALL SHEET'!$V$423)</f>
        <v/>
      </c>
      <c r="G423">
        <f>IF('CALL SHEET'!$D$423="","",'CALL SHEET'!$D$423)</f>
        <v/>
      </c>
      <c r="H423">
        <f>IF('CALL SHEET'!$G$423="","",'CALL SHEET'!$G$423)</f>
        <v/>
      </c>
      <c r="I423">
        <f>IF('CALL SHEET'!$AY$423="","",'CALL SHEET'!$AY$423)</f>
        <v/>
      </c>
      <c r="J423">
        <f>IF('CALL SHEET'!$BC$423="","",'CALL SHEET'!$BC$423)</f>
        <v/>
      </c>
      <c r="K423">
        <f>IF('CALL SHEET'!$N$423="","",'CALL SHEET'!$N$423)</f>
        <v/>
      </c>
      <c r="L423">
        <f>IF('CALL SHEET'!$AH$423="","",'CALL SHEET'!$AH$423)</f>
        <v/>
      </c>
      <c r="M423">
        <f>IF('CALL SHEET'!$AO$423="","",'CALL SHEET'!$AO$423)</f>
        <v/>
      </c>
      <c r="N423">
        <f>IF('CALL SHEET'!$BF$423="","",'CALL SHEET'!$BF$423)</f>
        <v/>
      </c>
      <c r="O423" t="inlineStr">
        <is>
          <t>TRADE</t>
        </is>
      </c>
      <c r="P423" t="inlineStr">
        <is>
          <t>CALL SHEET · row 423</t>
        </is>
      </c>
      <c r="Q423">
        <f>E423+ROW()*0.000000001</f>
        <v/>
      </c>
    </row>
    <row r="424">
      <c r="A424">
        <f>IF('CALL SHEET'!$A$424="","",'CALL SHEET'!$A$424)</f>
        <v/>
      </c>
      <c r="B424">
        <f>IF('CALL SHEET'!$C$424="","",'CALL SHEET'!$C$424)</f>
        <v/>
      </c>
      <c r="C424">
        <f>'CALL SHEET'!$U$424</f>
        <v/>
      </c>
      <c r="D424">
        <f>'CALL SHEET'!$AB$424</f>
        <v/>
      </c>
      <c r="E424">
        <f>'CALL SHEET'!$AF$424</f>
        <v/>
      </c>
      <c r="F424">
        <f>IF('CALL SHEET'!$V$424="","",'CALL SHEET'!$V$424)</f>
        <v/>
      </c>
      <c r="G424">
        <f>IF('CALL SHEET'!$D$424="","",'CALL SHEET'!$D$424)</f>
        <v/>
      </c>
      <c r="H424">
        <f>IF('CALL SHEET'!$G$424="","",'CALL SHEET'!$G$424)</f>
        <v/>
      </c>
      <c r="I424">
        <f>IF('CALL SHEET'!$AY$424="","",'CALL SHEET'!$AY$424)</f>
        <v/>
      </c>
      <c r="J424">
        <f>IF('CALL SHEET'!$BC$424="","",'CALL SHEET'!$BC$424)</f>
        <v/>
      </c>
      <c r="K424">
        <f>IF('CALL SHEET'!$N$424="","",'CALL SHEET'!$N$424)</f>
        <v/>
      </c>
      <c r="L424">
        <f>IF('CALL SHEET'!$AH$424="","",'CALL SHEET'!$AH$424)</f>
        <v/>
      </c>
      <c r="M424">
        <f>IF('CALL SHEET'!$AO$424="","",'CALL SHEET'!$AO$424)</f>
        <v/>
      </c>
      <c r="N424">
        <f>IF('CALL SHEET'!$BF$424="","",'CALL SHEET'!$BF$424)</f>
        <v/>
      </c>
      <c r="O424" t="inlineStr">
        <is>
          <t>TRADE</t>
        </is>
      </c>
      <c r="P424" t="inlineStr">
        <is>
          <t>CALL SHEET · row 424</t>
        </is>
      </c>
      <c r="Q424">
        <f>E424+ROW()*0.000000001</f>
        <v/>
      </c>
    </row>
    <row r="425">
      <c r="A425">
        <f>IF('CALL SHEET'!$A$425="","",'CALL SHEET'!$A$425)</f>
        <v/>
      </c>
      <c r="B425">
        <f>IF('CALL SHEET'!$C$425="","",'CALL SHEET'!$C$425)</f>
        <v/>
      </c>
      <c r="C425">
        <f>'CALL SHEET'!$U$425</f>
        <v/>
      </c>
      <c r="D425">
        <f>'CALL SHEET'!$AB$425</f>
        <v/>
      </c>
      <c r="E425">
        <f>'CALL SHEET'!$AF$425</f>
        <v/>
      </c>
      <c r="F425">
        <f>IF('CALL SHEET'!$V$425="","",'CALL SHEET'!$V$425)</f>
        <v/>
      </c>
      <c r="G425">
        <f>IF('CALL SHEET'!$D$425="","",'CALL SHEET'!$D$425)</f>
        <v/>
      </c>
      <c r="H425">
        <f>IF('CALL SHEET'!$G$425="","",'CALL SHEET'!$G$425)</f>
        <v/>
      </c>
      <c r="I425">
        <f>IF('CALL SHEET'!$AY$425="","",'CALL SHEET'!$AY$425)</f>
        <v/>
      </c>
      <c r="J425">
        <f>IF('CALL SHEET'!$BC$425="","",'CALL SHEET'!$BC$425)</f>
        <v/>
      </c>
      <c r="K425">
        <f>IF('CALL SHEET'!$N$425="","",'CALL SHEET'!$N$425)</f>
        <v/>
      </c>
      <c r="L425">
        <f>IF('CALL SHEET'!$AH$425="","",'CALL SHEET'!$AH$425)</f>
        <v/>
      </c>
      <c r="M425">
        <f>IF('CALL SHEET'!$AO$425="","",'CALL SHEET'!$AO$425)</f>
        <v/>
      </c>
      <c r="N425">
        <f>IF('CALL SHEET'!$BF$425="","",'CALL SHEET'!$BF$425)</f>
        <v/>
      </c>
      <c r="O425" t="inlineStr">
        <is>
          <t>TRADE</t>
        </is>
      </c>
      <c r="P425" t="inlineStr">
        <is>
          <t>CALL SHEET · row 425</t>
        </is>
      </c>
      <c r="Q425">
        <f>E425+ROW()*0.000000001</f>
        <v/>
      </c>
    </row>
    <row r="426">
      <c r="A426">
        <f>IF('CALL SHEET'!$A$426="","",'CALL SHEET'!$A$426)</f>
        <v/>
      </c>
      <c r="B426">
        <f>IF('CALL SHEET'!$C$426="","",'CALL SHEET'!$C$426)</f>
        <v/>
      </c>
      <c r="C426">
        <f>'CALL SHEET'!$U$426</f>
        <v/>
      </c>
      <c r="D426">
        <f>'CALL SHEET'!$AB$426</f>
        <v/>
      </c>
      <c r="E426">
        <f>'CALL SHEET'!$AF$426</f>
        <v/>
      </c>
      <c r="F426">
        <f>IF('CALL SHEET'!$V$426="","",'CALL SHEET'!$V$426)</f>
        <v/>
      </c>
      <c r="G426">
        <f>IF('CALL SHEET'!$D$426="","",'CALL SHEET'!$D$426)</f>
        <v/>
      </c>
      <c r="H426">
        <f>IF('CALL SHEET'!$G$426="","",'CALL SHEET'!$G$426)</f>
        <v/>
      </c>
      <c r="I426">
        <f>IF('CALL SHEET'!$AY$426="","",'CALL SHEET'!$AY$426)</f>
        <v/>
      </c>
      <c r="J426">
        <f>IF('CALL SHEET'!$BC$426="","",'CALL SHEET'!$BC$426)</f>
        <v/>
      </c>
      <c r="K426">
        <f>IF('CALL SHEET'!$N$426="","",'CALL SHEET'!$N$426)</f>
        <v/>
      </c>
      <c r="L426">
        <f>IF('CALL SHEET'!$AH$426="","",'CALL SHEET'!$AH$426)</f>
        <v/>
      </c>
      <c r="M426">
        <f>IF('CALL SHEET'!$AO$426="","",'CALL SHEET'!$AO$426)</f>
        <v/>
      </c>
      <c r="N426">
        <f>IF('CALL SHEET'!$BF$426="","",'CALL SHEET'!$BF$426)</f>
        <v/>
      </c>
      <c r="O426" t="inlineStr">
        <is>
          <t>TRADE</t>
        </is>
      </c>
      <c r="P426" t="inlineStr">
        <is>
          <t>CALL SHEET · row 426</t>
        </is>
      </c>
      <c r="Q426">
        <f>E426+ROW()*0.000000001</f>
        <v/>
      </c>
    </row>
    <row r="427">
      <c r="A427">
        <f>IF('CALL SHEET'!$A$427="","",'CALL SHEET'!$A$427)</f>
        <v/>
      </c>
      <c r="B427">
        <f>IF('CALL SHEET'!$C$427="","",'CALL SHEET'!$C$427)</f>
        <v/>
      </c>
      <c r="C427">
        <f>'CALL SHEET'!$U$427</f>
        <v/>
      </c>
      <c r="D427">
        <f>'CALL SHEET'!$AB$427</f>
        <v/>
      </c>
      <c r="E427">
        <f>'CALL SHEET'!$AF$427</f>
        <v/>
      </c>
      <c r="F427">
        <f>IF('CALL SHEET'!$V$427="","",'CALL SHEET'!$V$427)</f>
        <v/>
      </c>
      <c r="G427">
        <f>IF('CALL SHEET'!$D$427="","",'CALL SHEET'!$D$427)</f>
        <v/>
      </c>
      <c r="H427">
        <f>IF('CALL SHEET'!$G$427="","",'CALL SHEET'!$G$427)</f>
        <v/>
      </c>
      <c r="I427">
        <f>IF('CALL SHEET'!$AY$427="","",'CALL SHEET'!$AY$427)</f>
        <v/>
      </c>
      <c r="J427">
        <f>IF('CALL SHEET'!$BC$427="","",'CALL SHEET'!$BC$427)</f>
        <v/>
      </c>
      <c r="K427">
        <f>IF('CALL SHEET'!$N$427="","",'CALL SHEET'!$N$427)</f>
        <v/>
      </c>
      <c r="L427">
        <f>IF('CALL SHEET'!$AH$427="","",'CALL SHEET'!$AH$427)</f>
        <v/>
      </c>
      <c r="M427">
        <f>IF('CALL SHEET'!$AO$427="","",'CALL SHEET'!$AO$427)</f>
        <v/>
      </c>
      <c r="N427">
        <f>IF('CALL SHEET'!$BF$427="","",'CALL SHEET'!$BF$427)</f>
        <v/>
      </c>
      <c r="O427" t="inlineStr">
        <is>
          <t>TRADE</t>
        </is>
      </c>
      <c r="P427" t="inlineStr">
        <is>
          <t>CALL SHEET · row 427</t>
        </is>
      </c>
      <c r="Q427">
        <f>E427+ROW()*0.000000001</f>
        <v/>
      </c>
    </row>
    <row r="428">
      <c r="A428">
        <f>IF('CALL SHEET'!$A$428="","",'CALL SHEET'!$A$428)</f>
        <v/>
      </c>
      <c r="B428">
        <f>IF('CALL SHEET'!$C$428="","",'CALL SHEET'!$C$428)</f>
        <v/>
      </c>
      <c r="C428">
        <f>'CALL SHEET'!$U$428</f>
        <v/>
      </c>
      <c r="D428">
        <f>'CALL SHEET'!$AB$428</f>
        <v/>
      </c>
      <c r="E428">
        <f>'CALL SHEET'!$AF$428</f>
        <v/>
      </c>
      <c r="F428">
        <f>IF('CALL SHEET'!$V$428="","",'CALL SHEET'!$V$428)</f>
        <v/>
      </c>
      <c r="G428">
        <f>IF('CALL SHEET'!$D$428="","",'CALL SHEET'!$D$428)</f>
        <v/>
      </c>
      <c r="H428">
        <f>IF('CALL SHEET'!$G$428="","",'CALL SHEET'!$G$428)</f>
        <v/>
      </c>
      <c r="I428">
        <f>IF('CALL SHEET'!$AY$428="","",'CALL SHEET'!$AY$428)</f>
        <v/>
      </c>
      <c r="J428">
        <f>IF('CALL SHEET'!$BC$428="","",'CALL SHEET'!$BC$428)</f>
        <v/>
      </c>
      <c r="K428">
        <f>IF('CALL SHEET'!$N$428="","",'CALL SHEET'!$N$428)</f>
        <v/>
      </c>
      <c r="L428">
        <f>IF('CALL SHEET'!$AH$428="","",'CALL SHEET'!$AH$428)</f>
        <v/>
      </c>
      <c r="M428">
        <f>IF('CALL SHEET'!$AO$428="","",'CALL SHEET'!$AO$428)</f>
        <v/>
      </c>
      <c r="N428">
        <f>IF('CALL SHEET'!$BF$428="","",'CALL SHEET'!$BF$428)</f>
        <v/>
      </c>
      <c r="O428" t="inlineStr">
        <is>
          <t>TRADE</t>
        </is>
      </c>
      <c r="P428" t="inlineStr">
        <is>
          <t>CALL SHEET · row 428</t>
        </is>
      </c>
      <c r="Q428">
        <f>E428+ROW()*0.000000001</f>
        <v/>
      </c>
    </row>
    <row r="429">
      <c r="A429">
        <f>IF('CALL SHEET'!$A$429="","",'CALL SHEET'!$A$429)</f>
        <v/>
      </c>
      <c r="B429">
        <f>IF('CALL SHEET'!$C$429="","",'CALL SHEET'!$C$429)</f>
        <v/>
      </c>
      <c r="C429">
        <f>'CALL SHEET'!$U$429</f>
        <v/>
      </c>
      <c r="D429">
        <f>'CALL SHEET'!$AB$429</f>
        <v/>
      </c>
      <c r="E429">
        <f>'CALL SHEET'!$AF$429</f>
        <v/>
      </c>
      <c r="F429">
        <f>IF('CALL SHEET'!$V$429="","",'CALL SHEET'!$V$429)</f>
        <v/>
      </c>
      <c r="G429">
        <f>IF('CALL SHEET'!$D$429="","",'CALL SHEET'!$D$429)</f>
        <v/>
      </c>
      <c r="H429">
        <f>IF('CALL SHEET'!$G$429="","",'CALL SHEET'!$G$429)</f>
        <v/>
      </c>
      <c r="I429">
        <f>IF('CALL SHEET'!$AY$429="","",'CALL SHEET'!$AY$429)</f>
        <v/>
      </c>
      <c r="J429">
        <f>IF('CALL SHEET'!$BC$429="","",'CALL SHEET'!$BC$429)</f>
        <v/>
      </c>
      <c r="K429">
        <f>IF('CALL SHEET'!$N$429="","",'CALL SHEET'!$N$429)</f>
        <v/>
      </c>
      <c r="L429">
        <f>IF('CALL SHEET'!$AH$429="","",'CALL SHEET'!$AH$429)</f>
        <v/>
      </c>
      <c r="M429">
        <f>IF('CALL SHEET'!$AO$429="","",'CALL SHEET'!$AO$429)</f>
        <v/>
      </c>
      <c r="N429">
        <f>IF('CALL SHEET'!$BF$429="","",'CALL SHEET'!$BF$429)</f>
        <v/>
      </c>
      <c r="O429" t="inlineStr">
        <is>
          <t>TRADE</t>
        </is>
      </c>
      <c r="P429" t="inlineStr">
        <is>
          <t>CALL SHEET · row 429</t>
        </is>
      </c>
      <c r="Q429">
        <f>E429+ROW()*0.000000001</f>
        <v/>
      </c>
    </row>
    <row r="430">
      <c r="A430">
        <f>IF('CALL SHEET'!$A$430="","",'CALL SHEET'!$A$430)</f>
        <v/>
      </c>
      <c r="B430">
        <f>IF('CALL SHEET'!$C$430="","",'CALL SHEET'!$C$430)</f>
        <v/>
      </c>
      <c r="C430">
        <f>'CALL SHEET'!$U$430</f>
        <v/>
      </c>
      <c r="D430">
        <f>'CALL SHEET'!$AB$430</f>
        <v/>
      </c>
      <c r="E430">
        <f>'CALL SHEET'!$AF$430</f>
        <v/>
      </c>
      <c r="F430">
        <f>IF('CALL SHEET'!$V$430="","",'CALL SHEET'!$V$430)</f>
        <v/>
      </c>
      <c r="G430">
        <f>IF('CALL SHEET'!$D$430="","",'CALL SHEET'!$D$430)</f>
        <v/>
      </c>
      <c r="H430">
        <f>IF('CALL SHEET'!$G$430="","",'CALL SHEET'!$G$430)</f>
        <v/>
      </c>
      <c r="I430">
        <f>IF('CALL SHEET'!$AY$430="","",'CALL SHEET'!$AY$430)</f>
        <v/>
      </c>
      <c r="J430">
        <f>IF('CALL SHEET'!$BC$430="","",'CALL SHEET'!$BC$430)</f>
        <v/>
      </c>
      <c r="K430">
        <f>IF('CALL SHEET'!$N$430="","",'CALL SHEET'!$N$430)</f>
        <v/>
      </c>
      <c r="L430">
        <f>IF('CALL SHEET'!$AH$430="","",'CALL SHEET'!$AH$430)</f>
        <v/>
      </c>
      <c r="M430">
        <f>IF('CALL SHEET'!$AO$430="","",'CALL SHEET'!$AO$430)</f>
        <v/>
      </c>
      <c r="N430">
        <f>IF('CALL SHEET'!$BF$430="","",'CALL SHEET'!$BF$430)</f>
        <v/>
      </c>
      <c r="O430" t="inlineStr">
        <is>
          <t>TRADE</t>
        </is>
      </c>
      <c r="P430" t="inlineStr">
        <is>
          <t>CALL SHEET · row 430</t>
        </is>
      </c>
      <c r="Q430">
        <f>E430+ROW()*0.000000001</f>
        <v/>
      </c>
    </row>
    <row r="431">
      <c r="A431">
        <f>IF('CALL SHEET'!$A$431="","",'CALL SHEET'!$A$431)</f>
        <v/>
      </c>
      <c r="B431">
        <f>IF('CALL SHEET'!$C$431="","",'CALL SHEET'!$C$431)</f>
        <v/>
      </c>
      <c r="C431">
        <f>'CALL SHEET'!$U$431</f>
        <v/>
      </c>
      <c r="D431">
        <f>'CALL SHEET'!$AB$431</f>
        <v/>
      </c>
      <c r="E431">
        <f>'CALL SHEET'!$AF$431</f>
        <v/>
      </c>
      <c r="F431">
        <f>IF('CALL SHEET'!$V$431="","",'CALL SHEET'!$V$431)</f>
        <v/>
      </c>
      <c r="G431">
        <f>IF('CALL SHEET'!$D$431="","",'CALL SHEET'!$D$431)</f>
        <v/>
      </c>
      <c r="H431">
        <f>IF('CALL SHEET'!$G$431="","",'CALL SHEET'!$G$431)</f>
        <v/>
      </c>
      <c r="I431">
        <f>IF('CALL SHEET'!$AY$431="","",'CALL SHEET'!$AY$431)</f>
        <v/>
      </c>
      <c r="J431">
        <f>IF('CALL SHEET'!$BC$431="","",'CALL SHEET'!$BC$431)</f>
        <v/>
      </c>
      <c r="K431">
        <f>IF('CALL SHEET'!$N$431="","",'CALL SHEET'!$N$431)</f>
        <v/>
      </c>
      <c r="L431">
        <f>IF('CALL SHEET'!$AH$431="","",'CALL SHEET'!$AH$431)</f>
        <v/>
      </c>
      <c r="M431">
        <f>IF('CALL SHEET'!$AO$431="","",'CALL SHEET'!$AO$431)</f>
        <v/>
      </c>
      <c r="N431">
        <f>IF('CALL SHEET'!$BF$431="","",'CALL SHEET'!$BF$431)</f>
        <v/>
      </c>
      <c r="O431" t="inlineStr">
        <is>
          <t>TRADE</t>
        </is>
      </c>
      <c r="P431" t="inlineStr">
        <is>
          <t>CALL SHEET · row 431</t>
        </is>
      </c>
      <c r="Q431">
        <f>E431+ROW()*0.000000001</f>
        <v/>
      </c>
    </row>
    <row r="432">
      <c r="A432">
        <f>IF('CALL SHEET'!$A$432="","",'CALL SHEET'!$A$432)</f>
        <v/>
      </c>
      <c r="B432">
        <f>IF('CALL SHEET'!$C$432="","",'CALL SHEET'!$C$432)</f>
        <v/>
      </c>
      <c r="C432">
        <f>'CALL SHEET'!$U$432</f>
        <v/>
      </c>
      <c r="D432">
        <f>'CALL SHEET'!$AB$432</f>
        <v/>
      </c>
      <c r="E432">
        <f>'CALL SHEET'!$AF$432</f>
        <v/>
      </c>
      <c r="F432">
        <f>IF('CALL SHEET'!$V$432="","",'CALL SHEET'!$V$432)</f>
        <v/>
      </c>
      <c r="G432">
        <f>IF('CALL SHEET'!$D$432="","",'CALL SHEET'!$D$432)</f>
        <v/>
      </c>
      <c r="H432">
        <f>IF('CALL SHEET'!$G$432="","",'CALL SHEET'!$G$432)</f>
        <v/>
      </c>
      <c r="I432">
        <f>IF('CALL SHEET'!$AY$432="","",'CALL SHEET'!$AY$432)</f>
        <v/>
      </c>
      <c r="J432">
        <f>IF('CALL SHEET'!$BC$432="","",'CALL SHEET'!$BC$432)</f>
        <v/>
      </c>
      <c r="K432">
        <f>IF('CALL SHEET'!$N$432="","",'CALL SHEET'!$N$432)</f>
        <v/>
      </c>
      <c r="L432">
        <f>IF('CALL SHEET'!$AH$432="","",'CALL SHEET'!$AH$432)</f>
        <v/>
      </c>
      <c r="M432">
        <f>IF('CALL SHEET'!$AO$432="","",'CALL SHEET'!$AO$432)</f>
        <v/>
      </c>
      <c r="N432">
        <f>IF('CALL SHEET'!$BF$432="","",'CALL SHEET'!$BF$432)</f>
        <v/>
      </c>
      <c r="O432" t="inlineStr">
        <is>
          <t>TRADE</t>
        </is>
      </c>
      <c r="P432" t="inlineStr">
        <is>
          <t>CALL SHEET · row 432</t>
        </is>
      </c>
      <c r="Q432">
        <f>E432+ROW()*0.000000001</f>
        <v/>
      </c>
    </row>
    <row r="433">
      <c r="A433">
        <f>IF('CALL SHEET'!$A$433="","",'CALL SHEET'!$A$433)</f>
        <v/>
      </c>
      <c r="B433">
        <f>IF('CALL SHEET'!$C$433="","",'CALL SHEET'!$C$433)</f>
        <v/>
      </c>
      <c r="C433">
        <f>'CALL SHEET'!$U$433</f>
        <v/>
      </c>
      <c r="D433">
        <f>'CALL SHEET'!$AB$433</f>
        <v/>
      </c>
      <c r="E433">
        <f>'CALL SHEET'!$AF$433</f>
        <v/>
      </c>
      <c r="F433">
        <f>IF('CALL SHEET'!$V$433="","",'CALL SHEET'!$V$433)</f>
        <v/>
      </c>
      <c r="G433">
        <f>IF('CALL SHEET'!$D$433="","",'CALL SHEET'!$D$433)</f>
        <v/>
      </c>
      <c r="H433">
        <f>IF('CALL SHEET'!$G$433="","",'CALL SHEET'!$G$433)</f>
        <v/>
      </c>
      <c r="I433">
        <f>IF('CALL SHEET'!$AY$433="","",'CALL SHEET'!$AY$433)</f>
        <v/>
      </c>
      <c r="J433">
        <f>IF('CALL SHEET'!$BC$433="","",'CALL SHEET'!$BC$433)</f>
        <v/>
      </c>
      <c r="K433">
        <f>IF('CALL SHEET'!$N$433="","",'CALL SHEET'!$N$433)</f>
        <v/>
      </c>
      <c r="L433">
        <f>IF('CALL SHEET'!$AH$433="","",'CALL SHEET'!$AH$433)</f>
        <v/>
      </c>
      <c r="M433">
        <f>IF('CALL SHEET'!$AO$433="","",'CALL SHEET'!$AO$433)</f>
        <v/>
      </c>
      <c r="N433">
        <f>IF('CALL SHEET'!$BF$433="","",'CALL SHEET'!$BF$433)</f>
        <v/>
      </c>
      <c r="O433" t="inlineStr">
        <is>
          <t>TRADE</t>
        </is>
      </c>
      <c r="P433" t="inlineStr">
        <is>
          <t>CALL SHEET · row 433</t>
        </is>
      </c>
      <c r="Q433">
        <f>E433+ROW()*0.000000001</f>
        <v/>
      </c>
    </row>
    <row r="434">
      <c r="A434">
        <f>IF('CALL SHEET'!$A$434="","",'CALL SHEET'!$A$434)</f>
        <v/>
      </c>
      <c r="B434">
        <f>IF('CALL SHEET'!$C$434="","",'CALL SHEET'!$C$434)</f>
        <v/>
      </c>
      <c r="C434">
        <f>'CALL SHEET'!$U$434</f>
        <v/>
      </c>
      <c r="D434">
        <f>'CALL SHEET'!$AB$434</f>
        <v/>
      </c>
      <c r="E434">
        <f>'CALL SHEET'!$AF$434</f>
        <v/>
      </c>
      <c r="F434">
        <f>IF('CALL SHEET'!$V$434="","",'CALL SHEET'!$V$434)</f>
        <v/>
      </c>
      <c r="G434">
        <f>IF('CALL SHEET'!$D$434="","",'CALL SHEET'!$D$434)</f>
        <v/>
      </c>
      <c r="H434">
        <f>IF('CALL SHEET'!$G$434="","",'CALL SHEET'!$G$434)</f>
        <v/>
      </c>
      <c r="I434">
        <f>IF('CALL SHEET'!$AY$434="","",'CALL SHEET'!$AY$434)</f>
        <v/>
      </c>
      <c r="J434">
        <f>IF('CALL SHEET'!$BC$434="","",'CALL SHEET'!$BC$434)</f>
        <v/>
      </c>
      <c r="K434">
        <f>IF('CALL SHEET'!$N$434="","",'CALL SHEET'!$N$434)</f>
        <v/>
      </c>
      <c r="L434">
        <f>IF('CALL SHEET'!$AH$434="","",'CALL SHEET'!$AH$434)</f>
        <v/>
      </c>
      <c r="M434">
        <f>IF('CALL SHEET'!$AO$434="","",'CALL SHEET'!$AO$434)</f>
        <v/>
      </c>
      <c r="N434">
        <f>IF('CALL SHEET'!$BF$434="","",'CALL SHEET'!$BF$434)</f>
        <v/>
      </c>
      <c r="O434" t="inlineStr">
        <is>
          <t>TRADE</t>
        </is>
      </c>
      <c r="P434" t="inlineStr">
        <is>
          <t>CALL SHEET · row 434</t>
        </is>
      </c>
      <c r="Q434">
        <f>E434+ROW()*0.000000001</f>
        <v/>
      </c>
    </row>
    <row r="435">
      <c r="A435">
        <f>IF('CALL SHEET'!$A$435="","",'CALL SHEET'!$A$435)</f>
        <v/>
      </c>
      <c r="B435">
        <f>IF('CALL SHEET'!$C$435="","",'CALL SHEET'!$C$435)</f>
        <v/>
      </c>
      <c r="C435">
        <f>'CALL SHEET'!$U$435</f>
        <v/>
      </c>
      <c r="D435">
        <f>'CALL SHEET'!$AB$435</f>
        <v/>
      </c>
      <c r="E435">
        <f>'CALL SHEET'!$AF$435</f>
        <v/>
      </c>
      <c r="F435">
        <f>IF('CALL SHEET'!$V$435="","",'CALL SHEET'!$V$435)</f>
        <v/>
      </c>
      <c r="G435">
        <f>IF('CALL SHEET'!$D$435="","",'CALL SHEET'!$D$435)</f>
        <v/>
      </c>
      <c r="H435">
        <f>IF('CALL SHEET'!$G$435="","",'CALL SHEET'!$G$435)</f>
        <v/>
      </c>
      <c r="I435">
        <f>IF('CALL SHEET'!$AY$435="","",'CALL SHEET'!$AY$435)</f>
        <v/>
      </c>
      <c r="J435">
        <f>IF('CALL SHEET'!$BC$435="","",'CALL SHEET'!$BC$435)</f>
        <v/>
      </c>
      <c r="K435">
        <f>IF('CALL SHEET'!$N$435="","",'CALL SHEET'!$N$435)</f>
        <v/>
      </c>
      <c r="L435">
        <f>IF('CALL SHEET'!$AH$435="","",'CALL SHEET'!$AH$435)</f>
        <v/>
      </c>
      <c r="M435">
        <f>IF('CALL SHEET'!$AO$435="","",'CALL SHEET'!$AO$435)</f>
        <v/>
      </c>
      <c r="N435">
        <f>IF('CALL SHEET'!$BF$435="","",'CALL SHEET'!$BF$435)</f>
        <v/>
      </c>
      <c r="O435" t="inlineStr">
        <is>
          <t>TRADE</t>
        </is>
      </c>
      <c r="P435" t="inlineStr">
        <is>
          <t>CALL SHEET · row 435</t>
        </is>
      </c>
      <c r="Q435">
        <f>E435+ROW()*0.000000001</f>
        <v/>
      </c>
    </row>
    <row r="436">
      <c r="A436">
        <f>IF('CALL SHEET'!$A$436="","",'CALL SHEET'!$A$436)</f>
        <v/>
      </c>
      <c r="B436">
        <f>IF('CALL SHEET'!$C$436="","",'CALL SHEET'!$C$436)</f>
        <v/>
      </c>
      <c r="C436">
        <f>'CALL SHEET'!$U$436</f>
        <v/>
      </c>
      <c r="D436">
        <f>'CALL SHEET'!$AB$436</f>
        <v/>
      </c>
      <c r="E436">
        <f>'CALL SHEET'!$AF$436</f>
        <v/>
      </c>
      <c r="F436">
        <f>IF('CALL SHEET'!$V$436="","",'CALL SHEET'!$V$436)</f>
        <v/>
      </c>
      <c r="G436">
        <f>IF('CALL SHEET'!$D$436="","",'CALL SHEET'!$D$436)</f>
        <v/>
      </c>
      <c r="H436">
        <f>IF('CALL SHEET'!$G$436="","",'CALL SHEET'!$G$436)</f>
        <v/>
      </c>
      <c r="I436">
        <f>IF('CALL SHEET'!$AY$436="","",'CALL SHEET'!$AY$436)</f>
        <v/>
      </c>
      <c r="J436">
        <f>IF('CALL SHEET'!$BC$436="","",'CALL SHEET'!$BC$436)</f>
        <v/>
      </c>
      <c r="K436">
        <f>IF('CALL SHEET'!$N$436="","",'CALL SHEET'!$N$436)</f>
        <v/>
      </c>
      <c r="L436">
        <f>IF('CALL SHEET'!$AH$436="","",'CALL SHEET'!$AH$436)</f>
        <v/>
      </c>
      <c r="M436">
        <f>IF('CALL SHEET'!$AO$436="","",'CALL SHEET'!$AO$436)</f>
        <v/>
      </c>
      <c r="N436">
        <f>IF('CALL SHEET'!$BF$436="","",'CALL SHEET'!$BF$436)</f>
        <v/>
      </c>
      <c r="O436" t="inlineStr">
        <is>
          <t>TRADE</t>
        </is>
      </c>
      <c r="P436" t="inlineStr">
        <is>
          <t>CALL SHEET · row 436</t>
        </is>
      </c>
      <c r="Q436">
        <f>E436+ROW()*0.000000001</f>
        <v/>
      </c>
    </row>
    <row r="437">
      <c r="A437">
        <f>IF('CALL SHEET'!$A$437="","",'CALL SHEET'!$A$437)</f>
        <v/>
      </c>
      <c r="B437">
        <f>IF('CALL SHEET'!$C$437="","",'CALL SHEET'!$C$437)</f>
        <v/>
      </c>
      <c r="C437">
        <f>'CALL SHEET'!$U$437</f>
        <v/>
      </c>
      <c r="D437">
        <f>'CALL SHEET'!$AB$437</f>
        <v/>
      </c>
      <c r="E437">
        <f>'CALL SHEET'!$AF$437</f>
        <v/>
      </c>
      <c r="F437">
        <f>IF('CALL SHEET'!$V$437="","",'CALL SHEET'!$V$437)</f>
        <v/>
      </c>
      <c r="G437">
        <f>IF('CALL SHEET'!$D$437="","",'CALL SHEET'!$D$437)</f>
        <v/>
      </c>
      <c r="H437">
        <f>IF('CALL SHEET'!$G$437="","",'CALL SHEET'!$G$437)</f>
        <v/>
      </c>
      <c r="I437">
        <f>IF('CALL SHEET'!$AY$437="","",'CALL SHEET'!$AY$437)</f>
        <v/>
      </c>
      <c r="J437">
        <f>IF('CALL SHEET'!$BC$437="","",'CALL SHEET'!$BC$437)</f>
        <v/>
      </c>
      <c r="K437">
        <f>IF('CALL SHEET'!$N$437="","",'CALL SHEET'!$N$437)</f>
        <v/>
      </c>
      <c r="L437">
        <f>IF('CALL SHEET'!$AH$437="","",'CALL SHEET'!$AH$437)</f>
        <v/>
      </c>
      <c r="M437">
        <f>IF('CALL SHEET'!$AO$437="","",'CALL SHEET'!$AO$437)</f>
        <v/>
      </c>
      <c r="N437">
        <f>IF('CALL SHEET'!$BF$437="","",'CALL SHEET'!$BF$437)</f>
        <v/>
      </c>
      <c r="O437" t="inlineStr">
        <is>
          <t>TRADE</t>
        </is>
      </c>
      <c r="P437" t="inlineStr">
        <is>
          <t>CALL SHEET · row 437</t>
        </is>
      </c>
      <c r="Q437">
        <f>E437+ROW()*0.000000001</f>
        <v/>
      </c>
    </row>
    <row r="438">
      <c r="A438">
        <f>IF('CALL SHEET'!$A$438="","",'CALL SHEET'!$A$438)</f>
        <v/>
      </c>
      <c r="B438">
        <f>IF('CALL SHEET'!$C$438="","",'CALL SHEET'!$C$438)</f>
        <v/>
      </c>
      <c r="C438">
        <f>'CALL SHEET'!$U$438</f>
        <v/>
      </c>
      <c r="D438">
        <f>'CALL SHEET'!$AB$438</f>
        <v/>
      </c>
      <c r="E438">
        <f>'CALL SHEET'!$AF$438</f>
        <v/>
      </c>
      <c r="F438">
        <f>IF('CALL SHEET'!$V$438="","",'CALL SHEET'!$V$438)</f>
        <v/>
      </c>
      <c r="G438">
        <f>IF('CALL SHEET'!$D$438="","",'CALL SHEET'!$D$438)</f>
        <v/>
      </c>
      <c r="H438">
        <f>IF('CALL SHEET'!$G$438="","",'CALL SHEET'!$G$438)</f>
        <v/>
      </c>
      <c r="I438">
        <f>IF('CALL SHEET'!$AY$438="","",'CALL SHEET'!$AY$438)</f>
        <v/>
      </c>
      <c r="J438">
        <f>IF('CALL SHEET'!$BC$438="","",'CALL SHEET'!$BC$438)</f>
        <v/>
      </c>
      <c r="K438">
        <f>IF('CALL SHEET'!$N$438="","",'CALL SHEET'!$N$438)</f>
        <v/>
      </c>
      <c r="L438">
        <f>IF('CALL SHEET'!$AH$438="","",'CALL SHEET'!$AH$438)</f>
        <v/>
      </c>
      <c r="M438">
        <f>IF('CALL SHEET'!$AO$438="","",'CALL SHEET'!$AO$438)</f>
        <v/>
      </c>
      <c r="N438">
        <f>IF('CALL SHEET'!$BF$438="","",'CALL SHEET'!$BF$438)</f>
        <v/>
      </c>
      <c r="O438" t="inlineStr">
        <is>
          <t>TRADE</t>
        </is>
      </c>
      <c r="P438" t="inlineStr">
        <is>
          <t>CALL SHEET · row 438</t>
        </is>
      </c>
      <c r="Q438">
        <f>E438+ROW()*0.000000001</f>
        <v/>
      </c>
    </row>
    <row r="439">
      <c r="A439">
        <f>IF('CALL SHEET'!$A$439="","",'CALL SHEET'!$A$439)</f>
        <v/>
      </c>
      <c r="B439">
        <f>IF('CALL SHEET'!$C$439="","",'CALL SHEET'!$C$439)</f>
        <v/>
      </c>
      <c r="C439">
        <f>'CALL SHEET'!$U$439</f>
        <v/>
      </c>
      <c r="D439">
        <f>'CALL SHEET'!$AB$439</f>
        <v/>
      </c>
      <c r="E439">
        <f>'CALL SHEET'!$AF$439</f>
        <v/>
      </c>
      <c r="F439">
        <f>IF('CALL SHEET'!$V$439="","",'CALL SHEET'!$V$439)</f>
        <v/>
      </c>
      <c r="G439">
        <f>IF('CALL SHEET'!$D$439="","",'CALL SHEET'!$D$439)</f>
        <v/>
      </c>
      <c r="H439">
        <f>IF('CALL SHEET'!$G$439="","",'CALL SHEET'!$G$439)</f>
        <v/>
      </c>
      <c r="I439">
        <f>IF('CALL SHEET'!$AY$439="","",'CALL SHEET'!$AY$439)</f>
        <v/>
      </c>
      <c r="J439">
        <f>IF('CALL SHEET'!$BC$439="","",'CALL SHEET'!$BC$439)</f>
        <v/>
      </c>
      <c r="K439">
        <f>IF('CALL SHEET'!$N$439="","",'CALL SHEET'!$N$439)</f>
        <v/>
      </c>
      <c r="L439">
        <f>IF('CALL SHEET'!$AH$439="","",'CALL SHEET'!$AH$439)</f>
        <v/>
      </c>
      <c r="M439">
        <f>IF('CALL SHEET'!$AO$439="","",'CALL SHEET'!$AO$439)</f>
        <v/>
      </c>
      <c r="N439">
        <f>IF('CALL SHEET'!$BF$439="","",'CALL SHEET'!$BF$439)</f>
        <v/>
      </c>
      <c r="O439" t="inlineStr">
        <is>
          <t>TRADE</t>
        </is>
      </c>
      <c r="P439" t="inlineStr">
        <is>
          <t>CALL SHEET · row 439</t>
        </is>
      </c>
      <c r="Q439">
        <f>E439+ROW()*0.000000001</f>
        <v/>
      </c>
    </row>
    <row r="440">
      <c r="A440">
        <f>IF('CALL SHEET'!$A$440="","",'CALL SHEET'!$A$440)</f>
        <v/>
      </c>
      <c r="B440">
        <f>IF('CALL SHEET'!$C$440="","",'CALL SHEET'!$C$440)</f>
        <v/>
      </c>
      <c r="C440">
        <f>'CALL SHEET'!$U$440</f>
        <v/>
      </c>
      <c r="D440">
        <f>'CALL SHEET'!$AB$440</f>
        <v/>
      </c>
      <c r="E440">
        <f>'CALL SHEET'!$AF$440</f>
        <v/>
      </c>
      <c r="F440">
        <f>IF('CALL SHEET'!$V$440="","",'CALL SHEET'!$V$440)</f>
        <v/>
      </c>
      <c r="G440">
        <f>IF('CALL SHEET'!$D$440="","",'CALL SHEET'!$D$440)</f>
        <v/>
      </c>
      <c r="H440">
        <f>IF('CALL SHEET'!$G$440="","",'CALL SHEET'!$G$440)</f>
        <v/>
      </c>
      <c r="I440">
        <f>IF('CALL SHEET'!$AY$440="","",'CALL SHEET'!$AY$440)</f>
        <v/>
      </c>
      <c r="J440">
        <f>IF('CALL SHEET'!$BC$440="","",'CALL SHEET'!$BC$440)</f>
        <v/>
      </c>
      <c r="K440">
        <f>IF('CALL SHEET'!$N$440="","",'CALL SHEET'!$N$440)</f>
        <v/>
      </c>
      <c r="L440">
        <f>IF('CALL SHEET'!$AH$440="","",'CALL SHEET'!$AH$440)</f>
        <v/>
      </c>
      <c r="M440">
        <f>IF('CALL SHEET'!$AO$440="","",'CALL SHEET'!$AO$440)</f>
        <v/>
      </c>
      <c r="N440">
        <f>IF('CALL SHEET'!$BF$440="","",'CALL SHEET'!$BF$440)</f>
        <v/>
      </c>
      <c r="O440" t="inlineStr">
        <is>
          <t>TRADE</t>
        </is>
      </c>
      <c r="P440" t="inlineStr">
        <is>
          <t>CALL SHEET · row 440</t>
        </is>
      </c>
      <c r="Q440">
        <f>E440+ROW()*0.000000001</f>
        <v/>
      </c>
    </row>
    <row r="441">
      <c r="A441">
        <f>IF('CALL SHEET'!$A$441="","",'CALL SHEET'!$A$441)</f>
        <v/>
      </c>
      <c r="B441">
        <f>IF('CALL SHEET'!$C$441="","",'CALL SHEET'!$C$441)</f>
        <v/>
      </c>
      <c r="C441">
        <f>'CALL SHEET'!$U$441</f>
        <v/>
      </c>
      <c r="D441">
        <f>'CALL SHEET'!$AB$441</f>
        <v/>
      </c>
      <c r="E441">
        <f>'CALL SHEET'!$AF$441</f>
        <v/>
      </c>
      <c r="F441">
        <f>IF('CALL SHEET'!$V$441="","",'CALL SHEET'!$V$441)</f>
        <v/>
      </c>
      <c r="G441">
        <f>IF('CALL SHEET'!$D$441="","",'CALL SHEET'!$D$441)</f>
        <v/>
      </c>
      <c r="H441">
        <f>IF('CALL SHEET'!$G$441="","",'CALL SHEET'!$G$441)</f>
        <v/>
      </c>
      <c r="I441">
        <f>IF('CALL SHEET'!$AY$441="","",'CALL SHEET'!$AY$441)</f>
        <v/>
      </c>
      <c r="J441">
        <f>IF('CALL SHEET'!$BC$441="","",'CALL SHEET'!$BC$441)</f>
        <v/>
      </c>
      <c r="K441">
        <f>IF('CALL SHEET'!$N$441="","",'CALL SHEET'!$N$441)</f>
        <v/>
      </c>
      <c r="L441">
        <f>IF('CALL SHEET'!$AH$441="","",'CALL SHEET'!$AH$441)</f>
        <v/>
      </c>
      <c r="M441">
        <f>IF('CALL SHEET'!$AO$441="","",'CALL SHEET'!$AO$441)</f>
        <v/>
      </c>
      <c r="N441">
        <f>IF('CALL SHEET'!$BF$441="","",'CALL SHEET'!$BF$441)</f>
        <v/>
      </c>
      <c r="O441" t="inlineStr">
        <is>
          <t>TRADE</t>
        </is>
      </c>
      <c r="P441" t="inlineStr">
        <is>
          <t>CALL SHEET · row 441</t>
        </is>
      </c>
      <c r="Q441">
        <f>E441+ROW()*0.000000001</f>
        <v/>
      </c>
    </row>
    <row r="442">
      <c r="A442">
        <f>IF('CALL SHEET'!$A$442="","",'CALL SHEET'!$A$442)</f>
        <v/>
      </c>
      <c r="B442">
        <f>IF('CALL SHEET'!$C$442="","",'CALL SHEET'!$C$442)</f>
        <v/>
      </c>
      <c r="C442">
        <f>'CALL SHEET'!$U$442</f>
        <v/>
      </c>
      <c r="D442">
        <f>'CALL SHEET'!$AB$442</f>
        <v/>
      </c>
      <c r="E442">
        <f>'CALL SHEET'!$AF$442</f>
        <v/>
      </c>
      <c r="F442">
        <f>IF('CALL SHEET'!$V$442="","",'CALL SHEET'!$V$442)</f>
        <v/>
      </c>
      <c r="G442">
        <f>IF('CALL SHEET'!$D$442="","",'CALL SHEET'!$D$442)</f>
        <v/>
      </c>
      <c r="H442">
        <f>IF('CALL SHEET'!$G$442="","",'CALL SHEET'!$G$442)</f>
        <v/>
      </c>
      <c r="I442">
        <f>IF('CALL SHEET'!$AY$442="","",'CALL SHEET'!$AY$442)</f>
        <v/>
      </c>
      <c r="J442">
        <f>IF('CALL SHEET'!$BC$442="","",'CALL SHEET'!$BC$442)</f>
        <v/>
      </c>
      <c r="K442">
        <f>IF('CALL SHEET'!$N$442="","",'CALL SHEET'!$N$442)</f>
        <v/>
      </c>
      <c r="L442">
        <f>IF('CALL SHEET'!$AH$442="","",'CALL SHEET'!$AH$442)</f>
        <v/>
      </c>
      <c r="M442">
        <f>IF('CALL SHEET'!$AO$442="","",'CALL SHEET'!$AO$442)</f>
        <v/>
      </c>
      <c r="N442">
        <f>IF('CALL SHEET'!$BF$442="","",'CALL SHEET'!$BF$442)</f>
        <v/>
      </c>
      <c r="O442" t="inlineStr">
        <is>
          <t>TRADE</t>
        </is>
      </c>
      <c r="P442" t="inlineStr">
        <is>
          <t>CALL SHEET · row 442</t>
        </is>
      </c>
      <c r="Q442">
        <f>E442+ROW()*0.000000001</f>
        <v/>
      </c>
    </row>
    <row r="443">
      <c r="A443">
        <f>IF('CALL SHEET'!$A$443="","",'CALL SHEET'!$A$443)</f>
        <v/>
      </c>
      <c r="B443">
        <f>IF('CALL SHEET'!$C$443="","",'CALL SHEET'!$C$443)</f>
        <v/>
      </c>
      <c r="C443">
        <f>'CALL SHEET'!$U$443</f>
        <v/>
      </c>
      <c r="D443">
        <f>'CALL SHEET'!$AB$443</f>
        <v/>
      </c>
      <c r="E443">
        <f>'CALL SHEET'!$AF$443</f>
        <v/>
      </c>
      <c r="F443">
        <f>IF('CALL SHEET'!$V$443="","",'CALL SHEET'!$V$443)</f>
        <v/>
      </c>
      <c r="G443">
        <f>IF('CALL SHEET'!$D$443="","",'CALL SHEET'!$D$443)</f>
        <v/>
      </c>
      <c r="H443">
        <f>IF('CALL SHEET'!$G$443="","",'CALL SHEET'!$G$443)</f>
        <v/>
      </c>
      <c r="I443">
        <f>IF('CALL SHEET'!$AY$443="","",'CALL SHEET'!$AY$443)</f>
        <v/>
      </c>
      <c r="J443">
        <f>IF('CALL SHEET'!$BC$443="","",'CALL SHEET'!$BC$443)</f>
        <v/>
      </c>
      <c r="K443">
        <f>IF('CALL SHEET'!$N$443="","",'CALL SHEET'!$N$443)</f>
        <v/>
      </c>
      <c r="L443">
        <f>IF('CALL SHEET'!$AH$443="","",'CALL SHEET'!$AH$443)</f>
        <v/>
      </c>
      <c r="M443">
        <f>IF('CALL SHEET'!$AO$443="","",'CALL SHEET'!$AO$443)</f>
        <v/>
      </c>
      <c r="N443">
        <f>IF('CALL SHEET'!$BF$443="","",'CALL SHEET'!$BF$443)</f>
        <v/>
      </c>
      <c r="O443" t="inlineStr">
        <is>
          <t>TRADE</t>
        </is>
      </c>
      <c r="P443" t="inlineStr">
        <is>
          <t>CALL SHEET · row 443</t>
        </is>
      </c>
      <c r="Q443">
        <f>E443+ROW()*0.000000001</f>
        <v/>
      </c>
    </row>
    <row r="444">
      <c r="A444">
        <f>IF('CALL SHEET'!$A$444="","",'CALL SHEET'!$A$444)</f>
        <v/>
      </c>
      <c r="B444">
        <f>IF('CALL SHEET'!$C$444="","",'CALL SHEET'!$C$444)</f>
        <v/>
      </c>
      <c r="C444">
        <f>'CALL SHEET'!$U$444</f>
        <v/>
      </c>
      <c r="D444">
        <f>'CALL SHEET'!$AB$444</f>
        <v/>
      </c>
      <c r="E444">
        <f>'CALL SHEET'!$AF$444</f>
        <v/>
      </c>
      <c r="F444">
        <f>IF('CALL SHEET'!$V$444="","",'CALL SHEET'!$V$444)</f>
        <v/>
      </c>
      <c r="G444">
        <f>IF('CALL SHEET'!$D$444="","",'CALL SHEET'!$D$444)</f>
        <v/>
      </c>
      <c r="H444">
        <f>IF('CALL SHEET'!$G$444="","",'CALL SHEET'!$G$444)</f>
        <v/>
      </c>
      <c r="I444">
        <f>IF('CALL SHEET'!$AY$444="","",'CALL SHEET'!$AY$444)</f>
        <v/>
      </c>
      <c r="J444">
        <f>IF('CALL SHEET'!$BC$444="","",'CALL SHEET'!$BC$444)</f>
        <v/>
      </c>
      <c r="K444">
        <f>IF('CALL SHEET'!$N$444="","",'CALL SHEET'!$N$444)</f>
        <v/>
      </c>
      <c r="L444">
        <f>IF('CALL SHEET'!$AH$444="","",'CALL SHEET'!$AH$444)</f>
        <v/>
      </c>
      <c r="M444">
        <f>IF('CALL SHEET'!$AO$444="","",'CALL SHEET'!$AO$444)</f>
        <v/>
      </c>
      <c r="N444">
        <f>IF('CALL SHEET'!$BF$444="","",'CALL SHEET'!$BF$444)</f>
        <v/>
      </c>
      <c r="O444" t="inlineStr">
        <is>
          <t>TRADE</t>
        </is>
      </c>
      <c r="P444" t="inlineStr">
        <is>
          <t>CALL SHEET · row 444</t>
        </is>
      </c>
      <c r="Q444">
        <f>E444+ROW()*0.000000001</f>
        <v/>
      </c>
    </row>
    <row r="445">
      <c r="A445">
        <f>IF('CALL SHEET'!$A$445="","",'CALL SHEET'!$A$445)</f>
        <v/>
      </c>
      <c r="B445">
        <f>IF('CALL SHEET'!$C$445="","",'CALL SHEET'!$C$445)</f>
        <v/>
      </c>
      <c r="C445">
        <f>'CALL SHEET'!$U$445</f>
        <v/>
      </c>
      <c r="D445">
        <f>'CALL SHEET'!$AB$445</f>
        <v/>
      </c>
      <c r="E445">
        <f>'CALL SHEET'!$AF$445</f>
        <v/>
      </c>
      <c r="F445">
        <f>IF('CALL SHEET'!$V$445="","",'CALL SHEET'!$V$445)</f>
        <v/>
      </c>
      <c r="G445">
        <f>IF('CALL SHEET'!$D$445="","",'CALL SHEET'!$D$445)</f>
        <v/>
      </c>
      <c r="H445">
        <f>IF('CALL SHEET'!$G$445="","",'CALL SHEET'!$G$445)</f>
        <v/>
      </c>
      <c r="I445">
        <f>IF('CALL SHEET'!$AY$445="","",'CALL SHEET'!$AY$445)</f>
        <v/>
      </c>
      <c r="J445">
        <f>IF('CALL SHEET'!$BC$445="","",'CALL SHEET'!$BC$445)</f>
        <v/>
      </c>
      <c r="K445">
        <f>IF('CALL SHEET'!$N$445="","",'CALL SHEET'!$N$445)</f>
        <v/>
      </c>
      <c r="L445">
        <f>IF('CALL SHEET'!$AH$445="","",'CALL SHEET'!$AH$445)</f>
        <v/>
      </c>
      <c r="M445">
        <f>IF('CALL SHEET'!$AO$445="","",'CALL SHEET'!$AO$445)</f>
        <v/>
      </c>
      <c r="N445">
        <f>IF('CALL SHEET'!$BF$445="","",'CALL SHEET'!$BF$445)</f>
        <v/>
      </c>
      <c r="O445" t="inlineStr">
        <is>
          <t>TRADE</t>
        </is>
      </c>
      <c r="P445" t="inlineStr">
        <is>
          <t>CALL SHEET · row 445</t>
        </is>
      </c>
      <c r="Q445">
        <f>E445+ROW()*0.000000001</f>
        <v/>
      </c>
    </row>
    <row r="446">
      <c r="A446">
        <f>IF('CALL SHEET'!$A$446="","",'CALL SHEET'!$A$446)</f>
        <v/>
      </c>
      <c r="B446">
        <f>IF('CALL SHEET'!$C$446="","",'CALL SHEET'!$C$446)</f>
        <v/>
      </c>
      <c r="C446">
        <f>'CALL SHEET'!$U$446</f>
        <v/>
      </c>
      <c r="D446">
        <f>'CALL SHEET'!$AB$446</f>
        <v/>
      </c>
      <c r="E446">
        <f>'CALL SHEET'!$AF$446</f>
        <v/>
      </c>
      <c r="F446">
        <f>IF('CALL SHEET'!$V$446="","",'CALL SHEET'!$V$446)</f>
        <v/>
      </c>
      <c r="G446">
        <f>IF('CALL SHEET'!$D$446="","",'CALL SHEET'!$D$446)</f>
        <v/>
      </c>
      <c r="H446">
        <f>IF('CALL SHEET'!$G$446="","",'CALL SHEET'!$G$446)</f>
        <v/>
      </c>
      <c r="I446">
        <f>IF('CALL SHEET'!$AY$446="","",'CALL SHEET'!$AY$446)</f>
        <v/>
      </c>
      <c r="J446">
        <f>IF('CALL SHEET'!$BC$446="","",'CALL SHEET'!$BC$446)</f>
        <v/>
      </c>
      <c r="K446">
        <f>IF('CALL SHEET'!$N$446="","",'CALL SHEET'!$N$446)</f>
        <v/>
      </c>
      <c r="L446">
        <f>IF('CALL SHEET'!$AH$446="","",'CALL SHEET'!$AH$446)</f>
        <v/>
      </c>
      <c r="M446">
        <f>IF('CALL SHEET'!$AO$446="","",'CALL SHEET'!$AO$446)</f>
        <v/>
      </c>
      <c r="N446">
        <f>IF('CALL SHEET'!$BF$446="","",'CALL SHEET'!$BF$446)</f>
        <v/>
      </c>
      <c r="O446" t="inlineStr">
        <is>
          <t>TRADE</t>
        </is>
      </c>
      <c r="P446" t="inlineStr">
        <is>
          <t>CALL SHEET · row 446</t>
        </is>
      </c>
      <c r="Q446">
        <f>E446+ROW()*0.000000001</f>
        <v/>
      </c>
    </row>
    <row r="447">
      <c r="A447">
        <f>IF('CALL SHEET'!$A$447="","",'CALL SHEET'!$A$447)</f>
        <v/>
      </c>
      <c r="B447">
        <f>IF('CALL SHEET'!$C$447="","",'CALL SHEET'!$C$447)</f>
        <v/>
      </c>
      <c r="C447">
        <f>'CALL SHEET'!$U$447</f>
        <v/>
      </c>
      <c r="D447">
        <f>'CALL SHEET'!$AB$447</f>
        <v/>
      </c>
      <c r="E447">
        <f>'CALL SHEET'!$AF$447</f>
        <v/>
      </c>
      <c r="F447">
        <f>IF('CALL SHEET'!$V$447="","",'CALL SHEET'!$V$447)</f>
        <v/>
      </c>
      <c r="G447">
        <f>IF('CALL SHEET'!$D$447="","",'CALL SHEET'!$D$447)</f>
        <v/>
      </c>
      <c r="H447">
        <f>IF('CALL SHEET'!$G$447="","",'CALL SHEET'!$G$447)</f>
        <v/>
      </c>
      <c r="I447">
        <f>IF('CALL SHEET'!$AY$447="","",'CALL SHEET'!$AY$447)</f>
        <v/>
      </c>
      <c r="J447">
        <f>IF('CALL SHEET'!$BC$447="","",'CALL SHEET'!$BC$447)</f>
        <v/>
      </c>
      <c r="K447">
        <f>IF('CALL SHEET'!$N$447="","",'CALL SHEET'!$N$447)</f>
        <v/>
      </c>
      <c r="L447">
        <f>IF('CALL SHEET'!$AH$447="","",'CALL SHEET'!$AH$447)</f>
        <v/>
      </c>
      <c r="M447">
        <f>IF('CALL SHEET'!$AO$447="","",'CALL SHEET'!$AO$447)</f>
        <v/>
      </c>
      <c r="N447">
        <f>IF('CALL SHEET'!$BF$447="","",'CALL SHEET'!$BF$447)</f>
        <v/>
      </c>
      <c r="O447" t="inlineStr">
        <is>
          <t>TRADE</t>
        </is>
      </c>
      <c r="P447" t="inlineStr">
        <is>
          <t>CALL SHEET · row 447</t>
        </is>
      </c>
      <c r="Q447">
        <f>E447+ROW()*0.000000001</f>
        <v/>
      </c>
    </row>
    <row r="448">
      <c r="A448">
        <f>IF('CALL SHEET'!$A$448="","",'CALL SHEET'!$A$448)</f>
        <v/>
      </c>
      <c r="B448">
        <f>IF('CALL SHEET'!$C$448="","",'CALL SHEET'!$C$448)</f>
        <v/>
      </c>
      <c r="C448">
        <f>'CALL SHEET'!$U$448</f>
        <v/>
      </c>
      <c r="D448">
        <f>'CALL SHEET'!$AB$448</f>
        <v/>
      </c>
      <c r="E448">
        <f>'CALL SHEET'!$AF$448</f>
        <v/>
      </c>
      <c r="F448">
        <f>IF('CALL SHEET'!$V$448="","",'CALL SHEET'!$V$448)</f>
        <v/>
      </c>
      <c r="G448">
        <f>IF('CALL SHEET'!$D$448="","",'CALL SHEET'!$D$448)</f>
        <v/>
      </c>
      <c r="H448">
        <f>IF('CALL SHEET'!$G$448="","",'CALL SHEET'!$G$448)</f>
        <v/>
      </c>
      <c r="I448">
        <f>IF('CALL SHEET'!$AY$448="","",'CALL SHEET'!$AY$448)</f>
        <v/>
      </c>
      <c r="J448">
        <f>IF('CALL SHEET'!$BC$448="","",'CALL SHEET'!$BC$448)</f>
        <v/>
      </c>
      <c r="K448">
        <f>IF('CALL SHEET'!$N$448="","",'CALL SHEET'!$N$448)</f>
        <v/>
      </c>
      <c r="L448">
        <f>IF('CALL SHEET'!$AH$448="","",'CALL SHEET'!$AH$448)</f>
        <v/>
      </c>
      <c r="M448">
        <f>IF('CALL SHEET'!$AO$448="","",'CALL SHEET'!$AO$448)</f>
        <v/>
      </c>
      <c r="N448">
        <f>IF('CALL SHEET'!$BF$448="","",'CALL SHEET'!$BF$448)</f>
        <v/>
      </c>
      <c r="O448" t="inlineStr">
        <is>
          <t>TRADE</t>
        </is>
      </c>
      <c r="P448" t="inlineStr">
        <is>
          <t>CALL SHEET · row 448</t>
        </is>
      </c>
      <c r="Q448">
        <f>E448+ROW()*0.000000001</f>
        <v/>
      </c>
    </row>
    <row r="449">
      <c r="A449">
        <f>IF('CALL SHEET'!$A$449="","",'CALL SHEET'!$A$449)</f>
        <v/>
      </c>
      <c r="B449">
        <f>IF('CALL SHEET'!$C$449="","",'CALL SHEET'!$C$449)</f>
        <v/>
      </c>
      <c r="C449">
        <f>'CALL SHEET'!$U$449</f>
        <v/>
      </c>
      <c r="D449">
        <f>'CALL SHEET'!$AB$449</f>
        <v/>
      </c>
      <c r="E449">
        <f>'CALL SHEET'!$AF$449</f>
        <v/>
      </c>
      <c r="F449">
        <f>IF('CALL SHEET'!$V$449="","",'CALL SHEET'!$V$449)</f>
        <v/>
      </c>
      <c r="G449">
        <f>IF('CALL SHEET'!$D$449="","",'CALL SHEET'!$D$449)</f>
        <v/>
      </c>
      <c r="H449">
        <f>IF('CALL SHEET'!$G$449="","",'CALL SHEET'!$G$449)</f>
        <v/>
      </c>
      <c r="I449">
        <f>IF('CALL SHEET'!$AY$449="","",'CALL SHEET'!$AY$449)</f>
        <v/>
      </c>
      <c r="J449">
        <f>IF('CALL SHEET'!$BC$449="","",'CALL SHEET'!$BC$449)</f>
        <v/>
      </c>
      <c r="K449">
        <f>IF('CALL SHEET'!$N$449="","",'CALL SHEET'!$N$449)</f>
        <v/>
      </c>
      <c r="L449">
        <f>IF('CALL SHEET'!$AH$449="","",'CALL SHEET'!$AH$449)</f>
        <v/>
      </c>
      <c r="M449">
        <f>IF('CALL SHEET'!$AO$449="","",'CALL SHEET'!$AO$449)</f>
        <v/>
      </c>
      <c r="N449">
        <f>IF('CALL SHEET'!$BF$449="","",'CALL SHEET'!$BF$449)</f>
        <v/>
      </c>
      <c r="O449" t="inlineStr">
        <is>
          <t>TRADE</t>
        </is>
      </c>
      <c r="P449" t="inlineStr">
        <is>
          <t>CALL SHEET · row 449</t>
        </is>
      </c>
      <c r="Q449">
        <f>E449+ROW()*0.000000001</f>
        <v/>
      </c>
    </row>
    <row r="450">
      <c r="A450">
        <f>IF('CALL SHEET'!$A$450="","",'CALL SHEET'!$A$450)</f>
        <v/>
      </c>
      <c r="B450">
        <f>IF('CALL SHEET'!$C$450="","",'CALL SHEET'!$C$450)</f>
        <v/>
      </c>
      <c r="C450">
        <f>'CALL SHEET'!$U$450</f>
        <v/>
      </c>
      <c r="D450">
        <f>'CALL SHEET'!$AB$450</f>
        <v/>
      </c>
      <c r="E450">
        <f>'CALL SHEET'!$AF$450</f>
        <v/>
      </c>
      <c r="F450">
        <f>IF('CALL SHEET'!$V$450="","",'CALL SHEET'!$V$450)</f>
        <v/>
      </c>
      <c r="G450">
        <f>IF('CALL SHEET'!$D$450="","",'CALL SHEET'!$D$450)</f>
        <v/>
      </c>
      <c r="H450">
        <f>IF('CALL SHEET'!$G$450="","",'CALL SHEET'!$G$450)</f>
        <v/>
      </c>
      <c r="I450">
        <f>IF('CALL SHEET'!$AY$450="","",'CALL SHEET'!$AY$450)</f>
        <v/>
      </c>
      <c r="J450">
        <f>IF('CALL SHEET'!$BC$450="","",'CALL SHEET'!$BC$450)</f>
        <v/>
      </c>
      <c r="K450">
        <f>IF('CALL SHEET'!$N$450="","",'CALL SHEET'!$N$450)</f>
        <v/>
      </c>
      <c r="L450">
        <f>IF('CALL SHEET'!$AH$450="","",'CALL SHEET'!$AH$450)</f>
        <v/>
      </c>
      <c r="M450">
        <f>IF('CALL SHEET'!$AO$450="","",'CALL SHEET'!$AO$450)</f>
        <v/>
      </c>
      <c r="N450">
        <f>IF('CALL SHEET'!$BF$450="","",'CALL SHEET'!$BF$450)</f>
        <v/>
      </c>
      <c r="O450" t="inlineStr">
        <is>
          <t>TRADE</t>
        </is>
      </c>
      <c r="P450" t="inlineStr">
        <is>
          <t>CALL SHEET · row 450</t>
        </is>
      </c>
      <c r="Q450">
        <f>E450+ROW()*0.000000001</f>
        <v/>
      </c>
    </row>
    <row r="451">
      <c r="A451">
        <f>IF('CALL SHEET'!$A$451="","",'CALL SHEET'!$A$451)</f>
        <v/>
      </c>
      <c r="B451">
        <f>IF('CALL SHEET'!$C$451="","",'CALL SHEET'!$C$451)</f>
        <v/>
      </c>
      <c r="C451">
        <f>'CALL SHEET'!$U$451</f>
        <v/>
      </c>
      <c r="D451">
        <f>'CALL SHEET'!$AB$451</f>
        <v/>
      </c>
      <c r="E451">
        <f>'CALL SHEET'!$AF$451</f>
        <v/>
      </c>
      <c r="F451">
        <f>IF('CALL SHEET'!$V$451="","",'CALL SHEET'!$V$451)</f>
        <v/>
      </c>
      <c r="G451">
        <f>IF('CALL SHEET'!$D$451="","",'CALL SHEET'!$D$451)</f>
        <v/>
      </c>
      <c r="H451">
        <f>IF('CALL SHEET'!$G$451="","",'CALL SHEET'!$G$451)</f>
        <v/>
      </c>
      <c r="I451">
        <f>IF('CALL SHEET'!$AY$451="","",'CALL SHEET'!$AY$451)</f>
        <v/>
      </c>
      <c r="J451">
        <f>IF('CALL SHEET'!$BC$451="","",'CALL SHEET'!$BC$451)</f>
        <v/>
      </c>
      <c r="K451">
        <f>IF('CALL SHEET'!$N$451="","",'CALL SHEET'!$N$451)</f>
        <v/>
      </c>
      <c r="L451">
        <f>IF('CALL SHEET'!$AH$451="","",'CALL SHEET'!$AH$451)</f>
        <v/>
      </c>
      <c r="M451">
        <f>IF('CALL SHEET'!$AO$451="","",'CALL SHEET'!$AO$451)</f>
        <v/>
      </c>
      <c r="N451">
        <f>IF('CALL SHEET'!$BF$451="","",'CALL SHEET'!$BF$451)</f>
        <v/>
      </c>
      <c r="O451" t="inlineStr">
        <is>
          <t>TRADE</t>
        </is>
      </c>
      <c r="P451" t="inlineStr">
        <is>
          <t>CALL SHEET · row 451</t>
        </is>
      </c>
      <c r="Q451">
        <f>E451+ROW()*0.000000001</f>
        <v/>
      </c>
    </row>
    <row r="452">
      <c r="A452">
        <f>IF('CALL SHEET'!$A$452="","",'CALL SHEET'!$A$452)</f>
        <v/>
      </c>
      <c r="B452">
        <f>IF('CALL SHEET'!$C$452="","",'CALL SHEET'!$C$452)</f>
        <v/>
      </c>
      <c r="C452">
        <f>'CALL SHEET'!$U$452</f>
        <v/>
      </c>
      <c r="D452">
        <f>'CALL SHEET'!$AB$452</f>
        <v/>
      </c>
      <c r="E452">
        <f>'CALL SHEET'!$AF$452</f>
        <v/>
      </c>
      <c r="F452">
        <f>IF('CALL SHEET'!$V$452="","",'CALL SHEET'!$V$452)</f>
        <v/>
      </c>
      <c r="G452">
        <f>IF('CALL SHEET'!$D$452="","",'CALL SHEET'!$D$452)</f>
        <v/>
      </c>
      <c r="H452">
        <f>IF('CALL SHEET'!$G$452="","",'CALL SHEET'!$G$452)</f>
        <v/>
      </c>
      <c r="I452">
        <f>IF('CALL SHEET'!$AY$452="","",'CALL SHEET'!$AY$452)</f>
        <v/>
      </c>
      <c r="J452">
        <f>IF('CALL SHEET'!$BC$452="","",'CALL SHEET'!$BC$452)</f>
        <v/>
      </c>
      <c r="K452">
        <f>IF('CALL SHEET'!$N$452="","",'CALL SHEET'!$N$452)</f>
        <v/>
      </c>
      <c r="L452">
        <f>IF('CALL SHEET'!$AH$452="","",'CALL SHEET'!$AH$452)</f>
        <v/>
      </c>
      <c r="M452">
        <f>IF('CALL SHEET'!$AO$452="","",'CALL SHEET'!$AO$452)</f>
        <v/>
      </c>
      <c r="N452">
        <f>IF('CALL SHEET'!$BF$452="","",'CALL SHEET'!$BF$452)</f>
        <v/>
      </c>
      <c r="O452" t="inlineStr">
        <is>
          <t>TRADE</t>
        </is>
      </c>
      <c r="P452" t="inlineStr">
        <is>
          <t>CALL SHEET · row 452</t>
        </is>
      </c>
      <c r="Q452">
        <f>E452+ROW()*0.000000001</f>
        <v/>
      </c>
    </row>
    <row r="453">
      <c r="A453">
        <f>IF('CALL SHEET'!$A$453="","",'CALL SHEET'!$A$453)</f>
        <v/>
      </c>
      <c r="B453">
        <f>IF('CALL SHEET'!$C$453="","",'CALL SHEET'!$C$453)</f>
        <v/>
      </c>
      <c r="C453">
        <f>'CALL SHEET'!$U$453</f>
        <v/>
      </c>
      <c r="D453">
        <f>'CALL SHEET'!$AB$453</f>
        <v/>
      </c>
      <c r="E453">
        <f>'CALL SHEET'!$AF$453</f>
        <v/>
      </c>
      <c r="F453">
        <f>IF('CALL SHEET'!$V$453="","",'CALL SHEET'!$V$453)</f>
        <v/>
      </c>
      <c r="G453">
        <f>IF('CALL SHEET'!$D$453="","",'CALL SHEET'!$D$453)</f>
        <v/>
      </c>
      <c r="H453">
        <f>IF('CALL SHEET'!$G$453="","",'CALL SHEET'!$G$453)</f>
        <v/>
      </c>
      <c r="I453">
        <f>IF('CALL SHEET'!$AY$453="","",'CALL SHEET'!$AY$453)</f>
        <v/>
      </c>
      <c r="J453">
        <f>IF('CALL SHEET'!$BC$453="","",'CALL SHEET'!$BC$453)</f>
        <v/>
      </c>
      <c r="K453">
        <f>IF('CALL SHEET'!$N$453="","",'CALL SHEET'!$N$453)</f>
        <v/>
      </c>
      <c r="L453">
        <f>IF('CALL SHEET'!$AH$453="","",'CALL SHEET'!$AH$453)</f>
        <v/>
      </c>
      <c r="M453">
        <f>IF('CALL SHEET'!$AO$453="","",'CALL SHEET'!$AO$453)</f>
        <v/>
      </c>
      <c r="N453">
        <f>IF('CALL SHEET'!$BF$453="","",'CALL SHEET'!$BF$453)</f>
        <v/>
      </c>
      <c r="O453" t="inlineStr">
        <is>
          <t>TRADE</t>
        </is>
      </c>
      <c r="P453" t="inlineStr">
        <is>
          <t>CALL SHEET · row 453</t>
        </is>
      </c>
      <c r="Q453">
        <f>E453+ROW()*0.000000001</f>
        <v/>
      </c>
    </row>
    <row r="454">
      <c r="A454">
        <f>IF('CALL SHEET'!$A$454="","",'CALL SHEET'!$A$454)</f>
        <v/>
      </c>
      <c r="B454">
        <f>IF('CALL SHEET'!$C$454="","",'CALL SHEET'!$C$454)</f>
        <v/>
      </c>
      <c r="C454">
        <f>'CALL SHEET'!$U$454</f>
        <v/>
      </c>
      <c r="D454">
        <f>'CALL SHEET'!$AB$454</f>
        <v/>
      </c>
      <c r="E454">
        <f>'CALL SHEET'!$AF$454</f>
        <v/>
      </c>
      <c r="F454">
        <f>IF('CALL SHEET'!$V$454="","",'CALL SHEET'!$V$454)</f>
        <v/>
      </c>
      <c r="G454">
        <f>IF('CALL SHEET'!$D$454="","",'CALL SHEET'!$D$454)</f>
        <v/>
      </c>
      <c r="H454">
        <f>IF('CALL SHEET'!$G$454="","",'CALL SHEET'!$G$454)</f>
        <v/>
      </c>
      <c r="I454">
        <f>IF('CALL SHEET'!$AY$454="","",'CALL SHEET'!$AY$454)</f>
        <v/>
      </c>
      <c r="J454">
        <f>IF('CALL SHEET'!$BC$454="","",'CALL SHEET'!$BC$454)</f>
        <v/>
      </c>
      <c r="K454">
        <f>IF('CALL SHEET'!$N$454="","",'CALL SHEET'!$N$454)</f>
        <v/>
      </c>
      <c r="L454">
        <f>IF('CALL SHEET'!$AH$454="","",'CALL SHEET'!$AH$454)</f>
        <v/>
      </c>
      <c r="M454">
        <f>IF('CALL SHEET'!$AO$454="","",'CALL SHEET'!$AO$454)</f>
        <v/>
      </c>
      <c r="N454">
        <f>IF('CALL SHEET'!$BF$454="","",'CALL SHEET'!$BF$454)</f>
        <v/>
      </c>
      <c r="O454" t="inlineStr">
        <is>
          <t>TRADE</t>
        </is>
      </c>
      <c r="P454" t="inlineStr">
        <is>
          <t>CALL SHEET · row 454</t>
        </is>
      </c>
      <c r="Q454">
        <f>E454+ROW()*0.000000001</f>
        <v/>
      </c>
    </row>
    <row r="455">
      <c r="A455">
        <f>IF('CALL SHEET'!$A$455="","",'CALL SHEET'!$A$455)</f>
        <v/>
      </c>
      <c r="B455">
        <f>IF('CALL SHEET'!$C$455="","",'CALL SHEET'!$C$455)</f>
        <v/>
      </c>
      <c r="C455">
        <f>'CALL SHEET'!$U$455</f>
        <v/>
      </c>
      <c r="D455">
        <f>'CALL SHEET'!$AB$455</f>
        <v/>
      </c>
      <c r="E455">
        <f>'CALL SHEET'!$AF$455</f>
        <v/>
      </c>
      <c r="F455">
        <f>IF('CALL SHEET'!$V$455="","",'CALL SHEET'!$V$455)</f>
        <v/>
      </c>
      <c r="G455">
        <f>IF('CALL SHEET'!$D$455="","",'CALL SHEET'!$D$455)</f>
        <v/>
      </c>
      <c r="H455">
        <f>IF('CALL SHEET'!$G$455="","",'CALL SHEET'!$G$455)</f>
        <v/>
      </c>
      <c r="I455">
        <f>IF('CALL SHEET'!$AY$455="","",'CALL SHEET'!$AY$455)</f>
        <v/>
      </c>
      <c r="J455">
        <f>IF('CALL SHEET'!$BC$455="","",'CALL SHEET'!$BC$455)</f>
        <v/>
      </c>
      <c r="K455">
        <f>IF('CALL SHEET'!$N$455="","",'CALL SHEET'!$N$455)</f>
        <v/>
      </c>
      <c r="L455">
        <f>IF('CALL SHEET'!$AH$455="","",'CALL SHEET'!$AH$455)</f>
        <v/>
      </c>
      <c r="M455">
        <f>IF('CALL SHEET'!$AO$455="","",'CALL SHEET'!$AO$455)</f>
        <v/>
      </c>
      <c r="N455">
        <f>IF('CALL SHEET'!$BF$455="","",'CALL SHEET'!$BF$455)</f>
        <v/>
      </c>
      <c r="O455" t="inlineStr">
        <is>
          <t>TRADE</t>
        </is>
      </c>
      <c r="P455" t="inlineStr">
        <is>
          <t>CALL SHEET · row 455</t>
        </is>
      </c>
      <c r="Q455">
        <f>E455+ROW()*0.000000001</f>
        <v/>
      </c>
    </row>
    <row r="456">
      <c r="A456">
        <f>IF('CALL SHEET'!$A$456="","",'CALL SHEET'!$A$456)</f>
        <v/>
      </c>
      <c r="B456">
        <f>IF('CALL SHEET'!$C$456="","",'CALL SHEET'!$C$456)</f>
        <v/>
      </c>
      <c r="C456">
        <f>'CALL SHEET'!$U$456</f>
        <v/>
      </c>
      <c r="D456">
        <f>'CALL SHEET'!$AB$456</f>
        <v/>
      </c>
      <c r="E456">
        <f>'CALL SHEET'!$AF$456</f>
        <v/>
      </c>
      <c r="F456">
        <f>IF('CALL SHEET'!$V$456="","",'CALL SHEET'!$V$456)</f>
        <v/>
      </c>
      <c r="G456">
        <f>IF('CALL SHEET'!$D$456="","",'CALL SHEET'!$D$456)</f>
        <v/>
      </c>
      <c r="H456">
        <f>IF('CALL SHEET'!$G$456="","",'CALL SHEET'!$G$456)</f>
        <v/>
      </c>
      <c r="I456">
        <f>IF('CALL SHEET'!$AY$456="","",'CALL SHEET'!$AY$456)</f>
        <v/>
      </c>
      <c r="J456">
        <f>IF('CALL SHEET'!$BC$456="","",'CALL SHEET'!$BC$456)</f>
        <v/>
      </c>
      <c r="K456">
        <f>IF('CALL SHEET'!$N$456="","",'CALL SHEET'!$N$456)</f>
        <v/>
      </c>
      <c r="L456">
        <f>IF('CALL SHEET'!$AH$456="","",'CALL SHEET'!$AH$456)</f>
        <v/>
      </c>
      <c r="M456">
        <f>IF('CALL SHEET'!$AO$456="","",'CALL SHEET'!$AO$456)</f>
        <v/>
      </c>
      <c r="N456">
        <f>IF('CALL SHEET'!$BF$456="","",'CALL SHEET'!$BF$456)</f>
        <v/>
      </c>
      <c r="O456" t="inlineStr">
        <is>
          <t>TRADE</t>
        </is>
      </c>
      <c r="P456" t="inlineStr">
        <is>
          <t>CALL SHEET · row 456</t>
        </is>
      </c>
      <c r="Q456">
        <f>E456+ROW()*0.000000001</f>
        <v/>
      </c>
    </row>
    <row r="457">
      <c r="A457">
        <f>IF('CALL SHEET'!$A$457="","",'CALL SHEET'!$A$457)</f>
        <v/>
      </c>
      <c r="B457">
        <f>IF('CALL SHEET'!$C$457="","",'CALL SHEET'!$C$457)</f>
        <v/>
      </c>
      <c r="C457">
        <f>'CALL SHEET'!$U$457</f>
        <v/>
      </c>
      <c r="D457">
        <f>'CALL SHEET'!$AB$457</f>
        <v/>
      </c>
      <c r="E457">
        <f>'CALL SHEET'!$AF$457</f>
        <v/>
      </c>
      <c r="F457">
        <f>IF('CALL SHEET'!$V$457="","",'CALL SHEET'!$V$457)</f>
        <v/>
      </c>
      <c r="G457">
        <f>IF('CALL SHEET'!$D$457="","",'CALL SHEET'!$D$457)</f>
        <v/>
      </c>
      <c r="H457">
        <f>IF('CALL SHEET'!$G$457="","",'CALL SHEET'!$G$457)</f>
        <v/>
      </c>
      <c r="I457">
        <f>IF('CALL SHEET'!$AY$457="","",'CALL SHEET'!$AY$457)</f>
        <v/>
      </c>
      <c r="J457">
        <f>IF('CALL SHEET'!$BC$457="","",'CALL SHEET'!$BC$457)</f>
        <v/>
      </c>
      <c r="K457">
        <f>IF('CALL SHEET'!$N$457="","",'CALL SHEET'!$N$457)</f>
        <v/>
      </c>
      <c r="L457">
        <f>IF('CALL SHEET'!$AH$457="","",'CALL SHEET'!$AH$457)</f>
        <v/>
      </c>
      <c r="M457">
        <f>IF('CALL SHEET'!$AO$457="","",'CALL SHEET'!$AO$457)</f>
        <v/>
      </c>
      <c r="N457">
        <f>IF('CALL SHEET'!$BF$457="","",'CALL SHEET'!$BF$457)</f>
        <v/>
      </c>
      <c r="O457" t="inlineStr">
        <is>
          <t>TRADE</t>
        </is>
      </c>
      <c r="P457" t="inlineStr">
        <is>
          <t>CALL SHEET · row 457</t>
        </is>
      </c>
      <c r="Q457">
        <f>E457+ROW()*0.000000001</f>
        <v/>
      </c>
    </row>
    <row r="458">
      <c r="A458">
        <f>IF('CALL SHEET'!$A$458="","",'CALL SHEET'!$A$458)</f>
        <v/>
      </c>
      <c r="B458">
        <f>IF('CALL SHEET'!$C$458="","",'CALL SHEET'!$C$458)</f>
        <v/>
      </c>
      <c r="C458">
        <f>'CALL SHEET'!$U$458</f>
        <v/>
      </c>
      <c r="D458">
        <f>'CALL SHEET'!$AB$458</f>
        <v/>
      </c>
      <c r="E458">
        <f>'CALL SHEET'!$AF$458</f>
        <v/>
      </c>
      <c r="F458">
        <f>IF('CALL SHEET'!$V$458="","",'CALL SHEET'!$V$458)</f>
        <v/>
      </c>
      <c r="G458">
        <f>IF('CALL SHEET'!$D$458="","",'CALL SHEET'!$D$458)</f>
        <v/>
      </c>
      <c r="H458">
        <f>IF('CALL SHEET'!$G$458="","",'CALL SHEET'!$G$458)</f>
        <v/>
      </c>
      <c r="I458">
        <f>IF('CALL SHEET'!$AY$458="","",'CALL SHEET'!$AY$458)</f>
        <v/>
      </c>
      <c r="J458">
        <f>IF('CALL SHEET'!$BC$458="","",'CALL SHEET'!$BC$458)</f>
        <v/>
      </c>
      <c r="K458">
        <f>IF('CALL SHEET'!$N$458="","",'CALL SHEET'!$N$458)</f>
        <v/>
      </c>
      <c r="L458">
        <f>IF('CALL SHEET'!$AH$458="","",'CALL SHEET'!$AH$458)</f>
        <v/>
      </c>
      <c r="M458">
        <f>IF('CALL SHEET'!$AO$458="","",'CALL SHEET'!$AO$458)</f>
        <v/>
      </c>
      <c r="N458">
        <f>IF('CALL SHEET'!$BF$458="","",'CALL SHEET'!$BF$458)</f>
        <v/>
      </c>
      <c r="O458" t="inlineStr">
        <is>
          <t>TRADE</t>
        </is>
      </c>
      <c r="P458" t="inlineStr">
        <is>
          <t>CALL SHEET · row 458</t>
        </is>
      </c>
      <c r="Q458">
        <f>E458+ROW()*0.000000001</f>
        <v/>
      </c>
    </row>
    <row r="459">
      <c r="A459">
        <f>IF('CALL SHEET'!$A$459="","",'CALL SHEET'!$A$459)</f>
        <v/>
      </c>
      <c r="B459">
        <f>IF('CALL SHEET'!$C$459="","",'CALL SHEET'!$C$459)</f>
        <v/>
      </c>
      <c r="C459">
        <f>'CALL SHEET'!$U$459</f>
        <v/>
      </c>
      <c r="D459">
        <f>'CALL SHEET'!$AB$459</f>
        <v/>
      </c>
      <c r="E459">
        <f>'CALL SHEET'!$AF$459</f>
        <v/>
      </c>
      <c r="F459">
        <f>IF('CALL SHEET'!$V$459="","",'CALL SHEET'!$V$459)</f>
        <v/>
      </c>
      <c r="G459">
        <f>IF('CALL SHEET'!$D$459="","",'CALL SHEET'!$D$459)</f>
        <v/>
      </c>
      <c r="H459">
        <f>IF('CALL SHEET'!$G$459="","",'CALL SHEET'!$G$459)</f>
        <v/>
      </c>
      <c r="I459">
        <f>IF('CALL SHEET'!$AY$459="","",'CALL SHEET'!$AY$459)</f>
        <v/>
      </c>
      <c r="J459">
        <f>IF('CALL SHEET'!$BC$459="","",'CALL SHEET'!$BC$459)</f>
        <v/>
      </c>
      <c r="K459">
        <f>IF('CALL SHEET'!$N$459="","",'CALL SHEET'!$N$459)</f>
        <v/>
      </c>
      <c r="L459">
        <f>IF('CALL SHEET'!$AH$459="","",'CALL SHEET'!$AH$459)</f>
        <v/>
      </c>
      <c r="M459">
        <f>IF('CALL SHEET'!$AO$459="","",'CALL SHEET'!$AO$459)</f>
        <v/>
      </c>
      <c r="N459">
        <f>IF('CALL SHEET'!$BF$459="","",'CALL SHEET'!$BF$459)</f>
        <v/>
      </c>
      <c r="O459" t="inlineStr">
        <is>
          <t>TRADE</t>
        </is>
      </c>
      <c r="P459" t="inlineStr">
        <is>
          <t>CALL SHEET · row 459</t>
        </is>
      </c>
      <c r="Q459">
        <f>E459+ROW()*0.000000001</f>
        <v/>
      </c>
    </row>
    <row r="460">
      <c r="A460">
        <f>IF('CALL SHEET'!$A$460="","",'CALL SHEET'!$A$460)</f>
        <v/>
      </c>
      <c r="B460">
        <f>IF('CALL SHEET'!$C$460="","",'CALL SHEET'!$C$460)</f>
        <v/>
      </c>
      <c r="C460">
        <f>'CALL SHEET'!$U$460</f>
        <v/>
      </c>
      <c r="D460">
        <f>'CALL SHEET'!$AB$460</f>
        <v/>
      </c>
      <c r="E460">
        <f>'CALL SHEET'!$AF$460</f>
        <v/>
      </c>
      <c r="F460">
        <f>IF('CALL SHEET'!$V$460="","",'CALL SHEET'!$V$460)</f>
        <v/>
      </c>
      <c r="G460">
        <f>IF('CALL SHEET'!$D$460="","",'CALL SHEET'!$D$460)</f>
        <v/>
      </c>
      <c r="H460">
        <f>IF('CALL SHEET'!$G$460="","",'CALL SHEET'!$G$460)</f>
        <v/>
      </c>
      <c r="I460">
        <f>IF('CALL SHEET'!$AY$460="","",'CALL SHEET'!$AY$460)</f>
        <v/>
      </c>
      <c r="J460">
        <f>IF('CALL SHEET'!$BC$460="","",'CALL SHEET'!$BC$460)</f>
        <v/>
      </c>
      <c r="K460">
        <f>IF('CALL SHEET'!$N$460="","",'CALL SHEET'!$N$460)</f>
        <v/>
      </c>
      <c r="L460">
        <f>IF('CALL SHEET'!$AH$460="","",'CALL SHEET'!$AH$460)</f>
        <v/>
      </c>
      <c r="M460">
        <f>IF('CALL SHEET'!$AO$460="","",'CALL SHEET'!$AO$460)</f>
        <v/>
      </c>
      <c r="N460">
        <f>IF('CALL SHEET'!$BF$460="","",'CALL SHEET'!$BF$460)</f>
        <v/>
      </c>
      <c r="O460" t="inlineStr">
        <is>
          <t>TRADE</t>
        </is>
      </c>
      <c r="P460" t="inlineStr">
        <is>
          <t>CALL SHEET · row 460</t>
        </is>
      </c>
      <c r="Q460">
        <f>E460+ROW()*0.000000001</f>
        <v/>
      </c>
    </row>
    <row r="461">
      <c r="A461">
        <f>IF('CALL SHEET'!$A$461="","",'CALL SHEET'!$A$461)</f>
        <v/>
      </c>
      <c r="B461">
        <f>IF('CALL SHEET'!$C$461="","",'CALL SHEET'!$C$461)</f>
        <v/>
      </c>
      <c r="C461">
        <f>'CALL SHEET'!$U$461</f>
        <v/>
      </c>
      <c r="D461">
        <f>'CALL SHEET'!$AB$461</f>
        <v/>
      </c>
      <c r="E461">
        <f>'CALL SHEET'!$AF$461</f>
        <v/>
      </c>
      <c r="F461">
        <f>IF('CALL SHEET'!$V$461="","",'CALL SHEET'!$V$461)</f>
        <v/>
      </c>
      <c r="G461">
        <f>IF('CALL SHEET'!$D$461="","",'CALL SHEET'!$D$461)</f>
        <v/>
      </c>
      <c r="H461">
        <f>IF('CALL SHEET'!$G$461="","",'CALL SHEET'!$G$461)</f>
        <v/>
      </c>
      <c r="I461">
        <f>IF('CALL SHEET'!$AY$461="","",'CALL SHEET'!$AY$461)</f>
        <v/>
      </c>
      <c r="J461">
        <f>IF('CALL SHEET'!$BC$461="","",'CALL SHEET'!$BC$461)</f>
        <v/>
      </c>
      <c r="K461">
        <f>IF('CALL SHEET'!$N$461="","",'CALL SHEET'!$N$461)</f>
        <v/>
      </c>
      <c r="L461">
        <f>IF('CALL SHEET'!$AH$461="","",'CALL SHEET'!$AH$461)</f>
        <v/>
      </c>
      <c r="M461">
        <f>IF('CALL SHEET'!$AO$461="","",'CALL SHEET'!$AO$461)</f>
        <v/>
      </c>
      <c r="N461">
        <f>IF('CALL SHEET'!$BF$461="","",'CALL SHEET'!$BF$461)</f>
        <v/>
      </c>
      <c r="O461" t="inlineStr">
        <is>
          <t>TRADE</t>
        </is>
      </c>
      <c r="P461" t="inlineStr">
        <is>
          <t>CALL SHEET · row 461</t>
        </is>
      </c>
      <c r="Q461">
        <f>E461+ROW()*0.000000001</f>
        <v/>
      </c>
    </row>
    <row r="462">
      <c r="A462">
        <f>IF('CALL SHEET'!$A$462="","",'CALL SHEET'!$A$462)</f>
        <v/>
      </c>
      <c r="B462">
        <f>IF('CALL SHEET'!$C$462="","",'CALL SHEET'!$C$462)</f>
        <v/>
      </c>
      <c r="C462">
        <f>'CALL SHEET'!$U$462</f>
        <v/>
      </c>
      <c r="D462">
        <f>'CALL SHEET'!$AB$462</f>
        <v/>
      </c>
      <c r="E462">
        <f>'CALL SHEET'!$AF$462</f>
        <v/>
      </c>
      <c r="F462">
        <f>IF('CALL SHEET'!$V$462="","",'CALL SHEET'!$V$462)</f>
        <v/>
      </c>
      <c r="G462">
        <f>IF('CALL SHEET'!$D$462="","",'CALL SHEET'!$D$462)</f>
        <v/>
      </c>
      <c r="H462">
        <f>IF('CALL SHEET'!$G$462="","",'CALL SHEET'!$G$462)</f>
        <v/>
      </c>
      <c r="I462">
        <f>IF('CALL SHEET'!$AY$462="","",'CALL SHEET'!$AY$462)</f>
        <v/>
      </c>
      <c r="J462">
        <f>IF('CALL SHEET'!$BC$462="","",'CALL SHEET'!$BC$462)</f>
        <v/>
      </c>
      <c r="K462">
        <f>IF('CALL SHEET'!$N$462="","",'CALL SHEET'!$N$462)</f>
        <v/>
      </c>
      <c r="L462">
        <f>IF('CALL SHEET'!$AH$462="","",'CALL SHEET'!$AH$462)</f>
        <v/>
      </c>
      <c r="M462">
        <f>IF('CALL SHEET'!$AO$462="","",'CALL SHEET'!$AO$462)</f>
        <v/>
      </c>
      <c r="N462">
        <f>IF('CALL SHEET'!$BF$462="","",'CALL SHEET'!$BF$462)</f>
        <v/>
      </c>
      <c r="O462" t="inlineStr">
        <is>
          <t>TRADE</t>
        </is>
      </c>
      <c r="P462" t="inlineStr">
        <is>
          <t>CALL SHEET · row 462</t>
        </is>
      </c>
      <c r="Q462">
        <f>E462+ROW()*0.000000001</f>
        <v/>
      </c>
    </row>
    <row r="463">
      <c r="A463">
        <f>IF('CALL SHEET'!$A$463="","",'CALL SHEET'!$A$463)</f>
        <v/>
      </c>
      <c r="B463">
        <f>IF('CALL SHEET'!$C$463="","",'CALL SHEET'!$C$463)</f>
        <v/>
      </c>
      <c r="C463">
        <f>'CALL SHEET'!$U$463</f>
        <v/>
      </c>
      <c r="D463">
        <f>'CALL SHEET'!$AB$463</f>
        <v/>
      </c>
      <c r="E463">
        <f>'CALL SHEET'!$AF$463</f>
        <v/>
      </c>
      <c r="F463">
        <f>IF('CALL SHEET'!$V$463="","",'CALL SHEET'!$V$463)</f>
        <v/>
      </c>
      <c r="G463">
        <f>IF('CALL SHEET'!$D$463="","",'CALL SHEET'!$D$463)</f>
        <v/>
      </c>
      <c r="H463">
        <f>IF('CALL SHEET'!$G$463="","",'CALL SHEET'!$G$463)</f>
        <v/>
      </c>
      <c r="I463">
        <f>IF('CALL SHEET'!$AY$463="","",'CALL SHEET'!$AY$463)</f>
        <v/>
      </c>
      <c r="J463">
        <f>IF('CALL SHEET'!$BC$463="","",'CALL SHEET'!$BC$463)</f>
        <v/>
      </c>
      <c r="K463">
        <f>IF('CALL SHEET'!$N$463="","",'CALL SHEET'!$N$463)</f>
        <v/>
      </c>
      <c r="L463">
        <f>IF('CALL SHEET'!$AH$463="","",'CALL SHEET'!$AH$463)</f>
        <v/>
      </c>
      <c r="M463">
        <f>IF('CALL SHEET'!$AO$463="","",'CALL SHEET'!$AO$463)</f>
        <v/>
      </c>
      <c r="N463">
        <f>IF('CALL SHEET'!$BF$463="","",'CALL SHEET'!$BF$463)</f>
        <v/>
      </c>
      <c r="O463" t="inlineStr">
        <is>
          <t>TRADE</t>
        </is>
      </c>
      <c r="P463" t="inlineStr">
        <is>
          <t>CALL SHEET · row 463</t>
        </is>
      </c>
      <c r="Q463">
        <f>E463+ROW()*0.000000001</f>
        <v/>
      </c>
    </row>
    <row r="464">
      <c r="A464">
        <f>IF('CALL SHEET'!$A$464="","",'CALL SHEET'!$A$464)</f>
        <v/>
      </c>
      <c r="B464">
        <f>IF('CALL SHEET'!$C$464="","",'CALL SHEET'!$C$464)</f>
        <v/>
      </c>
      <c r="C464">
        <f>'CALL SHEET'!$U$464</f>
        <v/>
      </c>
      <c r="D464">
        <f>'CALL SHEET'!$AB$464</f>
        <v/>
      </c>
      <c r="E464">
        <f>'CALL SHEET'!$AF$464</f>
        <v/>
      </c>
      <c r="F464">
        <f>IF('CALL SHEET'!$V$464="","",'CALL SHEET'!$V$464)</f>
        <v/>
      </c>
      <c r="G464">
        <f>IF('CALL SHEET'!$D$464="","",'CALL SHEET'!$D$464)</f>
        <v/>
      </c>
      <c r="H464">
        <f>IF('CALL SHEET'!$G$464="","",'CALL SHEET'!$G$464)</f>
        <v/>
      </c>
      <c r="I464">
        <f>IF('CALL SHEET'!$AY$464="","",'CALL SHEET'!$AY$464)</f>
        <v/>
      </c>
      <c r="J464">
        <f>IF('CALL SHEET'!$BC$464="","",'CALL SHEET'!$BC$464)</f>
        <v/>
      </c>
      <c r="K464">
        <f>IF('CALL SHEET'!$N$464="","",'CALL SHEET'!$N$464)</f>
        <v/>
      </c>
      <c r="L464">
        <f>IF('CALL SHEET'!$AH$464="","",'CALL SHEET'!$AH$464)</f>
        <v/>
      </c>
      <c r="M464">
        <f>IF('CALL SHEET'!$AO$464="","",'CALL SHEET'!$AO$464)</f>
        <v/>
      </c>
      <c r="N464">
        <f>IF('CALL SHEET'!$BF$464="","",'CALL SHEET'!$BF$464)</f>
        <v/>
      </c>
      <c r="O464" t="inlineStr">
        <is>
          <t>TRADE</t>
        </is>
      </c>
      <c r="P464" t="inlineStr">
        <is>
          <t>CALL SHEET · row 464</t>
        </is>
      </c>
      <c r="Q464">
        <f>E464+ROW()*0.000000001</f>
        <v/>
      </c>
    </row>
    <row r="465">
      <c r="A465">
        <f>IF('CALL SHEET'!$A$465="","",'CALL SHEET'!$A$465)</f>
        <v/>
      </c>
      <c r="B465">
        <f>IF('CALL SHEET'!$C$465="","",'CALL SHEET'!$C$465)</f>
        <v/>
      </c>
      <c r="C465">
        <f>'CALL SHEET'!$U$465</f>
        <v/>
      </c>
      <c r="D465">
        <f>'CALL SHEET'!$AB$465</f>
        <v/>
      </c>
      <c r="E465">
        <f>'CALL SHEET'!$AF$465</f>
        <v/>
      </c>
      <c r="F465">
        <f>IF('CALL SHEET'!$V$465="","",'CALL SHEET'!$V$465)</f>
        <v/>
      </c>
      <c r="G465">
        <f>IF('CALL SHEET'!$D$465="","",'CALL SHEET'!$D$465)</f>
        <v/>
      </c>
      <c r="H465">
        <f>IF('CALL SHEET'!$G$465="","",'CALL SHEET'!$G$465)</f>
        <v/>
      </c>
      <c r="I465">
        <f>IF('CALL SHEET'!$AY$465="","",'CALL SHEET'!$AY$465)</f>
        <v/>
      </c>
      <c r="J465">
        <f>IF('CALL SHEET'!$BC$465="","",'CALL SHEET'!$BC$465)</f>
        <v/>
      </c>
      <c r="K465">
        <f>IF('CALL SHEET'!$N$465="","",'CALL SHEET'!$N$465)</f>
        <v/>
      </c>
      <c r="L465">
        <f>IF('CALL SHEET'!$AH$465="","",'CALL SHEET'!$AH$465)</f>
        <v/>
      </c>
      <c r="M465">
        <f>IF('CALL SHEET'!$AO$465="","",'CALL SHEET'!$AO$465)</f>
        <v/>
      </c>
      <c r="N465">
        <f>IF('CALL SHEET'!$BF$465="","",'CALL SHEET'!$BF$465)</f>
        <v/>
      </c>
      <c r="O465" t="inlineStr">
        <is>
          <t>TRADE</t>
        </is>
      </c>
      <c r="P465" t="inlineStr">
        <is>
          <t>CALL SHEET · row 465</t>
        </is>
      </c>
      <c r="Q465">
        <f>E465+ROW()*0.000000001</f>
        <v/>
      </c>
    </row>
    <row r="466">
      <c r="A466">
        <f>IF('CALL SHEET'!$A$466="","",'CALL SHEET'!$A$466)</f>
        <v/>
      </c>
      <c r="B466">
        <f>IF('CALL SHEET'!$C$466="","",'CALL SHEET'!$C$466)</f>
        <v/>
      </c>
      <c r="C466">
        <f>'CALL SHEET'!$U$466</f>
        <v/>
      </c>
      <c r="D466">
        <f>'CALL SHEET'!$AB$466</f>
        <v/>
      </c>
      <c r="E466">
        <f>'CALL SHEET'!$AF$466</f>
        <v/>
      </c>
      <c r="F466">
        <f>IF('CALL SHEET'!$V$466="","",'CALL SHEET'!$V$466)</f>
        <v/>
      </c>
      <c r="G466">
        <f>IF('CALL SHEET'!$D$466="","",'CALL SHEET'!$D$466)</f>
        <v/>
      </c>
      <c r="H466">
        <f>IF('CALL SHEET'!$G$466="","",'CALL SHEET'!$G$466)</f>
        <v/>
      </c>
      <c r="I466">
        <f>IF('CALL SHEET'!$AY$466="","",'CALL SHEET'!$AY$466)</f>
        <v/>
      </c>
      <c r="J466">
        <f>IF('CALL SHEET'!$BC$466="","",'CALL SHEET'!$BC$466)</f>
        <v/>
      </c>
      <c r="K466">
        <f>IF('CALL SHEET'!$N$466="","",'CALL SHEET'!$N$466)</f>
        <v/>
      </c>
      <c r="L466">
        <f>IF('CALL SHEET'!$AH$466="","",'CALL SHEET'!$AH$466)</f>
        <v/>
      </c>
      <c r="M466">
        <f>IF('CALL SHEET'!$AO$466="","",'CALL SHEET'!$AO$466)</f>
        <v/>
      </c>
      <c r="N466">
        <f>IF('CALL SHEET'!$BF$466="","",'CALL SHEET'!$BF$466)</f>
        <v/>
      </c>
      <c r="O466" t="inlineStr">
        <is>
          <t>TRADE</t>
        </is>
      </c>
      <c r="P466" t="inlineStr">
        <is>
          <t>CALL SHEET · row 466</t>
        </is>
      </c>
      <c r="Q466">
        <f>E466+ROW()*0.000000001</f>
        <v/>
      </c>
    </row>
    <row r="467">
      <c r="A467">
        <f>IF('CALL SHEET'!$A$467="","",'CALL SHEET'!$A$467)</f>
        <v/>
      </c>
      <c r="B467">
        <f>IF('CALL SHEET'!$C$467="","",'CALL SHEET'!$C$467)</f>
        <v/>
      </c>
      <c r="C467">
        <f>'CALL SHEET'!$U$467</f>
        <v/>
      </c>
      <c r="D467">
        <f>'CALL SHEET'!$AB$467</f>
        <v/>
      </c>
      <c r="E467">
        <f>'CALL SHEET'!$AF$467</f>
        <v/>
      </c>
      <c r="F467">
        <f>IF('CALL SHEET'!$V$467="","",'CALL SHEET'!$V$467)</f>
        <v/>
      </c>
      <c r="G467">
        <f>IF('CALL SHEET'!$D$467="","",'CALL SHEET'!$D$467)</f>
        <v/>
      </c>
      <c r="H467">
        <f>IF('CALL SHEET'!$G$467="","",'CALL SHEET'!$G$467)</f>
        <v/>
      </c>
      <c r="I467">
        <f>IF('CALL SHEET'!$AY$467="","",'CALL SHEET'!$AY$467)</f>
        <v/>
      </c>
      <c r="J467">
        <f>IF('CALL SHEET'!$BC$467="","",'CALL SHEET'!$BC$467)</f>
        <v/>
      </c>
      <c r="K467">
        <f>IF('CALL SHEET'!$N$467="","",'CALL SHEET'!$N$467)</f>
        <v/>
      </c>
      <c r="L467">
        <f>IF('CALL SHEET'!$AH$467="","",'CALL SHEET'!$AH$467)</f>
        <v/>
      </c>
      <c r="M467">
        <f>IF('CALL SHEET'!$AO$467="","",'CALL SHEET'!$AO$467)</f>
        <v/>
      </c>
      <c r="N467">
        <f>IF('CALL SHEET'!$BF$467="","",'CALL SHEET'!$BF$467)</f>
        <v/>
      </c>
      <c r="O467" t="inlineStr">
        <is>
          <t>TRADE</t>
        </is>
      </c>
      <c r="P467" t="inlineStr">
        <is>
          <t>CALL SHEET · row 467</t>
        </is>
      </c>
      <c r="Q467">
        <f>E467+ROW()*0.000000001</f>
        <v/>
      </c>
    </row>
    <row r="468">
      <c r="A468">
        <f>IF('CALL SHEET'!$A$468="","",'CALL SHEET'!$A$468)</f>
        <v/>
      </c>
      <c r="B468">
        <f>IF('CALL SHEET'!$C$468="","",'CALL SHEET'!$C$468)</f>
        <v/>
      </c>
      <c r="C468">
        <f>'CALL SHEET'!$U$468</f>
        <v/>
      </c>
      <c r="D468">
        <f>'CALL SHEET'!$AB$468</f>
        <v/>
      </c>
      <c r="E468">
        <f>'CALL SHEET'!$AF$468</f>
        <v/>
      </c>
      <c r="F468">
        <f>IF('CALL SHEET'!$V$468="","",'CALL SHEET'!$V$468)</f>
        <v/>
      </c>
      <c r="G468">
        <f>IF('CALL SHEET'!$D$468="","",'CALL SHEET'!$D$468)</f>
        <v/>
      </c>
      <c r="H468">
        <f>IF('CALL SHEET'!$G$468="","",'CALL SHEET'!$G$468)</f>
        <v/>
      </c>
      <c r="I468">
        <f>IF('CALL SHEET'!$AY$468="","",'CALL SHEET'!$AY$468)</f>
        <v/>
      </c>
      <c r="J468">
        <f>IF('CALL SHEET'!$BC$468="","",'CALL SHEET'!$BC$468)</f>
        <v/>
      </c>
      <c r="K468">
        <f>IF('CALL SHEET'!$N$468="","",'CALL SHEET'!$N$468)</f>
        <v/>
      </c>
      <c r="L468">
        <f>IF('CALL SHEET'!$AH$468="","",'CALL SHEET'!$AH$468)</f>
        <v/>
      </c>
      <c r="M468">
        <f>IF('CALL SHEET'!$AO$468="","",'CALL SHEET'!$AO$468)</f>
        <v/>
      </c>
      <c r="N468">
        <f>IF('CALL SHEET'!$BF$468="","",'CALL SHEET'!$BF$468)</f>
        <v/>
      </c>
      <c r="O468" t="inlineStr">
        <is>
          <t>TRADE</t>
        </is>
      </c>
      <c r="P468" t="inlineStr">
        <is>
          <t>CALL SHEET · row 468</t>
        </is>
      </c>
      <c r="Q468">
        <f>E468+ROW()*0.000000001</f>
        <v/>
      </c>
    </row>
    <row r="469">
      <c r="A469">
        <f>IF('CALL SHEET'!$A$469="","",'CALL SHEET'!$A$469)</f>
        <v/>
      </c>
      <c r="B469">
        <f>IF('CALL SHEET'!$C$469="","",'CALL SHEET'!$C$469)</f>
        <v/>
      </c>
      <c r="C469">
        <f>'CALL SHEET'!$U$469</f>
        <v/>
      </c>
      <c r="D469">
        <f>'CALL SHEET'!$AB$469</f>
        <v/>
      </c>
      <c r="E469">
        <f>'CALL SHEET'!$AF$469</f>
        <v/>
      </c>
      <c r="F469">
        <f>IF('CALL SHEET'!$V$469="","",'CALL SHEET'!$V$469)</f>
        <v/>
      </c>
      <c r="G469">
        <f>IF('CALL SHEET'!$D$469="","",'CALL SHEET'!$D$469)</f>
        <v/>
      </c>
      <c r="H469">
        <f>IF('CALL SHEET'!$G$469="","",'CALL SHEET'!$G$469)</f>
        <v/>
      </c>
      <c r="I469">
        <f>IF('CALL SHEET'!$AY$469="","",'CALL SHEET'!$AY$469)</f>
        <v/>
      </c>
      <c r="J469">
        <f>IF('CALL SHEET'!$BC$469="","",'CALL SHEET'!$BC$469)</f>
        <v/>
      </c>
      <c r="K469">
        <f>IF('CALL SHEET'!$N$469="","",'CALL SHEET'!$N$469)</f>
        <v/>
      </c>
      <c r="L469">
        <f>IF('CALL SHEET'!$AH$469="","",'CALL SHEET'!$AH$469)</f>
        <v/>
      </c>
      <c r="M469">
        <f>IF('CALL SHEET'!$AO$469="","",'CALL SHEET'!$AO$469)</f>
        <v/>
      </c>
      <c r="N469">
        <f>IF('CALL SHEET'!$BF$469="","",'CALL SHEET'!$BF$469)</f>
        <v/>
      </c>
      <c r="O469" t="inlineStr">
        <is>
          <t>TRADE</t>
        </is>
      </c>
      <c r="P469" t="inlineStr">
        <is>
          <t>CALL SHEET · row 469</t>
        </is>
      </c>
      <c r="Q469">
        <f>E469+ROW()*0.000000001</f>
        <v/>
      </c>
    </row>
    <row r="470">
      <c r="A470">
        <f>IF('CALL SHEET'!$A$470="","",'CALL SHEET'!$A$470)</f>
        <v/>
      </c>
      <c r="B470">
        <f>IF('CALL SHEET'!$C$470="","",'CALL SHEET'!$C$470)</f>
        <v/>
      </c>
      <c r="C470">
        <f>'CALL SHEET'!$U$470</f>
        <v/>
      </c>
      <c r="D470">
        <f>'CALL SHEET'!$AB$470</f>
        <v/>
      </c>
      <c r="E470">
        <f>'CALL SHEET'!$AF$470</f>
        <v/>
      </c>
      <c r="F470">
        <f>IF('CALL SHEET'!$V$470="","",'CALL SHEET'!$V$470)</f>
        <v/>
      </c>
      <c r="G470">
        <f>IF('CALL SHEET'!$D$470="","",'CALL SHEET'!$D$470)</f>
        <v/>
      </c>
      <c r="H470">
        <f>IF('CALL SHEET'!$G$470="","",'CALL SHEET'!$G$470)</f>
        <v/>
      </c>
      <c r="I470">
        <f>IF('CALL SHEET'!$AY$470="","",'CALL SHEET'!$AY$470)</f>
        <v/>
      </c>
      <c r="J470">
        <f>IF('CALL SHEET'!$BC$470="","",'CALL SHEET'!$BC$470)</f>
        <v/>
      </c>
      <c r="K470">
        <f>IF('CALL SHEET'!$N$470="","",'CALL SHEET'!$N$470)</f>
        <v/>
      </c>
      <c r="L470">
        <f>IF('CALL SHEET'!$AH$470="","",'CALL SHEET'!$AH$470)</f>
        <v/>
      </c>
      <c r="M470">
        <f>IF('CALL SHEET'!$AO$470="","",'CALL SHEET'!$AO$470)</f>
        <v/>
      </c>
      <c r="N470">
        <f>IF('CALL SHEET'!$BF$470="","",'CALL SHEET'!$BF$470)</f>
        <v/>
      </c>
      <c r="O470" t="inlineStr">
        <is>
          <t>TRADE</t>
        </is>
      </c>
      <c r="P470" t="inlineStr">
        <is>
          <t>CALL SHEET · row 470</t>
        </is>
      </c>
      <c r="Q470">
        <f>E470+ROW()*0.000000001</f>
        <v/>
      </c>
    </row>
    <row r="471">
      <c r="A471">
        <f>IF('CALL SHEET'!$A$471="","",'CALL SHEET'!$A$471)</f>
        <v/>
      </c>
      <c r="B471">
        <f>IF('CALL SHEET'!$C$471="","",'CALL SHEET'!$C$471)</f>
        <v/>
      </c>
      <c r="C471">
        <f>'CALL SHEET'!$U$471</f>
        <v/>
      </c>
      <c r="D471">
        <f>'CALL SHEET'!$AB$471</f>
        <v/>
      </c>
      <c r="E471">
        <f>'CALL SHEET'!$AF$471</f>
        <v/>
      </c>
      <c r="F471">
        <f>IF('CALL SHEET'!$V$471="","",'CALL SHEET'!$V$471)</f>
        <v/>
      </c>
      <c r="G471">
        <f>IF('CALL SHEET'!$D$471="","",'CALL SHEET'!$D$471)</f>
        <v/>
      </c>
      <c r="H471">
        <f>IF('CALL SHEET'!$G$471="","",'CALL SHEET'!$G$471)</f>
        <v/>
      </c>
      <c r="I471">
        <f>IF('CALL SHEET'!$AY$471="","",'CALL SHEET'!$AY$471)</f>
        <v/>
      </c>
      <c r="J471">
        <f>IF('CALL SHEET'!$BC$471="","",'CALL SHEET'!$BC$471)</f>
        <v/>
      </c>
      <c r="K471">
        <f>IF('CALL SHEET'!$N$471="","",'CALL SHEET'!$N$471)</f>
        <v/>
      </c>
      <c r="L471">
        <f>IF('CALL SHEET'!$AH$471="","",'CALL SHEET'!$AH$471)</f>
        <v/>
      </c>
      <c r="M471">
        <f>IF('CALL SHEET'!$AO$471="","",'CALL SHEET'!$AO$471)</f>
        <v/>
      </c>
      <c r="N471">
        <f>IF('CALL SHEET'!$BF$471="","",'CALL SHEET'!$BF$471)</f>
        <v/>
      </c>
      <c r="O471" t="inlineStr">
        <is>
          <t>TRADE</t>
        </is>
      </c>
      <c r="P471" t="inlineStr">
        <is>
          <t>CALL SHEET · row 471</t>
        </is>
      </c>
      <c r="Q471">
        <f>E471+ROW()*0.000000001</f>
        <v/>
      </c>
    </row>
    <row r="472">
      <c r="A472">
        <f>IF('CALL SHEET'!$A$472="","",'CALL SHEET'!$A$472)</f>
        <v/>
      </c>
      <c r="B472">
        <f>IF('CALL SHEET'!$C$472="","",'CALL SHEET'!$C$472)</f>
        <v/>
      </c>
      <c r="C472">
        <f>'CALL SHEET'!$U$472</f>
        <v/>
      </c>
      <c r="D472">
        <f>'CALL SHEET'!$AB$472</f>
        <v/>
      </c>
      <c r="E472">
        <f>'CALL SHEET'!$AF$472</f>
        <v/>
      </c>
      <c r="F472">
        <f>IF('CALL SHEET'!$V$472="","",'CALL SHEET'!$V$472)</f>
        <v/>
      </c>
      <c r="G472">
        <f>IF('CALL SHEET'!$D$472="","",'CALL SHEET'!$D$472)</f>
        <v/>
      </c>
      <c r="H472">
        <f>IF('CALL SHEET'!$G$472="","",'CALL SHEET'!$G$472)</f>
        <v/>
      </c>
      <c r="I472">
        <f>IF('CALL SHEET'!$AY$472="","",'CALL SHEET'!$AY$472)</f>
        <v/>
      </c>
      <c r="J472">
        <f>IF('CALL SHEET'!$BC$472="","",'CALL SHEET'!$BC$472)</f>
        <v/>
      </c>
      <c r="K472">
        <f>IF('CALL SHEET'!$N$472="","",'CALL SHEET'!$N$472)</f>
        <v/>
      </c>
      <c r="L472">
        <f>IF('CALL SHEET'!$AH$472="","",'CALL SHEET'!$AH$472)</f>
        <v/>
      </c>
      <c r="M472">
        <f>IF('CALL SHEET'!$AO$472="","",'CALL SHEET'!$AO$472)</f>
        <v/>
      </c>
      <c r="N472">
        <f>IF('CALL SHEET'!$BF$472="","",'CALL SHEET'!$BF$472)</f>
        <v/>
      </c>
      <c r="O472" t="inlineStr">
        <is>
          <t>TRADE</t>
        </is>
      </c>
      <c r="P472" t="inlineStr">
        <is>
          <t>CALL SHEET · row 472</t>
        </is>
      </c>
      <c r="Q472">
        <f>E472+ROW()*0.000000001</f>
        <v/>
      </c>
    </row>
    <row r="473">
      <c r="A473">
        <f>IF('CALL SHEET'!$A$473="","",'CALL SHEET'!$A$473)</f>
        <v/>
      </c>
      <c r="B473">
        <f>IF('CALL SHEET'!$C$473="","",'CALL SHEET'!$C$473)</f>
        <v/>
      </c>
      <c r="C473">
        <f>'CALL SHEET'!$U$473</f>
        <v/>
      </c>
      <c r="D473">
        <f>'CALL SHEET'!$AB$473</f>
        <v/>
      </c>
      <c r="E473">
        <f>'CALL SHEET'!$AF$473</f>
        <v/>
      </c>
      <c r="F473">
        <f>IF('CALL SHEET'!$V$473="","",'CALL SHEET'!$V$473)</f>
        <v/>
      </c>
      <c r="G473">
        <f>IF('CALL SHEET'!$D$473="","",'CALL SHEET'!$D$473)</f>
        <v/>
      </c>
      <c r="H473">
        <f>IF('CALL SHEET'!$G$473="","",'CALL SHEET'!$G$473)</f>
        <v/>
      </c>
      <c r="I473">
        <f>IF('CALL SHEET'!$AY$473="","",'CALL SHEET'!$AY$473)</f>
        <v/>
      </c>
      <c r="J473">
        <f>IF('CALL SHEET'!$BC$473="","",'CALL SHEET'!$BC$473)</f>
        <v/>
      </c>
      <c r="K473">
        <f>IF('CALL SHEET'!$N$473="","",'CALL SHEET'!$N$473)</f>
        <v/>
      </c>
      <c r="L473">
        <f>IF('CALL SHEET'!$AH$473="","",'CALL SHEET'!$AH$473)</f>
        <v/>
      </c>
      <c r="M473">
        <f>IF('CALL SHEET'!$AO$473="","",'CALL SHEET'!$AO$473)</f>
        <v/>
      </c>
      <c r="N473">
        <f>IF('CALL SHEET'!$BF$473="","",'CALL SHEET'!$BF$473)</f>
        <v/>
      </c>
      <c r="O473" t="inlineStr">
        <is>
          <t>TRADE</t>
        </is>
      </c>
      <c r="P473" t="inlineStr">
        <is>
          <t>CALL SHEET · row 473</t>
        </is>
      </c>
      <c r="Q473">
        <f>E473+ROW()*0.000000001</f>
        <v/>
      </c>
    </row>
    <row r="474">
      <c r="A474">
        <f>IF('CALL SHEET'!$A$474="","",'CALL SHEET'!$A$474)</f>
        <v/>
      </c>
      <c r="B474">
        <f>IF('CALL SHEET'!$C$474="","",'CALL SHEET'!$C$474)</f>
        <v/>
      </c>
      <c r="C474">
        <f>'CALL SHEET'!$U$474</f>
        <v/>
      </c>
      <c r="D474">
        <f>'CALL SHEET'!$AB$474</f>
        <v/>
      </c>
      <c r="E474">
        <f>'CALL SHEET'!$AF$474</f>
        <v/>
      </c>
      <c r="F474">
        <f>IF('CALL SHEET'!$V$474="","",'CALL SHEET'!$V$474)</f>
        <v/>
      </c>
      <c r="G474">
        <f>IF('CALL SHEET'!$D$474="","",'CALL SHEET'!$D$474)</f>
        <v/>
      </c>
      <c r="H474">
        <f>IF('CALL SHEET'!$G$474="","",'CALL SHEET'!$G$474)</f>
        <v/>
      </c>
      <c r="I474">
        <f>IF('CALL SHEET'!$AY$474="","",'CALL SHEET'!$AY$474)</f>
        <v/>
      </c>
      <c r="J474">
        <f>IF('CALL SHEET'!$BC$474="","",'CALL SHEET'!$BC$474)</f>
        <v/>
      </c>
      <c r="K474">
        <f>IF('CALL SHEET'!$N$474="","",'CALL SHEET'!$N$474)</f>
        <v/>
      </c>
      <c r="L474">
        <f>IF('CALL SHEET'!$AH$474="","",'CALL SHEET'!$AH$474)</f>
        <v/>
      </c>
      <c r="M474">
        <f>IF('CALL SHEET'!$AO$474="","",'CALL SHEET'!$AO$474)</f>
        <v/>
      </c>
      <c r="N474">
        <f>IF('CALL SHEET'!$BF$474="","",'CALL SHEET'!$BF$474)</f>
        <v/>
      </c>
      <c r="O474" t="inlineStr">
        <is>
          <t>TRADE</t>
        </is>
      </c>
      <c r="P474" t="inlineStr">
        <is>
          <t>CALL SHEET · row 474</t>
        </is>
      </c>
      <c r="Q474">
        <f>E474+ROW()*0.000000001</f>
        <v/>
      </c>
    </row>
    <row r="475">
      <c r="A475">
        <f>IF('CALL SHEET'!$A$475="","",'CALL SHEET'!$A$475)</f>
        <v/>
      </c>
      <c r="B475">
        <f>IF('CALL SHEET'!$C$475="","",'CALL SHEET'!$C$475)</f>
        <v/>
      </c>
      <c r="C475">
        <f>'CALL SHEET'!$U$475</f>
        <v/>
      </c>
      <c r="D475">
        <f>'CALL SHEET'!$AB$475</f>
        <v/>
      </c>
      <c r="E475">
        <f>'CALL SHEET'!$AF$475</f>
        <v/>
      </c>
      <c r="F475">
        <f>IF('CALL SHEET'!$V$475="","",'CALL SHEET'!$V$475)</f>
        <v/>
      </c>
      <c r="G475">
        <f>IF('CALL SHEET'!$D$475="","",'CALL SHEET'!$D$475)</f>
        <v/>
      </c>
      <c r="H475">
        <f>IF('CALL SHEET'!$G$475="","",'CALL SHEET'!$G$475)</f>
        <v/>
      </c>
      <c r="I475">
        <f>IF('CALL SHEET'!$AY$475="","",'CALL SHEET'!$AY$475)</f>
        <v/>
      </c>
      <c r="J475">
        <f>IF('CALL SHEET'!$BC$475="","",'CALL SHEET'!$BC$475)</f>
        <v/>
      </c>
      <c r="K475">
        <f>IF('CALL SHEET'!$N$475="","",'CALL SHEET'!$N$475)</f>
        <v/>
      </c>
      <c r="L475">
        <f>IF('CALL SHEET'!$AH$475="","",'CALL SHEET'!$AH$475)</f>
        <v/>
      </c>
      <c r="M475">
        <f>IF('CALL SHEET'!$AO$475="","",'CALL SHEET'!$AO$475)</f>
        <v/>
      </c>
      <c r="N475">
        <f>IF('CALL SHEET'!$BF$475="","",'CALL SHEET'!$BF$475)</f>
        <v/>
      </c>
      <c r="O475" t="inlineStr">
        <is>
          <t>TRADE</t>
        </is>
      </c>
      <c r="P475" t="inlineStr">
        <is>
          <t>CALL SHEET · row 475</t>
        </is>
      </c>
      <c r="Q475">
        <f>E475+ROW()*0.000000001</f>
        <v/>
      </c>
    </row>
    <row r="476">
      <c r="A476">
        <f>IF('CALL SHEET'!$A$476="","",'CALL SHEET'!$A$476)</f>
        <v/>
      </c>
      <c r="B476">
        <f>IF('CALL SHEET'!$C$476="","",'CALL SHEET'!$C$476)</f>
        <v/>
      </c>
      <c r="C476">
        <f>'CALL SHEET'!$U$476</f>
        <v/>
      </c>
      <c r="D476">
        <f>'CALL SHEET'!$AB$476</f>
        <v/>
      </c>
      <c r="E476">
        <f>'CALL SHEET'!$AF$476</f>
        <v/>
      </c>
      <c r="F476">
        <f>IF('CALL SHEET'!$V$476="","",'CALL SHEET'!$V$476)</f>
        <v/>
      </c>
      <c r="G476">
        <f>IF('CALL SHEET'!$D$476="","",'CALL SHEET'!$D$476)</f>
        <v/>
      </c>
      <c r="H476">
        <f>IF('CALL SHEET'!$G$476="","",'CALL SHEET'!$G$476)</f>
        <v/>
      </c>
      <c r="I476">
        <f>IF('CALL SHEET'!$AY$476="","",'CALL SHEET'!$AY$476)</f>
        <v/>
      </c>
      <c r="J476">
        <f>IF('CALL SHEET'!$BC$476="","",'CALL SHEET'!$BC$476)</f>
        <v/>
      </c>
      <c r="K476">
        <f>IF('CALL SHEET'!$N$476="","",'CALL SHEET'!$N$476)</f>
        <v/>
      </c>
      <c r="L476">
        <f>IF('CALL SHEET'!$AH$476="","",'CALL SHEET'!$AH$476)</f>
        <v/>
      </c>
      <c r="M476">
        <f>IF('CALL SHEET'!$AO$476="","",'CALL SHEET'!$AO$476)</f>
        <v/>
      </c>
      <c r="N476">
        <f>IF('CALL SHEET'!$BF$476="","",'CALL SHEET'!$BF$476)</f>
        <v/>
      </c>
      <c r="O476" t="inlineStr">
        <is>
          <t>TRADE</t>
        </is>
      </c>
      <c r="P476" t="inlineStr">
        <is>
          <t>CALL SHEET · row 476</t>
        </is>
      </c>
      <c r="Q476">
        <f>E476+ROW()*0.000000001</f>
        <v/>
      </c>
    </row>
    <row r="477">
      <c r="A477">
        <f>IF('CALL SHEET'!$A$477="","",'CALL SHEET'!$A$477)</f>
        <v/>
      </c>
      <c r="B477">
        <f>IF('CALL SHEET'!$C$477="","",'CALL SHEET'!$C$477)</f>
        <v/>
      </c>
      <c r="C477">
        <f>'CALL SHEET'!$U$477</f>
        <v/>
      </c>
      <c r="D477">
        <f>'CALL SHEET'!$AB$477</f>
        <v/>
      </c>
      <c r="E477">
        <f>'CALL SHEET'!$AF$477</f>
        <v/>
      </c>
      <c r="F477">
        <f>IF('CALL SHEET'!$V$477="","",'CALL SHEET'!$V$477)</f>
        <v/>
      </c>
      <c r="G477">
        <f>IF('CALL SHEET'!$D$477="","",'CALL SHEET'!$D$477)</f>
        <v/>
      </c>
      <c r="H477">
        <f>IF('CALL SHEET'!$G$477="","",'CALL SHEET'!$G$477)</f>
        <v/>
      </c>
      <c r="I477">
        <f>IF('CALL SHEET'!$AY$477="","",'CALL SHEET'!$AY$477)</f>
        <v/>
      </c>
      <c r="J477">
        <f>IF('CALL SHEET'!$BC$477="","",'CALL SHEET'!$BC$477)</f>
        <v/>
      </c>
      <c r="K477">
        <f>IF('CALL SHEET'!$N$477="","",'CALL SHEET'!$N$477)</f>
        <v/>
      </c>
      <c r="L477">
        <f>IF('CALL SHEET'!$AH$477="","",'CALL SHEET'!$AH$477)</f>
        <v/>
      </c>
      <c r="M477">
        <f>IF('CALL SHEET'!$AO$477="","",'CALL SHEET'!$AO$477)</f>
        <v/>
      </c>
      <c r="N477">
        <f>IF('CALL SHEET'!$BF$477="","",'CALL SHEET'!$BF$477)</f>
        <v/>
      </c>
      <c r="O477" t="inlineStr">
        <is>
          <t>TRADE</t>
        </is>
      </c>
      <c r="P477" t="inlineStr">
        <is>
          <t>CALL SHEET · row 477</t>
        </is>
      </c>
      <c r="Q477">
        <f>E477+ROW()*0.000000001</f>
        <v/>
      </c>
    </row>
    <row r="478">
      <c r="A478">
        <f>IF('CALL SHEET'!$A$478="","",'CALL SHEET'!$A$478)</f>
        <v/>
      </c>
      <c r="B478">
        <f>IF('CALL SHEET'!$C$478="","",'CALL SHEET'!$C$478)</f>
        <v/>
      </c>
      <c r="C478">
        <f>'CALL SHEET'!$U$478</f>
        <v/>
      </c>
      <c r="D478">
        <f>'CALL SHEET'!$AB$478</f>
        <v/>
      </c>
      <c r="E478">
        <f>'CALL SHEET'!$AF$478</f>
        <v/>
      </c>
      <c r="F478">
        <f>IF('CALL SHEET'!$V$478="","",'CALL SHEET'!$V$478)</f>
        <v/>
      </c>
      <c r="G478">
        <f>IF('CALL SHEET'!$D$478="","",'CALL SHEET'!$D$478)</f>
        <v/>
      </c>
      <c r="H478">
        <f>IF('CALL SHEET'!$G$478="","",'CALL SHEET'!$G$478)</f>
        <v/>
      </c>
      <c r="I478">
        <f>IF('CALL SHEET'!$AY$478="","",'CALL SHEET'!$AY$478)</f>
        <v/>
      </c>
      <c r="J478">
        <f>IF('CALL SHEET'!$BC$478="","",'CALL SHEET'!$BC$478)</f>
        <v/>
      </c>
      <c r="K478">
        <f>IF('CALL SHEET'!$N$478="","",'CALL SHEET'!$N$478)</f>
        <v/>
      </c>
      <c r="L478">
        <f>IF('CALL SHEET'!$AH$478="","",'CALL SHEET'!$AH$478)</f>
        <v/>
      </c>
      <c r="M478">
        <f>IF('CALL SHEET'!$AO$478="","",'CALL SHEET'!$AO$478)</f>
        <v/>
      </c>
      <c r="N478">
        <f>IF('CALL SHEET'!$BF$478="","",'CALL SHEET'!$BF$478)</f>
        <v/>
      </c>
      <c r="O478" t="inlineStr">
        <is>
          <t>TRADE</t>
        </is>
      </c>
      <c r="P478" t="inlineStr">
        <is>
          <t>CALL SHEET · row 478</t>
        </is>
      </c>
      <c r="Q478">
        <f>E478+ROW()*0.000000001</f>
        <v/>
      </c>
    </row>
    <row r="479">
      <c r="A479">
        <f>IF('CALL SHEET'!$A$479="","",'CALL SHEET'!$A$479)</f>
        <v/>
      </c>
      <c r="B479">
        <f>IF('CALL SHEET'!$C$479="","",'CALL SHEET'!$C$479)</f>
        <v/>
      </c>
      <c r="C479">
        <f>'CALL SHEET'!$U$479</f>
        <v/>
      </c>
      <c r="D479">
        <f>'CALL SHEET'!$AB$479</f>
        <v/>
      </c>
      <c r="E479">
        <f>'CALL SHEET'!$AF$479</f>
        <v/>
      </c>
      <c r="F479">
        <f>IF('CALL SHEET'!$V$479="","",'CALL SHEET'!$V$479)</f>
        <v/>
      </c>
      <c r="G479">
        <f>IF('CALL SHEET'!$D$479="","",'CALL SHEET'!$D$479)</f>
        <v/>
      </c>
      <c r="H479">
        <f>IF('CALL SHEET'!$G$479="","",'CALL SHEET'!$G$479)</f>
        <v/>
      </c>
      <c r="I479">
        <f>IF('CALL SHEET'!$AY$479="","",'CALL SHEET'!$AY$479)</f>
        <v/>
      </c>
      <c r="J479">
        <f>IF('CALL SHEET'!$BC$479="","",'CALL SHEET'!$BC$479)</f>
        <v/>
      </c>
      <c r="K479">
        <f>IF('CALL SHEET'!$N$479="","",'CALL SHEET'!$N$479)</f>
        <v/>
      </c>
      <c r="L479">
        <f>IF('CALL SHEET'!$AH$479="","",'CALL SHEET'!$AH$479)</f>
        <v/>
      </c>
      <c r="M479">
        <f>IF('CALL SHEET'!$AO$479="","",'CALL SHEET'!$AO$479)</f>
        <v/>
      </c>
      <c r="N479">
        <f>IF('CALL SHEET'!$BF$479="","",'CALL SHEET'!$BF$479)</f>
        <v/>
      </c>
      <c r="O479" t="inlineStr">
        <is>
          <t>TRADE</t>
        </is>
      </c>
      <c r="P479" t="inlineStr">
        <is>
          <t>CALL SHEET · row 479</t>
        </is>
      </c>
      <c r="Q479">
        <f>E479+ROW()*0.000000001</f>
        <v/>
      </c>
    </row>
    <row r="480">
      <c r="A480">
        <f>IF('CALL SHEET'!$A$480="","",'CALL SHEET'!$A$480)</f>
        <v/>
      </c>
      <c r="B480">
        <f>IF('CALL SHEET'!$C$480="","",'CALL SHEET'!$C$480)</f>
        <v/>
      </c>
      <c r="C480">
        <f>'CALL SHEET'!$U$480</f>
        <v/>
      </c>
      <c r="D480">
        <f>'CALL SHEET'!$AB$480</f>
        <v/>
      </c>
      <c r="E480">
        <f>'CALL SHEET'!$AF$480</f>
        <v/>
      </c>
      <c r="F480">
        <f>IF('CALL SHEET'!$V$480="","",'CALL SHEET'!$V$480)</f>
        <v/>
      </c>
      <c r="G480">
        <f>IF('CALL SHEET'!$D$480="","",'CALL SHEET'!$D$480)</f>
        <v/>
      </c>
      <c r="H480">
        <f>IF('CALL SHEET'!$G$480="","",'CALL SHEET'!$G$480)</f>
        <v/>
      </c>
      <c r="I480">
        <f>IF('CALL SHEET'!$AY$480="","",'CALL SHEET'!$AY$480)</f>
        <v/>
      </c>
      <c r="J480">
        <f>IF('CALL SHEET'!$BC$480="","",'CALL SHEET'!$BC$480)</f>
        <v/>
      </c>
      <c r="K480">
        <f>IF('CALL SHEET'!$N$480="","",'CALL SHEET'!$N$480)</f>
        <v/>
      </c>
      <c r="L480">
        <f>IF('CALL SHEET'!$AH$480="","",'CALL SHEET'!$AH$480)</f>
        <v/>
      </c>
      <c r="M480">
        <f>IF('CALL SHEET'!$AO$480="","",'CALL SHEET'!$AO$480)</f>
        <v/>
      </c>
      <c r="N480">
        <f>IF('CALL SHEET'!$BF$480="","",'CALL SHEET'!$BF$480)</f>
        <v/>
      </c>
      <c r="O480" t="inlineStr">
        <is>
          <t>TRADE</t>
        </is>
      </c>
      <c r="P480" t="inlineStr">
        <is>
          <t>CALL SHEET · row 480</t>
        </is>
      </c>
      <c r="Q480">
        <f>E480+ROW()*0.000000001</f>
        <v/>
      </c>
    </row>
    <row r="481">
      <c r="A481">
        <f>IF('CALL SHEET'!$A$481="","",'CALL SHEET'!$A$481)</f>
        <v/>
      </c>
      <c r="B481">
        <f>IF('CALL SHEET'!$C$481="","",'CALL SHEET'!$C$481)</f>
        <v/>
      </c>
      <c r="C481">
        <f>'CALL SHEET'!$U$481</f>
        <v/>
      </c>
      <c r="D481">
        <f>'CALL SHEET'!$AB$481</f>
        <v/>
      </c>
      <c r="E481">
        <f>'CALL SHEET'!$AF$481</f>
        <v/>
      </c>
      <c r="F481">
        <f>IF('CALL SHEET'!$V$481="","",'CALL SHEET'!$V$481)</f>
        <v/>
      </c>
      <c r="G481">
        <f>IF('CALL SHEET'!$D$481="","",'CALL SHEET'!$D$481)</f>
        <v/>
      </c>
      <c r="H481">
        <f>IF('CALL SHEET'!$G$481="","",'CALL SHEET'!$G$481)</f>
        <v/>
      </c>
      <c r="I481">
        <f>IF('CALL SHEET'!$AY$481="","",'CALL SHEET'!$AY$481)</f>
        <v/>
      </c>
      <c r="J481">
        <f>IF('CALL SHEET'!$BC$481="","",'CALL SHEET'!$BC$481)</f>
        <v/>
      </c>
      <c r="K481">
        <f>IF('CALL SHEET'!$N$481="","",'CALL SHEET'!$N$481)</f>
        <v/>
      </c>
      <c r="L481">
        <f>IF('CALL SHEET'!$AH$481="","",'CALL SHEET'!$AH$481)</f>
        <v/>
      </c>
      <c r="M481">
        <f>IF('CALL SHEET'!$AO$481="","",'CALL SHEET'!$AO$481)</f>
        <v/>
      </c>
      <c r="N481">
        <f>IF('CALL SHEET'!$BF$481="","",'CALL SHEET'!$BF$481)</f>
        <v/>
      </c>
      <c r="O481" t="inlineStr">
        <is>
          <t>TRADE</t>
        </is>
      </c>
      <c r="P481" t="inlineStr">
        <is>
          <t>CALL SHEET · row 481</t>
        </is>
      </c>
      <c r="Q481">
        <f>E481+ROW()*0.000000001</f>
        <v/>
      </c>
    </row>
    <row r="482">
      <c r="A482">
        <f>IF('CALL SHEET'!$A$482="","",'CALL SHEET'!$A$482)</f>
        <v/>
      </c>
      <c r="B482">
        <f>IF('CALL SHEET'!$C$482="","",'CALL SHEET'!$C$482)</f>
        <v/>
      </c>
      <c r="C482">
        <f>'CALL SHEET'!$U$482</f>
        <v/>
      </c>
      <c r="D482">
        <f>'CALL SHEET'!$AB$482</f>
        <v/>
      </c>
      <c r="E482">
        <f>'CALL SHEET'!$AF$482</f>
        <v/>
      </c>
      <c r="F482">
        <f>IF('CALL SHEET'!$V$482="","",'CALL SHEET'!$V$482)</f>
        <v/>
      </c>
      <c r="G482">
        <f>IF('CALL SHEET'!$D$482="","",'CALL SHEET'!$D$482)</f>
        <v/>
      </c>
      <c r="H482">
        <f>IF('CALL SHEET'!$G$482="","",'CALL SHEET'!$G$482)</f>
        <v/>
      </c>
      <c r="I482">
        <f>IF('CALL SHEET'!$AY$482="","",'CALL SHEET'!$AY$482)</f>
        <v/>
      </c>
      <c r="J482">
        <f>IF('CALL SHEET'!$BC$482="","",'CALL SHEET'!$BC$482)</f>
        <v/>
      </c>
      <c r="K482">
        <f>IF('CALL SHEET'!$N$482="","",'CALL SHEET'!$N$482)</f>
        <v/>
      </c>
      <c r="L482">
        <f>IF('CALL SHEET'!$AH$482="","",'CALL SHEET'!$AH$482)</f>
        <v/>
      </c>
      <c r="M482">
        <f>IF('CALL SHEET'!$AO$482="","",'CALL SHEET'!$AO$482)</f>
        <v/>
      </c>
      <c r="N482">
        <f>IF('CALL SHEET'!$BF$482="","",'CALL SHEET'!$BF$482)</f>
        <v/>
      </c>
      <c r="O482" t="inlineStr">
        <is>
          <t>TRADE</t>
        </is>
      </c>
      <c r="P482" t="inlineStr">
        <is>
          <t>CALL SHEET · row 482</t>
        </is>
      </c>
      <c r="Q482">
        <f>E482+ROW()*0.000000001</f>
        <v/>
      </c>
    </row>
    <row r="483">
      <c r="A483">
        <f>IF('CALL SHEET'!$A$483="","",'CALL SHEET'!$A$483)</f>
        <v/>
      </c>
      <c r="B483">
        <f>IF('CALL SHEET'!$C$483="","",'CALL SHEET'!$C$483)</f>
        <v/>
      </c>
      <c r="C483">
        <f>'CALL SHEET'!$U$483</f>
        <v/>
      </c>
      <c r="D483">
        <f>'CALL SHEET'!$AB$483</f>
        <v/>
      </c>
      <c r="E483">
        <f>'CALL SHEET'!$AF$483</f>
        <v/>
      </c>
      <c r="F483">
        <f>IF('CALL SHEET'!$V$483="","",'CALL SHEET'!$V$483)</f>
        <v/>
      </c>
      <c r="G483">
        <f>IF('CALL SHEET'!$D$483="","",'CALL SHEET'!$D$483)</f>
        <v/>
      </c>
      <c r="H483">
        <f>IF('CALL SHEET'!$G$483="","",'CALL SHEET'!$G$483)</f>
        <v/>
      </c>
      <c r="I483">
        <f>IF('CALL SHEET'!$AY$483="","",'CALL SHEET'!$AY$483)</f>
        <v/>
      </c>
      <c r="J483">
        <f>IF('CALL SHEET'!$BC$483="","",'CALL SHEET'!$BC$483)</f>
        <v/>
      </c>
      <c r="K483">
        <f>IF('CALL SHEET'!$N$483="","",'CALL SHEET'!$N$483)</f>
        <v/>
      </c>
      <c r="L483">
        <f>IF('CALL SHEET'!$AH$483="","",'CALL SHEET'!$AH$483)</f>
        <v/>
      </c>
      <c r="M483">
        <f>IF('CALL SHEET'!$AO$483="","",'CALL SHEET'!$AO$483)</f>
        <v/>
      </c>
      <c r="N483">
        <f>IF('CALL SHEET'!$BF$483="","",'CALL SHEET'!$BF$483)</f>
        <v/>
      </c>
      <c r="O483" t="inlineStr">
        <is>
          <t>TRADE</t>
        </is>
      </c>
      <c r="P483" t="inlineStr">
        <is>
          <t>CALL SHEET · row 483</t>
        </is>
      </c>
      <c r="Q483">
        <f>E483+ROW()*0.000000001</f>
        <v/>
      </c>
    </row>
    <row r="484">
      <c r="A484">
        <f>IF('CALL SHEET'!$A$484="","",'CALL SHEET'!$A$484)</f>
        <v/>
      </c>
      <c r="B484">
        <f>IF('CALL SHEET'!$C$484="","",'CALL SHEET'!$C$484)</f>
        <v/>
      </c>
      <c r="C484">
        <f>'CALL SHEET'!$U$484</f>
        <v/>
      </c>
      <c r="D484">
        <f>'CALL SHEET'!$AB$484</f>
        <v/>
      </c>
      <c r="E484">
        <f>'CALL SHEET'!$AF$484</f>
        <v/>
      </c>
      <c r="F484">
        <f>IF('CALL SHEET'!$V$484="","",'CALL SHEET'!$V$484)</f>
        <v/>
      </c>
      <c r="G484">
        <f>IF('CALL SHEET'!$D$484="","",'CALL SHEET'!$D$484)</f>
        <v/>
      </c>
      <c r="H484">
        <f>IF('CALL SHEET'!$G$484="","",'CALL SHEET'!$G$484)</f>
        <v/>
      </c>
      <c r="I484">
        <f>IF('CALL SHEET'!$AY$484="","",'CALL SHEET'!$AY$484)</f>
        <v/>
      </c>
      <c r="J484">
        <f>IF('CALL SHEET'!$BC$484="","",'CALL SHEET'!$BC$484)</f>
        <v/>
      </c>
      <c r="K484">
        <f>IF('CALL SHEET'!$N$484="","",'CALL SHEET'!$N$484)</f>
        <v/>
      </c>
      <c r="L484">
        <f>IF('CALL SHEET'!$AH$484="","",'CALL SHEET'!$AH$484)</f>
        <v/>
      </c>
      <c r="M484">
        <f>IF('CALL SHEET'!$AO$484="","",'CALL SHEET'!$AO$484)</f>
        <v/>
      </c>
      <c r="N484">
        <f>IF('CALL SHEET'!$BF$484="","",'CALL SHEET'!$BF$484)</f>
        <v/>
      </c>
      <c r="O484" t="inlineStr">
        <is>
          <t>TRADE</t>
        </is>
      </c>
      <c r="P484" t="inlineStr">
        <is>
          <t>CALL SHEET · row 484</t>
        </is>
      </c>
      <c r="Q484">
        <f>E484+ROW()*0.000000001</f>
        <v/>
      </c>
    </row>
    <row r="485">
      <c r="A485">
        <f>IF('CALL SHEET'!$A$485="","",'CALL SHEET'!$A$485)</f>
        <v/>
      </c>
      <c r="B485">
        <f>IF('CALL SHEET'!$C$485="","",'CALL SHEET'!$C$485)</f>
        <v/>
      </c>
      <c r="C485">
        <f>'CALL SHEET'!$U$485</f>
        <v/>
      </c>
      <c r="D485">
        <f>'CALL SHEET'!$AB$485</f>
        <v/>
      </c>
      <c r="E485">
        <f>'CALL SHEET'!$AF$485</f>
        <v/>
      </c>
      <c r="F485">
        <f>IF('CALL SHEET'!$V$485="","",'CALL SHEET'!$V$485)</f>
        <v/>
      </c>
      <c r="G485">
        <f>IF('CALL SHEET'!$D$485="","",'CALL SHEET'!$D$485)</f>
        <v/>
      </c>
      <c r="H485">
        <f>IF('CALL SHEET'!$G$485="","",'CALL SHEET'!$G$485)</f>
        <v/>
      </c>
      <c r="I485">
        <f>IF('CALL SHEET'!$AY$485="","",'CALL SHEET'!$AY$485)</f>
        <v/>
      </c>
      <c r="J485">
        <f>IF('CALL SHEET'!$BC$485="","",'CALL SHEET'!$BC$485)</f>
        <v/>
      </c>
      <c r="K485">
        <f>IF('CALL SHEET'!$N$485="","",'CALL SHEET'!$N$485)</f>
        <v/>
      </c>
      <c r="L485">
        <f>IF('CALL SHEET'!$AH$485="","",'CALL SHEET'!$AH$485)</f>
        <v/>
      </c>
      <c r="M485">
        <f>IF('CALL SHEET'!$AO$485="","",'CALL SHEET'!$AO$485)</f>
        <v/>
      </c>
      <c r="N485">
        <f>IF('CALL SHEET'!$BF$485="","",'CALL SHEET'!$BF$485)</f>
        <v/>
      </c>
      <c r="O485" t="inlineStr">
        <is>
          <t>TRADE</t>
        </is>
      </c>
      <c r="P485" t="inlineStr">
        <is>
          <t>CALL SHEET · row 485</t>
        </is>
      </c>
      <c r="Q485">
        <f>E485+ROW()*0.000000001</f>
        <v/>
      </c>
    </row>
    <row r="486">
      <c r="A486">
        <f>IF('CALL SHEET'!$A$486="","",'CALL SHEET'!$A$486)</f>
        <v/>
      </c>
      <c r="B486">
        <f>IF('CALL SHEET'!$C$486="","",'CALL SHEET'!$C$486)</f>
        <v/>
      </c>
      <c r="C486">
        <f>'CALL SHEET'!$U$486</f>
        <v/>
      </c>
      <c r="D486">
        <f>'CALL SHEET'!$AB$486</f>
        <v/>
      </c>
      <c r="E486">
        <f>'CALL SHEET'!$AF$486</f>
        <v/>
      </c>
      <c r="F486">
        <f>IF('CALL SHEET'!$V$486="","",'CALL SHEET'!$V$486)</f>
        <v/>
      </c>
      <c r="G486">
        <f>IF('CALL SHEET'!$D$486="","",'CALL SHEET'!$D$486)</f>
        <v/>
      </c>
      <c r="H486">
        <f>IF('CALL SHEET'!$G$486="","",'CALL SHEET'!$G$486)</f>
        <v/>
      </c>
      <c r="I486">
        <f>IF('CALL SHEET'!$AY$486="","",'CALL SHEET'!$AY$486)</f>
        <v/>
      </c>
      <c r="J486">
        <f>IF('CALL SHEET'!$BC$486="","",'CALL SHEET'!$BC$486)</f>
        <v/>
      </c>
      <c r="K486">
        <f>IF('CALL SHEET'!$N$486="","",'CALL SHEET'!$N$486)</f>
        <v/>
      </c>
      <c r="L486">
        <f>IF('CALL SHEET'!$AH$486="","",'CALL SHEET'!$AH$486)</f>
        <v/>
      </c>
      <c r="M486">
        <f>IF('CALL SHEET'!$AO$486="","",'CALL SHEET'!$AO$486)</f>
        <v/>
      </c>
      <c r="N486">
        <f>IF('CALL SHEET'!$BF$486="","",'CALL SHEET'!$BF$486)</f>
        <v/>
      </c>
      <c r="O486" t="inlineStr">
        <is>
          <t>TRADE</t>
        </is>
      </c>
      <c r="P486" t="inlineStr">
        <is>
          <t>CALL SHEET · row 486</t>
        </is>
      </c>
      <c r="Q486">
        <f>E486+ROW()*0.000000001</f>
        <v/>
      </c>
    </row>
    <row r="487">
      <c r="A487">
        <f>IF('CALL SHEET'!$A$487="","",'CALL SHEET'!$A$487)</f>
        <v/>
      </c>
      <c r="B487">
        <f>IF('CALL SHEET'!$C$487="","",'CALL SHEET'!$C$487)</f>
        <v/>
      </c>
      <c r="C487">
        <f>'CALL SHEET'!$U$487</f>
        <v/>
      </c>
      <c r="D487">
        <f>'CALL SHEET'!$AB$487</f>
        <v/>
      </c>
      <c r="E487">
        <f>'CALL SHEET'!$AF$487</f>
        <v/>
      </c>
      <c r="F487">
        <f>IF('CALL SHEET'!$V$487="","",'CALL SHEET'!$V$487)</f>
        <v/>
      </c>
      <c r="G487">
        <f>IF('CALL SHEET'!$D$487="","",'CALL SHEET'!$D$487)</f>
        <v/>
      </c>
      <c r="H487">
        <f>IF('CALL SHEET'!$G$487="","",'CALL SHEET'!$G$487)</f>
        <v/>
      </c>
      <c r="I487">
        <f>IF('CALL SHEET'!$AY$487="","",'CALL SHEET'!$AY$487)</f>
        <v/>
      </c>
      <c r="J487">
        <f>IF('CALL SHEET'!$BC$487="","",'CALL SHEET'!$BC$487)</f>
        <v/>
      </c>
      <c r="K487">
        <f>IF('CALL SHEET'!$N$487="","",'CALL SHEET'!$N$487)</f>
        <v/>
      </c>
      <c r="L487">
        <f>IF('CALL SHEET'!$AH$487="","",'CALL SHEET'!$AH$487)</f>
        <v/>
      </c>
      <c r="M487">
        <f>IF('CALL SHEET'!$AO$487="","",'CALL SHEET'!$AO$487)</f>
        <v/>
      </c>
      <c r="N487">
        <f>IF('CALL SHEET'!$BF$487="","",'CALL SHEET'!$BF$487)</f>
        <v/>
      </c>
      <c r="O487" t="inlineStr">
        <is>
          <t>TRADE</t>
        </is>
      </c>
      <c r="P487" t="inlineStr">
        <is>
          <t>CALL SHEET · row 487</t>
        </is>
      </c>
      <c r="Q487">
        <f>E487+ROW()*0.000000001</f>
        <v/>
      </c>
    </row>
    <row r="488">
      <c r="A488">
        <f>IF('CALL SHEET'!$A$488="","",'CALL SHEET'!$A$488)</f>
        <v/>
      </c>
      <c r="B488">
        <f>IF('CALL SHEET'!$C$488="","",'CALL SHEET'!$C$488)</f>
        <v/>
      </c>
      <c r="C488">
        <f>'CALL SHEET'!$U$488</f>
        <v/>
      </c>
      <c r="D488">
        <f>'CALL SHEET'!$AB$488</f>
        <v/>
      </c>
      <c r="E488">
        <f>'CALL SHEET'!$AF$488</f>
        <v/>
      </c>
      <c r="F488">
        <f>IF('CALL SHEET'!$V$488="","",'CALL SHEET'!$V$488)</f>
        <v/>
      </c>
      <c r="G488">
        <f>IF('CALL SHEET'!$D$488="","",'CALL SHEET'!$D$488)</f>
        <v/>
      </c>
      <c r="H488">
        <f>IF('CALL SHEET'!$G$488="","",'CALL SHEET'!$G$488)</f>
        <v/>
      </c>
      <c r="I488">
        <f>IF('CALL SHEET'!$AY$488="","",'CALL SHEET'!$AY$488)</f>
        <v/>
      </c>
      <c r="J488">
        <f>IF('CALL SHEET'!$BC$488="","",'CALL SHEET'!$BC$488)</f>
        <v/>
      </c>
      <c r="K488">
        <f>IF('CALL SHEET'!$N$488="","",'CALL SHEET'!$N$488)</f>
        <v/>
      </c>
      <c r="L488">
        <f>IF('CALL SHEET'!$AH$488="","",'CALL SHEET'!$AH$488)</f>
        <v/>
      </c>
      <c r="M488">
        <f>IF('CALL SHEET'!$AO$488="","",'CALL SHEET'!$AO$488)</f>
        <v/>
      </c>
      <c r="N488">
        <f>IF('CALL SHEET'!$BF$488="","",'CALL SHEET'!$BF$488)</f>
        <v/>
      </c>
      <c r="O488" t="inlineStr">
        <is>
          <t>TRADE</t>
        </is>
      </c>
      <c r="P488" t="inlineStr">
        <is>
          <t>CALL SHEET · row 488</t>
        </is>
      </c>
      <c r="Q488">
        <f>E488+ROW()*0.000000001</f>
        <v/>
      </c>
    </row>
    <row r="489">
      <c r="A489">
        <f>IF('CALL SHEET'!$A$489="","",'CALL SHEET'!$A$489)</f>
        <v/>
      </c>
      <c r="B489">
        <f>IF('CALL SHEET'!$C$489="","",'CALL SHEET'!$C$489)</f>
        <v/>
      </c>
      <c r="C489">
        <f>'CALL SHEET'!$U$489</f>
        <v/>
      </c>
      <c r="D489">
        <f>'CALL SHEET'!$AB$489</f>
        <v/>
      </c>
      <c r="E489">
        <f>'CALL SHEET'!$AF$489</f>
        <v/>
      </c>
      <c r="F489">
        <f>IF('CALL SHEET'!$V$489="","",'CALL SHEET'!$V$489)</f>
        <v/>
      </c>
      <c r="G489">
        <f>IF('CALL SHEET'!$D$489="","",'CALL SHEET'!$D$489)</f>
        <v/>
      </c>
      <c r="H489">
        <f>IF('CALL SHEET'!$G$489="","",'CALL SHEET'!$G$489)</f>
        <v/>
      </c>
      <c r="I489">
        <f>IF('CALL SHEET'!$AY$489="","",'CALL SHEET'!$AY$489)</f>
        <v/>
      </c>
      <c r="J489">
        <f>IF('CALL SHEET'!$BC$489="","",'CALL SHEET'!$BC$489)</f>
        <v/>
      </c>
      <c r="K489">
        <f>IF('CALL SHEET'!$N$489="","",'CALL SHEET'!$N$489)</f>
        <v/>
      </c>
      <c r="L489">
        <f>IF('CALL SHEET'!$AH$489="","",'CALL SHEET'!$AH$489)</f>
        <v/>
      </c>
      <c r="M489">
        <f>IF('CALL SHEET'!$AO$489="","",'CALL SHEET'!$AO$489)</f>
        <v/>
      </c>
      <c r="N489">
        <f>IF('CALL SHEET'!$BF$489="","",'CALL SHEET'!$BF$489)</f>
        <v/>
      </c>
      <c r="O489" t="inlineStr">
        <is>
          <t>TRADE</t>
        </is>
      </c>
      <c r="P489" t="inlineStr">
        <is>
          <t>CALL SHEET · row 489</t>
        </is>
      </c>
      <c r="Q489">
        <f>E489+ROW()*0.000000001</f>
        <v/>
      </c>
    </row>
    <row r="490">
      <c r="A490">
        <f>IF('CALL SHEET'!$A$490="","",'CALL SHEET'!$A$490)</f>
        <v/>
      </c>
      <c r="B490">
        <f>IF('CALL SHEET'!$C$490="","",'CALL SHEET'!$C$490)</f>
        <v/>
      </c>
      <c r="C490">
        <f>'CALL SHEET'!$U$490</f>
        <v/>
      </c>
      <c r="D490">
        <f>'CALL SHEET'!$AB$490</f>
        <v/>
      </c>
      <c r="E490">
        <f>'CALL SHEET'!$AF$490</f>
        <v/>
      </c>
      <c r="F490">
        <f>IF('CALL SHEET'!$V$490="","",'CALL SHEET'!$V$490)</f>
        <v/>
      </c>
      <c r="G490">
        <f>IF('CALL SHEET'!$D$490="","",'CALL SHEET'!$D$490)</f>
        <v/>
      </c>
      <c r="H490">
        <f>IF('CALL SHEET'!$G$490="","",'CALL SHEET'!$G$490)</f>
        <v/>
      </c>
      <c r="I490">
        <f>IF('CALL SHEET'!$AY$490="","",'CALL SHEET'!$AY$490)</f>
        <v/>
      </c>
      <c r="J490">
        <f>IF('CALL SHEET'!$BC$490="","",'CALL SHEET'!$BC$490)</f>
        <v/>
      </c>
      <c r="K490">
        <f>IF('CALL SHEET'!$N$490="","",'CALL SHEET'!$N$490)</f>
        <v/>
      </c>
      <c r="L490">
        <f>IF('CALL SHEET'!$AH$490="","",'CALL SHEET'!$AH$490)</f>
        <v/>
      </c>
      <c r="M490">
        <f>IF('CALL SHEET'!$AO$490="","",'CALL SHEET'!$AO$490)</f>
        <v/>
      </c>
      <c r="N490">
        <f>IF('CALL SHEET'!$BF$490="","",'CALL SHEET'!$BF$490)</f>
        <v/>
      </c>
      <c r="O490" t="inlineStr">
        <is>
          <t>TRADE</t>
        </is>
      </c>
      <c r="P490" t="inlineStr">
        <is>
          <t>CALL SHEET · row 490</t>
        </is>
      </c>
      <c r="Q490">
        <f>E490+ROW()*0.000000001</f>
        <v/>
      </c>
    </row>
    <row r="491">
      <c r="A491">
        <f>IF('CALL SHEET'!$A$491="","",'CALL SHEET'!$A$491)</f>
        <v/>
      </c>
      <c r="B491">
        <f>IF('CALL SHEET'!$C$491="","",'CALL SHEET'!$C$491)</f>
        <v/>
      </c>
      <c r="C491">
        <f>'CALL SHEET'!$U$491</f>
        <v/>
      </c>
      <c r="D491">
        <f>'CALL SHEET'!$AB$491</f>
        <v/>
      </c>
      <c r="E491">
        <f>'CALL SHEET'!$AF$491</f>
        <v/>
      </c>
      <c r="F491">
        <f>IF('CALL SHEET'!$V$491="","",'CALL SHEET'!$V$491)</f>
        <v/>
      </c>
      <c r="G491">
        <f>IF('CALL SHEET'!$D$491="","",'CALL SHEET'!$D$491)</f>
        <v/>
      </c>
      <c r="H491">
        <f>IF('CALL SHEET'!$G$491="","",'CALL SHEET'!$G$491)</f>
        <v/>
      </c>
      <c r="I491">
        <f>IF('CALL SHEET'!$AY$491="","",'CALL SHEET'!$AY$491)</f>
        <v/>
      </c>
      <c r="J491">
        <f>IF('CALL SHEET'!$BC$491="","",'CALL SHEET'!$BC$491)</f>
        <v/>
      </c>
      <c r="K491">
        <f>IF('CALL SHEET'!$N$491="","",'CALL SHEET'!$N$491)</f>
        <v/>
      </c>
      <c r="L491">
        <f>IF('CALL SHEET'!$AH$491="","",'CALL SHEET'!$AH$491)</f>
        <v/>
      </c>
      <c r="M491">
        <f>IF('CALL SHEET'!$AO$491="","",'CALL SHEET'!$AO$491)</f>
        <v/>
      </c>
      <c r="N491">
        <f>IF('CALL SHEET'!$BF$491="","",'CALL SHEET'!$BF$491)</f>
        <v/>
      </c>
      <c r="O491" t="inlineStr">
        <is>
          <t>TRADE</t>
        </is>
      </c>
      <c r="P491" t="inlineStr">
        <is>
          <t>CALL SHEET · row 491</t>
        </is>
      </c>
      <c r="Q491">
        <f>E491+ROW()*0.000000001</f>
        <v/>
      </c>
    </row>
    <row r="492">
      <c r="A492">
        <f>IF('CALL SHEET'!$A$492="","",'CALL SHEET'!$A$492)</f>
        <v/>
      </c>
      <c r="B492">
        <f>IF('CALL SHEET'!$C$492="","",'CALL SHEET'!$C$492)</f>
        <v/>
      </c>
      <c r="C492">
        <f>'CALL SHEET'!$U$492</f>
        <v/>
      </c>
      <c r="D492">
        <f>'CALL SHEET'!$AB$492</f>
        <v/>
      </c>
      <c r="E492">
        <f>'CALL SHEET'!$AF$492</f>
        <v/>
      </c>
      <c r="F492">
        <f>IF('CALL SHEET'!$V$492="","",'CALL SHEET'!$V$492)</f>
        <v/>
      </c>
      <c r="G492">
        <f>IF('CALL SHEET'!$D$492="","",'CALL SHEET'!$D$492)</f>
        <v/>
      </c>
      <c r="H492">
        <f>IF('CALL SHEET'!$G$492="","",'CALL SHEET'!$G$492)</f>
        <v/>
      </c>
      <c r="I492">
        <f>IF('CALL SHEET'!$AY$492="","",'CALL SHEET'!$AY$492)</f>
        <v/>
      </c>
      <c r="J492">
        <f>IF('CALL SHEET'!$BC$492="","",'CALL SHEET'!$BC$492)</f>
        <v/>
      </c>
      <c r="K492">
        <f>IF('CALL SHEET'!$N$492="","",'CALL SHEET'!$N$492)</f>
        <v/>
      </c>
      <c r="L492">
        <f>IF('CALL SHEET'!$AH$492="","",'CALL SHEET'!$AH$492)</f>
        <v/>
      </c>
      <c r="M492">
        <f>IF('CALL SHEET'!$AO$492="","",'CALL SHEET'!$AO$492)</f>
        <v/>
      </c>
      <c r="N492">
        <f>IF('CALL SHEET'!$BF$492="","",'CALL SHEET'!$BF$492)</f>
        <v/>
      </c>
      <c r="O492" t="inlineStr">
        <is>
          <t>TRADE</t>
        </is>
      </c>
      <c r="P492" t="inlineStr">
        <is>
          <t>CALL SHEET · row 492</t>
        </is>
      </c>
      <c r="Q492">
        <f>E492+ROW()*0.000000001</f>
        <v/>
      </c>
    </row>
    <row r="493">
      <c r="A493">
        <f>IF('CALL SHEET'!$A$493="","",'CALL SHEET'!$A$493)</f>
        <v/>
      </c>
      <c r="B493">
        <f>IF('CALL SHEET'!$C$493="","",'CALL SHEET'!$C$493)</f>
        <v/>
      </c>
      <c r="C493">
        <f>'CALL SHEET'!$U$493</f>
        <v/>
      </c>
      <c r="D493">
        <f>'CALL SHEET'!$AB$493</f>
        <v/>
      </c>
      <c r="E493">
        <f>'CALL SHEET'!$AF$493</f>
        <v/>
      </c>
      <c r="F493">
        <f>IF('CALL SHEET'!$V$493="","",'CALL SHEET'!$V$493)</f>
        <v/>
      </c>
      <c r="G493">
        <f>IF('CALL SHEET'!$D$493="","",'CALL SHEET'!$D$493)</f>
        <v/>
      </c>
      <c r="H493">
        <f>IF('CALL SHEET'!$G$493="","",'CALL SHEET'!$G$493)</f>
        <v/>
      </c>
      <c r="I493">
        <f>IF('CALL SHEET'!$AY$493="","",'CALL SHEET'!$AY$493)</f>
        <v/>
      </c>
      <c r="J493">
        <f>IF('CALL SHEET'!$BC$493="","",'CALL SHEET'!$BC$493)</f>
        <v/>
      </c>
      <c r="K493">
        <f>IF('CALL SHEET'!$N$493="","",'CALL SHEET'!$N$493)</f>
        <v/>
      </c>
      <c r="L493">
        <f>IF('CALL SHEET'!$AH$493="","",'CALL SHEET'!$AH$493)</f>
        <v/>
      </c>
      <c r="M493">
        <f>IF('CALL SHEET'!$AO$493="","",'CALL SHEET'!$AO$493)</f>
        <v/>
      </c>
      <c r="N493">
        <f>IF('CALL SHEET'!$BF$493="","",'CALL SHEET'!$BF$493)</f>
        <v/>
      </c>
      <c r="O493" t="inlineStr">
        <is>
          <t>TRADE</t>
        </is>
      </c>
      <c r="P493" t="inlineStr">
        <is>
          <t>CALL SHEET · row 493</t>
        </is>
      </c>
      <c r="Q493">
        <f>E493+ROW()*0.000000001</f>
        <v/>
      </c>
    </row>
    <row r="494">
      <c r="A494">
        <f>IF('CALL SHEET'!$A$494="","",'CALL SHEET'!$A$494)</f>
        <v/>
      </c>
      <c r="B494">
        <f>IF('CALL SHEET'!$C$494="","",'CALL SHEET'!$C$494)</f>
        <v/>
      </c>
      <c r="C494">
        <f>'CALL SHEET'!$U$494</f>
        <v/>
      </c>
      <c r="D494">
        <f>'CALL SHEET'!$AB$494</f>
        <v/>
      </c>
      <c r="E494">
        <f>'CALL SHEET'!$AF$494</f>
        <v/>
      </c>
      <c r="F494">
        <f>IF('CALL SHEET'!$V$494="","",'CALL SHEET'!$V$494)</f>
        <v/>
      </c>
      <c r="G494">
        <f>IF('CALL SHEET'!$D$494="","",'CALL SHEET'!$D$494)</f>
        <v/>
      </c>
      <c r="H494">
        <f>IF('CALL SHEET'!$G$494="","",'CALL SHEET'!$G$494)</f>
        <v/>
      </c>
      <c r="I494">
        <f>IF('CALL SHEET'!$AY$494="","",'CALL SHEET'!$AY$494)</f>
        <v/>
      </c>
      <c r="J494">
        <f>IF('CALL SHEET'!$BC$494="","",'CALL SHEET'!$BC$494)</f>
        <v/>
      </c>
      <c r="K494">
        <f>IF('CALL SHEET'!$N$494="","",'CALL SHEET'!$N$494)</f>
        <v/>
      </c>
      <c r="L494">
        <f>IF('CALL SHEET'!$AH$494="","",'CALL SHEET'!$AH$494)</f>
        <v/>
      </c>
      <c r="M494">
        <f>IF('CALL SHEET'!$AO$494="","",'CALL SHEET'!$AO$494)</f>
        <v/>
      </c>
      <c r="N494">
        <f>IF('CALL SHEET'!$BF$494="","",'CALL SHEET'!$BF$494)</f>
        <v/>
      </c>
      <c r="O494" t="inlineStr">
        <is>
          <t>TRADE</t>
        </is>
      </c>
      <c r="P494" t="inlineStr">
        <is>
          <t>CALL SHEET · row 494</t>
        </is>
      </c>
      <c r="Q494">
        <f>E494+ROW()*0.000000001</f>
        <v/>
      </c>
    </row>
    <row r="495">
      <c r="A495">
        <f>IF('CALL SHEET'!$A$495="","",'CALL SHEET'!$A$495)</f>
        <v/>
      </c>
      <c r="B495">
        <f>IF('CALL SHEET'!$C$495="","",'CALL SHEET'!$C$495)</f>
        <v/>
      </c>
      <c r="C495">
        <f>'CALL SHEET'!$U$495</f>
        <v/>
      </c>
      <c r="D495">
        <f>'CALL SHEET'!$AB$495</f>
        <v/>
      </c>
      <c r="E495">
        <f>'CALL SHEET'!$AF$495</f>
        <v/>
      </c>
      <c r="F495">
        <f>IF('CALL SHEET'!$V$495="","",'CALL SHEET'!$V$495)</f>
        <v/>
      </c>
      <c r="G495">
        <f>IF('CALL SHEET'!$D$495="","",'CALL SHEET'!$D$495)</f>
        <v/>
      </c>
      <c r="H495">
        <f>IF('CALL SHEET'!$G$495="","",'CALL SHEET'!$G$495)</f>
        <v/>
      </c>
      <c r="I495">
        <f>IF('CALL SHEET'!$AY$495="","",'CALL SHEET'!$AY$495)</f>
        <v/>
      </c>
      <c r="J495">
        <f>IF('CALL SHEET'!$BC$495="","",'CALL SHEET'!$BC$495)</f>
        <v/>
      </c>
      <c r="K495">
        <f>IF('CALL SHEET'!$N$495="","",'CALL SHEET'!$N$495)</f>
        <v/>
      </c>
      <c r="L495">
        <f>IF('CALL SHEET'!$AH$495="","",'CALL SHEET'!$AH$495)</f>
        <v/>
      </c>
      <c r="M495">
        <f>IF('CALL SHEET'!$AO$495="","",'CALL SHEET'!$AO$495)</f>
        <v/>
      </c>
      <c r="N495">
        <f>IF('CALL SHEET'!$BF$495="","",'CALL SHEET'!$BF$495)</f>
        <v/>
      </c>
      <c r="O495" t="inlineStr">
        <is>
          <t>TRADE</t>
        </is>
      </c>
      <c r="P495" t="inlineStr">
        <is>
          <t>CALL SHEET · row 495</t>
        </is>
      </c>
      <c r="Q495">
        <f>E495+ROW()*0.000000001</f>
        <v/>
      </c>
    </row>
    <row r="496">
      <c r="A496">
        <f>IF('CALL SHEET'!$A$496="","",'CALL SHEET'!$A$496)</f>
        <v/>
      </c>
      <c r="B496">
        <f>IF('CALL SHEET'!$C$496="","",'CALL SHEET'!$C$496)</f>
        <v/>
      </c>
      <c r="C496">
        <f>'CALL SHEET'!$U$496</f>
        <v/>
      </c>
      <c r="D496">
        <f>'CALL SHEET'!$AB$496</f>
        <v/>
      </c>
      <c r="E496">
        <f>'CALL SHEET'!$AF$496</f>
        <v/>
      </c>
      <c r="F496">
        <f>IF('CALL SHEET'!$V$496="","",'CALL SHEET'!$V$496)</f>
        <v/>
      </c>
      <c r="G496">
        <f>IF('CALL SHEET'!$D$496="","",'CALL SHEET'!$D$496)</f>
        <v/>
      </c>
      <c r="H496">
        <f>IF('CALL SHEET'!$G$496="","",'CALL SHEET'!$G$496)</f>
        <v/>
      </c>
      <c r="I496">
        <f>IF('CALL SHEET'!$AY$496="","",'CALL SHEET'!$AY$496)</f>
        <v/>
      </c>
      <c r="J496">
        <f>IF('CALL SHEET'!$BC$496="","",'CALL SHEET'!$BC$496)</f>
        <v/>
      </c>
      <c r="K496">
        <f>IF('CALL SHEET'!$N$496="","",'CALL SHEET'!$N$496)</f>
        <v/>
      </c>
      <c r="L496">
        <f>IF('CALL SHEET'!$AH$496="","",'CALL SHEET'!$AH$496)</f>
        <v/>
      </c>
      <c r="M496">
        <f>IF('CALL SHEET'!$AO$496="","",'CALL SHEET'!$AO$496)</f>
        <v/>
      </c>
      <c r="N496">
        <f>IF('CALL SHEET'!$BF$496="","",'CALL SHEET'!$BF$496)</f>
        <v/>
      </c>
      <c r="O496" t="inlineStr">
        <is>
          <t>TRADE</t>
        </is>
      </c>
      <c r="P496" t="inlineStr">
        <is>
          <t>CALL SHEET · row 496</t>
        </is>
      </c>
      <c r="Q496">
        <f>E496+ROW()*0.000000001</f>
        <v/>
      </c>
    </row>
    <row r="497">
      <c r="A497">
        <f>IF('CALL SHEET'!$A$497="","",'CALL SHEET'!$A$497)</f>
        <v/>
      </c>
      <c r="B497">
        <f>IF('CALL SHEET'!$C$497="","",'CALL SHEET'!$C$497)</f>
        <v/>
      </c>
      <c r="C497">
        <f>'CALL SHEET'!$U$497</f>
        <v/>
      </c>
      <c r="D497">
        <f>'CALL SHEET'!$AB$497</f>
        <v/>
      </c>
      <c r="E497">
        <f>'CALL SHEET'!$AF$497</f>
        <v/>
      </c>
      <c r="F497">
        <f>IF('CALL SHEET'!$V$497="","",'CALL SHEET'!$V$497)</f>
        <v/>
      </c>
      <c r="G497">
        <f>IF('CALL SHEET'!$D$497="","",'CALL SHEET'!$D$497)</f>
        <v/>
      </c>
      <c r="H497">
        <f>IF('CALL SHEET'!$G$497="","",'CALL SHEET'!$G$497)</f>
        <v/>
      </c>
      <c r="I497">
        <f>IF('CALL SHEET'!$AY$497="","",'CALL SHEET'!$AY$497)</f>
        <v/>
      </c>
      <c r="J497">
        <f>IF('CALL SHEET'!$BC$497="","",'CALL SHEET'!$BC$497)</f>
        <v/>
      </c>
      <c r="K497">
        <f>IF('CALL SHEET'!$N$497="","",'CALL SHEET'!$N$497)</f>
        <v/>
      </c>
      <c r="L497">
        <f>IF('CALL SHEET'!$AH$497="","",'CALL SHEET'!$AH$497)</f>
        <v/>
      </c>
      <c r="M497">
        <f>IF('CALL SHEET'!$AO$497="","",'CALL SHEET'!$AO$497)</f>
        <v/>
      </c>
      <c r="N497">
        <f>IF('CALL SHEET'!$BF$497="","",'CALL SHEET'!$BF$497)</f>
        <v/>
      </c>
      <c r="O497" t="inlineStr">
        <is>
          <t>TRADE</t>
        </is>
      </c>
      <c r="P497" t="inlineStr">
        <is>
          <t>CALL SHEET · row 497</t>
        </is>
      </c>
      <c r="Q497">
        <f>E497+ROW()*0.000000001</f>
        <v/>
      </c>
    </row>
    <row r="498">
      <c r="A498">
        <f>IF('CALL SHEET'!$A$498="","",'CALL SHEET'!$A$498)</f>
        <v/>
      </c>
      <c r="B498">
        <f>IF('CALL SHEET'!$C$498="","",'CALL SHEET'!$C$498)</f>
        <v/>
      </c>
      <c r="C498">
        <f>'CALL SHEET'!$U$498</f>
        <v/>
      </c>
      <c r="D498">
        <f>'CALL SHEET'!$AB$498</f>
        <v/>
      </c>
      <c r="E498">
        <f>'CALL SHEET'!$AF$498</f>
        <v/>
      </c>
      <c r="F498">
        <f>IF('CALL SHEET'!$V$498="","",'CALL SHEET'!$V$498)</f>
        <v/>
      </c>
      <c r="G498">
        <f>IF('CALL SHEET'!$D$498="","",'CALL SHEET'!$D$498)</f>
        <v/>
      </c>
      <c r="H498">
        <f>IF('CALL SHEET'!$G$498="","",'CALL SHEET'!$G$498)</f>
        <v/>
      </c>
      <c r="I498">
        <f>IF('CALL SHEET'!$AY$498="","",'CALL SHEET'!$AY$498)</f>
        <v/>
      </c>
      <c r="J498">
        <f>IF('CALL SHEET'!$BC$498="","",'CALL SHEET'!$BC$498)</f>
        <v/>
      </c>
      <c r="K498">
        <f>IF('CALL SHEET'!$N$498="","",'CALL SHEET'!$N$498)</f>
        <v/>
      </c>
      <c r="L498">
        <f>IF('CALL SHEET'!$AH$498="","",'CALL SHEET'!$AH$498)</f>
        <v/>
      </c>
      <c r="M498">
        <f>IF('CALL SHEET'!$AO$498="","",'CALL SHEET'!$AO$498)</f>
        <v/>
      </c>
      <c r="N498">
        <f>IF('CALL SHEET'!$BF$498="","",'CALL SHEET'!$BF$498)</f>
        <v/>
      </c>
      <c r="O498" t="inlineStr">
        <is>
          <t>TRADE</t>
        </is>
      </c>
      <c r="P498" t="inlineStr">
        <is>
          <t>CALL SHEET · row 498</t>
        </is>
      </c>
      <c r="Q498">
        <f>E498+ROW()*0.000000001</f>
        <v/>
      </c>
    </row>
    <row r="499">
      <c r="A499">
        <f>IF('CALL SHEET'!$A$499="","",'CALL SHEET'!$A$499)</f>
        <v/>
      </c>
      <c r="B499">
        <f>IF('CALL SHEET'!$C$499="","",'CALL SHEET'!$C$499)</f>
        <v/>
      </c>
      <c r="C499">
        <f>'CALL SHEET'!$U$499</f>
        <v/>
      </c>
      <c r="D499">
        <f>'CALL SHEET'!$AB$499</f>
        <v/>
      </c>
      <c r="E499">
        <f>'CALL SHEET'!$AF$499</f>
        <v/>
      </c>
      <c r="F499">
        <f>IF('CALL SHEET'!$V$499="","",'CALL SHEET'!$V$499)</f>
        <v/>
      </c>
      <c r="G499">
        <f>IF('CALL SHEET'!$D$499="","",'CALL SHEET'!$D$499)</f>
        <v/>
      </c>
      <c r="H499">
        <f>IF('CALL SHEET'!$G$499="","",'CALL SHEET'!$G$499)</f>
        <v/>
      </c>
      <c r="I499">
        <f>IF('CALL SHEET'!$AY$499="","",'CALL SHEET'!$AY$499)</f>
        <v/>
      </c>
      <c r="J499">
        <f>IF('CALL SHEET'!$BC$499="","",'CALL SHEET'!$BC$499)</f>
        <v/>
      </c>
      <c r="K499">
        <f>IF('CALL SHEET'!$N$499="","",'CALL SHEET'!$N$499)</f>
        <v/>
      </c>
      <c r="L499">
        <f>IF('CALL SHEET'!$AH$499="","",'CALL SHEET'!$AH$499)</f>
        <v/>
      </c>
      <c r="M499">
        <f>IF('CALL SHEET'!$AO$499="","",'CALL SHEET'!$AO$499)</f>
        <v/>
      </c>
      <c r="N499">
        <f>IF('CALL SHEET'!$BF$499="","",'CALL SHEET'!$BF$499)</f>
        <v/>
      </c>
      <c r="O499" t="inlineStr">
        <is>
          <t>TRADE</t>
        </is>
      </c>
      <c r="P499" t="inlineStr">
        <is>
          <t>CALL SHEET · row 499</t>
        </is>
      </c>
      <c r="Q499">
        <f>E499+ROW()*0.000000001</f>
        <v/>
      </c>
    </row>
    <row r="500">
      <c r="A500">
        <f>IF('CALL SHEET'!$A$500="","",'CALL SHEET'!$A$500)</f>
        <v/>
      </c>
      <c r="B500">
        <f>IF('CALL SHEET'!$C$500="","",'CALL SHEET'!$C$500)</f>
        <v/>
      </c>
      <c r="C500">
        <f>'CALL SHEET'!$U$500</f>
        <v/>
      </c>
      <c r="D500">
        <f>'CALL SHEET'!$AB$500</f>
        <v/>
      </c>
      <c r="E500">
        <f>'CALL SHEET'!$AF$500</f>
        <v/>
      </c>
      <c r="F500">
        <f>IF('CALL SHEET'!$V$500="","",'CALL SHEET'!$V$500)</f>
        <v/>
      </c>
      <c r="G500">
        <f>IF('CALL SHEET'!$D$500="","",'CALL SHEET'!$D$500)</f>
        <v/>
      </c>
      <c r="H500">
        <f>IF('CALL SHEET'!$G$500="","",'CALL SHEET'!$G$500)</f>
        <v/>
      </c>
      <c r="I500">
        <f>IF('CALL SHEET'!$AY$500="","",'CALL SHEET'!$AY$500)</f>
        <v/>
      </c>
      <c r="J500">
        <f>IF('CALL SHEET'!$BC$500="","",'CALL SHEET'!$BC$500)</f>
        <v/>
      </c>
      <c r="K500">
        <f>IF('CALL SHEET'!$N$500="","",'CALL SHEET'!$N$500)</f>
        <v/>
      </c>
      <c r="L500">
        <f>IF('CALL SHEET'!$AH$500="","",'CALL SHEET'!$AH$500)</f>
        <v/>
      </c>
      <c r="M500">
        <f>IF('CALL SHEET'!$AO$500="","",'CALL SHEET'!$AO$500)</f>
        <v/>
      </c>
      <c r="N500">
        <f>IF('CALL SHEET'!$BF$500="","",'CALL SHEET'!$BF$500)</f>
        <v/>
      </c>
      <c r="O500" t="inlineStr">
        <is>
          <t>TRADE</t>
        </is>
      </c>
      <c r="P500" t="inlineStr">
        <is>
          <t>CALL SHEET · row 500</t>
        </is>
      </c>
      <c r="Q500">
        <f>E500+ROW()*0.000000001</f>
        <v/>
      </c>
    </row>
    <row r="501">
      <c r="A501">
        <f>IF('CALL SHEET'!$A$501="","",'CALL SHEET'!$A$501)</f>
        <v/>
      </c>
      <c r="B501">
        <f>IF('CALL SHEET'!$C$501="","",'CALL SHEET'!$C$501)</f>
        <v/>
      </c>
      <c r="C501">
        <f>'CALL SHEET'!$U$501</f>
        <v/>
      </c>
      <c r="D501">
        <f>'CALL SHEET'!$AB$501</f>
        <v/>
      </c>
      <c r="E501">
        <f>'CALL SHEET'!$AF$501</f>
        <v/>
      </c>
      <c r="F501">
        <f>IF('CALL SHEET'!$V$501="","",'CALL SHEET'!$V$501)</f>
        <v/>
      </c>
      <c r="G501">
        <f>IF('CALL SHEET'!$D$501="","",'CALL SHEET'!$D$501)</f>
        <v/>
      </c>
      <c r="H501">
        <f>IF('CALL SHEET'!$G$501="","",'CALL SHEET'!$G$501)</f>
        <v/>
      </c>
      <c r="I501">
        <f>IF('CALL SHEET'!$AY$501="","",'CALL SHEET'!$AY$501)</f>
        <v/>
      </c>
      <c r="J501">
        <f>IF('CALL SHEET'!$BC$501="","",'CALL SHEET'!$BC$501)</f>
        <v/>
      </c>
      <c r="K501">
        <f>IF('CALL SHEET'!$N$501="","",'CALL SHEET'!$N$501)</f>
        <v/>
      </c>
      <c r="L501">
        <f>IF('CALL SHEET'!$AH$501="","",'CALL SHEET'!$AH$501)</f>
        <v/>
      </c>
      <c r="M501">
        <f>IF('CALL SHEET'!$AO$501="","",'CALL SHEET'!$AO$501)</f>
        <v/>
      </c>
      <c r="N501">
        <f>IF('CALL SHEET'!$BF$501="","",'CALL SHEET'!$BF$501)</f>
        <v/>
      </c>
      <c r="O501" t="inlineStr">
        <is>
          <t>TRADE</t>
        </is>
      </c>
      <c r="P501" t="inlineStr">
        <is>
          <t>CALL SHEET · row 501</t>
        </is>
      </c>
      <c r="Q501">
        <f>E501+ROW()*0.000000001</f>
        <v/>
      </c>
    </row>
    <row r="502">
      <c r="A502">
        <f>IF('CALL SHEET'!$A$502="","",'CALL SHEET'!$A$502)</f>
        <v/>
      </c>
      <c r="B502">
        <f>IF('CALL SHEET'!$C$502="","",'CALL SHEET'!$C$502)</f>
        <v/>
      </c>
      <c r="C502">
        <f>'CALL SHEET'!$U$502</f>
        <v/>
      </c>
      <c r="D502">
        <f>'CALL SHEET'!$AB$502</f>
        <v/>
      </c>
      <c r="E502">
        <f>'CALL SHEET'!$AF$502</f>
        <v/>
      </c>
      <c r="F502">
        <f>IF('CALL SHEET'!$V$502="","",'CALL SHEET'!$V$502)</f>
        <v/>
      </c>
      <c r="G502">
        <f>IF('CALL SHEET'!$D$502="","",'CALL SHEET'!$D$502)</f>
        <v/>
      </c>
      <c r="H502">
        <f>IF('CALL SHEET'!$G$502="","",'CALL SHEET'!$G$502)</f>
        <v/>
      </c>
      <c r="I502">
        <f>IF('CALL SHEET'!$AY$502="","",'CALL SHEET'!$AY$502)</f>
        <v/>
      </c>
      <c r="J502">
        <f>IF('CALL SHEET'!$BC$502="","",'CALL SHEET'!$BC$502)</f>
        <v/>
      </c>
      <c r="K502">
        <f>IF('CALL SHEET'!$N$502="","",'CALL SHEET'!$N$502)</f>
        <v/>
      </c>
      <c r="L502">
        <f>IF('CALL SHEET'!$AH$502="","",'CALL SHEET'!$AH$502)</f>
        <v/>
      </c>
      <c r="M502">
        <f>IF('CALL SHEET'!$AO$502="","",'CALL SHEET'!$AO$502)</f>
        <v/>
      </c>
      <c r="N502">
        <f>IF('CALL SHEET'!$BF$502="","",'CALL SHEET'!$BF$502)</f>
        <v/>
      </c>
      <c r="O502" t="inlineStr">
        <is>
          <t>TRADE</t>
        </is>
      </c>
      <c r="P502" t="inlineStr">
        <is>
          <t>CALL SHEET · row 502</t>
        </is>
      </c>
      <c r="Q502">
        <f>E502+ROW()*0.000000001</f>
        <v/>
      </c>
    </row>
    <row r="503">
      <c r="A503">
        <f>IF('CALL SHEET'!$A$503="","",'CALL SHEET'!$A$503)</f>
        <v/>
      </c>
      <c r="B503">
        <f>IF('CALL SHEET'!$C$503="","",'CALL SHEET'!$C$503)</f>
        <v/>
      </c>
      <c r="C503">
        <f>'CALL SHEET'!$U$503</f>
        <v/>
      </c>
      <c r="D503">
        <f>'CALL SHEET'!$AB$503</f>
        <v/>
      </c>
      <c r="E503">
        <f>'CALL SHEET'!$AF$503</f>
        <v/>
      </c>
      <c r="F503">
        <f>IF('CALL SHEET'!$V$503="","",'CALL SHEET'!$V$503)</f>
        <v/>
      </c>
      <c r="G503">
        <f>IF('CALL SHEET'!$D$503="","",'CALL SHEET'!$D$503)</f>
        <v/>
      </c>
      <c r="H503">
        <f>IF('CALL SHEET'!$G$503="","",'CALL SHEET'!$G$503)</f>
        <v/>
      </c>
      <c r="I503">
        <f>IF('CALL SHEET'!$AY$503="","",'CALL SHEET'!$AY$503)</f>
        <v/>
      </c>
      <c r="J503">
        <f>IF('CALL SHEET'!$BC$503="","",'CALL SHEET'!$BC$503)</f>
        <v/>
      </c>
      <c r="K503">
        <f>IF('CALL SHEET'!$N$503="","",'CALL SHEET'!$N$503)</f>
        <v/>
      </c>
      <c r="L503">
        <f>IF('CALL SHEET'!$AH$503="","",'CALL SHEET'!$AH$503)</f>
        <v/>
      </c>
      <c r="M503">
        <f>IF('CALL SHEET'!$AO$503="","",'CALL SHEET'!$AO$503)</f>
        <v/>
      </c>
      <c r="N503">
        <f>IF('CALL SHEET'!$BF$503="","",'CALL SHEET'!$BF$503)</f>
        <v/>
      </c>
      <c r="O503" t="inlineStr">
        <is>
          <t>TRADE</t>
        </is>
      </c>
      <c r="P503" t="inlineStr">
        <is>
          <t>CALL SHEET · row 503</t>
        </is>
      </c>
      <c r="Q503">
        <f>E503+ROW()*0.000000001</f>
        <v/>
      </c>
    </row>
    <row r="504">
      <c r="A504">
        <f>IF('CALL SHEET'!$A$504="","",'CALL SHEET'!$A$504)</f>
        <v/>
      </c>
      <c r="B504">
        <f>IF('CALL SHEET'!$C$504="","",'CALL SHEET'!$C$504)</f>
        <v/>
      </c>
      <c r="C504">
        <f>'CALL SHEET'!$U$504</f>
        <v/>
      </c>
      <c r="D504">
        <f>'CALL SHEET'!$AB$504</f>
        <v/>
      </c>
      <c r="E504">
        <f>'CALL SHEET'!$AF$504</f>
        <v/>
      </c>
      <c r="F504">
        <f>IF('CALL SHEET'!$V$504="","",'CALL SHEET'!$V$504)</f>
        <v/>
      </c>
      <c r="G504">
        <f>IF('CALL SHEET'!$D$504="","",'CALL SHEET'!$D$504)</f>
        <v/>
      </c>
      <c r="H504">
        <f>IF('CALL SHEET'!$G$504="","",'CALL SHEET'!$G$504)</f>
        <v/>
      </c>
      <c r="I504">
        <f>IF('CALL SHEET'!$AY$504="","",'CALL SHEET'!$AY$504)</f>
        <v/>
      </c>
      <c r="J504">
        <f>IF('CALL SHEET'!$BC$504="","",'CALL SHEET'!$BC$504)</f>
        <v/>
      </c>
      <c r="K504">
        <f>IF('CALL SHEET'!$N$504="","",'CALL SHEET'!$N$504)</f>
        <v/>
      </c>
      <c r="L504">
        <f>IF('CALL SHEET'!$AH$504="","",'CALL SHEET'!$AH$504)</f>
        <v/>
      </c>
      <c r="M504">
        <f>IF('CALL SHEET'!$AO$504="","",'CALL SHEET'!$AO$504)</f>
        <v/>
      </c>
      <c r="N504">
        <f>IF('CALL SHEET'!$BF$504="","",'CALL SHEET'!$BF$504)</f>
        <v/>
      </c>
      <c r="O504" t="inlineStr">
        <is>
          <t>TRADE</t>
        </is>
      </c>
      <c r="P504" t="inlineStr">
        <is>
          <t>CALL SHEET · row 504</t>
        </is>
      </c>
      <c r="Q504">
        <f>E504+ROW()*0.000000001</f>
        <v/>
      </c>
    </row>
    <row r="505">
      <c r="A505">
        <f>IF('CALL SHEET'!$A$505="","",'CALL SHEET'!$A$505)</f>
        <v/>
      </c>
      <c r="B505">
        <f>IF('CALL SHEET'!$C$505="","",'CALL SHEET'!$C$505)</f>
        <v/>
      </c>
      <c r="C505">
        <f>'CALL SHEET'!$U$505</f>
        <v/>
      </c>
      <c r="D505">
        <f>'CALL SHEET'!$AB$505</f>
        <v/>
      </c>
      <c r="E505">
        <f>'CALL SHEET'!$AF$505</f>
        <v/>
      </c>
      <c r="F505">
        <f>IF('CALL SHEET'!$V$505="","",'CALL SHEET'!$V$505)</f>
        <v/>
      </c>
      <c r="G505">
        <f>IF('CALL SHEET'!$D$505="","",'CALL SHEET'!$D$505)</f>
        <v/>
      </c>
      <c r="H505">
        <f>IF('CALL SHEET'!$G$505="","",'CALL SHEET'!$G$505)</f>
        <v/>
      </c>
      <c r="I505">
        <f>IF('CALL SHEET'!$AY$505="","",'CALL SHEET'!$AY$505)</f>
        <v/>
      </c>
      <c r="J505">
        <f>IF('CALL SHEET'!$BC$505="","",'CALL SHEET'!$BC$505)</f>
        <v/>
      </c>
      <c r="K505">
        <f>IF('CALL SHEET'!$N$505="","",'CALL SHEET'!$N$505)</f>
        <v/>
      </c>
      <c r="L505">
        <f>IF('CALL SHEET'!$AH$505="","",'CALL SHEET'!$AH$505)</f>
        <v/>
      </c>
      <c r="M505">
        <f>IF('CALL SHEET'!$AO$505="","",'CALL SHEET'!$AO$505)</f>
        <v/>
      </c>
      <c r="N505">
        <f>IF('CALL SHEET'!$BF$505="","",'CALL SHEET'!$BF$505)</f>
        <v/>
      </c>
      <c r="O505" t="inlineStr">
        <is>
          <t>TRADE</t>
        </is>
      </c>
      <c r="P505" t="inlineStr">
        <is>
          <t>CALL SHEET · row 505</t>
        </is>
      </c>
      <c r="Q505">
        <f>E505+ROW()*0.000000001</f>
        <v/>
      </c>
    </row>
    <row r="506">
      <c r="A506">
        <f>IF('CALL SHEET'!$A$506="","",'CALL SHEET'!$A$506)</f>
        <v/>
      </c>
      <c r="B506">
        <f>IF('CALL SHEET'!$C$506="","",'CALL SHEET'!$C$506)</f>
        <v/>
      </c>
      <c r="C506">
        <f>'CALL SHEET'!$U$506</f>
        <v/>
      </c>
      <c r="D506">
        <f>'CALL SHEET'!$AB$506</f>
        <v/>
      </c>
      <c r="E506">
        <f>'CALL SHEET'!$AF$506</f>
        <v/>
      </c>
      <c r="F506">
        <f>IF('CALL SHEET'!$V$506="","",'CALL SHEET'!$V$506)</f>
        <v/>
      </c>
      <c r="G506">
        <f>IF('CALL SHEET'!$D$506="","",'CALL SHEET'!$D$506)</f>
        <v/>
      </c>
      <c r="H506">
        <f>IF('CALL SHEET'!$G$506="","",'CALL SHEET'!$G$506)</f>
        <v/>
      </c>
      <c r="I506">
        <f>IF('CALL SHEET'!$AY$506="","",'CALL SHEET'!$AY$506)</f>
        <v/>
      </c>
      <c r="J506">
        <f>IF('CALL SHEET'!$BC$506="","",'CALL SHEET'!$BC$506)</f>
        <v/>
      </c>
      <c r="K506">
        <f>IF('CALL SHEET'!$N$506="","",'CALL SHEET'!$N$506)</f>
        <v/>
      </c>
      <c r="L506">
        <f>IF('CALL SHEET'!$AH$506="","",'CALL SHEET'!$AH$506)</f>
        <v/>
      </c>
      <c r="M506">
        <f>IF('CALL SHEET'!$AO$506="","",'CALL SHEET'!$AO$506)</f>
        <v/>
      </c>
      <c r="N506">
        <f>IF('CALL SHEET'!$BF$506="","",'CALL SHEET'!$BF$506)</f>
        <v/>
      </c>
      <c r="O506" t="inlineStr">
        <is>
          <t>TRADE</t>
        </is>
      </c>
      <c r="P506" t="inlineStr">
        <is>
          <t>CALL SHEET · row 506</t>
        </is>
      </c>
      <c r="Q506">
        <f>E506+ROW()*0.000000001</f>
        <v/>
      </c>
    </row>
    <row r="507">
      <c r="A507">
        <f>IF('CALL SHEET'!$A$507="","",'CALL SHEET'!$A$507)</f>
        <v/>
      </c>
      <c r="B507">
        <f>IF('CALL SHEET'!$C$507="","",'CALL SHEET'!$C$507)</f>
        <v/>
      </c>
      <c r="C507">
        <f>'CALL SHEET'!$U$507</f>
        <v/>
      </c>
      <c r="D507">
        <f>'CALL SHEET'!$AB$507</f>
        <v/>
      </c>
      <c r="E507">
        <f>'CALL SHEET'!$AF$507</f>
        <v/>
      </c>
      <c r="F507">
        <f>IF('CALL SHEET'!$V$507="","",'CALL SHEET'!$V$507)</f>
        <v/>
      </c>
      <c r="G507">
        <f>IF('CALL SHEET'!$D$507="","",'CALL SHEET'!$D$507)</f>
        <v/>
      </c>
      <c r="H507">
        <f>IF('CALL SHEET'!$G$507="","",'CALL SHEET'!$G$507)</f>
        <v/>
      </c>
      <c r="I507">
        <f>IF('CALL SHEET'!$AY$507="","",'CALL SHEET'!$AY$507)</f>
        <v/>
      </c>
      <c r="J507">
        <f>IF('CALL SHEET'!$BC$507="","",'CALL SHEET'!$BC$507)</f>
        <v/>
      </c>
      <c r="K507">
        <f>IF('CALL SHEET'!$N$507="","",'CALL SHEET'!$N$507)</f>
        <v/>
      </c>
      <c r="L507">
        <f>IF('CALL SHEET'!$AH$507="","",'CALL SHEET'!$AH$507)</f>
        <v/>
      </c>
      <c r="M507">
        <f>IF('CALL SHEET'!$AO$507="","",'CALL SHEET'!$AO$507)</f>
        <v/>
      </c>
      <c r="N507">
        <f>IF('CALL SHEET'!$BF$507="","",'CALL SHEET'!$BF$507)</f>
        <v/>
      </c>
      <c r="O507" t="inlineStr">
        <is>
          <t>TRADE</t>
        </is>
      </c>
      <c r="P507" t="inlineStr">
        <is>
          <t>CALL SHEET · row 507</t>
        </is>
      </c>
      <c r="Q507">
        <f>E507+ROW()*0.000000001</f>
        <v/>
      </c>
    </row>
    <row r="508">
      <c r="A508">
        <f>IF('CALL SHEET'!$A$508="","",'CALL SHEET'!$A$508)</f>
        <v/>
      </c>
      <c r="B508">
        <f>IF('CALL SHEET'!$C$508="","",'CALL SHEET'!$C$508)</f>
        <v/>
      </c>
      <c r="C508">
        <f>'CALL SHEET'!$U$508</f>
        <v/>
      </c>
      <c r="D508">
        <f>'CALL SHEET'!$AB$508</f>
        <v/>
      </c>
      <c r="E508">
        <f>'CALL SHEET'!$AF$508</f>
        <v/>
      </c>
      <c r="F508">
        <f>IF('CALL SHEET'!$V$508="","",'CALL SHEET'!$V$508)</f>
        <v/>
      </c>
      <c r="G508">
        <f>IF('CALL SHEET'!$D$508="","",'CALL SHEET'!$D$508)</f>
        <v/>
      </c>
      <c r="H508">
        <f>IF('CALL SHEET'!$G$508="","",'CALL SHEET'!$G$508)</f>
        <v/>
      </c>
      <c r="I508">
        <f>IF('CALL SHEET'!$AY$508="","",'CALL SHEET'!$AY$508)</f>
        <v/>
      </c>
      <c r="J508">
        <f>IF('CALL SHEET'!$BC$508="","",'CALL SHEET'!$BC$508)</f>
        <v/>
      </c>
      <c r="K508">
        <f>IF('CALL SHEET'!$N$508="","",'CALL SHEET'!$N$508)</f>
        <v/>
      </c>
      <c r="L508">
        <f>IF('CALL SHEET'!$AH$508="","",'CALL SHEET'!$AH$508)</f>
        <v/>
      </c>
      <c r="M508">
        <f>IF('CALL SHEET'!$AO$508="","",'CALL SHEET'!$AO$508)</f>
        <v/>
      </c>
      <c r="N508">
        <f>IF('CALL SHEET'!$BF$508="","",'CALL SHEET'!$BF$508)</f>
        <v/>
      </c>
      <c r="O508" t="inlineStr">
        <is>
          <t>TRADE</t>
        </is>
      </c>
      <c r="P508" t="inlineStr">
        <is>
          <t>CALL SHEET · row 508</t>
        </is>
      </c>
      <c r="Q508">
        <f>E508+ROW()*0.000000001</f>
        <v/>
      </c>
    </row>
    <row r="509">
      <c r="A509">
        <f>IF('CALL SHEET'!$A$509="","",'CALL SHEET'!$A$509)</f>
        <v/>
      </c>
      <c r="B509">
        <f>IF('CALL SHEET'!$C$509="","",'CALL SHEET'!$C$509)</f>
        <v/>
      </c>
      <c r="C509">
        <f>'CALL SHEET'!$U$509</f>
        <v/>
      </c>
      <c r="D509">
        <f>'CALL SHEET'!$AB$509</f>
        <v/>
      </c>
      <c r="E509">
        <f>'CALL SHEET'!$AF$509</f>
        <v/>
      </c>
      <c r="F509">
        <f>IF('CALL SHEET'!$V$509="","",'CALL SHEET'!$V$509)</f>
        <v/>
      </c>
      <c r="G509">
        <f>IF('CALL SHEET'!$D$509="","",'CALL SHEET'!$D$509)</f>
        <v/>
      </c>
      <c r="H509">
        <f>IF('CALL SHEET'!$G$509="","",'CALL SHEET'!$G$509)</f>
        <v/>
      </c>
      <c r="I509">
        <f>IF('CALL SHEET'!$AY$509="","",'CALL SHEET'!$AY$509)</f>
        <v/>
      </c>
      <c r="J509">
        <f>IF('CALL SHEET'!$BC$509="","",'CALL SHEET'!$BC$509)</f>
        <v/>
      </c>
      <c r="K509">
        <f>IF('CALL SHEET'!$N$509="","",'CALL SHEET'!$N$509)</f>
        <v/>
      </c>
      <c r="L509">
        <f>IF('CALL SHEET'!$AH$509="","",'CALL SHEET'!$AH$509)</f>
        <v/>
      </c>
      <c r="M509">
        <f>IF('CALL SHEET'!$AO$509="","",'CALL SHEET'!$AO$509)</f>
        <v/>
      </c>
      <c r="N509">
        <f>IF('CALL SHEET'!$BF$509="","",'CALL SHEET'!$BF$509)</f>
        <v/>
      </c>
      <c r="O509" t="inlineStr">
        <is>
          <t>TRADE</t>
        </is>
      </c>
      <c r="P509" t="inlineStr">
        <is>
          <t>CALL SHEET · row 509</t>
        </is>
      </c>
      <c r="Q509">
        <f>E509+ROW()*0.000000001</f>
        <v/>
      </c>
    </row>
    <row r="510">
      <c r="A510">
        <f>IF('CALL SHEET'!$A$510="","",'CALL SHEET'!$A$510)</f>
        <v/>
      </c>
      <c r="B510">
        <f>IF('CALL SHEET'!$C$510="","",'CALL SHEET'!$C$510)</f>
        <v/>
      </c>
      <c r="C510">
        <f>'CALL SHEET'!$U$510</f>
        <v/>
      </c>
      <c r="D510">
        <f>'CALL SHEET'!$AB$510</f>
        <v/>
      </c>
      <c r="E510">
        <f>'CALL SHEET'!$AF$510</f>
        <v/>
      </c>
      <c r="F510">
        <f>IF('CALL SHEET'!$V$510="","",'CALL SHEET'!$V$510)</f>
        <v/>
      </c>
      <c r="G510">
        <f>IF('CALL SHEET'!$D$510="","",'CALL SHEET'!$D$510)</f>
        <v/>
      </c>
      <c r="H510">
        <f>IF('CALL SHEET'!$G$510="","",'CALL SHEET'!$G$510)</f>
        <v/>
      </c>
      <c r="I510">
        <f>IF('CALL SHEET'!$AY$510="","",'CALL SHEET'!$AY$510)</f>
        <v/>
      </c>
      <c r="J510">
        <f>IF('CALL SHEET'!$BC$510="","",'CALL SHEET'!$BC$510)</f>
        <v/>
      </c>
      <c r="K510">
        <f>IF('CALL SHEET'!$N$510="","",'CALL SHEET'!$N$510)</f>
        <v/>
      </c>
      <c r="L510">
        <f>IF('CALL SHEET'!$AH$510="","",'CALL SHEET'!$AH$510)</f>
        <v/>
      </c>
      <c r="M510">
        <f>IF('CALL SHEET'!$AO$510="","",'CALL SHEET'!$AO$510)</f>
        <v/>
      </c>
      <c r="N510">
        <f>IF('CALL SHEET'!$BF$510="","",'CALL SHEET'!$BF$510)</f>
        <v/>
      </c>
      <c r="O510" t="inlineStr">
        <is>
          <t>TRADE</t>
        </is>
      </c>
      <c r="P510" t="inlineStr">
        <is>
          <t>CALL SHEET · row 510</t>
        </is>
      </c>
      <c r="Q510">
        <f>E510+ROW()*0.000000001</f>
        <v/>
      </c>
    </row>
    <row r="511">
      <c r="A511">
        <f>IF('CALL SHEET'!$A$511="","",'CALL SHEET'!$A$511)</f>
        <v/>
      </c>
      <c r="B511">
        <f>IF('CALL SHEET'!$C$511="","",'CALL SHEET'!$C$511)</f>
        <v/>
      </c>
      <c r="C511">
        <f>'CALL SHEET'!$U$511</f>
        <v/>
      </c>
      <c r="D511">
        <f>'CALL SHEET'!$AB$511</f>
        <v/>
      </c>
      <c r="E511">
        <f>'CALL SHEET'!$AF$511</f>
        <v/>
      </c>
      <c r="F511">
        <f>IF('CALL SHEET'!$V$511="","",'CALL SHEET'!$V$511)</f>
        <v/>
      </c>
      <c r="G511">
        <f>IF('CALL SHEET'!$D$511="","",'CALL SHEET'!$D$511)</f>
        <v/>
      </c>
      <c r="H511">
        <f>IF('CALL SHEET'!$G$511="","",'CALL SHEET'!$G$511)</f>
        <v/>
      </c>
      <c r="I511">
        <f>IF('CALL SHEET'!$AY$511="","",'CALL SHEET'!$AY$511)</f>
        <v/>
      </c>
      <c r="J511">
        <f>IF('CALL SHEET'!$BC$511="","",'CALL SHEET'!$BC$511)</f>
        <v/>
      </c>
      <c r="K511">
        <f>IF('CALL SHEET'!$N$511="","",'CALL SHEET'!$N$511)</f>
        <v/>
      </c>
      <c r="L511">
        <f>IF('CALL SHEET'!$AH$511="","",'CALL SHEET'!$AH$511)</f>
        <v/>
      </c>
      <c r="M511">
        <f>IF('CALL SHEET'!$AO$511="","",'CALL SHEET'!$AO$511)</f>
        <v/>
      </c>
      <c r="N511">
        <f>IF('CALL SHEET'!$BF$511="","",'CALL SHEET'!$BF$511)</f>
        <v/>
      </c>
      <c r="O511" t="inlineStr">
        <is>
          <t>TRADE</t>
        </is>
      </c>
      <c r="P511" t="inlineStr">
        <is>
          <t>CALL SHEET · row 511</t>
        </is>
      </c>
      <c r="Q511">
        <f>E511+ROW()*0.000000001</f>
        <v/>
      </c>
    </row>
    <row r="512">
      <c r="A512">
        <f>IF('CALL SHEET'!$A$512="","",'CALL SHEET'!$A$512)</f>
        <v/>
      </c>
      <c r="B512">
        <f>IF('CALL SHEET'!$C$512="","",'CALL SHEET'!$C$512)</f>
        <v/>
      </c>
      <c r="C512">
        <f>'CALL SHEET'!$U$512</f>
        <v/>
      </c>
      <c r="D512">
        <f>'CALL SHEET'!$AB$512</f>
        <v/>
      </c>
      <c r="E512">
        <f>'CALL SHEET'!$AF$512</f>
        <v/>
      </c>
      <c r="F512">
        <f>IF('CALL SHEET'!$V$512="","",'CALL SHEET'!$V$512)</f>
        <v/>
      </c>
      <c r="G512">
        <f>IF('CALL SHEET'!$D$512="","",'CALL SHEET'!$D$512)</f>
        <v/>
      </c>
      <c r="H512">
        <f>IF('CALL SHEET'!$G$512="","",'CALL SHEET'!$G$512)</f>
        <v/>
      </c>
      <c r="I512">
        <f>IF('CALL SHEET'!$AY$512="","",'CALL SHEET'!$AY$512)</f>
        <v/>
      </c>
      <c r="J512">
        <f>IF('CALL SHEET'!$BC$512="","",'CALL SHEET'!$BC$512)</f>
        <v/>
      </c>
      <c r="K512">
        <f>IF('CALL SHEET'!$N$512="","",'CALL SHEET'!$N$512)</f>
        <v/>
      </c>
      <c r="L512">
        <f>IF('CALL SHEET'!$AH$512="","",'CALL SHEET'!$AH$512)</f>
        <v/>
      </c>
      <c r="M512">
        <f>IF('CALL SHEET'!$AO$512="","",'CALL SHEET'!$AO$512)</f>
        <v/>
      </c>
      <c r="N512">
        <f>IF('CALL SHEET'!$BF$512="","",'CALL SHEET'!$BF$512)</f>
        <v/>
      </c>
      <c r="O512" t="inlineStr">
        <is>
          <t>TRADE</t>
        </is>
      </c>
      <c r="P512" t="inlineStr">
        <is>
          <t>CALL SHEET · row 512</t>
        </is>
      </c>
      <c r="Q512">
        <f>E512+ROW()*0.000000001</f>
        <v/>
      </c>
    </row>
    <row r="513">
      <c r="A513">
        <f>IF('CALL SHEET'!$A$513="","",'CALL SHEET'!$A$513)</f>
        <v/>
      </c>
      <c r="B513">
        <f>IF('CALL SHEET'!$C$513="","",'CALL SHEET'!$C$513)</f>
        <v/>
      </c>
      <c r="C513">
        <f>'CALL SHEET'!$U$513</f>
        <v/>
      </c>
      <c r="D513">
        <f>'CALL SHEET'!$AB$513</f>
        <v/>
      </c>
      <c r="E513">
        <f>'CALL SHEET'!$AF$513</f>
        <v/>
      </c>
      <c r="F513">
        <f>IF('CALL SHEET'!$V$513="","",'CALL SHEET'!$V$513)</f>
        <v/>
      </c>
      <c r="G513">
        <f>IF('CALL SHEET'!$D$513="","",'CALL SHEET'!$D$513)</f>
        <v/>
      </c>
      <c r="H513">
        <f>IF('CALL SHEET'!$G$513="","",'CALL SHEET'!$G$513)</f>
        <v/>
      </c>
      <c r="I513">
        <f>IF('CALL SHEET'!$AY$513="","",'CALL SHEET'!$AY$513)</f>
        <v/>
      </c>
      <c r="J513">
        <f>IF('CALL SHEET'!$BC$513="","",'CALL SHEET'!$BC$513)</f>
        <v/>
      </c>
      <c r="K513">
        <f>IF('CALL SHEET'!$N$513="","",'CALL SHEET'!$N$513)</f>
        <v/>
      </c>
      <c r="L513">
        <f>IF('CALL SHEET'!$AH$513="","",'CALL SHEET'!$AH$513)</f>
        <v/>
      </c>
      <c r="M513">
        <f>IF('CALL SHEET'!$AO$513="","",'CALL SHEET'!$AO$513)</f>
        <v/>
      </c>
      <c r="N513">
        <f>IF('CALL SHEET'!$BF$513="","",'CALL SHEET'!$BF$513)</f>
        <v/>
      </c>
      <c r="O513" t="inlineStr">
        <is>
          <t>TRADE</t>
        </is>
      </c>
      <c r="P513" t="inlineStr">
        <is>
          <t>CALL SHEET · row 513</t>
        </is>
      </c>
      <c r="Q513">
        <f>E513+ROW()*0.000000001</f>
        <v/>
      </c>
    </row>
    <row r="514">
      <c r="A514">
        <f>IF('CALL SHEET'!$A$514="","",'CALL SHEET'!$A$514)</f>
        <v/>
      </c>
      <c r="B514">
        <f>IF('CALL SHEET'!$C$514="","",'CALL SHEET'!$C$514)</f>
        <v/>
      </c>
      <c r="C514">
        <f>'CALL SHEET'!$U$514</f>
        <v/>
      </c>
      <c r="D514">
        <f>'CALL SHEET'!$AB$514</f>
        <v/>
      </c>
      <c r="E514">
        <f>'CALL SHEET'!$AF$514</f>
        <v/>
      </c>
      <c r="F514">
        <f>IF('CALL SHEET'!$V$514="","",'CALL SHEET'!$V$514)</f>
        <v/>
      </c>
      <c r="G514">
        <f>IF('CALL SHEET'!$D$514="","",'CALL SHEET'!$D$514)</f>
        <v/>
      </c>
      <c r="H514">
        <f>IF('CALL SHEET'!$G$514="","",'CALL SHEET'!$G$514)</f>
        <v/>
      </c>
      <c r="I514">
        <f>IF('CALL SHEET'!$AY$514="","",'CALL SHEET'!$AY$514)</f>
        <v/>
      </c>
      <c r="J514">
        <f>IF('CALL SHEET'!$BC$514="","",'CALL SHEET'!$BC$514)</f>
        <v/>
      </c>
      <c r="K514">
        <f>IF('CALL SHEET'!$N$514="","",'CALL SHEET'!$N$514)</f>
        <v/>
      </c>
      <c r="L514">
        <f>IF('CALL SHEET'!$AH$514="","",'CALL SHEET'!$AH$514)</f>
        <v/>
      </c>
      <c r="M514">
        <f>IF('CALL SHEET'!$AO$514="","",'CALL SHEET'!$AO$514)</f>
        <v/>
      </c>
      <c r="N514">
        <f>IF('CALL SHEET'!$BF$514="","",'CALL SHEET'!$BF$514)</f>
        <v/>
      </c>
      <c r="O514" t="inlineStr">
        <is>
          <t>TRADE</t>
        </is>
      </c>
      <c r="P514" t="inlineStr">
        <is>
          <t>CALL SHEET · row 514</t>
        </is>
      </c>
      <c r="Q514">
        <f>E514+ROW()*0.000000001</f>
        <v/>
      </c>
    </row>
    <row r="515">
      <c r="A515">
        <f>IF('CALL SHEET'!$A$515="","",'CALL SHEET'!$A$515)</f>
        <v/>
      </c>
      <c r="B515">
        <f>IF('CALL SHEET'!$C$515="","",'CALL SHEET'!$C$515)</f>
        <v/>
      </c>
      <c r="C515">
        <f>'CALL SHEET'!$U$515</f>
        <v/>
      </c>
      <c r="D515">
        <f>'CALL SHEET'!$AB$515</f>
        <v/>
      </c>
      <c r="E515">
        <f>'CALL SHEET'!$AF$515</f>
        <v/>
      </c>
      <c r="F515">
        <f>IF('CALL SHEET'!$V$515="","",'CALL SHEET'!$V$515)</f>
        <v/>
      </c>
      <c r="G515">
        <f>IF('CALL SHEET'!$D$515="","",'CALL SHEET'!$D$515)</f>
        <v/>
      </c>
      <c r="H515">
        <f>IF('CALL SHEET'!$G$515="","",'CALL SHEET'!$G$515)</f>
        <v/>
      </c>
      <c r="I515">
        <f>IF('CALL SHEET'!$AY$515="","",'CALL SHEET'!$AY$515)</f>
        <v/>
      </c>
      <c r="J515">
        <f>IF('CALL SHEET'!$BC$515="","",'CALL SHEET'!$BC$515)</f>
        <v/>
      </c>
      <c r="K515">
        <f>IF('CALL SHEET'!$N$515="","",'CALL SHEET'!$N$515)</f>
        <v/>
      </c>
      <c r="L515">
        <f>IF('CALL SHEET'!$AH$515="","",'CALL SHEET'!$AH$515)</f>
        <v/>
      </c>
      <c r="M515">
        <f>IF('CALL SHEET'!$AO$515="","",'CALL SHEET'!$AO$515)</f>
        <v/>
      </c>
      <c r="N515">
        <f>IF('CALL SHEET'!$BF$515="","",'CALL SHEET'!$BF$515)</f>
        <v/>
      </c>
      <c r="O515" t="inlineStr">
        <is>
          <t>TRADE</t>
        </is>
      </c>
      <c r="P515" t="inlineStr">
        <is>
          <t>CALL SHEET · row 515</t>
        </is>
      </c>
      <c r="Q515">
        <f>E515+ROW()*0.000000001</f>
        <v/>
      </c>
    </row>
    <row r="516">
      <c r="A516">
        <f>IF('CALL SHEET'!$A$516="","",'CALL SHEET'!$A$516)</f>
        <v/>
      </c>
      <c r="B516">
        <f>IF('CALL SHEET'!$C$516="","",'CALL SHEET'!$C$516)</f>
        <v/>
      </c>
      <c r="C516">
        <f>'CALL SHEET'!$U$516</f>
        <v/>
      </c>
      <c r="D516">
        <f>'CALL SHEET'!$AB$516</f>
        <v/>
      </c>
      <c r="E516">
        <f>'CALL SHEET'!$AF$516</f>
        <v/>
      </c>
      <c r="F516">
        <f>IF('CALL SHEET'!$V$516="","",'CALL SHEET'!$V$516)</f>
        <v/>
      </c>
      <c r="G516">
        <f>IF('CALL SHEET'!$D$516="","",'CALL SHEET'!$D$516)</f>
        <v/>
      </c>
      <c r="H516">
        <f>IF('CALL SHEET'!$G$516="","",'CALL SHEET'!$G$516)</f>
        <v/>
      </c>
      <c r="I516">
        <f>IF('CALL SHEET'!$AY$516="","",'CALL SHEET'!$AY$516)</f>
        <v/>
      </c>
      <c r="J516">
        <f>IF('CALL SHEET'!$BC$516="","",'CALL SHEET'!$BC$516)</f>
        <v/>
      </c>
      <c r="K516">
        <f>IF('CALL SHEET'!$N$516="","",'CALL SHEET'!$N$516)</f>
        <v/>
      </c>
      <c r="L516">
        <f>IF('CALL SHEET'!$AH$516="","",'CALL SHEET'!$AH$516)</f>
        <v/>
      </c>
      <c r="M516">
        <f>IF('CALL SHEET'!$AO$516="","",'CALL SHEET'!$AO$516)</f>
        <v/>
      </c>
      <c r="N516">
        <f>IF('CALL SHEET'!$BF$516="","",'CALL SHEET'!$BF$516)</f>
        <v/>
      </c>
      <c r="O516" t="inlineStr">
        <is>
          <t>TRADE</t>
        </is>
      </c>
      <c r="P516" t="inlineStr">
        <is>
          <t>CALL SHEET · row 516</t>
        </is>
      </c>
      <c r="Q516">
        <f>E516+ROW()*0.000000001</f>
        <v/>
      </c>
    </row>
    <row r="517">
      <c r="A517">
        <f>IF('CALL SHEET'!$A$517="","",'CALL SHEET'!$A$517)</f>
        <v/>
      </c>
      <c r="B517">
        <f>IF('CALL SHEET'!$C$517="","",'CALL SHEET'!$C$517)</f>
        <v/>
      </c>
      <c r="C517">
        <f>'CALL SHEET'!$U$517</f>
        <v/>
      </c>
      <c r="D517">
        <f>'CALL SHEET'!$AB$517</f>
        <v/>
      </c>
      <c r="E517">
        <f>'CALL SHEET'!$AF$517</f>
        <v/>
      </c>
      <c r="F517">
        <f>IF('CALL SHEET'!$V$517="","",'CALL SHEET'!$V$517)</f>
        <v/>
      </c>
      <c r="G517">
        <f>IF('CALL SHEET'!$D$517="","",'CALL SHEET'!$D$517)</f>
        <v/>
      </c>
      <c r="H517">
        <f>IF('CALL SHEET'!$G$517="","",'CALL SHEET'!$G$517)</f>
        <v/>
      </c>
      <c r="I517">
        <f>IF('CALL SHEET'!$AY$517="","",'CALL SHEET'!$AY$517)</f>
        <v/>
      </c>
      <c r="J517">
        <f>IF('CALL SHEET'!$BC$517="","",'CALL SHEET'!$BC$517)</f>
        <v/>
      </c>
      <c r="K517">
        <f>IF('CALL SHEET'!$N$517="","",'CALL SHEET'!$N$517)</f>
        <v/>
      </c>
      <c r="L517">
        <f>IF('CALL SHEET'!$AH$517="","",'CALL SHEET'!$AH$517)</f>
        <v/>
      </c>
      <c r="M517">
        <f>IF('CALL SHEET'!$AO$517="","",'CALL SHEET'!$AO$517)</f>
        <v/>
      </c>
      <c r="N517">
        <f>IF('CALL SHEET'!$BF$517="","",'CALL SHEET'!$BF$517)</f>
        <v/>
      </c>
      <c r="O517" t="inlineStr">
        <is>
          <t>TRADE</t>
        </is>
      </c>
      <c r="P517" t="inlineStr">
        <is>
          <t>CALL SHEET · row 517</t>
        </is>
      </c>
      <c r="Q517">
        <f>E517+ROW()*0.000000001</f>
        <v/>
      </c>
    </row>
    <row r="518">
      <c r="A518">
        <f>IF('CALL SHEET'!$A$518="","",'CALL SHEET'!$A$518)</f>
        <v/>
      </c>
      <c r="B518">
        <f>IF('CALL SHEET'!$C$518="","",'CALL SHEET'!$C$518)</f>
        <v/>
      </c>
      <c r="C518">
        <f>'CALL SHEET'!$U$518</f>
        <v/>
      </c>
      <c r="D518">
        <f>'CALL SHEET'!$AB$518</f>
        <v/>
      </c>
      <c r="E518">
        <f>'CALL SHEET'!$AF$518</f>
        <v/>
      </c>
      <c r="F518">
        <f>IF('CALL SHEET'!$V$518="","",'CALL SHEET'!$V$518)</f>
        <v/>
      </c>
      <c r="G518">
        <f>IF('CALL SHEET'!$D$518="","",'CALL SHEET'!$D$518)</f>
        <v/>
      </c>
      <c r="H518">
        <f>IF('CALL SHEET'!$G$518="","",'CALL SHEET'!$G$518)</f>
        <v/>
      </c>
      <c r="I518">
        <f>IF('CALL SHEET'!$AY$518="","",'CALL SHEET'!$AY$518)</f>
        <v/>
      </c>
      <c r="J518">
        <f>IF('CALL SHEET'!$BC$518="","",'CALL SHEET'!$BC$518)</f>
        <v/>
      </c>
      <c r="K518">
        <f>IF('CALL SHEET'!$N$518="","",'CALL SHEET'!$N$518)</f>
        <v/>
      </c>
      <c r="L518">
        <f>IF('CALL SHEET'!$AH$518="","",'CALL SHEET'!$AH$518)</f>
        <v/>
      </c>
      <c r="M518">
        <f>IF('CALL SHEET'!$AO$518="","",'CALL SHEET'!$AO$518)</f>
        <v/>
      </c>
      <c r="N518">
        <f>IF('CALL SHEET'!$BF$518="","",'CALL SHEET'!$BF$518)</f>
        <v/>
      </c>
      <c r="O518" t="inlineStr">
        <is>
          <t>TRADE</t>
        </is>
      </c>
      <c r="P518" t="inlineStr">
        <is>
          <t>CALL SHEET · row 518</t>
        </is>
      </c>
      <c r="Q518">
        <f>E518+ROW()*0.000000001</f>
        <v/>
      </c>
    </row>
    <row r="519">
      <c r="A519">
        <f>IF('CALL SHEET'!$A$519="","",'CALL SHEET'!$A$519)</f>
        <v/>
      </c>
      <c r="B519">
        <f>IF('CALL SHEET'!$C$519="","",'CALL SHEET'!$C$519)</f>
        <v/>
      </c>
      <c r="C519">
        <f>'CALL SHEET'!$U$519</f>
        <v/>
      </c>
      <c r="D519">
        <f>'CALL SHEET'!$AB$519</f>
        <v/>
      </c>
      <c r="E519">
        <f>'CALL SHEET'!$AF$519</f>
        <v/>
      </c>
      <c r="F519">
        <f>IF('CALL SHEET'!$V$519="","",'CALL SHEET'!$V$519)</f>
        <v/>
      </c>
      <c r="G519">
        <f>IF('CALL SHEET'!$D$519="","",'CALL SHEET'!$D$519)</f>
        <v/>
      </c>
      <c r="H519">
        <f>IF('CALL SHEET'!$G$519="","",'CALL SHEET'!$G$519)</f>
        <v/>
      </c>
      <c r="I519">
        <f>IF('CALL SHEET'!$AY$519="","",'CALL SHEET'!$AY$519)</f>
        <v/>
      </c>
      <c r="J519">
        <f>IF('CALL SHEET'!$BC$519="","",'CALL SHEET'!$BC$519)</f>
        <v/>
      </c>
      <c r="K519">
        <f>IF('CALL SHEET'!$N$519="","",'CALL SHEET'!$N$519)</f>
        <v/>
      </c>
      <c r="L519">
        <f>IF('CALL SHEET'!$AH$519="","",'CALL SHEET'!$AH$519)</f>
        <v/>
      </c>
      <c r="M519">
        <f>IF('CALL SHEET'!$AO$519="","",'CALL SHEET'!$AO$519)</f>
        <v/>
      </c>
      <c r="N519">
        <f>IF('CALL SHEET'!$BF$519="","",'CALL SHEET'!$BF$519)</f>
        <v/>
      </c>
      <c r="O519" t="inlineStr">
        <is>
          <t>TRADE</t>
        </is>
      </c>
      <c r="P519" t="inlineStr">
        <is>
          <t>CALL SHEET · row 519</t>
        </is>
      </c>
      <c r="Q519">
        <f>E519+ROW()*0.000000001</f>
        <v/>
      </c>
    </row>
    <row r="520">
      <c r="A520">
        <f>IF('CALL SHEET'!$A$520="","",'CALL SHEET'!$A$520)</f>
        <v/>
      </c>
      <c r="B520">
        <f>IF('CALL SHEET'!$C$520="","",'CALL SHEET'!$C$520)</f>
        <v/>
      </c>
      <c r="C520">
        <f>'CALL SHEET'!$U$520</f>
        <v/>
      </c>
      <c r="D520">
        <f>'CALL SHEET'!$AB$520</f>
        <v/>
      </c>
      <c r="E520">
        <f>'CALL SHEET'!$AF$520</f>
        <v/>
      </c>
      <c r="F520">
        <f>IF('CALL SHEET'!$V$520="","",'CALL SHEET'!$V$520)</f>
        <v/>
      </c>
      <c r="G520">
        <f>IF('CALL SHEET'!$D$520="","",'CALL SHEET'!$D$520)</f>
        <v/>
      </c>
      <c r="H520">
        <f>IF('CALL SHEET'!$G$520="","",'CALL SHEET'!$G$520)</f>
        <v/>
      </c>
      <c r="I520">
        <f>IF('CALL SHEET'!$AY$520="","",'CALL SHEET'!$AY$520)</f>
        <v/>
      </c>
      <c r="J520">
        <f>IF('CALL SHEET'!$BC$520="","",'CALL SHEET'!$BC$520)</f>
        <v/>
      </c>
      <c r="K520">
        <f>IF('CALL SHEET'!$N$520="","",'CALL SHEET'!$N$520)</f>
        <v/>
      </c>
      <c r="L520">
        <f>IF('CALL SHEET'!$AH$520="","",'CALL SHEET'!$AH$520)</f>
        <v/>
      </c>
      <c r="M520">
        <f>IF('CALL SHEET'!$AO$520="","",'CALL SHEET'!$AO$520)</f>
        <v/>
      </c>
      <c r="N520">
        <f>IF('CALL SHEET'!$BF$520="","",'CALL SHEET'!$BF$520)</f>
        <v/>
      </c>
      <c r="O520" t="inlineStr">
        <is>
          <t>TRADE</t>
        </is>
      </c>
      <c r="P520" t="inlineStr">
        <is>
          <t>CALL SHEET · row 520</t>
        </is>
      </c>
      <c r="Q520">
        <f>E520+ROW()*0.000000001</f>
        <v/>
      </c>
    </row>
    <row r="521">
      <c r="A521">
        <f>IF('CALL SHEET'!$A$521="","",'CALL SHEET'!$A$521)</f>
        <v/>
      </c>
      <c r="B521">
        <f>IF('CALL SHEET'!$C$521="","",'CALL SHEET'!$C$521)</f>
        <v/>
      </c>
      <c r="C521">
        <f>'CALL SHEET'!$U$521</f>
        <v/>
      </c>
      <c r="D521">
        <f>'CALL SHEET'!$AB$521</f>
        <v/>
      </c>
      <c r="E521">
        <f>'CALL SHEET'!$AF$521</f>
        <v/>
      </c>
      <c r="F521">
        <f>IF('CALL SHEET'!$V$521="","",'CALL SHEET'!$V$521)</f>
        <v/>
      </c>
      <c r="G521">
        <f>IF('CALL SHEET'!$D$521="","",'CALL SHEET'!$D$521)</f>
        <v/>
      </c>
      <c r="H521">
        <f>IF('CALL SHEET'!$G$521="","",'CALL SHEET'!$G$521)</f>
        <v/>
      </c>
      <c r="I521">
        <f>IF('CALL SHEET'!$AY$521="","",'CALL SHEET'!$AY$521)</f>
        <v/>
      </c>
      <c r="J521">
        <f>IF('CALL SHEET'!$BC$521="","",'CALL SHEET'!$BC$521)</f>
        <v/>
      </c>
      <c r="K521">
        <f>IF('CALL SHEET'!$N$521="","",'CALL SHEET'!$N$521)</f>
        <v/>
      </c>
      <c r="L521">
        <f>IF('CALL SHEET'!$AH$521="","",'CALL SHEET'!$AH$521)</f>
        <v/>
      </c>
      <c r="M521">
        <f>IF('CALL SHEET'!$AO$521="","",'CALL SHEET'!$AO$521)</f>
        <v/>
      </c>
      <c r="N521">
        <f>IF('CALL SHEET'!$BF$521="","",'CALL SHEET'!$BF$521)</f>
        <v/>
      </c>
      <c r="O521" t="inlineStr">
        <is>
          <t>TRADE</t>
        </is>
      </c>
      <c r="P521" t="inlineStr">
        <is>
          <t>CALL SHEET · row 521</t>
        </is>
      </c>
      <c r="Q521">
        <f>E521+ROW()*0.000000001</f>
        <v/>
      </c>
    </row>
    <row r="522">
      <c r="A522">
        <f>IF('CALL SHEET'!$A$522="","",'CALL SHEET'!$A$522)</f>
        <v/>
      </c>
      <c r="B522">
        <f>IF('CALL SHEET'!$C$522="","",'CALL SHEET'!$C$522)</f>
        <v/>
      </c>
      <c r="C522">
        <f>'CALL SHEET'!$U$522</f>
        <v/>
      </c>
      <c r="D522">
        <f>'CALL SHEET'!$AB$522</f>
        <v/>
      </c>
      <c r="E522">
        <f>'CALL SHEET'!$AF$522</f>
        <v/>
      </c>
      <c r="F522">
        <f>IF('CALL SHEET'!$V$522="","",'CALL SHEET'!$V$522)</f>
        <v/>
      </c>
      <c r="G522">
        <f>IF('CALL SHEET'!$D$522="","",'CALL SHEET'!$D$522)</f>
        <v/>
      </c>
      <c r="H522">
        <f>IF('CALL SHEET'!$G$522="","",'CALL SHEET'!$G$522)</f>
        <v/>
      </c>
      <c r="I522">
        <f>IF('CALL SHEET'!$AY$522="","",'CALL SHEET'!$AY$522)</f>
        <v/>
      </c>
      <c r="J522">
        <f>IF('CALL SHEET'!$BC$522="","",'CALL SHEET'!$BC$522)</f>
        <v/>
      </c>
      <c r="K522">
        <f>IF('CALL SHEET'!$N$522="","",'CALL SHEET'!$N$522)</f>
        <v/>
      </c>
      <c r="L522">
        <f>IF('CALL SHEET'!$AH$522="","",'CALL SHEET'!$AH$522)</f>
        <v/>
      </c>
      <c r="M522">
        <f>IF('CALL SHEET'!$AO$522="","",'CALL SHEET'!$AO$522)</f>
        <v/>
      </c>
      <c r="N522">
        <f>IF('CALL SHEET'!$BF$522="","",'CALL SHEET'!$BF$522)</f>
        <v/>
      </c>
      <c r="O522" t="inlineStr">
        <is>
          <t>TRADE</t>
        </is>
      </c>
      <c r="P522" t="inlineStr">
        <is>
          <t>CALL SHEET · row 522</t>
        </is>
      </c>
      <c r="Q522">
        <f>E522+ROW()*0.000000001</f>
        <v/>
      </c>
    </row>
    <row r="523">
      <c r="A523">
        <f>IF('CALL SHEET'!$A$523="","",'CALL SHEET'!$A$523)</f>
        <v/>
      </c>
      <c r="B523">
        <f>IF('CALL SHEET'!$C$523="","",'CALL SHEET'!$C$523)</f>
        <v/>
      </c>
      <c r="C523">
        <f>'CALL SHEET'!$U$523</f>
        <v/>
      </c>
      <c r="D523">
        <f>'CALL SHEET'!$AB$523</f>
        <v/>
      </c>
      <c r="E523">
        <f>'CALL SHEET'!$AF$523</f>
        <v/>
      </c>
      <c r="F523">
        <f>IF('CALL SHEET'!$V$523="","",'CALL SHEET'!$V$523)</f>
        <v/>
      </c>
      <c r="G523">
        <f>IF('CALL SHEET'!$D$523="","",'CALL SHEET'!$D$523)</f>
        <v/>
      </c>
      <c r="H523">
        <f>IF('CALL SHEET'!$G$523="","",'CALL SHEET'!$G$523)</f>
        <v/>
      </c>
      <c r="I523">
        <f>IF('CALL SHEET'!$AY$523="","",'CALL SHEET'!$AY$523)</f>
        <v/>
      </c>
      <c r="J523">
        <f>IF('CALL SHEET'!$BC$523="","",'CALL SHEET'!$BC$523)</f>
        <v/>
      </c>
      <c r="K523">
        <f>IF('CALL SHEET'!$N$523="","",'CALL SHEET'!$N$523)</f>
        <v/>
      </c>
      <c r="L523">
        <f>IF('CALL SHEET'!$AH$523="","",'CALL SHEET'!$AH$523)</f>
        <v/>
      </c>
      <c r="M523">
        <f>IF('CALL SHEET'!$AO$523="","",'CALL SHEET'!$AO$523)</f>
        <v/>
      </c>
      <c r="N523">
        <f>IF('CALL SHEET'!$BF$523="","",'CALL SHEET'!$BF$523)</f>
        <v/>
      </c>
      <c r="O523" t="inlineStr">
        <is>
          <t>TRADE</t>
        </is>
      </c>
      <c r="P523" t="inlineStr">
        <is>
          <t>CALL SHEET · row 523</t>
        </is>
      </c>
      <c r="Q523">
        <f>E523+ROW()*0.000000001</f>
        <v/>
      </c>
    </row>
    <row r="524">
      <c r="A524">
        <f>IF('CALL SHEET'!$A$524="","",'CALL SHEET'!$A$524)</f>
        <v/>
      </c>
      <c r="B524">
        <f>IF('CALL SHEET'!$C$524="","",'CALL SHEET'!$C$524)</f>
        <v/>
      </c>
      <c r="C524">
        <f>'CALL SHEET'!$U$524</f>
        <v/>
      </c>
      <c r="D524">
        <f>'CALL SHEET'!$AB$524</f>
        <v/>
      </c>
      <c r="E524">
        <f>'CALL SHEET'!$AF$524</f>
        <v/>
      </c>
      <c r="F524">
        <f>IF('CALL SHEET'!$V$524="","",'CALL SHEET'!$V$524)</f>
        <v/>
      </c>
      <c r="G524">
        <f>IF('CALL SHEET'!$D$524="","",'CALL SHEET'!$D$524)</f>
        <v/>
      </c>
      <c r="H524">
        <f>IF('CALL SHEET'!$G$524="","",'CALL SHEET'!$G$524)</f>
        <v/>
      </c>
      <c r="I524">
        <f>IF('CALL SHEET'!$AY$524="","",'CALL SHEET'!$AY$524)</f>
        <v/>
      </c>
      <c r="J524">
        <f>IF('CALL SHEET'!$BC$524="","",'CALL SHEET'!$BC$524)</f>
        <v/>
      </c>
      <c r="K524">
        <f>IF('CALL SHEET'!$N$524="","",'CALL SHEET'!$N$524)</f>
        <v/>
      </c>
      <c r="L524">
        <f>IF('CALL SHEET'!$AH$524="","",'CALL SHEET'!$AH$524)</f>
        <v/>
      </c>
      <c r="M524">
        <f>IF('CALL SHEET'!$AO$524="","",'CALL SHEET'!$AO$524)</f>
        <v/>
      </c>
      <c r="N524">
        <f>IF('CALL SHEET'!$BF$524="","",'CALL SHEET'!$BF$524)</f>
        <v/>
      </c>
      <c r="O524" t="inlineStr">
        <is>
          <t>TRADE</t>
        </is>
      </c>
      <c r="P524" t="inlineStr">
        <is>
          <t>CALL SHEET · row 524</t>
        </is>
      </c>
      <c r="Q524">
        <f>E524+ROW()*0.000000001</f>
        <v/>
      </c>
    </row>
    <row r="525">
      <c r="A525">
        <f>IF('CALL SHEET'!$A$525="","",'CALL SHEET'!$A$525)</f>
        <v/>
      </c>
      <c r="B525">
        <f>IF('CALL SHEET'!$C$525="","",'CALL SHEET'!$C$525)</f>
        <v/>
      </c>
      <c r="C525">
        <f>'CALL SHEET'!$U$525</f>
        <v/>
      </c>
      <c r="D525">
        <f>'CALL SHEET'!$AB$525</f>
        <v/>
      </c>
      <c r="E525">
        <f>'CALL SHEET'!$AF$525</f>
        <v/>
      </c>
      <c r="F525">
        <f>IF('CALL SHEET'!$V$525="","",'CALL SHEET'!$V$525)</f>
        <v/>
      </c>
      <c r="G525">
        <f>IF('CALL SHEET'!$D$525="","",'CALL SHEET'!$D$525)</f>
        <v/>
      </c>
      <c r="H525">
        <f>IF('CALL SHEET'!$G$525="","",'CALL SHEET'!$G$525)</f>
        <v/>
      </c>
      <c r="I525">
        <f>IF('CALL SHEET'!$AY$525="","",'CALL SHEET'!$AY$525)</f>
        <v/>
      </c>
      <c r="J525">
        <f>IF('CALL SHEET'!$BC$525="","",'CALL SHEET'!$BC$525)</f>
        <v/>
      </c>
      <c r="K525">
        <f>IF('CALL SHEET'!$N$525="","",'CALL SHEET'!$N$525)</f>
        <v/>
      </c>
      <c r="L525">
        <f>IF('CALL SHEET'!$AH$525="","",'CALL SHEET'!$AH$525)</f>
        <v/>
      </c>
      <c r="M525">
        <f>IF('CALL SHEET'!$AO$525="","",'CALL SHEET'!$AO$525)</f>
        <v/>
      </c>
      <c r="N525">
        <f>IF('CALL SHEET'!$BF$525="","",'CALL SHEET'!$BF$525)</f>
        <v/>
      </c>
      <c r="O525" t="inlineStr">
        <is>
          <t>TRADE</t>
        </is>
      </c>
      <c r="P525" t="inlineStr">
        <is>
          <t>CALL SHEET · row 525</t>
        </is>
      </c>
      <c r="Q525">
        <f>E525+ROW()*0.000000001</f>
        <v/>
      </c>
    </row>
    <row r="526">
      <c r="A526">
        <f>IF('CALL SHEET'!$A$526="","",'CALL SHEET'!$A$526)</f>
        <v/>
      </c>
      <c r="B526">
        <f>IF('CALL SHEET'!$C$526="","",'CALL SHEET'!$C$526)</f>
        <v/>
      </c>
      <c r="C526">
        <f>'CALL SHEET'!$U$526</f>
        <v/>
      </c>
      <c r="D526">
        <f>'CALL SHEET'!$AB$526</f>
        <v/>
      </c>
      <c r="E526">
        <f>'CALL SHEET'!$AF$526</f>
        <v/>
      </c>
      <c r="F526">
        <f>IF('CALL SHEET'!$V$526="","",'CALL SHEET'!$V$526)</f>
        <v/>
      </c>
      <c r="G526">
        <f>IF('CALL SHEET'!$D$526="","",'CALL SHEET'!$D$526)</f>
        <v/>
      </c>
      <c r="H526">
        <f>IF('CALL SHEET'!$G$526="","",'CALL SHEET'!$G$526)</f>
        <v/>
      </c>
      <c r="I526">
        <f>IF('CALL SHEET'!$AY$526="","",'CALL SHEET'!$AY$526)</f>
        <v/>
      </c>
      <c r="J526">
        <f>IF('CALL SHEET'!$BC$526="","",'CALL SHEET'!$BC$526)</f>
        <v/>
      </c>
      <c r="K526">
        <f>IF('CALL SHEET'!$N$526="","",'CALL SHEET'!$N$526)</f>
        <v/>
      </c>
      <c r="L526">
        <f>IF('CALL SHEET'!$AH$526="","",'CALL SHEET'!$AH$526)</f>
        <v/>
      </c>
      <c r="M526">
        <f>IF('CALL SHEET'!$AO$526="","",'CALL SHEET'!$AO$526)</f>
        <v/>
      </c>
      <c r="N526">
        <f>IF('CALL SHEET'!$BF$526="","",'CALL SHEET'!$BF$526)</f>
        <v/>
      </c>
      <c r="O526" t="inlineStr">
        <is>
          <t>TRADE</t>
        </is>
      </c>
      <c r="P526" t="inlineStr">
        <is>
          <t>CALL SHEET · row 526</t>
        </is>
      </c>
      <c r="Q526">
        <f>E526+ROW()*0.000000001</f>
        <v/>
      </c>
    </row>
    <row r="527">
      <c r="A527">
        <f>IF('CALL SHEET'!$A$527="","",'CALL SHEET'!$A$527)</f>
        <v/>
      </c>
      <c r="B527">
        <f>IF('CALL SHEET'!$C$527="","",'CALL SHEET'!$C$527)</f>
        <v/>
      </c>
      <c r="C527">
        <f>'CALL SHEET'!$U$527</f>
        <v/>
      </c>
      <c r="D527">
        <f>'CALL SHEET'!$AB$527</f>
        <v/>
      </c>
      <c r="E527">
        <f>'CALL SHEET'!$AF$527</f>
        <v/>
      </c>
      <c r="F527">
        <f>IF('CALL SHEET'!$V$527="","",'CALL SHEET'!$V$527)</f>
        <v/>
      </c>
      <c r="G527">
        <f>IF('CALL SHEET'!$D$527="","",'CALL SHEET'!$D$527)</f>
        <v/>
      </c>
      <c r="H527">
        <f>IF('CALL SHEET'!$G$527="","",'CALL SHEET'!$G$527)</f>
        <v/>
      </c>
      <c r="I527">
        <f>IF('CALL SHEET'!$AY$527="","",'CALL SHEET'!$AY$527)</f>
        <v/>
      </c>
      <c r="J527">
        <f>IF('CALL SHEET'!$BC$527="","",'CALL SHEET'!$BC$527)</f>
        <v/>
      </c>
      <c r="K527">
        <f>IF('CALL SHEET'!$N$527="","",'CALL SHEET'!$N$527)</f>
        <v/>
      </c>
      <c r="L527">
        <f>IF('CALL SHEET'!$AH$527="","",'CALL SHEET'!$AH$527)</f>
        <v/>
      </c>
      <c r="M527">
        <f>IF('CALL SHEET'!$AO$527="","",'CALL SHEET'!$AO$527)</f>
        <v/>
      </c>
      <c r="N527">
        <f>IF('CALL SHEET'!$BF$527="","",'CALL SHEET'!$BF$527)</f>
        <v/>
      </c>
      <c r="O527" t="inlineStr">
        <is>
          <t>TRADE</t>
        </is>
      </c>
      <c r="P527" t="inlineStr">
        <is>
          <t>CALL SHEET · row 527</t>
        </is>
      </c>
      <c r="Q527">
        <f>E527+ROW()*0.000000001</f>
        <v/>
      </c>
    </row>
    <row r="528">
      <c r="A528">
        <f>IF('CALL SHEET'!$A$528="","",'CALL SHEET'!$A$528)</f>
        <v/>
      </c>
      <c r="B528">
        <f>IF('CALL SHEET'!$C$528="","",'CALL SHEET'!$C$528)</f>
        <v/>
      </c>
      <c r="C528">
        <f>'CALL SHEET'!$U$528</f>
        <v/>
      </c>
      <c r="D528">
        <f>'CALL SHEET'!$AB$528</f>
        <v/>
      </c>
      <c r="E528">
        <f>'CALL SHEET'!$AF$528</f>
        <v/>
      </c>
      <c r="F528">
        <f>IF('CALL SHEET'!$V$528="","",'CALL SHEET'!$V$528)</f>
        <v/>
      </c>
      <c r="G528">
        <f>IF('CALL SHEET'!$D$528="","",'CALL SHEET'!$D$528)</f>
        <v/>
      </c>
      <c r="H528">
        <f>IF('CALL SHEET'!$G$528="","",'CALL SHEET'!$G$528)</f>
        <v/>
      </c>
      <c r="I528">
        <f>IF('CALL SHEET'!$AY$528="","",'CALL SHEET'!$AY$528)</f>
        <v/>
      </c>
      <c r="J528">
        <f>IF('CALL SHEET'!$BC$528="","",'CALL SHEET'!$BC$528)</f>
        <v/>
      </c>
      <c r="K528">
        <f>IF('CALL SHEET'!$N$528="","",'CALL SHEET'!$N$528)</f>
        <v/>
      </c>
      <c r="L528">
        <f>IF('CALL SHEET'!$AH$528="","",'CALL SHEET'!$AH$528)</f>
        <v/>
      </c>
      <c r="M528">
        <f>IF('CALL SHEET'!$AO$528="","",'CALL SHEET'!$AO$528)</f>
        <v/>
      </c>
      <c r="N528">
        <f>IF('CALL SHEET'!$BF$528="","",'CALL SHEET'!$BF$528)</f>
        <v/>
      </c>
      <c r="O528" t="inlineStr">
        <is>
          <t>TRADE</t>
        </is>
      </c>
      <c r="P528" t="inlineStr">
        <is>
          <t>CALL SHEET · row 528</t>
        </is>
      </c>
      <c r="Q528">
        <f>E528+ROW()*0.000000001</f>
        <v/>
      </c>
    </row>
    <row r="529">
      <c r="A529">
        <f>IF('CALL SHEET'!$A$529="","",'CALL SHEET'!$A$529)</f>
        <v/>
      </c>
      <c r="B529">
        <f>IF('CALL SHEET'!$C$529="","",'CALL SHEET'!$C$529)</f>
        <v/>
      </c>
      <c r="C529">
        <f>'CALL SHEET'!$U$529</f>
        <v/>
      </c>
      <c r="D529">
        <f>'CALL SHEET'!$AB$529</f>
        <v/>
      </c>
      <c r="E529">
        <f>'CALL SHEET'!$AF$529</f>
        <v/>
      </c>
      <c r="F529">
        <f>IF('CALL SHEET'!$V$529="","",'CALL SHEET'!$V$529)</f>
        <v/>
      </c>
      <c r="G529">
        <f>IF('CALL SHEET'!$D$529="","",'CALL SHEET'!$D$529)</f>
        <v/>
      </c>
      <c r="H529">
        <f>IF('CALL SHEET'!$G$529="","",'CALL SHEET'!$G$529)</f>
        <v/>
      </c>
      <c r="I529">
        <f>IF('CALL SHEET'!$AY$529="","",'CALL SHEET'!$AY$529)</f>
        <v/>
      </c>
      <c r="J529">
        <f>IF('CALL SHEET'!$BC$529="","",'CALL SHEET'!$BC$529)</f>
        <v/>
      </c>
      <c r="K529">
        <f>IF('CALL SHEET'!$N$529="","",'CALL SHEET'!$N$529)</f>
        <v/>
      </c>
      <c r="L529">
        <f>IF('CALL SHEET'!$AH$529="","",'CALL SHEET'!$AH$529)</f>
        <v/>
      </c>
      <c r="M529">
        <f>IF('CALL SHEET'!$AO$529="","",'CALL SHEET'!$AO$529)</f>
        <v/>
      </c>
      <c r="N529">
        <f>IF('CALL SHEET'!$BF$529="","",'CALL SHEET'!$BF$529)</f>
        <v/>
      </c>
      <c r="O529" t="inlineStr">
        <is>
          <t>TRADE</t>
        </is>
      </c>
      <c r="P529" t="inlineStr">
        <is>
          <t>CALL SHEET · row 529</t>
        </is>
      </c>
      <c r="Q529">
        <f>E529+ROW()*0.000000001</f>
        <v/>
      </c>
    </row>
    <row r="530">
      <c r="A530">
        <f>IF('CALL SHEET'!$A$530="","",'CALL SHEET'!$A$530)</f>
        <v/>
      </c>
      <c r="B530">
        <f>IF('CALL SHEET'!$C$530="","",'CALL SHEET'!$C$530)</f>
        <v/>
      </c>
      <c r="C530">
        <f>'CALL SHEET'!$U$530</f>
        <v/>
      </c>
      <c r="D530">
        <f>'CALL SHEET'!$AB$530</f>
        <v/>
      </c>
      <c r="E530">
        <f>'CALL SHEET'!$AF$530</f>
        <v/>
      </c>
      <c r="F530">
        <f>IF('CALL SHEET'!$V$530="","",'CALL SHEET'!$V$530)</f>
        <v/>
      </c>
      <c r="G530">
        <f>IF('CALL SHEET'!$D$530="","",'CALL SHEET'!$D$530)</f>
        <v/>
      </c>
      <c r="H530">
        <f>IF('CALL SHEET'!$G$530="","",'CALL SHEET'!$G$530)</f>
        <v/>
      </c>
      <c r="I530">
        <f>IF('CALL SHEET'!$AY$530="","",'CALL SHEET'!$AY$530)</f>
        <v/>
      </c>
      <c r="J530">
        <f>IF('CALL SHEET'!$BC$530="","",'CALL SHEET'!$BC$530)</f>
        <v/>
      </c>
      <c r="K530">
        <f>IF('CALL SHEET'!$N$530="","",'CALL SHEET'!$N$530)</f>
        <v/>
      </c>
      <c r="L530">
        <f>IF('CALL SHEET'!$AH$530="","",'CALL SHEET'!$AH$530)</f>
        <v/>
      </c>
      <c r="M530">
        <f>IF('CALL SHEET'!$AO$530="","",'CALL SHEET'!$AO$530)</f>
        <v/>
      </c>
      <c r="N530">
        <f>IF('CALL SHEET'!$BF$530="","",'CALL SHEET'!$BF$530)</f>
        <v/>
      </c>
      <c r="O530" t="inlineStr">
        <is>
          <t>TRADE</t>
        </is>
      </c>
      <c r="P530" t="inlineStr">
        <is>
          <t>CALL SHEET · row 530</t>
        </is>
      </c>
      <c r="Q530">
        <f>E530+ROW()*0.000000001</f>
        <v/>
      </c>
    </row>
    <row r="531">
      <c r="A531">
        <f>IF('CALL SHEET'!$A$531="","",'CALL SHEET'!$A$531)</f>
        <v/>
      </c>
      <c r="B531">
        <f>IF('CALL SHEET'!$C$531="","",'CALL SHEET'!$C$531)</f>
        <v/>
      </c>
      <c r="C531">
        <f>'CALL SHEET'!$U$531</f>
        <v/>
      </c>
      <c r="D531">
        <f>'CALL SHEET'!$AB$531</f>
        <v/>
      </c>
      <c r="E531">
        <f>'CALL SHEET'!$AF$531</f>
        <v/>
      </c>
      <c r="F531">
        <f>IF('CALL SHEET'!$V$531="","",'CALL SHEET'!$V$531)</f>
        <v/>
      </c>
      <c r="G531">
        <f>IF('CALL SHEET'!$D$531="","",'CALL SHEET'!$D$531)</f>
        <v/>
      </c>
      <c r="H531">
        <f>IF('CALL SHEET'!$G$531="","",'CALL SHEET'!$G$531)</f>
        <v/>
      </c>
      <c r="I531">
        <f>IF('CALL SHEET'!$AY$531="","",'CALL SHEET'!$AY$531)</f>
        <v/>
      </c>
      <c r="J531">
        <f>IF('CALL SHEET'!$BC$531="","",'CALL SHEET'!$BC$531)</f>
        <v/>
      </c>
      <c r="K531">
        <f>IF('CALL SHEET'!$N$531="","",'CALL SHEET'!$N$531)</f>
        <v/>
      </c>
      <c r="L531">
        <f>IF('CALL SHEET'!$AH$531="","",'CALL SHEET'!$AH$531)</f>
        <v/>
      </c>
      <c r="M531">
        <f>IF('CALL SHEET'!$AO$531="","",'CALL SHEET'!$AO$531)</f>
        <v/>
      </c>
      <c r="N531">
        <f>IF('CALL SHEET'!$BF$531="","",'CALL SHEET'!$BF$531)</f>
        <v/>
      </c>
      <c r="O531" t="inlineStr">
        <is>
          <t>TRADE</t>
        </is>
      </c>
      <c r="P531" t="inlineStr">
        <is>
          <t>CALL SHEET · row 531</t>
        </is>
      </c>
      <c r="Q531">
        <f>E531+ROW()*0.000000001</f>
        <v/>
      </c>
    </row>
    <row r="532">
      <c r="A532">
        <f>IF('CALL SHEET'!$A$532="","",'CALL SHEET'!$A$532)</f>
        <v/>
      </c>
      <c r="B532">
        <f>IF('CALL SHEET'!$C$532="","",'CALL SHEET'!$C$532)</f>
        <v/>
      </c>
      <c r="C532">
        <f>'CALL SHEET'!$U$532</f>
        <v/>
      </c>
      <c r="D532">
        <f>'CALL SHEET'!$AB$532</f>
        <v/>
      </c>
      <c r="E532">
        <f>'CALL SHEET'!$AF$532</f>
        <v/>
      </c>
      <c r="F532">
        <f>IF('CALL SHEET'!$V$532="","",'CALL SHEET'!$V$532)</f>
        <v/>
      </c>
      <c r="G532">
        <f>IF('CALL SHEET'!$D$532="","",'CALL SHEET'!$D$532)</f>
        <v/>
      </c>
      <c r="H532">
        <f>IF('CALL SHEET'!$G$532="","",'CALL SHEET'!$G$532)</f>
        <v/>
      </c>
      <c r="I532">
        <f>IF('CALL SHEET'!$AY$532="","",'CALL SHEET'!$AY$532)</f>
        <v/>
      </c>
      <c r="J532">
        <f>IF('CALL SHEET'!$BC$532="","",'CALL SHEET'!$BC$532)</f>
        <v/>
      </c>
      <c r="K532">
        <f>IF('CALL SHEET'!$N$532="","",'CALL SHEET'!$N$532)</f>
        <v/>
      </c>
      <c r="L532">
        <f>IF('CALL SHEET'!$AH$532="","",'CALL SHEET'!$AH$532)</f>
        <v/>
      </c>
      <c r="M532">
        <f>IF('CALL SHEET'!$AO$532="","",'CALL SHEET'!$AO$532)</f>
        <v/>
      </c>
      <c r="N532">
        <f>IF('CALL SHEET'!$BF$532="","",'CALL SHEET'!$BF$532)</f>
        <v/>
      </c>
      <c r="O532" t="inlineStr">
        <is>
          <t>TRADE</t>
        </is>
      </c>
      <c r="P532" t="inlineStr">
        <is>
          <t>CALL SHEET · row 532</t>
        </is>
      </c>
      <c r="Q532">
        <f>E532+ROW()*0.000000001</f>
        <v/>
      </c>
    </row>
    <row r="533">
      <c r="A533">
        <f>IF('CALL SHEET'!$A$533="","",'CALL SHEET'!$A$533)</f>
        <v/>
      </c>
      <c r="B533">
        <f>IF('CALL SHEET'!$C$533="","",'CALL SHEET'!$C$533)</f>
        <v/>
      </c>
      <c r="C533">
        <f>'CALL SHEET'!$U$533</f>
        <v/>
      </c>
      <c r="D533">
        <f>'CALL SHEET'!$AB$533</f>
        <v/>
      </c>
      <c r="E533">
        <f>'CALL SHEET'!$AF$533</f>
        <v/>
      </c>
      <c r="F533">
        <f>IF('CALL SHEET'!$V$533="","",'CALL SHEET'!$V$533)</f>
        <v/>
      </c>
      <c r="G533">
        <f>IF('CALL SHEET'!$D$533="","",'CALL SHEET'!$D$533)</f>
        <v/>
      </c>
      <c r="H533">
        <f>IF('CALL SHEET'!$G$533="","",'CALL SHEET'!$G$533)</f>
        <v/>
      </c>
      <c r="I533">
        <f>IF('CALL SHEET'!$AY$533="","",'CALL SHEET'!$AY$533)</f>
        <v/>
      </c>
      <c r="J533">
        <f>IF('CALL SHEET'!$BC$533="","",'CALL SHEET'!$BC$533)</f>
        <v/>
      </c>
      <c r="K533">
        <f>IF('CALL SHEET'!$N$533="","",'CALL SHEET'!$N$533)</f>
        <v/>
      </c>
      <c r="L533">
        <f>IF('CALL SHEET'!$AH$533="","",'CALL SHEET'!$AH$533)</f>
        <v/>
      </c>
      <c r="M533">
        <f>IF('CALL SHEET'!$AO$533="","",'CALL SHEET'!$AO$533)</f>
        <v/>
      </c>
      <c r="N533">
        <f>IF('CALL SHEET'!$BF$533="","",'CALL SHEET'!$BF$533)</f>
        <v/>
      </c>
      <c r="O533" t="inlineStr">
        <is>
          <t>TRADE</t>
        </is>
      </c>
      <c r="P533" t="inlineStr">
        <is>
          <t>CALL SHEET · row 533</t>
        </is>
      </c>
      <c r="Q533">
        <f>E533+ROW()*0.000000001</f>
        <v/>
      </c>
    </row>
    <row r="534">
      <c r="A534">
        <f>IF('CALL SHEET'!$A$534="","",'CALL SHEET'!$A$534)</f>
        <v/>
      </c>
      <c r="B534">
        <f>IF('CALL SHEET'!$C$534="","",'CALL SHEET'!$C$534)</f>
        <v/>
      </c>
      <c r="C534">
        <f>'CALL SHEET'!$U$534</f>
        <v/>
      </c>
      <c r="D534">
        <f>'CALL SHEET'!$AB$534</f>
        <v/>
      </c>
      <c r="E534">
        <f>'CALL SHEET'!$AF$534</f>
        <v/>
      </c>
      <c r="F534">
        <f>IF('CALL SHEET'!$V$534="","",'CALL SHEET'!$V$534)</f>
        <v/>
      </c>
      <c r="G534">
        <f>IF('CALL SHEET'!$D$534="","",'CALL SHEET'!$D$534)</f>
        <v/>
      </c>
      <c r="H534">
        <f>IF('CALL SHEET'!$G$534="","",'CALL SHEET'!$G$534)</f>
        <v/>
      </c>
      <c r="I534">
        <f>IF('CALL SHEET'!$AY$534="","",'CALL SHEET'!$AY$534)</f>
        <v/>
      </c>
      <c r="J534">
        <f>IF('CALL SHEET'!$BC$534="","",'CALL SHEET'!$BC$534)</f>
        <v/>
      </c>
      <c r="K534">
        <f>IF('CALL SHEET'!$N$534="","",'CALL SHEET'!$N$534)</f>
        <v/>
      </c>
      <c r="L534">
        <f>IF('CALL SHEET'!$AH$534="","",'CALL SHEET'!$AH$534)</f>
        <v/>
      </c>
      <c r="M534">
        <f>IF('CALL SHEET'!$AO$534="","",'CALL SHEET'!$AO$534)</f>
        <v/>
      </c>
      <c r="N534">
        <f>IF('CALL SHEET'!$BF$534="","",'CALL SHEET'!$BF$534)</f>
        <v/>
      </c>
      <c r="O534" t="inlineStr">
        <is>
          <t>TRADE</t>
        </is>
      </c>
      <c r="P534" t="inlineStr">
        <is>
          <t>CALL SHEET · row 534</t>
        </is>
      </c>
      <c r="Q534">
        <f>E534+ROW()*0.000000001</f>
        <v/>
      </c>
    </row>
    <row r="535">
      <c r="A535">
        <f>IF('CALL SHEET'!$A$535="","",'CALL SHEET'!$A$535)</f>
        <v/>
      </c>
      <c r="B535">
        <f>IF('CALL SHEET'!$C$535="","",'CALL SHEET'!$C$535)</f>
        <v/>
      </c>
      <c r="C535">
        <f>'CALL SHEET'!$U$535</f>
        <v/>
      </c>
      <c r="D535">
        <f>'CALL SHEET'!$AB$535</f>
        <v/>
      </c>
      <c r="E535">
        <f>'CALL SHEET'!$AF$535</f>
        <v/>
      </c>
      <c r="F535">
        <f>IF('CALL SHEET'!$V$535="","",'CALL SHEET'!$V$535)</f>
        <v/>
      </c>
      <c r="G535">
        <f>IF('CALL SHEET'!$D$535="","",'CALL SHEET'!$D$535)</f>
        <v/>
      </c>
      <c r="H535">
        <f>IF('CALL SHEET'!$G$535="","",'CALL SHEET'!$G$535)</f>
        <v/>
      </c>
      <c r="I535">
        <f>IF('CALL SHEET'!$AY$535="","",'CALL SHEET'!$AY$535)</f>
        <v/>
      </c>
      <c r="J535">
        <f>IF('CALL SHEET'!$BC$535="","",'CALL SHEET'!$BC$535)</f>
        <v/>
      </c>
      <c r="K535">
        <f>IF('CALL SHEET'!$N$535="","",'CALL SHEET'!$N$535)</f>
        <v/>
      </c>
      <c r="L535">
        <f>IF('CALL SHEET'!$AH$535="","",'CALL SHEET'!$AH$535)</f>
        <v/>
      </c>
      <c r="M535">
        <f>IF('CALL SHEET'!$AO$535="","",'CALL SHEET'!$AO$535)</f>
        <v/>
      </c>
      <c r="N535">
        <f>IF('CALL SHEET'!$BF$535="","",'CALL SHEET'!$BF$535)</f>
        <v/>
      </c>
      <c r="O535" t="inlineStr">
        <is>
          <t>TRADE</t>
        </is>
      </c>
      <c r="P535" t="inlineStr">
        <is>
          <t>CALL SHEET · row 535</t>
        </is>
      </c>
      <c r="Q535">
        <f>E535+ROW()*0.000000001</f>
        <v/>
      </c>
    </row>
    <row r="536">
      <c r="A536">
        <f>IF('CALL SHEET'!$A$536="","",'CALL SHEET'!$A$536)</f>
        <v/>
      </c>
      <c r="B536">
        <f>IF('CALL SHEET'!$C$536="","",'CALL SHEET'!$C$536)</f>
        <v/>
      </c>
      <c r="C536">
        <f>'CALL SHEET'!$U$536</f>
        <v/>
      </c>
      <c r="D536">
        <f>'CALL SHEET'!$AB$536</f>
        <v/>
      </c>
      <c r="E536">
        <f>'CALL SHEET'!$AF$536</f>
        <v/>
      </c>
      <c r="F536">
        <f>IF('CALL SHEET'!$V$536="","",'CALL SHEET'!$V$536)</f>
        <v/>
      </c>
      <c r="G536">
        <f>IF('CALL SHEET'!$D$536="","",'CALL SHEET'!$D$536)</f>
        <v/>
      </c>
      <c r="H536">
        <f>IF('CALL SHEET'!$G$536="","",'CALL SHEET'!$G$536)</f>
        <v/>
      </c>
      <c r="I536">
        <f>IF('CALL SHEET'!$AY$536="","",'CALL SHEET'!$AY$536)</f>
        <v/>
      </c>
      <c r="J536">
        <f>IF('CALL SHEET'!$BC$536="","",'CALL SHEET'!$BC$536)</f>
        <v/>
      </c>
      <c r="K536">
        <f>IF('CALL SHEET'!$N$536="","",'CALL SHEET'!$N$536)</f>
        <v/>
      </c>
      <c r="L536">
        <f>IF('CALL SHEET'!$AH$536="","",'CALL SHEET'!$AH$536)</f>
        <v/>
      </c>
      <c r="M536">
        <f>IF('CALL SHEET'!$AO$536="","",'CALL SHEET'!$AO$536)</f>
        <v/>
      </c>
      <c r="N536">
        <f>IF('CALL SHEET'!$BF$536="","",'CALL SHEET'!$BF$536)</f>
        <v/>
      </c>
      <c r="O536" t="inlineStr">
        <is>
          <t>TRADE</t>
        </is>
      </c>
      <c r="P536" t="inlineStr">
        <is>
          <t>CALL SHEET · row 536</t>
        </is>
      </c>
      <c r="Q536">
        <f>E536+ROW()*0.000000001</f>
        <v/>
      </c>
    </row>
    <row r="537">
      <c r="A537">
        <f>IF('CALL SHEET'!$A$537="","",'CALL SHEET'!$A$537)</f>
        <v/>
      </c>
      <c r="B537">
        <f>IF('CALL SHEET'!$C$537="","",'CALL SHEET'!$C$537)</f>
        <v/>
      </c>
      <c r="C537">
        <f>'CALL SHEET'!$U$537</f>
        <v/>
      </c>
      <c r="D537">
        <f>'CALL SHEET'!$AB$537</f>
        <v/>
      </c>
      <c r="E537">
        <f>'CALL SHEET'!$AF$537</f>
        <v/>
      </c>
      <c r="F537">
        <f>IF('CALL SHEET'!$V$537="","",'CALL SHEET'!$V$537)</f>
        <v/>
      </c>
      <c r="G537">
        <f>IF('CALL SHEET'!$D$537="","",'CALL SHEET'!$D$537)</f>
        <v/>
      </c>
      <c r="H537">
        <f>IF('CALL SHEET'!$G$537="","",'CALL SHEET'!$G$537)</f>
        <v/>
      </c>
      <c r="I537">
        <f>IF('CALL SHEET'!$AY$537="","",'CALL SHEET'!$AY$537)</f>
        <v/>
      </c>
      <c r="J537">
        <f>IF('CALL SHEET'!$BC$537="","",'CALL SHEET'!$BC$537)</f>
        <v/>
      </c>
      <c r="K537">
        <f>IF('CALL SHEET'!$N$537="","",'CALL SHEET'!$N$537)</f>
        <v/>
      </c>
      <c r="L537">
        <f>IF('CALL SHEET'!$AH$537="","",'CALL SHEET'!$AH$537)</f>
        <v/>
      </c>
      <c r="M537">
        <f>IF('CALL SHEET'!$AO$537="","",'CALL SHEET'!$AO$537)</f>
        <v/>
      </c>
      <c r="N537">
        <f>IF('CALL SHEET'!$BF$537="","",'CALL SHEET'!$BF$537)</f>
        <v/>
      </c>
      <c r="O537" t="inlineStr">
        <is>
          <t>TRADE</t>
        </is>
      </c>
      <c r="P537" t="inlineStr">
        <is>
          <t>CALL SHEET · row 537</t>
        </is>
      </c>
      <c r="Q537">
        <f>E537+ROW()*0.000000001</f>
        <v/>
      </c>
    </row>
    <row r="538">
      <c r="A538">
        <f>IF('CALL SHEET'!$A$538="","",'CALL SHEET'!$A$538)</f>
        <v/>
      </c>
      <c r="B538">
        <f>IF('CALL SHEET'!$C$538="","",'CALL SHEET'!$C$538)</f>
        <v/>
      </c>
      <c r="C538">
        <f>'CALL SHEET'!$U$538</f>
        <v/>
      </c>
      <c r="D538">
        <f>'CALL SHEET'!$AB$538</f>
        <v/>
      </c>
      <c r="E538">
        <f>'CALL SHEET'!$AF$538</f>
        <v/>
      </c>
      <c r="F538">
        <f>IF('CALL SHEET'!$V$538="","",'CALL SHEET'!$V$538)</f>
        <v/>
      </c>
      <c r="G538">
        <f>IF('CALL SHEET'!$D$538="","",'CALL SHEET'!$D$538)</f>
        <v/>
      </c>
      <c r="H538">
        <f>IF('CALL SHEET'!$G$538="","",'CALL SHEET'!$G$538)</f>
        <v/>
      </c>
      <c r="I538">
        <f>IF('CALL SHEET'!$AY$538="","",'CALL SHEET'!$AY$538)</f>
        <v/>
      </c>
      <c r="J538">
        <f>IF('CALL SHEET'!$BC$538="","",'CALL SHEET'!$BC$538)</f>
        <v/>
      </c>
      <c r="K538">
        <f>IF('CALL SHEET'!$N$538="","",'CALL SHEET'!$N$538)</f>
        <v/>
      </c>
      <c r="L538">
        <f>IF('CALL SHEET'!$AH$538="","",'CALL SHEET'!$AH$538)</f>
        <v/>
      </c>
      <c r="M538">
        <f>IF('CALL SHEET'!$AO$538="","",'CALL SHEET'!$AO$538)</f>
        <v/>
      </c>
      <c r="N538">
        <f>IF('CALL SHEET'!$BF$538="","",'CALL SHEET'!$BF$538)</f>
        <v/>
      </c>
      <c r="O538" t="inlineStr">
        <is>
          <t>TRADE</t>
        </is>
      </c>
      <c r="P538" t="inlineStr">
        <is>
          <t>CALL SHEET · row 538</t>
        </is>
      </c>
      <c r="Q538">
        <f>E538+ROW()*0.000000001</f>
        <v/>
      </c>
    </row>
    <row r="539">
      <c r="A539">
        <f>IF('CALL SHEET'!$A$539="","",'CALL SHEET'!$A$539)</f>
        <v/>
      </c>
      <c r="B539">
        <f>IF('CALL SHEET'!$C$539="","",'CALL SHEET'!$C$539)</f>
        <v/>
      </c>
      <c r="C539">
        <f>'CALL SHEET'!$U$539</f>
        <v/>
      </c>
      <c r="D539">
        <f>'CALL SHEET'!$AB$539</f>
        <v/>
      </c>
      <c r="E539">
        <f>'CALL SHEET'!$AF$539</f>
        <v/>
      </c>
      <c r="F539">
        <f>IF('CALL SHEET'!$V$539="","",'CALL SHEET'!$V$539)</f>
        <v/>
      </c>
      <c r="G539">
        <f>IF('CALL SHEET'!$D$539="","",'CALL SHEET'!$D$539)</f>
        <v/>
      </c>
      <c r="H539">
        <f>IF('CALL SHEET'!$G$539="","",'CALL SHEET'!$G$539)</f>
        <v/>
      </c>
      <c r="I539">
        <f>IF('CALL SHEET'!$AY$539="","",'CALL SHEET'!$AY$539)</f>
        <v/>
      </c>
      <c r="J539">
        <f>IF('CALL SHEET'!$BC$539="","",'CALL SHEET'!$BC$539)</f>
        <v/>
      </c>
      <c r="K539">
        <f>IF('CALL SHEET'!$N$539="","",'CALL SHEET'!$N$539)</f>
        <v/>
      </c>
      <c r="L539">
        <f>IF('CALL SHEET'!$AH$539="","",'CALL SHEET'!$AH$539)</f>
        <v/>
      </c>
      <c r="M539">
        <f>IF('CALL SHEET'!$AO$539="","",'CALL SHEET'!$AO$539)</f>
        <v/>
      </c>
      <c r="N539">
        <f>IF('CALL SHEET'!$BF$539="","",'CALL SHEET'!$BF$539)</f>
        <v/>
      </c>
      <c r="O539" t="inlineStr">
        <is>
          <t>TRADE</t>
        </is>
      </c>
      <c r="P539" t="inlineStr">
        <is>
          <t>CALL SHEET · row 539</t>
        </is>
      </c>
      <c r="Q539">
        <f>E539+ROW()*0.000000001</f>
        <v/>
      </c>
    </row>
    <row r="540">
      <c r="A540">
        <f>IF('CALL SHEET'!$A$540="","",'CALL SHEET'!$A$540)</f>
        <v/>
      </c>
      <c r="B540">
        <f>IF('CALL SHEET'!$C$540="","",'CALL SHEET'!$C$540)</f>
        <v/>
      </c>
      <c r="C540">
        <f>'CALL SHEET'!$U$540</f>
        <v/>
      </c>
      <c r="D540">
        <f>'CALL SHEET'!$AB$540</f>
        <v/>
      </c>
      <c r="E540">
        <f>'CALL SHEET'!$AF$540</f>
        <v/>
      </c>
      <c r="F540">
        <f>IF('CALL SHEET'!$V$540="","",'CALL SHEET'!$V$540)</f>
        <v/>
      </c>
      <c r="G540">
        <f>IF('CALL SHEET'!$D$540="","",'CALL SHEET'!$D$540)</f>
        <v/>
      </c>
      <c r="H540">
        <f>IF('CALL SHEET'!$G$540="","",'CALL SHEET'!$G$540)</f>
        <v/>
      </c>
      <c r="I540">
        <f>IF('CALL SHEET'!$AY$540="","",'CALL SHEET'!$AY$540)</f>
        <v/>
      </c>
      <c r="J540">
        <f>IF('CALL SHEET'!$BC$540="","",'CALL SHEET'!$BC$540)</f>
        <v/>
      </c>
      <c r="K540">
        <f>IF('CALL SHEET'!$N$540="","",'CALL SHEET'!$N$540)</f>
        <v/>
      </c>
      <c r="L540">
        <f>IF('CALL SHEET'!$AH$540="","",'CALL SHEET'!$AH$540)</f>
        <v/>
      </c>
      <c r="M540">
        <f>IF('CALL SHEET'!$AO$540="","",'CALL SHEET'!$AO$540)</f>
        <v/>
      </c>
      <c r="N540">
        <f>IF('CALL SHEET'!$BF$540="","",'CALL SHEET'!$BF$540)</f>
        <v/>
      </c>
      <c r="O540" t="inlineStr">
        <is>
          <t>TRADE</t>
        </is>
      </c>
      <c r="P540" t="inlineStr">
        <is>
          <t>CALL SHEET · row 540</t>
        </is>
      </c>
      <c r="Q540">
        <f>E540+ROW()*0.000000001</f>
        <v/>
      </c>
    </row>
    <row r="541">
      <c r="A541">
        <f>IF('CALL SHEET'!$A$541="","",'CALL SHEET'!$A$541)</f>
        <v/>
      </c>
      <c r="B541">
        <f>IF('CALL SHEET'!$C$541="","",'CALL SHEET'!$C$541)</f>
        <v/>
      </c>
      <c r="C541">
        <f>'CALL SHEET'!$U$541</f>
        <v/>
      </c>
      <c r="D541">
        <f>'CALL SHEET'!$AB$541</f>
        <v/>
      </c>
      <c r="E541">
        <f>'CALL SHEET'!$AF$541</f>
        <v/>
      </c>
      <c r="F541">
        <f>IF('CALL SHEET'!$V$541="","",'CALL SHEET'!$V$541)</f>
        <v/>
      </c>
      <c r="G541">
        <f>IF('CALL SHEET'!$D$541="","",'CALL SHEET'!$D$541)</f>
        <v/>
      </c>
      <c r="H541">
        <f>IF('CALL SHEET'!$G$541="","",'CALL SHEET'!$G$541)</f>
        <v/>
      </c>
      <c r="I541">
        <f>IF('CALL SHEET'!$AY$541="","",'CALL SHEET'!$AY$541)</f>
        <v/>
      </c>
      <c r="J541">
        <f>IF('CALL SHEET'!$BC$541="","",'CALL SHEET'!$BC$541)</f>
        <v/>
      </c>
      <c r="K541">
        <f>IF('CALL SHEET'!$N$541="","",'CALL SHEET'!$N$541)</f>
        <v/>
      </c>
      <c r="L541">
        <f>IF('CALL SHEET'!$AH$541="","",'CALL SHEET'!$AH$541)</f>
        <v/>
      </c>
      <c r="M541">
        <f>IF('CALL SHEET'!$AO$541="","",'CALL SHEET'!$AO$541)</f>
        <v/>
      </c>
      <c r="N541">
        <f>IF('CALL SHEET'!$BF$541="","",'CALL SHEET'!$BF$541)</f>
        <v/>
      </c>
      <c r="O541" t="inlineStr">
        <is>
          <t>TRADE</t>
        </is>
      </c>
      <c r="P541" t="inlineStr">
        <is>
          <t>CALL SHEET · row 541</t>
        </is>
      </c>
      <c r="Q541">
        <f>E541+ROW()*0.000000001</f>
        <v/>
      </c>
    </row>
    <row r="542">
      <c r="A542">
        <f>IF('CALL SHEET'!$A$542="","",'CALL SHEET'!$A$542)</f>
        <v/>
      </c>
      <c r="B542">
        <f>IF('CALL SHEET'!$C$542="","",'CALL SHEET'!$C$542)</f>
        <v/>
      </c>
      <c r="C542">
        <f>'CALL SHEET'!$U$542</f>
        <v/>
      </c>
      <c r="D542">
        <f>'CALL SHEET'!$AB$542</f>
        <v/>
      </c>
      <c r="E542">
        <f>'CALL SHEET'!$AF$542</f>
        <v/>
      </c>
      <c r="F542">
        <f>IF('CALL SHEET'!$V$542="","",'CALL SHEET'!$V$542)</f>
        <v/>
      </c>
      <c r="G542">
        <f>IF('CALL SHEET'!$D$542="","",'CALL SHEET'!$D$542)</f>
        <v/>
      </c>
      <c r="H542">
        <f>IF('CALL SHEET'!$G$542="","",'CALL SHEET'!$G$542)</f>
        <v/>
      </c>
      <c r="I542">
        <f>IF('CALL SHEET'!$AY$542="","",'CALL SHEET'!$AY$542)</f>
        <v/>
      </c>
      <c r="J542">
        <f>IF('CALL SHEET'!$BC$542="","",'CALL SHEET'!$BC$542)</f>
        <v/>
      </c>
      <c r="K542">
        <f>IF('CALL SHEET'!$N$542="","",'CALL SHEET'!$N$542)</f>
        <v/>
      </c>
      <c r="L542">
        <f>IF('CALL SHEET'!$AH$542="","",'CALL SHEET'!$AH$542)</f>
        <v/>
      </c>
      <c r="M542">
        <f>IF('CALL SHEET'!$AO$542="","",'CALL SHEET'!$AO$542)</f>
        <v/>
      </c>
      <c r="N542">
        <f>IF('CALL SHEET'!$BF$542="","",'CALL SHEET'!$BF$542)</f>
        <v/>
      </c>
      <c r="O542" t="inlineStr">
        <is>
          <t>TRADE</t>
        </is>
      </c>
      <c r="P542" t="inlineStr">
        <is>
          <t>CALL SHEET · row 542</t>
        </is>
      </c>
      <c r="Q542">
        <f>E542+ROW()*0.000000001</f>
        <v/>
      </c>
    </row>
    <row r="543">
      <c r="A543">
        <f>IF('CALL SHEET'!$A$543="","",'CALL SHEET'!$A$543)</f>
        <v/>
      </c>
      <c r="B543">
        <f>IF('CALL SHEET'!$C$543="","",'CALL SHEET'!$C$543)</f>
        <v/>
      </c>
      <c r="C543">
        <f>'CALL SHEET'!$U$543</f>
        <v/>
      </c>
      <c r="D543">
        <f>'CALL SHEET'!$AB$543</f>
        <v/>
      </c>
      <c r="E543">
        <f>'CALL SHEET'!$AF$543</f>
        <v/>
      </c>
      <c r="F543">
        <f>IF('CALL SHEET'!$V$543="","",'CALL SHEET'!$V$543)</f>
        <v/>
      </c>
      <c r="G543">
        <f>IF('CALL SHEET'!$D$543="","",'CALL SHEET'!$D$543)</f>
        <v/>
      </c>
      <c r="H543">
        <f>IF('CALL SHEET'!$G$543="","",'CALL SHEET'!$G$543)</f>
        <v/>
      </c>
      <c r="I543">
        <f>IF('CALL SHEET'!$AY$543="","",'CALL SHEET'!$AY$543)</f>
        <v/>
      </c>
      <c r="J543">
        <f>IF('CALL SHEET'!$BC$543="","",'CALL SHEET'!$BC$543)</f>
        <v/>
      </c>
      <c r="K543">
        <f>IF('CALL SHEET'!$N$543="","",'CALL SHEET'!$N$543)</f>
        <v/>
      </c>
      <c r="L543">
        <f>IF('CALL SHEET'!$AH$543="","",'CALL SHEET'!$AH$543)</f>
        <v/>
      </c>
      <c r="M543">
        <f>IF('CALL SHEET'!$AO$543="","",'CALL SHEET'!$AO$543)</f>
        <v/>
      </c>
      <c r="N543">
        <f>IF('CALL SHEET'!$BF$543="","",'CALL SHEET'!$BF$543)</f>
        <v/>
      </c>
      <c r="O543" t="inlineStr">
        <is>
          <t>TRADE</t>
        </is>
      </c>
      <c r="P543" t="inlineStr">
        <is>
          <t>CALL SHEET · row 543</t>
        </is>
      </c>
      <c r="Q543">
        <f>E543+ROW()*0.000000001</f>
        <v/>
      </c>
    </row>
    <row r="544">
      <c r="A544">
        <f>IF('CALL SHEET'!$A$544="","",'CALL SHEET'!$A$544)</f>
        <v/>
      </c>
      <c r="B544">
        <f>IF('CALL SHEET'!$C$544="","",'CALL SHEET'!$C$544)</f>
        <v/>
      </c>
      <c r="C544">
        <f>'CALL SHEET'!$U$544</f>
        <v/>
      </c>
      <c r="D544">
        <f>'CALL SHEET'!$AB$544</f>
        <v/>
      </c>
      <c r="E544">
        <f>'CALL SHEET'!$AF$544</f>
        <v/>
      </c>
      <c r="F544">
        <f>IF('CALL SHEET'!$V$544="","",'CALL SHEET'!$V$544)</f>
        <v/>
      </c>
      <c r="G544">
        <f>IF('CALL SHEET'!$D$544="","",'CALL SHEET'!$D$544)</f>
        <v/>
      </c>
      <c r="H544">
        <f>IF('CALL SHEET'!$G$544="","",'CALL SHEET'!$G$544)</f>
        <v/>
      </c>
      <c r="I544">
        <f>IF('CALL SHEET'!$AY$544="","",'CALL SHEET'!$AY$544)</f>
        <v/>
      </c>
      <c r="J544">
        <f>IF('CALL SHEET'!$BC$544="","",'CALL SHEET'!$BC$544)</f>
        <v/>
      </c>
      <c r="K544">
        <f>IF('CALL SHEET'!$N$544="","",'CALL SHEET'!$N$544)</f>
        <v/>
      </c>
      <c r="L544">
        <f>IF('CALL SHEET'!$AH$544="","",'CALL SHEET'!$AH$544)</f>
        <v/>
      </c>
      <c r="M544">
        <f>IF('CALL SHEET'!$AO$544="","",'CALL SHEET'!$AO$544)</f>
        <v/>
      </c>
      <c r="N544">
        <f>IF('CALL SHEET'!$BF$544="","",'CALL SHEET'!$BF$544)</f>
        <v/>
      </c>
      <c r="O544" t="inlineStr">
        <is>
          <t>TRADE</t>
        </is>
      </c>
      <c r="P544" t="inlineStr">
        <is>
          <t>CALL SHEET · row 544</t>
        </is>
      </c>
      <c r="Q544">
        <f>E544+ROW()*0.000000001</f>
        <v/>
      </c>
    </row>
    <row r="545">
      <c r="A545">
        <f>IF('CALL SHEET'!$A$545="","",'CALL SHEET'!$A$545)</f>
        <v/>
      </c>
      <c r="B545">
        <f>IF('CALL SHEET'!$C$545="","",'CALL SHEET'!$C$545)</f>
        <v/>
      </c>
      <c r="C545">
        <f>'CALL SHEET'!$U$545</f>
        <v/>
      </c>
      <c r="D545">
        <f>'CALL SHEET'!$AB$545</f>
        <v/>
      </c>
      <c r="E545">
        <f>'CALL SHEET'!$AF$545</f>
        <v/>
      </c>
      <c r="F545">
        <f>IF('CALL SHEET'!$V$545="","",'CALL SHEET'!$V$545)</f>
        <v/>
      </c>
      <c r="G545">
        <f>IF('CALL SHEET'!$D$545="","",'CALL SHEET'!$D$545)</f>
        <v/>
      </c>
      <c r="H545">
        <f>IF('CALL SHEET'!$G$545="","",'CALL SHEET'!$G$545)</f>
        <v/>
      </c>
      <c r="I545">
        <f>IF('CALL SHEET'!$AY$545="","",'CALL SHEET'!$AY$545)</f>
        <v/>
      </c>
      <c r="J545">
        <f>IF('CALL SHEET'!$BC$545="","",'CALL SHEET'!$BC$545)</f>
        <v/>
      </c>
      <c r="K545">
        <f>IF('CALL SHEET'!$N$545="","",'CALL SHEET'!$N$545)</f>
        <v/>
      </c>
      <c r="L545">
        <f>IF('CALL SHEET'!$AH$545="","",'CALL SHEET'!$AH$545)</f>
        <v/>
      </c>
      <c r="M545">
        <f>IF('CALL SHEET'!$AO$545="","",'CALL SHEET'!$AO$545)</f>
        <v/>
      </c>
      <c r="N545">
        <f>IF('CALL SHEET'!$BF$545="","",'CALL SHEET'!$BF$545)</f>
        <v/>
      </c>
      <c r="O545" t="inlineStr">
        <is>
          <t>TRADE</t>
        </is>
      </c>
      <c r="P545" t="inlineStr">
        <is>
          <t>CALL SHEET · row 545</t>
        </is>
      </c>
      <c r="Q545">
        <f>E545+ROW()*0.000000001</f>
        <v/>
      </c>
    </row>
    <row r="546">
      <c r="A546">
        <f>IF('CALL SHEET'!$A$546="","",'CALL SHEET'!$A$546)</f>
        <v/>
      </c>
      <c r="B546">
        <f>IF('CALL SHEET'!$C$546="","",'CALL SHEET'!$C$546)</f>
        <v/>
      </c>
      <c r="C546">
        <f>'CALL SHEET'!$U$546</f>
        <v/>
      </c>
      <c r="D546">
        <f>'CALL SHEET'!$AB$546</f>
        <v/>
      </c>
      <c r="E546">
        <f>'CALL SHEET'!$AF$546</f>
        <v/>
      </c>
      <c r="F546">
        <f>IF('CALL SHEET'!$V$546="","",'CALL SHEET'!$V$546)</f>
        <v/>
      </c>
      <c r="G546">
        <f>IF('CALL SHEET'!$D$546="","",'CALL SHEET'!$D$546)</f>
        <v/>
      </c>
      <c r="H546">
        <f>IF('CALL SHEET'!$G$546="","",'CALL SHEET'!$G$546)</f>
        <v/>
      </c>
      <c r="I546">
        <f>IF('CALL SHEET'!$AY$546="","",'CALL SHEET'!$AY$546)</f>
        <v/>
      </c>
      <c r="J546">
        <f>IF('CALL SHEET'!$BC$546="","",'CALL SHEET'!$BC$546)</f>
        <v/>
      </c>
      <c r="K546">
        <f>IF('CALL SHEET'!$N$546="","",'CALL SHEET'!$N$546)</f>
        <v/>
      </c>
      <c r="L546">
        <f>IF('CALL SHEET'!$AH$546="","",'CALL SHEET'!$AH$546)</f>
        <v/>
      </c>
      <c r="M546">
        <f>IF('CALL SHEET'!$AO$546="","",'CALL SHEET'!$AO$546)</f>
        <v/>
      </c>
      <c r="N546">
        <f>IF('CALL SHEET'!$BF$546="","",'CALL SHEET'!$BF$546)</f>
        <v/>
      </c>
      <c r="O546" t="inlineStr">
        <is>
          <t>TRADE</t>
        </is>
      </c>
      <c r="P546" t="inlineStr">
        <is>
          <t>CALL SHEET · row 546</t>
        </is>
      </c>
      <c r="Q546">
        <f>E546+ROW()*0.000000001</f>
        <v/>
      </c>
    </row>
    <row r="547">
      <c r="A547">
        <f>IF('CALL SHEET'!$A$547="","",'CALL SHEET'!$A$547)</f>
        <v/>
      </c>
      <c r="B547">
        <f>IF('CALL SHEET'!$C$547="","",'CALL SHEET'!$C$547)</f>
        <v/>
      </c>
      <c r="C547">
        <f>'CALL SHEET'!$U$547</f>
        <v/>
      </c>
      <c r="D547">
        <f>'CALL SHEET'!$AB$547</f>
        <v/>
      </c>
      <c r="E547">
        <f>'CALL SHEET'!$AF$547</f>
        <v/>
      </c>
      <c r="F547">
        <f>IF('CALL SHEET'!$V$547="","",'CALL SHEET'!$V$547)</f>
        <v/>
      </c>
      <c r="G547">
        <f>IF('CALL SHEET'!$D$547="","",'CALL SHEET'!$D$547)</f>
        <v/>
      </c>
      <c r="H547">
        <f>IF('CALL SHEET'!$G$547="","",'CALL SHEET'!$G$547)</f>
        <v/>
      </c>
      <c r="I547">
        <f>IF('CALL SHEET'!$AY$547="","",'CALL SHEET'!$AY$547)</f>
        <v/>
      </c>
      <c r="J547">
        <f>IF('CALL SHEET'!$BC$547="","",'CALL SHEET'!$BC$547)</f>
        <v/>
      </c>
      <c r="K547">
        <f>IF('CALL SHEET'!$N$547="","",'CALL SHEET'!$N$547)</f>
        <v/>
      </c>
      <c r="L547">
        <f>IF('CALL SHEET'!$AH$547="","",'CALL SHEET'!$AH$547)</f>
        <v/>
      </c>
      <c r="M547">
        <f>IF('CALL SHEET'!$AO$547="","",'CALL SHEET'!$AO$547)</f>
        <v/>
      </c>
      <c r="N547">
        <f>IF('CALL SHEET'!$BF$547="","",'CALL SHEET'!$BF$547)</f>
        <v/>
      </c>
      <c r="O547" t="inlineStr">
        <is>
          <t>TRADE</t>
        </is>
      </c>
      <c r="P547" t="inlineStr">
        <is>
          <t>CALL SHEET · row 547</t>
        </is>
      </c>
      <c r="Q547">
        <f>E547+ROW()*0.000000001</f>
        <v/>
      </c>
    </row>
    <row r="548">
      <c r="A548">
        <f>IF('CALL SHEET'!$A$548="","",'CALL SHEET'!$A$548)</f>
        <v/>
      </c>
      <c r="B548">
        <f>IF('CALL SHEET'!$C$548="","",'CALL SHEET'!$C$548)</f>
        <v/>
      </c>
      <c r="C548">
        <f>'CALL SHEET'!$U$548</f>
        <v/>
      </c>
      <c r="D548">
        <f>'CALL SHEET'!$AB$548</f>
        <v/>
      </c>
      <c r="E548">
        <f>'CALL SHEET'!$AF$548</f>
        <v/>
      </c>
      <c r="F548">
        <f>IF('CALL SHEET'!$V$548="","",'CALL SHEET'!$V$548)</f>
        <v/>
      </c>
      <c r="G548">
        <f>IF('CALL SHEET'!$D$548="","",'CALL SHEET'!$D$548)</f>
        <v/>
      </c>
      <c r="H548">
        <f>IF('CALL SHEET'!$G$548="","",'CALL SHEET'!$G$548)</f>
        <v/>
      </c>
      <c r="I548">
        <f>IF('CALL SHEET'!$AY$548="","",'CALL SHEET'!$AY$548)</f>
        <v/>
      </c>
      <c r="J548">
        <f>IF('CALL SHEET'!$BC$548="","",'CALL SHEET'!$BC$548)</f>
        <v/>
      </c>
      <c r="K548">
        <f>IF('CALL SHEET'!$N$548="","",'CALL SHEET'!$N$548)</f>
        <v/>
      </c>
      <c r="L548">
        <f>IF('CALL SHEET'!$AH$548="","",'CALL SHEET'!$AH$548)</f>
        <v/>
      </c>
      <c r="M548">
        <f>IF('CALL SHEET'!$AO$548="","",'CALL SHEET'!$AO$548)</f>
        <v/>
      </c>
      <c r="N548">
        <f>IF('CALL SHEET'!$BF$548="","",'CALL SHEET'!$BF$548)</f>
        <v/>
      </c>
      <c r="O548" t="inlineStr">
        <is>
          <t>TRADE</t>
        </is>
      </c>
      <c r="P548" t="inlineStr">
        <is>
          <t>CALL SHEET · row 548</t>
        </is>
      </c>
      <c r="Q548">
        <f>E548+ROW()*0.000000001</f>
        <v/>
      </c>
    </row>
    <row r="549">
      <c r="A549">
        <f>IF('CALL SHEET'!$A$549="","",'CALL SHEET'!$A$549)</f>
        <v/>
      </c>
      <c r="B549">
        <f>IF('CALL SHEET'!$C$549="","",'CALL SHEET'!$C$549)</f>
        <v/>
      </c>
      <c r="C549">
        <f>'CALL SHEET'!$U$549</f>
        <v/>
      </c>
      <c r="D549">
        <f>'CALL SHEET'!$AB$549</f>
        <v/>
      </c>
      <c r="E549">
        <f>'CALL SHEET'!$AF$549</f>
        <v/>
      </c>
      <c r="F549">
        <f>IF('CALL SHEET'!$V$549="","",'CALL SHEET'!$V$549)</f>
        <v/>
      </c>
      <c r="G549">
        <f>IF('CALL SHEET'!$D$549="","",'CALL SHEET'!$D$549)</f>
        <v/>
      </c>
      <c r="H549">
        <f>IF('CALL SHEET'!$G$549="","",'CALL SHEET'!$G$549)</f>
        <v/>
      </c>
      <c r="I549">
        <f>IF('CALL SHEET'!$AY$549="","",'CALL SHEET'!$AY$549)</f>
        <v/>
      </c>
      <c r="J549">
        <f>IF('CALL SHEET'!$BC$549="","",'CALL SHEET'!$BC$549)</f>
        <v/>
      </c>
      <c r="K549">
        <f>IF('CALL SHEET'!$N$549="","",'CALL SHEET'!$N$549)</f>
        <v/>
      </c>
      <c r="L549">
        <f>IF('CALL SHEET'!$AH$549="","",'CALL SHEET'!$AH$549)</f>
        <v/>
      </c>
      <c r="M549">
        <f>IF('CALL SHEET'!$AO$549="","",'CALL SHEET'!$AO$549)</f>
        <v/>
      </c>
      <c r="N549">
        <f>IF('CALL SHEET'!$BF$549="","",'CALL SHEET'!$BF$549)</f>
        <v/>
      </c>
      <c r="O549" t="inlineStr">
        <is>
          <t>TRADE</t>
        </is>
      </c>
      <c r="P549" t="inlineStr">
        <is>
          <t>CALL SHEET · row 549</t>
        </is>
      </c>
      <c r="Q549">
        <f>E549+ROW()*0.000000001</f>
        <v/>
      </c>
    </row>
    <row r="550">
      <c r="A550">
        <f>IF('CALL SHEET'!$A$550="","",'CALL SHEET'!$A$550)</f>
        <v/>
      </c>
      <c r="B550">
        <f>IF('CALL SHEET'!$C$550="","",'CALL SHEET'!$C$550)</f>
        <v/>
      </c>
      <c r="C550">
        <f>'CALL SHEET'!$U$550</f>
        <v/>
      </c>
      <c r="D550">
        <f>'CALL SHEET'!$AB$550</f>
        <v/>
      </c>
      <c r="E550">
        <f>'CALL SHEET'!$AF$550</f>
        <v/>
      </c>
      <c r="F550">
        <f>IF('CALL SHEET'!$V$550="","",'CALL SHEET'!$V$550)</f>
        <v/>
      </c>
      <c r="G550">
        <f>IF('CALL SHEET'!$D$550="","",'CALL SHEET'!$D$550)</f>
        <v/>
      </c>
      <c r="H550">
        <f>IF('CALL SHEET'!$G$550="","",'CALL SHEET'!$G$550)</f>
        <v/>
      </c>
      <c r="I550">
        <f>IF('CALL SHEET'!$AY$550="","",'CALL SHEET'!$AY$550)</f>
        <v/>
      </c>
      <c r="J550">
        <f>IF('CALL SHEET'!$BC$550="","",'CALL SHEET'!$BC$550)</f>
        <v/>
      </c>
      <c r="K550">
        <f>IF('CALL SHEET'!$N$550="","",'CALL SHEET'!$N$550)</f>
        <v/>
      </c>
      <c r="L550">
        <f>IF('CALL SHEET'!$AH$550="","",'CALL SHEET'!$AH$550)</f>
        <v/>
      </c>
      <c r="M550">
        <f>IF('CALL SHEET'!$AO$550="","",'CALL SHEET'!$AO$550)</f>
        <v/>
      </c>
      <c r="N550">
        <f>IF('CALL SHEET'!$BF$550="","",'CALL SHEET'!$BF$550)</f>
        <v/>
      </c>
      <c r="O550" t="inlineStr">
        <is>
          <t>TRADE</t>
        </is>
      </c>
      <c r="P550" t="inlineStr">
        <is>
          <t>CALL SHEET · row 550</t>
        </is>
      </c>
      <c r="Q550">
        <f>E550+ROW()*0.000000001</f>
        <v/>
      </c>
    </row>
    <row r="551">
      <c r="A551">
        <f>IF('CALL SHEET'!$A$551="","",'CALL SHEET'!$A$551)</f>
        <v/>
      </c>
      <c r="B551">
        <f>IF('CALL SHEET'!$C$551="","",'CALL SHEET'!$C$551)</f>
        <v/>
      </c>
      <c r="C551">
        <f>'CALL SHEET'!$U$551</f>
        <v/>
      </c>
      <c r="D551">
        <f>'CALL SHEET'!$AB$551</f>
        <v/>
      </c>
      <c r="E551">
        <f>'CALL SHEET'!$AF$551</f>
        <v/>
      </c>
      <c r="F551">
        <f>IF('CALL SHEET'!$V$551="","",'CALL SHEET'!$V$551)</f>
        <v/>
      </c>
      <c r="G551">
        <f>IF('CALL SHEET'!$D$551="","",'CALL SHEET'!$D$551)</f>
        <v/>
      </c>
      <c r="H551">
        <f>IF('CALL SHEET'!$G$551="","",'CALL SHEET'!$G$551)</f>
        <v/>
      </c>
      <c r="I551">
        <f>IF('CALL SHEET'!$AY$551="","",'CALL SHEET'!$AY$551)</f>
        <v/>
      </c>
      <c r="J551">
        <f>IF('CALL SHEET'!$BC$551="","",'CALL SHEET'!$BC$551)</f>
        <v/>
      </c>
      <c r="K551">
        <f>IF('CALL SHEET'!$N$551="","",'CALL SHEET'!$N$551)</f>
        <v/>
      </c>
      <c r="L551">
        <f>IF('CALL SHEET'!$AH$551="","",'CALL SHEET'!$AH$551)</f>
        <v/>
      </c>
      <c r="M551">
        <f>IF('CALL SHEET'!$AO$551="","",'CALL SHEET'!$AO$551)</f>
        <v/>
      </c>
      <c r="N551">
        <f>IF('CALL SHEET'!$BF$551="","",'CALL SHEET'!$BF$551)</f>
        <v/>
      </c>
      <c r="O551" t="inlineStr">
        <is>
          <t>TRADE</t>
        </is>
      </c>
      <c r="P551" t="inlineStr">
        <is>
          <t>CALL SHEET · row 551</t>
        </is>
      </c>
      <c r="Q551">
        <f>E551+ROW()*0.000000001</f>
        <v/>
      </c>
    </row>
    <row r="552">
      <c r="A552">
        <f>IF('CALL SHEET'!$A$552="","",'CALL SHEET'!$A$552)</f>
        <v/>
      </c>
      <c r="B552">
        <f>IF('CALL SHEET'!$C$552="","",'CALL SHEET'!$C$552)</f>
        <v/>
      </c>
      <c r="C552">
        <f>'CALL SHEET'!$U$552</f>
        <v/>
      </c>
      <c r="D552">
        <f>'CALL SHEET'!$AB$552</f>
        <v/>
      </c>
      <c r="E552">
        <f>'CALL SHEET'!$AF$552</f>
        <v/>
      </c>
      <c r="F552">
        <f>IF('CALL SHEET'!$V$552="","",'CALL SHEET'!$V$552)</f>
        <v/>
      </c>
      <c r="G552">
        <f>IF('CALL SHEET'!$D$552="","",'CALL SHEET'!$D$552)</f>
        <v/>
      </c>
      <c r="H552">
        <f>IF('CALL SHEET'!$G$552="","",'CALL SHEET'!$G$552)</f>
        <v/>
      </c>
      <c r="I552">
        <f>IF('CALL SHEET'!$AY$552="","",'CALL SHEET'!$AY$552)</f>
        <v/>
      </c>
      <c r="J552">
        <f>IF('CALL SHEET'!$BC$552="","",'CALL SHEET'!$BC$552)</f>
        <v/>
      </c>
      <c r="K552">
        <f>IF('CALL SHEET'!$N$552="","",'CALL SHEET'!$N$552)</f>
        <v/>
      </c>
      <c r="L552">
        <f>IF('CALL SHEET'!$AH$552="","",'CALL SHEET'!$AH$552)</f>
        <v/>
      </c>
      <c r="M552">
        <f>IF('CALL SHEET'!$AO$552="","",'CALL SHEET'!$AO$552)</f>
        <v/>
      </c>
      <c r="N552">
        <f>IF('CALL SHEET'!$BF$552="","",'CALL SHEET'!$BF$552)</f>
        <v/>
      </c>
      <c r="O552" t="inlineStr">
        <is>
          <t>TRADE</t>
        </is>
      </c>
      <c r="P552" t="inlineStr">
        <is>
          <t>CALL SHEET · row 552</t>
        </is>
      </c>
      <c r="Q552">
        <f>E552+ROW()*0.000000001</f>
        <v/>
      </c>
    </row>
    <row r="553">
      <c r="A553">
        <f>IF('CALL SHEET'!$A$553="","",'CALL SHEET'!$A$553)</f>
        <v/>
      </c>
      <c r="B553">
        <f>IF('CALL SHEET'!$C$553="","",'CALL SHEET'!$C$553)</f>
        <v/>
      </c>
      <c r="C553">
        <f>'CALL SHEET'!$U$553</f>
        <v/>
      </c>
      <c r="D553">
        <f>'CALL SHEET'!$AB$553</f>
        <v/>
      </c>
      <c r="E553">
        <f>'CALL SHEET'!$AF$553</f>
        <v/>
      </c>
      <c r="F553">
        <f>IF('CALL SHEET'!$V$553="","",'CALL SHEET'!$V$553)</f>
        <v/>
      </c>
      <c r="G553">
        <f>IF('CALL SHEET'!$D$553="","",'CALL SHEET'!$D$553)</f>
        <v/>
      </c>
      <c r="H553">
        <f>IF('CALL SHEET'!$G$553="","",'CALL SHEET'!$G$553)</f>
        <v/>
      </c>
      <c r="I553">
        <f>IF('CALL SHEET'!$AY$553="","",'CALL SHEET'!$AY$553)</f>
        <v/>
      </c>
      <c r="J553">
        <f>IF('CALL SHEET'!$BC$553="","",'CALL SHEET'!$BC$553)</f>
        <v/>
      </c>
      <c r="K553">
        <f>IF('CALL SHEET'!$N$553="","",'CALL SHEET'!$N$553)</f>
        <v/>
      </c>
      <c r="L553">
        <f>IF('CALL SHEET'!$AH$553="","",'CALL SHEET'!$AH$553)</f>
        <v/>
      </c>
      <c r="M553">
        <f>IF('CALL SHEET'!$AO$553="","",'CALL SHEET'!$AO$553)</f>
        <v/>
      </c>
      <c r="N553">
        <f>IF('CALL SHEET'!$BF$553="","",'CALL SHEET'!$BF$553)</f>
        <v/>
      </c>
      <c r="O553" t="inlineStr">
        <is>
          <t>TRADE</t>
        </is>
      </c>
      <c r="P553" t="inlineStr">
        <is>
          <t>CALL SHEET · row 553</t>
        </is>
      </c>
      <c r="Q553">
        <f>E553+ROW()*0.000000001</f>
        <v/>
      </c>
    </row>
    <row r="554">
      <c r="A554">
        <f>IF('CALL SHEET'!$A$554="","",'CALL SHEET'!$A$554)</f>
        <v/>
      </c>
      <c r="B554">
        <f>IF('CALL SHEET'!$C$554="","",'CALL SHEET'!$C$554)</f>
        <v/>
      </c>
      <c r="C554">
        <f>'CALL SHEET'!$U$554</f>
        <v/>
      </c>
      <c r="D554">
        <f>'CALL SHEET'!$AB$554</f>
        <v/>
      </c>
      <c r="E554">
        <f>'CALL SHEET'!$AF$554</f>
        <v/>
      </c>
      <c r="F554">
        <f>IF('CALL SHEET'!$V$554="","",'CALL SHEET'!$V$554)</f>
        <v/>
      </c>
      <c r="G554">
        <f>IF('CALL SHEET'!$D$554="","",'CALL SHEET'!$D$554)</f>
        <v/>
      </c>
      <c r="H554">
        <f>IF('CALL SHEET'!$G$554="","",'CALL SHEET'!$G$554)</f>
        <v/>
      </c>
      <c r="I554">
        <f>IF('CALL SHEET'!$AY$554="","",'CALL SHEET'!$AY$554)</f>
        <v/>
      </c>
      <c r="J554">
        <f>IF('CALL SHEET'!$BC$554="","",'CALL SHEET'!$BC$554)</f>
        <v/>
      </c>
      <c r="K554">
        <f>IF('CALL SHEET'!$N$554="","",'CALL SHEET'!$N$554)</f>
        <v/>
      </c>
      <c r="L554">
        <f>IF('CALL SHEET'!$AH$554="","",'CALL SHEET'!$AH$554)</f>
        <v/>
      </c>
      <c r="M554">
        <f>IF('CALL SHEET'!$AO$554="","",'CALL SHEET'!$AO$554)</f>
        <v/>
      </c>
      <c r="N554">
        <f>IF('CALL SHEET'!$BF$554="","",'CALL SHEET'!$BF$554)</f>
        <v/>
      </c>
      <c r="O554" t="inlineStr">
        <is>
          <t>TRADE</t>
        </is>
      </c>
      <c r="P554" t="inlineStr">
        <is>
          <t>CALL SHEET · row 554</t>
        </is>
      </c>
      <c r="Q554">
        <f>E554+ROW()*0.000000001</f>
        <v/>
      </c>
    </row>
    <row r="555">
      <c r="A555">
        <f>IF('CALL SHEET'!$A$555="","",'CALL SHEET'!$A$555)</f>
        <v/>
      </c>
      <c r="B555">
        <f>IF('CALL SHEET'!$C$555="","",'CALL SHEET'!$C$555)</f>
        <v/>
      </c>
      <c r="C555">
        <f>'CALL SHEET'!$U$555</f>
        <v/>
      </c>
      <c r="D555">
        <f>'CALL SHEET'!$AB$555</f>
        <v/>
      </c>
      <c r="E555">
        <f>'CALL SHEET'!$AF$555</f>
        <v/>
      </c>
      <c r="F555">
        <f>IF('CALL SHEET'!$V$555="","",'CALL SHEET'!$V$555)</f>
        <v/>
      </c>
      <c r="G555">
        <f>IF('CALL SHEET'!$D$555="","",'CALL SHEET'!$D$555)</f>
        <v/>
      </c>
      <c r="H555">
        <f>IF('CALL SHEET'!$G$555="","",'CALL SHEET'!$G$555)</f>
        <v/>
      </c>
      <c r="I555">
        <f>IF('CALL SHEET'!$AY$555="","",'CALL SHEET'!$AY$555)</f>
        <v/>
      </c>
      <c r="J555">
        <f>IF('CALL SHEET'!$BC$555="","",'CALL SHEET'!$BC$555)</f>
        <v/>
      </c>
      <c r="K555">
        <f>IF('CALL SHEET'!$N$555="","",'CALL SHEET'!$N$555)</f>
        <v/>
      </c>
      <c r="L555">
        <f>IF('CALL SHEET'!$AH$555="","",'CALL SHEET'!$AH$555)</f>
        <v/>
      </c>
      <c r="M555">
        <f>IF('CALL SHEET'!$AO$555="","",'CALL SHEET'!$AO$555)</f>
        <v/>
      </c>
      <c r="N555">
        <f>IF('CALL SHEET'!$BF$555="","",'CALL SHEET'!$BF$555)</f>
        <v/>
      </c>
      <c r="O555" t="inlineStr">
        <is>
          <t>TRADE</t>
        </is>
      </c>
      <c r="P555" t="inlineStr">
        <is>
          <t>CALL SHEET · row 555</t>
        </is>
      </c>
      <c r="Q555">
        <f>E555+ROW()*0.000000001</f>
        <v/>
      </c>
    </row>
    <row r="556">
      <c r="A556">
        <f>IF('CALL SHEET'!$A$556="","",'CALL SHEET'!$A$556)</f>
        <v/>
      </c>
      <c r="B556">
        <f>IF('CALL SHEET'!$C$556="","",'CALL SHEET'!$C$556)</f>
        <v/>
      </c>
      <c r="C556">
        <f>'CALL SHEET'!$U$556</f>
        <v/>
      </c>
      <c r="D556">
        <f>'CALL SHEET'!$AB$556</f>
        <v/>
      </c>
      <c r="E556">
        <f>'CALL SHEET'!$AF$556</f>
        <v/>
      </c>
      <c r="F556">
        <f>IF('CALL SHEET'!$V$556="","",'CALL SHEET'!$V$556)</f>
        <v/>
      </c>
      <c r="G556">
        <f>IF('CALL SHEET'!$D$556="","",'CALL SHEET'!$D$556)</f>
        <v/>
      </c>
      <c r="H556">
        <f>IF('CALL SHEET'!$G$556="","",'CALL SHEET'!$G$556)</f>
        <v/>
      </c>
      <c r="I556">
        <f>IF('CALL SHEET'!$AY$556="","",'CALL SHEET'!$AY$556)</f>
        <v/>
      </c>
      <c r="J556">
        <f>IF('CALL SHEET'!$BC$556="","",'CALL SHEET'!$BC$556)</f>
        <v/>
      </c>
      <c r="K556">
        <f>IF('CALL SHEET'!$N$556="","",'CALL SHEET'!$N$556)</f>
        <v/>
      </c>
      <c r="L556">
        <f>IF('CALL SHEET'!$AH$556="","",'CALL SHEET'!$AH$556)</f>
        <v/>
      </c>
      <c r="M556">
        <f>IF('CALL SHEET'!$AO$556="","",'CALL SHEET'!$AO$556)</f>
        <v/>
      </c>
      <c r="N556">
        <f>IF('CALL SHEET'!$BF$556="","",'CALL SHEET'!$BF$556)</f>
        <v/>
      </c>
      <c r="O556" t="inlineStr">
        <is>
          <t>TRADE</t>
        </is>
      </c>
      <c r="P556" t="inlineStr">
        <is>
          <t>CALL SHEET · row 556</t>
        </is>
      </c>
      <c r="Q556">
        <f>E556+ROW()*0.000000001</f>
        <v/>
      </c>
    </row>
    <row r="557">
      <c r="A557">
        <f>IF('CALL SHEET'!$A$557="","",'CALL SHEET'!$A$557)</f>
        <v/>
      </c>
      <c r="B557">
        <f>IF('CALL SHEET'!$C$557="","",'CALL SHEET'!$C$557)</f>
        <v/>
      </c>
      <c r="C557">
        <f>'CALL SHEET'!$U$557</f>
        <v/>
      </c>
      <c r="D557">
        <f>'CALL SHEET'!$AB$557</f>
        <v/>
      </c>
      <c r="E557">
        <f>'CALL SHEET'!$AF$557</f>
        <v/>
      </c>
      <c r="F557">
        <f>IF('CALL SHEET'!$V$557="","",'CALL SHEET'!$V$557)</f>
        <v/>
      </c>
      <c r="G557">
        <f>IF('CALL SHEET'!$D$557="","",'CALL SHEET'!$D$557)</f>
        <v/>
      </c>
      <c r="H557">
        <f>IF('CALL SHEET'!$G$557="","",'CALL SHEET'!$G$557)</f>
        <v/>
      </c>
      <c r="I557">
        <f>IF('CALL SHEET'!$AY$557="","",'CALL SHEET'!$AY$557)</f>
        <v/>
      </c>
      <c r="J557">
        <f>IF('CALL SHEET'!$BC$557="","",'CALL SHEET'!$BC$557)</f>
        <v/>
      </c>
      <c r="K557">
        <f>IF('CALL SHEET'!$N$557="","",'CALL SHEET'!$N$557)</f>
        <v/>
      </c>
      <c r="L557">
        <f>IF('CALL SHEET'!$AH$557="","",'CALL SHEET'!$AH$557)</f>
        <v/>
      </c>
      <c r="M557">
        <f>IF('CALL SHEET'!$AO$557="","",'CALL SHEET'!$AO$557)</f>
        <v/>
      </c>
      <c r="N557">
        <f>IF('CALL SHEET'!$BF$557="","",'CALL SHEET'!$BF$557)</f>
        <v/>
      </c>
      <c r="O557" t="inlineStr">
        <is>
          <t>TRADE</t>
        </is>
      </c>
      <c r="P557" t="inlineStr">
        <is>
          <t>CALL SHEET · row 557</t>
        </is>
      </c>
      <c r="Q557">
        <f>E557+ROW()*0.000000001</f>
        <v/>
      </c>
    </row>
    <row r="558">
      <c r="A558">
        <f>IF('CALL SHEET'!$A$558="","",'CALL SHEET'!$A$558)</f>
        <v/>
      </c>
      <c r="B558">
        <f>IF('CALL SHEET'!$C$558="","",'CALL SHEET'!$C$558)</f>
        <v/>
      </c>
      <c r="C558">
        <f>'CALL SHEET'!$U$558</f>
        <v/>
      </c>
      <c r="D558">
        <f>'CALL SHEET'!$AB$558</f>
        <v/>
      </c>
      <c r="E558">
        <f>'CALL SHEET'!$AF$558</f>
        <v/>
      </c>
      <c r="F558">
        <f>IF('CALL SHEET'!$V$558="","",'CALL SHEET'!$V$558)</f>
        <v/>
      </c>
      <c r="G558">
        <f>IF('CALL SHEET'!$D$558="","",'CALL SHEET'!$D$558)</f>
        <v/>
      </c>
      <c r="H558">
        <f>IF('CALL SHEET'!$G$558="","",'CALL SHEET'!$G$558)</f>
        <v/>
      </c>
      <c r="I558">
        <f>IF('CALL SHEET'!$AY$558="","",'CALL SHEET'!$AY$558)</f>
        <v/>
      </c>
      <c r="J558">
        <f>IF('CALL SHEET'!$BC$558="","",'CALL SHEET'!$BC$558)</f>
        <v/>
      </c>
      <c r="K558">
        <f>IF('CALL SHEET'!$N$558="","",'CALL SHEET'!$N$558)</f>
        <v/>
      </c>
      <c r="L558">
        <f>IF('CALL SHEET'!$AH$558="","",'CALL SHEET'!$AH$558)</f>
        <v/>
      </c>
      <c r="M558">
        <f>IF('CALL SHEET'!$AO$558="","",'CALL SHEET'!$AO$558)</f>
        <v/>
      </c>
      <c r="N558">
        <f>IF('CALL SHEET'!$BF$558="","",'CALL SHEET'!$BF$558)</f>
        <v/>
      </c>
      <c r="O558" t="inlineStr">
        <is>
          <t>TRADE</t>
        </is>
      </c>
      <c r="P558" t="inlineStr">
        <is>
          <t>CALL SHEET · row 558</t>
        </is>
      </c>
      <c r="Q558">
        <f>E558+ROW()*0.000000001</f>
        <v/>
      </c>
    </row>
    <row r="559">
      <c r="A559">
        <f>IF('CALL SHEET'!$A$559="","",'CALL SHEET'!$A$559)</f>
        <v/>
      </c>
      <c r="B559">
        <f>IF('CALL SHEET'!$C$559="","",'CALL SHEET'!$C$559)</f>
        <v/>
      </c>
      <c r="C559">
        <f>'CALL SHEET'!$U$559</f>
        <v/>
      </c>
      <c r="D559">
        <f>'CALL SHEET'!$AB$559</f>
        <v/>
      </c>
      <c r="E559">
        <f>'CALL SHEET'!$AF$559</f>
        <v/>
      </c>
      <c r="F559">
        <f>IF('CALL SHEET'!$V$559="","",'CALL SHEET'!$V$559)</f>
        <v/>
      </c>
      <c r="G559">
        <f>IF('CALL SHEET'!$D$559="","",'CALL SHEET'!$D$559)</f>
        <v/>
      </c>
      <c r="H559">
        <f>IF('CALL SHEET'!$G$559="","",'CALL SHEET'!$G$559)</f>
        <v/>
      </c>
      <c r="I559">
        <f>IF('CALL SHEET'!$AY$559="","",'CALL SHEET'!$AY$559)</f>
        <v/>
      </c>
      <c r="J559">
        <f>IF('CALL SHEET'!$BC$559="","",'CALL SHEET'!$BC$559)</f>
        <v/>
      </c>
      <c r="K559">
        <f>IF('CALL SHEET'!$N$559="","",'CALL SHEET'!$N$559)</f>
        <v/>
      </c>
      <c r="L559">
        <f>IF('CALL SHEET'!$AH$559="","",'CALL SHEET'!$AH$559)</f>
        <v/>
      </c>
      <c r="M559">
        <f>IF('CALL SHEET'!$AO$559="","",'CALL SHEET'!$AO$559)</f>
        <v/>
      </c>
      <c r="N559">
        <f>IF('CALL SHEET'!$BF$559="","",'CALL SHEET'!$BF$559)</f>
        <v/>
      </c>
      <c r="O559" t="inlineStr">
        <is>
          <t>TRADE</t>
        </is>
      </c>
      <c r="P559" t="inlineStr">
        <is>
          <t>CALL SHEET · row 559</t>
        </is>
      </c>
      <c r="Q559">
        <f>E559+ROW()*0.000000001</f>
        <v/>
      </c>
    </row>
    <row r="560">
      <c r="A560">
        <f>IF('CALL SHEET'!$A$560="","",'CALL SHEET'!$A$560)</f>
        <v/>
      </c>
      <c r="B560">
        <f>IF('CALL SHEET'!$C$560="","",'CALL SHEET'!$C$560)</f>
        <v/>
      </c>
      <c r="C560">
        <f>'CALL SHEET'!$U$560</f>
        <v/>
      </c>
      <c r="D560">
        <f>'CALL SHEET'!$AB$560</f>
        <v/>
      </c>
      <c r="E560">
        <f>'CALL SHEET'!$AF$560</f>
        <v/>
      </c>
      <c r="F560">
        <f>IF('CALL SHEET'!$V$560="","",'CALL SHEET'!$V$560)</f>
        <v/>
      </c>
      <c r="G560">
        <f>IF('CALL SHEET'!$D$560="","",'CALL SHEET'!$D$560)</f>
        <v/>
      </c>
      <c r="H560">
        <f>IF('CALL SHEET'!$G$560="","",'CALL SHEET'!$G$560)</f>
        <v/>
      </c>
      <c r="I560">
        <f>IF('CALL SHEET'!$AY$560="","",'CALL SHEET'!$AY$560)</f>
        <v/>
      </c>
      <c r="J560">
        <f>IF('CALL SHEET'!$BC$560="","",'CALL SHEET'!$BC$560)</f>
        <v/>
      </c>
      <c r="K560">
        <f>IF('CALL SHEET'!$N$560="","",'CALL SHEET'!$N$560)</f>
        <v/>
      </c>
      <c r="L560">
        <f>IF('CALL SHEET'!$AH$560="","",'CALL SHEET'!$AH$560)</f>
        <v/>
      </c>
      <c r="M560">
        <f>IF('CALL SHEET'!$AO$560="","",'CALL SHEET'!$AO$560)</f>
        <v/>
      </c>
      <c r="N560">
        <f>IF('CALL SHEET'!$BF$560="","",'CALL SHEET'!$BF$560)</f>
        <v/>
      </c>
      <c r="O560" t="inlineStr">
        <is>
          <t>TRADE</t>
        </is>
      </c>
      <c r="P560" t="inlineStr">
        <is>
          <t>CALL SHEET · row 560</t>
        </is>
      </c>
      <c r="Q560">
        <f>E560+ROW()*0.000000001</f>
        <v/>
      </c>
    </row>
    <row r="561">
      <c r="A561">
        <f>IF('CALL SHEET'!$A$561="","",'CALL SHEET'!$A$561)</f>
        <v/>
      </c>
      <c r="B561">
        <f>IF('CALL SHEET'!$C$561="","",'CALL SHEET'!$C$561)</f>
        <v/>
      </c>
      <c r="C561">
        <f>'CALL SHEET'!$U$561</f>
        <v/>
      </c>
      <c r="D561">
        <f>'CALL SHEET'!$AB$561</f>
        <v/>
      </c>
      <c r="E561">
        <f>'CALL SHEET'!$AF$561</f>
        <v/>
      </c>
      <c r="F561">
        <f>IF('CALL SHEET'!$V$561="","",'CALL SHEET'!$V$561)</f>
        <v/>
      </c>
      <c r="G561">
        <f>IF('CALL SHEET'!$D$561="","",'CALL SHEET'!$D$561)</f>
        <v/>
      </c>
      <c r="H561">
        <f>IF('CALL SHEET'!$G$561="","",'CALL SHEET'!$G$561)</f>
        <v/>
      </c>
      <c r="I561">
        <f>IF('CALL SHEET'!$AY$561="","",'CALL SHEET'!$AY$561)</f>
        <v/>
      </c>
      <c r="J561">
        <f>IF('CALL SHEET'!$BC$561="","",'CALL SHEET'!$BC$561)</f>
        <v/>
      </c>
      <c r="K561">
        <f>IF('CALL SHEET'!$N$561="","",'CALL SHEET'!$N$561)</f>
        <v/>
      </c>
      <c r="L561">
        <f>IF('CALL SHEET'!$AH$561="","",'CALL SHEET'!$AH$561)</f>
        <v/>
      </c>
      <c r="M561">
        <f>IF('CALL SHEET'!$AO$561="","",'CALL SHEET'!$AO$561)</f>
        <v/>
      </c>
      <c r="N561">
        <f>IF('CALL SHEET'!$BF$561="","",'CALL SHEET'!$BF$561)</f>
        <v/>
      </c>
      <c r="O561" t="inlineStr">
        <is>
          <t>TRADE</t>
        </is>
      </c>
      <c r="P561" t="inlineStr">
        <is>
          <t>CALL SHEET · row 561</t>
        </is>
      </c>
      <c r="Q561">
        <f>E561+ROW()*0.000000001</f>
        <v/>
      </c>
    </row>
    <row r="562">
      <c r="A562">
        <f>IF('CALL SHEET'!$A$562="","",'CALL SHEET'!$A$562)</f>
        <v/>
      </c>
      <c r="B562">
        <f>IF('CALL SHEET'!$C$562="","",'CALL SHEET'!$C$562)</f>
        <v/>
      </c>
      <c r="C562">
        <f>'CALL SHEET'!$U$562</f>
        <v/>
      </c>
      <c r="D562">
        <f>'CALL SHEET'!$AB$562</f>
        <v/>
      </c>
      <c r="E562">
        <f>'CALL SHEET'!$AF$562</f>
        <v/>
      </c>
      <c r="F562">
        <f>IF('CALL SHEET'!$V$562="","",'CALL SHEET'!$V$562)</f>
        <v/>
      </c>
      <c r="G562">
        <f>IF('CALL SHEET'!$D$562="","",'CALL SHEET'!$D$562)</f>
        <v/>
      </c>
      <c r="H562">
        <f>IF('CALL SHEET'!$G$562="","",'CALL SHEET'!$G$562)</f>
        <v/>
      </c>
      <c r="I562">
        <f>IF('CALL SHEET'!$AY$562="","",'CALL SHEET'!$AY$562)</f>
        <v/>
      </c>
      <c r="J562">
        <f>IF('CALL SHEET'!$BC$562="","",'CALL SHEET'!$BC$562)</f>
        <v/>
      </c>
      <c r="K562">
        <f>IF('CALL SHEET'!$N$562="","",'CALL SHEET'!$N$562)</f>
        <v/>
      </c>
      <c r="L562">
        <f>IF('CALL SHEET'!$AH$562="","",'CALL SHEET'!$AH$562)</f>
        <v/>
      </c>
      <c r="M562">
        <f>IF('CALL SHEET'!$AO$562="","",'CALL SHEET'!$AO$562)</f>
        <v/>
      </c>
      <c r="N562">
        <f>IF('CALL SHEET'!$BF$562="","",'CALL SHEET'!$BF$562)</f>
        <v/>
      </c>
      <c r="O562" t="inlineStr">
        <is>
          <t>TRADE</t>
        </is>
      </c>
      <c r="P562" t="inlineStr">
        <is>
          <t>CALL SHEET · row 562</t>
        </is>
      </c>
      <c r="Q562">
        <f>E562+ROW()*0.000000001</f>
        <v/>
      </c>
    </row>
    <row r="563">
      <c r="A563">
        <f>IF('CALL SHEET'!$A$563="","",'CALL SHEET'!$A$563)</f>
        <v/>
      </c>
      <c r="B563">
        <f>IF('CALL SHEET'!$C$563="","",'CALL SHEET'!$C$563)</f>
        <v/>
      </c>
      <c r="C563">
        <f>'CALL SHEET'!$U$563</f>
        <v/>
      </c>
      <c r="D563">
        <f>'CALL SHEET'!$AB$563</f>
        <v/>
      </c>
      <c r="E563">
        <f>'CALL SHEET'!$AF$563</f>
        <v/>
      </c>
      <c r="F563">
        <f>IF('CALL SHEET'!$V$563="","",'CALL SHEET'!$V$563)</f>
        <v/>
      </c>
      <c r="G563">
        <f>IF('CALL SHEET'!$D$563="","",'CALL SHEET'!$D$563)</f>
        <v/>
      </c>
      <c r="H563">
        <f>IF('CALL SHEET'!$G$563="","",'CALL SHEET'!$G$563)</f>
        <v/>
      </c>
      <c r="I563">
        <f>IF('CALL SHEET'!$AY$563="","",'CALL SHEET'!$AY$563)</f>
        <v/>
      </c>
      <c r="J563">
        <f>IF('CALL SHEET'!$BC$563="","",'CALL SHEET'!$BC$563)</f>
        <v/>
      </c>
      <c r="K563">
        <f>IF('CALL SHEET'!$N$563="","",'CALL SHEET'!$N$563)</f>
        <v/>
      </c>
      <c r="L563">
        <f>IF('CALL SHEET'!$AH$563="","",'CALL SHEET'!$AH$563)</f>
        <v/>
      </c>
      <c r="M563">
        <f>IF('CALL SHEET'!$AO$563="","",'CALL SHEET'!$AO$563)</f>
        <v/>
      </c>
      <c r="N563">
        <f>IF('CALL SHEET'!$BF$563="","",'CALL SHEET'!$BF$563)</f>
        <v/>
      </c>
      <c r="O563" t="inlineStr">
        <is>
          <t>TRADE</t>
        </is>
      </c>
      <c r="P563" t="inlineStr">
        <is>
          <t>CALL SHEET · row 563</t>
        </is>
      </c>
      <c r="Q563">
        <f>E563+ROW()*0.000000001</f>
        <v/>
      </c>
    </row>
    <row r="564">
      <c r="A564">
        <f>IF('FINANCIAL CREDITORS'!$A$2="","",'FINANCIAL CREDITORS'!$A$2)</f>
        <v/>
      </c>
      <c r="B564">
        <f>IF('FINANCIAL CREDITORS'!$C$2="","",'FINANCIAL CREDITORS'!$C$2)</f>
        <v/>
      </c>
      <c r="C564">
        <f>'FINANCIAL CREDITORS'!$U$2</f>
        <v/>
      </c>
      <c r="D564">
        <f>'FINANCIAL CREDITORS'!$AB$2</f>
        <v/>
      </c>
      <c r="E564">
        <f>'FINANCIAL CREDITORS'!$AF$2</f>
        <v/>
      </c>
      <c r="F564">
        <f>IF('FINANCIAL CREDITORS'!$V$2="","",'FINANCIAL CREDITORS'!$V$2)</f>
        <v/>
      </c>
      <c r="G564">
        <f>IF('FINANCIAL CREDITORS'!$D$2="","",'FINANCIAL CREDITORS'!$D$2)</f>
        <v/>
      </c>
      <c r="H564">
        <f>IF('FINANCIAL CREDITORS'!$G$2="","",'FINANCIAL CREDITORS'!$G$2)</f>
        <v/>
      </c>
      <c r="I564">
        <f>IF('FINANCIAL CREDITORS'!$AY$2="","",'FINANCIAL CREDITORS'!$AY$2)</f>
        <v/>
      </c>
      <c r="J564">
        <f>IF('FINANCIAL CREDITORS'!$BC$2="","",'FINANCIAL CREDITORS'!$BC$2)</f>
        <v/>
      </c>
      <c r="K564">
        <f>IF('FINANCIAL CREDITORS'!$N$2="","",'FINANCIAL CREDITORS'!$N$2)</f>
        <v/>
      </c>
      <c r="L564">
        <f>IF('FINANCIAL CREDITORS'!$AH$2="","",'FINANCIAL CREDITORS'!$AH$2)</f>
        <v/>
      </c>
      <c r="M564">
        <f>IF('FINANCIAL CREDITORS'!$AO$2="","",'FINANCIAL CREDITORS'!$AO$2)</f>
        <v/>
      </c>
      <c r="N564">
        <f>IF('FINANCIAL CREDITORS'!$BF$2="","",'FINANCIAL CREDITORS'!$BF$2)</f>
        <v/>
      </c>
      <c r="O564" t="inlineStr">
        <is>
          <t>FINANCIAL</t>
        </is>
      </c>
      <c r="P564" t="inlineStr">
        <is>
          <t>FINANCIAL CREDITORS · row 2</t>
        </is>
      </c>
      <c r="Q564">
        <f>E564+ROW()*0.000000001</f>
        <v/>
      </c>
    </row>
    <row r="565">
      <c r="A565">
        <f>IF('FINANCIAL CREDITORS'!$A$3="","",'FINANCIAL CREDITORS'!$A$3)</f>
        <v/>
      </c>
      <c r="B565">
        <f>IF('FINANCIAL CREDITORS'!$C$3="","",'FINANCIAL CREDITORS'!$C$3)</f>
        <v/>
      </c>
      <c r="C565">
        <f>'FINANCIAL CREDITORS'!$U$3</f>
        <v/>
      </c>
      <c r="D565">
        <f>'FINANCIAL CREDITORS'!$AB$3</f>
        <v/>
      </c>
      <c r="E565">
        <f>'FINANCIAL CREDITORS'!$AF$3</f>
        <v/>
      </c>
      <c r="F565">
        <f>IF('FINANCIAL CREDITORS'!$V$3="","",'FINANCIAL CREDITORS'!$V$3)</f>
        <v/>
      </c>
      <c r="G565">
        <f>IF('FINANCIAL CREDITORS'!$D$3="","",'FINANCIAL CREDITORS'!$D$3)</f>
        <v/>
      </c>
      <c r="H565">
        <f>IF('FINANCIAL CREDITORS'!$G$3="","",'FINANCIAL CREDITORS'!$G$3)</f>
        <v/>
      </c>
      <c r="I565">
        <f>IF('FINANCIAL CREDITORS'!$AY$3="","",'FINANCIAL CREDITORS'!$AY$3)</f>
        <v/>
      </c>
      <c r="J565">
        <f>IF('FINANCIAL CREDITORS'!$BC$3="","",'FINANCIAL CREDITORS'!$BC$3)</f>
        <v/>
      </c>
      <c r="K565">
        <f>IF('FINANCIAL CREDITORS'!$N$3="","",'FINANCIAL CREDITORS'!$N$3)</f>
        <v/>
      </c>
      <c r="L565">
        <f>IF('FINANCIAL CREDITORS'!$AH$3="","",'FINANCIAL CREDITORS'!$AH$3)</f>
        <v/>
      </c>
      <c r="M565">
        <f>IF('FINANCIAL CREDITORS'!$AO$3="","",'FINANCIAL CREDITORS'!$AO$3)</f>
        <v/>
      </c>
      <c r="N565">
        <f>IF('FINANCIAL CREDITORS'!$BF$3="","",'FINANCIAL CREDITORS'!$BF$3)</f>
        <v/>
      </c>
      <c r="O565" t="inlineStr">
        <is>
          <t>FINANCIAL</t>
        </is>
      </c>
      <c r="P565" t="inlineStr">
        <is>
          <t>FINANCIAL CREDITORS · row 3</t>
        </is>
      </c>
      <c r="Q565">
        <f>E565+ROW()*0.000000001</f>
        <v/>
      </c>
    </row>
    <row r="566">
      <c r="A566">
        <f>IF('FINANCIAL CREDITORS'!$A$4="","",'FINANCIAL CREDITORS'!$A$4)</f>
        <v/>
      </c>
      <c r="B566">
        <f>IF('FINANCIAL CREDITORS'!$C$4="","",'FINANCIAL CREDITORS'!$C$4)</f>
        <v/>
      </c>
      <c r="C566">
        <f>'FINANCIAL CREDITORS'!$U$4</f>
        <v/>
      </c>
      <c r="D566">
        <f>'FINANCIAL CREDITORS'!$AB$4</f>
        <v/>
      </c>
      <c r="E566">
        <f>'FINANCIAL CREDITORS'!$AF$4</f>
        <v/>
      </c>
      <c r="F566">
        <f>IF('FINANCIAL CREDITORS'!$V$4="","",'FINANCIAL CREDITORS'!$V$4)</f>
        <v/>
      </c>
      <c r="G566">
        <f>IF('FINANCIAL CREDITORS'!$D$4="","",'FINANCIAL CREDITORS'!$D$4)</f>
        <v/>
      </c>
      <c r="H566">
        <f>IF('FINANCIAL CREDITORS'!$G$4="","",'FINANCIAL CREDITORS'!$G$4)</f>
        <v/>
      </c>
      <c r="I566">
        <f>IF('FINANCIAL CREDITORS'!$AY$4="","",'FINANCIAL CREDITORS'!$AY$4)</f>
        <v/>
      </c>
      <c r="J566">
        <f>IF('FINANCIAL CREDITORS'!$BC$4="","",'FINANCIAL CREDITORS'!$BC$4)</f>
        <v/>
      </c>
      <c r="K566">
        <f>IF('FINANCIAL CREDITORS'!$N$4="","",'FINANCIAL CREDITORS'!$N$4)</f>
        <v/>
      </c>
      <c r="L566">
        <f>IF('FINANCIAL CREDITORS'!$AH$4="","",'FINANCIAL CREDITORS'!$AH$4)</f>
        <v/>
      </c>
      <c r="M566">
        <f>IF('FINANCIAL CREDITORS'!$AO$4="","",'FINANCIAL CREDITORS'!$AO$4)</f>
        <v/>
      </c>
      <c r="N566">
        <f>IF('FINANCIAL CREDITORS'!$BF$4="","",'FINANCIAL CREDITORS'!$BF$4)</f>
        <v/>
      </c>
      <c r="O566" t="inlineStr">
        <is>
          <t>FINANCIAL</t>
        </is>
      </c>
      <c r="P566" t="inlineStr">
        <is>
          <t>FINANCIAL CREDITORS · row 4</t>
        </is>
      </c>
      <c r="Q566">
        <f>E566+ROW()*0.000000001</f>
        <v/>
      </c>
    </row>
    <row r="567">
      <c r="A567">
        <f>IF('FINANCIAL CREDITORS'!$A$5="","",'FINANCIAL CREDITORS'!$A$5)</f>
        <v/>
      </c>
      <c r="B567">
        <f>IF('FINANCIAL CREDITORS'!$C$5="","",'FINANCIAL CREDITORS'!$C$5)</f>
        <v/>
      </c>
      <c r="C567">
        <f>'FINANCIAL CREDITORS'!$U$5</f>
        <v/>
      </c>
      <c r="D567">
        <f>'FINANCIAL CREDITORS'!$AB$5</f>
        <v/>
      </c>
      <c r="E567">
        <f>'FINANCIAL CREDITORS'!$AF$5</f>
        <v/>
      </c>
      <c r="F567">
        <f>IF('FINANCIAL CREDITORS'!$V$5="","",'FINANCIAL CREDITORS'!$V$5)</f>
        <v/>
      </c>
      <c r="G567">
        <f>IF('FINANCIAL CREDITORS'!$D$5="","",'FINANCIAL CREDITORS'!$D$5)</f>
        <v/>
      </c>
      <c r="H567">
        <f>IF('FINANCIAL CREDITORS'!$G$5="","",'FINANCIAL CREDITORS'!$G$5)</f>
        <v/>
      </c>
      <c r="I567">
        <f>IF('FINANCIAL CREDITORS'!$AY$5="","",'FINANCIAL CREDITORS'!$AY$5)</f>
        <v/>
      </c>
      <c r="J567">
        <f>IF('FINANCIAL CREDITORS'!$BC$5="","",'FINANCIAL CREDITORS'!$BC$5)</f>
        <v/>
      </c>
      <c r="K567">
        <f>IF('FINANCIAL CREDITORS'!$N$5="","",'FINANCIAL CREDITORS'!$N$5)</f>
        <v/>
      </c>
      <c r="L567">
        <f>IF('FINANCIAL CREDITORS'!$AH$5="","",'FINANCIAL CREDITORS'!$AH$5)</f>
        <v/>
      </c>
      <c r="M567">
        <f>IF('FINANCIAL CREDITORS'!$AO$5="","",'FINANCIAL CREDITORS'!$AO$5)</f>
        <v/>
      </c>
      <c r="N567">
        <f>IF('FINANCIAL CREDITORS'!$BF$5="","",'FINANCIAL CREDITORS'!$BF$5)</f>
        <v/>
      </c>
      <c r="O567" t="inlineStr">
        <is>
          <t>FINANCIAL</t>
        </is>
      </c>
      <c r="P567" t="inlineStr">
        <is>
          <t>FINANCIAL CREDITORS · row 5</t>
        </is>
      </c>
      <c r="Q567">
        <f>E567+ROW()*0.000000001</f>
        <v/>
      </c>
    </row>
    <row r="568">
      <c r="A568">
        <f>IF('FINANCIAL CREDITORS'!$A$6="","",'FINANCIAL CREDITORS'!$A$6)</f>
        <v/>
      </c>
      <c r="B568">
        <f>IF('FINANCIAL CREDITORS'!$C$6="","",'FINANCIAL CREDITORS'!$C$6)</f>
        <v/>
      </c>
      <c r="C568">
        <f>'FINANCIAL CREDITORS'!$U$6</f>
        <v/>
      </c>
      <c r="D568">
        <f>'FINANCIAL CREDITORS'!$AB$6</f>
        <v/>
      </c>
      <c r="E568">
        <f>'FINANCIAL CREDITORS'!$AF$6</f>
        <v/>
      </c>
      <c r="F568">
        <f>IF('FINANCIAL CREDITORS'!$V$6="","",'FINANCIAL CREDITORS'!$V$6)</f>
        <v/>
      </c>
      <c r="G568">
        <f>IF('FINANCIAL CREDITORS'!$D$6="","",'FINANCIAL CREDITORS'!$D$6)</f>
        <v/>
      </c>
      <c r="H568">
        <f>IF('FINANCIAL CREDITORS'!$G$6="","",'FINANCIAL CREDITORS'!$G$6)</f>
        <v/>
      </c>
      <c r="I568">
        <f>IF('FINANCIAL CREDITORS'!$AY$6="","",'FINANCIAL CREDITORS'!$AY$6)</f>
        <v/>
      </c>
      <c r="J568">
        <f>IF('FINANCIAL CREDITORS'!$BC$6="","",'FINANCIAL CREDITORS'!$BC$6)</f>
        <v/>
      </c>
      <c r="K568">
        <f>IF('FINANCIAL CREDITORS'!$N$6="","",'FINANCIAL CREDITORS'!$N$6)</f>
        <v/>
      </c>
      <c r="L568">
        <f>IF('FINANCIAL CREDITORS'!$AH$6="","",'FINANCIAL CREDITORS'!$AH$6)</f>
        <v/>
      </c>
      <c r="M568">
        <f>IF('FINANCIAL CREDITORS'!$AO$6="","",'FINANCIAL CREDITORS'!$AO$6)</f>
        <v/>
      </c>
      <c r="N568">
        <f>IF('FINANCIAL CREDITORS'!$BF$6="","",'FINANCIAL CREDITORS'!$BF$6)</f>
        <v/>
      </c>
      <c r="O568" t="inlineStr">
        <is>
          <t>FINANCIAL</t>
        </is>
      </c>
      <c r="P568" t="inlineStr">
        <is>
          <t>FINANCIAL CREDITORS · row 6</t>
        </is>
      </c>
      <c r="Q568">
        <f>E568+ROW()*0.000000001</f>
        <v/>
      </c>
    </row>
    <row r="569">
      <c r="A569">
        <f>IF('FINANCIAL CREDITORS'!$A$7="","",'FINANCIAL CREDITORS'!$A$7)</f>
        <v/>
      </c>
      <c r="B569">
        <f>IF('FINANCIAL CREDITORS'!$C$7="","",'FINANCIAL CREDITORS'!$C$7)</f>
        <v/>
      </c>
      <c r="C569">
        <f>'FINANCIAL CREDITORS'!$U$7</f>
        <v/>
      </c>
      <c r="D569">
        <f>'FINANCIAL CREDITORS'!$AB$7</f>
        <v/>
      </c>
      <c r="E569">
        <f>'FINANCIAL CREDITORS'!$AF$7</f>
        <v/>
      </c>
      <c r="F569">
        <f>IF('FINANCIAL CREDITORS'!$V$7="","",'FINANCIAL CREDITORS'!$V$7)</f>
        <v/>
      </c>
      <c r="G569">
        <f>IF('FINANCIAL CREDITORS'!$D$7="","",'FINANCIAL CREDITORS'!$D$7)</f>
        <v/>
      </c>
      <c r="H569">
        <f>IF('FINANCIAL CREDITORS'!$G$7="","",'FINANCIAL CREDITORS'!$G$7)</f>
        <v/>
      </c>
      <c r="I569">
        <f>IF('FINANCIAL CREDITORS'!$AY$7="","",'FINANCIAL CREDITORS'!$AY$7)</f>
        <v/>
      </c>
      <c r="J569">
        <f>IF('FINANCIAL CREDITORS'!$BC$7="","",'FINANCIAL CREDITORS'!$BC$7)</f>
        <v/>
      </c>
      <c r="K569">
        <f>IF('FINANCIAL CREDITORS'!$N$7="","",'FINANCIAL CREDITORS'!$N$7)</f>
        <v/>
      </c>
      <c r="L569">
        <f>IF('FINANCIAL CREDITORS'!$AH$7="","",'FINANCIAL CREDITORS'!$AH$7)</f>
        <v/>
      </c>
      <c r="M569">
        <f>IF('FINANCIAL CREDITORS'!$AO$7="","",'FINANCIAL CREDITORS'!$AO$7)</f>
        <v/>
      </c>
      <c r="N569">
        <f>IF('FINANCIAL CREDITORS'!$BF$7="","",'FINANCIAL CREDITORS'!$BF$7)</f>
        <v/>
      </c>
      <c r="O569" t="inlineStr">
        <is>
          <t>FINANCIAL</t>
        </is>
      </c>
      <c r="P569" t="inlineStr">
        <is>
          <t>FINANCIAL CREDITORS · row 7</t>
        </is>
      </c>
      <c r="Q569">
        <f>E569+ROW()*0.000000001</f>
        <v/>
      </c>
    </row>
    <row r="570">
      <c r="A570">
        <f>IF('FINANCIAL CREDITORS'!$A$8="","",'FINANCIAL CREDITORS'!$A$8)</f>
        <v/>
      </c>
      <c r="B570">
        <f>IF('FINANCIAL CREDITORS'!$C$8="","",'FINANCIAL CREDITORS'!$C$8)</f>
        <v/>
      </c>
      <c r="C570">
        <f>'FINANCIAL CREDITORS'!$U$8</f>
        <v/>
      </c>
      <c r="D570">
        <f>'FINANCIAL CREDITORS'!$AB$8</f>
        <v/>
      </c>
      <c r="E570">
        <f>'FINANCIAL CREDITORS'!$AF$8</f>
        <v/>
      </c>
      <c r="F570">
        <f>IF('FINANCIAL CREDITORS'!$V$8="","",'FINANCIAL CREDITORS'!$V$8)</f>
        <v/>
      </c>
      <c r="G570">
        <f>IF('FINANCIAL CREDITORS'!$D$8="","",'FINANCIAL CREDITORS'!$D$8)</f>
        <v/>
      </c>
      <c r="H570">
        <f>IF('FINANCIAL CREDITORS'!$G$8="","",'FINANCIAL CREDITORS'!$G$8)</f>
        <v/>
      </c>
      <c r="I570">
        <f>IF('FINANCIAL CREDITORS'!$AY$8="","",'FINANCIAL CREDITORS'!$AY$8)</f>
        <v/>
      </c>
      <c r="J570">
        <f>IF('FINANCIAL CREDITORS'!$BC$8="","",'FINANCIAL CREDITORS'!$BC$8)</f>
        <v/>
      </c>
      <c r="K570">
        <f>IF('FINANCIAL CREDITORS'!$N$8="","",'FINANCIAL CREDITORS'!$N$8)</f>
        <v/>
      </c>
      <c r="L570">
        <f>IF('FINANCIAL CREDITORS'!$AH$8="","",'FINANCIAL CREDITORS'!$AH$8)</f>
        <v/>
      </c>
      <c r="M570">
        <f>IF('FINANCIAL CREDITORS'!$AO$8="","",'FINANCIAL CREDITORS'!$AO$8)</f>
        <v/>
      </c>
      <c r="N570">
        <f>IF('FINANCIAL CREDITORS'!$BF$8="","",'FINANCIAL CREDITORS'!$BF$8)</f>
        <v/>
      </c>
      <c r="O570" t="inlineStr">
        <is>
          <t>FINANCIAL</t>
        </is>
      </c>
      <c r="P570" t="inlineStr">
        <is>
          <t>FINANCIAL CREDITORS · row 8</t>
        </is>
      </c>
      <c r="Q570">
        <f>E570+ROW()*0.000000001</f>
        <v/>
      </c>
    </row>
    <row r="571">
      <c r="A571">
        <f>IF('FINANCIAL CREDITORS'!$A$9="","",'FINANCIAL CREDITORS'!$A$9)</f>
        <v/>
      </c>
      <c r="B571">
        <f>IF('FINANCIAL CREDITORS'!$C$9="","",'FINANCIAL CREDITORS'!$C$9)</f>
        <v/>
      </c>
      <c r="C571">
        <f>'FINANCIAL CREDITORS'!$U$9</f>
        <v/>
      </c>
      <c r="D571">
        <f>'FINANCIAL CREDITORS'!$AB$9</f>
        <v/>
      </c>
      <c r="E571">
        <f>'FINANCIAL CREDITORS'!$AF$9</f>
        <v/>
      </c>
      <c r="F571">
        <f>IF('FINANCIAL CREDITORS'!$V$9="","",'FINANCIAL CREDITORS'!$V$9)</f>
        <v/>
      </c>
      <c r="G571">
        <f>IF('FINANCIAL CREDITORS'!$D$9="","",'FINANCIAL CREDITORS'!$D$9)</f>
        <v/>
      </c>
      <c r="H571">
        <f>IF('FINANCIAL CREDITORS'!$G$9="","",'FINANCIAL CREDITORS'!$G$9)</f>
        <v/>
      </c>
      <c r="I571">
        <f>IF('FINANCIAL CREDITORS'!$AY$9="","",'FINANCIAL CREDITORS'!$AY$9)</f>
        <v/>
      </c>
      <c r="J571">
        <f>IF('FINANCIAL CREDITORS'!$BC$9="","",'FINANCIAL CREDITORS'!$BC$9)</f>
        <v/>
      </c>
      <c r="K571">
        <f>IF('FINANCIAL CREDITORS'!$N$9="","",'FINANCIAL CREDITORS'!$N$9)</f>
        <v/>
      </c>
      <c r="L571">
        <f>IF('FINANCIAL CREDITORS'!$AH$9="","",'FINANCIAL CREDITORS'!$AH$9)</f>
        <v/>
      </c>
      <c r="M571">
        <f>IF('FINANCIAL CREDITORS'!$AO$9="","",'FINANCIAL CREDITORS'!$AO$9)</f>
        <v/>
      </c>
      <c r="N571">
        <f>IF('FINANCIAL CREDITORS'!$BF$9="","",'FINANCIAL CREDITORS'!$BF$9)</f>
        <v/>
      </c>
      <c r="O571" t="inlineStr">
        <is>
          <t>FINANCIAL</t>
        </is>
      </c>
      <c r="P571" t="inlineStr">
        <is>
          <t>FINANCIAL CREDITORS · row 9</t>
        </is>
      </c>
      <c r="Q571">
        <f>E571+ROW()*0.000000001</f>
        <v/>
      </c>
    </row>
    <row r="572">
      <c r="A572">
        <f>IF('FINANCIAL CREDITORS'!$A$10="","",'FINANCIAL CREDITORS'!$A$10)</f>
        <v/>
      </c>
      <c r="B572">
        <f>IF('FINANCIAL CREDITORS'!$C$10="","",'FINANCIAL CREDITORS'!$C$10)</f>
        <v/>
      </c>
      <c r="C572">
        <f>'FINANCIAL CREDITORS'!$U$10</f>
        <v/>
      </c>
      <c r="D572">
        <f>'FINANCIAL CREDITORS'!$AB$10</f>
        <v/>
      </c>
      <c r="E572">
        <f>'FINANCIAL CREDITORS'!$AF$10</f>
        <v/>
      </c>
      <c r="F572">
        <f>IF('FINANCIAL CREDITORS'!$V$10="","",'FINANCIAL CREDITORS'!$V$10)</f>
        <v/>
      </c>
      <c r="G572">
        <f>IF('FINANCIAL CREDITORS'!$D$10="","",'FINANCIAL CREDITORS'!$D$10)</f>
        <v/>
      </c>
      <c r="H572">
        <f>IF('FINANCIAL CREDITORS'!$G$10="","",'FINANCIAL CREDITORS'!$G$10)</f>
        <v/>
      </c>
      <c r="I572">
        <f>IF('FINANCIAL CREDITORS'!$AY$10="","",'FINANCIAL CREDITORS'!$AY$10)</f>
        <v/>
      </c>
      <c r="J572">
        <f>IF('FINANCIAL CREDITORS'!$BC$10="","",'FINANCIAL CREDITORS'!$BC$10)</f>
        <v/>
      </c>
      <c r="K572">
        <f>IF('FINANCIAL CREDITORS'!$N$10="","",'FINANCIAL CREDITORS'!$N$10)</f>
        <v/>
      </c>
      <c r="L572">
        <f>IF('FINANCIAL CREDITORS'!$AH$10="","",'FINANCIAL CREDITORS'!$AH$10)</f>
        <v/>
      </c>
      <c r="M572">
        <f>IF('FINANCIAL CREDITORS'!$AO$10="","",'FINANCIAL CREDITORS'!$AO$10)</f>
        <v/>
      </c>
      <c r="N572">
        <f>IF('FINANCIAL CREDITORS'!$BF$10="","",'FINANCIAL CREDITORS'!$BF$10)</f>
        <v/>
      </c>
      <c r="O572" t="inlineStr">
        <is>
          <t>FINANCIAL</t>
        </is>
      </c>
      <c r="P572" t="inlineStr">
        <is>
          <t>FINANCIAL CREDITORS · row 10</t>
        </is>
      </c>
      <c r="Q572">
        <f>E572+ROW()*0.000000001</f>
        <v/>
      </c>
    </row>
    <row r="573">
      <c r="A573">
        <f>IF('FINANCIAL CREDITORS'!$A$11="","",'FINANCIAL CREDITORS'!$A$11)</f>
        <v/>
      </c>
      <c r="B573">
        <f>IF('FINANCIAL CREDITORS'!$C$11="","",'FINANCIAL CREDITORS'!$C$11)</f>
        <v/>
      </c>
      <c r="C573">
        <f>'FINANCIAL CREDITORS'!$U$11</f>
        <v/>
      </c>
      <c r="D573">
        <f>'FINANCIAL CREDITORS'!$AB$11</f>
        <v/>
      </c>
      <c r="E573">
        <f>'FINANCIAL CREDITORS'!$AF$11</f>
        <v/>
      </c>
      <c r="F573">
        <f>IF('FINANCIAL CREDITORS'!$V$11="","",'FINANCIAL CREDITORS'!$V$11)</f>
        <v/>
      </c>
      <c r="G573">
        <f>IF('FINANCIAL CREDITORS'!$D$11="","",'FINANCIAL CREDITORS'!$D$11)</f>
        <v/>
      </c>
      <c r="H573">
        <f>IF('FINANCIAL CREDITORS'!$G$11="","",'FINANCIAL CREDITORS'!$G$11)</f>
        <v/>
      </c>
      <c r="I573">
        <f>IF('FINANCIAL CREDITORS'!$AY$11="","",'FINANCIAL CREDITORS'!$AY$11)</f>
        <v/>
      </c>
      <c r="J573">
        <f>IF('FINANCIAL CREDITORS'!$BC$11="","",'FINANCIAL CREDITORS'!$BC$11)</f>
        <v/>
      </c>
      <c r="K573">
        <f>IF('FINANCIAL CREDITORS'!$N$11="","",'FINANCIAL CREDITORS'!$N$11)</f>
        <v/>
      </c>
      <c r="L573">
        <f>IF('FINANCIAL CREDITORS'!$AH$11="","",'FINANCIAL CREDITORS'!$AH$11)</f>
        <v/>
      </c>
      <c r="M573">
        <f>IF('FINANCIAL CREDITORS'!$AO$11="","",'FINANCIAL CREDITORS'!$AO$11)</f>
        <v/>
      </c>
      <c r="N573">
        <f>IF('FINANCIAL CREDITORS'!$BF$11="","",'FINANCIAL CREDITORS'!$BF$11)</f>
        <v/>
      </c>
      <c r="O573" t="inlineStr">
        <is>
          <t>FINANCIAL</t>
        </is>
      </c>
      <c r="P573" t="inlineStr">
        <is>
          <t>FINANCIAL CREDITORS · row 11</t>
        </is>
      </c>
      <c r="Q573">
        <f>E573+ROW()*0.000000001</f>
        <v/>
      </c>
    </row>
    <row r="574">
      <c r="A574">
        <f>IF('FINANCIAL CREDITORS'!$A$12="","",'FINANCIAL CREDITORS'!$A$12)</f>
        <v/>
      </c>
      <c r="B574">
        <f>IF('FINANCIAL CREDITORS'!$C$12="","",'FINANCIAL CREDITORS'!$C$12)</f>
        <v/>
      </c>
      <c r="C574">
        <f>'FINANCIAL CREDITORS'!$U$12</f>
        <v/>
      </c>
      <c r="D574">
        <f>'FINANCIAL CREDITORS'!$AB$12</f>
        <v/>
      </c>
      <c r="E574">
        <f>'FINANCIAL CREDITORS'!$AF$12</f>
        <v/>
      </c>
      <c r="F574">
        <f>IF('FINANCIAL CREDITORS'!$V$12="","",'FINANCIAL CREDITORS'!$V$12)</f>
        <v/>
      </c>
      <c r="G574">
        <f>IF('FINANCIAL CREDITORS'!$D$12="","",'FINANCIAL CREDITORS'!$D$12)</f>
        <v/>
      </c>
      <c r="H574">
        <f>IF('FINANCIAL CREDITORS'!$G$12="","",'FINANCIAL CREDITORS'!$G$12)</f>
        <v/>
      </c>
      <c r="I574">
        <f>IF('FINANCIAL CREDITORS'!$AY$12="","",'FINANCIAL CREDITORS'!$AY$12)</f>
        <v/>
      </c>
      <c r="J574">
        <f>IF('FINANCIAL CREDITORS'!$BC$12="","",'FINANCIAL CREDITORS'!$BC$12)</f>
        <v/>
      </c>
      <c r="K574">
        <f>IF('FINANCIAL CREDITORS'!$N$12="","",'FINANCIAL CREDITORS'!$N$12)</f>
        <v/>
      </c>
      <c r="L574">
        <f>IF('FINANCIAL CREDITORS'!$AH$12="","",'FINANCIAL CREDITORS'!$AH$12)</f>
        <v/>
      </c>
      <c r="M574">
        <f>IF('FINANCIAL CREDITORS'!$AO$12="","",'FINANCIAL CREDITORS'!$AO$12)</f>
        <v/>
      </c>
      <c r="N574">
        <f>IF('FINANCIAL CREDITORS'!$BF$12="","",'FINANCIAL CREDITORS'!$BF$12)</f>
        <v/>
      </c>
      <c r="O574" t="inlineStr">
        <is>
          <t>FINANCIAL</t>
        </is>
      </c>
      <c r="P574" t="inlineStr">
        <is>
          <t>FINANCIAL CREDITORS · row 12</t>
        </is>
      </c>
      <c r="Q574">
        <f>E574+ROW()*0.000000001</f>
        <v/>
      </c>
    </row>
    <row r="575">
      <c r="A575">
        <f>IF('FINANCIAL CREDITORS'!$A$13="","",'FINANCIAL CREDITORS'!$A$13)</f>
        <v/>
      </c>
      <c r="B575">
        <f>IF('FINANCIAL CREDITORS'!$C$13="","",'FINANCIAL CREDITORS'!$C$13)</f>
        <v/>
      </c>
      <c r="C575">
        <f>'FINANCIAL CREDITORS'!$U$13</f>
        <v/>
      </c>
      <c r="D575">
        <f>'FINANCIAL CREDITORS'!$AB$13</f>
        <v/>
      </c>
      <c r="E575">
        <f>'FINANCIAL CREDITORS'!$AF$13</f>
        <v/>
      </c>
      <c r="F575">
        <f>IF('FINANCIAL CREDITORS'!$V$13="","",'FINANCIAL CREDITORS'!$V$13)</f>
        <v/>
      </c>
      <c r="G575">
        <f>IF('FINANCIAL CREDITORS'!$D$13="","",'FINANCIAL CREDITORS'!$D$13)</f>
        <v/>
      </c>
      <c r="H575">
        <f>IF('FINANCIAL CREDITORS'!$G$13="","",'FINANCIAL CREDITORS'!$G$13)</f>
        <v/>
      </c>
      <c r="I575">
        <f>IF('FINANCIAL CREDITORS'!$AY$13="","",'FINANCIAL CREDITORS'!$AY$13)</f>
        <v/>
      </c>
      <c r="J575">
        <f>IF('FINANCIAL CREDITORS'!$BC$13="","",'FINANCIAL CREDITORS'!$BC$13)</f>
        <v/>
      </c>
      <c r="K575">
        <f>IF('FINANCIAL CREDITORS'!$N$13="","",'FINANCIAL CREDITORS'!$N$13)</f>
        <v/>
      </c>
      <c r="L575">
        <f>IF('FINANCIAL CREDITORS'!$AH$13="","",'FINANCIAL CREDITORS'!$AH$13)</f>
        <v/>
      </c>
      <c r="M575">
        <f>IF('FINANCIAL CREDITORS'!$AO$13="","",'FINANCIAL CREDITORS'!$AO$13)</f>
        <v/>
      </c>
      <c r="N575">
        <f>IF('FINANCIAL CREDITORS'!$BF$13="","",'FINANCIAL CREDITORS'!$BF$13)</f>
        <v/>
      </c>
      <c r="O575" t="inlineStr">
        <is>
          <t>FINANCIAL</t>
        </is>
      </c>
      <c r="P575" t="inlineStr">
        <is>
          <t>FINANCIAL CREDITORS · row 13</t>
        </is>
      </c>
      <c r="Q575">
        <f>E575+ROW()*0.000000001</f>
        <v/>
      </c>
    </row>
    <row r="576">
      <c r="A576">
        <f>IF('FINANCIAL CREDITORS'!$A$14="","",'FINANCIAL CREDITORS'!$A$14)</f>
        <v/>
      </c>
      <c r="B576">
        <f>IF('FINANCIAL CREDITORS'!$C$14="","",'FINANCIAL CREDITORS'!$C$14)</f>
        <v/>
      </c>
      <c r="C576">
        <f>'FINANCIAL CREDITORS'!$U$14</f>
        <v/>
      </c>
      <c r="D576">
        <f>'FINANCIAL CREDITORS'!$AB$14</f>
        <v/>
      </c>
      <c r="E576">
        <f>'FINANCIAL CREDITORS'!$AF$14</f>
        <v/>
      </c>
      <c r="F576">
        <f>IF('FINANCIAL CREDITORS'!$V$14="","",'FINANCIAL CREDITORS'!$V$14)</f>
        <v/>
      </c>
      <c r="G576">
        <f>IF('FINANCIAL CREDITORS'!$D$14="","",'FINANCIAL CREDITORS'!$D$14)</f>
        <v/>
      </c>
      <c r="H576">
        <f>IF('FINANCIAL CREDITORS'!$G$14="","",'FINANCIAL CREDITORS'!$G$14)</f>
        <v/>
      </c>
      <c r="I576">
        <f>IF('FINANCIAL CREDITORS'!$AY$14="","",'FINANCIAL CREDITORS'!$AY$14)</f>
        <v/>
      </c>
      <c r="J576">
        <f>IF('FINANCIAL CREDITORS'!$BC$14="","",'FINANCIAL CREDITORS'!$BC$14)</f>
        <v/>
      </c>
      <c r="K576">
        <f>IF('FINANCIAL CREDITORS'!$N$14="","",'FINANCIAL CREDITORS'!$N$14)</f>
        <v/>
      </c>
      <c r="L576">
        <f>IF('FINANCIAL CREDITORS'!$AH$14="","",'FINANCIAL CREDITORS'!$AH$14)</f>
        <v/>
      </c>
      <c r="M576">
        <f>IF('FINANCIAL CREDITORS'!$AO$14="","",'FINANCIAL CREDITORS'!$AO$14)</f>
        <v/>
      </c>
      <c r="N576">
        <f>IF('FINANCIAL CREDITORS'!$BF$14="","",'FINANCIAL CREDITORS'!$BF$14)</f>
        <v/>
      </c>
      <c r="O576" t="inlineStr">
        <is>
          <t>FINANCIAL</t>
        </is>
      </c>
      <c r="P576" t="inlineStr">
        <is>
          <t>FINANCIAL CREDITORS · row 14</t>
        </is>
      </c>
      <c r="Q576">
        <f>E576+ROW()*0.000000001</f>
        <v/>
      </c>
    </row>
    <row r="577">
      <c r="A577">
        <f>IF('FINANCIAL CREDITORS'!$A$15="","",'FINANCIAL CREDITORS'!$A$15)</f>
        <v/>
      </c>
      <c r="B577">
        <f>IF('FINANCIAL CREDITORS'!$C$15="","",'FINANCIAL CREDITORS'!$C$15)</f>
        <v/>
      </c>
      <c r="C577">
        <f>'FINANCIAL CREDITORS'!$U$15</f>
        <v/>
      </c>
      <c r="D577">
        <f>'FINANCIAL CREDITORS'!$AB$15</f>
        <v/>
      </c>
      <c r="E577">
        <f>'FINANCIAL CREDITORS'!$AF$15</f>
        <v/>
      </c>
      <c r="F577">
        <f>IF('FINANCIAL CREDITORS'!$V$15="","",'FINANCIAL CREDITORS'!$V$15)</f>
        <v/>
      </c>
      <c r="G577">
        <f>IF('FINANCIAL CREDITORS'!$D$15="","",'FINANCIAL CREDITORS'!$D$15)</f>
        <v/>
      </c>
      <c r="H577">
        <f>IF('FINANCIAL CREDITORS'!$G$15="","",'FINANCIAL CREDITORS'!$G$15)</f>
        <v/>
      </c>
      <c r="I577">
        <f>IF('FINANCIAL CREDITORS'!$AY$15="","",'FINANCIAL CREDITORS'!$AY$15)</f>
        <v/>
      </c>
      <c r="J577">
        <f>IF('FINANCIAL CREDITORS'!$BC$15="","",'FINANCIAL CREDITORS'!$BC$15)</f>
        <v/>
      </c>
      <c r="K577">
        <f>IF('FINANCIAL CREDITORS'!$N$15="","",'FINANCIAL CREDITORS'!$N$15)</f>
        <v/>
      </c>
      <c r="L577">
        <f>IF('FINANCIAL CREDITORS'!$AH$15="","",'FINANCIAL CREDITORS'!$AH$15)</f>
        <v/>
      </c>
      <c r="M577">
        <f>IF('FINANCIAL CREDITORS'!$AO$15="","",'FINANCIAL CREDITORS'!$AO$15)</f>
        <v/>
      </c>
      <c r="N577">
        <f>IF('FINANCIAL CREDITORS'!$BF$15="","",'FINANCIAL CREDITORS'!$BF$15)</f>
        <v/>
      </c>
      <c r="O577" t="inlineStr">
        <is>
          <t>FINANCIAL</t>
        </is>
      </c>
      <c r="P577" t="inlineStr">
        <is>
          <t>FINANCIAL CREDITORS · row 15</t>
        </is>
      </c>
      <c r="Q577">
        <f>E577+ROW()*0.000000001</f>
        <v/>
      </c>
    </row>
    <row r="578">
      <c r="A578">
        <f>IF('FINANCIAL CREDITORS'!$A$16="","",'FINANCIAL CREDITORS'!$A$16)</f>
        <v/>
      </c>
      <c r="B578">
        <f>IF('FINANCIAL CREDITORS'!$C$16="","",'FINANCIAL CREDITORS'!$C$16)</f>
        <v/>
      </c>
      <c r="C578">
        <f>'FINANCIAL CREDITORS'!$U$16</f>
        <v/>
      </c>
      <c r="D578">
        <f>'FINANCIAL CREDITORS'!$AB$16</f>
        <v/>
      </c>
      <c r="E578">
        <f>'FINANCIAL CREDITORS'!$AF$16</f>
        <v/>
      </c>
      <c r="F578">
        <f>IF('FINANCIAL CREDITORS'!$V$16="","",'FINANCIAL CREDITORS'!$V$16)</f>
        <v/>
      </c>
      <c r="G578">
        <f>IF('FINANCIAL CREDITORS'!$D$16="","",'FINANCIAL CREDITORS'!$D$16)</f>
        <v/>
      </c>
      <c r="H578">
        <f>IF('FINANCIAL CREDITORS'!$G$16="","",'FINANCIAL CREDITORS'!$G$16)</f>
        <v/>
      </c>
      <c r="I578">
        <f>IF('FINANCIAL CREDITORS'!$AY$16="","",'FINANCIAL CREDITORS'!$AY$16)</f>
        <v/>
      </c>
      <c r="J578">
        <f>IF('FINANCIAL CREDITORS'!$BC$16="","",'FINANCIAL CREDITORS'!$BC$16)</f>
        <v/>
      </c>
      <c r="K578">
        <f>IF('FINANCIAL CREDITORS'!$N$16="","",'FINANCIAL CREDITORS'!$N$16)</f>
        <v/>
      </c>
      <c r="L578">
        <f>IF('FINANCIAL CREDITORS'!$AH$16="","",'FINANCIAL CREDITORS'!$AH$16)</f>
        <v/>
      </c>
      <c r="M578">
        <f>IF('FINANCIAL CREDITORS'!$AO$16="","",'FINANCIAL CREDITORS'!$AO$16)</f>
        <v/>
      </c>
      <c r="N578">
        <f>IF('FINANCIAL CREDITORS'!$BF$16="","",'FINANCIAL CREDITORS'!$BF$16)</f>
        <v/>
      </c>
      <c r="O578" t="inlineStr">
        <is>
          <t>FINANCIAL</t>
        </is>
      </c>
      <c r="P578" t="inlineStr">
        <is>
          <t>FINANCIAL CREDITORS · row 16</t>
        </is>
      </c>
      <c r="Q578">
        <f>E578+ROW()*0.000000001</f>
        <v/>
      </c>
    </row>
    <row r="579">
      <c r="A579">
        <f>IF('FINANCIAL CREDITORS'!$A$17="","",'FINANCIAL CREDITORS'!$A$17)</f>
        <v/>
      </c>
      <c r="B579">
        <f>IF('FINANCIAL CREDITORS'!$C$17="","",'FINANCIAL CREDITORS'!$C$17)</f>
        <v/>
      </c>
      <c r="C579">
        <f>'FINANCIAL CREDITORS'!$U$17</f>
        <v/>
      </c>
      <c r="D579">
        <f>'FINANCIAL CREDITORS'!$AB$17</f>
        <v/>
      </c>
      <c r="E579">
        <f>'FINANCIAL CREDITORS'!$AF$17</f>
        <v/>
      </c>
      <c r="F579">
        <f>IF('FINANCIAL CREDITORS'!$V$17="","",'FINANCIAL CREDITORS'!$V$17)</f>
        <v/>
      </c>
      <c r="G579">
        <f>IF('FINANCIAL CREDITORS'!$D$17="","",'FINANCIAL CREDITORS'!$D$17)</f>
        <v/>
      </c>
      <c r="H579">
        <f>IF('FINANCIAL CREDITORS'!$G$17="","",'FINANCIAL CREDITORS'!$G$17)</f>
        <v/>
      </c>
      <c r="I579">
        <f>IF('FINANCIAL CREDITORS'!$AY$17="","",'FINANCIAL CREDITORS'!$AY$17)</f>
        <v/>
      </c>
      <c r="J579">
        <f>IF('FINANCIAL CREDITORS'!$BC$17="","",'FINANCIAL CREDITORS'!$BC$17)</f>
        <v/>
      </c>
      <c r="K579">
        <f>IF('FINANCIAL CREDITORS'!$N$17="","",'FINANCIAL CREDITORS'!$N$17)</f>
        <v/>
      </c>
      <c r="L579">
        <f>IF('FINANCIAL CREDITORS'!$AH$17="","",'FINANCIAL CREDITORS'!$AH$17)</f>
        <v/>
      </c>
      <c r="M579">
        <f>IF('FINANCIAL CREDITORS'!$AO$17="","",'FINANCIAL CREDITORS'!$AO$17)</f>
        <v/>
      </c>
      <c r="N579">
        <f>IF('FINANCIAL CREDITORS'!$BF$17="","",'FINANCIAL CREDITORS'!$BF$17)</f>
        <v/>
      </c>
      <c r="O579" t="inlineStr">
        <is>
          <t>FINANCIAL</t>
        </is>
      </c>
      <c r="P579" t="inlineStr">
        <is>
          <t>FINANCIAL CREDITORS · row 17</t>
        </is>
      </c>
      <c r="Q579">
        <f>E579+ROW()*0.000000001</f>
        <v/>
      </c>
    </row>
    <row r="580">
      <c r="A580">
        <f>IF('FINANCIAL CREDITORS'!$A$18="","",'FINANCIAL CREDITORS'!$A$18)</f>
        <v/>
      </c>
      <c r="B580">
        <f>IF('FINANCIAL CREDITORS'!$C$18="","",'FINANCIAL CREDITORS'!$C$18)</f>
        <v/>
      </c>
      <c r="C580">
        <f>'FINANCIAL CREDITORS'!$U$18</f>
        <v/>
      </c>
      <c r="D580">
        <f>'FINANCIAL CREDITORS'!$AB$18</f>
        <v/>
      </c>
      <c r="E580">
        <f>'FINANCIAL CREDITORS'!$AF$18</f>
        <v/>
      </c>
      <c r="F580">
        <f>IF('FINANCIAL CREDITORS'!$V$18="","",'FINANCIAL CREDITORS'!$V$18)</f>
        <v/>
      </c>
      <c r="G580">
        <f>IF('FINANCIAL CREDITORS'!$D$18="","",'FINANCIAL CREDITORS'!$D$18)</f>
        <v/>
      </c>
      <c r="H580">
        <f>IF('FINANCIAL CREDITORS'!$G$18="","",'FINANCIAL CREDITORS'!$G$18)</f>
        <v/>
      </c>
      <c r="I580">
        <f>IF('FINANCIAL CREDITORS'!$AY$18="","",'FINANCIAL CREDITORS'!$AY$18)</f>
        <v/>
      </c>
      <c r="J580">
        <f>IF('FINANCIAL CREDITORS'!$BC$18="","",'FINANCIAL CREDITORS'!$BC$18)</f>
        <v/>
      </c>
      <c r="K580">
        <f>IF('FINANCIAL CREDITORS'!$N$18="","",'FINANCIAL CREDITORS'!$N$18)</f>
        <v/>
      </c>
      <c r="L580">
        <f>IF('FINANCIAL CREDITORS'!$AH$18="","",'FINANCIAL CREDITORS'!$AH$18)</f>
        <v/>
      </c>
      <c r="M580">
        <f>IF('FINANCIAL CREDITORS'!$AO$18="","",'FINANCIAL CREDITORS'!$AO$18)</f>
        <v/>
      </c>
      <c r="N580">
        <f>IF('FINANCIAL CREDITORS'!$BF$18="","",'FINANCIAL CREDITORS'!$BF$18)</f>
        <v/>
      </c>
      <c r="O580" t="inlineStr">
        <is>
          <t>FINANCIAL</t>
        </is>
      </c>
      <c r="P580" t="inlineStr">
        <is>
          <t>FINANCIAL CREDITORS · row 18</t>
        </is>
      </c>
      <c r="Q580">
        <f>E580+ROW()*0.000000001</f>
        <v/>
      </c>
    </row>
    <row r="581">
      <c r="A581">
        <f>IF('FINANCIAL CREDITORS'!$A$19="","",'FINANCIAL CREDITORS'!$A$19)</f>
        <v/>
      </c>
      <c r="B581">
        <f>IF('FINANCIAL CREDITORS'!$C$19="","",'FINANCIAL CREDITORS'!$C$19)</f>
        <v/>
      </c>
      <c r="C581">
        <f>'FINANCIAL CREDITORS'!$U$19</f>
        <v/>
      </c>
      <c r="D581">
        <f>'FINANCIAL CREDITORS'!$AB$19</f>
        <v/>
      </c>
      <c r="E581">
        <f>'FINANCIAL CREDITORS'!$AF$19</f>
        <v/>
      </c>
      <c r="F581">
        <f>IF('FINANCIAL CREDITORS'!$V$19="","",'FINANCIAL CREDITORS'!$V$19)</f>
        <v/>
      </c>
      <c r="G581">
        <f>IF('FINANCIAL CREDITORS'!$D$19="","",'FINANCIAL CREDITORS'!$D$19)</f>
        <v/>
      </c>
      <c r="H581">
        <f>IF('FINANCIAL CREDITORS'!$G$19="","",'FINANCIAL CREDITORS'!$G$19)</f>
        <v/>
      </c>
      <c r="I581">
        <f>IF('FINANCIAL CREDITORS'!$AY$19="","",'FINANCIAL CREDITORS'!$AY$19)</f>
        <v/>
      </c>
      <c r="J581">
        <f>IF('FINANCIAL CREDITORS'!$BC$19="","",'FINANCIAL CREDITORS'!$BC$19)</f>
        <v/>
      </c>
      <c r="K581">
        <f>IF('FINANCIAL CREDITORS'!$N$19="","",'FINANCIAL CREDITORS'!$N$19)</f>
        <v/>
      </c>
      <c r="L581">
        <f>IF('FINANCIAL CREDITORS'!$AH$19="","",'FINANCIAL CREDITORS'!$AH$19)</f>
        <v/>
      </c>
      <c r="M581">
        <f>IF('FINANCIAL CREDITORS'!$AO$19="","",'FINANCIAL CREDITORS'!$AO$19)</f>
        <v/>
      </c>
      <c r="N581">
        <f>IF('FINANCIAL CREDITORS'!$BF$19="","",'FINANCIAL CREDITORS'!$BF$19)</f>
        <v/>
      </c>
      <c r="O581" t="inlineStr">
        <is>
          <t>FINANCIAL</t>
        </is>
      </c>
      <c r="P581" t="inlineStr">
        <is>
          <t>FINANCIAL CREDITORS · row 19</t>
        </is>
      </c>
      <c r="Q581">
        <f>E581+ROW()*0.000000001</f>
        <v/>
      </c>
    </row>
    <row r="582">
      <c r="A582">
        <f>IF('FINANCIAL CREDITORS'!$A$20="","",'FINANCIAL CREDITORS'!$A$20)</f>
        <v/>
      </c>
      <c r="B582">
        <f>IF('FINANCIAL CREDITORS'!$C$20="","",'FINANCIAL CREDITORS'!$C$20)</f>
        <v/>
      </c>
      <c r="C582">
        <f>'FINANCIAL CREDITORS'!$U$20</f>
        <v/>
      </c>
      <c r="D582">
        <f>'FINANCIAL CREDITORS'!$AB$20</f>
        <v/>
      </c>
      <c r="E582">
        <f>'FINANCIAL CREDITORS'!$AF$20</f>
        <v/>
      </c>
      <c r="F582">
        <f>IF('FINANCIAL CREDITORS'!$V$20="","",'FINANCIAL CREDITORS'!$V$20)</f>
        <v/>
      </c>
      <c r="G582">
        <f>IF('FINANCIAL CREDITORS'!$D$20="","",'FINANCIAL CREDITORS'!$D$20)</f>
        <v/>
      </c>
      <c r="H582">
        <f>IF('FINANCIAL CREDITORS'!$G$20="","",'FINANCIAL CREDITORS'!$G$20)</f>
        <v/>
      </c>
      <c r="I582">
        <f>IF('FINANCIAL CREDITORS'!$AY$20="","",'FINANCIAL CREDITORS'!$AY$20)</f>
        <v/>
      </c>
      <c r="J582">
        <f>IF('FINANCIAL CREDITORS'!$BC$20="","",'FINANCIAL CREDITORS'!$BC$20)</f>
        <v/>
      </c>
      <c r="K582">
        <f>IF('FINANCIAL CREDITORS'!$N$20="","",'FINANCIAL CREDITORS'!$N$20)</f>
        <v/>
      </c>
      <c r="L582">
        <f>IF('FINANCIAL CREDITORS'!$AH$20="","",'FINANCIAL CREDITORS'!$AH$20)</f>
        <v/>
      </c>
      <c r="M582">
        <f>IF('FINANCIAL CREDITORS'!$AO$20="","",'FINANCIAL CREDITORS'!$AO$20)</f>
        <v/>
      </c>
      <c r="N582">
        <f>IF('FINANCIAL CREDITORS'!$BF$20="","",'FINANCIAL CREDITORS'!$BF$20)</f>
        <v/>
      </c>
      <c r="O582" t="inlineStr">
        <is>
          <t>FINANCIAL</t>
        </is>
      </c>
      <c r="P582" t="inlineStr">
        <is>
          <t>FINANCIAL CREDITORS · row 20</t>
        </is>
      </c>
      <c r="Q582">
        <f>E582+ROW()*0.000000001</f>
        <v/>
      </c>
    </row>
    <row r="583">
      <c r="A583">
        <f>IF('FINANCIAL CREDITORS'!$A$21="","",'FINANCIAL CREDITORS'!$A$21)</f>
        <v/>
      </c>
      <c r="B583">
        <f>IF('FINANCIAL CREDITORS'!$C$21="","",'FINANCIAL CREDITORS'!$C$21)</f>
        <v/>
      </c>
      <c r="C583">
        <f>'FINANCIAL CREDITORS'!$U$21</f>
        <v/>
      </c>
      <c r="D583">
        <f>'FINANCIAL CREDITORS'!$AB$21</f>
        <v/>
      </c>
      <c r="E583">
        <f>'FINANCIAL CREDITORS'!$AF$21</f>
        <v/>
      </c>
      <c r="F583">
        <f>IF('FINANCIAL CREDITORS'!$V$21="","",'FINANCIAL CREDITORS'!$V$21)</f>
        <v/>
      </c>
      <c r="G583">
        <f>IF('FINANCIAL CREDITORS'!$D$21="","",'FINANCIAL CREDITORS'!$D$21)</f>
        <v/>
      </c>
      <c r="H583">
        <f>IF('FINANCIAL CREDITORS'!$G$21="","",'FINANCIAL CREDITORS'!$G$21)</f>
        <v/>
      </c>
      <c r="I583">
        <f>IF('FINANCIAL CREDITORS'!$AY$21="","",'FINANCIAL CREDITORS'!$AY$21)</f>
        <v/>
      </c>
      <c r="J583">
        <f>IF('FINANCIAL CREDITORS'!$BC$21="","",'FINANCIAL CREDITORS'!$BC$21)</f>
        <v/>
      </c>
      <c r="K583">
        <f>IF('FINANCIAL CREDITORS'!$N$21="","",'FINANCIAL CREDITORS'!$N$21)</f>
        <v/>
      </c>
      <c r="L583">
        <f>IF('FINANCIAL CREDITORS'!$AH$21="","",'FINANCIAL CREDITORS'!$AH$21)</f>
        <v/>
      </c>
      <c r="M583">
        <f>IF('FINANCIAL CREDITORS'!$AO$21="","",'FINANCIAL CREDITORS'!$AO$21)</f>
        <v/>
      </c>
      <c r="N583">
        <f>IF('FINANCIAL CREDITORS'!$BF$21="","",'FINANCIAL CREDITORS'!$BF$21)</f>
        <v/>
      </c>
      <c r="O583" t="inlineStr">
        <is>
          <t>FINANCIAL</t>
        </is>
      </c>
      <c r="P583" t="inlineStr">
        <is>
          <t>FINANCIAL CREDITORS · row 21</t>
        </is>
      </c>
      <c r="Q583">
        <f>E583+ROW()*0.000000001</f>
        <v/>
      </c>
    </row>
    <row r="584">
      <c r="A584">
        <f>IF('FINANCIAL CREDITORS'!$A$22="","",'FINANCIAL CREDITORS'!$A$22)</f>
        <v/>
      </c>
      <c r="B584">
        <f>IF('FINANCIAL CREDITORS'!$C$22="","",'FINANCIAL CREDITORS'!$C$22)</f>
        <v/>
      </c>
      <c r="C584">
        <f>'FINANCIAL CREDITORS'!$U$22</f>
        <v/>
      </c>
      <c r="D584">
        <f>'FINANCIAL CREDITORS'!$AB$22</f>
        <v/>
      </c>
      <c r="E584">
        <f>'FINANCIAL CREDITORS'!$AF$22</f>
        <v/>
      </c>
      <c r="F584">
        <f>IF('FINANCIAL CREDITORS'!$V$22="","",'FINANCIAL CREDITORS'!$V$22)</f>
        <v/>
      </c>
      <c r="G584">
        <f>IF('FINANCIAL CREDITORS'!$D$22="","",'FINANCIAL CREDITORS'!$D$22)</f>
        <v/>
      </c>
      <c r="H584">
        <f>IF('FINANCIAL CREDITORS'!$G$22="","",'FINANCIAL CREDITORS'!$G$22)</f>
        <v/>
      </c>
      <c r="I584">
        <f>IF('FINANCIAL CREDITORS'!$AY$22="","",'FINANCIAL CREDITORS'!$AY$22)</f>
        <v/>
      </c>
      <c r="J584">
        <f>IF('FINANCIAL CREDITORS'!$BC$22="","",'FINANCIAL CREDITORS'!$BC$22)</f>
        <v/>
      </c>
      <c r="K584">
        <f>IF('FINANCIAL CREDITORS'!$N$22="","",'FINANCIAL CREDITORS'!$N$22)</f>
        <v/>
      </c>
      <c r="L584">
        <f>IF('FINANCIAL CREDITORS'!$AH$22="","",'FINANCIAL CREDITORS'!$AH$22)</f>
        <v/>
      </c>
      <c r="M584">
        <f>IF('FINANCIAL CREDITORS'!$AO$22="","",'FINANCIAL CREDITORS'!$AO$22)</f>
        <v/>
      </c>
      <c r="N584">
        <f>IF('FINANCIAL CREDITORS'!$BF$22="","",'FINANCIAL CREDITORS'!$BF$22)</f>
        <v/>
      </c>
      <c r="O584" t="inlineStr">
        <is>
          <t>FINANCIAL</t>
        </is>
      </c>
      <c r="P584" t="inlineStr">
        <is>
          <t>FINANCIAL CREDITORS · row 22</t>
        </is>
      </c>
      <c r="Q584">
        <f>E584+ROW()*0.000000001</f>
        <v/>
      </c>
    </row>
    <row r="585">
      <c r="A585">
        <f>IF('FINANCIAL CREDITORS'!$A$23="","",'FINANCIAL CREDITORS'!$A$23)</f>
        <v/>
      </c>
      <c r="B585">
        <f>IF('FINANCIAL CREDITORS'!$C$23="","",'FINANCIAL CREDITORS'!$C$23)</f>
        <v/>
      </c>
      <c r="C585">
        <f>'FINANCIAL CREDITORS'!$U$23</f>
        <v/>
      </c>
      <c r="D585">
        <f>'FINANCIAL CREDITORS'!$AB$23</f>
        <v/>
      </c>
      <c r="E585">
        <f>'FINANCIAL CREDITORS'!$AF$23</f>
        <v/>
      </c>
      <c r="F585">
        <f>IF('FINANCIAL CREDITORS'!$V$23="","",'FINANCIAL CREDITORS'!$V$23)</f>
        <v/>
      </c>
      <c r="G585">
        <f>IF('FINANCIAL CREDITORS'!$D$23="","",'FINANCIAL CREDITORS'!$D$23)</f>
        <v/>
      </c>
      <c r="H585">
        <f>IF('FINANCIAL CREDITORS'!$G$23="","",'FINANCIAL CREDITORS'!$G$23)</f>
        <v/>
      </c>
      <c r="I585">
        <f>IF('FINANCIAL CREDITORS'!$AY$23="","",'FINANCIAL CREDITORS'!$AY$23)</f>
        <v/>
      </c>
      <c r="J585">
        <f>IF('FINANCIAL CREDITORS'!$BC$23="","",'FINANCIAL CREDITORS'!$BC$23)</f>
        <v/>
      </c>
      <c r="K585">
        <f>IF('FINANCIAL CREDITORS'!$N$23="","",'FINANCIAL CREDITORS'!$N$23)</f>
        <v/>
      </c>
      <c r="L585">
        <f>IF('FINANCIAL CREDITORS'!$AH$23="","",'FINANCIAL CREDITORS'!$AH$23)</f>
        <v/>
      </c>
      <c r="M585">
        <f>IF('FINANCIAL CREDITORS'!$AO$23="","",'FINANCIAL CREDITORS'!$AO$23)</f>
        <v/>
      </c>
      <c r="N585">
        <f>IF('FINANCIAL CREDITORS'!$BF$23="","",'FINANCIAL CREDITORS'!$BF$23)</f>
        <v/>
      </c>
      <c r="O585" t="inlineStr">
        <is>
          <t>FINANCIAL</t>
        </is>
      </c>
      <c r="P585" t="inlineStr">
        <is>
          <t>FINANCIAL CREDITORS · row 23</t>
        </is>
      </c>
      <c r="Q585">
        <f>E585+ROW()*0.000000001</f>
        <v/>
      </c>
    </row>
    <row r="586">
      <c r="A586">
        <f>IF('FINANCIAL CREDITORS'!$A$24="","",'FINANCIAL CREDITORS'!$A$24)</f>
        <v/>
      </c>
      <c r="B586">
        <f>IF('FINANCIAL CREDITORS'!$C$24="","",'FINANCIAL CREDITORS'!$C$24)</f>
        <v/>
      </c>
      <c r="C586">
        <f>'FINANCIAL CREDITORS'!$U$24</f>
        <v/>
      </c>
      <c r="D586">
        <f>'FINANCIAL CREDITORS'!$AB$24</f>
        <v/>
      </c>
      <c r="E586">
        <f>'FINANCIAL CREDITORS'!$AF$24</f>
        <v/>
      </c>
      <c r="F586">
        <f>IF('FINANCIAL CREDITORS'!$V$24="","",'FINANCIAL CREDITORS'!$V$24)</f>
        <v/>
      </c>
      <c r="G586">
        <f>IF('FINANCIAL CREDITORS'!$D$24="","",'FINANCIAL CREDITORS'!$D$24)</f>
        <v/>
      </c>
      <c r="H586">
        <f>IF('FINANCIAL CREDITORS'!$G$24="","",'FINANCIAL CREDITORS'!$G$24)</f>
        <v/>
      </c>
      <c r="I586">
        <f>IF('FINANCIAL CREDITORS'!$AY$24="","",'FINANCIAL CREDITORS'!$AY$24)</f>
        <v/>
      </c>
      <c r="J586">
        <f>IF('FINANCIAL CREDITORS'!$BC$24="","",'FINANCIAL CREDITORS'!$BC$24)</f>
        <v/>
      </c>
      <c r="K586">
        <f>IF('FINANCIAL CREDITORS'!$N$24="","",'FINANCIAL CREDITORS'!$N$24)</f>
        <v/>
      </c>
      <c r="L586">
        <f>IF('FINANCIAL CREDITORS'!$AH$24="","",'FINANCIAL CREDITORS'!$AH$24)</f>
        <v/>
      </c>
      <c r="M586">
        <f>IF('FINANCIAL CREDITORS'!$AO$24="","",'FINANCIAL CREDITORS'!$AO$24)</f>
        <v/>
      </c>
      <c r="N586">
        <f>IF('FINANCIAL CREDITORS'!$BF$24="","",'FINANCIAL CREDITORS'!$BF$24)</f>
        <v/>
      </c>
      <c r="O586" t="inlineStr">
        <is>
          <t>FINANCIAL</t>
        </is>
      </c>
      <c r="P586" t="inlineStr">
        <is>
          <t>FINANCIAL CREDITORS · row 24</t>
        </is>
      </c>
      <c r="Q586">
        <f>E586+ROW()*0.000000001</f>
        <v/>
      </c>
    </row>
    <row r="587">
      <c r="A587">
        <f>IF('FINANCIAL CREDITORS'!$A$25="","",'FINANCIAL CREDITORS'!$A$25)</f>
        <v/>
      </c>
      <c r="B587">
        <f>IF('FINANCIAL CREDITORS'!$C$25="","",'FINANCIAL CREDITORS'!$C$25)</f>
        <v/>
      </c>
      <c r="C587">
        <f>'FINANCIAL CREDITORS'!$U$25</f>
        <v/>
      </c>
      <c r="D587">
        <f>'FINANCIAL CREDITORS'!$AB$25</f>
        <v/>
      </c>
      <c r="E587">
        <f>'FINANCIAL CREDITORS'!$AF$25</f>
        <v/>
      </c>
      <c r="F587">
        <f>IF('FINANCIAL CREDITORS'!$V$25="","",'FINANCIAL CREDITORS'!$V$25)</f>
        <v/>
      </c>
      <c r="G587">
        <f>IF('FINANCIAL CREDITORS'!$D$25="","",'FINANCIAL CREDITORS'!$D$25)</f>
        <v/>
      </c>
      <c r="H587">
        <f>IF('FINANCIAL CREDITORS'!$G$25="","",'FINANCIAL CREDITORS'!$G$25)</f>
        <v/>
      </c>
      <c r="I587">
        <f>IF('FINANCIAL CREDITORS'!$AY$25="","",'FINANCIAL CREDITORS'!$AY$25)</f>
        <v/>
      </c>
      <c r="J587">
        <f>IF('FINANCIAL CREDITORS'!$BC$25="","",'FINANCIAL CREDITORS'!$BC$25)</f>
        <v/>
      </c>
      <c r="K587">
        <f>IF('FINANCIAL CREDITORS'!$N$25="","",'FINANCIAL CREDITORS'!$N$25)</f>
        <v/>
      </c>
      <c r="L587">
        <f>IF('FINANCIAL CREDITORS'!$AH$25="","",'FINANCIAL CREDITORS'!$AH$25)</f>
        <v/>
      </c>
      <c r="M587">
        <f>IF('FINANCIAL CREDITORS'!$AO$25="","",'FINANCIAL CREDITORS'!$AO$25)</f>
        <v/>
      </c>
      <c r="N587">
        <f>IF('FINANCIAL CREDITORS'!$BF$25="","",'FINANCIAL CREDITORS'!$BF$25)</f>
        <v/>
      </c>
      <c r="O587" t="inlineStr">
        <is>
          <t>FINANCIAL</t>
        </is>
      </c>
      <c r="P587" t="inlineStr">
        <is>
          <t>FINANCIAL CREDITORS · row 25</t>
        </is>
      </c>
      <c r="Q587">
        <f>E587+ROW()*0.000000001</f>
        <v/>
      </c>
    </row>
    <row r="588">
      <c r="A588">
        <f>IF('FINANCIAL CREDITORS'!$A$26="","",'FINANCIAL CREDITORS'!$A$26)</f>
        <v/>
      </c>
      <c r="B588">
        <f>IF('FINANCIAL CREDITORS'!$C$26="","",'FINANCIAL CREDITORS'!$C$26)</f>
        <v/>
      </c>
      <c r="C588">
        <f>'FINANCIAL CREDITORS'!$U$26</f>
        <v/>
      </c>
      <c r="D588">
        <f>'FINANCIAL CREDITORS'!$AB$26</f>
        <v/>
      </c>
      <c r="E588">
        <f>'FINANCIAL CREDITORS'!$AF$26</f>
        <v/>
      </c>
      <c r="F588">
        <f>IF('FINANCIAL CREDITORS'!$V$26="","",'FINANCIAL CREDITORS'!$V$26)</f>
        <v/>
      </c>
      <c r="G588">
        <f>IF('FINANCIAL CREDITORS'!$D$26="","",'FINANCIAL CREDITORS'!$D$26)</f>
        <v/>
      </c>
      <c r="H588">
        <f>IF('FINANCIAL CREDITORS'!$G$26="","",'FINANCIAL CREDITORS'!$G$26)</f>
        <v/>
      </c>
      <c r="I588">
        <f>IF('FINANCIAL CREDITORS'!$AY$26="","",'FINANCIAL CREDITORS'!$AY$26)</f>
        <v/>
      </c>
      <c r="J588">
        <f>IF('FINANCIAL CREDITORS'!$BC$26="","",'FINANCIAL CREDITORS'!$BC$26)</f>
        <v/>
      </c>
      <c r="K588">
        <f>IF('FINANCIAL CREDITORS'!$N$26="","",'FINANCIAL CREDITORS'!$N$26)</f>
        <v/>
      </c>
      <c r="L588">
        <f>IF('FINANCIAL CREDITORS'!$AH$26="","",'FINANCIAL CREDITORS'!$AH$26)</f>
        <v/>
      </c>
      <c r="M588">
        <f>IF('FINANCIAL CREDITORS'!$AO$26="","",'FINANCIAL CREDITORS'!$AO$26)</f>
        <v/>
      </c>
      <c r="N588">
        <f>IF('FINANCIAL CREDITORS'!$BF$26="","",'FINANCIAL CREDITORS'!$BF$26)</f>
        <v/>
      </c>
      <c r="O588" t="inlineStr">
        <is>
          <t>FINANCIAL</t>
        </is>
      </c>
      <c r="P588" t="inlineStr">
        <is>
          <t>FINANCIAL CREDITORS · row 26</t>
        </is>
      </c>
      <c r="Q588">
        <f>E588+ROW()*0.000000001</f>
        <v/>
      </c>
    </row>
    <row r="589">
      <c r="A589">
        <f>IF('FINANCIAL CREDITORS'!$A$27="","",'FINANCIAL CREDITORS'!$A$27)</f>
        <v/>
      </c>
      <c r="B589">
        <f>IF('FINANCIAL CREDITORS'!$C$27="","",'FINANCIAL CREDITORS'!$C$27)</f>
        <v/>
      </c>
      <c r="C589">
        <f>'FINANCIAL CREDITORS'!$U$27</f>
        <v/>
      </c>
      <c r="D589">
        <f>'FINANCIAL CREDITORS'!$AB$27</f>
        <v/>
      </c>
      <c r="E589">
        <f>'FINANCIAL CREDITORS'!$AF$27</f>
        <v/>
      </c>
      <c r="F589">
        <f>IF('FINANCIAL CREDITORS'!$V$27="","",'FINANCIAL CREDITORS'!$V$27)</f>
        <v/>
      </c>
      <c r="G589">
        <f>IF('FINANCIAL CREDITORS'!$D$27="","",'FINANCIAL CREDITORS'!$D$27)</f>
        <v/>
      </c>
      <c r="H589">
        <f>IF('FINANCIAL CREDITORS'!$G$27="","",'FINANCIAL CREDITORS'!$G$27)</f>
        <v/>
      </c>
      <c r="I589">
        <f>IF('FINANCIAL CREDITORS'!$AY$27="","",'FINANCIAL CREDITORS'!$AY$27)</f>
        <v/>
      </c>
      <c r="J589">
        <f>IF('FINANCIAL CREDITORS'!$BC$27="","",'FINANCIAL CREDITORS'!$BC$27)</f>
        <v/>
      </c>
      <c r="K589">
        <f>IF('FINANCIAL CREDITORS'!$N$27="","",'FINANCIAL CREDITORS'!$N$27)</f>
        <v/>
      </c>
      <c r="L589">
        <f>IF('FINANCIAL CREDITORS'!$AH$27="","",'FINANCIAL CREDITORS'!$AH$27)</f>
        <v/>
      </c>
      <c r="M589">
        <f>IF('FINANCIAL CREDITORS'!$AO$27="","",'FINANCIAL CREDITORS'!$AO$27)</f>
        <v/>
      </c>
      <c r="N589">
        <f>IF('FINANCIAL CREDITORS'!$BF$27="","",'FINANCIAL CREDITORS'!$BF$27)</f>
        <v/>
      </c>
      <c r="O589" t="inlineStr">
        <is>
          <t>FINANCIAL</t>
        </is>
      </c>
      <c r="P589" t="inlineStr">
        <is>
          <t>FINANCIAL CREDITORS · row 27</t>
        </is>
      </c>
      <c r="Q589">
        <f>E589+ROW()*0.000000001</f>
        <v/>
      </c>
    </row>
    <row r="590">
      <c r="A590">
        <f>IF('FINANCIAL CREDITORS'!$A$28="","",'FINANCIAL CREDITORS'!$A$28)</f>
        <v/>
      </c>
      <c r="B590">
        <f>IF('FINANCIAL CREDITORS'!$C$28="","",'FINANCIAL CREDITORS'!$C$28)</f>
        <v/>
      </c>
      <c r="C590">
        <f>'FINANCIAL CREDITORS'!$U$28</f>
        <v/>
      </c>
      <c r="D590">
        <f>'FINANCIAL CREDITORS'!$AB$28</f>
        <v/>
      </c>
      <c r="E590">
        <f>'FINANCIAL CREDITORS'!$AF$28</f>
        <v/>
      </c>
      <c r="F590">
        <f>IF('FINANCIAL CREDITORS'!$V$28="","",'FINANCIAL CREDITORS'!$V$28)</f>
        <v/>
      </c>
      <c r="G590">
        <f>IF('FINANCIAL CREDITORS'!$D$28="","",'FINANCIAL CREDITORS'!$D$28)</f>
        <v/>
      </c>
      <c r="H590">
        <f>IF('FINANCIAL CREDITORS'!$G$28="","",'FINANCIAL CREDITORS'!$G$28)</f>
        <v/>
      </c>
      <c r="I590">
        <f>IF('FINANCIAL CREDITORS'!$AY$28="","",'FINANCIAL CREDITORS'!$AY$28)</f>
        <v/>
      </c>
      <c r="J590">
        <f>IF('FINANCIAL CREDITORS'!$BC$28="","",'FINANCIAL CREDITORS'!$BC$28)</f>
        <v/>
      </c>
      <c r="K590">
        <f>IF('FINANCIAL CREDITORS'!$N$28="","",'FINANCIAL CREDITORS'!$N$28)</f>
        <v/>
      </c>
      <c r="L590">
        <f>IF('FINANCIAL CREDITORS'!$AH$28="","",'FINANCIAL CREDITORS'!$AH$28)</f>
        <v/>
      </c>
      <c r="M590">
        <f>IF('FINANCIAL CREDITORS'!$AO$28="","",'FINANCIAL CREDITORS'!$AO$28)</f>
        <v/>
      </c>
      <c r="N590">
        <f>IF('FINANCIAL CREDITORS'!$BF$28="","",'FINANCIAL CREDITORS'!$BF$28)</f>
        <v/>
      </c>
      <c r="O590" t="inlineStr">
        <is>
          <t>FINANCIAL</t>
        </is>
      </c>
      <c r="P590" t="inlineStr">
        <is>
          <t>FINANCIAL CREDITORS · row 28</t>
        </is>
      </c>
      <c r="Q590">
        <f>E590+ROW()*0.000000001</f>
        <v/>
      </c>
    </row>
    <row r="591">
      <c r="A591">
        <f>IF('FINANCIAL CREDITORS'!$A$29="","",'FINANCIAL CREDITORS'!$A$29)</f>
        <v/>
      </c>
      <c r="B591">
        <f>IF('FINANCIAL CREDITORS'!$C$29="","",'FINANCIAL CREDITORS'!$C$29)</f>
        <v/>
      </c>
      <c r="C591">
        <f>'FINANCIAL CREDITORS'!$U$29</f>
        <v/>
      </c>
      <c r="D591">
        <f>'FINANCIAL CREDITORS'!$AB$29</f>
        <v/>
      </c>
      <c r="E591">
        <f>'FINANCIAL CREDITORS'!$AF$29</f>
        <v/>
      </c>
      <c r="F591">
        <f>IF('FINANCIAL CREDITORS'!$V$29="","",'FINANCIAL CREDITORS'!$V$29)</f>
        <v/>
      </c>
      <c r="G591">
        <f>IF('FINANCIAL CREDITORS'!$D$29="","",'FINANCIAL CREDITORS'!$D$29)</f>
        <v/>
      </c>
      <c r="H591">
        <f>IF('FINANCIAL CREDITORS'!$G$29="","",'FINANCIAL CREDITORS'!$G$29)</f>
        <v/>
      </c>
      <c r="I591">
        <f>IF('FINANCIAL CREDITORS'!$AY$29="","",'FINANCIAL CREDITORS'!$AY$29)</f>
        <v/>
      </c>
      <c r="J591">
        <f>IF('FINANCIAL CREDITORS'!$BC$29="","",'FINANCIAL CREDITORS'!$BC$29)</f>
        <v/>
      </c>
      <c r="K591">
        <f>IF('FINANCIAL CREDITORS'!$N$29="","",'FINANCIAL CREDITORS'!$N$29)</f>
        <v/>
      </c>
      <c r="L591">
        <f>IF('FINANCIAL CREDITORS'!$AH$29="","",'FINANCIAL CREDITORS'!$AH$29)</f>
        <v/>
      </c>
      <c r="M591">
        <f>IF('FINANCIAL CREDITORS'!$AO$29="","",'FINANCIAL CREDITORS'!$AO$29)</f>
        <v/>
      </c>
      <c r="N591">
        <f>IF('FINANCIAL CREDITORS'!$BF$29="","",'FINANCIAL CREDITORS'!$BF$29)</f>
        <v/>
      </c>
      <c r="O591" t="inlineStr">
        <is>
          <t>FINANCIAL</t>
        </is>
      </c>
      <c r="P591" t="inlineStr">
        <is>
          <t>FINANCIAL CREDITORS · row 29</t>
        </is>
      </c>
      <c r="Q591">
        <f>E591+ROW()*0.000000001</f>
        <v/>
      </c>
    </row>
    <row r="592">
      <c r="A592">
        <f>IF('FINANCIAL CREDITORS'!$A$30="","",'FINANCIAL CREDITORS'!$A$30)</f>
        <v/>
      </c>
      <c r="B592">
        <f>IF('FINANCIAL CREDITORS'!$C$30="","",'FINANCIAL CREDITORS'!$C$30)</f>
        <v/>
      </c>
      <c r="C592">
        <f>'FINANCIAL CREDITORS'!$U$30</f>
        <v/>
      </c>
      <c r="D592">
        <f>'FINANCIAL CREDITORS'!$AB$30</f>
        <v/>
      </c>
      <c r="E592">
        <f>'FINANCIAL CREDITORS'!$AF$30</f>
        <v/>
      </c>
      <c r="F592">
        <f>IF('FINANCIAL CREDITORS'!$V$30="","",'FINANCIAL CREDITORS'!$V$30)</f>
        <v/>
      </c>
      <c r="G592">
        <f>IF('FINANCIAL CREDITORS'!$D$30="","",'FINANCIAL CREDITORS'!$D$30)</f>
        <v/>
      </c>
      <c r="H592">
        <f>IF('FINANCIAL CREDITORS'!$G$30="","",'FINANCIAL CREDITORS'!$G$30)</f>
        <v/>
      </c>
      <c r="I592">
        <f>IF('FINANCIAL CREDITORS'!$AY$30="","",'FINANCIAL CREDITORS'!$AY$30)</f>
        <v/>
      </c>
      <c r="J592">
        <f>IF('FINANCIAL CREDITORS'!$BC$30="","",'FINANCIAL CREDITORS'!$BC$30)</f>
        <v/>
      </c>
      <c r="K592">
        <f>IF('FINANCIAL CREDITORS'!$N$30="","",'FINANCIAL CREDITORS'!$N$30)</f>
        <v/>
      </c>
      <c r="L592">
        <f>IF('FINANCIAL CREDITORS'!$AH$30="","",'FINANCIAL CREDITORS'!$AH$30)</f>
        <v/>
      </c>
      <c r="M592">
        <f>IF('FINANCIAL CREDITORS'!$AO$30="","",'FINANCIAL CREDITORS'!$AO$30)</f>
        <v/>
      </c>
      <c r="N592">
        <f>IF('FINANCIAL CREDITORS'!$BF$30="","",'FINANCIAL CREDITORS'!$BF$30)</f>
        <v/>
      </c>
      <c r="O592" t="inlineStr">
        <is>
          <t>FINANCIAL</t>
        </is>
      </c>
      <c r="P592" t="inlineStr">
        <is>
          <t>FINANCIAL CREDITORS · row 30</t>
        </is>
      </c>
      <c r="Q592">
        <f>E592+ROW()*0.000000001</f>
        <v/>
      </c>
    </row>
    <row r="593">
      <c r="A593">
        <f>IF('FINANCIAL CREDITORS'!$A$31="","",'FINANCIAL CREDITORS'!$A$31)</f>
        <v/>
      </c>
      <c r="B593">
        <f>IF('FINANCIAL CREDITORS'!$C$31="","",'FINANCIAL CREDITORS'!$C$31)</f>
        <v/>
      </c>
      <c r="C593">
        <f>'FINANCIAL CREDITORS'!$U$31</f>
        <v/>
      </c>
      <c r="D593">
        <f>'FINANCIAL CREDITORS'!$AB$31</f>
        <v/>
      </c>
      <c r="E593">
        <f>'FINANCIAL CREDITORS'!$AF$31</f>
        <v/>
      </c>
      <c r="F593">
        <f>IF('FINANCIAL CREDITORS'!$V$31="","",'FINANCIAL CREDITORS'!$V$31)</f>
        <v/>
      </c>
      <c r="G593">
        <f>IF('FINANCIAL CREDITORS'!$D$31="","",'FINANCIAL CREDITORS'!$D$31)</f>
        <v/>
      </c>
      <c r="H593">
        <f>IF('FINANCIAL CREDITORS'!$G$31="","",'FINANCIAL CREDITORS'!$G$31)</f>
        <v/>
      </c>
      <c r="I593">
        <f>IF('FINANCIAL CREDITORS'!$AY$31="","",'FINANCIAL CREDITORS'!$AY$31)</f>
        <v/>
      </c>
      <c r="J593">
        <f>IF('FINANCIAL CREDITORS'!$BC$31="","",'FINANCIAL CREDITORS'!$BC$31)</f>
        <v/>
      </c>
      <c r="K593">
        <f>IF('FINANCIAL CREDITORS'!$N$31="","",'FINANCIAL CREDITORS'!$N$31)</f>
        <v/>
      </c>
      <c r="L593">
        <f>IF('FINANCIAL CREDITORS'!$AH$31="","",'FINANCIAL CREDITORS'!$AH$31)</f>
        <v/>
      </c>
      <c r="M593">
        <f>IF('FINANCIAL CREDITORS'!$AO$31="","",'FINANCIAL CREDITORS'!$AO$31)</f>
        <v/>
      </c>
      <c r="N593">
        <f>IF('FINANCIAL CREDITORS'!$BF$31="","",'FINANCIAL CREDITORS'!$BF$31)</f>
        <v/>
      </c>
      <c r="O593" t="inlineStr">
        <is>
          <t>FINANCIAL</t>
        </is>
      </c>
      <c r="P593" t="inlineStr">
        <is>
          <t>FINANCIAL CREDITORS · row 31</t>
        </is>
      </c>
      <c r="Q593">
        <f>E593+ROW()*0.000000001</f>
        <v/>
      </c>
    </row>
    <row r="594">
      <c r="A594">
        <f>IF('FINANCIAL CREDITORS'!$A$32="","",'FINANCIAL CREDITORS'!$A$32)</f>
        <v/>
      </c>
      <c r="B594">
        <f>IF('FINANCIAL CREDITORS'!$C$32="","",'FINANCIAL CREDITORS'!$C$32)</f>
        <v/>
      </c>
      <c r="C594">
        <f>'FINANCIAL CREDITORS'!$U$32</f>
        <v/>
      </c>
      <c r="D594">
        <f>'FINANCIAL CREDITORS'!$AB$32</f>
        <v/>
      </c>
      <c r="E594">
        <f>'FINANCIAL CREDITORS'!$AF$32</f>
        <v/>
      </c>
      <c r="F594">
        <f>IF('FINANCIAL CREDITORS'!$V$32="","",'FINANCIAL CREDITORS'!$V$32)</f>
        <v/>
      </c>
      <c r="G594">
        <f>IF('FINANCIAL CREDITORS'!$D$32="","",'FINANCIAL CREDITORS'!$D$32)</f>
        <v/>
      </c>
      <c r="H594">
        <f>IF('FINANCIAL CREDITORS'!$G$32="","",'FINANCIAL CREDITORS'!$G$32)</f>
        <v/>
      </c>
      <c r="I594">
        <f>IF('FINANCIAL CREDITORS'!$AY$32="","",'FINANCIAL CREDITORS'!$AY$32)</f>
        <v/>
      </c>
      <c r="J594">
        <f>IF('FINANCIAL CREDITORS'!$BC$32="","",'FINANCIAL CREDITORS'!$BC$32)</f>
        <v/>
      </c>
      <c r="K594">
        <f>IF('FINANCIAL CREDITORS'!$N$32="","",'FINANCIAL CREDITORS'!$N$32)</f>
        <v/>
      </c>
      <c r="L594">
        <f>IF('FINANCIAL CREDITORS'!$AH$32="","",'FINANCIAL CREDITORS'!$AH$32)</f>
        <v/>
      </c>
      <c r="M594">
        <f>IF('FINANCIAL CREDITORS'!$AO$32="","",'FINANCIAL CREDITORS'!$AO$32)</f>
        <v/>
      </c>
      <c r="N594">
        <f>IF('FINANCIAL CREDITORS'!$BF$32="","",'FINANCIAL CREDITORS'!$BF$32)</f>
        <v/>
      </c>
      <c r="O594" t="inlineStr">
        <is>
          <t>FINANCIAL</t>
        </is>
      </c>
      <c r="P594" t="inlineStr">
        <is>
          <t>FINANCIAL CREDITORS · row 32</t>
        </is>
      </c>
      <c r="Q594">
        <f>E594+ROW()*0.000000001</f>
        <v/>
      </c>
    </row>
    <row r="595">
      <c r="A595">
        <f>IF('FINANCIAL CREDITORS'!$A$33="","",'FINANCIAL CREDITORS'!$A$33)</f>
        <v/>
      </c>
      <c r="B595">
        <f>IF('FINANCIAL CREDITORS'!$C$33="","",'FINANCIAL CREDITORS'!$C$33)</f>
        <v/>
      </c>
      <c r="C595">
        <f>'FINANCIAL CREDITORS'!$U$33</f>
        <v/>
      </c>
      <c r="D595">
        <f>'FINANCIAL CREDITORS'!$AB$33</f>
        <v/>
      </c>
      <c r="E595">
        <f>'FINANCIAL CREDITORS'!$AF$33</f>
        <v/>
      </c>
      <c r="F595">
        <f>IF('FINANCIAL CREDITORS'!$V$33="","",'FINANCIAL CREDITORS'!$V$33)</f>
        <v/>
      </c>
      <c r="G595">
        <f>IF('FINANCIAL CREDITORS'!$D$33="","",'FINANCIAL CREDITORS'!$D$33)</f>
        <v/>
      </c>
      <c r="H595">
        <f>IF('FINANCIAL CREDITORS'!$G$33="","",'FINANCIAL CREDITORS'!$G$33)</f>
        <v/>
      </c>
      <c r="I595">
        <f>IF('FINANCIAL CREDITORS'!$AY$33="","",'FINANCIAL CREDITORS'!$AY$33)</f>
        <v/>
      </c>
      <c r="J595">
        <f>IF('FINANCIAL CREDITORS'!$BC$33="","",'FINANCIAL CREDITORS'!$BC$33)</f>
        <v/>
      </c>
      <c r="K595">
        <f>IF('FINANCIAL CREDITORS'!$N$33="","",'FINANCIAL CREDITORS'!$N$33)</f>
        <v/>
      </c>
      <c r="L595">
        <f>IF('FINANCIAL CREDITORS'!$AH$33="","",'FINANCIAL CREDITORS'!$AH$33)</f>
        <v/>
      </c>
      <c r="M595">
        <f>IF('FINANCIAL CREDITORS'!$AO$33="","",'FINANCIAL CREDITORS'!$AO$33)</f>
        <v/>
      </c>
      <c r="N595">
        <f>IF('FINANCIAL CREDITORS'!$BF$33="","",'FINANCIAL CREDITORS'!$BF$33)</f>
        <v/>
      </c>
      <c r="O595" t="inlineStr">
        <is>
          <t>FINANCIAL</t>
        </is>
      </c>
      <c r="P595" t="inlineStr">
        <is>
          <t>FINANCIAL CREDITORS · row 33</t>
        </is>
      </c>
      <c r="Q595">
        <f>E595+ROW()*0.000000001</f>
        <v/>
      </c>
    </row>
    <row r="596">
      <c r="A596">
        <f>IF('FINANCIAL CREDITORS'!$A$34="","",'FINANCIAL CREDITORS'!$A$34)</f>
        <v/>
      </c>
      <c r="B596">
        <f>IF('FINANCIAL CREDITORS'!$C$34="","",'FINANCIAL CREDITORS'!$C$34)</f>
        <v/>
      </c>
      <c r="C596">
        <f>'FINANCIAL CREDITORS'!$U$34</f>
        <v/>
      </c>
      <c r="D596">
        <f>'FINANCIAL CREDITORS'!$AB$34</f>
        <v/>
      </c>
      <c r="E596">
        <f>'FINANCIAL CREDITORS'!$AF$34</f>
        <v/>
      </c>
      <c r="F596">
        <f>IF('FINANCIAL CREDITORS'!$V$34="","",'FINANCIAL CREDITORS'!$V$34)</f>
        <v/>
      </c>
      <c r="G596">
        <f>IF('FINANCIAL CREDITORS'!$D$34="","",'FINANCIAL CREDITORS'!$D$34)</f>
        <v/>
      </c>
      <c r="H596">
        <f>IF('FINANCIAL CREDITORS'!$G$34="","",'FINANCIAL CREDITORS'!$G$34)</f>
        <v/>
      </c>
      <c r="I596">
        <f>IF('FINANCIAL CREDITORS'!$AY$34="","",'FINANCIAL CREDITORS'!$AY$34)</f>
        <v/>
      </c>
      <c r="J596">
        <f>IF('FINANCIAL CREDITORS'!$BC$34="","",'FINANCIAL CREDITORS'!$BC$34)</f>
        <v/>
      </c>
      <c r="K596">
        <f>IF('FINANCIAL CREDITORS'!$N$34="","",'FINANCIAL CREDITORS'!$N$34)</f>
        <v/>
      </c>
      <c r="L596">
        <f>IF('FINANCIAL CREDITORS'!$AH$34="","",'FINANCIAL CREDITORS'!$AH$34)</f>
        <v/>
      </c>
      <c r="M596">
        <f>IF('FINANCIAL CREDITORS'!$AO$34="","",'FINANCIAL CREDITORS'!$AO$34)</f>
        <v/>
      </c>
      <c r="N596">
        <f>IF('FINANCIAL CREDITORS'!$BF$34="","",'FINANCIAL CREDITORS'!$BF$34)</f>
        <v/>
      </c>
      <c r="O596" t="inlineStr">
        <is>
          <t>FINANCIAL</t>
        </is>
      </c>
      <c r="P596" t="inlineStr">
        <is>
          <t>FINANCIAL CREDITORS · row 34</t>
        </is>
      </c>
      <c r="Q596">
        <f>E596+ROW()*0.000000001</f>
        <v/>
      </c>
    </row>
    <row r="597">
      <c r="A597">
        <f>IF('FINANCIAL CREDITORS'!$A$35="","",'FINANCIAL CREDITORS'!$A$35)</f>
        <v/>
      </c>
      <c r="B597">
        <f>IF('FINANCIAL CREDITORS'!$C$35="","",'FINANCIAL CREDITORS'!$C$35)</f>
        <v/>
      </c>
      <c r="C597">
        <f>'FINANCIAL CREDITORS'!$U$35</f>
        <v/>
      </c>
      <c r="D597">
        <f>'FINANCIAL CREDITORS'!$AB$35</f>
        <v/>
      </c>
      <c r="E597">
        <f>'FINANCIAL CREDITORS'!$AF$35</f>
        <v/>
      </c>
      <c r="F597">
        <f>IF('FINANCIAL CREDITORS'!$V$35="","",'FINANCIAL CREDITORS'!$V$35)</f>
        <v/>
      </c>
      <c r="G597">
        <f>IF('FINANCIAL CREDITORS'!$D$35="","",'FINANCIAL CREDITORS'!$D$35)</f>
        <v/>
      </c>
      <c r="H597">
        <f>IF('FINANCIAL CREDITORS'!$G$35="","",'FINANCIAL CREDITORS'!$G$35)</f>
        <v/>
      </c>
      <c r="I597">
        <f>IF('FINANCIAL CREDITORS'!$AY$35="","",'FINANCIAL CREDITORS'!$AY$35)</f>
        <v/>
      </c>
      <c r="J597">
        <f>IF('FINANCIAL CREDITORS'!$BC$35="","",'FINANCIAL CREDITORS'!$BC$35)</f>
        <v/>
      </c>
      <c r="K597">
        <f>IF('FINANCIAL CREDITORS'!$N$35="","",'FINANCIAL CREDITORS'!$N$35)</f>
        <v/>
      </c>
      <c r="L597">
        <f>IF('FINANCIAL CREDITORS'!$AH$35="","",'FINANCIAL CREDITORS'!$AH$35)</f>
        <v/>
      </c>
      <c r="M597">
        <f>IF('FINANCIAL CREDITORS'!$AO$35="","",'FINANCIAL CREDITORS'!$AO$35)</f>
        <v/>
      </c>
      <c r="N597">
        <f>IF('FINANCIAL CREDITORS'!$BF$35="","",'FINANCIAL CREDITORS'!$BF$35)</f>
        <v/>
      </c>
      <c r="O597" t="inlineStr">
        <is>
          <t>FINANCIAL</t>
        </is>
      </c>
      <c r="P597" t="inlineStr">
        <is>
          <t>FINANCIAL CREDITORS · row 35</t>
        </is>
      </c>
      <c r="Q597">
        <f>E597+ROW()*0.000000001</f>
        <v/>
      </c>
    </row>
    <row r="598">
      <c r="A598">
        <f>IF('FINANCIAL CREDITORS'!$A$36="","",'FINANCIAL CREDITORS'!$A$36)</f>
        <v/>
      </c>
      <c r="B598">
        <f>IF('FINANCIAL CREDITORS'!$C$36="","",'FINANCIAL CREDITORS'!$C$36)</f>
        <v/>
      </c>
      <c r="C598">
        <f>'FINANCIAL CREDITORS'!$U$36</f>
        <v/>
      </c>
      <c r="D598">
        <f>'FINANCIAL CREDITORS'!$AB$36</f>
        <v/>
      </c>
      <c r="E598">
        <f>'FINANCIAL CREDITORS'!$AF$36</f>
        <v/>
      </c>
      <c r="F598">
        <f>IF('FINANCIAL CREDITORS'!$V$36="","",'FINANCIAL CREDITORS'!$V$36)</f>
        <v/>
      </c>
      <c r="G598">
        <f>IF('FINANCIAL CREDITORS'!$D$36="","",'FINANCIAL CREDITORS'!$D$36)</f>
        <v/>
      </c>
      <c r="H598">
        <f>IF('FINANCIAL CREDITORS'!$G$36="","",'FINANCIAL CREDITORS'!$G$36)</f>
        <v/>
      </c>
      <c r="I598">
        <f>IF('FINANCIAL CREDITORS'!$AY$36="","",'FINANCIAL CREDITORS'!$AY$36)</f>
        <v/>
      </c>
      <c r="J598">
        <f>IF('FINANCIAL CREDITORS'!$BC$36="","",'FINANCIAL CREDITORS'!$BC$36)</f>
        <v/>
      </c>
      <c r="K598">
        <f>IF('FINANCIAL CREDITORS'!$N$36="","",'FINANCIAL CREDITORS'!$N$36)</f>
        <v/>
      </c>
      <c r="L598">
        <f>IF('FINANCIAL CREDITORS'!$AH$36="","",'FINANCIAL CREDITORS'!$AH$36)</f>
        <v/>
      </c>
      <c r="M598">
        <f>IF('FINANCIAL CREDITORS'!$AO$36="","",'FINANCIAL CREDITORS'!$AO$36)</f>
        <v/>
      </c>
      <c r="N598">
        <f>IF('FINANCIAL CREDITORS'!$BF$36="","",'FINANCIAL CREDITORS'!$BF$36)</f>
        <v/>
      </c>
      <c r="O598" t="inlineStr">
        <is>
          <t>FINANCIAL</t>
        </is>
      </c>
      <c r="P598" t="inlineStr">
        <is>
          <t>FINANCIAL CREDITORS · row 36</t>
        </is>
      </c>
      <c r="Q598">
        <f>E598+ROW()*0.000000001</f>
        <v/>
      </c>
    </row>
    <row r="599">
      <c r="A599">
        <f>IF('FINANCIAL CREDITORS'!$A$37="","",'FINANCIAL CREDITORS'!$A$37)</f>
        <v/>
      </c>
      <c r="B599">
        <f>IF('FINANCIAL CREDITORS'!$C$37="","",'FINANCIAL CREDITORS'!$C$37)</f>
        <v/>
      </c>
      <c r="C599">
        <f>'FINANCIAL CREDITORS'!$U$37</f>
        <v/>
      </c>
      <c r="D599">
        <f>'FINANCIAL CREDITORS'!$AB$37</f>
        <v/>
      </c>
      <c r="E599">
        <f>'FINANCIAL CREDITORS'!$AF$37</f>
        <v/>
      </c>
      <c r="F599">
        <f>IF('FINANCIAL CREDITORS'!$V$37="","",'FINANCIAL CREDITORS'!$V$37)</f>
        <v/>
      </c>
      <c r="G599">
        <f>IF('FINANCIAL CREDITORS'!$D$37="","",'FINANCIAL CREDITORS'!$D$37)</f>
        <v/>
      </c>
      <c r="H599">
        <f>IF('FINANCIAL CREDITORS'!$G$37="","",'FINANCIAL CREDITORS'!$G$37)</f>
        <v/>
      </c>
      <c r="I599">
        <f>IF('FINANCIAL CREDITORS'!$AY$37="","",'FINANCIAL CREDITORS'!$AY$37)</f>
        <v/>
      </c>
      <c r="J599">
        <f>IF('FINANCIAL CREDITORS'!$BC$37="","",'FINANCIAL CREDITORS'!$BC$37)</f>
        <v/>
      </c>
      <c r="K599">
        <f>IF('FINANCIAL CREDITORS'!$N$37="","",'FINANCIAL CREDITORS'!$N$37)</f>
        <v/>
      </c>
      <c r="L599">
        <f>IF('FINANCIAL CREDITORS'!$AH$37="","",'FINANCIAL CREDITORS'!$AH$37)</f>
        <v/>
      </c>
      <c r="M599">
        <f>IF('FINANCIAL CREDITORS'!$AO$37="","",'FINANCIAL CREDITORS'!$AO$37)</f>
        <v/>
      </c>
      <c r="N599">
        <f>IF('FINANCIAL CREDITORS'!$BF$37="","",'FINANCIAL CREDITORS'!$BF$37)</f>
        <v/>
      </c>
      <c r="O599" t="inlineStr">
        <is>
          <t>FINANCIAL</t>
        </is>
      </c>
      <c r="P599" t="inlineStr">
        <is>
          <t>FINANCIAL CREDITORS · row 37</t>
        </is>
      </c>
      <c r="Q599">
        <f>E599+ROW()*0.000000001</f>
        <v/>
      </c>
    </row>
    <row r="600">
      <c r="A600">
        <f>IF('FINANCIAL CREDITORS'!$A$38="","",'FINANCIAL CREDITORS'!$A$38)</f>
        <v/>
      </c>
      <c r="B600">
        <f>IF('FINANCIAL CREDITORS'!$C$38="","",'FINANCIAL CREDITORS'!$C$38)</f>
        <v/>
      </c>
      <c r="C600">
        <f>'FINANCIAL CREDITORS'!$U$38</f>
        <v/>
      </c>
      <c r="D600">
        <f>'FINANCIAL CREDITORS'!$AB$38</f>
        <v/>
      </c>
      <c r="E600">
        <f>'FINANCIAL CREDITORS'!$AF$38</f>
        <v/>
      </c>
      <c r="F600">
        <f>IF('FINANCIAL CREDITORS'!$V$38="","",'FINANCIAL CREDITORS'!$V$38)</f>
        <v/>
      </c>
      <c r="G600">
        <f>IF('FINANCIAL CREDITORS'!$D$38="","",'FINANCIAL CREDITORS'!$D$38)</f>
        <v/>
      </c>
      <c r="H600">
        <f>IF('FINANCIAL CREDITORS'!$G$38="","",'FINANCIAL CREDITORS'!$G$38)</f>
        <v/>
      </c>
      <c r="I600">
        <f>IF('FINANCIAL CREDITORS'!$AY$38="","",'FINANCIAL CREDITORS'!$AY$38)</f>
        <v/>
      </c>
      <c r="J600">
        <f>IF('FINANCIAL CREDITORS'!$BC$38="","",'FINANCIAL CREDITORS'!$BC$38)</f>
        <v/>
      </c>
      <c r="K600">
        <f>IF('FINANCIAL CREDITORS'!$N$38="","",'FINANCIAL CREDITORS'!$N$38)</f>
        <v/>
      </c>
      <c r="L600">
        <f>IF('FINANCIAL CREDITORS'!$AH$38="","",'FINANCIAL CREDITORS'!$AH$38)</f>
        <v/>
      </c>
      <c r="M600">
        <f>IF('FINANCIAL CREDITORS'!$AO$38="","",'FINANCIAL CREDITORS'!$AO$38)</f>
        <v/>
      </c>
      <c r="N600">
        <f>IF('FINANCIAL CREDITORS'!$BF$38="","",'FINANCIAL CREDITORS'!$BF$38)</f>
        <v/>
      </c>
      <c r="O600" t="inlineStr">
        <is>
          <t>FINANCIAL</t>
        </is>
      </c>
      <c r="P600" t="inlineStr">
        <is>
          <t>FINANCIAL CREDITORS · row 38</t>
        </is>
      </c>
      <c r="Q600">
        <f>E600+ROW()*0.000000001</f>
        <v/>
      </c>
    </row>
    <row r="601">
      <c r="A601">
        <f>IF('FINANCIAL CREDITORS'!$A$39="","",'FINANCIAL CREDITORS'!$A$39)</f>
        <v/>
      </c>
      <c r="B601">
        <f>IF('FINANCIAL CREDITORS'!$C$39="","",'FINANCIAL CREDITORS'!$C$39)</f>
        <v/>
      </c>
      <c r="C601">
        <f>'FINANCIAL CREDITORS'!$U$39</f>
        <v/>
      </c>
      <c r="D601">
        <f>'FINANCIAL CREDITORS'!$AB$39</f>
        <v/>
      </c>
      <c r="E601">
        <f>'FINANCIAL CREDITORS'!$AF$39</f>
        <v/>
      </c>
      <c r="F601">
        <f>IF('FINANCIAL CREDITORS'!$V$39="","",'FINANCIAL CREDITORS'!$V$39)</f>
        <v/>
      </c>
      <c r="G601">
        <f>IF('FINANCIAL CREDITORS'!$D$39="","",'FINANCIAL CREDITORS'!$D$39)</f>
        <v/>
      </c>
      <c r="H601">
        <f>IF('FINANCIAL CREDITORS'!$G$39="","",'FINANCIAL CREDITORS'!$G$39)</f>
        <v/>
      </c>
      <c r="I601">
        <f>IF('FINANCIAL CREDITORS'!$AY$39="","",'FINANCIAL CREDITORS'!$AY$39)</f>
        <v/>
      </c>
      <c r="J601">
        <f>IF('FINANCIAL CREDITORS'!$BC$39="","",'FINANCIAL CREDITORS'!$BC$39)</f>
        <v/>
      </c>
      <c r="K601">
        <f>IF('FINANCIAL CREDITORS'!$N$39="","",'FINANCIAL CREDITORS'!$N$39)</f>
        <v/>
      </c>
      <c r="L601">
        <f>IF('FINANCIAL CREDITORS'!$AH$39="","",'FINANCIAL CREDITORS'!$AH$39)</f>
        <v/>
      </c>
      <c r="M601">
        <f>IF('FINANCIAL CREDITORS'!$AO$39="","",'FINANCIAL CREDITORS'!$AO$39)</f>
        <v/>
      </c>
      <c r="N601">
        <f>IF('FINANCIAL CREDITORS'!$BF$39="","",'FINANCIAL CREDITORS'!$BF$39)</f>
        <v/>
      </c>
      <c r="O601" t="inlineStr">
        <is>
          <t>FINANCIAL</t>
        </is>
      </c>
      <c r="P601" t="inlineStr">
        <is>
          <t>FINANCIAL CREDITORS · row 39</t>
        </is>
      </c>
      <c r="Q601">
        <f>E601+ROW()*0.000000001</f>
        <v/>
      </c>
    </row>
    <row r="602">
      <c r="A602">
        <f>IF('FINANCIAL CREDITORS'!$A$40="","",'FINANCIAL CREDITORS'!$A$40)</f>
        <v/>
      </c>
      <c r="B602">
        <f>IF('FINANCIAL CREDITORS'!$C$40="","",'FINANCIAL CREDITORS'!$C$40)</f>
        <v/>
      </c>
      <c r="C602">
        <f>'FINANCIAL CREDITORS'!$U$40</f>
        <v/>
      </c>
      <c r="D602">
        <f>'FINANCIAL CREDITORS'!$AB$40</f>
        <v/>
      </c>
      <c r="E602">
        <f>'FINANCIAL CREDITORS'!$AF$40</f>
        <v/>
      </c>
      <c r="F602">
        <f>IF('FINANCIAL CREDITORS'!$V$40="","",'FINANCIAL CREDITORS'!$V$40)</f>
        <v/>
      </c>
      <c r="G602">
        <f>IF('FINANCIAL CREDITORS'!$D$40="","",'FINANCIAL CREDITORS'!$D$40)</f>
        <v/>
      </c>
      <c r="H602">
        <f>IF('FINANCIAL CREDITORS'!$G$40="","",'FINANCIAL CREDITORS'!$G$40)</f>
        <v/>
      </c>
      <c r="I602">
        <f>IF('FINANCIAL CREDITORS'!$AY$40="","",'FINANCIAL CREDITORS'!$AY$40)</f>
        <v/>
      </c>
      <c r="J602">
        <f>IF('FINANCIAL CREDITORS'!$BC$40="","",'FINANCIAL CREDITORS'!$BC$40)</f>
        <v/>
      </c>
      <c r="K602">
        <f>IF('FINANCIAL CREDITORS'!$N$40="","",'FINANCIAL CREDITORS'!$N$40)</f>
        <v/>
      </c>
      <c r="L602">
        <f>IF('FINANCIAL CREDITORS'!$AH$40="","",'FINANCIAL CREDITORS'!$AH$40)</f>
        <v/>
      </c>
      <c r="M602">
        <f>IF('FINANCIAL CREDITORS'!$AO$40="","",'FINANCIAL CREDITORS'!$AO$40)</f>
        <v/>
      </c>
      <c r="N602">
        <f>IF('FINANCIAL CREDITORS'!$BF$40="","",'FINANCIAL CREDITORS'!$BF$40)</f>
        <v/>
      </c>
      <c r="O602" t="inlineStr">
        <is>
          <t>FINANCIAL</t>
        </is>
      </c>
      <c r="P602" t="inlineStr">
        <is>
          <t>FINANCIAL CREDITORS · row 40</t>
        </is>
      </c>
      <c r="Q602">
        <f>E602+ROW()*0.000000001</f>
        <v/>
      </c>
    </row>
    <row r="603">
      <c r="A603">
        <f>IF('FINANCIAL CREDITORS'!$A$41="","",'FINANCIAL CREDITORS'!$A$41)</f>
        <v/>
      </c>
      <c r="B603">
        <f>IF('FINANCIAL CREDITORS'!$C$41="","",'FINANCIAL CREDITORS'!$C$41)</f>
        <v/>
      </c>
      <c r="C603">
        <f>'FINANCIAL CREDITORS'!$U$41</f>
        <v/>
      </c>
      <c r="D603">
        <f>'FINANCIAL CREDITORS'!$AB$41</f>
        <v/>
      </c>
      <c r="E603">
        <f>'FINANCIAL CREDITORS'!$AF$41</f>
        <v/>
      </c>
      <c r="F603">
        <f>IF('FINANCIAL CREDITORS'!$V$41="","",'FINANCIAL CREDITORS'!$V$41)</f>
        <v/>
      </c>
      <c r="G603">
        <f>IF('FINANCIAL CREDITORS'!$D$41="","",'FINANCIAL CREDITORS'!$D$41)</f>
        <v/>
      </c>
      <c r="H603">
        <f>IF('FINANCIAL CREDITORS'!$G$41="","",'FINANCIAL CREDITORS'!$G$41)</f>
        <v/>
      </c>
      <c r="I603">
        <f>IF('FINANCIAL CREDITORS'!$AY$41="","",'FINANCIAL CREDITORS'!$AY$41)</f>
        <v/>
      </c>
      <c r="J603">
        <f>IF('FINANCIAL CREDITORS'!$BC$41="","",'FINANCIAL CREDITORS'!$BC$41)</f>
        <v/>
      </c>
      <c r="K603">
        <f>IF('FINANCIAL CREDITORS'!$N$41="","",'FINANCIAL CREDITORS'!$N$41)</f>
        <v/>
      </c>
      <c r="L603">
        <f>IF('FINANCIAL CREDITORS'!$AH$41="","",'FINANCIAL CREDITORS'!$AH$41)</f>
        <v/>
      </c>
      <c r="M603">
        <f>IF('FINANCIAL CREDITORS'!$AO$41="","",'FINANCIAL CREDITORS'!$AO$41)</f>
        <v/>
      </c>
      <c r="N603">
        <f>IF('FINANCIAL CREDITORS'!$BF$41="","",'FINANCIAL CREDITORS'!$BF$41)</f>
        <v/>
      </c>
      <c r="O603" t="inlineStr">
        <is>
          <t>FINANCIAL</t>
        </is>
      </c>
      <c r="P603" t="inlineStr">
        <is>
          <t>FINANCIAL CREDITORS · row 41</t>
        </is>
      </c>
      <c r="Q603">
        <f>E603+ROW()*0.000000001</f>
        <v/>
      </c>
    </row>
    <row r="604">
      <c r="A604">
        <f>IF('FINANCIAL CREDITORS'!$A$42="","",'FINANCIAL CREDITORS'!$A$42)</f>
        <v/>
      </c>
      <c r="B604">
        <f>IF('FINANCIAL CREDITORS'!$C$42="","",'FINANCIAL CREDITORS'!$C$42)</f>
        <v/>
      </c>
      <c r="C604">
        <f>'FINANCIAL CREDITORS'!$U$42</f>
        <v/>
      </c>
      <c r="D604">
        <f>'FINANCIAL CREDITORS'!$AB$42</f>
        <v/>
      </c>
      <c r="E604">
        <f>'FINANCIAL CREDITORS'!$AF$42</f>
        <v/>
      </c>
      <c r="F604">
        <f>IF('FINANCIAL CREDITORS'!$V$42="","",'FINANCIAL CREDITORS'!$V$42)</f>
        <v/>
      </c>
      <c r="G604">
        <f>IF('FINANCIAL CREDITORS'!$D$42="","",'FINANCIAL CREDITORS'!$D$42)</f>
        <v/>
      </c>
      <c r="H604">
        <f>IF('FINANCIAL CREDITORS'!$G$42="","",'FINANCIAL CREDITORS'!$G$42)</f>
        <v/>
      </c>
      <c r="I604">
        <f>IF('FINANCIAL CREDITORS'!$AY$42="","",'FINANCIAL CREDITORS'!$AY$42)</f>
        <v/>
      </c>
      <c r="J604">
        <f>IF('FINANCIAL CREDITORS'!$BC$42="","",'FINANCIAL CREDITORS'!$BC$42)</f>
        <v/>
      </c>
      <c r="K604">
        <f>IF('FINANCIAL CREDITORS'!$N$42="","",'FINANCIAL CREDITORS'!$N$42)</f>
        <v/>
      </c>
      <c r="L604">
        <f>IF('FINANCIAL CREDITORS'!$AH$42="","",'FINANCIAL CREDITORS'!$AH$42)</f>
        <v/>
      </c>
      <c r="M604">
        <f>IF('FINANCIAL CREDITORS'!$AO$42="","",'FINANCIAL CREDITORS'!$AO$42)</f>
        <v/>
      </c>
      <c r="N604">
        <f>IF('FINANCIAL CREDITORS'!$BF$42="","",'FINANCIAL CREDITORS'!$BF$42)</f>
        <v/>
      </c>
      <c r="O604" t="inlineStr">
        <is>
          <t>FINANCIAL</t>
        </is>
      </c>
      <c r="P604" t="inlineStr">
        <is>
          <t>FINANCIAL CREDITORS · row 42</t>
        </is>
      </c>
      <c r="Q604">
        <f>E604+ROW()*0.000000001</f>
        <v/>
      </c>
    </row>
    <row r="605">
      <c r="A605">
        <f>IF('FINANCIAL CREDITORS'!$A$43="","",'FINANCIAL CREDITORS'!$A$43)</f>
        <v/>
      </c>
      <c r="B605">
        <f>IF('FINANCIAL CREDITORS'!$C$43="","",'FINANCIAL CREDITORS'!$C$43)</f>
        <v/>
      </c>
      <c r="C605">
        <f>'FINANCIAL CREDITORS'!$U$43</f>
        <v/>
      </c>
      <c r="D605">
        <f>'FINANCIAL CREDITORS'!$AB$43</f>
        <v/>
      </c>
      <c r="E605">
        <f>'FINANCIAL CREDITORS'!$AF$43</f>
        <v/>
      </c>
      <c r="F605">
        <f>IF('FINANCIAL CREDITORS'!$V$43="","",'FINANCIAL CREDITORS'!$V$43)</f>
        <v/>
      </c>
      <c r="G605">
        <f>IF('FINANCIAL CREDITORS'!$D$43="","",'FINANCIAL CREDITORS'!$D$43)</f>
        <v/>
      </c>
      <c r="H605">
        <f>IF('FINANCIAL CREDITORS'!$G$43="","",'FINANCIAL CREDITORS'!$G$43)</f>
        <v/>
      </c>
      <c r="I605">
        <f>IF('FINANCIAL CREDITORS'!$AY$43="","",'FINANCIAL CREDITORS'!$AY$43)</f>
        <v/>
      </c>
      <c r="J605">
        <f>IF('FINANCIAL CREDITORS'!$BC$43="","",'FINANCIAL CREDITORS'!$BC$43)</f>
        <v/>
      </c>
      <c r="K605">
        <f>IF('FINANCIAL CREDITORS'!$N$43="","",'FINANCIAL CREDITORS'!$N$43)</f>
        <v/>
      </c>
      <c r="L605">
        <f>IF('FINANCIAL CREDITORS'!$AH$43="","",'FINANCIAL CREDITORS'!$AH$43)</f>
        <v/>
      </c>
      <c r="M605">
        <f>IF('FINANCIAL CREDITORS'!$AO$43="","",'FINANCIAL CREDITORS'!$AO$43)</f>
        <v/>
      </c>
      <c r="N605">
        <f>IF('FINANCIAL CREDITORS'!$BF$43="","",'FINANCIAL CREDITORS'!$BF$43)</f>
        <v/>
      </c>
      <c r="O605" t="inlineStr">
        <is>
          <t>FINANCIAL</t>
        </is>
      </c>
      <c r="P605" t="inlineStr">
        <is>
          <t>FINANCIAL CREDITORS · row 43</t>
        </is>
      </c>
      <c r="Q605">
        <f>E605+ROW()*0.000000001</f>
        <v/>
      </c>
    </row>
    <row r="606">
      <c r="A606">
        <f>IF('FINANCIAL CREDITORS'!$A$44="","",'FINANCIAL CREDITORS'!$A$44)</f>
        <v/>
      </c>
      <c r="B606">
        <f>IF('FINANCIAL CREDITORS'!$C$44="","",'FINANCIAL CREDITORS'!$C$44)</f>
        <v/>
      </c>
      <c r="C606">
        <f>'FINANCIAL CREDITORS'!$U$44</f>
        <v/>
      </c>
      <c r="D606">
        <f>'FINANCIAL CREDITORS'!$AB$44</f>
        <v/>
      </c>
      <c r="E606">
        <f>'FINANCIAL CREDITORS'!$AF$44</f>
        <v/>
      </c>
      <c r="F606">
        <f>IF('FINANCIAL CREDITORS'!$V$44="","",'FINANCIAL CREDITORS'!$V$44)</f>
        <v/>
      </c>
      <c r="G606">
        <f>IF('FINANCIAL CREDITORS'!$D$44="","",'FINANCIAL CREDITORS'!$D$44)</f>
        <v/>
      </c>
      <c r="H606">
        <f>IF('FINANCIAL CREDITORS'!$G$44="","",'FINANCIAL CREDITORS'!$G$44)</f>
        <v/>
      </c>
      <c r="I606">
        <f>IF('FINANCIAL CREDITORS'!$AY$44="","",'FINANCIAL CREDITORS'!$AY$44)</f>
        <v/>
      </c>
      <c r="J606">
        <f>IF('FINANCIAL CREDITORS'!$BC$44="","",'FINANCIAL CREDITORS'!$BC$44)</f>
        <v/>
      </c>
      <c r="K606">
        <f>IF('FINANCIAL CREDITORS'!$N$44="","",'FINANCIAL CREDITORS'!$N$44)</f>
        <v/>
      </c>
      <c r="L606">
        <f>IF('FINANCIAL CREDITORS'!$AH$44="","",'FINANCIAL CREDITORS'!$AH$44)</f>
        <v/>
      </c>
      <c r="M606">
        <f>IF('FINANCIAL CREDITORS'!$AO$44="","",'FINANCIAL CREDITORS'!$AO$44)</f>
        <v/>
      </c>
      <c r="N606">
        <f>IF('FINANCIAL CREDITORS'!$BF$44="","",'FINANCIAL CREDITORS'!$BF$44)</f>
        <v/>
      </c>
      <c r="O606" t="inlineStr">
        <is>
          <t>FINANCIAL</t>
        </is>
      </c>
      <c r="P606" t="inlineStr">
        <is>
          <t>FINANCIAL CREDITORS · row 44</t>
        </is>
      </c>
      <c r="Q606">
        <f>E606+ROW()*0.000000001</f>
        <v/>
      </c>
    </row>
    <row r="607">
      <c r="A607">
        <f>IF('FINANCIAL CREDITORS'!$A$45="","",'FINANCIAL CREDITORS'!$A$45)</f>
        <v/>
      </c>
      <c r="B607">
        <f>IF('FINANCIAL CREDITORS'!$C$45="","",'FINANCIAL CREDITORS'!$C$45)</f>
        <v/>
      </c>
      <c r="C607">
        <f>'FINANCIAL CREDITORS'!$U$45</f>
        <v/>
      </c>
      <c r="D607">
        <f>'FINANCIAL CREDITORS'!$AB$45</f>
        <v/>
      </c>
      <c r="E607">
        <f>'FINANCIAL CREDITORS'!$AF$45</f>
        <v/>
      </c>
      <c r="F607">
        <f>IF('FINANCIAL CREDITORS'!$V$45="","",'FINANCIAL CREDITORS'!$V$45)</f>
        <v/>
      </c>
      <c r="G607">
        <f>IF('FINANCIAL CREDITORS'!$D$45="","",'FINANCIAL CREDITORS'!$D$45)</f>
        <v/>
      </c>
      <c r="H607">
        <f>IF('FINANCIAL CREDITORS'!$G$45="","",'FINANCIAL CREDITORS'!$G$45)</f>
        <v/>
      </c>
      <c r="I607">
        <f>IF('FINANCIAL CREDITORS'!$AY$45="","",'FINANCIAL CREDITORS'!$AY$45)</f>
        <v/>
      </c>
      <c r="J607">
        <f>IF('FINANCIAL CREDITORS'!$BC$45="","",'FINANCIAL CREDITORS'!$BC$45)</f>
        <v/>
      </c>
      <c r="K607">
        <f>IF('FINANCIAL CREDITORS'!$N$45="","",'FINANCIAL CREDITORS'!$N$45)</f>
        <v/>
      </c>
      <c r="L607">
        <f>IF('FINANCIAL CREDITORS'!$AH$45="","",'FINANCIAL CREDITORS'!$AH$45)</f>
        <v/>
      </c>
      <c r="M607">
        <f>IF('FINANCIAL CREDITORS'!$AO$45="","",'FINANCIAL CREDITORS'!$AO$45)</f>
        <v/>
      </c>
      <c r="N607">
        <f>IF('FINANCIAL CREDITORS'!$BF$45="","",'FINANCIAL CREDITORS'!$BF$45)</f>
        <v/>
      </c>
      <c r="O607" t="inlineStr">
        <is>
          <t>FINANCIAL</t>
        </is>
      </c>
      <c r="P607" t="inlineStr">
        <is>
          <t>FINANCIAL CREDITORS · row 45</t>
        </is>
      </c>
      <c r="Q607">
        <f>E607+ROW()*0.000000001</f>
        <v/>
      </c>
    </row>
    <row r="608">
      <c r="A608">
        <f>IF('FINANCIAL CREDITORS'!$A$46="","",'FINANCIAL CREDITORS'!$A$46)</f>
        <v/>
      </c>
      <c r="B608">
        <f>IF('FINANCIAL CREDITORS'!$C$46="","",'FINANCIAL CREDITORS'!$C$46)</f>
        <v/>
      </c>
      <c r="C608">
        <f>'FINANCIAL CREDITORS'!$U$46</f>
        <v/>
      </c>
      <c r="D608">
        <f>'FINANCIAL CREDITORS'!$AB$46</f>
        <v/>
      </c>
      <c r="E608">
        <f>'FINANCIAL CREDITORS'!$AF$46</f>
        <v/>
      </c>
      <c r="F608">
        <f>IF('FINANCIAL CREDITORS'!$V$46="","",'FINANCIAL CREDITORS'!$V$46)</f>
        <v/>
      </c>
      <c r="G608">
        <f>IF('FINANCIAL CREDITORS'!$D$46="","",'FINANCIAL CREDITORS'!$D$46)</f>
        <v/>
      </c>
      <c r="H608">
        <f>IF('FINANCIAL CREDITORS'!$G$46="","",'FINANCIAL CREDITORS'!$G$46)</f>
        <v/>
      </c>
      <c r="I608">
        <f>IF('FINANCIAL CREDITORS'!$AY$46="","",'FINANCIAL CREDITORS'!$AY$46)</f>
        <v/>
      </c>
      <c r="J608">
        <f>IF('FINANCIAL CREDITORS'!$BC$46="","",'FINANCIAL CREDITORS'!$BC$46)</f>
        <v/>
      </c>
      <c r="K608">
        <f>IF('FINANCIAL CREDITORS'!$N$46="","",'FINANCIAL CREDITORS'!$N$46)</f>
        <v/>
      </c>
      <c r="L608">
        <f>IF('FINANCIAL CREDITORS'!$AH$46="","",'FINANCIAL CREDITORS'!$AH$46)</f>
        <v/>
      </c>
      <c r="M608">
        <f>IF('FINANCIAL CREDITORS'!$AO$46="","",'FINANCIAL CREDITORS'!$AO$46)</f>
        <v/>
      </c>
      <c r="N608">
        <f>IF('FINANCIAL CREDITORS'!$BF$46="","",'FINANCIAL CREDITORS'!$BF$46)</f>
        <v/>
      </c>
      <c r="O608" t="inlineStr">
        <is>
          <t>FINANCIAL</t>
        </is>
      </c>
      <c r="P608" t="inlineStr">
        <is>
          <t>FINANCIAL CREDITORS · row 46</t>
        </is>
      </c>
      <c r="Q608">
        <f>E608+ROW()*0.000000001</f>
        <v/>
      </c>
    </row>
    <row r="609">
      <c r="A609">
        <f>IF('FINANCIAL CREDITORS'!$A$47="","",'FINANCIAL CREDITORS'!$A$47)</f>
        <v/>
      </c>
      <c r="B609">
        <f>IF('FINANCIAL CREDITORS'!$C$47="","",'FINANCIAL CREDITORS'!$C$47)</f>
        <v/>
      </c>
      <c r="C609">
        <f>'FINANCIAL CREDITORS'!$U$47</f>
        <v/>
      </c>
      <c r="D609">
        <f>'FINANCIAL CREDITORS'!$AB$47</f>
        <v/>
      </c>
      <c r="E609">
        <f>'FINANCIAL CREDITORS'!$AF$47</f>
        <v/>
      </c>
      <c r="F609">
        <f>IF('FINANCIAL CREDITORS'!$V$47="","",'FINANCIAL CREDITORS'!$V$47)</f>
        <v/>
      </c>
      <c r="G609">
        <f>IF('FINANCIAL CREDITORS'!$D$47="","",'FINANCIAL CREDITORS'!$D$47)</f>
        <v/>
      </c>
      <c r="H609">
        <f>IF('FINANCIAL CREDITORS'!$G$47="","",'FINANCIAL CREDITORS'!$G$47)</f>
        <v/>
      </c>
      <c r="I609">
        <f>IF('FINANCIAL CREDITORS'!$AY$47="","",'FINANCIAL CREDITORS'!$AY$47)</f>
        <v/>
      </c>
      <c r="J609">
        <f>IF('FINANCIAL CREDITORS'!$BC$47="","",'FINANCIAL CREDITORS'!$BC$47)</f>
        <v/>
      </c>
      <c r="K609">
        <f>IF('FINANCIAL CREDITORS'!$N$47="","",'FINANCIAL CREDITORS'!$N$47)</f>
        <v/>
      </c>
      <c r="L609">
        <f>IF('FINANCIAL CREDITORS'!$AH$47="","",'FINANCIAL CREDITORS'!$AH$47)</f>
        <v/>
      </c>
      <c r="M609">
        <f>IF('FINANCIAL CREDITORS'!$AO$47="","",'FINANCIAL CREDITORS'!$AO$47)</f>
        <v/>
      </c>
      <c r="N609">
        <f>IF('FINANCIAL CREDITORS'!$BF$47="","",'FINANCIAL CREDITORS'!$BF$47)</f>
        <v/>
      </c>
      <c r="O609" t="inlineStr">
        <is>
          <t>FINANCIAL</t>
        </is>
      </c>
      <c r="P609" t="inlineStr">
        <is>
          <t>FINANCIAL CREDITORS · row 47</t>
        </is>
      </c>
      <c r="Q609">
        <f>E609+ROW()*0.000000001</f>
        <v/>
      </c>
    </row>
    <row r="610">
      <c r="A610">
        <f>IF('FINANCIAL CREDITORS'!$A$48="","",'FINANCIAL CREDITORS'!$A$48)</f>
        <v/>
      </c>
      <c r="B610">
        <f>IF('FINANCIAL CREDITORS'!$C$48="","",'FINANCIAL CREDITORS'!$C$48)</f>
        <v/>
      </c>
      <c r="C610">
        <f>'FINANCIAL CREDITORS'!$U$48</f>
        <v/>
      </c>
      <c r="D610">
        <f>'FINANCIAL CREDITORS'!$AB$48</f>
        <v/>
      </c>
      <c r="E610">
        <f>'FINANCIAL CREDITORS'!$AF$48</f>
        <v/>
      </c>
      <c r="F610">
        <f>IF('FINANCIAL CREDITORS'!$V$48="","",'FINANCIAL CREDITORS'!$V$48)</f>
        <v/>
      </c>
      <c r="G610">
        <f>IF('FINANCIAL CREDITORS'!$D$48="","",'FINANCIAL CREDITORS'!$D$48)</f>
        <v/>
      </c>
      <c r="H610">
        <f>IF('FINANCIAL CREDITORS'!$G$48="","",'FINANCIAL CREDITORS'!$G$48)</f>
        <v/>
      </c>
      <c r="I610">
        <f>IF('FINANCIAL CREDITORS'!$AY$48="","",'FINANCIAL CREDITORS'!$AY$48)</f>
        <v/>
      </c>
      <c r="J610">
        <f>IF('FINANCIAL CREDITORS'!$BC$48="","",'FINANCIAL CREDITORS'!$BC$48)</f>
        <v/>
      </c>
      <c r="K610">
        <f>IF('FINANCIAL CREDITORS'!$N$48="","",'FINANCIAL CREDITORS'!$N$48)</f>
        <v/>
      </c>
      <c r="L610">
        <f>IF('FINANCIAL CREDITORS'!$AH$48="","",'FINANCIAL CREDITORS'!$AH$48)</f>
        <v/>
      </c>
      <c r="M610">
        <f>IF('FINANCIAL CREDITORS'!$AO$48="","",'FINANCIAL CREDITORS'!$AO$48)</f>
        <v/>
      </c>
      <c r="N610">
        <f>IF('FINANCIAL CREDITORS'!$BF$48="","",'FINANCIAL CREDITORS'!$BF$48)</f>
        <v/>
      </c>
      <c r="O610" t="inlineStr">
        <is>
          <t>FINANCIAL</t>
        </is>
      </c>
      <c r="P610" t="inlineStr">
        <is>
          <t>FINANCIAL CREDITORS · row 48</t>
        </is>
      </c>
      <c r="Q610">
        <f>E610+ROW()*0.000000001</f>
        <v/>
      </c>
    </row>
    <row r="611">
      <c r="A611">
        <f>IF('FINANCIAL CREDITORS'!$A$49="","",'FINANCIAL CREDITORS'!$A$49)</f>
        <v/>
      </c>
      <c r="B611">
        <f>IF('FINANCIAL CREDITORS'!$C$49="","",'FINANCIAL CREDITORS'!$C$49)</f>
        <v/>
      </c>
      <c r="C611">
        <f>'FINANCIAL CREDITORS'!$U$49</f>
        <v/>
      </c>
      <c r="D611">
        <f>'FINANCIAL CREDITORS'!$AB$49</f>
        <v/>
      </c>
      <c r="E611">
        <f>'FINANCIAL CREDITORS'!$AF$49</f>
        <v/>
      </c>
      <c r="F611">
        <f>IF('FINANCIAL CREDITORS'!$V$49="","",'FINANCIAL CREDITORS'!$V$49)</f>
        <v/>
      </c>
      <c r="G611">
        <f>IF('FINANCIAL CREDITORS'!$D$49="","",'FINANCIAL CREDITORS'!$D$49)</f>
        <v/>
      </c>
      <c r="H611">
        <f>IF('FINANCIAL CREDITORS'!$G$49="","",'FINANCIAL CREDITORS'!$G$49)</f>
        <v/>
      </c>
      <c r="I611">
        <f>IF('FINANCIAL CREDITORS'!$AY$49="","",'FINANCIAL CREDITORS'!$AY$49)</f>
        <v/>
      </c>
      <c r="J611">
        <f>IF('FINANCIAL CREDITORS'!$BC$49="","",'FINANCIAL CREDITORS'!$BC$49)</f>
        <v/>
      </c>
      <c r="K611">
        <f>IF('FINANCIAL CREDITORS'!$N$49="","",'FINANCIAL CREDITORS'!$N$49)</f>
        <v/>
      </c>
      <c r="L611">
        <f>IF('FINANCIAL CREDITORS'!$AH$49="","",'FINANCIAL CREDITORS'!$AH$49)</f>
        <v/>
      </c>
      <c r="M611">
        <f>IF('FINANCIAL CREDITORS'!$AO$49="","",'FINANCIAL CREDITORS'!$AO$49)</f>
        <v/>
      </c>
      <c r="N611">
        <f>IF('FINANCIAL CREDITORS'!$BF$49="","",'FINANCIAL CREDITORS'!$BF$49)</f>
        <v/>
      </c>
      <c r="O611" t="inlineStr">
        <is>
          <t>FINANCIAL</t>
        </is>
      </c>
      <c r="P611" t="inlineStr">
        <is>
          <t>FINANCIAL CREDITORS · row 49</t>
        </is>
      </c>
      <c r="Q611">
        <f>E611+ROW()*0.000000001</f>
        <v/>
      </c>
    </row>
    <row r="612">
      <c r="A612">
        <f>IF('FINANCIAL CREDITORS'!$A$50="","",'FINANCIAL CREDITORS'!$A$50)</f>
        <v/>
      </c>
      <c r="B612">
        <f>IF('FINANCIAL CREDITORS'!$C$50="","",'FINANCIAL CREDITORS'!$C$50)</f>
        <v/>
      </c>
      <c r="C612">
        <f>'FINANCIAL CREDITORS'!$U$50</f>
        <v/>
      </c>
      <c r="D612">
        <f>'FINANCIAL CREDITORS'!$AB$50</f>
        <v/>
      </c>
      <c r="E612">
        <f>'FINANCIAL CREDITORS'!$AF$50</f>
        <v/>
      </c>
      <c r="F612">
        <f>IF('FINANCIAL CREDITORS'!$V$50="","",'FINANCIAL CREDITORS'!$V$50)</f>
        <v/>
      </c>
      <c r="G612">
        <f>IF('FINANCIAL CREDITORS'!$D$50="","",'FINANCIAL CREDITORS'!$D$50)</f>
        <v/>
      </c>
      <c r="H612">
        <f>IF('FINANCIAL CREDITORS'!$G$50="","",'FINANCIAL CREDITORS'!$G$50)</f>
        <v/>
      </c>
      <c r="I612">
        <f>IF('FINANCIAL CREDITORS'!$AY$50="","",'FINANCIAL CREDITORS'!$AY$50)</f>
        <v/>
      </c>
      <c r="J612">
        <f>IF('FINANCIAL CREDITORS'!$BC$50="","",'FINANCIAL CREDITORS'!$BC$50)</f>
        <v/>
      </c>
      <c r="K612">
        <f>IF('FINANCIAL CREDITORS'!$N$50="","",'FINANCIAL CREDITORS'!$N$50)</f>
        <v/>
      </c>
      <c r="L612">
        <f>IF('FINANCIAL CREDITORS'!$AH$50="","",'FINANCIAL CREDITORS'!$AH$50)</f>
        <v/>
      </c>
      <c r="M612">
        <f>IF('FINANCIAL CREDITORS'!$AO$50="","",'FINANCIAL CREDITORS'!$AO$50)</f>
        <v/>
      </c>
      <c r="N612">
        <f>IF('FINANCIAL CREDITORS'!$BF$50="","",'FINANCIAL CREDITORS'!$BF$50)</f>
        <v/>
      </c>
      <c r="O612" t="inlineStr">
        <is>
          <t>FINANCIAL</t>
        </is>
      </c>
      <c r="P612" t="inlineStr">
        <is>
          <t>FINANCIAL CREDITORS · row 50</t>
        </is>
      </c>
      <c r="Q612">
        <f>E612+ROW()*0.000000001</f>
        <v/>
      </c>
    </row>
    <row r="613">
      <c r="A613">
        <f>IF('FINANCIAL CREDITORS'!$A$51="","",'FINANCIAL CREDITORS'!$A$51)</f>
        <v/>
      </c>
      <c r="B613">
        <f>IF('FINANCIAL CREDITORS'!$C$51="","",'FINANCIAL CREDITORS'!$C$51)</f>
        <v/>
      </c>
      <c r="C613">
        <f>'FINANCIAL CREDITORS'!$U$51</f>
        <v/>
      </c>
      <c r="D613">
        <f>'FINANCIAL CREDITORS'!$AB$51</f>
        <v/>
      </c>
      <c r="E613">
        <f>'FINANCIAL CREDITORS'!$AF$51</f>
        <v/>
      </c>
      <c r="F613">
        <f>IF('FINANCIAL CREDITORS'!$V$51="","",'FINANCIAL CREDITORS'!$V$51)</f>
        <v/>
      </c>
      <c r="G613">
        <f>IF('FINANCIAL CREDITORS'!$D$51="","",'FINANCIAL CREDITORS'!$D$51)</f>
        <v/>
      </c>
      <c r="H613">
        <f>IF('FINANCIAL CREDITORS'!$G$51="","",'FINANCIAL CREDITORS'!$G$51)</f>
        <v/>
      </c>
      <c r="I613">
        <f>IF('FINANCIAL CREDITORS'!$AY$51="","",'FINANCIAL CREDITORS'!$AY$51)</f>
        <v/>
      </c>
      <c r="J613">
        <f>IF('FINANCIAL CREDITORS'!$BC$51="","",'FINANCIAL CREDITORS'!$BC$51)</f>
        <v/>
      </c>
      <c r="K613">
        <f>IF('FINANCIAL CREDITORS'!$N$51="","",'FINANCIAL CREDITORS'!$N$51)</f>
        <v/>
      </c>
      <c r="L613">
        <f>IF('FINANCIAL CREDITORS'!$AH$51="","",'FINANCIAL CREDITORS'!$AH$51)</f>
        <v/>
      </c>
      <c r="M613">
        <f>IF('FINANCIAL CREDITORS'!$AO$51="","",'FINANCIAL CREDITORS'!$AO$51)</f>
        <v/>
      </c>
      <c r="N613">
        <f>IF('FINANCIAL CREDITORS'!$BF$51="","",'FINANCIAL CREDITORS'!$BF$51)</f>
        <v/>
      </c>
      <c r="O613" t="inlineStr">
        <is>
          <t>FINANCIAL</t>
        </is>
      </c>
      <c r="P613" t="inlineStr">
        <is>
          <t>FINANCIAL CREDITORS · row 51</t>
        </is>
      </c>
      <c r="Q613">
        <f>E613+ROW()*0.000000001</f>
        <v/>
      </c>
    </row>
    <row r="614">
      <c r="A614">
        <f>IF('FINANCIAL CREDITORS'!$A$52="","",'FINANCIAL CREDITORS'!$A$52)</f>
        <v/>
      </c>
      <c r="B614">
        <f>IF('FINANCIAL CREDITORS'!$C$52="","",'FINANCIAL CREDITORS'!$C$52)</f>
        <v/>
      </c>
      <c r="C614">
        <f>'FINANCIAL CREDITORS'!$U$52</f>
        <v/>
      </c>
      <c r="D614">
        <f>'FINANCIAL CREDITORS'!$AB$52</f>
        <v/>
      </c>
      <c r="E614">
        <f>'FINANCIAL CREDITORS'!$AF$52</f>
        <v/>
      </c>
      <c r="F614">
        <f>IF('FINANCIAL CREDITORS'!$V$52="","",'FINANCIAL CREDITORS'!$V$52)</f>
        <v/>
      </c>
      <c r="G614">
        <f>IF('FINANCIAL CREDITORS'!$D$52="","",'FINANCIAL CREDITORS'!$D$52)</f>
        <v/>
      </c>
      <c r="H614">
        <f>IF('FINANCIAL CREDITORS'!$G$52="","",'FINANCIAL CREDITORS'!$G$52)</f>
        <v/>
      </c>
      <c r="I614">
        <f>IF('FINANCIAL CREDITORS'!$AY$52="","",'FINANCIAL CREDITORS'!$AY$52)</f>
        <v/>
      </c>
      <c r="J614">
        <f>IF('FINANCIAL CREDITORS'!$BC$52="","",'FINANCIAL CREDITORS'!$BC$52)</f>
        <v/>
      </c>
      <c r="K614">
        <f>IF('FINANCIAL CREDITORS'!$N$52="","",'FINANCIAL CREDITORS'!$N$52)</f>
        <v/>
      </c>
      <c r="L614">
        <f>IF('FINANCIAL CREDITORS'!$AH$52="","",'FINANCIAL CREDITORS'!$AH$52)</f>
        <v/>
      </c>
      <c r="M614">
        <f>IF('FINANCIAL CREDITORS'!$AO$52="","",'FINANCIAL CREDITORS'!$AO$52)</f>
        <v/>
      </c>
      <c r="N614">
        <f>IF('FINANCIAL CREDITORS'!$BF$52="","",'FINANCIAL CREDITORS'!$BF$52)</f>
        <v/>
      </c>
      <c r="O614" t="inlineStr">
        <is>
          <t>FINANCIAL</t>
        </is>
      </c>
      <c r="P614" t="inlineStr">
        <is>
          <t>FINANCIAL CREDITORS · row 52</t>
        </is>
      </c>
      <c r="Q614">
        <f>E614+ROW()*0.000000001</f>
        <v/>
      </c>
    </row>
    <row r="615">
      <c r="A615">
        <f>IF('FINANCIAL CREDITORS'!$A$53="","",'FINANCIAL CREDITORS'!$A$53)</f>
        <v/>
      </c>
      <c r="B615">
        <f>IF('FINANCIAL CREDITORS'!$C$53="","",'FINANCIAL CREDITORS'!$C$53)</f>
        <v/>
      </c>
      <c r="C615">
        <f>'FINANCIAL CREDITORS'!$U$53</f>
        <v/>
      </c>
      <c r="D615">
        <f>'FINANCIAL CREDITORS'!$AB$53</f>
        <v/>
      </c>
      <c r="E615">
        <f>'FINANCIAL CREDITORS'!$AF$53</f>
        <v/>
      </c>
      <c r="F615">
        <f>IF('FINANCIAL CREDITORS'!$V$53="","",'FINANCIAL CREDITORS'!$V$53)</f>
        <v/>
      </c>
      <c r="G615">
        <f>IF('FINANCIAL CREDITORS'!$D$53="","",'FINANCIAL CREDITORS'!$D$53)</f>
        <v/>
      </c>
      <c r="H615">
        <f>IF('FINANCIAL CREDITORS'!$G$53="","",'FINANCIAL CREDITORS'!$G$53)</f>
        <v/>
      </c>
      <c r="I615">
        <f>IF('FINANCIAL CREDITORS'!$AY$53="","",'FINANCIAL CREDITORS'!$AY$53)</f>
        <v/>
      </c>
      <c r="J615">
        <f>IF('FINANCIAL CREDITORS'!$BC$53="","",'FINANCIAL CREDITORS'!$BC$53)</f>
        <v/>
      </c>
      <c r="K615">
        <f>IF('FINANCIAL CREDITORS'!$N$53="","",'FINANCIAL CREDITORS'!$N$53)</f>
        <v/>
      </c>
      <c r="L615">
        <f>IF('FINANCIAL CREDITORS'!$AH$53="","",'FINANCIAL CREDITORS'!$AH$53)</f>
        <v/>
      </c>
      <c r="M615">
        <f>IF('FINANCIAL CREDITORS'!$AO$53="","",'FINANCIAL CREDITORS'!$AO$53)</f>
        <v/>
      </c>
      <c r="N615">
        <f>IF('FINANCIAL CREDITORS'!$BF$53="","",'FINANCIAL CREDITORS'!$BF$53)</f>
        <v/>
      </c>
      <c r="O615" t="inlineStr">
        <is>
          <t>FINANCIAL</t>
        </is>
      </c>
      <c r="P615" t="inlineStr">
        <is>
          <t>FINANCIAL CREDITORS · row 53</t>
        </is>
      </c>
      <c r="Q615">
        <f>E615+ROW()*0.000000001</f>
        <v/>
      </c>
    </row>
    <row r="616">
      <c r="A616">
        <f>IF('FINANCIAL CREDITORS'!$A$54="","",'FINANCIAL CREDITORS'!$A$54)</f>
        <v/>
      </c>
      <c r="B616">
        <f>IF('FINANCIAL CREDITORS'!$C$54="","",'FINANCIAL CREDITORS'!$C$54)</f>
        <v/>
      </c>
      <c r="C616">
        <f>'FINANCIAL CREDITORS'!$U$54</f>
        <v/>
      </c>
      <c r="D616">
        <f>'FINANCIAL CREDITORS'!$AB$54</f>
        <v/>
      </c>
      <c r="E616">
        <f>'FINANCIAL CREDITORS'!$AF$54</f>
        <v/>
      </c>
      <c r="F616">
        <f>IF('FINANCIAL CREDITORS'!$V$54="","",'FINANCIAL CREDITORS'!$V$54)</f>
        <v/>
      </c>
      <c r="G616">
        <f>IF('FINANCIAL CREDITORS'!$D$54="","",'FINANCIAL CREDITORS'!$D$54)</f>
        <v/>
      </c>
      <c r="H616">
        <f>IF('FINANCIAL CREDITORS'!$G$54="","",'FINANCIAL CREDITORS'!$G$54)</f>
        <v/>
      </c>
      <c r="I616">
        <f>IF('FINANCIAL CREDITORS'!$AY$54="","",'FINANCIAL CREDITORS'!$AY$54)</f>
        <v/>
      </c>
      <c r="J616">
        <f>IF('FINANCIAL CREDITORS'!$BC$54="","",'FINANCIAL CREDITORS'!$BC$54)</f>
        <v/>
      </c>
      <c r="K616">
        <f>IF('FINANCIAL CREDITORS'!$N$54="","",'FINANCIAL CREDITORS'!$N$54)</f>
        <v/>
      </c>
      <c r="L616">
        <f>IF('FINANCIAL CREDITORS'!$AH$54="","",'FINANCIAL CREDITORS'!$AH$54)</f>
        <v/>
      </c>
      <c r="M616">
        <f>IF('FINANCIAL CREDITORS'!$AO$54="","",'FINANCIAL CREDITORS'!$AO$54)</f>
        <v/>
      </c>
      <c r="N616">
        <f>IF('FINANCIAL CREDITORS'!$BF$54="","",'FINANCIAL CREDITORS'!$BF$54)</f>
        <v/>
      </c>
      <c r="O616" t="inlineStr">
        <is>
          <t>FINANCIAL</t>
        </is>
      </c>
      <c r="P616" t="inlineStr">
        <is>
          <t>FINANCIAL CREDITORS · row 54</t>
        </is>
      </c>
      <c r="Q616">
        <f>E616+ROW()*0.000000001</f>
        <v/>
      </c>
    </row>
    <row r="617">
      <c r="A617">
        <f>IF('FINANCIAL CREDITORS'!$A$55="","",'FINANCIAL CREDITORS'!$A$55)</f>
        <v/>
      </c>
      <c r="B617">
        <f>IF('FINANCIAL CREDITORS'!$C$55="","",'FINANCIAL CREDITORS'!$C$55)</f>
        <v/>
      </c>
      <c r="C617">
        <f>'FINANCIAL CREDITORS'!$U$55</f>
        <v/>
      </c>
      <c r="D617">
        <f>'FINANCIAL CREDITORS'!$AB$55</f>
        <v/>
      </c>
      <c r="E617">
        <f>'FINANCIAL CREDITORS'!$AF$55</f>
        <v/>
      </c>
      <c r="F617">
        <f>IF('FINANCIAL CREDITORS'!$V$55="","",'FINANCIAL CREDITORS'!$V$55)</f>
        <v/>
      </c>
      <c r="G617">
        <f>IF('FINANCIAL CREDITORS'!$D$55="","",'FINANCIAL CREDITORS'!$D$55)</f>
        <v/>
      </c>
      <c r="H617">
        <f>IF('FINANCIAL CREDITORS'!$G$55="","",'FINANCIAL CREDITORS'!$G$55)</f>
        <v/>
      </c>
      <c r="I617">
        <f>IF('FINANCIAL CREDITORS'!$AY$55="","",'FINANCIAL CREDITORS'!$AY$55)</f>
        <v/>
      </c>
      <c r="J617">
        <f>IF('FINANCIAL CREDITORS'!$BC$55="","",'FINANCIAL CREDITORS'!$BC$55)</f>
        <v/>
      </c>
      <c r="K617">
        <f>IF('FINANCIAL CREDITORS'!$N$55="","",'FINANCIAL CREDITORS'!$N$55)</f>
        <v/>
      </c>
      <c r="L617">
        <f>IF('FINANCIAL CREDITORS'!$AH$55="","",'FINANCIAL CREDITORS'!$AH$55)</f>
        <v/>
      </c>
      <c r="M617">
        <f>IF('FINANCIAL CREDITORS'!$AO$55="","",'FINANCIAL CREDITORS'!$AO$55)</f>
        <v/>
      </c>
      <c r="N617">
        <f>IF('FINANCIAL CREDITORS'!$BF$55="","",'FINANCIAL CREDITORS'!$BF$55)</f>
        <v/>
      </c>
      <c r="O617" t="inlineStr">
        <is>
          <t>FINANCIAL</t>
        </is>
      </c>
      <c r="P617" t="inlineStr">
        <is>
          <t>FINANCIAL CREDITORS · row 55</t>
        </is>
      </c>
      <c r="Q617">
        <f>E617+ROW()*0.000000001</f>
        <v/>
      </c>
    </row>
    <row r="618">
      <c r="A618">
        <f>IF('FINANCIAL CREDITORS'!$A$56="","",'FINANCIAL CREDITORS'!$A$56)</f>
        <v/>
      </c>
      <c r="B618">
        <f>IF('FINANCIAL CREDITORS'!$C$56="","",'FINANCIAL CREDITORS'!$C$56)</f>
        <v/>
      </c>
      <c r="C618">
        <f>'FINANCIAL CREDITORS'!$U$56</f>
        <v/>
      </c>
      <c r="D618">
        <f>'FINANCIAL CREDITORS'!$AB$56</f>
        <v/>
      </c>
      <c r="E618">
        <f>'FINANCIAL CREDITORS'!$AF$56</f>
        <v/>
      </c>
      <c r="F618">
        <f>IF('FINANCIAL CREDITORS'!$V$56="","",'FINANCIAL CREDITORS'!$V$56)</f>
        <v/>
      </c>
      <c r="G618">
        <f>IF('FINANCIAL CREDITORS'!$D$56="","",'FINANCIAL CREDITORS'!$D$56)</f>
        <v/>
      </c>
      <c r="H618">
        <f>IF('FINANCIAL CREDITORS'!$G$56="","",'FINANCIAL CREDITORS'!$G$56)</f>
        <v/>
      </c>
      <c r="I618">
        <f>IF('FINANCIAL CREDITORS'!$AY$56="","",'FINANCIAL CREDITORS'!$AY$56)</f>
        <v/>
      </c>
      <c r="J618">
        <f>IF('FINANCIAL CREDITORS'!$BC$56="","",'FINANCIAL CREDITORS'!$BC$56)</f>
        <v/>
      </c>
      <c r="K618">
        <f>IF('FINANCIAL CREDITORS'!$N$56="","",'FINANCIAL CREDITORS'!$N$56)</f>
        <v/>
      </c>
      <c r="L618">
        <f>IF('FINANCIAL CREDITORS'!$AH$56="","",'FINANCIAL CREDITORS'!$AH$56)</f>
        <v/>
      </c>
      <c r="M618">
        <f>IF('FINANCIAL CREDITORS'!$AO$56="","",'FINANCIAL CREDITORS'!$AO$56)</f>
        <v/>
      </c>
      <c r="N618">
        <f>IF('FINANCIAL CREDITORS'!$BF$56="","",'FINANCIAL CREDITORS'!$BF$56)</f>
        <v/>
      </c>
      <c r="O618" t="inlineStr">
        <is>
          <t>FINANCIAL</t>
        </is>
      </c>
      <c r="P618" t="inlineStr">
        <is>
          <t>FINANCIAL CREDITORS · row 56</t>
        </is>
      </c>
      <c r="Q618">
        <f>E618+ROW()*0.000000001</f>
        <v/>
      </c>
    </row>
    <row r="619">
      <c r="A619">
        <f>IF('FINANCIAL CREDITORS'!$A$57="","",'FINANCIAL CREDITORS'!$A$57)</f>
        <v/>
      </c>
      <c r="B619">
        <f>IF('FINANCIAL CREDITORS'!$C$57="","",'FINANCIAL CREDITORS'!$C$57)</f>
        <v/>
      </c>
      <c r="C619">
        <f>'FINANCIAL CREDITORS'!$U$57</f>
        <v/>
      </c>
      <c r="D619">
        <f>'FINANCIAL CREDITORS'!$AB$57</f>
        <v/>
      </c>
      <c r="E619">
        <f>'FINANCIAL CREDITORS'!$AF$57</f>
        <v/>
      </c>
      <c r="F619">
        <f>IF('FINANCIAL CREDITORS'!$V$57="","",'FINANCIAL CREDITORS'!$V$57)</f>
        <v/>
      </c>
      <c r="G619">
        <f>IF('FINANCIAL CREDITORS'!$D$57="","",'FINANCIAL CREDITORS'!$D$57)</f>
        <v/>
      </c>
      <c r="H619">
        <f>IF('FINANCIAL CREDITORS'!$G$57="","",'FINANCIAL CREDITORS'!$G$57)</f>
        <v/>
      </c>
      <c r="I619">
        <f>IF('FINANCIAL CREDITORS'!$AY$57="","",'FINANCIAL CREDITORS'!$AY$57)</f>
        <v/>
      </c>
      <c r="J619">
        <f>IF('FINANCIAL CREDITORS'!$BC$57="","",'FINANCIAL CREDITORS'!$BC$57)</f>
        <v/>
      </c>
      <c r="K619">
        <f>IF('FINANCIAL CREDITORS'!$N$57="","",'FINANCIAL CREDITORS'!$N$57)</f>
        <v/>
      </c>
      <c r="L619">
        <f>IF('FINANCIAL CREDITORS'!$AH$57="","",'FINANCIAL CREDITORS'!$AH$57)</f>
        <v/>
      </c>
      <c r="M619">
        <f>IF('FINANCIAL CREDITORS'!$AO$57="","",'FINANCIAL CREDITORS'!$AO$57)</f>
        <v/>
      </c>
      <c r="N619">
        <f>IF('FINANCIAL CREDITORS'!$BF$57="","",'FINANCIAL CREDITORS'!$BF$57)</f>
        <v/>
      </c>
      <c r="O619" t="inlineStr">
        <is>
          <t>FINANCIAL</t>
        </is>
      </c>
      <c r="P619" t="inlineStr">
        <is>
          <t>FINANCIAL CREDITORS · row 57</t>
        </is>
      </c>
      <c r="Q619">
        <f>E619+ROW()*0.000000001</f>
        <v/>
      </c>
    </row>
    <row r="620">
      <c r="A620">
        <f>IF('FINANCIAL CREDITORS'!$A$58="","",'FINANCIAL CREDITORS'!$A$58)</f>
        <v/>
      </c>
      <c r="B620">
        <f>IF('FINANCIAL CREDITORS'!$C$58="","",'FINANCIAL CREDITORS'!$C$58)</f>
        <v/>
      </c>
      <c r="C620">
        <f>'FINANCIAL CREDITORS'!$U$58</f>
        <v/>
      </c>
      <c r="D620">
        <f>'FINANCIAL CREDITORS'!$AB$58</f>
        <v/>
      </c>
      <c r="E620">
        <f>'FINANCIAL CREDITORS'!$AF$58</f>
        <v/>
      </c>
      <c r="F620">
        <f>IF('FINANCIAL CREDITORS'!$V$58="","",'FINANCIAL CREDITORS'!$V$58)</f>
        <v/>
      </c>
      <c r="G620">
        <f>IF('FINANCIAL CREDITORS'!$D$58="","",'FINANCIAL CREDITORS'!$D$58)</f>
        <v/>
      </c>
      <c r="H620">
        <f>IF('FINANCIAL CREDITORS'!$G$58="","",'FINANCIAL CREDITORS'!$G$58)</f>
        <v/>
      </c>
      <c r="I620">
        <f>IF('FINANCIAL CREDITORS'!$AY$58="","",'FINANCIAL CREDITORS'!$AY$58)</f>
        <v/>
      </c>
      <c r="J620">
        <f>IF('FINANCIAL CREDITORS'!$BC$58="","",'FINANCIAL CREDITORS'!$BC$58)</f>
        <v/>
      </c>
      <c r="K620">
        <f>IF('FINANCIAL CREDITORS'!$N$58="","",'FINANCIAL CREDITORS'!$N$58)</f>
        <v/>
      </c>
      <c r="L620">
        <f>IF('FINANCIAL CREDITORS'!$AH$58="","",'FINANCIAL CREDITORS'!$AH$58)</f>
        <v/>
      </c>
      <c r="M620">
        <f>IF('FINANCIAL CREDITORS'!$AO$58="","",'FINANCIAL CREDITORS'!$AO$58)</f>
        <v/>
      </c>
      <c r="N620">
        <f>IF('FINANCIAL CREDITORS'!$BF$58="","",'FINANCIAL CREDITORS'!$BF$58)</f>
        <v/>
      </c>
      <c r="O620" t="inlineStr">
        <is>
          <t>FINANCIAL</t>
        </is>
      </c>
      <c r="P620" t="inlineStr">
        <is>
          <t>FINANCIAL CREDITORS · row 58</t>
        </is>
      </c>
      <c r="Q620">
        <f>E620+ROW()*0.000000001</f>
        <v/>
      </c>
    </row>
    <row r="621">
      <c r="A621">
        <f>IF('FINANCIAL CREDITORS'!$A$59="","",'FINANCIAL CREDITORS'!$A$59)</f>
        <v/>
      </c>
      <c r="B621">
        <f>IF('FINANCIAL CREDITORS'!$C$59="","",'FINANCIAL CREDITORS'!$C$59)</f>
        <v/>
      </c>
      <c r="C621">
        <f>'FINANCIAL CREDITORS'!$U$59</f>
        <v/>
      </c>
      <c r="D621">
        <f>'FINANCIAL CREDITORS'!$AB$59</f>
        <v/>
      </c>
      <c r="E621">
        <f>'FINANCIAL CREDITORS'!$AF$59</f>
        <v/>
      </c>
      <c r="F621">
        <f>IF('FINANCIAL CREDITORS'!$V$59="","",'FINANCIAL CREDITORS'!$V$59)</f>
        <v/>
      </c>
      <c r="G621">
        <f>IF('FINANCIAL CREDITORS'!$D$59="","",'FINANCIAL CREDITORS'!$D$59)</f>
        <v/>
      </c>
      <c r="H621">
        <f>IF('FINANCIAL CREDITORS'!$G$59="","",'FINANCIAL CREDITORS'!$G$59)</f>
        <v/>
      </c>
      <c r="I621">
        <f>IF('FINANCIAL CREDITORS'!$AY$59="","",'FINANCIAL CREDITORS'!$AY$59)</f>
        <v/>
      </c>
      <c r="J621">
        <f>IF('FINANCIAL CREDITORS'!$BC$59="","",'FINANCIAL CREDITORS'!$BC$59)</f>
        <v/>
      </c>
      <c r="K621">
        <f>IF('FINANCIAL CREDITORS'!$N$59="","",'FINANCIAL CREDITORS'!$N$59)</f>
        <v/>
      </c>
      <c r="L621">
        <f>IF('FINANCIAL CREDITORS'!$AH$59="","",'FINANCIAL CREDITORS'!$AH$59)</f>
        <v/>
      </c>
      <c r="M621">
        <f>IF('FINANCIAL CREDITORS'!$AO$59="","",'FINANCIAL CREDITORS'!$AO$59)</f>
        <v/>
      </c>
      <c r="N621">
        <f>IF('FINANCIAL CREDITORS'!$BF$59="","",'FINANCIAL CREDITORS'!$BF$59)</f>
        <v/>
      </c>
      <c r="O621" t="inlineStr">
        <is>
          <t>FINANCIAL</t>
        </is>
      </c>
      <c r="P621" t="inlineStr">
        <is>
          <t>FINANCIAL CREDITORS · row 59</t>
        </is>
      </c>
      <c r="Q621">
        <f>E621+ROW()*0.000000001</f>
        <v/>
      </c>
    </row>
    <row r="622">
      <c r="A622">
        <f>IF('FINANCIAL CREDITORS'!$A$60="","",'FINANCIAL CREDITORS'!$A$60)</f>
        <v/>
      </c>
      <c r="B622">
        <f>IF('FINANCIAL CREDITORS'!$C$60="","",'FINANCIAL CREDITORS'!$C$60)</f>
        <v/>
      </c>
      <c r="C622">
        <f>'FINANCIAL CREDITORS'!$U$60</f>
        <v/>
      </c>
      <c r="D622">
        <f>'FINANCIAL CREDITORS'!$AB$60</f>
        <v/>
      </c>
      <c r="E622">
        <f>'FINANCIAL CREDITORS'!$AF$60</f>
        <v/>
      </c>
      <c r="F622">
        <f>IF('FINANCIAL CREDITORS'!$V$60="","",'FINANCIAL CREDITORS'!$V$60)</f>
        <v/>
      </c>
      <c r="G622">
        <f>IF('FINANCIAL CREDITORS'!$D$60="","",'FINANCIAL CREDITORS'!$D$60)</f>
        <v/>
      </c>
      <c r="H622">
        <f>IF('FINANCIAL CREDITORS'!$G$60="","",'FINANCIAL CREDITORS'!$G$60)</f>
        <v/>
      </c>
      <c r="I622">
        <f>IF('FINANCIAL CREDITORS'!$AY$60="","",'FINANCIAL CREDITORS'!$AY$60)</f>
        <v/>
      </c>
      <c r="J622">
        <f>IF('FINANCIAL CREDITORS'!$BC$60="","",'FINANCIAL CREDITORS'!$BC$60)</f>
        <v/>
      </c>
      <c r="K622">
        <f>IF('FINANCIAL CREDITORS'!$N$60="","",'FINANCIAL CREDITORS'!$N$60)</f>
        <v/>
      </c>
      <c r="L622">
        <f>IF('FINANCIAL CREDITORS'!$AH$60="","",'FINANCIAL CREDITORS'!$AH$60)</f>
        <v/>
      </c>
      <c r="M622">
        <f>IF('FINANCIAL CREDITORS'!$AO$60="","",'FINANCIAL CREDITORS'!$AO$60)</f>
        <v/>
      </c>
      <c r="N622">
        <f>IF('FINANCIAL CREDITORS'!$BF$60="","",'FINANCIAL CREDITORS'!$BF$60)</f>
        <v/>
      </c>
      <c r="O622" t="inlineStr">
        <is>
          <t>FINANCIAL</t>
        </is>
      </c>
      <c r="P622" t="inlineStr">
        <is>
          <t>FINANCIAL CREDITORS · row 60</t>
        </is>
      </c>
      <c r="Q622">
        <f>E622+ROW()*0.000000001</f>
        <v/>
      </c>
    </row>
    <row r="623">
      <c r="A623">
        <f>IF('FINANCIAL CREDITORS'!$A$61="","",'FINANCIAL CREDITORS'!$A$61)</f>
        <v/>
      </c>
      <c r="B623">
        <f>IF('FINANCIAL CREDITORS'!$C$61="","",'FINANCIAL CREDITORS'!$C$61)</f>
        <v/>
      </c>
      <c r="C623">
        <f>'FINANCIAL CREDITORS'!$U$61</f>
        <v/>
      </c>
      <c r="D623">
        <f>'FINANCIAL CREDITORS'!$AB$61</f>
        <v/>
      </c>
      <c r="E623">
        <f>'FINANCIAL CREDITORS'!$AF$61</f>
        <v/>
      </c>
      <c r="F623">
        <f>IF('FINANCIAL CREDITORS'!$V$61="","",'FINANCIAL CREDITORS'!$V$61)</f>
        <v/>
      </c>
      <c r="G623">
        <f>IF('FINANCIAL CREDITORS'!$D$61="","",'FINANCIAL CREDITORS'!$D$61)</f>
        <v/>
      </c>
      <c r="H623">
        <f>IF('FINANCIAL CREDITORS'!$G$61="","",'FINANCIAL CREDITORS'!$G$61)</f>
        <v/>
      </c>
      <c r="I623">
        <f>IF('FINANCIAL CREDITORS'!$AY$61="","",'FINANCIAL CREDITORS'!$AY$61)</f>
        <v/>
      </c>
      <c r="J623">
        <f>IF('FINANCIAL CREDITORS'!$BC$61="","",'FINANCIAL CREDITORS'!$BC$61)</f>
        <v/>
      </c>
      <c r="K623">
        <f>IF('FINANCIAL CREDITORS'!$N$61="","",'FINANCIAL CREDITORS'!$N$61)</f>
        <v/>
      </c>
      <c r="L623">
        <f>IF('FINANCIAL CREDITORS'!$AH$61="","",'FINANCIAL CREDITORS'!$AH$61)</f>
        <v/>
      </c>
      <c r="M623">
        <f>IF('FINANCIAL CREDITORS'!$AO$61="","",'FINANCIAL CREDITORS'!$AO$61)</f>
        <v/>
      </c>
      <c r="N623">
        <f>IF('FINANCIAL CREDITORS'!$BF$61="","",'FINANCIAL CREDITORS'!$BF$61)</f>
        <v/>
      </c>
      <c r="O623" t="inlineStr">
        <is>
          <t>FINANCIAL</t>
        </is>
      </c>
      <c r="P623" t="inlineStr">
        <is>
          <t>FINANCIAL CREDITORS · row 61</t>
        </is>
      </c>
      <c r="Q623">
        <f>E623+ROW()*0.000000001</f>
        <v/>
      </c>
    </row>
    <row r="624">
      <c r="A624">
        <f>IF('FINANCIAL CREDITORS'!$A$62="","",'FINANCIAL CREDITORS'!$A$62)</f>
        <v/>
      </c>
      <c r="B624">
        <f>IF('FINANCIAL CREDITORS'!$C$62="","",'FINANCIAL CREDITORS'!$C$62)</f>
        <v/>
      </c>
      <c r="C624">
        <f>'FINANCIAL CREDITORS'!$U$62</f>
        <v/>
      </c>
      <c r="D624">
        <f>'FINANCIAL CREDITORS'!$AB$62</f>
        <v/>
      </c>
      <c r="E624">
        <f>'FINANCIAL CREDITORS'!$AF$62</f>
        <v/>
      </c>
      <c r="F624">
        <f>IF('FINANCIAL CREDITORS'!$V$62="","",'FINANCIAL CREDITORS'!$V$62)</f>
        <v/>
      </c>
      <c r="G624">
        <f>IF('FINANCIAL CREDITORS'!$D$62="","",'FINANCIAL CREDITORS'!$D$62)</f>
        <v/>
      </c>
      <c r="H624">
        <f>IF('FINANCIAL CREDITORS'!$G$62="","",'FINANCIAL CREDITORS'!$G$62)</f>
        <v/>
      </c>
      <c r="I624">
        <f>IF('FINANCIAL CREDITORS'!$AY$62="","",'FINANCIAL CREDITORS'!$AY$62)</f>
        <v/>
      </c>
      <c r="J624">
        <f>IF('FINANCIAL CREDITORS'!$BC$62="","",'FINANCIAL CREDITORS'!$BC$62)</f>
        <v/>
      </c>
      <c r="K624">
        <f>IF('FINANCIAL CREDITORS'!$N$62="","",'FINANCIAL CREDITORS'!$N$62)</f>
        <v/>
      </c>
      <c r="L624">
        <f>IF('FINANCIAL CREDITORS'!$AH$62="","",'FINANCIAL CREDITORS'!$AH$62)</f>
        <v/>
      </c>
      <c r="M624">
        <f>IF('FINANCIAL CREDITORS'!$AO$62="","",'FINANCIAL CREDITORS'!$AO$62)</f>
        <v/>
      </c>
      <c r="N624">
        <f>IF('FINANCIAL CREDITORS'!$BF$62="","",'FINANCIAL CREDITORS'!$BF$62)</f>
        <v/>
      </c>
      <c r="O624" t="inlineStr">
        <is>
          <t>FINANCIAL</t>
        </is>
      </c>
      <c r="P624" t="inlineStr">
        <is>
          <t>FINANCIAL CREDITORS · row 62</t>
        </is>
      </c>
      <c r="Q624">
        <f>E624+ROW()*0.000000001</f>
        <v/>
      </c>
    </row>
    <row r="625">
      <c r="A625">
        <f>IF('FINANCIAL CREDITORS'!$A$63="","",'FINANCIAL CREDITORS'!$A$63)</f>
        <v/>
      </c>
      <c r="B625">
        <f>IF('FINANCIAL CREDITORS'!$C$63="","",'FINANCIAL CREDITORS'!$C$63)</f>
        <v/>
      </c>
      <c r="C625">
        <f>'FINANCIAL CREDITORS'!$U$63</f>
        <v/>
      </c>
      <c r="D625">
        <f>'FINANCIAL CREDITORS'!$AB$63</f>
        <v/>
      </c>
      <c r="E625">
        <f>'FINANCIAL CREDITORS'!$AF$63</f>
        <v/>
      </c>
      <c r="F625">
        <f>IF('FINANCIAL CREDITORS'!$V$63="","",'FINANCIAL CREDITORS'!$V$63)</f>
        <v/>
      </c>
      <c r="G625">
        <f>IF('FINANCIAL CREDITORS'!$D$63="","",'FINANCIAL CREDITORS'!$D$63)</f>
        <v/>
      </c>
      <c r="H625">
        <f>IF('FINANCIAL CREDITORS'!$G$63="","",'FINANCIAL CREDITORS'!$G$63)</f>
        <v/>
      </c>
      <c r="I625">
        <f>IF('FINANCIAL CREDITORS'!$AY$63="","",'FINANCIAL CREDITORS'!$AY$63)</f>
        <v/>
      </c>
      <c r="J625">
        <f>IF('FINANCIAL CREDITORS'!$BC$63="","",'FINANCIAL CREDITORS'!$BC$63)</f>
        <v/>
      </c>
      <c r="K625">
        <f>IF('FINANCIAL CREDITORS'!$N$63="","",'FINANCIAL CREDITORS'!$N$63)</f>
        <v/>
      </c>
      <c r="L625">
        <f>IF('FINANCIAL CREDITORS'!$AH$63="","",'FINANCIAL CREDITORS'!$AH$63)</f>
        <v/>
      </c>
      <c r="M625">
        <f>IF('FINANCIAL CREDITORS'!$AO$63="","",'FINANCIAL CREDITORS'!$AO$63)</f>
        <v/>
      </c>
      <c r="N625">
        <f>IF('FINANCIAL CREDITORS'!$BF$63="","",'FINANCIAL CREDITORS'!$BF$63)</f>
        <v/>
      </c>
      <c r="O625" t="inlineStr">
        <is>
          <t>FINANCIAL</t>
        </is>
      </c>
      <c r="P625" t="inlineStr">
        <is>
          <t>FINANCIAL CREDITORS · row 63</t>
        </is>
      </c>
      <c r="Q625">
        <f>E625+ROW()*0.000000001</f>
        <v/>
      </c>
    </row>
    <row r="626">
      <c r="A626">
        <f>IF('FINANCIAL CREDITORS'!$A$64="","",'FINANCIAL CREDITORS'!$A$64)</f>
        <v/>
      </c>
      <c r="B626">
        <f>IF('FINANCIAL CREDITORS'!$C$64="","",'FINANCIAL CREDITORS'!$C$64)</f>
        <v/>
      </c>
      <c r="C626">
        <f>'FINANCIAL CREDITORS'!$U$64</f>
        <v/>
      </c>
      <c r="D626">
        <f>'FINANCIAL CREDITORS'!$AB$64</f>
        <v/>
      </c>
      <c r="E626">
        <f>'FINANCIAL CREDITORS'!$AF$64</f>
        <v/>
      </c>
      <c r="F626">
        <f>IF('FINANCIAL CREDITORS'!$V$64="","",'FINANCIAL CREDITORS'!$V$64)</f>
        <v/>
      </c>
      <c r="G626">
        <f>IF('FINANCIAL CREDITORS'!$D$64="","",'FINANCIAL CREDITORS'!$D$64)</f>
        <v/>
      </c>
      <c r="H626">
        <f>IF('FINANCIAL CREDITORS'!$G$64="","",'FINANCIAL CREDITORS'!$G$64)</f>
        <v/>
      </c>
      <c r="I626">
        <f>IF('FINANCIAL CREDITORS'!$AY$64="","",'FINANCIAL CREDITORS'!$AY$64)</f>
        <v/>
      </c>
      <c r="J626">
        <f>IF('FINANCIAL CREDITORS'!$BC$64="","",'FINANCIAL CREDITORS'!$BC$64)</f>
        <v/>
      </c>
      <c r="K626">
        <f>IF('FINANCIAL CREDITORS'!$N$64="","",'FINANCIAL CREDITORS'!$N$64)</f>
        <v/>
      </c>
      <c r="L626">
        <f>IF('FINANCIAL CREDITORS'!$AH$64="","",'FINANCIAL CREDITORS'!$AH$64)</f>
        <v/>
      </c>
      <c r="M626">
        <f>IF('FINANCIAL CREDITORS'!$AO$64="","",'FINANCIAL CREDITORS'!$AO$64)</f>
        <v/>
      </c>
      <c r="N626">
        <f>IF('FINANCIAL CREDITORS'!$BF$64="","",'FINANCIAL CREDITORS'!$BF$64)</f>
        <v/>
      </c>
      <c r="O626" t="inlineStr">
        <is>
          <t>FINANCIAL</t>
        </is>
      </c>
      <c r="P626" t="inlineStr">
        <is>
          <t>FINANCIAL CREDITORS · row 64</t>
        </is>
      </c>
      <c r="Q626">
        <f>E626+ROW()*0.000000001</f>
        <v/>
      </c>
    </row>
    <row r="627">
      <c r="A627">
        <f>IF('FINANCIAL CREDITORS'!$A$65="","",'FINANCIAL CREDITORS'!$A$65)</f>
        <v/>
      </c>
      <c r="B627">
        <f>IF('FINANCIAL CREDITORS'!$C$65="","",'FINANCIAL CREDITORS'!$C$65)</f>
        <v/>
      </c>
      <c r="C627">
        <f>'FINANCIAL CREDITORS'!$U$65</f>
        <v/>
      </c>
      <c r="D627">
        <f>'FINANCIAL CREDITORS'!$AB$65</f>
        <v/>
      </c>
      <c r="E627">
        <f>'FINANCIAL CREDITORS'!$AF$65</f>
        <v/>
      </c>
      <c r="F627">
        <f>IF('FINANCIAL CREDITORS'!$V$65="","",'FINANCIAL CREDITORS'!$V$65)</f>
        <v/>
      </c>
      <c r="G627">
        <f>IF('FINANCIAL CREDITORS'!$D$65="","",'FINANCIAL CREDITORS'!$D$65)</f>
        <v/>
      </c>
      <c r="H627">
        <f>IF('FINANCIAL CREDITORS'!$G$65="","",'FINANCIAL CREDITORS'!$G$65)</f>
        <v/>
      </c>
      <c r="I627">
        <f>IF('FINANCIAL CREDITORS'!$AY$65="","",'FINANCIAL CREDITORS'!$AY$65)</f>
        <v/>
      </c>
      <c r="J627">
        <f>IF('FINANCIAL CREDITORS'!$BC$65="","",'FINANCIAL CREDITORS'!$BC$65)</f>
        <v/>
      </c>
      <c r="K627">
        <f>IF('FINANCIAL CREDITORS'!$N$65="","",'FINANCIAL CREDITORS'!$N$65)</f>
        <v/>
      </c>
      <c r="L627">
        <f>IF('FINANCIAL CREDITORS'!$AH$65="","",'FINANCIAL CREDITORS'!$AH$65)</f>
        <v/>
      </c>
      <c r="M627">
        <f>IF('FINANCIAL CREDITORS'!$AO$65="","",'FINANCIAL CREDITORS'!$AO$65)</f>
        <v/>
      </c>
      <c r="N627">
        <f>IF('FINANCIAL CREDITORS'!$BF$65="","",'FINANCIAL CREDITORS'!$BF$65)</f>
        <v/>
      </c>
      <c r="O627" t="inlineStr">
        <is>
          <t>FINANCIAL</t>
        </is>
      </c>
      <c r="P627" t="inlineStr">
        <is>
          <t>FINANCIAL CREDITORS · row 65</t>
        </is>
      </c>
      <c r="Q627">
        <f>E627+ROW()*0.000000001</f>
        <v/>
      </c>
    </row>
    <row r="628">
      <c r="A628">
        <f>IF('FINANCIAL CREDITORS'!$A$66="","",'FINANCIAL CREDITORS'!$A$66)</f>
        <v/>
      </c>
      <c r="B628">
        <f>IF('FINANCIAL CREDITORS'!$C$66="","",'FINANCIAL CREDITORS'!$C$66)</f>
        <v/>
      </c>
      <c r="C628">
        <f>'FINANCIAL CREDITORS'!$U$66</f>
        <v/>
      </c>
      <c r="D628">
        <f>'FINANCIAL CREDITORS'!$AB$66</f>
        <v/>
      </c>
      <c r="E628">
        <f>'FINANCIAL CREDITORS'!$AF$66</f>
        <v/>
      </c>
      <c r="F628">
        <f>IF('FINANCIAL CREDITORS'!$V$66="","",'FINANCIAL CREDITORS'!$V$66)</f>
        <v/>
      </c>
      <c r="G628">
        <f>IF('FINANCIAL CREDITORS'!$D$66="","",'FINANCIAL CREDITORS'!$D$66)</f>
        <v/>
      </c>
      <c r="H628">
        <f>IF('FINANCIAL CREDITORS'!$G$66="","",'FINANCIAL CREDITORS'!$G$66)</f>
        <v/>
      </c>
      <c r="I628">
        <f>IF('FINANCIAL CREDITORS'!$AY$66="","",'FINANCIAL CREDITORS'!$AY$66)</f>
        <v/>
      </c>
      <c r="J628">
        <f>IF('FINANCIAL CREDITORS'!$BC$66="","",'FINANCIAL CREDITORS'!$BC$66)</f>
        <v/>
      </c>
      <c r="K628">
        <f>IF('FINANCIAL CREDITORS'!$N$66="","",'FINANCIAL CREDITORS'!$N$66)</f>
        <v/>
      </c>
      <c r="L628">
        <f>IF('FINANCIAL CREDITORS'!$AH$66="","",'FINANCIAL CREDITORS'!$AH$66)</f>
        <v/>
      </c>
      <c r="M628">
        <f>IF('FINANCIAL CREDITORS'!$AO$66="","",'FINANCIAL CREDITORS'!$AO$66)</f>
        <v/>
      </c>
      <c r="N628">
        <f>IF('FINANCIAL CREDITORS'!$BF$66="","",'FINANCIAL CREDITORS'!$BF$66)</f>
        <v/>
      </c>
      <c r="O628" t="inlineStr">
        <is>
          <t>FINANCIAL</t>
        </is>
      </c>
      <c r="P628" t="inlineStr">
        <is>
          <t>FINANCIAL CREDITORS · row 66</t>
        </is>
      </c>
      <c r="Q628">
        <f>E628+ROW()*0.000000001</f>
        <v/>
      </c>
    </row>
    <row r="629">
      <c r="A629">
        <f>IF('FINANCIAL CREDITORS'!$A$67="","",'FINANCIAL CREDITORS'!$A$67)</f>
        <v/>
      </c>
      <c r="B629">
        <f>IF('FINANCIAL CREDITORS'!$C$67="","",'FINANCIAL CREDITORS'!$C$67)</f>
        <v/>
      </c>
      <c r="C629">
        <f>'FINANCIAL CREDITORS'!$U$67</f>
        <v/>
      </c>
      <c r="D629">
        <f>'FINANCIAL CREDITORS'!$AB$67</f>
        <v/>
      </c>
      <c r="E629">
        <f>'FINANCIAL CREDITORS'!$AF$67</f>
        <v/>
      </c>
      <c r="F629">
        <f>IF('FINANCIAL CREDITORS'!$V$67="","",'FINANCIAL CREDITORS'!$V$67)</f>
        <v/>
      </c>
      <c r="G629">
        <f>IF('FINANCIAL CREDITORS'!$D$67="","",'FINANCIAL CREDITORS'!$D$67)</f>
        <v/>
      </c>
      <c r="H629">
        <f>IF('FINANCIAL CREDITORS'!$G$67="","",'FINANCIAL CREDITORS'!$G$67)</f>
        <v/>
      </c>
      <c r="I629">
        <f>IF('FINANCIAL CREDITORS'!$AY$67="","",'FINANCIAL CREDITORS'!$AY$67)</f>
        <v/>
      </c>
      <c r="J629">
        <f>IF('FINANCIAL CREDITORS'!$BC$67="","",'FINANCIAL CREDITORS'!$BC$67)</f>
        <v/>
      </c>
      <c r="K629">
        <f>IF('FINANCIAL CREDITORS'!$N$67="","",'FINANCIAL CREDITORS'!$N$67)</f>
        <v/>
      </c>
      <c r="L629">
        <f>IF('FINANCIAL CREDITORS'!$AH$67="","",'FINANCIAL CREDITORS'!$AH$67)</f>
        <v/>
      </c>
      <c r="M629">
        <f>IF('FINANCIAL CREDITORS'!$AO$67="","",'FINANCIAL CREDITORS'!$AO$67)</f>
        <v/>
      </c>
      <c r="N629">
        <f>IF('FINANCIAL CREDITORS'!$BF$67="","",'FINANCIAL CREDITORS'!$BF$67)</f>
        <v/>
      </c>
      <c r="O629" t="inlineStr">
        <is>
          <t>FINANCIAL</t>
        </is>
      </c>
      <c r="P629" t="inlineStr">
        <is>
          <t>FINANCIAL CREDITORS · row 67</t>
        </is>
      </c>
      <c r="Q629">
        <f>E629+ROW()*0.000000001</f>
        <v/>
      </c>
    </row>
    <row r="630">
      <c r="A630">
        <f>IF('FINANCIAL CREDITORS'!$A$68="","",'FINANCIAL CREDITORS'!$A$68)</f>
        <v/>
      </c>
      <c r="B630">
        <f>IF('FINANCIAL CREDITORS'!$C$68="","",'FINANCIAL CREDITORS'!$C$68)</f>
        <v/>
      </c>
      <c r="C630">
        <f>'FINANCIAL CREDITORS'!$U$68</f>
        <v/>
      </c>
      <c r="D630">
        <f>'FINANCIAL CREDITORS'!$AB$68</f>
        <v/>
      </c>
      <c r="E630">
        <f>'FINANCIAL CREDITORS'!$AF$68</f>
        <v/>
      </c>
      <c r="F630">
        <f>IF('FINANCIAL CREDITORS'!$V$68="","",'FINANCIAL CREDITORS'!$V$68)</f>
        <v/>
      </c>
      <c r="G630">
        <f>IF('FINANCIAL CREDITORS'!$D$68="","",'FINANCIAL CREDITORS'!$D$68)</f>
        <v/>
      </c>
      <c r="H630">
        <f>IF('FINANCIAL CREDITORS'!$G$68="","",'FINANCIAL CREDITORS'!$G$68)</f>
        <v/>
      </c>
      <c r="I630">
        <f>IF('FINANCIAL CREDITORS'!$AY$68="","",'FINANCIAL CREDITORS'!$AY$68)</f>
        <v/>
      </c>
      <c r="J630">
        <f>IF('FINANCIAL CREDITORS'!$BC$68="","",'FINANCIAL CREDITORS'!$BC$68)</f>
        <v/>
      </c>
      <c r="K630">
        <f>IF('FINANCIAL CREDITORS'!$N$68="","",'FINANCIAL CREDITORS'!$N$68)</f>
        <v/>
      </c>
      <c r="L630">
        <f>IF('FINANCIAL CREDITORS'!$AH$68="","",'FINANCIAL CREDITORS'!$AH$68)</f>
        <v/>
      </c>
      <c r="M630">
        <f>IF('FINANCIAL CREDITORS'!$AO$68="","",'FINANCIAL CREDITORS'!$AO$68)</f>
        <v/>
      </c>
      <c r="N630">
        <f>IF('FINANCIAL CREDITORS'!$BF$68="","",'FINANCIAL CREDITORS'!$BF$68)</f>
        <v/>
      </c>
      <c r="O630" t="inlineStr">
        <is>
          <t>FINANCIAL</t>
        </is>
      </c>
      <c r="P630" t="inlineStr">
        <is>
          <t>FINANCIAL CREDITORS · row 68</t>
        </is>
      </c>
      <c r="Q630">
        <f>E630+ROW()*0.000000001</f>
        <v/>
      </c>
    </row>
    <row r="631">
      <c r="A631">
        <f>IF('FINANCIAL CREDITORS'!$A$69="","",'FINANCIAL CREDITORS'!$A$69)</f>
        <v/>
      </c>
      <c r="B631">
        <f>IF('FINANCIAL CREDITORS'!$C$69="","",'FINANCIAL CREDITORS'!$C$69)</f>
        <v/>
      </c>
      <c r="C631">
        <f>'FINANCIAL CREDITORS'!$U$69</f>
        <v/>
      </c>
      <c r="D631">
        <f>'FINANCIAL CREDITORS'!$AB$69</f>
        <v/>
      </c>
      <c r="E631">
        <f>'FINANCIAL CREDITORS'!$AF$69</f>
        <v/>
      </c>
      <c r="F631">
        <f>IF('FINANCIAL CREDITORS'!$V$69="","",'FINANCIAL CREDITORS'!$V$69)</f>
        <v/>
      </c>
      <c r="G631">
        <f>IF('FINANCIAL CREDITORS'!$D$69="","",'FINANCIAL CREDITORS'!$D$69)</f>
        <v/>
      </c>
      <c r="H631">
        <f>IF('FINANCIAL CREDITORS'!$G$69="","",'FINANCIAL CREDITORS'!$G$69)</f>
        <v/>
      </c>
      <c r="I631">
        <f>IF('FINANCIAL CREDITORS'!$AY$69="","",'FINANCIAL CREDITORS'!$AY$69)</f>
        <v/>
      </c>
      <c r="J631">
        <f>IF('FINANCIAL CREDITORS'!$BC$69="","",'FINANCIAL CREDITORS'!$BC$69)</f>
        <v/>
      </c>
      <c r="K631">
        <f>IF('FINANCIAL CREDITORS'!$N$69="","",'FINANCIAL CREDITORS'!$N$69)</f>
        <v/>
      </c>
      <c r="L631">
        <f>IF('FINANCIAL CREDITORS'!$AH$69="","",'FINANCIAL CREDITORS'!$AH$69)</f>
        <v/>
      </c>
      <c r="M631">
        <f>IF('FINANCIAL CREDITORS'!$AO$69="","",'FINANCIAL CREDITORS'!$AO$69)</f>
        <v/>
      </c>
      <c r="N631">
        <f>IF('FINANCIAL CREDITORS'!$BF$69="","",'FINANCIAL CREDITORS'!$BF$69)</f>
        <v/>
      </c>
      <c r="O631" t="inlineStr">
        <is>
          <t>FINANCIAL</t>
        </is>
      </c>
      <c r="P631" t="inlineStr">
        <is>
          <t>FINANCIAL CREDITORS · row 69</t>
        </is>
      </c>
      <c r="Q631">
        <f>E631+ROW()*0.000000001</f>
        <v/>
      </c>
    </row>
    <row r="632">
      <c r="A632">
        <f>IF('FINANCIAL CREDITORS'!$A$70="","",'FINANCIAL CREDITORS'!$A$70)</f>
        <v/>
      </c>
      <c r="B632">
        <f>IF('FINANCIAL CREDITORS'!$C$70="","",'FINANCIAL CREDITORS'!$C$70)</f>
        <v/>
      </c>
      <c r="C632">
        <f>'FINANCIAL CREDITORS'!$U$70</f>
        <v/>
      </c>
      <c r="D632">
        <f>'FINANCIAL CREDITORS'!$AB$70</f>
        <v/>
      </c>
      <c r="E632">
        <f>'FINANCIAL CREDITORS'!$AF$70</f>
        <v/>
      </c>
      <c r="F632">
        <f>IF('FINANCIAL CREDITORS'!$V$70="","",'FINANCIAL CREDITORS'!$V$70)</f>
        <v/>
      </c>
      <c r="G632">
        <f>IF('FINANCIAL CREDITORS'!$D$70="","",'FINANCIAL CREDITORS'!$D$70)</f>
        <v/>
      </c>
      <c r="H632">
        <f>IF('FINANCIAL CREDITORS'!$G$70="","",'FINANCIAL CREDITORS'!$G$70)</f>
        <v/>
      </c>
      <c r="I632">
        <f>IF('FINANCIAL CREDITORS'!$AY$70="","",'FINANCIAL CREDITORS'!$AY$70)</f>
        <v/>
      </c>
      <c r="J632">
        <f>IF('FINANCIAL CREDITORS'!$BC$70="","",'FINANCIAL CREDITORS'!$BC$70)</f>
        <v/>
      </c>
      <c r="K632">
        <f>IF('FINANCIAL CREDITORS'!$N$70="","",'FINANCIAL CREDITORS'!$N$70)</f>
        <v/>
      </c>
      <c r="L632">
        <f>IF('FINANCIAL CREDITORS'!$AH$70="","",'FINANCIAL CREDITORS'!$AH$70)</f>
        <v/>
      </c>
      <c r="M632">
        <f>IF('FINANCIAL CREDITORS'!$AO$70="","",'FINANCIAL CREDITORS'!$AO$70)</f>
        <v/>
      </c>
      <c r="N632">
        <f>IF('FINANCIAL CREDITORS'!$BF$70="","",'FINANCIAL CREDITORS'!$BF$70)</f>
        <v/>
      </c>
      <c r="O632" t="inlineStr">
        <is>
          <t>FINANCIAL</t>
        </is>
      </c>
      <c r="P632" t="inlineStr">
        <is>
          <t>FINANCIAL CREDITORS · row 70</t>
        </is>
      </c>
      <c r="Q632">
        <f>E632+ROW()*0.000000001</f>
        <v/>
      </c>
    </row>
    <row r="633">
      <c r="A633">
        <f>IF('FINANCIAL CREDITORS'!$A$71="","",'FINANCIAL CREDITORS'!$A$71)</f>
        <v/>
      </c>
      <c r="B633">
        <f>IF('FINANCIAL CREDITORS'!$C$71="","",'FINANCIAL CREDITORS'!$C$71)</f>
        <v/>
      </c>
      <c r="C633">
        <f>'FINANCIAL CREDITORS'!$U$71</f>
        <v/>
      </c>
      <c r="D633">
        <f>'FINANCIAL CREDITORS'!$AB$71</f>
        <v/>
      </c>
      <c r="E633">
        <f>'FINANCIAL CREDITORS'!$AF$71</f>
        <v/>
      </c>
      <c r="F633">
        <f>IF('FINANCIAL CREDITORS'!$V$71="","",'FINANCIAL CREDITORS'!$V$71)</f>
        <v/>
      </c>
      <c r="G633">
        <f>IF('FINANCIAL CREDITORS'!$D$71="","",'FINANCIAL CREDITORS'!$D$71)</f>
        <v/>
      </c>
      <c r="H633">
        <f>IF('FINANCIAL CREDITORS'!$G$71="","",'FINANCIAL CREDITORS'!$G$71)</f>
        <v/>
      </c>
      <c r="I633">
        <f>IF('FINANCIAL CREDITORS'!$AY$71="","",'FINANCIAL CREDITORS'!$AY$71)</f>
        <v/>
      </c>
      <c r="J633">
        <f>IF('FINANCIAL CREDITORS'!$BC$71="","",'FINANCIAL CREDITORS'!$BC$71)</f>
        <v/>
      </c>
      <c r="K633">
        <f>IF('FINANCIAL CREDITORS'!$N$71="","",'FINANCIAL CREDITORS'!$N$71)</f>
        <v/>
      </c>
      <c r="L633">
        <f>IF('FINANCIAL CREDITORS'!$AH$71="","",'FINANCIAL CREDITORS'!$AH$71)</f>
        <v/>
      </c>
      <c r="M633">
        <f>IF('FINANCIAL CREDITORS'!$AO$71="","",'FINANCIAL CREDITORS'!$AO$71)</f>
        <v/>
      </c>
      <c r="N633">
        <f>IF('FINANCIAL CREDITORS'!$BF$71="","",'FINANCIAL CREDITORS'!$BF$71)</f>
        <v/>
      </c>
      <c r="O633" t="inlineStr">
        <is>
          <t>FINANCIAL</t>
        </is>
      </c>
      <c r="P633" t="inlineStr">
        <is>
          <t>FINANCIAL CREDITORS · row 71</t>
        </is>
      </c>
      <c r="Q633">
        <f>E633+ROW()*0.000000001</f>
        <v/>
      </c>
    </row>
    <row r="634">
      <c r="A634">
        <f>IF('FINANCIAL CREDITORS'!$A$72="","",'FINANCIAL CREDITORS'!$A$72)</f>
        <v/>
      </c>
      <c r="B634">
        <f>IF('FINANCIAL CREDITORS'!$C$72="","",'FINANCIAL CREDITORS'!$C$72)</f>
        <v/>
      </c>
      <c r="C634">
        <f>'FINANCIAL CREDITORS'!$U$72</f>
        <v/>
      </c>
      <c r="D634">
        <f>'FINANCIAL CREDITORS'!$AB$72</f>
        <v/>
      </c>
      <c r="E634">
        <f>'FINANCIAL CREDITORS'!$AF$72</f>
        <v/>
      </c>
      <c r="F634">
        <f>IF('FINANCIAL CREDITORS'!$V$72="","",'FINANCIAL CREDITORS'!$V$72)</f>
        <v/>
      </c>
      <c r="G634">
        <f>IF('FINANCIAL CREDITORS'!$D$72="","",'FINANCIAL CREDITORS'!$D$72)</f>
        <v/>
      </c>
      <c r="H634">
        <f>IF('FINANCIAL CREDITORS'!$G$72="","",'FINANCIAL CREDITORS'!$G$72)</f>
        <v/>
      </c>
      <c r="I634">
        <f>IF('FINANCIAL CREDITORS'!$AY$72="","",'FINANCIAL CREDITORS'!$AY$72)</f>
        <v/>
      </c>
      <c r="J634">
        <f>IF('FINANCIAL CREDITORS'!$BC$72="","",'FINANCIAL CREDITORS'!$BC$72)</f>
        <v/>
      </c>
      <c r="K634">
        <f>IF('FINANCIAL CREDITORS'!$N$72="","",'FINANCIAL CREDITORS'!$N$72)</f>
        <v/>
      </c>
      <c r="L634">
        <f>IF('FINANCIAL CREDITORS'!$AH$72="","",'FINANCIAL CREDITORS'!$AH$72)</f>
        <v/>
      </c>
      <c r="M634">
        <f>IF('FINANCIAL CREDITORS'!$AO$72="","",'FINANCIAL CREDITORS'!$AO$72)</f>
        <v/>
      </c>
      <c r="N634">
        <f>IF('FINANCIAL CREDITORS'!$BF$72="","",'FINANCIAL CREDITORS'!$BF$72)</f>
        <v/>
      </c>
      <c r="O634" t="inlineStr">
        <is>
          <t>FINANCIAL</t>
        </is>
      </c>
      <c r="P634" t="inlineStr">
        <is>
          <t>FINANCIAL CREDITORS · row 72</t>
        </is>
      </c>
      <c r="Q634">
        <f>E634+ROW()*0.000000001</f>
        <v/>
      </c>
    </row>
    <row r="635">
      <c r="A635">
        <f>IF('FINANCIAL CREDITORS'!$A$73="","",'FINANCIAL CREDITORS'!$A$73)</f>
        <v/>
      </c>
      <c r="B635">
        <f>IF('FINANCIAL CREDITORS'!$C$73="","",'FINANCIAL CREDITORS'!$C$73)</f>
        <v/>
      </c>
      <c r="C635">
        <f>'FINANCIAL CREDITORS'!$U$73</f>
        <v/>
      </c>
      <c r="D635">
        <f>'FINANCIAL CREDITORS'!$AB$73</f>
        <v/>
      </c>
      <c r="E635">
        <f>'FINANCIAL CREDITORS'!$AF$73</f>
        <v/>
      </c>
      <c r="F635">
        <f>IF('FINANCIAL CREDITORS'!$V$73="","",'FINANCIAL CREDITORS'!$V$73)</f>
        <v/>
      </c>
      <c r="G635">
        <f>IF('FINANCIAL CREDITORS'!$D$73="","",'FINANCIAL CREDITORS'!$D$73)</f>
        <v/>
      </c>
      <c r="H635">
        <f>IF('FINANCIAL CREDITORS'!$G$73="","",'FINANCIAL CREDITORS'!$G$73)</f>
        <v/>
      </c>
      <c r="I635">
        <f>IF('FINANCIAL CREDITORS'!$AY$73="","",'FINANCIAL CREDITORS'!$AY$73)</f>
        <v/>
      </c>
      <c r="J635">
        <f>IF('FINANCIAL CREDITORS'!$BC$73="","",'FINANCIAL CREDITORS'!$BC$73)</f>
        <v/>
      </c>
      <c r="K635">
        <f>IF('FINANCIAL CREDITORS'!$N$73="","",'FINANCIAL CREDITORS'!$N$73)</f>
        <v/>
      </c>
      <c r="L635">
        <f>IF('FINANCIAL CREDITORS'!$AH$73="","",'FINANCIAL CREDITORS'!$AH$73)</f>
        <v/>
      </c>
      <c r="M635">
        <f>IF('FINANCIAL CREDITORS'!$AO$73="","",'FINANCIAL CREDITORS'!$AO$73)</f>
        <v/>
      </c>
      <c r="N635">
        <f>IF('FINANCIAL CREDITORS'!$BF$73="","",'FINANCIAL CREDITORS'!$BF$73)</f>
        <v/>
      </c>
      <c r="O635" t="inlineStr">
        <is>
          <t>FINANCIAL</t>
        </is>
      </c>
      <c r="P635" t="inlineStr">
        <is>
          <t>FINANCIAL CREDITORS · row 73</t>
        </is>
      </c>
      <c r="Q635">
        <f>E635+ROW()*0.000000001</f>
        <v/>
      </c>
    </row>
    <row r="636">
      <c r="A636">
        <f>IF('FINANCIAL CREDITORS'!$A$74="","",'FINANCIAL CREDITORS'!$A$74)</f>
        <v/>
      </c>
      <c r="B636">
        <f>IF('FINANCIAL CREDITORS'!$C$74="","",'FINANCIAL CREDITORS'!$C$74)</f>
        <v/>
      </c>
      <c r="C636">
        <f>'FINANCIAL CREDITORS'!$U$74</f>
        <v/>
      </c>
      <c r="D636">
        <f>'FINANCIAL CREDITORS'!$AB$74</f>
        <v/>
      </c>
      <c r="E636">
        <f>'FINANCIAL CREDITORS'!$AF$74</f>
        <v/>
      </c>
      <c r="F636">
        <f>IF('FINANCIAL CREDITORS'!$V$74="","",'FINANCIAL CREDITORS'!$V$74)</f>
        <v/>
      </c>
      <c r="G636">
        <f>IF('FINANCIAL CREDITORS'!$D$74="","",'FINANCIAL CREDITORS'!$D$74)</f>
        <v/>
      </c>
      <c r="H636">
        <f>IF('FINANCIAL CREDITORS'!$G$74="","",'FINANCIAL CREDITORS'!$G$74)</f>
        <v/>
      </c>
      <c r="I636">
        <f>IF('FINANCIAL CREDITORS'!$AY$74="","",'FINANCIAL CREDITORS'!$AY$74)</f>
        <v/>
      </c>
      <c r="J636">
        <f>IF('FINANCIAL CREDITORS'!$BC$74="","",'FINANCIAL CREDITORS'!$BC$74)</f>
        <v/>
      </c>
      <c r="K636">
        <f>IF('FINANCIAL CREDITORS'!$N$74="","",'FINANCIAL CREDITORS'!$N$74)</f>
        <v/>
      </c>
      <c r="L636">
        <f>IF('FINANCIAL CREDITORS'!$AH$74="","",'FINANCIAL CREDITORS'!$AH$74)</f>
        <v/>
      </c>
      <c r="M636">
        <f>IF('FINANCIAL CREDITORS'!$AO$74="","",'FINANCIAL CREDITORS'!$AO$74)</f>
        <v/>
      </c>
      <c r="N636">
        <f>IF('FINANCIAL CREDITORS'!$BF$74="","",'FINANCIAL CREDITORS'!$BF$74)</f>
        <v/>
      </c>
      <c r="O636" t="inlineStr">
        <is>
          <t>FINANCIAL</t>
        </is>
      </c>
      <c r="P636" t="inlineStr">
        <is>
          <t>FINANCIAL CREDITORS · row 74</t>
        </is>
      </c>
      <c r="Q636">
        <f>E636+ROW()*0.000000001</f>
        <v/>
      </c>
    </row>
    <row r="637">
      <c r="A637">
        <f>IF('FINANCIAL CREDITORS'!$A$75="","",'FINANCIAL CREDITORS'!$A$75)</f>
        <v/>
      </c>
      <c r="B637">
        <f>IF('FINANCIAL CREDITORS'!$C$75="","",'FINANCIAL CREDITORS'!$C$75)</f>
        <v/>
      </c>
      <c r="C637">
        <f>'FINANCIAL CREDITORS'!$U$75</f>
        <v/>
      </c>
      <c r="D637">
        <f>'FINANCIAL CREDITORS'!$AB$75</f>
        <v/>
      </c>
      <c r="E637">
        <f>'FINANCIAL CREDITORS'!$AF$75</f>
        <v/>
      </c>
      <c r="F637">
        <f>IF('FINANCIAL CREDITORS'!$V$75="","",'FINANCIAL CREDITORS'!$V$75)</f>
        <v/>
      </c>
      <c r="G637">
        <f>IF('FINANCIAL CREDITORS'!$D$75="","",'FINANCIAL CREDITORS'!$D$75)</f>
        <v/>
      </c>
      <c r="H637">
        <f>IF('FINANCIAL CREDITORS'!$G$75="","",'FINANCIAL CREDITORS'!$G$75)</f>
        <v/>
      </c>
      <c r="I637">
        <f>IF('FINANCIAL CREDITORS'!$AY$75="","",'FINANCIAL CREDITORS'!$AY$75)</f>
        <v/>
      </c>
      <c r="J637">
        <f>IF('FINANCIAL CREDITORS'!$BC$75="","",'FINANCIAL CREDITORS'!$BC$75)</f>
        <v/>
      </c>
      <c r="K637">
        <f>IF('FINANCIAL CREDITORS'!$N$75="","",'FINANCIAL CREDITORS'!$N$75)</f>
        <v/>
      </c>
      <c r="L637">
        <f>IF('FINANCIAL CREDITORS'!$AH$75="","",'FINANCIAL CREDITORS'!$AH$75)</f>
        <v/>
      </c>
      <c r="M637">
        <f>IF('FINANCIAL CREDITORS'!$AO$75="","",'FINANCIAL CREDITORS'!$AO$75)</f>
        <v/>
      </c>
      <c r="N637">
        <f>IF('FINANCIAL CREDITORS'!$BF$75="","",'FINANCIAL CREDITORS'!$BF$75)</f>
        <v/>
      </c>
      <c r="O637" t="inlineStr">
        <is>
          <t>FINANCIAL</t>
        </is>
      </c>
      <c r="P637" t="inlineStr">
        <is>
          <t>FINANCIAL CREDITORS · row 75</t>
        </is>
      </c>
      <c r="Q637">
        <f>E637+ROW()*0.000000001</f>
        <v/>
      </c>
    </row>
    <row r="638">
      <c r="A638">
        <f>IF('FINANCIAL CREDITORS'!$A$76="","",'FINANCIAL CREDITORS'!$A$76)</f>
        <v/>
      </c>
      <c r="B638">
        <f>IF('FINANCIAL CREDITORS'!$C$76="","",'FINANCIAL CREDITORS'!$C$76)</f>
        <v/>
      </c>
      <c r="C638">
        <f>'FINANCIAL CREDITORS'!$U$76</f>
        <v/>
      </c>
      <c r="D638">
        <f>'FINANCIAL CREDITORS'!$AB$76</f>
        <v/>
      </c>
      <c r="E638">
        <f>'FINANCIAL CREDITORS'!$AF$76</f>
        <v/>
      </c>
      <c r="F638">
        <f>IF('FINANCIAL CREDITORS'!$V$76="","",'FINANCIAL CREDITORS'!$V$76)</f>
        <v/>
      </c>
      <c r="G638">
        <f>IF('FINANCIAL CREDITORS'!$D$76="","",'FINANCIAL CREDITORS'!$D$76)</f>
        <v/>
      </c>
      <c r="H638">
        <f>IF('FINANCIAL CREDITORS'!$G$76="","",'FINANCIAL CREDITORS'!$G$76)</f>
        <v/>
      </c>
      <c r="I638">
        <f>IF('FINANCIAL CREDITORS'!$AY$76="","",'FINANCIAL CREDITORS'!$AY$76)</f>
        <v/>
      </c>
      <c r="J638">
        <f>IF('FINANCIAL CREDITORS'!$BC$76="","",'FINANCIAL CREDITORS'!$BC$76)</f>
        <v/>
      </c>
      <c r="K638">
        <f>IF('FINANCIAL CREDITORS'!$N$76="","",'FINANCIAL CREDITORS'!$N$76)</f>
        <v/>
      </c>
      <c r="L638">
        <f>IF('FINANCIAL CREDITORS'!$AH$76="","",'FINANCIAL CREDITORS'!$AH$76)</f>
        <v/>
      </c>
      <c r="M638">
        <f>IF('FINANCIAL CREDITORS'!$AO$76="","",'FINANCIAL CREDITORS'!$AO$76)</f>
        <v/>
      </c>
      <c r="N638">
        <f>IF('FINANCIAL CREDITORS'!$BF$76="","",'FINANCIAL CREDITORS'!$BF$76)</f>
        <v/>
      </c>
      <c r="O638" t="inlineStr">
        <is>
          <t>FINANCIAL</t>
        </is>
      </c>
      <c r="P638" t="inlineStr">
        <is>
          <t>FINANCIAL CREDITORS · row 76</t>
        </is>
      </c>
      <c r="Q638">
        <f>E638+ROW()*0.000000001</f>
        <v/>
      </c>
    </row>
    <row r="639">
      <c r="A639">
        <f>IF('FINANCIAL CREDITORS'!$A$77="","",'FINANCIAL CREDITORS'!$A$77)</f>
        <v/>
      </c>
      <c r="B639">
        <f>IF('FINANCIAL CREDITORS'!$C$77="","",'FINANCIAL CREDITORS'!$C$77)</f>
        <v/>
      </c>
      <c r="C639">
        <f>'FINANCIAL CREDITORS'!$U$77</f>
        <v/>
      </c>
      <c r="D639">
        <f>'FINANCIAL CREDITORS'!$AB$77</f>
        <v/>
      </c>
      <c r="E639">
        <f>'FINANCIAL CREDITORS'!$AF$77</f>
        <v/>
      </c>
      <c r="F639">
        <f>IF('FINANCIAL CREDITORS'!$V$77="","",'FINANCIAL CREDITORS'!$V$77)</f>
        <v/>
      </c>
      <c r="G639">
        <f>IF('FINANCIAL CREDITORS'!$D$77="","",'FINANCIAL CREDITORS'!$D$77)</f>
        <v/>
      </c>
      <c r="H639">
        <f>IF('FINANCIAL CREDITORS'!$G$77="","",'FINANCIAL CREDITORS'!$G$77)</f>
        <v/>
      </c>
      <c r="I639">
        <f>IF('FINANCIAL CREDITORS'!$AY$77="","",'FINANCIAL CREDITORS'!$AY$77)</f>
        <v/>
      </c>
      <c r="J639">
        <f>IF('FINANCIAL CREDITORS'!$BC$77="","",'FINANCIAL CREDITORS'!$BC$77)</f>
        <v/>
      </c>
      <c r="K639">
        <f>IF('FINANCIAL CREDITORS'!$N$77="","",'FINANCIAL CREDITORS'!$N$77)</f>
        <v/>
      </c>
      <c r="L639">
        <f>IF('FINANCIAL CREDITORS'!$AH$77="","",'FINANCIAL CREDITORS'!$AH$77)</f>
        <v/>
      </c>
      <c r="M639">
        <f>IF('FINANCIAL CREDITORS'!$AO$77="","",'FINANCIAL CREDITORS'!$AO$77)</f>
        <v/>
      </c>
      <c r="N639">
        <f>IF('FINANCIAL CREDITORS'!$BF$77="","",'FINANCIAL CREDITORS'!$BF$77)</f>
        <v/>
      </c>
      <c r="O639" t="inlineStr">
        <is>
          <t>FINANCIAL</t>
        </is>
      </c>
      <c r="P639" t="inlineStr">
        <is>
          <t>FINANCIAL CREDITORS · row 77</t>
        </is>
      </c>
      <c r="Q639">
        <f>E639+ROW()*0.000000001</f>
        <v/>
      </c>
    </row>
    <row r="640">
      <c r="A640">
        <f>IF('FINANCIAL CREDITORS'!$A$78="","",'FINANCIAL CREDITORS'!$A$78)</f>
        <v/>
      </c>
      <c r="B640">
        <f>IF('FINANCIAL CREDITORS'!$C$78="","",'FINANCIAL CREDITORS'!$C$78)</f>
        <v/>
      </c>
      <c r="C640">
        <f>'FINANCIAL CREDITORS'!$U$78</f>
        <v/>
      </c>
      <c r="D640">
        <f>'FINANCIAL CREDITORS'!$AB$78</f>
        <v/>
      </c>
      <c r="E640">
        <f>'FINANCIAL CREDITORS'!$AF$78</f>
        <v/>
      </c>
      <c r="F640">
        <f>IF('FINANCIAL CREDITORS'!$V$78="","",'FINANCIAL CREDITORS'!$V$78)</f>
        <v/>
      </c>
      <c r="G640">
        <f>IF('FINANCIAL CREDITORS'!$D$78="","",'FINANCIAL CREDITORS'!$D$78)</f>
        <v/>
      </c>
      <c r="H640">
        <f>IF('FINANCIAL CREDITORS'!$G$78="","",'FINANCIAL CREDITORS'!$G$78)</f>
        <v/>
      </c>
      <c r="I640">
        <f>IF('FINANCIAL CREDITORS'!$AY$78="","",'FINANCIAL CREDITORS'!$AY$78)</f>
        <v/>
      </c>
      <c r="J640">
        <f>IF('FINANCIAL CREDITORS'!$BC$78="","",'FINANCIAL CREDITORS'!$BC$78)</f>
        <v/>
      </c>
      <c r="K640">
        <f>IF('FINANCIAL CREDITORS'!$N$78="","",'FINANCIAL CREDITORS'!$N$78)</f>
        <v/>
      </c>
      <c r="L640">
        <f>IF('FINANCIAL CREDITORS'!$AH$78="","",'FINANCIAL CREDITORS'!$AH$78)</f>
        <v/>
      </c>
      <c r="M640">
        <f>IF('FINANCIAL CREDITORS'!$AO$78="","",'FINANCIAL CREDITORS'!$AO$78)</f>
        <v/>
      </c>
      <c r="N640">
        <f>IF('FINANCIAL CREDITORS'!$BF$78="","",'FINANCIAL CREDITORS'!$BF$78)</f>
        <v/>
      </c>
      <c r="O640" t="inlineStr">
        <is>
          <t>FINANCIAL</t>
        </is>
      </c>
      <c r="P640" t="inlineStr">
        <is>
          <t>FINANCIAL CREDITORS · row 78</t>
        </is>
      </c>
      <c r="Q640">
        <f>E640+ROW()*0.000000001</f>
        <v/>
      </c>
    </row>
    <row r="641">
      <c r="A641">
        <f>IF('FINANCIAL CREDITORS'!$A$79="","",'FINANCIAL CREDITORS'!$A$79)</f>
        <v/>
      </c>
      <c r="B641">
        <f>IF('FINANCIAL CREDITORS'!$C$79="","",'FINANCIAL CREDITORS'!$C$79)</f>
        <v/>
      </c>
      <c r="C641">
        <f>'FINANCIAL CREDITORS'!$U$79</f>
        <v/>
      </c>
      <c r="D641">
        <f>'FINANCIAL CREDITORS'!$AB$79</f>
        <v/>
      </c>
      <c r="E641">
        <f>'FINANCIAL CREDITORS'!$AF$79</f>
        <v/>
      </c>
      <c r="F641">
        <f>IF('FINANCIAL CREDITORS'!$V$79="","",'FINANCIAL CREDITORS'!$V$79)</f>
        <v/>
      </c>
      <c r="G641">
        <f>IF('FINANCIAL CREDITORS'!$D$79="","",'FINANCIAL CREDITORS'!$D$79)</f>
        <v/>
      </c>
      <c r="H641">
        <f>IF('FINANCIAL CREDITORS'!$G$79="","",'FINANCIAL CREDITORS'!$G$79)</f>
        <v/>
      </c>
      <c r="I641">
        <f>IF('FINANCIAL CREDITORS'!$AY$79="","",'FINANCIAL CREDITORS'!$AY$79)</f>
        <v/>
      </c>
      <c r="J641">
        <f>IF('FINANCIAL CREDITORS'!$BC$79="","",'FINANCIAL CREDITORS'!$BC$79)</f>
        <v/>
      </c>
      <c r="K641">
        <f>IF('FINANCIAL CREDITORS'!$N$79="","",'FINANCIAL CREDITORS'!$N$79)</f>
        <v/>
      </c>
      <c r="L641">
        <f>IF('FINANCIAL CREDITORS'!$AH$79="","",'FINANCIAL CREDITORS'!$AH$79)</f>
        <v/>
      </c>
      <c r="M641">
        <f>IF('FINANCIAL CREDITORS'!$AO$79="","",'FINANCIAL CREDITORS'!$AO$79)</f>
        <v/>
      </c>
      <c r="N641">
        <f>IF('FINANCIAL CREDITORS'!$BF$79="","",'FINANCIAL CREDITORS'!$BF$79)</f>
        <v/>
      </c>
      <c r="O641" t="inlineStr">
        <is>
          <t>FINANCIAL</t>
        </is>
      </c>
      <c r="P641" t="inlineStr">
        <is>
          <t>FINANCIAL CREDITORS · row 79</t>
        </is>
      </c>
      <c r="Q641">
        <f>E641+ROW()*0.000000001</f>
        <v/>
      </c>
    </row>
    <row r="642">
      <c r="A642">
        <f>IF('FINANCIAL CREDITORS'!$A$80="","",'FINANCIAL CREDITORS'!$A$80)</f>
        <v/>
      </c>
      <c r="B642">
        <f>IF('FINANCIAL CREDITORS'!$C$80="","",'FINANCIAL CREDITORS'!$C$80)</f>
        <v/>
      </c>
      <c r="C642">
        <f>'FINANCIAL CREDITORS'!$U$80</f>
        <v/>
      </c>
      <c r="D642">
        <f>'FINANCIAL CREDITORS'!$AB$80</f>
        <v/>
      </c>
      <c r="E642">
        <f>'FINANCIAL CREDITORS'!$AF$80</f>
        <v/>
      </c>
      <c r="F642">
        <f>IF('FINANCIAL CREDITORS'!$V$80="","",'FINANCIAL CREDITORS'!$V$80)</f>
        <v/>
      </c>
      <c r="G642">
        <f>IF('FINANCIAL CREDITORS'!$D$80="","",'FINANCIAL CREDITORS'!$D$80)</f>
        <v/>
      </c>
      <c r="H642">
        <f>IF('FINANCIAL CREDITORS'!$G$80="","",'FINANCIAL CREDITORS'!$G$80)</f>
        <v/>
      </c>
      <c r="I642">
        <f>IF('FINANCIAL CREDITORS'!$AY$80="","",'FINANCIAL CREDITORS'!$AY$80)</f>
        <v/>
      </c>
      <c r="J642">
        <f>IF('FINANCIAL CREDITORS'!$BC$80="","",'FINANCIAL CREDITORS'!$BC$80)</f>
        <v/>
      </c>
      <c r="K642">
        <f>IF('FINANCIAL CREDITORS'!$N$80="","",'FINANCIAL CREDITORS'!$N$80)</f>
        <v/>
      </c>
      <c r="L642">
        <f>IF('FINANCIAL CREDITORS'!$AH$80="","",'FINANCIAL CREDITORS'!$AH$80)</f>
        <v/>
      </c>
      <c r="M642">
        <f>IF('FINANCIAL CREDITORS'!$AO$80="","",'FINANCIAL CREDITORS'!$AO$80)</f>
        <v/>
      </c>
      <c r="N642">
        <f>IF('FINANCIAL CREDITORS'!$BF$80="","",'FINANCIAL CREDITORS'!$BF$80)</f>
        <v/>
      </c>
      <c r="O642" t="inlineStr">
        <is>
          <t>FINANCIAL</t>
        </is>
      </c>
      <c r="P642" t="inlineStr">
        <is>
          <t>FINANCIAL CREDITORS · row 80</t>
        </is>
      </c>
      <c r="Q642">
        <f>E642+ROW()*0.000000001</f>
        <v/>
      </c>
    </row>
    <row r="643">
      <c r="A643">
        <f>IF('FINANCIAL CREDITORS'!$A$81="","",'FINANCIAL CREDITORS'!$A$81)</f>
        <v/>
      </c>
      <c r="B643">
        <f>IF('FINANCIAL CREDITORS'!$C$81="","",'FINANCIAL CREDITORS'!$C$81)</f>
        <v/>
      </c>
      <c r="C643">
        <f>'FINANCIAL CREDITORS'!$U$81</f>
        <v/>
      </c>
      <c r="D643">
        <f>'FINANCIAL CREDITORS'!$AB$81</f>
        <v/>
      </c>
      <c r="E643">
        <f>'FINANCIAL CREDITORS'!$AF$81</f>
        <v/>
      </c>
      <c r="F643">
        <f>IF('FINANCIAL CREDITORS'!$V$81="","",'FINANCIAL CREDITORS'!$V$81)</f>
        <v/>
      </c>
      <c r="G643">
        <f>IF('FINANCIAL CREDITORS'!$D$81="","",'FINANCIAL CREDITORS'!$D$81)</f>
        <v/>
      </c>
      <c r="H643">
        <f>IF('FINANCIAL CREDITORS'!$G$81="","",'FINANCIAL CREDITORS'!$G$81)</f>
        <v/>
      </c>
      <c r="I643">
        <f>IF('FINANCIAL CREDITORS'!$AY$81="","",'FINANCIAL CREDITORS'!$AY$81)</f>
        <v/>
      </c>
      <c r="J643">
        <f>IF('FINANCIAL CREDITORS'!$BC$81="","",'FINANCIAL CREDITORS'!$BC$81)</f>
        <v/>
      </c>
      <c r="K643">
        <f>IF('FINANCIAL CREDITORS'!$N$81="","",'FINANCIAL CREDITORS'!$N$81)</f>
        <v/>
      </c>
      <c r="L643">
        <f>IF('FINANCIAL CREDITORS'!$AH$81="","",'FINANCIAL CREDITORS'!$AH$81)</f>
        <v/>
      </c>
      <c r="M643">
        <f>IF('FINANCIAL CREDITORS'!$AO$81="","",'FINANCIAL CREDITORS'!$AO$81)</f>
        <v/>
      </c>
      <c r="N643">
        <f>IF('FINANCIAL CREDITORS'!$BF$81="","",'FINANCIAL CREDITORS'!$BF$81)</f>
        <v/>
      </c>
      <c r="O643" t="inlineStr">
        <is>
          <t>FINANCIAL</t>
        </is>
      </c>
      <c r="P643" t="inlineStr">
        <is>
          <t>FINANCIAL CREDITORS · row 81</t>
        </is>
      </c>
      <c r="Q643">
        <f>E643+ROW()*0.000000001</f>
        <v/>
      </c>
    </row>
    <row r="644">
      <c r="A644">
        <f>IF('FINANCIAL CREDITORS'!$A$82="","",'FINANCIAL CREDITORS'!$A$82)</f>
        <v/>
      </c>
      <c r="B644">
        <f>IF('FINANCIAL CREDITORS'!$C$82="","",'FINANCIAL CREDITORS'!$C$82)</f>
        <v/>
      </c>
      <c r="C644">
        <f>'FINANCIAL CREDITORS'!$U$82</f>
        <v/>
      </c>
      <c r="D644">
        <f>'FINANCIAL CREDITORS'!$AB$82</f>
        <v/>
      </c>
      <c r="E644">
        <f>'FINANCIAL CREDITORS'!$AF$82</f>
        <v/>
      </c>
      <c r="F644">
        <f>IF('FINANCIAL CREDITORS'!$V$82="","",'FINANCIAL CREDITORS'!$V$82)</f>
        <v/>
      </c>
      <c r="G644">
        <f>IF('FINANCIAL CREDITORS'!$D$82="","",'FINANCIAL CREDITORS'!$D$82)</f>
        <v/>
      </c>
      <c r="H644">
        <f>IF('FINANCIAL CREDITORS'!$G$82="","",'FINANCIAL CREDITORS'!$G$82)</f>
        <v/>
      </c>
      <c r="I644">
        <f>IF('FINANCIAL CREDITORS'!$AY$82="","",'FINANCIAL CREDITORS'!$AY$82)</f>
        <v/>
      </c>
      <c r="J644">
        <f>IF('FINANCIAL CREDITORS'!$BC$82="","",'FINANCIAL CREDITORS'!$BC$82)</f>
        <v/>
      </c>
      <c r="K644">
        <f>IF('FINANCIAL CREDITORS'!$N$82="","",'FINANCIAL CREDITORS'!$N$82)</f>
        <v/>
      </c>
      <c r="L644">
        <f>IF('FINANCIAL CREDITORS'!$AH$82="","",'FINANCIAL CREDITORS'!$AH$82)</f>
        <v/>
      </c>
      <c r="M644">
        <f>IF('FINANCIAL CREDITORS'!$AO$82="","",'FINANCIAL CREDITORS'!$AO$82)</f>
        <v/>
      </c>
      <c r="N644">
        <f>IF('FINANCIAL CREDITORS'!$BF$82="","",'FINANCIAL CREDITORS'!$BF$82)</f>
        <v/>
      </c>
      <c r="O644" t="inlineStr">
        <is>
          <t>FINANCIAL</t>
        </is>
      </c>
      <c r="P644" t="inlineStr">
        <is>
          <t>FINANCIAL CREDITORS · row 82</t>
        </is>
      </c>
      <c r="Q644">
        <f>E644+ROW()*0.000000001</f>
        <v/>
      </c>
    </row>
    <row r="645">
      <c r="A645">
        <f>IF('FINANCIAL CREDITORS'!$A$83="","",'FINANCIAL CREDITORS'!$A$83)</f>
        <v/>
      </c>
      <c r="B645">
        <f>IF('FINANCIAL CREDITORS'!$C$83="","",'FINANCIAL CREDITORS'!$C$83)</f>
        <v/>
      </c>
      <c r="C645">
        <f>'FINANCIAL CREDITORS'!$U$83</f>
        <v/>
      </c>
      <c r="D645">
        <f>'FINANCIAL CREDITORS'!$AB$83</f>
        <v/>
      </c>
      <c r="E645">
        <f>'FINANCIAL CREDITORS'!$AF$83</f>
        <v/>
      </c>
      <c r="F645">
        <f>IF('FINANCIAL CREDITORS'!$V$83="","",'FINANCIAL CREDITORS'!$V$83)</f>
        <v/>
      </c>
      <c r="G645">
        <f>IF('FINANCIAL CREDITORS'!$D$83="","",'FINANCIAL CREDITORS'!$D$83)</f>
        <v/>
      </c>
      <c r="H645">
        <f>IF('FINANCIAL CREDITORS'!$G$83="","",'FINANCIAL CREDITORS'!$G$83)</f>
        <v/>
      </c>
      <c r="I645">
        <f>IF('FINANCIAL CREDITORS'!$AY$83="","",'FINANCIAL CREDITORS'!$AY$83)</f>
        <v/>
      </c>
      <c r="J645">
        <f>IF('FINANCIAL CREDITORS'!$BC$83="","",'FINANCIAL CREDITORS'!$BC$83)</f>
        <v/>
      </c>
      <c r="K645">
        <f>IF('FINANCIAL CREDITORS'!$N$83="","",'FINANCIAL CREDITORS'!$N$83)</f>
        <v/>
      </c>
      <c r="L645">
        <f>IF('FINANCIAL CREDITORS'!$AH$83="","",'FINANCIAL CREDITORS'!$AH$83)</f>
        <v/>
      </c>
      <c r="M645">
        <f>IF('FINANCIAL CREDITORS'!$AO$83="","",'FINANCIAL CREDITORS'!$AO$83)</f>
        <v/>
      </c>
      <c r="N645">
        <f>IF('FINANCIAL CREDITORS'!$BF$83="","",'FINANCIAL CREDITORS'!$BF$83)</f>
        <v/>
      </c>
      <c r="O645" t="inlineStr">
        <is>
          <t>FINANCIAL</t>
        </is>
      </c>
      <c r="P645" t="inlineStr">
        <is>
          <t>FINANCIAL CREDITORS · row 83</t>
        </is>
      </c>
      <c r="Q645">
        <f>E645+ROW()*0.000000001</f>
        <v/>
      </c>
    </row>
    <row r="646">
      <c r="A646">
        <f>IF('FINANCIAL CREDITORS'!$A$84="","",'FINANCIAL CREDITORS'!$A$84)</f>
        <v/>
      </c>
      <c r="B646">
        <f>IF('FINANCIAL CREDITORS'!$C$84="","",'FINANCIAL CREDITORS'!$C$84)</f>
        <v/>
      </c>
      <c r="C646">
        <f>'FINANCIAL CREDITORS'!$U$84</f>
        <v/>
      </c>
      <c r="D646">
        <f>'FINANCIAL CREDITORS'!$AB$84</f>
        <v/>
      </c>
      <c r="E646">
        <f>'FINANCIAL CREDITORS'!$AF$84</f>
        <v/>
      </c>
      <c r="F646">
        <f>IF('FINANCIAL CREDITORS'!$V$84="","",'FINANCIAL CREDITORS'!$V$84)</f>
        <v/>
      </c>
      <c r="G646">
        <f>IF('FINANCIAL CREDITORS'!$D$84="","",'FINANCIAL CREDITORS'!$D$84)</f>
        <v/>
      </c>
      <c r="H646">
        <f>IF('FINANCIAL CREDITORS'!$G$84="","",'FINANCIAL CREDITORS'!$G$84)</f>
        <v/>
      </c>
      <c r="I646">
        <f>IF('FINANCIAL CREDITORS'!$AY$84="","",'FINANCIAL CREDITORS'!$AY$84)</f>
        <v/>
      </c>
      <c r="J646">
        <f>IF('FINANCIAL CREDITORS'!$BC$84="","",'FINANCIAL CREDITORS'!$BC$84)</f>
        <v/>
      </c>
      <c r="K646">
        <f>IF('FINANCIAL CREDITORS'!$N$84="","",'FINANCIAL CREDITORS'!$N$84)</f>
        <v/>
      </c>
      <c r="L646">
        <f>IF('FINANCIAL CREDITORS'!$AH$84="","",'FINANCIAL CREDITORS'!$AH$84)</f>
        <v/>
      </c>
      <c r="M646">
        <f>IF('FINANCIAL CREDITORS'!$AO$84="","",'FINANCIAL CREDITORS'!$AO$84)</f>
        <v/>
      </c>
      <c r="N646">
        <f>IF('FINANCIAL CREDITORS'!$BF$84="","",'FINANCIAL CREDITORS'!$BF$84)</f>
        <v/>
      </c>
      <c r="O646" t="inlineStr">
        <is>
          <t>FINANCIAL</t>
        </is>
      </c>
      <c r="P646" t="inlineStr">
        <is>
          <t>FINANCIAL CREDITORS · row 84</t>
        </is>
      </c>
      <c r="Q646">
        <f>E646+ROW()*0.000000001</f>
        <v/>
      </c>
    </row>
    <row r="647">
      <c r="A647">
        <f>IF('FINANCIAL CREDITORS'!$A$85="","",'FINANCIAL CREDITORS'!$A$85)</f>
        <v/>
      </c>
      <c r="B647">
        <f>IF('FINANCIAL CREDITORS'!$C$85="","",'FINANCIAL CREDITORS'!$C$85)</f>
        <v/>
      </c>
      <c r="C647">
        <f>'FINANCIAL CREDITORS'!$U$85</f>
        <v/>
      </c>
      <c r="D647">
        <f>'FINANCIAL CREDITORS'!$AB$85</f>
        <v/>
      </c>
      <c r="E647">
        <f>'FINANCIAL CREDITORS'!$AF$85</f>
        <v/>
      </c>
      <c r="F647">
        <f>IF('FINANCIAL CREDITORS'!$V$85="","",'FINANCIAL CREDITORS'!$V$85)</f>
        <v/>
      </c>
      <c r="G647">
        <f>IF('FINANCIAL CREDITORS'!$D$85="","",'FINANCIAL CREDITORS'!$D$85)</f>
        <v/>
      </c>
      <c r="H647">
        <f>IF('FINANCIAL CREDITORS'!$G$85="","",'FINANCIAL CREDITORS'!$G$85)</f>
        <v/>
      </c>
      <c r="I647">
        <f>IF('FINANCIAL CREDITORS'!$AY$85="","",'FINANCIAL CREDITORS'!$AY$85)</f>
        <v/>
      </c>
      <c r="J647">
        <f>IF('FINANCIAL CREDITORS'!$BC$85="","",'FINANCIAL CREDITORS'!$BC$85)</f>
        <v/>
      </c>
      <c r="K647">
        <f>IF('FINANCIAL CREDITORS'!$N$85="","",'FINANCIAL CREDITORS'!$N$85)</f>
        <v/>
      </c>
      <c r="L647">
        <f>IF('FINANCIAL CREDITORS'!$AH$85="","",'FINANCIAL CREDITORS'!$AH$85)</f>
        <v/>
      </c>
      <c r="M647">
        <f>IF('FINANCIAL CREDITORS'!$AO$85="","",'FINANCIAL CREDITORS'!$AO$85)</f>
        <v/>
      </c>
      <c r="N647">
        <f>IF('FINANCIAL CREDITORS'!$BF$85="","",'FINANCIAL CREDITORS'!$BF$85)</f>
        <v/>
      </c>
      <c r="O647" t="inlineStr">
        <is>
          <t>FINANCIAL</t>
        </is>
      </c>
      <c r="P647" t="inlineStr">
        <is>
          <t>FINANCIAL CREDITORS · row 85</t>
        </is>
      </c>
      <c r="Q647">
        <f>E647+ROW()*0.000000001</f>
        <v/>
      </c>
    </row>
    <row r="648">
      <c r="A648">
        <f>IF('FINANCIAL CREDITORS'!$A$86="","",'FINANCIAL CREDITORS'!$A$86)</f>
        <v/>
      </c>
      <c r="B648">
        <f>IF('FINANCIAL CREDITORS'!$C$86="","",'FINANCIAL CREDITORS'!$C$86)</f>
        <v/>
      </c>
      <c r="C648">
        <f>'FINANCIAL CREDITORS'!$U$86</f>
        <v/>
      </c>
      <c r="D648">
        <f>'FINANCIAL CREDITORS'!$AB$86</f>
        <v/>
      </c>
      <c r="E648">
        <f>'FINANCIAL CREDITORS'!$AF$86</f>
        <v/>
      </c>
      <c r="F648">
        <f>IF('FINANCIAL CREDITORS'!$V$86="","",'FINANCIAL CREDITORS'!$V$86)</f>
        <v/>
      </c>
      <c r="G648">
        <f>IF('FINANCIAL CREDITORS'!$D$86="","",'FINANCIAL CREDITORS'!$D$86)</f>
        <v/>
      </c>
      <c r="H648">
        <f>IF('FINANCIAL CREDITORS'!$G$86="","",'FINANCIAL CREDITORS'!$G$86)</f>
        <v/>
      </c>
      <c r="I648">
        <f>IF('FINANCIAL CREDITORS'!$AY$86="","",'FINANCIAL CREDITORS'!$AY$86)</f>
        <v/>
      </c>
      <c r="J648">
        <f>IF('FINANCIAL CREDITORS'!$BC$86="","",'FINANCIAL CREDITORS'!$BC$86)</f>
        <v/>
      </c>
      <c r="K648">
        <f>IF('FINANCIAL CREDITORS'!$N$86="","",'FINANCIAL CREDITORS'!$N$86)</f>
        <v/>
      </c>
      <c r="L648">
        <f>IF('FINANCIAL CREDITORS'!$AH$86="","",'FINANCIAL CREDITORS'!$AH$86)</f>
        <v/>
      </c>
      <c r="M648">
        <f>IF('FINANCIAL CREDITORS'!$AO$86="","",'FINANCIAL CREDITORS'!$AO$86)</f>
        <v/>
      </c>
      <c r="N648">
        <f>IF('FINANCIAL CREDITORS'!$BF$86="","",'FINANCIAL CREDITORS'!$BF$86)</f>
        <v/>
      </c>
      <c r="O648" t="inlineStr">
        <is>
          <t>FINANCIAL</t>
        </is>
      </c>
      <c r="P648" t="inlineStr">
        <is>
          <t>FINANCIAL CREDITORS · row 86</t>
        </is>
      </c>
      <c r="Q648">
        <f>E648+ROW()*0.000000001</f>
        <v/>
      </c>
    </row>
    <row r="649">
      <c r="A649">
        <f>IF('FINANCIAL CREDITORS'!$A$87="","",'FINANCIAL CREDITORS'!$A$87)</f>
        <v/>
      </c>
      <c r="B649">
        <f>IF('FINANCIAL CREDITORS'!$C$87="","",'FINANCIAL CREDITORS'!$C$87)</f>
        <v/>
      </c>
      <c r="C649">
        <f>'FINANCIAL CREDITORS'!$U$87</f>
        <v/>
      </c>
      <c r="D649">
        <f>'FINANCIAL CREDITORS'!$AB$87</f>
        <v/>
      </c>
      <c r="E649">
        <f>'FINANCIAL CREDITORS'!$AF$87</f>
        <v/>
      </c>
      <c r="F649">
        <f>IF('FINANCIAL CREDITORS'!$V$87="","",'FINANCIAL CREDITORS'!$V$87)</f>
        <v/>
      </c>
      <c r="G649">
        <f>IF('FINANCIAL CREDITORS'!$D$87="","",'FINANCIAL CREDITORS'!$D$87)</f>
        <v/>
      </c>
      <c r="H649">
        <f>IF('FINANCIAL CREDITORS'!$G$87="","",'FINANCIAL CREDITORS'!$G$87)</f>
        <v/>
      </c>
      <c r="I649">
        <f>IF('FINANCIAL CREDITORS'!$AY$87="","",'FINANCIAL CREDITORS'!$AY$87)</f>
        <v/>
      </c>
      <c r="J649">
        <f>IF('FINANCIAL CREDITORS'!$BC$87="","",'FINANCIAL CREDITORS'!$BC$87)</f>
        <v/>
      </c>
      <c r="K649">
        <f>IF('FINANCIAL CREDITORS'!$N$87="","",'FINANCIAL CREDITORS'!$N$87)</f>
        <v/>
      </c>
      <c r="L649">
        <f>IF('FINANCIAL CREDITORS'!$AH$87="","",'FINANCIAL CREDITORS'!$AH$87)</f>
        <v/>
      </c>
      <c r="M649">
        <f>IF('FINANCIAL CREDITORS'!$AO$87="","",'FINANCIAL CREDITORS'!$AO$87)</f>
        <v/>
      </c>
      <c r="N649">
        <f>IF('FINANCIAL CREDITORS'!$BF$87="","",'FINANCIAL CREDITORS'!$BF$87)</f>
        <v/>
      </c>
      <c r="O649" t="inlineStr">
        <is>
          <t>FINANCIAL</t>
        </is>
      </c>
      <c r="P649" t="inlineStr">
        <is>
          <t>FINANCIAL CREDITORS · row 87</t>
        </is>
      </c>
      <c r="Q649">
        <f>E649+ROW()*0.000000001</f>
        <v/>
      </c>
    </row>
    <row r="650">
      <c r="A650">
        <f>IF('FINANCIAL CREDITORS'!$A$88="","",'FINANCIAL CREDITORS'!$A$88)</f>
        <v/>
      </c>
      <c r="B650">
        <f>IF('FINANCIAL CREDITORS'!$C$88="","",'FINANCIAL CREDITORS'!$C$88)</f>
        <v/>
      </c>
      <c r="C650">
        <f>'FINANCIAL CREDITORS'!$U$88</f>
        <v/>
      </c>
      <c r="D650">
        <f>'FINANCIAL CREDITORS'!$AB$88</f>
        <v/>
      </c>
      <c r="E650">
        <f>'FINANCIAL CREDITORS'!$AF$88</f>
        <v/>
      </c>
      <c r="F650">
        <f>IF('FINANCIAL CREDITORS'!$V$88="","",'FINANCIAL CREDITORS'!$V$88)</f>
        <v/>
      </c>
      <c r="G650">
        <f>IF('FINANCIAL CREDITORS'!$D$88="","",'FINANCIAL CREDITORS'!$D$88)</f>
        <v/>
      </c>
      <c r="H650">
        <f>IF('FINANCIAL CREDITORS'!$G$88="","",'FINANCIAL CREDITORS'!$G$88)</f>
        <v/>
      </c>
      <c r="I650">
        <f>IF('FINANCIAL CREDITORS'!$AY$88="","",'FINANCIAL CREDITORS'!$AY$88)</f>
        <v/>
      </c>
      <c r="J650">
        <f>IF('FINANCIAL CREDITORS'!$BC$88="","",'FINANCIAL CREDITORS'!$BC$88)</f>
        <v/>
      </c>
      <c r="K650">
        <f>IF('FINANCIAL CREDITORS'!$N$88="","",'FINANCIAL CREDITORS'!$N$88)</f>
        <v/>
      </c>
      <c r="L650">
        <f>IF('FINANCIAL CREDITORS'!$AH$88="","",'FINANCIAL CREDITORS'!$AH$88)</f>
        <v/>
      </c>
      <c r="M650">
        <f>IF('FINANCIAL CREDITORS'!$AO$88="","",'FINANCIAL CREDITORS'!$AO$88)</f>
        <v/>
      </c>
      <c r="N650">
        <f>IF('FINANCIAL CREDITORS'!$BF$88="","",'FINANCIAL CREDITORS'!$BF$88)</f>
        <v/>
      </c>
      <c r="O650" t="inlineStr">
        <is>
          <t>FINANCIAL</t>
        </is>
      </c>
      <c r="P650" t="inlineStr">
        <is>
          <t>FINANCIAL CREDITORS · row 88</t>
        </is>
      </c>
      <c r="Q650">
        <f>E650+ROW()*0.000000001</f>
        <v/>
      </c>
    </row>
    <row r="651">
      <c r="A651">
        <f>IF('FINANCIAL CREDITORS'!$A$89="","",'FINANCIAL CREDITORS'!$A$89)</f>
        <v/>
      </c>
      <c r="B651">
        <f>IF('FINANCIAL CREDITORS'!$C$89="","",'FINANCIAL CREDITORS'!$C$89)</f>
        <v/>
      </c>
      <c r="C651">
        <f>'FINANCIAL CREDITORS'!$U$89</f>
        <v/>
      </c>
      <c r="D651">
        <f>'FINANCIAL CREDITORS'!$AB$89</f>
        <v/>
      </c>
      <c r="E651">
        <f>'FINANCIAL CREDITORS'!$AF$89</f>
        <v/>
      </c>
      <c r="F651">
        <f>IF('FINANCIAL CREDITORS'!$V$89="","",'FINANCIAL CREDITORS'!$V$89)</f>
        <v/>
      </c>
      <c r="G651">
        <f>IF('FINANCIAL CREDITORS'!$D$89="","",'FINANCIAL CREDITORS'!$D$89)</f>
        <v/>
      </c>
      <c r="H651">
        <f>IF('FINANCIAL CREDITORS'!$G$89="","",'FINANCIAL CREDITORS'!$G$89)</f>
        <v/>
      </c>
      <c r="I651">
        <f>IF('FINANCIAL CREDITORS'!$AY$89="","",'FINANCIAL CREDITORS'!$AY$89)</f>
        <v/>
      </c>
      <c r="J651">
        <f>IF('FINANCIAL CREDITORS'!$BC$89="","",'FINANCIAL CREDITORS'!$BC$89)</f>
        <v/>
      </c>
      <c r="K651">
        <f>IF('FINANCIAL CREDITORS'!$N$89="","",'FINANCIAL CREDITORS'!$N$89)</f>
        <v/>
      </c>
      <c r="L651">
        <f>IF('FINANCIAL CREDITORS'!$AH$89="","",'FINANCIAL CREDITORS'!$AH$89)</f>
        <v/>
      </c>
      <c r="M651">
        <f>IF('FINANCIAL CREDITORS'!$AO$89="","",'FINANCIAL CREDITORS'!$AO$89)</f>
        <v/>
      </c>
      <c r="N651">
        <f>IF('FINANCIAL CREDITORS'!$BF$89="","",'FINANCIAL CREDITORS'!$BF$89)</f>
        <v/>
      </c>
      <c r="O651" t="inlineStr">
        <is>
          <t>FINANCIAL</t>
        </is>
      </c>
      <c r="P651" t="inlineStr">
        <is>
          <t>FINANCIAL CREDITORS · row 89</t>
        </is>
      </c>
      <c r="Q651">
        <f>E651+ROW()*0.000000001</f>
        <v/>
      </c>
    </row>
    <row r="652">
      <c r="A652">
        <f>IF('FINANCIAL CREDITORS'!$A$90="","",'FINANCIAL CREDITORS'!$A$90)</f>
        <v/>
      </c>
      <c r="B652">
        <f>IF('FINANCIAL CREDITORS'!$C$90="","",'FINANCIAL CREDITORS'!$C$90)</f>
        <v/>
      </c>
      <c r="C652">
        <f>'FINANCIAL CREDITORS'!$U$90</f>
        <v/>
      </c>
      <c r="D652">
        <f>'FINANCIAL CREDITORS'!$AB$90</f>
        <v/>
      </c>
      <c r="E652">
        <f>'FINANCIAL CREDITORS'!$AF$90</f>
        <v/>
      </c>
      <c r="F652">
        <f>IF('FINANCIAL CREDITORS'!$V$90="","",'FINANCIAL CREDITORS'!$V$90)</f>
        <v/>
      </c>
      <c r="G652">
        <f>IF('FINANCIAL CREDITORS'!$D$90="","",'FINANCIAL CREDITORS'!$D$90)</f>
        <v/>
      </c>
      <c r="H652">
        <f>IF('FINANCIAL CREDITORS'!$G$90="","",'FINANCIAL CREDITORS'!$G$90)</f>
        <v/>
      </c>
      <c r="I652">
        <f>IF('FINANCIAL CREDITORS'!$AY$90="","",'FINANCIAL CREDITORS'!$AY$90)</f>
        <v/>
      </c>
      <c r="J652">
        <f>IF('FINANCIAL CREDITORS'!$BC$90="","",'FINANCIAL CREDITORS'!$BC$90)</f>
        <v/>
      </c>
      <c r="K652">
        <f>IF('FINANCIAL CREDITORS'!$N$90="","",'FINANCIAL CREDITORS'!$N$90)</f>
        <v/>
      </c>
      <c r="L652">
        <f>IF('FINANCIAL CREDITORS'!$AH$90="","",'FINANCIAL CREDITORS'!$AH$90)</f>
        <v/>
      </c>
      <c r="M652">
        <f>IF('FINANCIAL CREDITORS'!$AO$90="","",'FINANCIAL CREDITORS'!$AO$90)</f>
        <v/>
      </c>
      <c r="N652">
        <f>IF('FINANCIAL CREDITORS'!$BF$90="","",'FINANCIAL CREDITORS'!$BF$90)</f>
        <v/>
      </c>
      <c r="O652" t="inlineStr">
        <is>
          <t>FINANCIAL</t>
        </is>
      </c>
      <c r="P652" t="inlineStr">
        <is>
          <t>FINANCIAL CREDITORS · row 90</t>
        </is>
      </c>
      <c r="Q652">
        <f>E652+ROW()*0.000000001</f>
        <v/>
      </c>
    </row>
    <row r="653">
      <c r="A653">
        <f>IF('FINANCIAL CREDITORS'!$A$91="","",'FINANCIAL CREDITORS'!$A$91)</f>
        <v/>
      </c>
      <c r="B653">
        <f>IF('FINANCIAL CREDITORS'!$C$91="","",'FINANCIAL CREDITORS'!$C$91)</f>
        <v/>
      </c>
      <c r="C653">
        <f>'FINANCIAL CREDITORS'!$U$91</f>
        <v/>
      </c>
      <c r="D653">
        <f>'FINANCIAL CREDITORS'!$AB$91</f>
        <v/>
      </c>
      <c r="E653">
        <f>'FINANCIAL CREDITORS'!$AF$91</f>
        <v/>
      </c>
      <c r="F653">
        <f>IF('FINANCIAL CREDITORS'!$V$91="","",'FINANCIAL CREDITORS'!$V$91)</f>
        <v/>
      </c>
      <c r="G653">
        <f>IF('FINANCIAL CREDITORS'!$D$91="","",'FINANCIAL CREDITORS'!$D$91)</f>
        <v/>
      </c>
      <c r="H653">
        <f>IF('FINANCIAL CREDITORS'!$G$91="","",'FINANCIAL CREDITORS'!$G$91)</f>
        <v/>
      </c>
      <c r="I653">
        <f>IF('FINANCIAL CREDITORS'!$AY$91="","",'FINANCIAL CREDITORS'!$AY$91)</f>
        <v/>
      </c>
      <c r="J653">
        <f>IF('FINANCIAL CREDITORS'!$BC$91="","",'FINANCIAL CREDITORS'!$BC$91)</f>
        <v/>
      </c>
      <c r="K653">
        <f>IF('FINANCIAL CREDITORS'!$N$91="","",'FINANCIAL CREDITORS'!$N$91)</f>
        <v/>
      </c>
      <c r="L653">
        <f>IF('FINANCIAL CREDITORS'!$AH$91="","",'FINANCIAL CREDITORS'!$AH$91)</f>
        <v/>
      </c>
      <c r="M653">
        <f>IF('FINANCIAL CREDITORS'!$AO$91="","",'FINANCIAL CREDITORS'!$AO$91)</f>
        <v/>
      </c>
      <c r="N653">
        <f>IF('FINANCIAL CREDITORS'!$BF$91="","",'FINANCIAL CREDITORS'!$BF$91)</f>
        <v/>
      </c>
      <c r="O653" t="inlineStr">
        <is>
          <t>FINANCIAL</t>
        </is>
      </c>
      <c r="P653" t="inlineStr">
        <is>
          <t>FINANCIAL CREDITORS · row 91</t>
        </is>
      </c>
      <c r="Q653">
        <f>E653+ROW()*0.000000001</f>
        <v/>
      </c>
    </row>
    <row r="654">
      <c r="A654">
        <f>IF('FINANCIAL CREDITORS'!$A$92="","",'FINANCIAL CREDITORS'!$A$92)</f>
        <v/>
      </c>
      <c r="B654">
        <f>IF('FINANCIAL CREDITORS'!$C$92="","",'FINANCIAL CREDITORS'!$C$92)</f>
        <v/>
      </c>
      <c r="C654">
        <f>'FINANCIAL CREDITORS'!$U$92</f>
        <v/>
      </c>
      <c r="D654">
        <f>'FINANCIAL CREDITORS'!$AB$92</f>
        <v/>
      </c>
      <c r="E654">
        <f>'FINANCIAL CREDITORS'!$AF$92</f>
        <v/>
      </c>
      <c r="F654">
        <f>IF('FINANCIAL CREDITORS'!$V$92="","",'FINANCIAL CREDITORS'!$V$92)</f>
        <v/>
      </c>
      <c r="G654">
        <f>IF('FINANCIAL CREDITORS'!$D$92="","",'FINANCIAL CREDITORS'!$D$92)</f>
        <v/>
      </c>
      <c r="H654">
        <f>IF('FINANCIAL CREDITORS'!$G$92="","",'FINANCIAL CREDITORS'!$G$92)</f>
        <v/>
      </c>
      <c r="I654">
        <f>IF('FINANCIAL CREDITORS'!$AY$92="","",'FINANCIAL CREDITORS'!$AY$92)</f>
        <v/>
      </c>
      <c r="J654">
        <f>IF('FINANCIAL CREDITORS'!$BC$92="","",'FINANCIAL CREDITORS'!$BC$92)</f>
        <v/>
      </c>
      <c r="K654">
        <f>IF('FINANCIAL CREDITORS'!$N$92="","",'FINANCIAL CREDITORS'!$N$92)</f>
        <v/>
      </c>
      <c r="L654">
        <f>IF('FINANCIAL CREDITORS'!$AH$92="","",'FINANCIAL CREDITORS'!$AH$92)</f>
        <v/>
      </c>
      <c r="M654">
        <f>IF('FINANCIAL CREDITORS'!$AO$92="","",'FINANCIAL CREDITORS'!$AO$92)</f>
        <v/>
      </c>
      <c r="N654">
        <f>IF('FINANCIAL CREDITORS'!$BF$92="","",'FINANCIAL CREDITORS'!$BF$92)</f>
        <v/>
      </c>
      <c r="O654" t="inlineStr">
        <is>
          <t>FINANCIAL</t>
        </is>
      </c>
      <c r="P654" t="inlineStr">
        <is>
          <t>FINANCIAL CREDITORS · row 92</t>
        </is>
      </c>
      <c r="Q654">
        <f>E654+ROW()*0.000000001</f>
        <v/>
      </c>
    </row>
    <row r="655">
      <c r="A655">
        <f>IF('FINANCIAL CREDITORS'!$A$93="","",'FINANCIAL CREDITORS'!$A$93)</f>
        <v/>
      </c>
      <c r="B655">
        <f>IF('FINANCIAL CREDITORS'!$C$93="","",'FINANCIAL CREDITORS'!$C$93)</f>
        <v/>
      </c>
      <c r="C655">
        <f>'FINANCIAL CREDITORS'!$U$93</f>
        <v/>
      </c>
      <c r="D655">
        <f>'FINANCIAL CREDITORS'!$AB$93</f>
        <v/>
      </c>
      <c r="E655">
        <f>'FINANCIAL CREDITORS'!$AF$93</f>
        <v/>
      </c>
      <c r="F655">
        <f>IF('FINANCIAL CREDITORS'!$V$93="","",'FINANCIAL CREDITORS'!$V$93)</f>
        <v/>
      </c>
      <c r="G655">
        <f>IF('FINANCIAL CREDITORS'!$D$93="","",'FINANCIAL CREDITORS'!$D$93)</f>
        <v/>
      </c>
      <c r="H655">
        <f>IF('FINANCIAL CREDITORS'!$G$93="","",'FINANCIAL CREDITORS'!$G$93)</f>
        <v/>
      </c>
      <c r="I655">
        <f>IF('FINANCIAL CREDITORS'!$AY$93="","",'FINANCIAL CREDITORS'!$AY$93)</f>
        <v/>
      </c>
      <c r="J655">
        <f>IF('FINANCIAL CREDITORS'!$BC$93="","",'FINANCIAL CREDITORS'!$BC$93)</f>
        <v/>
      </c>
      <c r="K655">
        <f>IF('FINANCIAL CREDITORS'!$N$93="","",'FINANCIAL CREDITORS'!$N$93)</f>
        <v/>
      </c>
      <c r="L655">
        <f>IF('FINANCIAL CREDITORS'!$AH$93="","",'FINANCIAL CREDITORS'!$AH$93)</f>
        <v/>
      </c>
      <c r="M655">
        <f>IF('FINANCIAL CREDITORS'!$AO$93="","",'FINANCIAL CREDITORS'!$AO$93)</f>
        <v/>
      </c>
      <c r="N655">
        <f>IF('FINANCIAL CREDITORS'!$BF$93="","",'FINANCIAL CREDITORS'!$BF$93)</f>
        <v/>
      </c>
      <c r="O655" t="inlineStr">
        <is>
          <t>FINANCIAL</t>
        </is>
      </c>
      <c r="P655" t="inlineStr">
        <is>
          <t>FINANCIAL CREDITORS · row 93</t>
        </is>
      </c>
      <c r="Q655">
        <f>E655+ROW()*0.000000001</f>
        <v/>
      </c>
    </row>
    <row r="656">
      <c r="A656">
        <f>IF('FINANCIAL CREDITORS'!$A$94="","",'FINANCIAL CREDITORS'!$A$94)</f>
        <v/>
      </c>
      <c r="B656">
        <f>IF('FINANCIAL CREDITORS'!$C$94="","",'FINANCIAL CREDITORS'!$C$94)</f>
        <v/>
      </c>
      <c r="C656">
        <f>'FINANCIAL CREDITORS'!$U$94</f>
        <v/>
      </c>
      <c r="D656">
        <f>'FINANCIAL CREDITORS'!$AB$94</f>
        <v/>
      </c>
      <c r="E656">
        <f>'FINANCIAL CREDITORS'!$AF$94</f>
        <v/>
      </c>
      <c r="F656">
        <f>IF('FINANCIAL CREDITORS'!$V$94="","",'FINANCIAL CREDITORS'!$V$94)</f>
        <v/>
      </c>
      <c r="G656">
        <f>IF('FINANCIAL CREDITORS'!$D$94="","",'FINANCIAL CREDITORS'!$D$94)</f>
        <v/>
      </c>
      <c r="H656">
        <f>IF('FINANCIAL CREDITORS'!$G$94="","",'FINANCIAL CREDITORS'!$G$94)</f>
        <v/>
      </c>
      <c r="I656">
        <f>IF('FINANCIAL CREDITORS'!$AY$94="","",'FINANCIAL CREDITORS'!$AY$94)</f>
        <v/>
      </c>
      <c r="J656">
        <f>IF('FINANCIAL CREDITORS'!$BC$94="","",'FINANCIAL CREDITORS'!$BC$94)</f>
        <v/>
      </c>
      <c r="K656">
        <f>IF('FINANCIAL CREDITORS'!$N$94="","",'FINANCIAL CREDITORS'!$N$94)</f>
        <v/>
      </c>
      <c r="L656">
        <f>IF('FINANCIAL CREDITORS'!$AH$94="","",'FINANCIAL CREDITORS'!$AH$94)</f>
        <v/>
      </c>
      <c r="M656">
        <f>IF('FINANCIAL CREDITORS'!$AO$94="","",'FINANCIAL CREDITORS'!$AO$94)</f>
        <v/>
      </c>
      <c r="N656">
        <f>IF('FINANCIAL CREDITORS'!$BF$94="","",'FINANCIAL CREDITORS'!$BF$94)</f>
        <v/>
      </c>
      <c r="O656" t="inlineStr">
        <is>
          <t>FINANCIAL</t>
        </is>
      </c>
      <c r="P656" t="inlineStr">
        <is>
          <t>FINANCIAL CREDITORS · row 94</t>
        </is>
      </c>
      <c r="Q656">
        <f>E656+ROW()*0.000000001</f>
        <v/>
      </c>
    </row>
    <row r="657">
      <c r="A657">
        <f>IF('FINANCIAL CREDITORS'!$A$95="","",'FINANCIAL CREDITORS'!$A$95)</f>
        <v/>
      </c>
      <c r="B657">
        <f>IF('FINANCIAL CREDITORS'!$C$95="","",'FINANCIAL CREDITORS'!$C$95)</f>
        <v/>
      </c>
      <c r="C657">
        <f>'FINANCIAL CREDITORS'!$U$95</f>
        <v/>
      </c>
      <c r="D657">
        <f>'FINANCIAL CREDITORS'!$AB$95</f>
        <v/>
      </c>
      <c r="E657">
        <f>'FINANCIAL CREDITORS'!$AF$95</f>
        <v/>
      </c>
      <c r="F657">
        <f>IF('FINANCIAL CREDITORS'!$V$95="","",'FINANCIAL CREDITORS'!$V$95)</f>
        <v/>
      </c>
      <c r="G657">
        <f>IF('FINANCIAL CREDITORS'!$D$95="","",'FINANCIAL CREDITORS'!$D$95)</f>
        <v/>
      </c>
      <c r="H657">
        <f>IF('FINANCIAL CREDITORS'!$G$95="","",'FINANCIAL CREDITORS'!$G$95)</f>
        <v/>
      </c>
      <c r="I657">
        <f>IF('FINANCIAL CREDITORS'!$AY$95="","",'FINANCIAL CREDITORS'!$AY$95)</f>
        <v/>
      </c>
      <c r="J657">
        <f>IF('FINANCIAL CREDITORS'!$BC$95="","",'FINANCIAL CREDITORS'!$BC$95)</f>
        <v/>
      </c>
      <c r="K657">
        <f>IF('FINANCIAL CREDITORS'!$N$95="","",'FINANCIAL CREDITORS'!$N$95)</f>
        <v/>
      </c>
      <c r="L657">
        <f>IF('FINANCIAL CREDITORS'!$AH$95="","",'FINANCIAL CREDITORS'!$AH$95)</f>
        <v/>
      </c>
      <c r="M657">
        <f>IF('FINANCIAL CREDITORS'!$AO$95="","",'FINANCIAL CREDITORS'!$AO$95)</f>
        <v/>
      </c>
      <c r="N657">
        <f>IF('FINANCIAL CREDITORS'!$BF$95="","",'FINANCIAL CREDITORS'!$BF$95)</f>
        <v/>
      </c>
      <c r="O657" t="inlineStr">
        <is>
          <t>FINANCIAL</t>
        </is>
      </c>
      <c r="P657" t="inlineStr">
        <is>
          <t>FINANCIAL CREDITORS · row 95</t>
        </is>
      </c>
      <c r="Q657">
        <f>E657+ROW()*0.000000001</f>
        <v/>
      </c>
    </row>
    <row r="658">
      <c r="A658">
        <f>IF('FINANCIAL CREDITORS'!$A$96="","",'FINANCIAL CREDITORS'!$A$96)</f>
        <v/>
      </c>
      <c r="B658">
        <f>IF('FINANCIAL CREDITORS'!$C$96="","",'FINANCIAL CREDITORS'!$C$96)</f>
        <v/>
      </c>
      <c r="C658">
        <f>'FINANCIAL CREDITORS'!$U$96</f>
        <v/>
      </c>
      <c r="D658">
        <f>'FINANCIAL CREDITORS'!$AB$96</f>
        <v/>
      </c>
      <c r="E658">
        <f>'FINANCIAL CREDITORS'!$AF$96</f>
        <v/>
      </c>
      <c r="F658">
        <f>IF('FINANCIAL CREDITORS'!$V$96="","",'FINANCIAL CREDITORS'!$V$96)</f>
        <v/>
      </c>
      <c r="G658">
        <f>IF('FINANCIAL CREDITORS'!$D$96="","",'FINANCIAL CREDITORS'!$D$96)</f>
        <v/>
      </c>
      <c r="H658">
        <f>IF('FINANCIAL CREDITORS'!$G$96="","",'FINANCIAL CREDITORS'!$G$96)</f>
        <v/>
      </c>
      <c r="I658">
        <f>IF('FINANCIAL CREDITORS'!$AY$96="","",'FINANCIAL CREDITORS'!$AY$96)</f>
        <v/>
      </c>
      <c r="J658">
        <f>IF('FINANCIAL CREDITORS'!$BC$96="","",'FINANCIAL CREDITORS'!$BC$96)</f>
        <v/>
      </c>
      <c r="K658">
        <f>IF('FINANCIAL CREDITORS'!$N$96="","",'FINANCIAL CREDITORS'!$N$96)</f>
        <v/>
      </c>
      <c r="L658">
        <f>IF('FINANCIAL CREDITORS'!$AH$96="","",'FINANCIAL CREDITORS'!$AH$96)</f>
        <v/>
      </c>
      <c r="M658">
        <f>IF('FINANCIAL CREDITORS'!$AO$96="","",'FINANCIAL CREDITORS'!$AO$96)</f>
        <v/>
      </c>
      <c r="N658">
        <f>IF('FINANCIAL CREDITORS'!$BF$96="","",'FINANCIAL CREDITORS'!$BF$96)</f>
        <v/>
      </c>
      <c r="O658" t="inlineStr">
        <is>
          <t>FINANCIAL</t>
        </is>
      </c>
      <c r="P658" t="inlineStr">
        <is>
          <t>FINANCIAL CREDITORS · row 96</t>
        </is>
      </c>
      <c r="Q658">
        <f>E658+ROW()*0.000000001</f>
        <v/>
      </c>
    </row>
    <row r="659">
      <c r="A659">
        <f>IF('FINANCIAL CREDITORS'!$A$97="","",'FINANCIAL CREDITORS'!$A$97)</f>
        <v/>
      </c>
      <c r="B659">
        <f>IF('FINANCIAL CREDITORS'!$C$97="","",'FINANCIAL CREDITORS'!$C$97)</f>
        <v/>
      </c>
      <c r="C659">
        <f>'FINANCIAL CREDITORS'!$U$97</f>
        <v/>
      </c>
      <c r="D659">
        <f>'FINANCIAL CREDITORS'!$AB$97</f>
        <v/>
      </c>
      <c r="E659">
        <f>'FINANCIAL CREDITORS'!$AF$97</f>
        <v/>
      </c>
      <c r="F659">
        <f>IF('FINANCIAL CREDITORS'!$V$97="","",'FINANCIAL CREDITORS'!$V$97)</f>
        <v/>
      </c>
      <c r="G659">
        <f>IF('FINANCIAL CREDITORS'!$D$97="","",'FINANCIAL CREDITORS'!$D$97)</f>
        <v/>
      </c>
      <c r="H659">
        <f>IF('FINANCIAL CREDITORS'!$G$97="","",'FINANCIAL CREDITORS'!$G$97)</f>
        <v/>
      </c>
      <c r="I659">
        <f>IF('FINANCIAL CREDITORS'!$AY$97="","",'FINANCIAL CREDITORS'!$AY$97)</f>
        <v/>
      </c>
      <c r="J659">
        <f>IF('FINANCIAL CREDITORS'!$BC$97="","",'FINANCIAL CREDITORS'!$BC$97)</f>
        <v/>
      </c>
      <c r="K659">
        <f>IF('FINANCIAL CREDITORS'!$N$97="","",'FINANCIAL CREDITORS'!$N$97)</f>
        <v/>
      </c>
      <c r="L659">
        <f>IF('FINANCIAL CREDITORS'!$AH$97="","",'FINANCIAL CREDITORS'!$AH$97)</f>
        <v/>
      </c>
      <c r="M659">
        <f>IF('FINANCIAL CREDITORS'!$AO$97="","",'FINANCIAL CREDITORS'!$AO$97)</f>
        <v/>
      </c>
      <c r="N659">
        <f>IF('FINANCIAL CREDITORS'!$BF$97="","",'FINANCIAL CREDITORS'!$BF$97)</f>
        <v/>
      </c>
      <c r="O659" t="inlineStr">
        <is>
          <t>FINANCIAL</t>
        </is>
      </c>
      <c r="P659" t="inlineStr">
        <is>
          <t>FINANCIAL CREDITORS · row 97</t>
        </is>
      </c>
      <c r="Q659">
        <f>E659+ROW()*0.000000001</f>
        <v/>
      </c>
    </row>
    <row r="660">
      <c r="A660">
        <f>IF('FINANCIAL CREDITORS'!$A$98="","",'FINANCIAL CREDITORS'!$A$98)</f>
        <v/>
      </c>
      <c r="B660">
        <f>IF('FINANCIAL CREDITORS'!$C$98="","",'FINANCIAL CREDITORS'!$C$98)</f>
        <v/>
      </c>
      <c r="C660">
        <f>'FINANCIAL CREDITORS'!$U$98</f>
        <v/>
      </c>
      <c r="D660">
        <f>'FINANCIAL CREDITORS'!$AB$98</f>
        <v/>
      </c>
      <c r="E660">
        <f>'FINANCIAL CREDITORS'!$AF$98</f>
        <v/>
      </c>
      <c r="F660">
        <f>IF('FINANCIAL CREDITORS'!$V$98="","",'FINANCIAL CREDITORS'!$V$98)</f>
        <v/>
      </c>
      <c r="G660">
        <f>IF('FINANCIAL CREDITORS'!$D$98="","",'FINANCIAL CREDITORS'!$D$98)</f>
        <v/>
      </c>
      <c r="H660">
        <f>IF('FINANCIAL CREDITORS'!$G$98="","",'FINANCIAL CREDITORS'!$G$98)</f>
        <v/>
      </c>
      <c r="I660">
        <f>IF('FINANCIAL CREDITORS'!$AY$98="","",'FINANCIAL CREDITORS'!$AY$98)</f>
        <v/>
      </c>
      <c r="J660">
        <f>IF('FINANCIAL CREDITORS'!$BC$98="","",'FINANCIAL CREDITORS'!$BC$98)</f>
        <v/>
      </c>
      <c r="K660">
        <f>IF('FINANCIAL CREDITORS'!$N$98="","",'FINANCIAL CREDITORS'!$N$98)</f>
        <v/>
      </c>
      <c r="L660">
        <f>IF('FINANCIAL CREDITORS'!$AH$98="","",'FINANCIAL CREDITORS'!$AH$98)</f>
        <v/>
      </c>
      <c r="M660">
        <f>IF('FINANCIAL CREDITORS'!$AO$98="","",'FINANCIAL CREDITORS'!$AO$98)</f>
        <v/>
      </c>
      <c r="N660">
        <f>IF('FINANCIAL CREDITORS'!$BF$98="","",'FINANCIAL CREDITORS'!$BF$98)</f>
        <v/>
      </c>
      <c r="O660" t="inlineStr">
        <is>
          <t>FINANCIAL</t>
        </is>
      </c>
      <c r="P660" t="inlineStr">
        <is>
          <t>FINANCIAL CREDITORS · row 98</t>
        </is>
      </c>
      <c r="Q660">
        <f>E660+ROW()*0.000000001</f>
        <v/>
      </c>
    </row>
    <row r="661">
      <c r="A661">
        <f>IF('FINANCIAL CREDITORS'!$A$99="","",'FINANCIAL CREDITORS'!$A$99)</f>
        <v/>
      </c>
      <c r="B661">
        <f>IF('FINANCIAL CREDITORS'!$C$99="","",'FINANCIAL CREDITORS'!$C$99)</f>
        <v/>
      </c>
      <c r="C661">
        <f>'FINANCIAL CREDITORS'!$U$99</f>
        <v/>
      </c>
      <c r="D661">
        <f>'FINANCIAL CREDITORS'!$AB$99</f>
        <v/>
      </c>
      <c r="E661">
        <f>'FINANCIAL CREDITORS'!$AF$99</f>
        <v/>
      </c>
      <c r="F661">
        <f>IF('FINANCIAL CREDITORS'!$V$99="","",'FINANCIAL CREDITORS'!$V$99)</f>
        <v/>
      </c>
      <c r="G661">
        <f>IF('FINANCIAL CREDITORS'!$D$99="","",'FINANCIAL CREDITORS'!$D$99)</f>
        <v/>
      </c>
      <c r="H661">
        <f>IF('FINANCIAL CREDITORS'!$G$99="","",'FINANCIAL CREDITORS'!$G$99)</f>
        <v/>
      </c>
      <c r="I661">
        <f>IF('FINANCIAL CREDITORS'!$AY$99="","",'FINANCIAL CREDITORS'!$AY$99)</f>
        <v/>
      </c>
      <c r="J661">
        <f>IF('FINANCIAL CREDITORS'!$BC$99="","",'FINANCIAL CREDITORS'!$BC$99)</f>
        <v/>
      </c>
      <c r="K661">
        <f>IF('FINANCIAL CREDITORS'!$N$99="","",'FINANCIAL CREDITORS'!$N$99)</f>
        <v/>
      </c>
      <c r="L661">
        <f>IF('FINANCIAL CREDITORS'!$AH$99="","",'FINANCIAL CREDITORS'!$AH$99)</f>
        <v/>
      </c>
      <c r="M661">
        <f>IF('FINANCIAL CREDITORS'!$AO$99="","",'FINANCIAL CREDITORS'!$AO$99)</f>
        <v/>
      </c>
      <c r="N661">
        <f>IF('FINANCIAL CREDITORS'!$BF$99="","",'FINANCIAL CREDITORS'!$BF$99)</f>
        <v/>
      </c>
      <c r="O661" t="inlineStr">
        <is>
          <t>FINANCIAL</t>
        </is>
      </c>
      <c r="P661" t="inlineStr">
        <is>
          <t>FINANCIAL CREDITORS · row 99</t>
        </is>
      </c>
      <c r="Q661">
        <f>E661+ROW()*0.000000001</f>
        <v/>
      </c>
    </row>
    <row r="662">
      <c r="A662">
        <f>IF('FINANCIAL CREDITORS'!$A$100="","",'FINANCIAL CREDITORS'!$A$100)</f>
        <v/>
      </c>
      <c r="B662">
        <f>IF('FINANCIAL CREDITORS'!$C$100="","",'FINANCIAL CREDITORS'!$C$100)</f>
        <v/>
      </c>
      <c r="C662">
        <f>'FINANCIAL CREDITORS'!$U$100</f>
        <v/>
      </c>
      <c r="D662">
        <f>'FINANCIAL CREDITORS'!$AB$100</f>
        <v/>
      </c>
      <c r="E662">
        <f>'FINANCIAL CREDITORS'!$AF$100</f>
        <v/>
      </c>
      <c r="F662">
        <f>IF('FINANCIAL CREDITORS'!$V$100="","",'FINANCIAL CREDITORS'!$V$100)</f>
        <v/>
      </c>
      <c r="G662">
        <f>IF('FINANCIAL CREDITORS'!$D$100="","",'FINANCIAL CREDITORS'!$D$100)</f>
        <v/>
      </c>
      <c r="H662">
        <f>IF('FINANCIAL CREDITORS'!$G$100="","",'FINANCIAL CREDITORS'!$G$100)</f>
        <v/>
      </c>
      <c r="I662">
        <f>IF('FINANCIAL CREDITORS'!$AY$100="","",'FINANCIAL CREDITORS'!$AY$100)</f>
        <v/>
      </c>
      <c r="J662">
        <f>IF('FINANCIAL CREDITORS'!$BC$100="","",'FINANCIAL CREDITORS'!$BC$100)</f>
        <v/>
      </c>
      <c r="K662">
        <f>IF('FINANCIAL CREDITORS'!$N$100="","",'FINANCIAL CREDITORS'!$N$100)</f>
        <v/>
      </c>
      <c r="L662">
        <f>IF('FINANCIAL CREDITORS'!$AH$100="","",'FINANCIAL CREDITORS'!$AH$100)</f>
        <v/>
      </c>
      <c r="M662">
        <f>IF('FINANCIAL CREDITORS'!$AO$100="","",'FINANCIAL CREDITORS'!$AO$100)</f>
        <v/>
      </c>
      <c r="N662">
        <f>IF('FINANCIAL CREDITORS'!$BF$100="","",'FINANCIAL CREDITORS'!$BF$100)</f>
        <v/>
      </c>
      <c r="O662" t="inlineStr">
        <is>
          <t>FINANCIAL</t>
        </is>
      </c>
      <c r="P662" t="inlineStr">
        <is>
          <t>FINANCIAL CREDITORS · row 100</t>
        </is>
      </c>
      <c r="Q662">
        <f>E662+ROW()*0.000000001</f>
        <v/>
      </c>
    </row>
    <row r="663">
      <c r="A663">
        <f>IF('FINANCIAL CREDITORS'!$A$101="","",'FINANCIAL CREDITORS'!$A$101)</f>
        <v/>
      </c>
      <c r="B663">
        <f>IF('FINANCIAL CREDITORS'!$C$101="","",'FINANCIAL CREDITORS'!$C$101)</f>
        <v/>
      </c>
      <c r="C663">
        <f>'FINANCIAL CREDITORS'!$U$101</f>
        <v/>
      </c>
      <c r="D663">
        <f>'FINANCIAL CREDITORS'!$AB$101</f>
        <v/>
      </c>
      <c r="E663">
        <f>'FINANCIAL CREDITORS'!$AF$101</f>
        <v/>
      </c>
      <c r="F663">
        <f>IF('FINANCIAL CREDITORS'!$V$101="","",'FINANCIAL CREDITORS'!$V$101)</f>
        <v/>
      </c>
      <c r="G663">
        <f>IF('FINANCIAL CREDITORS'!$D$101="","",'FINANCIAL CREDITORS'!$D$101)</f>
        <v/>
      </c>
      <c r="H663">
        <f>IF('FINANCIAL CREDITORS'!$G$101="","",'FINANCIAL CREDITORS'!$G$101)</f>
        <v/>
      </c>
      <c r="I663">
        <f>IF('FINANCIAL CREDITORS'!$AY$101="","",'FINANCIAL CREDITORS'!$AY$101)</f>
        <v/>
      </c>
      <c r="J663">
        <f>IF('FINANCIAL CREDITORS'!$BC$101="","",'FINANCIAL CREDITORS'!$BC$101)</f>
        <v/>
      </c>
      <c r="K663">
        <f>IF('FINANCIAL CREDITORS'!$N$101="","",'FINANCIAL CREDITORS'!$N$101)</f>
        <v/>
      </c>
      <c r="L663">
        <f>IF('FINANCIAL CREDITORS'!$AH$101="","",'FINANCIAL CREDITORS'!$AH$101)</f>
        <v/>
      </c>
      <c r="M663">
        <f>IF('FINANCIAL CREDITORS'!$AO$101="","",'FINANCIAL CREDITORS'!$AO$101)</f>
        <v/>
      </c>
      <c r="N663">
        <f>IF('FINANCIAL CREDITORS'!$BF$101="","",'FINANCIAL CREDITORS'!$BF$101)</f>
        <v/>
      </c>
      <c r="O663" t="inlineStr">
        <is>
          <t>FINANCIAL</t>
        </is>
      </c>
      <c r="P663" t="inlineStr">
        <is>
          <t>FINANCIAL CREDITORS · row 101</t>
        </is>
      </c>
      <c r="Q663">
        <f>E663+ROW()*0.000000001</f>
        <v/>
      </c>
    </row>
    <row r="664">
      <c r="A664">
        <f>IF('FINANCIAL CREDITORS'!$A$102="","",'FINANCIAL CREDITORS'!$A$102)</f>
        <v/>
      </c>
      <c r="B664">
        <f>IF('FINANCIAL CREDITORS'!$C$102="","",'FINANCIAL CREDITORS'!$C$102)</f>
        <v/>
      </c>
      <c r="C664">
        <f>'FINANCIAL CREDITORS'!$U$102</f>
        <v/>
      </c>
      <c r="D664">
        <f>'FINANCIAL CREDITORS'!$AB$102</f>
        <v/>
      </c>
      <c r="E664">
        <f>'FINANCIAL CREDITORS'!$AF$102</f>
        <v/>
      </c>
      <c r="F664">
        <f>IF('FINANCIAL CREDITORS'!$V$102="","",'FINANCIAL CREDITORS'!$V$102)</f>
        <v/>
      </c>
      <c r="G664">
        <f>IF('FINANCIAL CREDITORS'!$D$102="","",'FINANCIAL CREDITORS'!$D$102)</f>
        <v/>
      </c>
      <c r="H664">
        <f>IF('FINANCIAL CREDITORS'!$G$102="","",'FINANCIAL CREDITORS'!$G$102)</f>
        <v/>
      </c>
      <c r="I664">
        <f>IF('FINANCIAL CREDITORS'!$AY$102="","",'FINANCIAL CREDITORS'!$AY$102)</f>
        <v/>
      </c>
      <c r="J664">
        <f>IF('FINANCIAL CREDITORS'!$BC$102="","",'FINANCIAL CREDITORS'!$BC$102)</f>
        <v/>
      </c>
      <c r="K664">
        <f>IF('FINANCIAL CREDITORS'!$N$102="","",'FINANCIAL CREDITORS'!$N$102)</f>
        <v/>
      </c>
      <c r="L664">
        <f>IF('FINANCIAL CREDITORS'!$AH$102="","",'FINANCIAL CREDITORS'!$AH$102)</f>
        <v/>
      </c>
      <c r="M664">
        <f>IF('FINANCIAL CREDITORS'!$AO$102="","",'FINANCIAL CREDITORS'!$AO$102)</f>
        <v/>
      </c>
      <c r="N664">
        <f>IF('FINANCIAL CREDITORS'!$BF$102="","",'FINANCIAL CREDITORS'!$BF$102)</f>
        <v/>
      </c>
      <c r="O664" t="inlineStr">
        <is>
          <t>FINANCIAL</t>
        </is>
      </c>
      <c r="P664" t="inlineStr">
        <is>
          <t>FINANCIAL CREDITORS · row 102</t>
        </is>
      </c>
      <c r="Q664">
        <f>E664+ROW()*0.000000001</f>
        <v/>
      </c>
    </row>
    <row r="665">
      <c r="A665">
        <f>IF('FINANCIAL CREDITORS'!$A$103="","",'FINANCIAL CREDITORS'!$A$103)</f>
        <v/>
      </c>
      <c r="B665">
        <f>IF('FINANCIAL CREDITORS'!$C$103="","",'FINANCIAL CREDITORS'!$C$103)</f>
        <v/>
      </c>
      <c r="C665">
        <f>'FINANCIAL CREDITORS'!$U$103</f>
        <v/>
      </c>
      <c r="D665">
        <f>'FINANCIAL CREDITORS'!$AB$103</f>
        <v/>
      </c>
      <c r="E665">
        <f>'FINANCIAL CREDITORS'!$AF$103</f>
        <v/>
      </c>
      <c r="F665">
        <f>IF('FINANCIAL CREDITORS'!$V$103="","",'FINANCIAL CREDITORS'!$V$103)</f>
        <v/>
      </c>
      <c r="G665">
        <f>IF('FINANCIAL CREDITORS'!$D$103="","",'FINANCIAL CREDITORS'!$D$103)</f>
        <v/>
      </c>
      <c r="H665">
        <f>IF('FINANCIAL CREDITORS'!$G$103="","",'FINANCIAL CREDITORS'!$G$103)</f>
        <v/>
      </c>
      <c r="I665">
        <f>IF('FINANCIAL CREDITORS'!$AY$103="","",'FINANCIAL CREDITORS'!$AY$103)</f>
        <v/>
      </c>
      <c r="J665">
        <f>IF('FINANCIAL CREDITORS'!$BC$103="","",'FINANCIAL CREDITORS'!$BC$103)</f>
        <v/>
      </c>
      <c r="K665">
        <f>IF('FINANCIAL CREDITORS'!$N$103="","",'FINANCIAL CREDITORS'!$N$103)</f>
        <v/>
      </c>
      <c r="L665">
        <f>IF('FINANCIAL CREDITORS'!$AH$103="","",'FINANCIAL CREDITORS'!$AH$103)</f>
        <v/>
      </c>
      <c r="M665">
        <f>IF('FINANCIAL CREDITORS'!$AO$103="","",'FINANCIAL CREDITORS'!$AO$103)</f>
        <v/>
      </c>
      <c r="N665">
        <f>IF('FINANCIAL CREDITORS'!$BF$103="","",'FINANCIAL CREDITORS'!$BF$103)</f>
        <v/>
      </c>
      <c r="O665" t="inlineStr">
        <is>
          <t>FINANCIAL</t>
        </is>
      </c>
      <c r="P665" t="inlineStr">
        <is>
          <t>FINANCIAL CREDITORS · row 103</t>
        </is>
      </c>
      <c r="Q665">
        <f>E665+ROW()*0.000000001</f>
        <v/>
      </c>
    </row>
    <row r="666">
      <c r="A666">
        <f>IF('FINANCIAL CREDITORS'!$A$104="","",'FINANCIAL CREDITORS'!$A$104)</f>
        <v/>
      </c>
      <c r="B666">
        <f>IF('FINANCIAL CREDITORS'!$C$104="","",'FINANCIAL CREDITORS'!$C$104)</f>
        <v/>
      </c>
      <c r="C666">
        <f>'FINANCIAL CREDITORS'!$U$104</f>
        <v/>
      </c>
      <c r="D666">
        <f>'FINANCIAL CREDITORS'!$AB$104</f>
        <v/>
      </c>
      <c r="E666">
        <f>'FINANCIAL CREDITORS'!$AF$104</f>
        <v/>
      </c>
      <c r="F666">
        <f>IF('FINANCIAL CREDITORS'!$V$104="","",'FINANCIAL CREDITORS'!$V$104)</f>
        <v/>
      </c>
      <c r="G666">
        <f>IF('FINANCIAL CREDITORS'!$D$104="","",'FINANCIAL CREDITORS'!$D$104)</f>
        <v/>
      </c>
      <c r="H666">
        <f>IF('FINANCIAL CREDITORS'!$G$104="","",'FINANCIAL CREDITORS'!$G$104)</f>
        <v/>
      </c>
      <c r="I666">
        <f>IF('FINANCIAL CREDITORS'!$AY$104="","",'FINANCIAL CREDITORS'!$AY$104)</f>
        <v/>
      </c>
      <c r="J666">
        <f>IF('FINANCIAL CREDITORS'!$BC$104="","",'FINANCIAL CREDITORS'!$BC$104)</f>
        <v/>
      </c>
      <c r="K666">
        <f>IF('FINANCIAL CREDITORS'!$N$104="","",'FINANCIAL CREDITORS'!$N$104)</f>
        <v/>
      </c>
      <c r="L666">
        <f>IF('FINANCIAL CREDITORS'!$AH$104="","",'FINANCIAL CREDITORS'!$AH$104)</f>
        <v/>
      </c>
      <c r="M666">
        <f>IF('FINANCIAL CREDITORS'!$AO$104="","",'FINANCIAL CREDITORS'!$AO$104)</f>
        <v/>
      </c>
      <c r="N666">
        <f>IF('FINANCIAL CREDITORS'!$BF$104="","",'FINANCIAL CREDITORS'!$BF$104)</f>
        <v/>
      </c>
      <c r="O666" t="inlineStr">
        <is>
          <t>FINANCIAL</t>
        </is>
      </c>
      <c r="P666" t="inlineStr">
        <is>
          <t>FINANCIAL CREDITORS · row 104</t>
        </is>
      </c>
      <c r="Q666">
        <f>E666+ROW()*0.000000001</f>
        <v/>
      </c>
    </row>
    <row r="667">
      <c r="A667">
        <f>IF('FINANCIAL CREDITORS'!$A$105="","",'FINANCIAL CREDITORS'!$A$105)</f>
        <v/>
      </c>
      <c r="B667">
        <f>IF('FINANCIAL CREDITORS'!$C$105="","",'FINANCIAL CREDITORS'!$C$105)</f>
        <v/>
      </c>
      <c r="C667">
        <f>'FINANCIAL CREDITORS'!$U$105</f>
        <v/>
      </c>
      <c r="D667">
        <f>'FINANCIAL CREDITORS'!$AB$105</f>
        <v/>
      </c>
      <c r="E667">
        <f>'FINANCIAL CREDITORS'!$AF$105</f>
        <v/>
      </c>
      <c r="F667">
        <f>IF('FINANCIAL CREDITORS'!$V$105="","",'FINANCIAL CREDITORS'!$V$105)</f>
        <v/>
      </c>
      <c r="G667">
        <f>IF('FINANCIAL CREDITORS'!$D$105="","",'FINANCIAL CREDITORS'!$D$105)</f>
        <v/>
      </c>
      <c r="H667">
        <f>IF('FINANCIAL CREDITORS'!$G$105="","",'FINANCIAL CREDITORS'!$G$105)</f>
        <v/>
      </c>
      <c r="I667">
        <f>IF('FINANCIAL CREDITORS'!$AY$105="","",'FINANCIAL CREDITORS'!$AY$105)</f>
        <v/>
      </c>
      <c r="J667">
        <f>IF('FINANCIAL CREDITORS'!$BC$105="","",'FINANCIAL CREDITORS'!$BC$105)</f>
        <v/>
      </c>
      <c r="K667">
        <f>IF('FINANCIAL CREDITORS'!$N$105="","",'FINANCIAL CREDITORS'!$N$105)</f>
        <v/>
      </c>
      <c r="L667">
        <f>IF('FINANCIAL CREDITORS'!$AH$105="","",'FINANCIAL CREDITORS'!$AH$105)</f>
        <v/>
      </c>
      <c r="M667">
        <f>IF('FINANCIAL CREDITORS'!$AO$105="","",'FINANCIAL CREDITORS'!$AO$105)</f>
        <v/>
      </c>
      <c r="N667">
        <f>IF('FINANCIAL CREDITORS'!$BF$105="","",'FINANCIAL CREDITORS'!$BF$105)</f>
        <v/>
      </c>
      <c r="O667" t="inlineStr">
        <is>
          <t>FINANCIAL</t>
        </is>
      </c>
      <c r="P667" t="inlineStr">
        <is>
          <t>FINANCIAL CREDITORS · row 105</t>
        </is>
      </c>
      <c r="Q667">
        <f>E667+ROW()*0.000000001</f>
        <v/>
      </c>
    </row>
    <row r="668">
      <c r="A668">
        <f>IF('FINANCIAL CREDITORS'!$A$106="","",'FINANCIAL CREDITORS'!$A$106)</f>
        <v/>
      </c>
      <c r="B668">
        <f>IF('FINANCIAL CREDITORS'!$C$106="","",'FINANCIAL CREDITORS'!$C$106)</f>
        <v/>
      </c>
      <c r="C668">
        <f>'FINANCIAL CREDITORS'!$U$106</f>
        <v/>
      </c>
      <c r="D668">
        <f>'FINANCIAL CREDITORS'!$AB$106</f>
        <v/>
      </c>
      <c r="E668">
        <f>'FINANCIAL CREDITORS'!$AF$106</f>
        <v/>
      </c>
      <c r="F668">
        <f>IF('FINANCIAL CREDITORS'!$V$106="","",'FINANCIAL CREDITORS'!$V$106)</f>
        <v/>
      </c>
      <c r="G668">
        <f>IF('FINANCIAL CREDITORS'!$D$106="","",'FINANCIAL CREDITORS'!$D$106)</f>
        <v/>
      </c>
      <c r="H668">
        <f>IF('FINANCIAL CREDITORS'!$G$106="","",'FINANCIAL CREDITORS'!$G$106)</f>
        <v/>
      </c>
      <c r="I668">
        <f>IF('FINANCIAL CREDITORS'!$AY$106="","",'FINANCIAL CREDITORS'!$AY$106)</f>
        <v/>
      </c>
      <c r="J668">
        <f>IF('FINANCIAL CREDITORS'!$BC$106="","",'FINANCIAL CREDITORS'!$BC$106)</f>
        <v/>
      </c>
      <c r="K668">
        <f>IF('FINANCIAL CREDITORS'!$N$106="","",'FINANCIAL CREDITORS'!$N$106)</f>
        <v/>
      </c>
      <c r="L668">
        <f>IF('FINANCIAL CREDITORS'!$AH$106="","",'FINANCIAL CREDITORS'!$AH$106)</f>
        <v/>
      </c>
      <c r="M668">
        <f>IF('FINANCIAL CREDITORS'!$AO$106="","",'FINANCIAL CREDITORS'!$AO$106)</f>
        <v/>
      </c>
      <c r="N668">
        <f>IF('FINANCIAL CREDITORS'!$BF$106="","",'FINANCIAL CREDITORS'!$BF$106)</f>
        <v/>
      </c>
      <c r="O668" t="inlineStr">
        <is>
          <t>FINANCIAL</t>
        </is>
      </c>
      <c r="P668" t="inlineStr">
        <is>
          <t>FINANCIAL CREDITORS · row 106</t>
        </is>
      </c>
      <c r="Q668">
        <f>E668+ROW()*0.000000001</f>
        <v/>
      </c>
    </row>
    <row r="669">
      <c r="A669">
        <f>IF('FINANCIAL CREDITORS'!$A$107="","",'FINANCIAL CREDITORS'!$A$107)</f>
        <v/>
      </c>
      <c r="B669">
        <f>IF('FINANCIAL CREDITORS'!$C$107="","",'FINANCIAL CREDITORS'!$C$107)</f>
        <v/>
      </c>
      <c r="C669">
        <f>'FINANCIAL CREDITORS'!$U$107</f>
        <v/>
      </c>
      <c r="D669">
        <f>'FINANCIAL CREDITORS'!$AB$107</f>
        <v/>
      </c>
      <c r="E669">
        <f>'FINANCIAL CREDITORS'!$AF$107</f>
        <v/>
      </c>
      <c r="F669">
        <f>IF('FINANCIAL CREDITORS'!$V$107="","",'FINANCIAL CREDITORS'!$V$107)</f>
        <v/>
      </c>
      <c r="G669">
        <f>IF('FINANCIAL CREDITORS'!$D$107="","",'FINANCIAL CREDITORS'!$D$107)</f>
        <v/>
      </c>
      <c r="H669">
        <f>IF('FINANCIAL CREDITORS'!$G$107="","",'FINANCIAL CREDITORS'!$G$107)</f>
        <v/>
      </c>
      <c r="I669">
        <f>IF('FINANCIAL CREDITORS'!$AY$107="","",'FINANCIAL CREDITORS'!$AY$107)</f>
        <v/>
      </c>
      <c r="J669">
        <f>IF('FINANCIAL CREDITORS'!$BC$107="","",'FINANCIAL CREDITORS'!$BC$107)</f>
        <v/>
      </c>
      <c r="K669">
        <f>IF('FINANCIAL CREDITORS'!$N$107="","",'FINANCIAL CREDITORS'!$N$107)</f>
        <v/>
      </c>
      <c r="L669">
        <f>IF('FINANCIAL CREDITORS'!$AH$107="","",'FINANCIAL CREDITORS'!$AH$107)</f>
        <v/>
      </c>
      <c r="M669">
        <f>IF('FINANCIAL CREDITORS'!$AO$107="","",'FINANCIAL CREDITORS'!$AO$107)</f>
        <v/>
      </c>
      <c r="N669">
        <f>IF('FINANCIAL CREDITORS'!$BF$107="","",'FINANCIAL CREDITORS'!$BF$107)</f>
        <v/>
      </c>
      <c r="O669" t="inlineStr">
        <is>
          <t>FINANCIAL</t>
        </is>
      </c>
      <c r="P669" t="inlineStr">
        <is>
          <t>FINANCIAL CREDITORS · row 107</t>
        </is>
      </c>
      <c r="Q669">
        <f>E669+ROW()*0.000000001</f>
        <v/>
      </c>
    </row>
    <row r="670">
      <c r="A670">
        <f>IF('FINANCIAL CREDITORS'!$A$108="","",'FINANCIAL CREDITORS'!$A$108)</f>
        <v/>
      </c>
      <c r="B670">
        <f>IF('FINANCIAL CREDITORS'!$C$108="","",'FINANCIAL CREDITORS'!$C$108)</f>
        <v/>
      </c>
      <c r="C670">
        <f>'FINANCIAL CREDITORS'!$U$108</f>
        <v/>
      </c>
      <c r="D670">
        <f>'FINANCIAL CREDITORS'!$AB$108</f>
        <v/>
      </c>
      <c r="E670">
        <f>'FINANCIAL CREDITORS'!$AF$108</f>
        <v/>
      </c>
      <c r="F670">
        <f>IF('FINANCIAL CREDITORS'!$V$108="","",'FINANCIAL CREDITORS'!$V$108)</f>
        <v/>
      </c>
      <c r="G670">
        <f>IF('FINANCIAL CREDITORS'!$D$108="","",'FINANCIAL CREDITORS'!$D$108)</f>
        <v/>
      </c>
      <c r="H670">
        <f>IF('FINANCIAL CREDITORS'!$G$108="","",'FINANCIAL CREDITORS'!$G$108)</f>
        <v/>
      </c>
      <c r="I670">
        <f>IF('FINANCIAL CREDITORS'!$AY$108="","",'FINANCIAL CREDITORS'!$AY$108)</f>
        <v/>
      </c>
      <c r="J670">
        <f>IF('FINANCIAL CREDITORS'!$BC$108="","",'FINANCIAL CREDITORS'!$BC$108)</f>
        <v/>
      </c>
      <c r="K670">
        <f>IF('FINANCIAL CREDITORS'!$N$108="","",'FINANCIAL CREDITORS'!$N$108)</f>
        <v/>
      </c>
      <c r="L670">
        <f>IF('FINANCIAL CREDITORS'!$AH$108="","",'FINANCIAL CREDITORS'!$AH$108)</f>
        <v/>
      </c>
      <c r="M670">
        <f>IF('FINANCIAL CREDITORS'!$AO$108="","",'FINANCIAL CREDITORS'!$AO$108)</f>
        <v/>
      </c>
      <c r="N670">
        <f>IF('FINANCIAL CREDITORS'!$BF$108="","",'FINANCIAL CREDITORS'!$BF$108)</f>
        <v/>
      </c>
      <c r="O670" t="inlineStr">
        <is>
          <t>FINANCIAL</t>
        </is>
      </c>
      <c r="P670" t="inlineStr">
        <is>
          <t>FINANCIAL CREDITORS · row 108</t>
        </is>
      </c>
      <c r="Q670">
        <f>E670+ROW()*0.000000001</f>
        <v/>
      </c>
    </row>
    <row r="671">
      <c r="A671">
        <f>IF('FINANCIAL CREDITORS'!$A$109="","",'FINANCIAL CREDITORS'!$A$109)</f>
        <v/>
      </c>
      <c r="B671">
        <f>IF('FINANCIAL CREDITORS'!$C$109="","",'FINANCIAL CREDITORS'!$C$109)</f>
        <v/>
      </c>
      <c r="C671">
        <f>'FINANCIAL CREDITORS'!$U$109</f>
        <v/>
      </c>
      <c r="D671">
        <f>'FINANCIAL CREDITORS'!$AB$109</f>
        <v/>
      </c>
      <c r="E671">
        <f>'FINANCIAL CREDITORS'!$AF$109</f>
        <v/>
      </c>
      <c r="F671">
        <f>IF('FINANCIAL CREDITORS'!$V$109="","",'FINANCIAL CREDITORS'!$V$109)</f>
        <v/>
      </c>
      <c r="G671">
        <f>IF('FINANCIAL CREDITORS'!$D$109="","",'FINANCIAL CREDITORS'!$D$109)</f>
        <v/>
      </c>
      <c r="H671">
        <f>IF('FINANCIAL CREDITORS'!$G$109="","",'FINANCIAL CREDITORS'!$G$109)</f>
        <v/>
      </c>
      <c r="I671">
        <f>IF('FINANCIAL CREDITORS'!$AY$109="","",'FINANCIAL CREDITORS'!$AY$109)</f>
        <v/>
      </c>
      <c r="J671">
        <f>IF('FINANCIAL CREDITORS'!$BC$109="","",'FINANCIAL CREDITORS'!$BC$109)</f>
        <v/>
      </c>
      <c r="K671">
        <f>IF('FINANCIAL CREDITORS'!$N$109="","",'FINANCIAL CREDITORS'!$N$109)</f>
        <v/>
      </c>
      <c r="L671">
        <f>IF('FINANCIAL CREDITORS'!$AH$109="","",'FINANCIAL CREDITORS'!$AH$109)</f>
        <v/>
      </c>
      <c r="M671">
        <f>IF('FINANCIAL CREDITORS'!$AO$109="","",'FINANCIAL CREDITORS'!$AO$109)</f>
        <v/>
      </c>
      <c r="N671">
        <f>IF('FINANCIAL CREDITORS'!$BF$109="","",'FINANCIAL CREDITORS'!$BF$109)</f>
        <v/>
      </c>
      <c r="O671" t="inlineStr">
        <is>
          <t>FINANCIAL</t>
        </is>
      </c>
      <c r="P671" t="inlineStr">
        <is>
          <t>FINANCIAL CREDITORS · row 109</t>
        </is>
      </c>
      <c r="Q671">
        <f>E671+ROW()*0.000000001</f>
        <v/>
      </c>
    </row>
    <row r="672">
      <c r="A672">
        <f>IF('FINANCIAL CREDITORS'!$A$110="","",'FINANCIAL CREDITORS'!$A$110)</f>
        <v/>
      </c>
      <c r="B672">
        <f>IF('FINANCIAL CREDITORS'!$C$110="","",'FINANCIAL CREDITORS'!$C$110)</f>
        <v/>
      </c>
      <c r="C672">
        <f>'FINANCIAL CREDITORS'!$U$110</f>
        <v/>
      </c>
      <c r="D672">
        <f>'FINANCIAL CREDITORS'!$AB$110</f>
        <v/>
      </c>
      <c r="E672">
        <f>'FINANCIAL CREDITORS'!$AF$110</f>
        <v/>
      </c>
      <c r="F672">
        <f>IF('FINANCIAL CREDITORS'!$V$110="","",'FINANCIAL CREDITORS'!$V$110)</f>
        <v/>
      </c>
      <c r="G672">
        <f>IF('FINANCIAL CREDITORS'!$D$110="","",'FINANCIAL CREDITORS'!$D$110)</f>
        <v/>
      </c>
      <c r="H672">
        <f>IF('FINANCIAL CREDITORS'!$G$110="","",'FINANCIAL CREDITORS'!$G$110)</f>
        <v/>
      </c>
      <c r="I672">
        <f>IF('FINANCIAL CREDITORS'!$AY$110="","",'FINANCIAL CREDITORS'!$AY$110)</f>
        <v/>
      </c>
      <c r="J672">
        <f>IF('FINANCIAL CREDITORS'!$BC$110="","",'FINANCIAL CREDITORS'!$BC$110)</f>
        <v/>
      </c>
      <c r="K672">
        <f>IF('FINANCIAL CREDITORS'!$N$110="","",'FINANCIAL CREDITORS'!$N$110)</f>
        <v/>
      </c>
      <c r="L672">
        <f>IF('FINANCIAL CREDITORS'!$AH$110="","",'FINANCIAL CREDITORS'!$AH$110)</f>
        <v/>
      </c>
      <c r="M672">
        <f>IF('FINANCIAL CREDITORS'!$AO$110="","",'FINANCIAL CREDITORS'!$AO$110)</f>
        <v/>
      </c>
      <c r="N672">
        <f>IF('FINANCIAL CREDITORS'!$BF$110="","",'FINANCIAL CREDITORS'!$BF$110)</f>
        <v/>
      </c>
      <c r="O672" t="inlineStr">
        <is>
          <t>FINANCIAL</t>
        </is>
      </c>
      <c r="P672" t="inlineStr">
        <is>
          <t>FINANCIAL CREDITORS · row 110</t>
        </is>
      </c>
      <c r="Q672">
        <f>E672+ROW()*0.000000001</f>
        <v/>
      </c>
    </row>
    <row r="673">
      <c r="A673">
        <f>IF('FINANCIAL CREDITORS'!$A$111="","",'FINANCIAL CREDITORS'!$A$111)</f>
        <v/>
      </c>
      <c r="B673">
        <f>IF('FINANCIAL CREDITORS'!$C$111="","",'FINANCIAL CREDITORS'!$C$111)</f>
        <v/>
      </c>
      <c r="C673">
        <f>'FINANCIAL CREDITORS'!$U$111</f>
        <v/>
      </c>
      <c r="D673">
        <f>'FINANCIAL CREDITORS'!$AB$111</f>
        <v/>
      </c>
      <c r="E673">
        <f>'FINANCIAL CREDITORS'!$AF$111</f>
        <v/>
      </c>
      <c r="F673">
        <f>IF('FINANCIAL CREDITORS'!$V$111="","",'FINANCIAL CREDITORS'!$V$111)</f>
        <v/>
      </c>
      <c r="G673">
        <f>IF('FINANCIAL CREDITORS'!$D$111="","",'FINANCIAL CREDITORS'!$D$111)</f>
        <v/>
      </c>
      <c r="H673">
        <f>IF('FINANCIAL CREDITORS'!$G$111="","",'FINANCIAL CREDITORS'!$G$111)</f>
        <v/>
      </c>
      <c r="I673">
        <f>IF('FINANCIAL CREDITORS'!$AY$111="","",'FINANCIAL CREDITORS'!$AY$111)</f>
        <v/>
      </c>
      <c r="J673">
        <f>IF('FINANCIAL CREDITORS'!$BC$111="","",'FINANCIAL CREDITORS'!$BC$111)</f>
        <v/>
      </c>
      <c r="K673">
        <f>IF('FINANCIAL CREDITORS'!$N$111="","",'FINANCIAL CREDITORS'!$N$111)</f>
        <v/>
      </c>
      <c r="L673">
        <f>IF('FINANCIAL CREDITORS'!$AH$111="","",'FINANCIAL CREDITORS'!$AH$111)</f>
        <v/>
      </c>
      <c r="M673">
        <f>IF('FINANCIAL CREDITORS'!$AO$111="","",'FINANCIAL CREDITORS'!$AO$111)</f>
        <v/>
      </c>
      <c r="N673">
        <f>IF('FINANCIAL CREDITORS'!$BF$111="","",'FINANCIAL CREDITORS'!$BF$111)</f>
        <v/>
      </c>
      <c r="O673" t="inlineStr">
        <is>
          <t>FINANCIAL</t>
        </is>
      </c>
      <c r="P673" t="inlineStr">
        <is>
          <t>FINANCIAL CREDITORS · row 111</t>
        </is>
      </c>
      <c r="Q673">
        <f>E673+ROW()*0.000000001</f>
        <v/>
      </c>
    </row>
    <row r="674">
      <c r="A674">
        <f>IF('FINANCIAL CREDITORS'!$A$112="","",'FINANCIAL CREDITORS'!$A$112)</f>
        <v/>
      </c>
      <c r="B674">
        <f>IF('FINANCIAL CREDITORS'!$C$112="","",'FINANCIAL CREDITORS'!$C$112)</f>
        <v/>
      </c>
      <c r="C674">
        <f>'FINANCIAL CREDITORS'!$U$112</f>
        <v/>
      </c>
      <c r="D674">
        <f>'FINANCIAL CREDITORS'!$AB$112</f>
        <v/>
      </c>
      <c r="E674">
        <f>'FINANCIAL CREDITORS'!$AF$112</f>
        <v/>
      </c>
      <c r="F674">
        <f>IF('FINANCIAL CREDITORS'!$V$112="","",'FINANCIAL CREDITORS'!$V$112)</f>
        <v/>
      </c>
      <c r="G674">
        <f>IF('FINANCIAL CREDITORS'!$D$112="","",'FINANCIAL CREDITORS'!$D$112)</f>
        <v/>
      </c>
      <c r="H674">
        <f>IF('FINANCIAL CREDITORS'!$G$112="","",'FINANCIAL CREDITORS'!$G$112)</f>
        <v/>
      </c>
      <c r="I674">
        <f>IF('FINANCIAL CREDITORS'!$AY$112="","",'FINANCIAL CREDITORS'!$AY$112)</f>
        <v/>
      </c>
      <c r="J674">
        <f>IF('FINANCIAL CREDITORS'!$BC$112="","",'FINANCIAL CREDITORS'!$BC$112)</f>
        <v/>
      </c>
      <c r="K674">
        <f>IF('FINANCIAL CREDITORS'!$N$112="","",'FINANCIAL CREDITORS'!$N$112)</f>
        <v/>
      </c>
      <c r="L674">
        <f>IF('FINANCIAL CREDITORS'!$AH$112="","",'FINANCIAL CREDITORS'!$AH$112)</f>
        <v/>
      </c>
      <c r="M674">
        <f>IF('FINANCIAL CREDITORS'!$AO$112="","",'FINANCIAL CREDITORS'!$AO$112)</f>
        <v/>
      </c>
      <c r="N674">
        <f>IF('FINANCIAL CREDITORS'!$BF$112="","",'FINANCIAL CREDITORS'!$BF$112)</f>
        <v/>
      </c>
      <c r="O674" t="inlineStr">
        <is>
          <t>FINANCIAL</t>
        </is>
      </c>
      <c r="P674" t="inlineStr">
        <is>
          <t>FINANCIAL CREDITORS · row 112</t>
        </is>
      </c>
      <c r="Q674">
        <f>E674+ROW()*0.000000001</f>
        <v/>
      </c>
    </row>
    <row r="675">
      <c r="A675">
        <f>IF('FINANCIAL CREDITORS'!$A$113="","",'FINANCIAL CREDITORS'!$A$113)</f>
        <v/>
      </c>
      <c r="B675">
        <f>IF('FINANCIAL CREDITORS'!$C$113="","",'FINANCIAL CREDITORS'!$C$113)</f>
        <v/>
      </c>
      <c r="C675">
        <f>'FINANCIAL CREDITORS'!$U$113</f>
        <v/>
      </c>
      <c r="D675">
        <f>'FINANCIAL CREDITORS'!$AB$113</f>
        <v/>
      </c>
      <c r="E675">
        <f>'FINANCIAL CREDITORS'!$AF$113</f>
        <v/>
      </c>
      <c r="F675">
        <f>IF('FINANCIAL CREDITORS'!$V$113="","",'FINANCIAL CREDITORS'!$V$113)</f>
        <v/>
      </c>
      <c r="G675">
        <f>IF('FINANCIAL CREDITORS'!$D$113="","",'FINANCIAL CREDITORS'!$D$113)</f>
        <v/>
      </c>
      <c r="H675">
        <f>IF('FINANCIAL CREDITORS'!$G$113="","",'FINANCIAL CREDITORS'!$G$113)</f>
        <v/>
      </c>
      <c r="I675">
        <f>IF('FINANCIAL CREDITORS'!$AY$113="","",'FINANCIAL CREDITORS'!$AY$113)</f>
        <v/>
      </c>
      <c r="J675">
        <f>IF('FINANCIAL CREDITORS'!$BC$113="","",'FINANCIAL CREDITORS'!$BC$113)</f>
        <v/>
      </c>
      <c r="K675">
        <f>IF('FINANCIAL CREDITORS'!$N$113="","",'FINANCIAL CREDITORS'!$N$113)</f>
        <v/>
      </c>
      <c r="L675">
        <f>IF('FINANCIAL CREDITORS'!$AH$113="","",'FINANCIAL CREDITORS'!$AH$113)</f>
        <v/>
      </c>
      <c r="M675">
        <f>IF('FINANCIAL CREDITORS'!$AO$113="","",'FINANCIAL CREDITORS'!$AO$113)</f>
        <v/>
      </c>
      <c r="N675">
        <f>IF('FINANCIAL CREDITORS'!$BF$113="","",'FINANCIAL CREDITORS'!$BF$113)</f>
        <v/>
      </c>
      <c r="O675" t="inlineStr">
        <is>
          <t>FINANCIAL</t>
        </is>
      </c>
      <c r="P675" t="inlineStr">
        <is>
          <t>FINANCIAL CREDITORS · row 113</t>
        </is>
      </c>
      <c r="Q675">
        <f>E675+ROW()*0.000000001</f>
        <v/>
      </c>
    </row>
    <row r="676">
      <c r="A676">
        <f>IF('FINANCIAL CREDITORS'!$A$114="","",'FINANCIAL CREDITORS'!$A$114)</f>
        <v/>
      </c>
      <c r="B676">
        <f>IF('FINANCIAL CREDITORS'!$C$114="","",'FINANCIAL CREDITORS'!$C$114)</f>
        <v/>
      </c>
      <c r="C676">
        <f>'FINANCIAL CREDITORS'!$U$114</f>
        <v/>
      </c>
      <c r="D676">
        <f>'FINANCIAL CREDITORS'!$AB$114</f>
        <v/>
      </c>
      <c r="E676">
        <f>'FINANCIAL CREDITORS'!$AF$114</f>
        <v/>
      </c>
      <c r="F676">
        <f>IF('FINANCIAL CREDITORS'!$V$114="","",'FINANCIAL CREDITORS'!$V$114)</f>
        <v/>
      </c>
      <c r="G676">
        <f>IF('FINANCIAL CREDITORS'!$D$114="","",'FINANCIAL CREDITORS'!$D$114)</f>
        <v/>
      </c>
      <c r="H676">
        <f>IF('FINANCIAL CREDITORS'!$G$114="","",'FINANCIAL CREDITORS'!$G$114)</f>
        <v/>
      </c>
      <c r="I676">
        <f>IF('FINANCIAL CREDITORS'!$AY$114="","",'FINANCIAL CREDITORS'!$AY$114)</f>
        <v/>
      </c>
      <c r="J676">
        <f>IF('FINANCIAL CREDITORS'!$BC$114="","",'FINANCIAL CREDITORS'!$BC$114)</f>
        <v/>
      </c>
      <c r="K676">
        <f>IF('FINANCIAL CREDITORS'!$N$114="","",'FINANCIAL CREDITORS'!$N$114)</f>
        <v/>
      </c>
      <c r="L676">
        <f>IF('FINANCIAL CREDITORS'!$AH$114="","",'FINANCIAL CREDITORS'!$AH$114)</f>
        <v/>
      </c>
      <c r="M676">
        <f>IF('FINANCIAL CREDITORS'!$AO$114="","",'FINANCIAL CREDITORS'!$AO$114)</f>
        <v/>
      </c>
      <c r="N676">
        <f>IF('FINANCIAL CREDITORS'!$BF$114="","",'FINANCIAL CREDITORS'!$BF$114)</f>
        <v/>
      </c>
      <c r="O676" t="inlineStr">
        <is>
          <t>FINANCIAL</t>
        </is>
      </c>
      <c r="P676" t="inlineStr">
        <is>
          <t>FINANCIAL CREDITORS · row 114</t>
        </is>
      </c>
      <c r="Q676">
        <f>E676+ROW()*0.000000001</f>
        <v/>
      </c>
    </row>
    <row r="677">
      <c r="A677">
        <f>IF('FINANCIAL CREDITORS'!$A$115="","",'FINANCIAL CREDITORS'!$A$115)</f>
        <v/>
      </c>
      <c r="B677">
        <f>IF('FINANCIAL CREDITORS'!$C$115="","",'FINANCIAL CREDITORS'!$C$115)</f>
        <v/>
      </c>
      <c r="C677">
        <f>'FINANCIAL CREDITORS'!$U$115</f>
        <v/>
      </c>
      <c r="D677">
        <f>'FINANCIAL CREDITORS'!$AB$115</f>
        <v/>
      </c>
      <c r="E677">
        <f>'FINANCIAL CREDITORS'!$AF$115</f>
        <v/>
      </c>
      <c r="F677">
        <f>IF('FINANCIAL CREDITORS'!$V$115="","",'FINANCIAL CREDITORS'!$V$115)</f>
        <v/>
      </c>
      <c r="G677">
        <f>IF('FINANCIAL CREDITORS'!$D$115="","",'FINANCIAL CREDITORS'!$D$115)</f>
        <v/>
      </c>
      <c r="H677">
        <f>IF('FINANCIAL CREDITORS'!$G$115="","",'FINANCIAL CREDITORS'!$G$115)</f>
        <v/>
      </c>
      <c r="I677">
        <f>IF('FINANCIAL CREDITORS'!$AY$115="","",'FINANCIAL CREDITORS'!$AY$115)</f>
        <v/>
      </c>
      <c r="J677">
        <f>IF('FINANCIAL CREDITORS'!$BC$115="","",'FINANCIAL CREDITORS'!$BC$115)</f>
        <v/>
      </c>
      <c r="K677">
        <f>IF('FINANCIAL CREDITORS'!$N$115="","",'FINANCIAL CREDITORS'!$N$115)</f>
        <v/>
      </c>
      <c r="L677">
        <f>IF('FINANCIAL CREDITORS'!$AH$115="","",'FINANCIAL CREDITORS'!$AH$115)</f>
        <v/>
      </c>
      <c r="M677">
        <f>IF('FINANCIAL CREDITORS'!$AO$115="","",'FINANCIAL CREDITORS'!$AO$115)</f>
        <v/>
      </c>
      <c r="N677">
        <f>IF('FINANCIAL CREDITORS'!$BF$115="","",'FINANCIAL CREDITORS'!$BF$115)</f>
        <v/>
      </c>
      <c r="O677" t="inlineStr">
        <is>
          <t>FINANCIAL</t>
        </is>
      </c>
      <c r="P677" t="inlineStr">
        <is>
          <t>FINANCIAL CREDITORS · row 115</t>
        </is>
      </c>
      <c r="Q677">
        <f>E677+ROW()*0.000000001</f>
        <v/>
      </c>
    </row>
    <row r="678">
      <c r="A678">
        <f>IF('FINANCIAL CREDITORS'!$A$116="","",'FINANCIAL CREDITORS'!$A$116)</f>
        <v/>
      </c>
      <c r="B678">
        <f>IF('FINANCIAL CREDITORS'!$C$116="","",'FINANCIAL CREDITORS'!$C$116)</f>
        <v/>
      </c>
      <c r="C678">
        <f>'FINANCIAL CREDITORS'!$U$116</f>
        <v/>
      </c>
      <c r="D678">
        <f>'FINANCIAL CREDITORS'!$AB$116</f>
        <v/>
      </c>
      <c r="E678">
        <f>'FINANCIAL CREDITORS'!$AF$116</f>
        <v/>
      </c>
      <c r="F678">
        <f>IF('FINANCIAL CREDITORS'!$V$116="","",'FINANCIAL CREDITORS'!$V$116)</f>
        <v/>
      </c>
      <c r="G678">
        <f>IF('FINANCIAL CREDITORS'!$D$116="","",'FINANCIAL CREDITORS'!$D$116)</f>
        <v/>
      </c>
      <c r="H678">
        <f>IF('FINANCIAL CREDITORS'!$G$116="","",'FINANCIAL CREDITORS'!$G$116)</f>
        <v/>
      </c>
      <c r="I678">
        <f>IF('FINANCIAL CREDITORS'!$AY$116="","",'FINANCIAL CREDITORS'!$AY$116)</f>
        <v/>
      </c>
      <c r="J678">
        <f>IF('FINANCIAL CREDITORS'!$BC$116="","",'FINANCIAL CREDITORS'!$BC$116)</f>
        <v/>
      </c>
      <c r="K678">
        <f>IF('FINANCIAL CREDITORS'!$N$116="","",'FINANCIAL CREDITORS'!$N$116)</f>
        <v/>
      </c>
      <c r="L678">
        <f>IF('FINANCIAL CREDITORS'!$AH$116="","",'FINANCIAL CREDITORS'!$AH$116)</f>
        <v/>
      </c>
      <c r="M678">
        <f>IF('FINANCIAL CREDITORS'!$AO$116="","",'FINANCIAL CREDITORS'!$AO$116)</f>
        <v/>
      </c>
      <c r="N678">
        <f>IF('FINANCIAL CREDITORS'!$BF$116="","",'FINANCIAL CREDITORS'!$BF$116)</f>
        <v/>
      </c>
      <c r="O678" t="inlineStr">
        <is>
          <t>FINANCIAL</t>
        </is>
      </c>
      <c r="P678" t="inlineStr">
        <is>
          <t>FINANCIAL CREDITORS · row 116</t>
        </is>
      </c>
      <c r="Q678">
        <f>E678+ROW()*0.000000001</f>
        <v/>
      </c>
    </row>
    <row r="679">
      <c r="A679">
        <f>IF('FINANCIAL CREDITORS'!$A$117="","",'FINANCIAL CREDITORS'!$A$117)</f>
        <v/>
      </c>
      <c r="B679">
        <f>IF('FINANCIAL CREDITORS'!$C$117="","",'FINANCIAL CREDITORS'!$C$117)</f>
        <v/>
      </c>
      <c r="C679">
        <f>'FINANCIAL CREDITORS'!$U$117</f>
        <v/>
      </c>
      <c r="D679">
        <f>'FINANCIAL CREDITORS'!$AB$117</f>
        <v/>
      </c>
      <c r="E679">
        <f>'FINANCIAL CREDITORS'!$AF$117</f>
        <v/>
      </c>
      <c r="F679">
        <f>IF('FINANCIAL CREDITORS'!$V$117="","",'FINANCIAL CREDITORS'!$V$117)</f>
        <v/>
      </c>
      <c r="G679">
        <f>IF('FINANCIAL CREDITORS'!$D$117="","",'FINANCIAL CREDITORS'!$D$117)</f>
        <v/>
      </c>
      <c r="H679">
        <f>IF('FINANCIAL CREDITORS'!$G$117="","",'FINANCIAL CREDITORS'!$G$117)</f>
        <v/>
      </c>
      <c r="I679">
        <f>IF('FINANCIAL CREDITORS'!$AY$117="","",'FINANCIAL CREDITORS'!$AY$117)</f>
        <v/>
      </c>
      <c r="J679">
        <f>IF('FINANCIAL CREDITORS'!$BC$117="","",'FINANCIAL CREDITORS'!$BC$117)</f>
        <v/>
      </c>
      <c r="K679">
        <f>IF('FINANCIAL CREDITORS'!$N$117="","",'FINANCIAL CREDITORS'!$N$117)</f>
        <v/>
      </c>
      <c r="L679">
        <f>IF('FINANCIAL CREDITORS'!$AH$117="","",'FINANCIAL CREDITORS'!$AH$117)</f>
        <v/>
      </c>
      <c r="M679">
        <f>IF('FINANCIAL CREDITORS'!$AO$117="","",'FINANCIAL CREDITORS'!$AO$117)</f>
        <v/>
      </c>
      <c r="N679">
        <f>IF('FINANCIAL CREDITORS'!$BF$117="","",'FINANCIAL CREDITORS'!$BF$117)</f>
        <v/>
      </c>
      <c r="O679" t="inlineStr">
        <is>
          <t>FINANCIAL</t>
        </is>
      </c>
      <c r="P679" t="inlineStr">
        <is>
          <t>FINANCIAL CREDITORS · row 117</t>
        </is>
      </c>
      <c r="Q679">
        <f>E679+ROW()*0.000000001</f>
        <v/>
      </c>
    </row>
    <row r="680">
      <c r="A680">
        <f>IF('FINANCIAL CREDITORS'!$A$118="","",'FINANCIAL CREDITORS'!$A$118)</f>
        <v/>
      </c>
      <c r="B680">
        <f>IF('FINANCIAL CREDITORS'!$C$118="","",'FINANCIAL CREDITORS'!$C$118)</f>
        <v/>
      </c>
      <c r="C680">
        <f>'FINANCIAL CREDITORS'!$U$118</f>
        <v/>
      </c>
      <c r="D680">
        <f>'FINANCIAL CREDITORS'!$AB$118</f>
        <v/>
      </c>
      <c r="E680">
        <f>'FINANCIAL CREDITORS'!$AF$118</f>
        <v/>
      </c>
      <c r="F680">
        <f>IF('FINANCIAL CREDITORS'!$V$118="","",'FINANCIAL CREDITORS'!$V$118)</f>
        <v/>
      </c>
      <c r="G680">
        <f>IF('FINANCIAL CREDITORS'!$D$118="","",'FINANCIAL CREDITORS'!$D$118)</f>
        <v/>
      </c>
      <c r="H680">
        <f>IF('FINANCIAL CREDITORS'!$G$118="","",'FINANCIAL CREDITORS'!$G$118)</f>
        <v/>
      </c>
      <c r="I680">
        <f>IF('FINANCIAL CREDITORS'!$AY$118="","",'FINANCIAL CREDITORS'!$AY$118)</f>
        <v/>
      </c>
      <c r="J680">
        <f>IF('FINANCIAL CREDITORS'!$BC$118="","",'FINANCIAL CREDITORS'!$BC$118)</f>
        <v/>
      </c>
      <c r="K680">
        <f>IF('FINANCIAL CREDITORS'!$N$118="","",'FINANCIAL CREDITORS'!$N$118)</f>
        <v/>
      </c>
      <c r="L680">
        <f>IF('FINANCIAL CREDITORS'!$AH$118="","",'FINANCIAL CREDITORS'!$AH$118)</f>
        <v/>
      </c>
      <c r="M680">
        <f>IF('FINANCIAL CREDITORS'!$AO$118="","",'FINANCIAL CREDITORS'!$AO$118)</f>
        <v/>
      </c>
      <c r="N680">
        <f>IF('FINANCIAL CREDITORS'!$BF$118="","",'FINANCIAL CREDITORS'!$BF$118)</f>
        <v/>
      </c>
      <c r="O680" t="inlineStr">
        <is>
          <t>FINANCIAL</t>
        </is>
      </c>
      <c r="P680" t="inlineStr">
        <is>
          <t>FINANCIAL CREDITORS · row 118</t>
        </is>
      </c>
      <c r="Q680">
        <f>E680+ROW()*0.000000001</f>
        <v/>
      </c>
    </row>
    <row r="681">
      <c r="A681">
        <f>IF('FINANCIAL CREDITORS'!$A$119="","",'FINANCIAL CREDITORS'!$A$119)</f>
        <v/>
      </c>
      <c r="B681">
        <f>IF('FINANCIAL CREDITORS'!$C$119="","",'FINANCIAL CREDITORS'!$C$119)</f>
        <v/>
      </c>
      <c r="C681">
        <f>'FINANCIAL CREDITORS'!$U$119</f>
        <v/>
      </c>
      <c r="D681">
        <f>'FINANCIAL CREDITORS'!$AB$119</f>
        <v/>
      </c>
      <c r="E681">
        <f>'FINANCIAL CREDITORS'!$AF$119</f>
        <v/>
      </c>
      <c r="F681">
        <f>IF('FINANCIAL CREDITORS'!$V$119="","",'FINANCIAL CREDITORS'!$V$119)</f>
        <v/>
      </c>
      <c r="G681">
        <f>IF('FINANCIAL CREDITORS'!$D$119="","",'FINANCIAL CREDITORS'!$D$119)</f>
        <v/>
      </c>
      <c r="H681">
        <f>IF('FINANCIAL CREDITORS'!$G$119="","",'FINANCIAL CREDITORS'!$G$119)</f>
        <v/>
      </c>
      <c r="I681">
        <f>IF('FINANCIAL CREDITORS'!$AY$119="","",'FINANCIAL CREDITORS'!$AY$119)</f>
        <v/>
      </c>
      <c r="J681">
        <f>IF('FINANCIAL CREDITORS'!$BC$119="","",'FINANCIAL CREDITORS'!$BC$119)</f>
        <v/>
      </c>
      <c r="K681">
        <f>IF('FINANCIAL CREDITORS'!$N$119="","",'FINANCIAL CREDITORS'!$N$119)</f>
        <v/>
      </c>
      <c r="L681">
        <f>IF('FINANCIAL CREDITORS'!$AH$119="","",'FINANCIAL CREDITORS'!$AH$119)</f>
        <v/>
      </c>
      <c r="M681">
        <f>IF('FINANCIAL CREDITORS'!$AO$119="","",'FINANCIAL CREDITORS'!$AO$119)</f>
        <v/>
      </c>
      <c r="N681">
        <f>IF('FINANCIAL CREDITORS'!$BF$119="","",'FINANCIAL CREDITORS'!$BF$119)</f>
        <v/>
      </c>
      <c r="O681" t="inlineStr">
        <is>
          <t>FINANCIAL</t>
        </is>
      </c>
      <c r="P681" t="inlineStr">
        <is>
          <t>FINANCIAL CREDITORS · row 119</t>
        </is>
      </c>
      <c r="Q681">
        <f>E681+ROW()*0.000000001</f>
        <v/>
      </c>
    </row>
    <row r="682">
      <c r="A682">
        <f>IF('FINANCIAL CREDITORS'!$A$120="","",'FINANCIAL CREDITORS'!$A$120)</f>
        <v/>
      </c>
      <c r="B682">
        <f>IF('FINANCIAL CREDITORS'!$C$120="","",'FINANCIAL CREDITORS'!$C$120)</f>
        <v/>
      </c>
      <c r="C682">
        <f>'FINANCIAL CREDITORS'!$U$120</f>
        <v/>
      </c>
      <c r="D682">
        <f>'FINANCIAL CREDITORS'!$AB$120</f>
        <v/>
      </c>
      <c r="E682">
        <f>'FINANCIAL CREDITORS'!$AF$120</f>
        <v/>
      </c>
      <c r="F682">
        <f>IF('FINANCIAL CREDITORS'!$V$120="","",'FINANCIAL CREDITORS'!$V$120)</f>
        <v/>
      </c>
      <c r="G682">
        <f>IF('FINANCIAL CREDITORS'!$D$120="","",'FINANCIAL CREDITORS'!$D$120)</f>
        <v/>
      </c>
      <c r="H682">
        <f>IF('FINANCIAL CREDITORS'!$G$120="","",'FINANCIAL CREDITORS'!$G$120)</f>
        <v/>
      </c>
      <c r="I682">
        <f>IF('FINANCIAL CREDITORS'!$AY$120="","",'FINANCIAL CREDITORS'!$AY$120)</f>
        <v/>
      </c>
      <c r="J682">
        <f>IF('FINANCIAL CREDITORS'!$BC$120="","",'FINANCIAL CREDITORS'!$BC$120)</f>
        <v/>
      </c>
      <c r="K682">
        <f>IF('FINANCIAL CREDITORS'!$N$120="","",'FINANCIAL CREDITORS'!$N$120)</f>
        <v/>
      </c>
      <c r="L682">
        <f>IF('FINANCIAL CREDITORS'!$AH$120="","",'FINANCIAL CREDITORS'!$AH$120)</f>
        <v/>
      </c>
      <c r="M682">
        <f>IF('FINANCIAL CREDITORS'!$AO$120="","",'FINANCIAL CREDITORS'!$AO$120)</f>
        <v/>
      </c>
      <c r="N682">
        <f>IF('FINANCIAL CREDITORS'!$BF$120="","",'FINANCIAL CREDITORS'!$BF$120)</f>
        <v/>
      </c>
      <c r="O682" t="inlineStr">
        <is>
          <t>FINANCIAL</t>
        </is>
      </c>
      <c r="P682" t="inlineStr">
        <is>
          <t>FINANCIAL CREDITORS · row 120</t>
        </is>
      </c>
      <c r="Q682">
        <f>E682+ROW()*0.000000001</f>
        <v/>
      </c>
    </row>
    <row r="683">
      <c r="A683">
        <f>IF('FINANCIAL CREDITORS'!$A$121="","",'FINANCIAL CREDITORS'!$A$121)</f>
        <v/>
      </c>
      <c r="B683">
        <f>IF('FINANCIAL CREDITORS'!$C$121="","",'FINANCIAL CREDITORS'!$C$121)</f>
        <v/>
      </c>
      <c r="C683">
        <f>'FINANCIAL CREDITORS'!$U$121</f>
        <v/>
      </c>
      <c r="D683">
        <f>'FINANCIAL CREDITORS'!$AB$121</f>
        <v/>
      </c>
      <c r="E683">
        <f>'FINANCIAL CREDITORS'!$AF$121</f>
        <v/>
      </c>
      <c r="F683">
        <f>IF('FINANCIAL CREDITORS'!$V$121="","",'FINANCIAL CREDITORS'!$V$121)</f>
        <v/>
      </c>
      <c r="G683">
        <f>IF('FINANCIAL CREDITORS'!$D$121="","",'FINANCIAL CREDITORS'!$D$121)</f>
        <v/>
      </c>
      <c r="H683">
        <f>IF('FINANCIAL CREDITORS'!$G$121="","",'FINANCIAL CREDITORS'!$G$121)</f>
        <v/>
      </c>
      <c r="I683">
        <f>IF('FINANCIAL CREDITORS'!$AY$121="","",'FINANCIAL CREDITORS'!$AY$121)</f>
        <v/>
      </c>
      <c r="J683">
        <f>IF('FINANCIAL CREDITORS'!$BC$121="","",'FINANCIAL CREDITORS'!$BC$121)</f>
        <v/>
      </c>
      <c r="K683">
        <f>IF('FINANCIAL CREDITORS'!$N$121="","",'FINANCIAL CREDITORS'!$N$121)</f>
        <v/>
      </c>
      <c r="L683">
        <f>IF('FINANCIAL CREDITORS'!$AH$121="","",'FINANCIAL CREDITORS'!$AH$121)</f>
        <v/>
      </c>
      <c r="M683">
        <f>IF('FINANCIAL CREDITORS'!$AO$121="","",'FINANCIAL CREDITORS'!$AO$121)</f>
        <v/>
      </c>
      <c r="N683">
        <f>IF('FINANCIAL CREDITORS'!$BF$121="","",'FINANCIAL CREDITORS'!$BF$121)</f>
        <v/>
      </c>
      <c r="O683" t="inlineStr">
        <is>
          <t>FINANCIAL</t>
        </is>
      </c>
      <c r="P683" t="inlineStr">
        <is>
          <t>FINANCIAL CREDITORS · row 121</t>
        </is>
      </c>
      <c r="Q683">
        <f>E683+ROW()*0.000000001</f>
        <v/>
      </c>
    </row>
    <row r="684">
      <c r="A684">
        <f>IF('FINANCIAL CREDITORS'!$A$122="","",'FINANCIAL CREDITORS'!$A$122)</f>
        <v/>
      </c>
      <c r="B684">
        <f>IF('FINANCIAL CREDITORS'!$C$122="","",'FINANCIAL CREDITORS'!$C$122)</f>
        <v/>
      </c>
      <c r="C684">
        <f>'FINANCIAL CREDITORS'!$U$122</f>
        <v/>
      </c>
      <c r="D684">
        <f>'FINANCIAL CREDITORS'!$AB$122</f>
        <v/>
      </c>
      <c r="E684">
        <f>'FINANCIAL CREDITORS'!$AF$122</f>
        <v/>
      </c>
      <c r="F684">
        <f>IF('FINANCIAL CREDITORS'!$V$122="","",'FINANCIAL CREDITORS'!$V$122)</f>
        <v/>
      </c>
      <c r="G684">
        <f>IF('FINANCIAL CREDITORS'!$D$122="","",'FINANCIAL CREDITORS'!$D$122)</f>
        <v/>
      </c>
      <c r="H684">
        <f>IF('FINANCIAL CREDITORS'!$G$122="","",'FINANCIAL CREDITORS'!$G$122)</f>
        <v/>
      </c>
      <c r="I684">
        <f>IF('FINANCIAL CREDITORS'!$AY$122="","",'FINANCIAL CREDITORS'!$AY$122)</f>
        <v/>
      </c>
      <c r="J684">
        <f>IF('FINANCIAL CREDITORS'!$BC$122="","",'FINANCIAL CREDITORS'!$BC$122)</f>
        <v/>
      </c>
      <c r="K684">
        <f>IF('FINANCIAL CREDITORS'!$N$122="","",'FINANCIAL CREDITORS'!$N$122)</f>
        <v/>
      </c>
      <c r="L684">
        <f>IF('FINANCIAL CREDITORS'!$AH$122="","",'FINANCIAL CREDITORS'!$AH$122)</f>
        <v/>
      </c>
      <c r="M684">
        <f>IF('FINANCIAL CREDITORS'!$AO$122="","",'FINANCIAL CREDITORS'!$AO$122)</f>
        <v/>
      </c>
      <c r="N684">
        <f>IF('FINANCIAL CREDITORS'!$BF$122="","",'FINANCIAL CREDITORS'!$BF$122)</f>
        <v/>
      </c>
      <c r="O684" t="inlineStr">
        <is>
          <t>FINANCIAL</t>
        </is>
      </c>
      <c r="P684" t="inlineStr">
        <is>
          <t>FINANCIAL CREDITORS · row 122</t>
        </is>
      </c>
      <c r="Q684">
        <f>E684+ROW()*0.000000001</f>
        <v/>
      </c>
    </row>
    <row r="685">
      <c r="A685">
        <f>IF('FINANCIAL CREDITORS'!$A$123="","",'FINANCIAL CREDITORS'!$A$123)</f>
        <v/>
      </c>
      <c r="B685">
        <f>IF('FINANCIAL CREDITORS'!$C$123="","",'FINANCIAL CREDITORS'!$C$123)</f>
        <v/>
      </c>
      <c r="C685">
        <f>'FINANCIAL CREDITORS'!$U$123</f>
        <v/>
      </c>
      <c r="D685">
        <f>'FINANCIAL CREDITORS'!$AB$123</f>
        <v/>
      </c>
      <c r="E685">
        <f>'FINANCIAL CREDITORS'!$AF$123</f>
        <v/>
      </c>
      <c r="F685">
        <f>IF('FINANCIAL CREDITORS'!$V$123="","",'FINANCIAL CREDITORS'!$V$123)</f>
        <v/>
      </c>
      <c r="G685">
        <f>IF('FINANCIAL CREDITORS'!$D$123="","",'FINANCIAL CREDITORS'!$D$123)</f>
        <v/>
      </c>
      <c r="H685">
        <f>IF('FINANCIAL CREDITORS'!$G$123="","",'FINANCIAL CREDITORS'!$G$123)</f>
        <v/>
      </c>
      <c r="I685">
        <f>IF('FINANCIAL CREDITORS'!$AY$123="","",'FINANCIAL CREDITORS'!$AY$123)</f>
        <v/>
      </c>
      <c r="J685">
        <f>IF('FINANCIAL CREDITORS'!$BC$123="","",'FINANCIAL CREDITORS'!$BC$123)</f>
        <v/>
      </c>
      <c r="K685">
        <f>IF('FINANCIAL CREDITORS'!$N$123="","",'FINANCIAL CREDITORS'!$N$123)</f>
        <v/>
      </c>
      <c r="L685">
        <f>IF('FINANCIAL CREDITORS'!$AH$123="","",'FINANCIAL CREDITORS'!$AH$123)</f>
        <v/>
      </c>
      <c r="M685">
        <f>IF('FINANCIAL CREDITORS'!$AO$123="","",'FINANCIAL CREDITORS'!$AO$123)</f>
        <v/>
      </c>
      <c r="N685">
        <f>IF('FINANCIAL CREDITORS'!$BF$123="","",'FINANCIAL CREDITORS'!$BF$123)</f>
        <v/>
      </c>
      <c r="O685" t="inlineStr">
        <is>
          <t>FINANCIAL</t>
        </is>
      </c>
      <c r="P685" t="inlineStr">
        <is>
          <t>FINANCIAL CREDITORS · row 123</t>
        </is>
      </c>
      <c r="Q685">
        <f>E685+ROW()*0.000000001</f>
        <v/>
      </c>
    </row>
    <row r="686">
      <c r="A686">
        <f>IF('FINANCIAL CREDITORS'!$A$124="","",'FINANCIAL CREDITORS'!$A$124)</f>
        <v/>
      </c>
      <c r="B686">
        <f>IF('FINANCIAL CREDITORS'!$C$124="","",'FINANCIAL CREDITORS'!$C$124)</f>
        <v/>
      </c>
      <c r="C686">
        <f>'FINANCIAL CREDITORS'!$U$124</f>
        <v/>
      </c>
      <c r="D686">
        <f>'FINANCIAL CREDITORS'!$AB$124</f>
        <v/>
      </c>
      <c r="E686">
        <f>'FINANCIAL CREDITORS'!$AF$124</f>
        <v/>
      </c>
      <c r="F686">
        <f>IF('FINANCIAL CREDITORS'!$V$124="","",'FINANCIAL CREDITORS'!$V$124)</f>
        <v/>
      </c>
      <c r="G686">
        <f>IF('FINANCIAL CREDITORS'!$D$124="","",'FINANCIAL CREDITORS'!$D$124)</f>
        <v/>
      </c>
      <c r="H686">
        <f>IF('FINANCIAL CREDITORS'!$G$124="","",'FINANCIAL CREDITORS'!$G$124)</f>
        <v/>
      </c>
      <c r="I686">
        <f>IF('FINANCIAL CREDITORS'!$AY$124="","",'FINANCIAL CREDITORS'!$AY$124)</f>
        <v/>
      </c>
      <c r="J686">
        <f>IF('FINANCIAL CREDITORS'!$BC$124="","",'FINANCIAL CREDITORS'!$BC$124)</f>
        <v/>
      </c>
      <c r="K686">
        <f>IF('FINANCIAL CREDITORS'!$N$124="","",'FINANCIAL CREDITORS'!$N$124)</f>
        <v/>
      </c>
      <c r="L686">
        <f>IF('FINANCIAL CREDITORS'!$AH$124="","",'FINANCIAL CREDITORS'!$AH$124)</f>
        <v/>
      </c>
      <c r="M686">
        <f>IF('FINANCIAL CREDITORS'!$AO$124="","",'FINANCIAL CREDITORS'!$AO$124)</f>
        <v/>
      </c>
      <c r="N686">
        <f>IF('FINANCIAL CREDITORS'!$BF$124="","",'FINANCIAL CREDITORS'!$BF$124)</f>
        <v/>
      </c>
      <c r="O686" t="inlineStr">
        <is>
          <t>FINANCIAL</t>
        </is>
      </c>
      <c r="P686" t="inlineStr">
        <is>
          <t>FINANCIAL CREDITORS · row 124</t>
        </is>
      </c>
      <c r="Q686">
        <f>E686+ROW()*0.000000001</f>
        <v/>
      </c>
    </row>
    <row r="687">
      <c r="A687">
        <f>IF('FINANCIAL CREDITORS'!$A$125="","",'FINANCIAL CREDITORS'!$A$125)</f>
        <v/>
      </c>
      <c r="B687">
        <f>IF('FINANCIAL CREDITORS'!$C$125="","",'FINANCIAL CREDITORS'!$C$125)</f>
        <v/>
      </c>
      <c r="C687">
        <f>'FINANCIAL CREDITORS'!$U$125</f>
        <v/>
      </c>
      <c r="D687">
        <f>'FINANCIAL CREDITORS'!$AB$125</f>
        <v/>
      </c>
      <c r="E687">
        <f>'FINANCIAL CREDITORS'!$AF$125</f>
        <v/>
      </c>
      <c r="F687">
        <f>IF('FINANCIAL CREDITORS'!$V$125="","",'FINANCIAL CREDITORS'!$V$125)</f>
        <v/>
      </c>
      <c r="G687">
        <f>IF('FINANCIAL CREDITORS'!$D$125="","",'FINANCIAL CREDITORS'!$D$125)</f>
        <v/>
      </c>
      <c r="H687">
        <f>IF('FINANCIAL CREDITORS'!$G$125="","",'FINANCIAL CREDITORS'!$G$125)</f>
        <v/>
      </c>
      <c r="I687">
        <f>IF('FINANCIAL CREDITORS'!$AY$125="","",'FINANCIAL CREDITORS'!$AY$125)</f>
        <v/>
      </c>
      <c r="J687">
        <f>IF('FINANCIAL CREDITORS'!$BC$125="","",'FINANCIAL CREDITORS'!$BC$125)</f>
        <v/>
      </c>
      <c r="K687">
        <f>IF('FINANCIAL CREDITORS'!$N$125="","",'FINANCIAL CREDITORS'!$N$125)</f>
        <v/>
      </c>
      <c r="L687">
        <f>IF('FINANCIAL CREDITORS'!$AH$125="","",'FINANCIAL CREDITORS'!$AH$125)</f>
        <v/>
      </c>
      <c r="M687">
        <f>IF('FINANCIAL CREDITORS'!$AO$125="","",'FINANCIAL CREDITORS'!$AO$125)</f>
        <v/>
      </c>
      <c r="N687">
        <f>IF('FINANCIAL CREDITORS'!$BF$125="","",'FINANCIAL CREDITORS'!$BF$125)</f>
        <v/>
      </c>
      <c r="O687" t="inlineStr">
        <is>
          <t>FINANCIAL</t>
        </is>
      </c>
      <c r="P687" t="inlineStr">
        <is>
          <t>FINANCIAL CREDITORS · row 125</t>
        </is>
      </c>
      <c r="Q687">
        <f>E687+ROW()*0.000000001</f>
        <v/>
      </c>
    </row>
    <row r="688">
      <c r="A688">
        <f>IF('FINANCIAL CREDITORS'!$A$126="","",'FINANCIAL CREDITORS'!$A$126)</f>
        <v/>
      </c>
      <c r="B688">
        <f>IF('FINANCIAL CREDITORS'!$C$126="","",'FINANCIAL CREDITORS'!$C$126)</f>
        <v/>
      </c>
      <c r="C688">
        <f>'FINANCIAL CREDITORS'!$U$126</f>
        <v/>
      </c>
      <c r="D688">
        <f>'FINANCIAL CREDITORS'!$AB$126</f>
        <v/>
      </c>
      <c r="E688">
        <f>'FINANCIAL CREDITORS'!$AF$126</f>
        <v/>
      </c>
      <c r="F688">
        <f>IF('FINANCIAL CREDITORS'!$V$126="","",'FINANCIAL CREDITORS'!$V$126)</f>
        <v/>
      </c>
      <c r="G688">
        <f>IF('FINANCIAL CREDITORS'!$D$126="","",'FINANCIAL CREDITORS'!$D$126)</f>
        <v/>
      </c>
      <c r="H688">
        <f>IF('FINANCIAL CREDITORS'!$G$126="","",'FINANCIAL CREDITORS'!$G$126)</f>
        <v/>
      </c>
      <c r="I688">
        <f>IF('FINANCIAL CREDITORS'!$AY$126="","",'FINANCIAL CREDITORS'!$AY$126)</f>
        <v/>
      </c>
      <c r="J688">
        <f>IF('FINANCIAL CREDITORS'!$BC$126="","",'FINANCIAL CREDITORS'!$BC$126)</f>
        <v/>
      </c>
      <c r="K688">
        <f>IF('FINANCIAL CREDITORS'!$N$126="","",'FINANCIAL CREDITORS'!$N$126)</f>
        <v/>
      </c>
      <c r="L688">
        <f>IF('FINANCIAL CREDITORS'!$AH$126="","",'FINANCIAL CREDITORS'!$AH$126)</f>
        <v/>
      </c>
      <c r="M688">
        <f>IF('FINANCIAL CREDITORS'!$AO$126="","",'FINANCIAL CREDITORS'!$AO$126)</f>
        <v/>
      </c>
      <c r="N688">
        <f>IF('FINANCIAL CREDITORS'!$BF$126="","",'FINANCIAL CREDITORS'!$BF$126)</f>
        <v/>
      </c>
      <c r="O688" t="inlineStr">
        <is>
          <t>FINANCIAL</t>
        </is>
      </c>
      <c r="P688" t="inlineStr">
        <is>
          <t>FINANCIAL CREDITORS · row 126</t>
        </is>
      </c>
      <c r="Q688">
        <f>E688+ROW()*0.000000001</f>
        <v/>
      </c>
    </row>
    <row r="689">
      <c r="A689">
        <f>IF('FINANCIAL CREDITORS'!$A$127="","",'FINANCIAL CREDITORS'!$A$127)</f>
        <v/>
      </c>
      <c r="B689">
        <f>IF('FINANCIAL CREDITORS'!$C$127="","",'FINANCIAL CREDITORS'!$C$127)</f>
        <v/>
      </c>
      <c r="C689">
        <f>'FINANCIAL CREDITORS'!$U$127</f>
        <v/>
      </c>
      <c r="D689">
        <f>'FINANCIAL CREDITORS'!$AB$127</f>
        <v/>
      </c>
      <c r="E689">
        <f>'FINANCIAL CREDITORS'!$AF$127</f>
        <v/>
      </c>
      <c r="F689">
        <f>IF('FINANCIAL CREDITORS'!$V$127="","",'FINANCIAL CREDITORS'!$V$127)</f>
        <v/>
      </c>
      <c r="G689">
        <f>IF('FINANCIAL CREDITORS'!$D$127="","",'FINANCIAL CREDITORS'!$D$127)</f>
        <v/>
      </c>
      <c r="H689">
        <f>IF('FINANCIAL CREDITORS'!$G$127="","",'FINANCIAL CREDITORS'!$G$127)</f>
        <v/>
      </c>
      <c r="I689">
        <f>IF('FINANCIAL CREDITORS'!$AY$127="","",'FINANCIAL CREDITORS'!$AY$127)</f>
        <v/>
      </c>
      <c r="J689">
        <f>IF('FINANCIAL CREDITORS'!$BC$127="","",'FINANCIAL CREDITORS'!$BC$127)</f>
        <v/>
      </c>
      <c r="K689">
        <f>IF('FINANCIAL CREDITORS'!$N$127="","",'FINANCIAL CREDITORS'!$N$127)</f>
        <v/>
      </c>
      <c r="L689">
        <f>IF('FINANCIAL CREDITORS'!$AH$127="","",'FINANCIAL CREDITORS'!$AH$127)</f>
        <v/>
      </c>
      <c r="M689">
        <f>IF('FINANCIAL CREDITORS'!$AO$127="","",'FINANCIAL CREDITORS'!$AO$127)</f>
        <v/>
      </c>
      <c r="N689">
        <f>IF('FINANCIAL CREDITORS'!$BF$127="","",'FINANCIAL CREDITORS'!$BF$127)</f>
        <v/>
      </c>
      <c r="O689" t="inlineStr">
        <is>
          <t>FINANCIAL</t>
        </is>
      </c>
      <c r="P689" t="inlineStr">
        <is>
          <t>FINANCIAL CREDITORS · row 127</t>
        </is>
      </c>
      <c r="Q689">
        <f>E689+ROW()*0.000000001</f>
        <v/>
      </c>
    </row>
    <row r="690">
      <c r="A690">
        <f>IF('FINANCIAL CREDITORS'!$A$128="","",'FINANCIAL CREDITORS'!$A$128)</f>
        <v/>
      </c>
      <c r="B690">
        <f>IF('FINANCIAL CREDITORS'!$C$128="","",'FINANCIAL CREDITORS'!$C$128)</f>
        <v/>
      </c>
      <c r="C690">
        <f>'FINANCIAL CREDITORS'!$U$128</f>
        <v/>
      </c>
      <c r="D690">
        <f>'FINANCIAL CREDITORS'!$AB$128</f>
        <v/>
      </c>
      <c r="E690">
        <f>'FINANCIAL CREDITORS'!$AF$128</f>
        <v/>
      </c>
      <c r="F690">
        <f>IF('FINANCIAL CREDITORS'!$V$128="","",'FINANCIAL CREDITORS'!$V$128)</f>
        <v/>
      </c>
      <c r="G690">
        <f>IF('FINANCIAL CREDITORS'!$D$128="","",'FINANCIAL CREDITORS'!$D$128)</f>
        <v/>
      </c>
      <c r="H690">
        <f>IF('FINANCIAL CREDITORS'!$G$128="","",'FINANCIAL CREDITORS'!$G$128)</f>
        <v/>
      </c>
      <c r="I690">
        <f>IF('FINANCIAL CREDITORS'!$AY$128="","",'FINANCIAL CREDITORS'!$AY$128)</f>
        <v/>
      </c>
      <c r="J690">
        <f>IF('FINANCIAL CREDITORS'!$BC$128="","",'FINANCIAL CREDITORS'!$BC$128)</f>
        <v/>
      </c>
      <c r="K690">
        <f>IF('FINANCIAL CREDITORS'!$N$128="","",'FINANCIAL CREDITORS'!$N$128)</f>
        <v/>
      </c>
      <c r="L690">
        <f>IF('FINANCIAL CREDITORS'!$AH$128="","",'FINANCIAL CREDITORS'!$AH$128)</f>
        <v/>
      </c>
      <c r="M690">
        <f>IF('FINANCIAL CREDITORS'!$AO$128="","",'FINANCIAL CREDITORS'!$AO$128)</f>
        <v/>
      </c>
      <c r="N690">
        <f>IF('FINANCIAL CREDITORS'!$BF$128="","",'FINANCIAL CREDITORS'!$BF$128)</f>
        <v/>
      </c>
      <c r="O690" t="inlineStr">
        <is>
          <t>FINANCIAL</t>
        </is>
      </c>
      <c r="P690" t="inlineStr">
        <is>
          <t>FINANCIAL CREDITORS · row 128</t>
        </is>
      </c>
      <c r="Q690">
        <f>E690+ROW()*0.000000001</f>
        <v/>
      </c>
    </row>
    <row r="691">
      <c r="A691">
        <f>IF('FINANCIAL CREDITORS'!$A$129="","",'FINANCIAL CREDITORS'!$A$129)</f>
        <v/>
      </c>
      <c r="B691">
        <f>IF('FINANCIAL CREDITORS'!$C$129="","",'FINANCIAL CREDITORS'!$C$129)</f>
        <v/>
      </c>
      <c r="C691">
        <f>'FINANCIAL CREDITORS'!$U$129</f>
        <v/>
      </c>
      <c r="D691">
        <f>'FINANCIAL CREDITORS'!$AB$129</f>
        <v/>
      </c>
      <c r="E691">
        <f>'FINANCIAL CREDITORS'!$AF$129</f>
        <v/>
      </c>
      <c r="F691">
        <f>IF('FINANCIAL CREDITORS'!$V$129="","",'FINANCIAL CREDITORS'!$V$129)</f>
        <v/>
      </c>
      <c r="G691">
        <f>IF('FINANCIAL CREDITORS'!$D$129="","",'FINANCIAL CREDITORS'!$D$129)</f>
        <v/>
      </c>
      <c r="H691">
        <f>IF('FINANCIAL CREDITORS'!$G$129="","",'FINANCIAL CREDITORS'!$G$129)</f>
        <v/>
      </c>
      <c r="I691">
        <f>IF('FINANCIAL CREDITORS'!$AY$129="","",'FINANCIAL CREDITORS'!$AY$129)</f>
        <v/>
      </c>
      <c r="J691">
        <f>IF('FINANCIAL CREDITORS'!$BC$129="","",'FINANCIAL CREDITORS'!$BC$129)</f>
        <v/>
      </c>
      <c r="K691">
        <f>IF('FINANCIAL CREDITORS'!$N$129="","",'FINANCIAL CREDITORS'!$N$129)</f>
        <v/>
      </c>
      <c r="L691">
        <f>IF('FINANCIAL CREDITORS'!$AH$129="","",'FINANCIAL CREDITORS'!$AH$129)</f>
        <v/>
      </c>
      <c r="M691">
        <f>IF('FINANCIAL CREDITORS'!$AO$129="","",'FINANCIAL CREDITORS'!$AO$129)</f>
        <v/>
      </c>
      <c r="N691">
        <f>IF('FINANCIAL CREDITORS'!$BF$129="","",'FINANCIAL CREDITORS'!$BF$129)</f>
        <v/>
      </c>
      <c r="O691" t="inlineStr">
        <is>
          <t>FINANCIAL</t>
        </is>
      </c>
      <c r="P691" t="inlineStr">
        <is>
          <t>FINANCIAL CREDITORS · row 129</t>
        </is>
      </c>
      <c r="Q691">
        <f>E691+ROW()*0.000000001</f>
        <v/>
      </c>
    </row>
    <row r="692">
      <c r="A692">
        <f>IF('FINANCIAL CREDITORS'!$A$130="","",'FINANCIAL CREDITORS'!$A$130)</f>
        <v/>
      </c>
      <c r="B692">
        <f>IF('FINANCIAL CREDITORS'!$C$130="","",'FINANCIAL CREDITORS'!$C$130)</f>
        <v/>
      </c>
      <c r="C692">
        <f>'FINANCIAL CREDITORS'!$U$130</f>
        <v/>
      </c>
      <c r="D692">
        <f>'FINANCIAL CREDITORS'!$AB$130</f>
        <v/>
      </c>
      <c r="E692">
        <f>'FINANCIAL CREDITORS'!$AF$130</f>
        <v/>
      </c>
      <c r="F692">
        <f>IF('FINANCIAL CREDITORS'!$V$130="","",'FINANCIAL CREDITORS'!$V$130)</f>
        <v/>
      </c>
      <c r="G692">
        <f>IF('FINANCIAL CREDITORS'!$D$130="","",'FINANCIAL CREDITORS'!$D$130)</f>
        <v/>
      </c>
      <c r="H692">
        <f>IF('FINANCIAL CREDITORS'!$G$130="","",'FINANCIAL CREDITORS'!$G$130)</f>
        <v/>
      </c>
      <c r="I692">
        <f>IF('FINANCIAL CREDITORS'!$AY$130="","",'FINANCIAL CREDITORS'!$AY$130)</f>
        <v/>
      </c>
      <c r="J692">
        <f>IF('FINANCIAL CREDITORS'!$BC$130="","",'FINANCIAL CREDITORS'!$BC$130)</f>
        <v/>
      </c>
      <c r="K692">
        <f>IF('FINANCIAL CREDITORS'!$N$130="","",'FINANCIAL CREDITORS'!$N$130)</f>
        <v/>
      </c>
      <c r="L692">
        <f>IF('FINANCIAL CREDITORS'!$AH$130="","",'FINANCIAL CREDITORS'!$AH$130)</f>
        <v/>
      </c>
      <c r="M692">
        <f>IF('FINANCIAL CREDITORS'!$AO$130="","",'FINANCIAL CREDITORS'!$AO$130)</f>
        <v/>
      </c>
      <c r="N692">
        <f>IF('FINANCIAL CREDITORS'!$BF$130="","",'FINANCIAL CREDITORS'!$BF$130)</f>
        <v/>
      </c>
      <c r="O692" t="inlineStr">
        <is>
          <t>FINANCIAL</t>
        </is>
      </c>
      <c r="P692" t="inlineStr">
        <is>
          <t>FINANCIAL CREDITORS · row 130</t>
        </is>
      </c>
      <c r="Q692">
        <f>E692+ROW()*0.000000001</f>
        <v/>
      </c>
    </row>
    <row r="693">
      <c r="A693">
        <f>IF('FINANCIAL CREDITORS'!$A$131="","",'FINANCIAL CREDITORS'!$A$131)</f>
        <v/>
      </c>
      <c r="B693">
        <f>IF('FINANCIAL CREDITORS'!$C$131="","",'FINANCIAL CREDITORS'!$C$131)</f>
        <v/>
      </c>
      <c r="C693">
        <f>'FINANCIAL CREDITORS'!$U$131</f>
        <v/>
      </c>
      <c r="D693">
        <f>'FINANCIAL CREDITORS'!$AB$131</f>
        <v/>
      </c>
      <c r="E693">
        <f>'FINANCIAL CREDITORS'!$AF$131</f>
        <v/>
      </c>
      <c r="F693">
        <f>IF('FINANCIAL CREDITORS'!$V$131="","",'FINANCIAL CREDITORS'!$V$131)</f>
        <v/>
      </c>
      <c r="G693">
        <f>IF('FINANCIAL CREDITORS'!$D$131="","",'FINANCIAL CREDITORS'!$D$131)</f>
        <v/>
      </c>
      <c r="H693">
        <f>IF('FINANCIAL CREDITORS'!$G$131="","",'FINANCIAL CREDITORS'!$G$131)</f>
        <v/>
      </c>
      <c r="I693">
        <f>IF('FINANCIAL CREDITORS'!$AY$131="","",'FINANCIAL CREDITORS'!$AY$131)</f>
        <v/>
      </c>
      <c r="J693">
        <f>IF('FINANCIAL CREDITORS'!$BC$131="","",'FINANCIAL CREDITORS'!$BC$131)</f>
        <v/>
      </c>
      <c r="K693">
        <f>IF('FINANCIAL CREDITORS'!$N$131="","",'FINANCIAL CREDITORS'!$N$131)</f>
        <v/>
      </c>
      <c r="L693">
        <f>IF('FINANCIAL CREDITORS'!$AH$131="","",'FINANCIAL CREDITORS'!$AH$131)</f>
        <v/>
      </c>
      <c r="M693">
        <f>IF('FINANCIAL CREDITORS'!$AO$131="","",'FINANCIAL CREDITORS'!$AO$131)</f>
        <v/>
      </c>
      <c r="N693">
        <f>IF('FINANCIAL CREDITORS'!$BF$131="","",'FINANCIAL CREDITORS'!$BF$131)</f>
        <v/>
      </c>
      <c r="O693" t="inlineStr">
        <is>
          <t>FINANCIAL</t>
        </is>
      </c>
      <c r="P693" t="inlineStr">
        <is>
          <t>FINANCIAL CREDITORS · row 131</t>
        </is>
      </c>
      <c r="Q693">
        <f>E693+ROW()*0.000000001</f>
        <v/>
      </c>
    </row>
    <row r="694">
      <c r="A694">
        <f>IF('FINANCIAL CREDITORS'!$A$132="","",'FINANCIAL CREDITORS'!$A$132)</f>
        <v/>
      </c>
      <c r="B694">
        <f>IF('FINANCIAL CREDITORS'!$C$132="","",'FINANCIAL CREDITORS'!$C$132)</f>
        <v/>
      </c>
      <c r="C694">
        <f>'FINANCIAL CREDITORS'!$U$132</f>
        <v/>
      </c>
      <c r="D694">
        <f>'FINANCIAL CREDITORS'!$AB$132</f>
        <v/>
      </c>
      <c r="E694">
        <f>'FINANCIAL CREDITORS'!$AF$132</f>
        <v/>
      </c>
      <c r="F694">
        <f>IF('FINANCIAL CREDITORS'!$V$132="","",'FINANCIAL CREDITORS'!$V$132)</f>
        <v/>
      </c>
      <c r="G694">
        <f>IF('FINANCIAL CREDITORS'!$D$132="","",'FINANCIAL CREDITORS'!$D$132)</f>
        <v/>
      </c>
      <c r="H694">
        <f>IF('FINANCIAL CREDITORS'!$G$132="","",'FINANCIAL CREDITORS'!$G$132)</f>
        <v/>
      </c>
      <c r="I694">
        <f>IF('FINANCIAL CREDITORS'!$AY$132="","",'FINANCIAL CREDITORS'!$AY$132)</f>
        <v/>
      </c>
      <c r="J694">
        <f>IF('FINANCIAL CREDITORS'!$BC$132="","",'FINANCIAL CREDITORS'!$BC$132)</f>
        <v/>
      </c>
      <c r="K694">
        <f>IF('FINANCIAL CREDITORS'!$N$132="","",'FINANCIAL CREDITORS'!$N$132)</f>
        <v/>
      </c>
      <c r="L694">
        <f>IF('FINANCIAL CREDITORS'!$AH$132="","",'FINANCIAL CREDITORS'!$AH$132)</f>
        <v/>
      </c>
      <c r="M694">
        <f>IF('FINANCIAL CREDITORS'!$AO$132="","",'FINANCIAL CREDITORS'!$AO$132)</f>
        <v/>
      </c>
      <c r="N694">
        <f>IF('FINANCIAL CREDITORS'!$BF$132="","",'FINANCIAL CREDITORS'!$BF$132)</f>
        <v/>
      </c>
      <c r="O694" t="inlineStr">
        <is>
          <t>FINANCIAL</t>
        </is>
      </c>
      <c r="P694" t="inlineStr">
        <is>
          <t>FINANCIAL CREDITORS · row 132</t>
        </is>
      </c>
      <c r="Q694">
        <f>E694+ROW()*0.000000001</f>
        <v/>
      </c>
    </row>
    <row r="695">
      <c r="A695">
        <f>IF('FINANCIAL CREDITORS'!$A$133="","",'FINANCIAL CREDITORS'!$A$133)</f>
        <v/>
      </c>
      <c r="B695">
        <f>IF('FINANCIAL CREDITORS'!$C$133="","",'FINANCIAL CREDITORS'!$C$133)</f>
        <v/>
      </c>
      <c r="C695">
        <f>'FINANCIAL CREDITORS'!$U$133</f>
        <v/>
      </c>
      <c r="D695">
        <f>'FINANCIAL CREDITORS'!$AB$133</f>
        <v/>
      </c>
      <c r="E695">
        <f>'FINANCIAL CREDITORS'!$AF$133</f>
        <v/>
      </c>
      <c r="F695">
        <f>IF('FINANCIAL CREDITORS'!$V$133="","",'FINANCIAL CREDITORS'!$V$133)</f>
        <v/>
      </c>
      <c r="G695">
        <f>IF('FINANCIAL CREDITORS'!$D$133="","",'FINANCIAL CREDITORS'!$D$133)</f>
        <v/>
      </c>
      <c r="H695">
        <f>IF('FINANCIAL CREDITORS'!$G$133="","",'FINANCIAL CREDITORS'!$G$133)</f>
        <v/>
      </c>
      <c r="I695">
        <f>IF('FINANCIAL CREDITORS'!$AY$133="","",'FINANCIAL CREDITORS'!$AY$133)</f>
        <v/>
      </c>
      <c r="J695">
        <f>IF('FINANCIAL CREDITORS'!$BC$133="","",'FINANCIAL CREDITORS'!$BC$133)</f>
        <v/>
      </c>
      <c r="K695">
        <f>IF('FINANCIAL CREDITORS'!$N$133="","",'FINANCIAL CREDITORS'!$N$133)</f>
        <v/>
      </c>
      <c r="L695">
        <f>IF('FINANCIAL CREDITORS'!$AH$133="","",'FINANCIAL CREDITORS'!$AH$133)</f>
        <v/>
      </c>
      <c r="M695">
        <f>IF('FINANCIAL CREDITORS'!$AO$133="","",'FINANCIAL CREDITORS'!$AO$133)</f>
        <v/>
      </c>
      <c r="N695">
        <f>IF('FINANCIAL CREDITORS'!$BF$133="","",'FINANCIAL CREDITORS'!$BF$133)</f>
        <v/>
      </c>
      <c r="O695" t="inlineStr">
        <is>
          <t>FINANCIAL</t>
        </is>
      </c>
      <c r="P695" t="inlineStr">
        <is>
          <t>FINANCIAL CREDITORS · row 133</t>
        </is>
      </c>
      <c r="Q695">
        <f>E695+ROW()*0.000000001</f>
        <v/>
      </c>
    </row>
    <row r="696">
      <c r="A696">
        <f>IF('FINANCIAL CREDITORS'!$A$134="","",'FINANCIAL CREDITORS'!$A$134)</f>
        <v/>
      </c>
      <c r="B696">
        <f>IF('FINANCIAL CREDITORS'!$C$134="","",'FINANCIAL CREDITORS'!$C$134)</f>
        <v/>
      </c>
      <c r="C696">
        <f>'FINANCIAL CREDITORS'!$U$134</f>
        <v/>
      </c>
      <c r="D696">
        <f>'FINANCIAL CREDITORS'!$AB$134</f>
        <v/>
      </c>
      <c r="E696">
        <f>'FINANCIAL CREDITORS'!$AF$134</f>
        <v/>
      </c>
      <c r="F696">
        <f>IF('FINANCIAL CREDITORS'!$V$134="","",'FINANCIAL CREDITORS'!$V$134)</f>
        <v/>
      </c>
      <c r="G696">
        <f>IF('FINANCIAL CREDITORS'!$D$134="","",'FINANCIAL CREDITORS'!$D$134)</f>
        <v/>
      </c>
      <c r="H696">
        <f>IF('FINANCIAL CREDITORS'!$G$134="","",'FINANCIAL CREDITORS'!$G$134)</f>
        <v/>
      </c>
      <c r="I696">
        <f>IF('FINANCIAL CREDITORS'!$AY$134="","",'FINANCIAL CREDITORS'!$AY$134)</f>
        <v/>
      </c>
      <c r="J696">
        <f>IF('FINANCIAL CREDITORS'!$BC$134="","",'FINANCIAL CREDITORS'!$BC$134)</f>
        <v/>
      </c>
      <c r="K696">
        <f>IF('FINANCIAL CREDITORS'!$N$134="","",'FINANCIAL CREDITORS'!$N$134)</f>
        <v/>
      </c>
      <c r="L696">
        <f>IF('FINANCIAL CREDITORS'!$AH$134="","",'FINANCIAL CREDITORS'!$AH$134)</f>
        <v/>
      </c>
      <c r="M696">
        <f>IF('FINANCIAL CREDITORS'!$AO$134="","",'FINANCIAL CREDITORS'!$AO$134)</f>
        <v/>
      </c>
      <c r="N696">
        <f>IF('FINANCIAL CREDITORS'!$BF$134="","",'FINANCIAL CREDITORS'!$BF$134)</f>
        <v/>
      </c>
      <c r="O696" t="inlineStr">
        <is>
          <t>FINANCIAL</t>
        </is>
      </c>
      <c r="P696" t="inlineStr">
        <is>
          <t>FINANCIAL CREDITORS · row 134</t>
        </is>
      </c>
      <c r="Q696">
        <f>E696+ROW()*0.000000001</f>
        <v/>
      </c>
    </row>
    <row r="697">
      <c r="A697">
        <f>IF('FINANCIAL CREDITORS'!$A$135="","",'FINANCIAL CREDITORS'!$A$135)</f>
        <v/>
      </c>
      <c r="B697">
        <f>IF('FINANCIAL CREDITORS'!$C$135="","",'FINANCIAL CREDITORS'!$C$135)</f>
        <v/>
      </c>
      <c r="C697">
        <f>'FINANCIAL CREDITORS'!$U$135</f>
        <v/>
      </c>
      <c r="D697">
        <f>'FINANCIAL CREDITORS'!$AB$135</f>
        <v/>
      </c>
      <c r="E697">
        <f>'FINANCIAL CREDITORS'!$AF$135</f>
        <v/>
      </c>
      <c r="F697">
        <f>IF('FINANCIAL CREDITORS'!$V$135="","",'FINANCIAL CREDITORS'!$V$135)</f>
        <v/>
      </c>
      <c r="G697">
        <f>IF('FINANCIAL CREDITORS'!$D$135="","",'FINANCIAL CREDITORS'!$D$135)</f>
        <v/>
      </c>
      <c r="H697">
        <f>IF('FINANCIAL CREDITORS'!$G$135="","",'FINANCIAL CREDITORS'!$G$135)</f>
        <v/>
      </c>
      <c r="I697">
        <f>IF('FINANCIAL CREDITORS'!$AY$135="","",'FINANCIAL CREDITORS'!$AY$135)</f>
        <v/>
      </c>
      <c r="J697">
        <f>IF('FINANCIAL CREDITORS'!$BC$135="","",'FINANCIAL CREDITORS'!$BC$135)</f>
        <v/>
      </c>
      <c r="K697">
        <f>IF('FINANCIAL CREDITORS'!$N$135="","",'FINANCIAL CREDITORS'!$N$135)</f>
        <v/>
      </c>
      <c r="L697">
        <f>IF('FINANCIAL CREDITORS'!$AH$135="","",'FINANCIAL CREDITORS'!$AH$135)</f>
        <v/>
      </c>
      <c r="M697">
        <f>IF('FINANCIAL CREDITORS'!$AO$135="","",'FINANCIAL CREDITORS'!$AO$135)</f>
        <v/>
      </c>
      <c r="N697">
        <f>IF('FINANCIAL CREDITORS'!$BF$135="","",'FINANCIAL CREDITORS'!$BF$135)</f>
        <v/>
      </c>
      <c r="O697" t="inlineStr">
        <is>
          <t>FINANCIAL</t>
        </is>
      </c>
      <c r="P697" t="inlineStr">
        <is>
          <t>FINANCIAL CREDITORS · row 135</t>
        </is>
      </c>
      <c r="Q697">
        <f>E697+ROW()*0.000000001</f>
        <v/>
      </c>
    </row>
    <row r="698">
      <c r="A698">
        <f>IF('FINANCIAL CREDITORS'!$A$136="","",'FINANCIAL CREDITORS'!$A$136)</f>
        <v/>
      </c>
      <c r="B698">
        <f>IF('FINANCIAL CREDITORS'!$C$136="","",'FINANCIAL CREDITORS'!$C$136)</f>
        <v/>
      </c>
      <c r="C698">
        <f>'FINANCIAL CREDITORS'!$U$136</f>
        <v/>
      </c>
      <c r="D698">
        <f>'FINANCIAL CREDITORS'!$AB$136</f>
        <v/>
      </c>
      <c r="E698">
        <f>'FINANCIAL CREDITORS'!$AF$136</f>
        <v/>
      </c>
      <c r="F698">
        <f>IF('FINANCIAL CREDITORS'!$V$136="","",'FINANCIAL CREDITORS'!$V$136)</f>
        <v/>
      </c>
      <c r="G698">
        <f>IF('FINANCIAL CREDITORS'!$D$136="","",'FINANCIAL CREDITORS'!$D$136)</f>
        <v/>
      </c>
      <c r="H698">
        <f>IF('FINANCIAL CREDITORS'!$G$136="","",'FINANCIAL CREDITORS'!$G$136)</f>
        <v/>
      </c>
      <c r="I698">
        <f>IF('FINANCIAL CREDITORS'!$AY$136="","",'FINANCIAL CREDITORS'!$AY$136)</f>
        <v/>
      </c>
      <c r="J698">
        <f>IF('FINANCIAL CREDITORS'!$BC$136="","",'FINANCIAL CREDITORS'!$BC$136)</f>
        <v/>
      </c>
      <c r="K698">
        <f>IF('FINANCIAL CREDITORS'!$N$136="","",'FINANCIAL CREDITORS'!$N$136)</f>
        <v/>
      </c>
      <c r="L698">
        <f>IF('FINANCIAL CREDITORS'!$AH$136="","",'FINANCIAL CREDITORS'!$AH$136)</f>
        <v/>
      </c>
      <c r="M698">
        <f>IF('FINANCIAL CREDITORS'!$AO$136="","",'FINANCIAL CREDITORS'!$AO$136)</f>
        <v/>
      </c>
      <c r="N698">
        <f>IF('FINANCIAL CREDITORS'!$BF$136="","",'FINANCIAL CREDITORS'!$BF$136)</f>
        <v/>
      </c>
      <c r="O698" t="inlineStr">
        <is>
          <t>FINANCIAL</t>
        </is>
      </c>
      <c r="P698" t="inlineStr">
        <is>
          <t>FINANCIAL CREDITORS · row 136</t>
        </is>
      </c>
      <c r="Q698">
        <f>E698+ROW()*0.000000001</f>
        <v/>
      </c>
    </row>
    <row r="699">
      <c r="A699">
        <f>IF('FINANCIAL CREDITORS'!$A$137="","",'FINANCIAL CREDITORS'!$A$137)</f>
        <v/>
      </c>
      <c r="B699">
        <f>IF('FINANCIAL CREDITORS'!$C$137="","",'FINANCIAL CREDITORS'!$C$137)</f>
        <v/>
      </c>
      <c r="C699">
        <f>'FINANCIAL CREDITORS'!$U$137</f>
        <v/>
      </c>
      <c r="D699">
        <f>'FINANCIAL CREDITORS'!$AB$137</f>
        <v/>
      </c>
      <c r="E699">
        <f>'FINANCIAL CREDITORS'!$AF$137</f>
        <v/>
      </c>
      <c r="F699">
        <f>IF('FINANCIAL CREDITORS'!$V$137="","",'FINANCIAL CREDITORS'!$V$137)</f>
        <v/>
      </c>
      <c r="G699">
        <f>IF('FINANCIAL CREDITORS'!$D$137="","",'FINANCIAL CREDITORS'!$D$137)</f>
        <v/>
      </c>
      <c r="H699">
        <f>IF('FINANCIAL CREDITORS'!$G$137="","",'FINANCIAL CREDITORS'!$G$137)</f>
        <v/>
      </c>
      <c r="I699">
        <f>IF('FINANCIAL CREDITORS'!$AY$137="","",'FINANCIAL CREDITORS'!$AY$137)</f>
        <v/>
      </c>
      <c r="J699">
        <f>IF('FINANCIAL CREDITORS'!$BC$137="","",'FINANCIAL CREDITORS'!$BC$137)</f>
        <v/>
      </c>
      <c r="K699">
        <f>IF('FINANCIAL CREDITORS'!$N$137="","",'FINANCIAL CREDITORS'!$N$137)</f>
        <v/>
      </c>
      <c r="L699">
        <f>IF('FINANCIAL CREDITORS'!$AH$137="","",'FINANCIAL CREDITORS'!$AH$137)</f>
        <v/>
      </c>
      <c r="M699">
        <f>IF('FINANCIAL CREDITORS'!$AO$137="","",'FINANCIAL CREDITORS'!$AO$137)</f>
        <v/>
      </c>
      <c r="N699">
        <f>IF('FINANCIAL CREDITORS'!$BF$137="","",'FINANCIAL CREDITORS'!$BF$137)</f>
        <v/>
      </c>
      <c r="O699" t="inlineStr">
        <is>
          <t>FINANCIAL</t>
        </is>
      </c>
      <c r="P699" t="inlineStr">
        <is>
          <t>FINANCIAL CREDITORS · row 137</t>
        </is>
      </c>
      <c r="Q699">
        <f>E699+ROW()*0.000000001</f>
        <v/>
      </c>
    </row>
    <row r="700">
      <c r="A700">
        <f>IF('FINANCIAL CREDITORS'!$A$138="","",'FINANCIAL CREDITORS'!$A$138)</f>
        <v/>
      </c>
      <c r="B700">
        <f>IF('FINANCIAL CREDITORS'!$C$138="","",'FINANCIAL CREDITORS'!$C$138)</f>
        <v/>
      </c>
      <c r="C700">
        <f>'FINANCIAL CREDITORS'!$U$138</f>
        <v/>
      </c>
      <c r="D700">
        <f>'FINANCIAL CREDITORS'!$AB$138</f>
        <v/>
      </c>
      <c r="E700">
        <f>'FINANCIAL CREDITORS'!$AF$138</f>
        <v/>
      </c>
      <c r="F700">
        <f>IF('FINANCIAL CREDITORS'!$V$138="","",'FINANCIAL CREDITORS'!$V$138)</f>
        <v/>
      </c>
      <c r="G700">
        <f>IF('FINANCIAL CREDITORS'!$D$138="","",'FINANCIAL CREDITORS'!$D$138)</f>
        <v/>
      </c>
      <c r="H700">
        <f>IF('FINANCIAL CREDITORS'!$G$138="","",'FINANCIAL CREDITORS'!$G$138)</f>
        <v/>
      </c>
      <c r="I700">
        <f>IF('FINANCIAL CREDITORS'!$AY$138="","",'FINANCIAL CREDITORS'!$AY$138)</f>
        <v/>
      </c>
      <c r="J700">
        <f>IF('FINANCIAL CREDITORS'!$BC$138="","",'FINANCIAL CREDITORS'!$BC$138)</f>
        <v/>
      </c>
      <c r="K700">
        <f>IF('FINANCIAL CREDITORS'!$N$138="","",'FINANCIAL CREDITORS'!$N$138)</f>
        <v/>
      </c>
      <c r="L700">
        <f>IF('FINANCIAL CREDITORS'!$AH$138="","",'FINANCIAL CREDITORS'!$AH$138)</f>
        <v/>
      </c>
      <c r="M700">
        <f>IF('FINANCIAL CREDITORS'!$AO$138="","",'FINANCIAL CREDITORS'!$AO$138)</f>
        <v/>
      </c>
      <c r="N700">
        <f>IF('FINANCIAL CREDITORS'!$BF$138="","",'FINANCIAL CREDITORS'!$BF$138)</f>
        <v/>
      </c>
      <c r="O700" t="inlineStr">
        <is>
          <t>FINANCIAL</t>
        </is>
      </c>
      <c r="P700" t="inlineStr">
        <is>
          <t>FINANCIAL CREDITORS · row 138</t>
        </is>
      </c>
      <c r="Q700">
        <f>E700+ROW()*0.000000001</f>
        <v/>
      </c>
    </row>
    <row r="701">
      <c r="A701">
        <f>IF('FINANCIAL CREDITORS'!$A$139="","",'FINANCIAL CREDITORS'!$A$139)</f>
        <v/>
      </c>
      <c r="B701">
        <f>IF('FINANCIAL CREDITORS'!$C$139="","",'FINANCIAL CREDITORS'!$C$139)</f>
        <v/>
      </c>
      <c r="C701">
        <f>'FINANCIAL CREDITORS'!$U$139</f>
        <v/>
      </c>
      <c r="D701">
        <f>'FINANCIAL CREDITORS'!$AB$139</f>
        <v/>
      </c>
      <c r="E701">
        <f>'FINANCIAL CREDITORS'!$AF$139</f>
        <v/>
      </c>
      <c r="F701">
        <f>IF('FINANCIAL CREDITORS'!$V$139="","",'FINANCIAL CREDITORS'!$V$139)</f>
        <v/>
      </c>
      <c r="G701">
        <f>IF('FINANCIAL CREDITORS'!$D$139="","",'FINANCIAL CREDITORS'!$D$139)</f>
        <v/>
      </c>
      <c r="H701">
        <f>IF('FINANCIAL CREDITORS'!$G$139="","",'FINANCIAL CREDITORS'!$G$139)</f>
        <v/>
      </c>
      <c r="I701">
        <f>IF('FINANCIAL CREDITORS'!$AY$139="","",'FINANCIAL CREDITORS'!$AY$139)</f>
        <v/>
      </c>
      <c r="J701">
        <f>IF('FINANCIAL CREDITORS'!$BC$139="","",'FINANCIAL CREDITORS'!$BC$139)</f>
        <v/>
      </c>
      <c r="K701">
        <f>IF('FINANCIAL CREDITORS'!$N$139="","",'FINANCIAL CREDITORS'!$N$139)</f>
        <v/>
      </c>
      <c r="L701">
        <f>IF('FINANCIAL CREDITORS'!$AH$139="","",'FINANCIAL CREDITORS'!$AH$139)</f>
        <v/>
      </c>
      <c r="M701">
        <f>IF('FINANCIAL CREDITORS'!$AO$139="","",'FINANCIAL CREDITORS'!$AO$139)</f>
        <v/>
      </c>
      <c r="N701">
        <f>IF('FINANCIAL CREDITORS'!$BF$139="","",'FINANCIAL CREDITORS'!$BF$139)</f>
        <v/>
      </c>
      <c r="O701" t="inlineStr">
        <is>
          <t>FINANCIAL</t>
        </is>
      </c>
      <c r="P701" t="inlineStr">
        <is>
          <t>FINANCIAL CREDITORS · row 139</t>
        </is>
      </c>
      <c r="Q701">
        <f>E701+ROW()*0.000000001</f>
        <v/>
      </c>
    </row>
    <row r="702">
      <c r="A702">
        <f>IF('FINANCIAL CREDITORS'!$A$140="","",'FINANCIAL CREDITORS'!$A$140)</f>
        <v/>
      </c>
      <c r="B702">
        <f>IF('FINANCIAL CREDITORS'!$C$140="","",'FINANCIAL CREDITORS'!$C$140)</f>
        <v/>
      </c>
      <c r="C702">
        <f>'FINANCIAL CREDITORS'!$U$140</f>
        <v/>
      </c>
      <c r="D702">
        <f>'FINANCIAL CREDITORS'!$AB$140</f>
        <v/>
      </c>
      <c r="E702">
        <f>'FINANCIAL CREDITORS'!$AF$140</f>
        <v/>
      </c>
      <c r="F702">
        <f>IF('FINANCIAL CREDITORS'!$V$140="","",'FINANCIAL CREDITORS'!$V$140)</f>
        <v/>
      </c>
      <c r="G702">
        <f>IF('FINANCIAL CREDITORS'!$D$140="","",'FINANCIAL CREDITORS'!$D$140)</f>
        <v/>
      </c>
      <c r="H702">
        <f>IF('FINANCIAL CREDITORS'!$G$140="","",'FINANCIAL CREDITORS'!$G$140)</f>
        <v/>
      </c>
      <c r="I702">
        <f>IF('FINANCIAL CREDITORS'!$AY$140="","",'FINANCIAL CREDITORS'!$AY$140)</f>
        <v/>
      </c>
      <c r="J702">
        <f>IF('FINANCIAL CREDITORS'!$BC$140="","",'FINANCIAL CREDITORS'!$BC$140)</f>
        <v/>
      </c>
      <c r="K702">
        <f>IF('FINANCIAL CREDITORS'!$N$140="","",'FINANCIAL CREDITORS'!$N$140)</f>
        <v/>
      </c>
      <c r="L702">
        <f>IF('FINANCIAL CREDITORS'!$AH$140="","",'FINANCIAL CREDITORS'!$AH$140)</f>
        <v/>
      </c>
      <c r="M702">
        <f>IF('FINANCIAL CREDITORS'!$AO$140="","",'FINANCIAL CREDITORS'!$AO$140)</f>
        <v/>
      </c>
      <c r="N702">
        <f>IF('FINANCIAL CREDITORS'!$BF$140="","",'FINANCIAL CREDITORS'!$BF$140)</f>
        <v/>
      </c>
      <c r="O702" t="inlineStr">
        <is>
          <t>FINANCIAL</t>
        </is>
      </c>
      <c r="P702" t="inlineStr">
        <is>
          <t>FINANCIAL CREDITORS · row 140</t>
        </is>
      </c>
      <c r="Q702">
        <f>E702+ROW()*0.000000001</f>
        <v/>
      </c>
    </row>
    <row r="703">
      <c r="A703">
        <f>IF('FINANCIAL CREDITORS'!$A$141="","",'FINANCIAL CREDITORS'!$A$141)</f>
        <v/>
      </c>
      <c r="B703">
        <f>IF('FINANCIAL CREDITORS'!$C$141="","",'FINANCIAL CREDITORS'!$C$141)</f>
        <v/>
      </c>
      <c r="C703">
        <f>'FINANCIAL CREDITORS'!$U$141</f>
        <v/>
      </c>
      <c r="D703">
        <f>'FINANCIAL CREDITORS'!$AB$141</f>
        <v/>
      </c>
      <c r="E703">
        <f>'FINANCIAL CREDITORS'!$AF$141</f>
        <v/>
      </c>
      <c r="F703">
        <f>IF('FINANCIAL CREDITORS'!$V$141="","",'FINANCIAL CREDITORS'!$V$141)</f>
        <v/>
      </c>
      <c r="G703">
        <f>IF('FINANCIAL CREDITORS'!$D$141="","",'FINANCIAL CREDITORS'!$D$141)</f>
        <v/>
      </c>
      <c r="H703">
        <f>IF('FINANCIAL CREDITORS'!$G$141="","",'FINANCIAL CREDITORS'!$G$141)</f>
        <v/>
      </c>
      <c r="I703">
        <f>IF('FINANCIAL CREDITORS'!$AY$141="","",'FINANCIAL CREDITORS'!$AY$141)</f>
        <v/>
      </c>
      <c r="J703">
        <f>IF('FINANCIAL CREDITORS'!$BC$141="","",'FINANCIAL CREDITORS'!$BC$141)</f>
        <v/>
      </c>
      <c r="K703">
        <f>IF('FINANCIAL CREDITORS'!$N$141="","",'FINANCIAL CREDITORS'!$N$141)</f>
        <v/>
      </c>
      <c r="L703">
        <f>IF('FINANCIAL CREDITORS'!$AH$141="","",'FINANCIAL CREDITORS'!$AH$141)</f>
        <v/>
      </c>
      <c r="M703">
        <f>IF('FINANCIAL CREDITORS'!$AO$141="","",'FINANCIAL CREDITORS'!$AO$141)</f>
        <v/>
      </c>
      <c r="N703">
        <f>IF('FINANCIAL CREDITORS'!$BF$141="","",'FINANCIAL CREDITORS'!$BF$141)</f>
        <v/>
      </c>
      <c r="O703" t="inlineStr">
        <is>
          <t>FINANCIAL</t>
        </is>
      </c>
      <c r="P703" t="inlineStr">
        <is>
          <t>FINANCIAL CREDITORS · row 141</t>
        </is>
      </c>
      <c r="Q703">
        <f>E703+ROW()*0.000000001</f>
        <v/>
      </c>
    </row>
    <row r="704">
      <c r="A704">
        <f>IF('FINANCIAL CREDITORS'!$A$142="","",'FINANCIAL CREDITORS'!$A$142)</f>
        <v/>
      </c>
      <c r="B704">
        <f>IF('FINANCIAL CREDITORS'!$C$142="","",'FINANCIAL CREDITORS'!$C$142)</f>
        <v/>
      </c>
      <c r="C704">
        <f>'FINANCIAL CREDITORS'!$U$142</f>
        <v/>
      </c>
      <c r="D704">
        <f>'FINANCIAL CREDITORS'!$AB$142</f>
        <v/>
      </c>
      <c r="E704">
        <f>'FINANCIAL CREDITORS'!$AF$142</f>
        <v/>
      </c>
      <c r="F704">
        <f>IF('FINANCIAL CREDITORS'!$V$142="","",'FINANCIAL CREDITORS'!$V$142)</f>
        <v/>
      </c>
      <c r="G704">
        <f>IF('FINANCIAL CREDITORS'!$D$142="","",'FINANCIAL CREDITORS'!$D$142)</f>
        <v/>
      </c>
      <c r="H704">
        <f>IF('FINANCIAL CREDITORS'!$G$142="","",'FINANCIAL CREDITORS'!$G$142)</f>
        <v/>
      </c>
      <c r="I704">
        <f>IF('FINANCIAL CREDITORS'!$AY$142="","",'FINANCIAL CREDITORS'!$AY$142)</f>
        <v/>
      </c>
      <c r="J704">
        <f>IF('FINANCIAL CREDITORS'!$BC$142="","",'FINANCIAL CREDITORS'!$BC$142)</f>
        <v/>
      </c>
      <c r="K704">
        <f>IF('FINANCIAL CREDITORS'!$N$142="","",'FINANCIAL CREDITORS'!$N$142)</f>
        <v/>
      </c>
      <c r="L704">
        <f>IF('FINANCIAL CREDITORS'!$AH$142="","",'FINANCIAL CREDITORS'!$AH$142)</f>
        <v/>
      </c>
      <c r="M704">
        <f>IF('FINANCIAL CREDITORS'!$AO$142="","",'FINANCIAL CREDITORS'!$AO$142)</f>
        <v/>
      </c>
      <c r="N704">
        <f>IF('FINANCIAL CREDITORS'!$BF$142="","",'FINANCIAL CREDITORS'!$BF$142)</f>
        <v/>
      </c>
      <c r="O704" t="inlineStr">
        <is>
          <t>FINANCIAL</t>
        </is>
      </c>
      <c r="P704" t="inlineStr">
        <is>
          <t>FINANCIAL CREDITORS · row 142</t>
        </is>
      </c>
      <c r="Q704">
        <f>E704+ROW()*0.000000001</f>
        <v/>
      </c>
    </row>
    <row r="705">
      <c r="A705">
        <f>IF('FINANCIAL CREDITORS'!$A$143="","",'FINANCIAL CREDITORS'!$A$143)</f>
        <v/>
      </c>
      <c r="B705">
        <f>IF('FINANCIAL CREDITORS'!$C$143="","",'FINANCIAL CREDITORS'!$C$143)</f>
        <v/>
      </c>
      <c r="C705">
        <f>'FINANCIAL CREDITORS'!$U$143</f>
        <v/>
      </c>
      <c r="D705">
        <f>'FINANCIAL CREDITORS'!$AB$143</f>
        <v/>
      </c>
      <c r="E705">
        <f>'FINANCIAL CREDITORS'!$AF$143</f>
        <v/>
      </c>
      <c r="F705">
        <f>IF('FINANCIAL CREDITORS'!$V$143="","",'FINANCIAL CREDITORS'!$V$143)</f>
        <v/>
      </c>
      <c r="G705">
        <f>IF('FINANCIAL CREDITORS'!$D$143="","",'FINANCIAL CREDITORS'!$D$143)</f>
        <v/>
      </c>
      <c r="H705">
        <f>IF('FINANCIAL CREDITORS'!$G$143="","",'FINANCIAL CREDITORS'!$G$143)</f>
        <v/>
      </c>
      <c r="I705">
        <f>IF('FINANCIAL CREDITORS'!$AY$143="","",'FINANCIAL CREDITORS'!$AY$143)</f>
        <v/>
      </c>
      <c r="J705">
        <f>IF('FINANCIAL CREDITORS'!$BC$143="","",'FINANCIAL CREDITORS'!$BC$143)</f>
        <v/>
      </c>
      <c r="K705">
        <f>IF('FINANCIAL CREDITORS'!$N$143="","",'FINANCIAL CREDITORS'!$N$143)</f>
        <v/>
      </c>
      <c r="L705">
        <f>IF('FINANCIAL CREDITORS'!$AH$143="","",'FINANCIAL CREDITORS'!$AH$143)</f>
        <v/>
      </c>
      <c r="M705">
        <f>IF('FINANCIAL CREDITORS'!$AO$143="","",'FINANCIAL CREDITORS'!$AO$143)</f>
        <v/>
      </c>
      <c r="N705">
        <f>IF('FINANCIAL CREDITORS'!$BF$143="","",'FINANCIAL CREDITORS'!$BF$143)</f>
        <v/>
      </c>
      <c r="O705" t="inlineStr">
        <is>
          <t>FINANCIAL</t>
        </is>
      </c>
      <c r="P705" t="inlineStr">
        <is>
          <t>FINANCIAL CREDITORS · row 143</t>
        </is>
      </c>
      <c r="Q705">
        <f>E705+ROW()*0.000000001</f>
        <v/>
      </c>
    </row>
    <row r="706">
      <c r="A706">
        <f>IF('FINANCIAL CREDITORS'!$A$144="","",'FINANCIAL CREDITORS'!$A$144)</f>
        <v/>
      </c>
      <c r="B706">
        <f>IF('FINANCIAL CREDITORS'!$C$144="","",'FINANCIAL CREDITORS'!$C$144)</f>
        <v/>
      </c>
      <c r="C706">
        <f>'FINANCIAL CREDITORS'!$U$144</f>
        <v/>
      </c>
      <c r="D706">
        <f>'FINANCIAL CREDITORS'!$AB$144</f>
        <v/>
      </c>
      <c r="E706">
        <f>'FINANCIAL CREDITORS'!$AF$144</f>
        <v/>
      </c>
      <c r="F706">
        <f>IF('FINANCIAL CREDITORS'!$V$144="","",'FINANCIAL CREDITORS'!$V$144)</f>
        <v/>
      </c>
      <c r="G706">
        <f>IF('FINANCIAL CREDITORS'!$D$144="","",'FINANCIAL CREDITORS'!$D$144)</f>
        <v/>
      </c>
      <c r="H706">
        <f>IF('FINANCIAL CREDITORS'!$G$144="","",'FINANCIAL CREDITORS'!$G$144)</f>
        <v/>
      </c>
      <c r="I706">
        <f>IF('FINANCIAL CREDITORS'!$AY$144="","",'FINANCIAL CREDITORS'!$AY$144)</f>
        <v/>
      </c>
      <c r="J706">
        <f>IF('FINANCIAL CREDITORS'!$BC$144="","",'FINANCIAL CREDITORS'!$BC$144)</f>
        <v/>
      </c>
      <c r="K706">
        <f>IF('FINANCIAL CREDITORS'!$N$144="","",'FINANCIAL CREDITORS'!$N$144)</f>
        <v/>
      </c>
      <c r="L706">
        <f>IF('FINANCIAL CREDITORS'!$AH$144="","",'FINANCIAL CREDITORS'!$AH$144)</f>
        <v/>
      </c>
      <c r="M706">
        <f>IF('FINANCIAL CREDITORS'!$AO$144="","",'FINANCIAL CREDITORS'!$AO$144)</f>
        <v/>
      </c>
      <c r="N706">
        <f>IF('FINANCIAL CREDITORS'!$BF$144="","",'FINANCIAL CREDITORS'!$BF$144)</f>
        <v/>
      </c>
      <c r="O706" t="inlineStr">
        <is>
          <t>FINANCIAL</t>
        </is>
      </c>
      <c r="P706" t="inlineStr">
        <is>
          <t>FINANCIAL CREDITORS · row 144</t>
        </is>
      </c>
      <c r="Q706">
        <f>E706+ROW()*0.000000001</f>
        <v/>
      </c>
    </row>
    <row r="707">
      <c r="A707">
        <f>IF('FINANCIAL CREDITORS'!$A$145="","",'FINANCIAL CREDITORS'!$A$145)</f>
        <v/>
      </c>
      <c r="B707">
        <f>IF('FINANCIAL CREDITORS'!$C$145="","",'FINANCIAL CREDITORS'!$C$145)</f>
        <v/>
      </c>
      <c r="C707">
        <f>'FINANCIAL CREDITORS'!$U$145</f>
        <v/>
      </c>
      <c r="D707">
        <f>'FINANCIAL CREDITORS'!$AB$145</f>
        <v/>
      </c>
      <c r="E707">
        <f>'FINANCIAL CREDITORS'!$AF$145</f>
        <v/>
      </c>
      <c r="F707">
        <f>IF('FINANCIAL CREDITORS'!$V$145="","",'FINANCIAL CREDITORS'!$V$145)</f>
        <v/>
      </c>
      <c r="G707">
        <f>IF('FINANCIAL CREDITORS'!$D$145="","",'FINANCIAL CREDITORS'!$D$145)</f>
        <v/>
      </c>
      <c r="H707">
        <f>IF('FINANCIAL CREDITORS'!$G$145="","",'FINANCIAL CREDITORS'!$G$145)</f>
        <v/>
      </c>
      <c r="I707">
        <f>IF('FINANCIAL CREDITORS'!$AY$145="","",'FINANCIAL CREDITORS'!$AY$145)</f>
        <v/>
      </c>
      <c r="J707">
        <f>IF('FINANCIAL CREDITORS'!$BC$145="","",'FINANCIAL CREDITORS'!$BC$145)</f>
        <v/>
      </c>
      <c r="K707">
        <f>IF('FINANCIAL CREDITORS'!$N$145="","",'FINANCIAL CREDITORS'!$N$145)</f>
        <v/>
      </c>
      <c r="L707">
        <f>IF('FINANCIAL CREDITORS'!$AH$145="","",'FINANCIAL CREDITORS'!$AH$145)</f>
        <v/>
      </c>
      <c r="M707">
        <f>IF('FINANCIAL CREDITORS'!$AO$145="","",'FINANCIAL CREDITORS'!$AO$145)</f>
        <v/>
      </c>
      <c r="N707">
        <f>IF('FINANCIAL CREDITORS'!$BF$145="","",'FINANCIAL CREDITORS'!$BF$145)</f>
        <v/>
      </c>
      <c r="O707" t="inlineStr">
        <is>
          <t>FINANCIAL</t>
        </is>
      </c>
      <c r="P707" t="inlineStr">
        <is>
          <t>FINANCIAL CREDITORS · row 145</t>
        </is>
      </c>
      <c r="Q707">
        <f>E707+ROW()*0.000000001</f>
        <v/>
      </c>
    </row>
    <row r="708">
      <c r="A708">
        <f>IF('FINANCIAL CREDITORS'!$A$146="","",'FINANCIAL CREDITORS'!$A$146)</f>
        <v/>
      </c>
      <c r="B708">
        <f>IF('FINANCIAL CREDITORS'!$C$146="","",'FINANCIAL CREDITORS'!$C$146)</f>
        <v/>
      </c>
      <c r="C708">
        <f>'FINANCIAL CREDITORS'!$U$146</f>
        <v/>
      </c>
      <c r="D708">
        <f>'FINANCIAL CREDITORS'!$AB$146</f>
        <v/>
      </c>
      <c r="E708">
        <f>'FINANCIAL CREDITORS'!$AF$146</f>
        <v/>
      </c>
      <c r="F708">
        <f>IF('FINANCIAL CREDITORS'!$V$146="","",'FINANCIAL CREDITORS'!$V$146)</f>
        <v/>
      </c>
      <c r="G708">
        <f>IF('FINANCIAL CREDITORS'!$D$146="","",'FINANCIAL CREDITORS'!$D$146)</f>
        <v/>
      </c>
      <c r="H708">
        <f>IF('FINANCIAL CREDITORS'!$G$146="","",'FINANCIAL CREDITORS'!$G$146)</f>
        <v/>
      </c>
      <c r="I708">
        <f>IF('FINANCIAL CREDITORS'!$AY$146="","",'FINANCIAL CREDITORS'!$AY$146)</f>
        <v/>
      </c>
      <c r="J708">
        <f>IF('FINANCIAL CREDITORS'!$BC$146="","",'FINANCIAL CREDITORS'!$BC$146)</f>
        <v/>
      </c>
      <c r="K708">
        <f>IF('FINANCIAL CREDITORS'!$N$146="","",'FINANCIAL CREDITORS'!$N$146)</f>
        <v/>
      </c>
      <c r="L708">
        <f>IF('FINANCIAL CREDITORS'!$AH$146="","",'FINANCIAL CREDITORS'!$AH$146)</f>
        <v/>
      </c>
      <c r="M708">
        <f>IF('FINANCIAL CREDITORS'!$AO$146="","",'FINANCIAL CREDITORS'!$AO$146)</f>
        <v/>
      </c>
      <c r="N708">
        <f>IF('FINANCIAL CREDITORS'!$BF$146="","",'FINANCIAL CREDITORS'!$BF$146)</f>
        <v/>
      </c>
      <c r="O708" t="inlineStr">
        <is>
          <t>FINANCIAL</t>
        </is>
      </c>
      <c r="P708" t="inlineStr">
        <is>
          <t>FINANCIAL CREDITORS · row 146</t>
        </is>
      </c>
      <c r="Q708">
        <f>E708+ROW()*0.000000001</f>
        <v/>
      </c>
    </row>
    <row r="709">
      <c r="A709">
        <f>IF('FINANCIAL CREDITORS'!$A$147="","",'FINANCIAL CREDITORS'!$A$147)</f>
        <v/>
      </c>
      <c r="B709">
        <f>IF('FINANCIAL CREDITORS'!$C$147="","",'FINANCIAL CREDITORS'!$C$147)</f>
        <v/>
      </c>
      <c r="C709">
        <f>'FINANCIAL CREDITORS'!$U$147</f>
        <v/>
      </c>
      <c r="D709">
        <f>'FINANCIAL CREDITORS'!$AB$147</f>
        <v/>
      </c>
      <c r="E709">
        <f>'FINANCIAL CREDITORS'!$AF$147</f>
        <v/>
      </c>
      <c r="F709">
        <f>IF('FINANCIAL CREDITORS'!$V$147="","",'FINANCIAL CREDITORS'!$V$147)</f>
        <v/>
      </c>
      <c r="G709">
        <f>IF('FINANCIAL CREDITORS'!$D$147="","",'FINANCIAL CREDITORS'!$D$147)</f>
        <v/>
      </c>
      <c r="H709">
        <f>IF('FINANCIAL CREDITORS'!$G$147="","",'FINANCIAL CREDITORS'!$G$147)</f>
        <v/>
      </c>
      <c r="I709">
        <f>IF('FINANCIAL CREDITORS'!$AY$147="","",'FINANCIAL CREDITORS'!$AY$147)</f>
        <v/>
      </c>
      <c r="J709">
        <f>IF('FINANCIAL CREDITORS'!$BC$147="","",'FINANCIAL CREDITORS'!$BC$147)</f>
        <v/>
      </c>
      <c r="K709">
        <f>IF('FINANCIAL CREDITORS'!$N$147="","",'FINANCIAL CREDITORS'!$N$147)</f>
        <v/>
      </c>
      <c r="L709">
        <f>IF('FINANCIAL CREDITORS'!$AH$147="","",'FINANCIAL CREDITORS'!$AH$147)</f>
        <v/>
      </c>
      <c r="M709">
        <f>IF('FINANCIAL CREDITORS'!$AO$147="","",'FINANCIAL CREDITORS'!$AO$147)</f>
        <v/>
      </c>
      <c r="N709">
        <f>IF('FINANCIAL CREDITORS'!$BF$147="","",'FINANCIAL CREDITORS'!$BF$147)</f>
        <v/>
      </c>
      <c r="O709" t="inlineStr">
        <is>
          <t>FINANCIAL</t>
        </is>
      </c>
      <c r="P709" t="inlineStr">
        <is>
          <t>FINANCIAL CREDITORS · row 147</t>
        </is>
      </c>
      <c r="Q709">
        <f>E709+ROW()*0.000000001</f>
        <v/>
      </c>
    </row>
    <row r="710">
      <c r="A710">
        <f>IF('FINANCIAL CREDITORS'!$A$148="","",'FINANCIAL CREDITORS'!$A$148)</f>
        <v/>
      </c>
      <c r="B710">
        <f>IF('FINANCIAL CREDITORS'!$C$148="","",'FINANCIAL CREDITORS'!$C$148)</f>
        <v/>
      </c>
      <c r="C710">
        <f>'FINANCIAL CREDITORS'!$U$148</f>
        <v/>
      </c>
      <c r="D710">
        <f>'FINANCIAL CREDITORS'!$AB$148</f>
        <v/>
      </c>
      <c r="E710">
        <f>'FINANCIAL CREDITORS'!$AF$148</f>
        <v/>
      </c>
      <c r="F710">
        <f>IF('FINANCIAL CREDITORS'!$V$148="","",'FINANCIAL CREDITORS'!$V$148)</f>
        <v/>
      </c>
      <c r="G710">
        <f>IF('FINANCIAL CREDITORS'!$D$148="","",'FINANCIAL CREDITORS'!$D$148)</f>
        <v/>
      </c>
      <c r="H710">
        <f>IF('FINANCIAL CREDITORS'!$G$148="","",'FINANCIAL CREDITORS'!$G$148)</f>
        <v/>
      </c>
      <c r="I710">
        <f>IF('FINANCIAL CREDITORS'!$AY$148="","",'FINANCIAL CREDITORS'!$AY$148)</f>
        <v/>
      </c>
      <c r="J710">
        <f>IF('FINANCIAL CREDITORS'!$BC$148="","",'FINANCIAL CREDITORS'!$BC$148)</f>
        <v/>
      </c>
      <c r="K710">
        <f>IF('FINANCIAL CREDITORS'!$N$148="","",'FINANCIAL CREDITORS'!$N$148)</f>
        <v/>
      </c>
      <c r="L710">
        <f>IF('FINANCIAL CREDITORS'!$AH$148="","",'FINANCIAL CREDITORS'!$AH$148)</f>
        <v/>
      </c>
      <c r="M710">
        <f>IF('FINANCIAL CREDITORS'!$AO$148="","",'FINANCIAL CREDITORS'!$AO$148)</f>
        <v/>
      </c>
      <c r="N710">
        <f>IF('FINANCIAL CREDITORS'!$BF$148="","",'FINANCIAL CREDITORS'!$BF$148)</f>
        <v/>
      </c>
      <c r="O710" t="inlineStr">
        <is>
          <t>FINANCIAL</t>
        </is>
      </c>
      <c r="P710" t="inlineStr">
        <is>
          <t>FINANCIAL CREDITORS · row 148</t>
        </is>
      </c>
      <c r="Q710">
        <f>E710+ROW()*0.000000001</f>
        <v/>
      </c>
    </row>
    <row r="711">
      <c r="A711">
        <f>IF('FINANCIAL CREDITORS'!$A$149="","",'FINANCIAL CREDITORS'!$A$149)</f>
        <v/>
      </c>
      <c r="B711">
        <f>IF('FINANCIAL CREDITORS'!$C$149="","",'FINANCIAL CREDITORS'!$C$149)</f>
        <v/>
      </c>
      <c r="C711">
        <f>'FINANCIAL CREDITORS'!$U$149</f>
        <v/>
      </c>
      <c r="D711">
        <f>'FINANCIAL CREDITORS'!$AB$149</f>
        <v/>
      </c>
      <c r="E711">
        <f>'FINANCIAL CREDITORS'!$AF$149</f>
        <v/>
      </c>
      <c r="F711">
        <f>IF('FINANCIAL CREDITORS'!$V$149="","",'FINANCIAL CREDITORS'!$V$149)</f>
        <v/>
      </c>
      <c r="G711">
        <f>IF('FINANCIAL CREDITORS'!$D$149="","",'FINANCIAL CREDITORS'!$D$149)</f>
        <v/>
      </c>
      <c r="H711">
        <f>IF('FINANCIAL CREDITORS'!$G$149="","",'FINANCIAL CREDITORS'!$G$149)</f>
        <v/>
      </c>
      <c r="I711">
        <f>IF('FINANCIAL CREDITORS'!$AY$149="","",'FINANCIAL CREDITORS'!$AY$149)</f>
        <v/>
      </c>
      <c r="J711">
        <f>IF('FINANCIAL CREDITORS'!$BC$149="","",'FINANCIAL CREDITORS'!$BC$149)</f>
        <v/>
      </c>
      <c r="K711">
        <f>IF('FINANCIAL CREDITORS'!$N$149="","",'FINANCIAL CREDITORS'!$N$149)</f>
        <v/>
      </c>
      <c r="L711">
        <f>IF('FINANCIAL CREDITORS'!$AH$149="","",'FINANCIAL CREDITORS'!$AH$149)</f>
        <v/>
      </c>
      <c r="M711">
        <f>IF('FINANCIAL CREDITORS'!$AO$149="","",'FINANCIAL CREDITORS'!$AO$149)</f>
        <v/>
      </c>
      <c r="N711">
        <f>IF('FINANCIAL CREDITORS'!$BF$149="","",'FINANCIAL CREDITORS'!$BF$149)</f>
        <v/>
      </c>
      <c r="O711" t="inlineStr">
        <is>
          <t>FINANCIAL</t>
        </is>
      </c>
      <c r="P711" t="inlineStr">
        <is>
          <t>FINANCIAL CREDITORS · row 149</t>
        </is>
      </c>
      <c r="Q711">
        <f>E711+ROW()*0.000000001</f>
        <v/>
      </c>
    </row>
    <row r="712">
      <c r="A712">
        <f>IF('FINANCIAL CREDITORS'!$A$150="","",'FINANCIAL CREDITORS'!$A$150)</f>
        <v/>
      </c>
      <c r="B712">
        <f>IF('FINANCIAL CREDITORS'!$C$150="","",'FINANCIAL CREDITORS'!$C$150)</f>
        <v/>
      </c>
      <c r="C712">
        <f>'FINANCIAL CREDITORS'!$U$150</f>
        <v/>
      </c>
      <c r="D712">
        <f>'FINANCIAL CREDITORS'!$AB$150</f>
        <v/>
      </c>
      <c r="E712">
        <f>'FINANCIAL CREDITORS'!$AF$150</f>
        <v/>
      </c>
      <c r="F712">
        <f>IF('FINANCIAL CREDITORS'!$V$150="","",'FINANCIAL CREDITORS'!$V$150)</f>
        <v/>
      </c>
      <c r="G712">
        <f>IF('FINANCIAL CREDITORS'!$D$150="","",'FINANCIAL CREDITORS'!$D$150)</f>
        <v/>
      </c>
      <c r="H712">
        <f>IF('FINANCIAL CREDITORS'!$G$150="","",'FINANCIAL CREDITORS'!$G$150)</f>
        <v/>
      </c>
      <c r="I712">
        <f>IF('FINANCIAL CREDITORS'!$AY$150="","",'FINANCIAL CREDITORS'!$AY$150)</f>
        <v/>
      </c>
      <c r="J712">
        <f>IF('FINANCIAL CREDITORS'!$BC$150="","",'FINANCIAL CREDITORS'!$BC$150)</f>
        <v/>
      </c>
      <c r="K712">
        <f>IF('FINANCIAL CREDITORS'!$N$150="","",'FINANCIAL CREDITORS'!$N$150)</f>
        <v/>
      </c>
      <c r="L712">
        <f>IF('FINANCIAL CREDITORS'!$AH$150="","",'FINANCIAL CREDITORS'!$AH$150)</f>
        <v/>
      </c>
      <c r="M712">
        <f>IF('FINANCIAL CREDITORS'!$AO$150="","",'FINANCIAL CREDITORS'!$AO$150)</f>
        <v/>
      </c>
      <c r="N712">
        <f>IF('FINANCIAL CREDITORS'!$BF$150="","",'FINANCIAL CREDITORS'!$BF$150)</f>
        <v/>
      </c>
      <c r="O712" t="inlineStr">
        <is>
          <t>FINANCIAL</t>
        </is>
      </c>
      <c r="P712" t="inlineStr">
        <is>
          <t>FINANCIAL CREDITORS · row 150</t>
        </is>
      </c>
      <c r="Q712">
        <f>E712+ROW()*0.000000001</f>
        <v/>
      </c>
    </row>
    <row r="713">
      <c r="A713">
        <f>IF('FINANCIAL CREDITORS'!$A$151="","",'FINANCIAL CREDITORS'!$A$151)</f>
        <v/>
      </c>
      <c r="B713">
        <f>IF('FINANCIAL CREDITORS'!$C$151="","",'FINANCIAL CREDITORS'!$C$151)</f>
        <v/>
      </c>
      <c r="C713">
        <f>'FINANCIAL CREDITORS'!$U$151</f>
        <v/>
      </c>
      <c r="D713">
        <f>'FINANCIAL CREDITORS'!$AB$151</f>
        <v/>
      </c>
      <c r="E713">
        <f>'FINANCIAL CREDITORS'!$AF$151</f>
        <v/>
      </c>
      <c r="F713">
        <f>IF('FINANCIAL CREDITORS'!$V$151="","",'FINANCIAL CREDITORS'!$V$151)</f>
        <v/>
      </c>
      <c r="G713">
        <f>IF('FINANCIAL CREDITORS'!$D$151="","",'FINANCIAL CREDITORS'!$D$151)</f>
        <v/>
      </c>
      <c r="H713">
        <f>IF('FINANCIAL CREDITORS'!$G$151="","",'FINANCIAL CREDITORS'!$G$151)</f>
        <v/>
      </c>
      <c r="I713">
        <f>IF('FINANCIAL CREDITORS'!$AY$151="","",'FINANCIAL CREDITORS'!$AY$151)</f>
        <v/>
      </c>
      <c r="J713">
        <f>IF('FINANCIAL CREDITORS'!$BC$151="","",'FINANCIAL CREDITORS'!$BC$151)</f>
        <v/>
      </c>
      <c r="K713">
        <f>IF('FINANCIAL CREDITORS'!$N$151="","",'FINANCIAL CREDITORS'!$N$151)</f>
        <v/>
      </c>
      <c r="L713">
        <f>IF('FINANCIAL CREDITORS'!$AH$151="","",'FINANCIAL CREDITORS'!$AH$151)</f>
        <v/>
      </c>
      <c r="M713">
        <f>IF('FINANCIAL CREDITORS'!$AO$151="","",'FINANCIAL CREDITORS'!$AO$151)</f>
        <v/>
      </c>
      <c r="N713">
        <f>IF('FINANCIAL CREDITORS'!$BF$151="","",'FINANCIAL CREDITORS'!$BF$151)</f>
        <v/>
      </c>
      <c r="O713" t="inlineStr">
        <is>
          <t>FINANCIAL</t>
        </is>
      </c>
      <c r="P713" t="inlineStr">
        <is>
          <t>FINANCIAL CREDITORS · row 151</t>
        </is>
      </c>
      <c r="Q713">
        <f>E713+ROW()*0.000000001</f>
        <v/>
      </c>
    </row>
    <row r="714">
      <c r="A714">
        <f>IF('FINANCIAL CREDITORS'!$A$152="","",'FINANCIAL CREDITORS'!$A$152)</f>
        <v/>
      </c>
      <c r="B714">
        <f>IF('FINANCIAL CREDITORS'!$C$152="","",'FINANCIAL CREDITORS'!$C$152)</f>
        <v/>
      </c>
      <c r="C714">
        <f>'FINANCIAL CREDITORS'!$U$152</f>
        <v/>
      </c>
      <c r="D714">
        <f>'FINANCIAL CREDITORS'!$AB$152</f>
        <v/>
      </c>
      <c r="E714">
        <f>'FINANCIAL CREDITORS'!$AF$152</f>
        <v/>
      </c>
      <c r="F714">
        <f>IF('FINANCIAL CREDITORS'!$V$152="","",'FINANCIAL CREDITORS'!$V$152)</f>
        <v/>
      </c>
      <c r="G714">
        <f>IF('FINANCIAL CREDITORS'!$D$152="","",'FINANCIAL CREDITORS'!$D$152)</f>
        <v/>
      </c>
      <c r="H714">
        <f>IF('FINANCIAL CREDITORS'!$G$152="","",'FINANCIAL CREDITORS'!$G$152)</f>
        <v/>
      </c>
      <c r="I714">
        <f>IF('FINANCIAL CREDITORS'!$AY$152="","",'FINANCIAL CREDITORS'!$AY$152)</f>
        <v/>
      </c>
      <c r="J714">
        <f>IF('FINANCIAL CREDITORS'!$BC$152="","",'FINANCIAL CREDITORS'!$BC$152)</f>
        <v/>
      </c>
      <c r="K714">
        <f>IF('FINANCIAL CREDITORS'!$N$152="","",'FINANCIAL CREDITORS'!$N$152)</f>
        <v/>
      </c>
      <c r="L714">
        <f>IF('FINANCIAL CREDITORS'!$AH$152="","",'FINANCIAL CREDITORS'!$AH$152)</f>
        <v/>
      </c>
      <c r="M714">
        <f>IF('FINANCIAL CREDITORS'!$AO$152="","",'FINANCIAL CREDITORS'!$AO$152)</f>
        <v/>
      </c>
      <c r="N714">
        <f>IF('FINANCIAL CREDITORS'!$BF$152="","",'FINANCIAL CREDITORS'!$BF$152)</f>
        <v/>
      </c>
      <c r="O714" t="inlineStr">
        <is>
          <t>FINANCIAL</t>
        </is>
      </c>
      <c r="P714" t="inlineStr">
        <is>
          <t>FINANCIAL CREDITORS · row 152</t>
        </is>
      </c>
      <c r="Q714">
        <f>E714+ROW()*0.000000001</f>
        <v/>
      </c>
    </row>
    <row r="715">
      <c r="A715">
        <f>IF('FINANCIAL CREDITORS'!$A$153="","",'FINANCIAL CREDITORS'!$A$153)</f>
        <v/>
      </c>
      <c r="B715">
        <f>IF('FINANCIAL CREDITORS'!$C$153="","",'FINANCIAL CREDITORS'!$C$153)</f>
        <v/>
      </c>
      <c r="C715">
        <f>'FINANCIAL CREDITORS'!$U$153</f>
        <v/>
      </c>
      <c r="D715">
        <f>'FINANCIAL CREDITORS'!$AB$153</f>
        <v/>
      </c>
      <c r="E715">
        <f>'FINANCIAL CREDITORS'!$AF$153</f>
        <v/>
      </c>
      <c r="F715">
        <f>IF('FINANCIAL CREDITORS'!$V$153="","",'FINANCIAL CREDITORS'!$V$153)</f>
        <v/>
      </c>
      <c r="G715">
        <f>IF('FINANCIAL CREDITORS'!$D$153="","",'FINANCIAL CREDITORS'!$D$153)</f>
        <v/>
      </c>
      <c r="H715">
        <f>IF('FINANCIAL CREDITORS'!$G$153="","",'FINANCIAL CREDITORS'!$G$153)</f>
        <v/>
      </c>
      <c r="I715">
        <f>IF('FINANCIAL CREDITORS'!$AY$153="","",'FINANCIAL CREDITORS'!$AY$153)</f>
        <v/>
      </c>
      <c r="J715">
        <f>IF('FINANCIAL CREDITORS'!$BC$153="","",'FINANCIAL CREDITORS'!$BC$153)</f>
        <v/>
      </c>
      <c r="K715">
        <f>IF('FINANCIAL CREDITORS'!$N$153="","",'FINANCIAL CREDITORS'!$N$153)</f>
        <v/>
      </c>
      <c r="L715">
        <f>IF('FINANCIAL CREDITORS'!$AH$153="","",'FINANCIAL CREDITORS'!$AH$153)</f>
        <v/>
      </c>
      <c r="M715">
        <f>IF('FINANCIAL CREDITORS'!$AO$153="","",'FINANCIAL CREDITORS'!$AO$153)</f>
        <v/>
      </c>
      <c r="N715">
        <f>IF('FINANCIAL CREDITORS'!$BF$153="","",'FINANCIAL CREDITORS'!$BF$153)</f>
        <v/>
      </c>
      <c r="O715" t="inlineStr">
        <is>
          <t>FINANCIAL</t>
        </is>
      </c>
      <c r="P715" t="inlineStr">
        <is>
          <t>FINANCIAL CREDITORS · row 153</t>
        </is>
      </c>
      <c r="Q715">
        <f>E715+ROW()*0.000000001</f>
        <v/>
      </c>
    </row>
    <row r="716">
      <c r="A716">
        <f>IF('FINANCIAL CREDITORS'!$A$154="","",'FINANCIAL CREDITORS'!$A$154)</f>
        <v/>
      </c>
      <c r="B716">
        <f>IF('FINANCIAL CREDITORS'!$C$154="","",'FINANCIAL CREDITORS'!$C$154)</f>
        <v/>
      </c>
      <c r="C716">
        <f>'FINANCIAL CREDITORS'!$U$154</f>
        <v/>
      </c>
      <c r="D716">
        <f>'FINANCIAL CREDITORS'!$AB$154</f>
        <v/>
      </c>
      <c r="E716">
        <f>'FINANCIAL CREDITORS'!$AF$154</f>
        <v/>
      </c>
      <c r="F716">
        <f>IF('FINANCIAL CREDITORS'!$V$154="","",'FINANCIAL CREDITORS'!$V$154)</f>
        <v/>
      </c>
      <c r="G716">
        <f>IF('FINANCIAL CREDITORS'!$D$154="","",'FINANCIAL CREDITORS'!$D$154)</f>
        <v/>
      </c>
      <c r="H716">
        <f>IF('FINANCIAL CREDITORS'!$G$154="","",'FINANCIAL CREDITORS'!$G$154)</f>
        <v/>
      </c>
      <c r="I716">
        <f>IF('FINANCIAL CREDITORS'!$AY$154="","",'FINANCIAL CREDITORS'!$AY$154)</f>
        <v/>
      </c>
      <c r="J716">
        <f>IF('FINANCIAL CREDITORS'!$BC$154="","",'FINANCIAL CREDITORS'!$BC$154)</f>
        <v/>
      </c>
      <c r="K716">
        <f>IF('FINANCIAL CREDITORS'!$N$154="","",'FINANCIAL CREDITORS'!$N$154)</f>
        <v/>
      </c>
      <c r="L716">
        <f>IF('FINANCIAL CREDITORS'!$AH$154="","",'FINANCIAL CREDITORS'!$AH$154)</f>
        <v/>
      </c>
      <c r="M716">
        <f>IF('FINANCIAL CREDITORS'!$AO$154="","",'FINANCIAL CREDITORS'!$AO$154)</f>
        <v/>
      </c>
      <c r="N716">
        <f>IF('FINANCIAL CREDITORS'!$BF$154="","",'FINANCIAL CREDITORS'!$BF$154)</f>
        <v/>
      </c>
      <c r="O716" t="inlineStr">
        <is>
          <t>FINANCIAL</t>
        </is>
      </c>
      <c r="P716" t="inlineStr">
        <is>
          <t>FINANCIAL CREDITORS · row 154</t>
        </is>
      </c>
      <c r="Q716">
        <f>E716+ROW()*0.000000001</f>
        <v/>
      </c>
    </row>
    <row r="717">
      <c r="A717">
        <f>IF('FINANCIAL CREDITORS'!$A$155="","",'FINANCIAL CREDITORS'!$A$155)</f>
        <v/>
      </c>
      <c r="B717">
        <f>IF('FINANCIAL CREDITORS'!$C$155="","",'FINANCIAL CREDITORS'!$C$155)</f>
        <v/>
      </c>
      <c r="C717">
        <f>'FINANCIAL CREDITORS'!$U$155</f>
        <v/>
      </c>
      <c r="D717">
        <f>'FINANCIAL CREDITORS'!$AB$155</f>
        <v/>
      </c>
      <c r="E717">
        <f>'FINANCIAL CREDITORS'!$AF$155</f>
        <v/>
      </c>
      <c r="F717">
        <f>IF('FINANCIAL CREDITORS'!$V$155="","",'FINANCIAL CREDITORS'!$V$155)</f>
        <v/>
      </c>
      <c r="G717">
        <f>IF('FINANCIAL CREDITORS'!$D$155="","",'FINANCIAL CREDITORS'!$D$155)</f>
        <v/>
      </c>
      <c r="H717">
        <f>IF('FINANCIAL CREDITORS'!$G$155="","",'FINANCIAL CREDITORS'!$G$155)</f>
        <v/>
      </c>
      <c r="I717">
        <f>IF('FINANCIAL CREDITORS'!$AY$155="","",'FINANCIAL CREDITORS'!$AY$155)</f>
        <v/>
      </c>
      <c r="J717">
        <f>IF('FINANCIAL CREDITORS'!$BC$155="","",'FINANCIAL CREDITORS'!$BC$155)</f>
        <v/>
      </c>
      <c r="K717">
        <f>IF('FINANCIAL CREDITORS'!$N$155="","",'FINANCIAL CREDITORS'!$N$155)</f>
        <v/>
      </c>
      <c r="L717">
        <f>IF('FINANCIAL CREDITORS'!$AH$155="","",'FINANCIAL CREDITORS'!$AH$155)</f>
        <v/>
      </c>
      <c r="M717">
        <f>IF('FINANCIAL CREDITORS'!$AO$155="","",'FINANCIAL CREDITORS'!$AO$155)</f>
        <v/>
      </c>
      <c r="N717">
        <f>IF('FINANCIAL CREDITORS'!$BF$155="","",'FINANCIAL CREDITORS'!$BF$155)</f>
        <v/>
      </c>
      <c r="O717" t="inlineStr">
        <is>
          <t>FINANCIAL</t>
        </is>
      </c>
      <c r="P717" t="inlineStr">
        <is>
          <t>FINANCIAL CREDITORS · row 155</t>
        </is>
      </c>
      <c r="Q717">
        <f>E717+ROW()*0.000000001</f>
        <v/>
      </c>
    </row>
    <row r="718">
      <c r="A718">
        <f>IF('FINANCIAL CREDITORS'!$A$156="","",'FINANCIAL CREDITORS'!$A$156)</f>
        <v/>
      </c>
      <c r="B718">
        <f>IF('FINANCIAL CREDITORS'!$C$156="","",'FINANCIAL CREDITORS'!$C$156)</f>
        <v/>
      </c>
      <c r="C718">
        <f>'FINANCIAL CREDITORS'!$U$156</f>
        <v/>
      </c>
      <c r="D718">
        <f>'FINANCIAL CREDITORS'!$AB$156</f>
        <v/>
      </c>
      <c r="E718">
        <f>'FINANCIAL CREDITORS'!$AF$156</f>
        <v/>
      </c>
      <c r="F718">
        <f>IF('FINANCIAL CREDITORS'!$V$156="","",'FINANCIAL CREDITORS'!$V$156)</f>
        <v/>
      </c>
      <c r="G718">
        <f>IF('FINANCIAL CREDITORS'!$D$156="","",'FINANCIAL CREDITORS'!$D$156)</f>
        <v/>
      </c>
      <c r="H718">
        <f>IF('FINANCIAL CREDITORS'!$G$156="","",'FINANCIAL CREDITORS'!$G$156)</f>
        <v/>
      </c>
      <c r="I718">
        <f>IF('FINANCIAL CREDITORS'!$AY$156="","",'FINANCIAL CREDITORS'!$AY$156)</f>
        <v/>
      </c>
      <c r="J718">
        <f>IF('FINANCIAL CREDITORS'!$BC$156="","",'FINANCIAL CREDITORS'!$BC$156)</f>
        <v/>
      </c>
      <c r="K718">
        <f>IF('FINANCIAL CREDITORS'!$N$156="","",'FINANCIAL CREDITORS'!$N$156)</f>
        <v/>
      </c>
      <c r="L718">
        <f>IF('FINANCIAL CREDITORS'!$AH$156="","",'FINANCIAL CREDITORS'!$AH$156)</f>
        <v/>
      </c>
      <c r="M718">
        <f>IF('FINANCIAL CREDITORS'!$AO$156="","",'FINANCIAL CREDITORS'!$AO$156)</f>
        <v/>
      </c>
      <c r="N718">
        <f>IF('FINANCIAL CREDITORS'!$BF$156="","",'FINANCIAL CREDITORS'!$BF$156)</f>
        <v/>
      </c>
      <c r="O718" t="inlineStr">
        <is>
          <t>FINANCIAL</t>
        </is>
      </c>
      <c r="P718" t="inlineStr">
        <is>
          <t>FINANCIAL CREDITORS · row 156</t>
        </is>
      </c>
      <c r="Q718">
        <f>E718+ROW()*0.000000001</f>
        <v/>
      </c>
    </row>
    <row r="719">
      <c r="A719">
        <f>IF('FINANCIAL CREDITORS'!$A$157="","",'FINANCIAL CREDITORS'!$A$157)</f>
        <v/>
      </c>
      <c r="B719">
        <f>IF('FINANCIAL CREDITORS'!$C$157="","",'FINANCIAL CREDITORS'!$C$157)</f>
        <v/>
      </c>
      <c r="C719">
        <f>'FINANCIAL CREDITORS'!$U$157</f>
        <v/>
      </c>
      <c r="D719">
        <f>'FINANCIAL CREDITORS'!$AB$157</f>
        <v/>
      </c>
      <c r="E719">
        <f>'FINANCIAL CREDITORS'!$AF$157</f>
        <v/>
      </c>
      <c r="F719">
        <f>IF('FINANCIAL CREDITORS'!$V$157="","",'FINANCIAL CREDITORS'!$V$157)</f>
        <v/>
      </c>
      <c r="G719">
        <f>IF('FINANCIAL CREDITORS'!$D$157="","",'FINANCIAL CREDITORS'!$D$157)</f>
        <v/>
      </c>
      <c r="H719">
        <f>IF('FINANCIAL CREDITORS'!$G$157="","",'FINANCIAL CREDITORS'!$G$157)</f>
        <v/>
      </c>
      <c r="I719">
        <f>IF('FINANCIAL CREDITORS'!$AY$157="","",'FINANCIAL CREDITORS'!$AY$157)</f>
        <v/>
      </c>
      <c r="J719">
        <f>IF('FINANCIAL CREDITORS'!$BC$157="","",'FINANCIAL CREDITORS'!$BC$157)</f>
        <v/>
      </c>
      <c r="K719">
        <f>IF('FINANCIAL CREDITORS'!$N$157="","",'FINANCIAL CREDITORS'!$N$157)</f>
        <v/>
      </c>
      <c r="L719">
        <f>IF('FINANCIAL CREDITORS'!$AH$157="","",'FINANCIAL CREDITORS'!$AH$157)</f>
        <v/>
      </c>
      <c r="M719">
        <f>IF('FINANCIAL CREDITORS'!$AO$157="","",'FINANCIAL CREDITORS'!$AO$157)</f>
        <v/>
      </c>
      <c r="N719">
        <f>IF('FINANCIAL CREDITORS'!$BF$157="","",'FINANCIAL CREDITORS'!$BF$157)</f>
        <v/>
      </c>
      <c r="O719" t="inlineStr">
        <is>
          <t>FINANCIAL</t>
        </is>
      </c>
      <c r="P719" t="inlineStr">
        <is>
          <t>FINANCIAL CREDITORS · row 157</t>
        </is>
      </c>
      <c r="Q719">
        <f>E719+ROW()*0.000000001</f>
        <v/>
      </c>
    </row>
    <row r="720">
      <c r="A720">
        <f>IF('FINANCIAL CREDITORS'!$A$158="","",'FINANCIAL CREDITORS'!$A$158)</f>
        <v/>
      </c>
      <c r="B720">
        <f>IF('FINANCIAL CREDITORS'!$C$158="","",'FINANCIAL CREDITORS'!$C$158)</f>
        <v/>
      </c>
      <c r="C720">
        <f>'FINANCIAL CREDITORS'!$U$158</f>
        <v/>
      </c>
      <c r="D720">
        <f>'FINANCIAL CREDITORS'!$AB$158</f>
        <v/>
      </c>
      <c r="E720">
        <f>'FINANCIAL CREDITORS'!$AF$158</f>
        <v/>
      </c>
      <c r="F720">
        <f>IF('FINANCIAL CREDITORS'!$V$158="","",'FINANCIAL CREDITORS'!$V$158)</f>
        <v/>
      </c>
      <c r="G720">
        <f>IF('FINANCIAL CREDITORS'!$D$158="","",'FINANCIAL CREDITORS'!$D$158)</f>
        <v/>
      </c>
      <c r="H720">
        <f>IF('FINANCIAL CREDITORS'!$G$158="","",'FINANCIAL CREDITORS'!$G$158)</f>
        <v/>
      </c>
      <c r="I720">
        <f>IF('FINANCIAL CREDITORS'!$AY$158="","",'FINANCIAL CREDITORS'!$AY$158)</f>
        <v/>
      </c>
      <c r="J720">
        <f>IF('FINANCIAL CREDITORS'!$BC$158="","",'FINANCIAL CREDITORS'!$BC$158)</f>
        <v/>
      </c>
      <c r="K720">
        <f>IF('FINANCIAL CREDITORS'!$N$158="","",'FINANCIAL CREDITORS'!$N$158)</f>
        <v/>
      </c>
      <c r="L720">
        <f>IF('FINANCIAL CREDITORS'!$AH$158="","",'FINANCIAL CREDITORS'!$AH$158)</f>
        <v/>
      </c>
      <c r="M720">
        <f>IF('FINANCIAL CREDITORS'!$AO$158="","",'FINANCIAL CREDITORS'!$AO$158)</f>
        <v/>
      </c>
      <c r="N720">
        <f>IF('FINANCIAL CREDITORS'!$BF$158="","",'FINANCIAL CREDITORS'!$BF$158)</f>
        <v/>
      </c>
      <c r="O720" t="inlineStr">
        <is>
          <t>FINANCIAL</t>
        </is>
      </c>
      <c r="P720" t="inlineStr">
        <is>
          <t>FINANCIAL CREDITORS · row 158</t>
        </is>
      </c>
      <c r="Q720">
        <f>E720+ROW()*0.000000001</f>
        <v/>
      </c>
    </row>
    <row r="721">
      <c r="A721">
        <f>IF('FINANCIAL CREDITORS'!$A$159="","",'FINANCIAL CREDITORS'!$A$159)</f>
        <v/>
      </c>
      <c r="B721">
        <f>IF('FINANCIAL CREDITORS'!$C$159="","",'FINANCIAL CREDITORS'!$C$159)</f>
        <v/>
      </c>
      <c r="C721">
        <f>'FINANCIAL CREDITORS'!$U$159</f>
        <v/>
      </c>
      <c r="D721">
        <f>'FINANCIAL CREDITORS'!$AB$159</f>
        <v/>
      </c>
      <c r="E721">
        <f>'FINANCIAL CREDITORS'!$AF$159</f>
        <v/>
      </c>
      <c r="F721">
        <f>IF('FINANCIAL CREDITORS'!$V$159="","",'FINANCIAL CREDITORS'!$V$159)</f>
        <v/>
      </c>
      <c r="G721">
        <f>IF('FINANCIAL CREDITORS'!$D$159="","",'FINANCIAL CREDITORS'!$D$159)</f>
        <v/>
      </c>
      <c r="H721">
        <f>IF('FINANCIAL CREDITORS'!$G$159="","",'FINANCIAL CREDITORS'!$G$159)</f>
        <v/>
      </c>
      <c r="I721">
        <f>IF('FINANCIAL CREDITORS'!$AY$159="","",'FINANCIAL CREDITORS'!$AY$159)</f>
        <v/>
      </c>
      <c r="J721">
        <f>IF('FINANCIAL CREDITORS'!$BC$159="","",'FINANCIAL CREDITORS'!$BC$159)</f>
        <v/>
      </c>
      <c r="K721">
        <f>IF('FINANCIAL CREDITORS'!$N$159="","",'FINANCIAL CREDITORS'!$N$159)</f>
        <v/>
      </c>
      <c r="L721">
        <f>IF('FINANCIAL CREDITORS'!$AH$159="","",'FINANCIAL CREDITORS'!$AH$159)</f>
        <v/>
      </c>
      <c r="M721">
        <f>IF('FINANCIAL CREDITORS'!$AO$159="","",'FINANCIAL CREDITORS'!$AO$159)</f>
        <v/>
      </c>
      <c r="N721">
        <f>IF('FINANCIAL CREDITORS'!$BF$159="","",'FINANCIAL CREDITORS'!$BF$159)</f>
        <v/>
      </c>
      <c r="O721" t="inlineStr">
        <is>
          <t>FINANCIAL</t>
        </is>
      </c>
      <c r="P721" t="inlineStr">
        <is>
          <t>FINANCIAL CREDITORS · row 159</t>
        </is>
      </c>
      <c r="Q721">
        <f>E721+ROW()*0.000000001</f>
        <v/>
      </c>
    </row>
    <row r="722">
      <c r="A722">
        <f>IF('FINANCIAL CREDITORS'!$A$160="","",'FINANCIAL CREDITORS'!$A$160)</f>
        <v/>
      </c>
      <c r="B722">
        <f>IF('FINANCIAL CREDITORS'!$C$160="","",'FINANCIAL CREDITORS'!$C$160)</f>
        <v/>
      </c>
      <c r="C722">
        <f>'FINANCIAL CREDITORS'!$U$160</f>
        <v/>
      </c>
      <c r="D722">
        <f>'FINANCIAL CREDITORS'!$AB$160</f>
        <v/>
      </c>
      <c r="E722">
        <f>'FINANCIAL CREDITORS'!$AF$160</f>
        <v/>
      </c>
      <c r="F722">
        <f>IF('FINANCIAL CREDITORS'!$V$160="","",'FINANCIAL CREDITORS'!$V$160)</f>
        <v/>
      </c>
      <c r="G722">
        <f>IF('FINANCIAL CREDITORS'!$D$160="","",'FINANCIAL CREDITORS'!$D$160)</f>
        <v/>
      </c>
      <c r="H722">
        <f>IF('FINANCIAL CREDITORS'!$G$160="","",'FINANCIAL CREDITORS'!$G$160)</f>
        <v/>
      </c>
      <c r="I722">
        <f>IF('FINANCIAL CREDITORS'!$AY$160="","",'FINANCIAL CREDITORS'!$AY$160)</f>
        <v/>
      </c>
      <c r="J722">
        <f>IF('FINANCIAL CREDITORS'!$BC$160="","",'FINANCIAL CREDITORS'!$BC$160)</f>
        <v/>
      </c>
      <c r="K722">
        <f>IF('FINANCIAL CREDITORS'!$N$160="","",'FINANCIAL CREDITORS'!$N$160)</f>
        <v/>
      </c>
      <c r="L722">
        <f>IF('FINANCIAL CREDITORS'!$AH$160="","",'FINANCIAL CREDITORS'!$AH$160)</f>
        <v/>
      </c>
      <c r="M722">
        <f>IF('FINANCIAL CREDITORS'!$AO$160="","",'FINANCIAL CREDITORS'!$AO$160)</f>
        <v/>
      </c>
      <c r="N722">
        <f>IF('FINANCIAL CREDITORS'!$BF$160="","",'FINANCIAL CREDITORS'!$BF$160)</f>
        <v/>
      </c>
      <c r="O722" t="inlineStr">
        <is>
          <t>FINANCIAL</t>
        </is>
      </c>
      <c r="P722" t="inlineStr">
        <is>
          <t>FINANCIAL CREDITORS · row 160</t>
        </is>
      </c>
      <c r="Q722">
        <f>E722+ROW()*0.000000001</f>
        <v/>
      </c>
    </row>
    <row r="723">
      <c r="A723">
        <f>IF('FINANCIAL CREDITORS'!$A$161="","",'FINANCIAL CREDITORS'!$A$161)</f>
        <v/>
      </c>
      <c r="B723">
        <f>IF('FINANCIAL CREDITORS'!$C$161="","",'FINANCIAL CREDITORS'!$C$161)</f>
        <v/>
      </c>
      <c r="C723">
        <f>'FINANCIAL CREDITORS'!$U$161</f>
        <v/>
      </c>
      <c r="D723">
        <f>'FINANCIAL CREDITORS'!$AB$161</f>
        <v/>
      </c>
      <c r="E723">
        <f>'FINANCIAL CREDITORS'!$AF$161</f>
        <v/>
      </c>
      <c r="F723">
        <f>IF('FINANCIAL CREDITORS'!$V$161="","",'FINANCIAL CREDITORS'!$V$161)</f>
        <v/>
      </c>
      <c r="G723">
        <f>IF('FINANCIAL CREDITORS'!$D$161="","",'FINANCIAL CREDITORS'!$D$161)</f>
        <v/>
      </c>
      <c r="H723">
        <f>IF('FINANCIAL CREDITORS'!$G$161="","",'FINANCIAL CREDITORS'!$G$161)</f>
        <v/>
      </c>
      <c r="I723">
        <f>IF('FINANCIAL CREDITORS'!$AY$161="","",'FINANCIAL CREDITORS'!$AY$161)</f>
        <v/>
      </c>
      <c r="J723">
        <f>IF('FINANCIAL CREDITORS'!$BC$161="","",'FINANCIAL CREDITORS'!$BC$161)</f>
        <v/>
      </c>
      <c r="K723">
        <f>IF('FINANCIAL CREDITORS'!$N$161="","",'FINANCIAL CREDITORS'!$N$161)</f>
        <v/>
      </c>
      <c r="L723">
        <f>IF('FINANCIAL CREDITORS'!$AH$161="","",'FINANCIAL CREDITORS'!$AH$161)</f>
        <v/>
      </c>
      <c r="M723">
        <f>IF('FINANCIAL CREDITORS'!$AO$161="","",'FINANCIAL CREDITORS'!$AO$161)</f>
        <v/>
      </c>
      <c r="N723">
        <f>IF('FINANCIAL CREDITORS'!$BF$161="","",'FINANCIAL CREDITORS'!$BF$161)</f>
        <v/>
      </c>
      <c r="O723" t="inlineStr">
        <is>
          <t>FINANCIAL</t>
        </is>
      </c>
      <c r="P723" t="inlineStr">
        <is>
          <t>FINANCIAL CREDITORS · row 161</t>
        </is>
      </c>
      <c r="Q723">
        <f>E723+ROW()*0.000000001</f>
        <v/>
      </c>
    </row>
    <row r="724">
      <c r="A724">
        <f>IF('FINANCIAL CREDITORS'!$A$162="","",'FINANCIAL CREDITORS'!$A$162)</f>
        <v/>
      </c>
      <c r="B724">
        <f>IF('FINANCIAL CREDITORS'!$C$162="","",'FINANCIAL CREDITORS'!$C$162)</f>
        <v/>
      </c>
      <c r="C724">
        <f>'FINANCIAL CREDITORS'!$U$162</f>
        <v/>
      </c>
      <c r="D724">
        <f>'FINANCIAL CREDITORS'!$AB$162</f>
        <v/>
      </c>
      <c r="E724">
        <f>'FINANCIAL CREDITORS'!$AF$162</f>
        <v/>
      </c>
      <c r="F724">
        <f>IF('FINANCIAL CREDITORS'!$V$162="","",'FINANCIAL CREDITORS'!$V$162)</f>
        <v/>
      </c>
      <c r="G724">
        <f>IF('FINANCIAL CREDITORS'!$D$162="","",'FINANCIAL CREDITORS'!$D$162)</f>
        <v/>
      </c>
      <c r="H724">
        <f>IF('FINANCIAL CREDITORS'!$G$162="","",'FINANCIAL CREDITORS'!$G$162)</f>
        <v/>
      </c>
      <c r="I724">
        <f>IF('FINANCIAL CREDITORS'!$AY$162="","",'FINANCIAL CREDITORS'!$AY$162)</f>
        <v/>
      </c>
      <c r="J724">
        <f>IF('FINANCIAL CREDITORS'!$BC$162="","",'FINANCIAL CREDITORS'!$BC$162)</f>
        <v/>
      </c>
      <c r="K724">
        <f>IF('FINANCIAL CREDITORS'!$N$162="","",'FINANCIAL CREDITORS'!$N$162)</f>
        <v/>
      </c>
      <c r="L724">
        <f>IF('FINANCIAL CREDITORS'!$AH$162="","",'FINANCIAL CREDITORS'!$AH$162)</f>
        <v/>
      </c>
      <c r="M724">
        <f>IF('FINANCIAL CREDITORS'!$AO$162="","",'FINANCIAL CREDITORS'!$AO$162)</f>
        <v/>
      </c>
      <c r="N724">
        <f>IF('FINANCIAL CREDITORS'!$BF$162="","",'FINANCIAL CREDITORS'!$BF$162)</f>
        <v/>
      </c>
      <c r="O724" t="inlineStr">
        <is>
          <t>FINANCIAL</t>
        </is>
      </c>
      <c r="P724" t="inlineStr">
        <is>
          <t>FINANCIAL CREDITORS · row 162</t>
        </is>
      </c>
      <c r="Q724">
        <f>E724+ROW()*0.000000001</f>
        <v/>
      </c>
    </row>
    <row r="725">
      <c r="A725">
        <f>IF('FINANCIAL CREDITORS'!$A$163="","",'FINANCIAL CREDITORS'!$A$163)</f>
        <v/>
      </c>
      <c r="B725">
        <f>IF('FINANCIAL CREDITORS'!$C$163="","",'FINANCIAL CREDITORS'!$C$163)</f>
        <v/>
      </c>
      <c r="C725">
        <f>'FINANCIAL CREDITORS'!$U$163</f>
        <v/>
      </c>
      <c r="D725">
        <f>'FINANCIAL CREDITORS'!$AB$163</f>
        <v/>
      </c>
      <c r="E725">
        <f>'FINANCIAL CREDITORS'!$AF$163</f>
        <v/>
      </c>
      <c r="F725">
        <f>IF('FINANCIAL CREDITORS'!$V$163="","",'FINANCIAL CREDITORS'!$V$163)</f>
        <v/>
      </c>
      <c r="G725">
        <f>IF('FINANCIAL CREDITORS'!$D$163="","",'FINANCIAL CREDITORS'!$D$163)</f>
        <v/>
      </c>
      <c r="H725">
        <f>IF('FINANCIAL CREDITORS'!$G$163="","",'FINANCIAL CREDITORS'!$G$163)</f>
        <v/>
      </c>
      <c r="I725">
        <f>IF('FINANCIAL CREDITORS'!$AY$163="","",'FINANCIAL CREDITORS'!$AY$163)</f>
        <v/>
      </c>
      <c r="J725">
        <f>IF('FINANCIAL CREDITORS'!$BC$163="","",'FINANCIAL CREDITORS'!$BC$163)</f>
        <v/>
      </c>
      <c r="K725">
        <f>IF('FINANCIAL CREDITORS'!$N$163="","",'FINANCIAL CREDITORS'!$N$163)</f>
        <v/>
      </c>
      <c r="L725">
        <f>IF('FINANCIAL CREDITORS'!$AH$163="","",'FINANCIAL CREDITORS'!$AH$163)</f>
        <v/>
      </c>
      <c r="M725">
        <f>IF('FINANCIAL CREDITORS'!$AO$163="","",'FINANCIAL CREDITORS'!$AO$163)</f>
        <v/>
      </c>
      <c r="N725">
        <f>IF('FINANCIAL CREDITORS'!$BF$163="","",'FINANCIAL CREDITORS'!$BF$163)</f>
        <v/>
      </c>
      <c r="O725" t="inlineStr">
        <is>
          <t>FINANCIAL</t>
        </is>
      </c>
      <c r="P725" t="inlineStr">
        <is>
          <t>FINANCIAL CREDITORS · row 163</t>
        </is>
      </c>
      <c r="Q725">
        <f>E725+ROW()*0.000000001</f>
        <v/>
      </c>
    </row>
    <row r="726">
      <c r="A726">
        <f>IF('FINANCIAL CREDITORS'!$A$164="","",'FINANCIAL CREDITORS'!$A$164)</f>
        <v/>
      </c>
      <c r="B726">
        <f>IF('FINANCIAL CREDITORS'!$C$164="","",'FINANCIAL CREDITORS'!$C$164)</f>
        <v/>
      </c>
      <c r="C726">
        <f>'FINANCIAL CREDITORS'!$U$164</f>
        <v/>
      </c>
      <c r="D726">
        <f>'FINANCIAL CREDITORS'!$AB$164</f>
        <v/>
      </c>
      <c r="E726">
        <f>'FINANCIAL CREDITORS'!$AF$164</f>
        <v/>
      </c>
      <c r="F726">
        <f>IF('FINANCIAL CREDITORS'!$V$164="","",'FINANCIAL CREDITORS'!$V$164)</f>
        <v/>
      </c>
      <c r="G726">
        <f>IF('FINANCIAL CREDITORS'!$D$164="","",'FINANCIAL CREDITORS'!$D$164)</f>
        <v/>
      </c>
      <c r="H726">
        <f>IF('FINANCIAL CREDITORS'!$G$164="","",'FINANCIAL CREDITORS'!$G$164)</f>
        <v/>
      </c>
      <c r="I726">
        <f>IF('FINANCIAL CREDITORS'!$AY$164="","",'FINANCIAL CREDITORS'!$AY$164)</f>
        <v/>
      </c>
      <c r="J726">
        <f>IF('FINANCIAL CREDITORS'!$BC$164="","",'FINANCIAL CREDITORS'!$BC$164)</f>
        <v/>
      </c>
      <c r="K726">
        <f>IF('FINANCIAL CREDITORS'!$N$164="","",'FINANCIAL CREDITORS'!$N$164)</f>
        <v/>
      </c>
      <c r="L726">
        <f>IF('FINANCIAL CREDITORS'!$AH$164="","",'FINANCIAL CREDITORS'!$AH$164)</f>
        <v/>
      </c>
      <c r="M726">
        <f>IF('FINANCIAL CREDITORS'!$AO$164="","",'FINANCIAL CREDITORS'!$AO$164)</f>
        <v/>
      </c>
      <c r="N726">
        <f>IF('FINANCIAL CREDITORS'!$BF$164="","",'FINANCIAL CREDITORS'!$BF$164)</f>
        <v/>
      </c>
      <c r="O726" t="inlineStr">
        <is>
          <t>FINANCIAL</t>
        </is>
      </c>
      <c r="P726" t="inlineStr">
        <is>
          <t>FINANCIAL CREDITORS · row 164</t>
        </is>
      </c>
      <c r="Q726">
        <f>E726+ROW()*0.000000001</f>
        <v/>
      </c>
    </row>
    <row r="727">
      <c r="A727">
        <f>IF('FINANCIAL CREDITORS'!$A$165="","",'FINANCIAL CREDITORS'!$A$165)</f>
        <v/>
      </c>
      <c r="B727">
        <f>IF('FINANCIAL CREDITORS'!$C$165="","",'FINANCIAL CREDITORS'!$C$165)</f>
        <v/>
      </c>
      <c r="C727">
        <f>'FINANCIAL CREDITORS'!$U$165</f>
        <v/>
      </c>
      <c r="D727">
        <f>'FINANCIAL CREDITORS'!$AB$165</f>
        <v/>
      </c>
      <c r="E727">
        <f>'FINANCIAL CREDITORS'!$AF$165</f>
        <v/>
      </c>
      <c r="F727">
        <f>IF('FINANCIAL CREDITORS'!$V$165="","",'FINANCIAL CREDITORS'!$V$165)</f>
        <v/>
      </c>
      <c r="G727">
        <f>IF('FINANCIAL CREDITORS'!$D$165="","",'FINANCIAL CREDITORS'!$D$165)</f>
        <v/>
      </c>
      <c r="H727">
        <f>IF('FINANCIAL CREDITORS'!$G$165="","",'FINANCIAL CREDITORS'!$G$165)</f>
        <v/>
      </c>
      <c r="I727">
        <f>IF('FINANCIAL CREDITORS'!$AY$165="","",'FINANCIAL CREDITORS'!$AY$165)</f>
        <v/>
      </c>
      <c r="J727">
        <f>IF('FINANCIAL CREDITORS'!$BC$165="","",'FINANCIAL CREDITORS'!$BC$165)</f>
        <v/>
      </c>
      <c r="K727">
        <f>IF('FINANCIAL CREDITORS'!$N$165="","",'FINANCIAL CREDITORS'!$N$165)</f>
        <v/>
      </c>
      <c r="L727">
        <f>IF('FINANCIAL CREDITORS'!$AH$165="","",'FINANCIAL CREDITORS'!$AH$165)</f>
        <v/>
      </c>
      <c r="M727">
        <f>IF('FINANCIAL CREDITORS'!$AO$165="","",'FINANCIAL CREDITORS'!$AO$165)</f>
        <v/>
      </c>
      <c r="N727">
        <f>IF('FINANCIAL CREDITORS'!$BF$165="","",'FINANCIAL CREDITORS'!$BF$165)</f>
        <v/>
      </c>
      <c r="O727" t="inlineStr">
        <is>
          <t>FINANCIAL</t>
        </is>
      </c>
      <c r="P727" t="inlineStr">
        <is>
          <t>FINANCIAL CREDITORS · row 165</t>
        </is>
      </c>
      <c r="Q727">
        <f>E727+ROW()*0.000000001</f>
        <v/>
      </c>
    </row>
    <row r="728">
      <c r="A728">
        <f>IF('FINANCIAL CREDITORS'!$A$166="","",'FINANCIAL CREDITORS'!$A$166)</f>
        <v/>
      </c>
      <c r="B728">
        <f>IF('FINANCIAL CREDITORS'!$C$166="","",'FINANCIAL CREDITORS'!$C$166)</f>
        <v/>
      </c>
      <c r="C728">
        <f>'FINANCIAL CREDITORS'!$U$166</f>
        <v/>
      </c>
      <c r="D728">
        <f>'FINANCIAL CREDITORS'!$AB$166</f>
        <v/>
      </c>
      <c r="E728">
        <f>'FINANCIAL CREDITORS'!$AF$166</f>
        <v/>
      </c>
      <c r="F728">
        <f>IF('FINANCIAL CREDITORS'!$V$166="","",'FINANCIAL CREDITORS'!$V$166)</f>
        <v/>
      </c>
      <c r="G728">
        <f>IF('FINANCIAL CREDITORS'!$D$166="","",'FINANCIAL CREDITORS'!$D$166)</f>
        <v/>
      </c>
      <c r="H728">
        <f>IF('FINANCIAL CREDITORS'!$G$166="","",'FINANCIAL CREDITORS'!$G$166)</f>
        <v/>
      </c>
      <c r="I728">
        <f>IF('FINANCIAL CREDITORS'!$AY$166="","",'FINANCIAL CREDITORS'!$AY$166)</f>
        <v/>
      </c>
      <c r="J728">
        <f>IF('FINANCIAL CREDITORS'!$BC$166="","",'FINANCIAL CREDITORS'!$BC$166)</f>
        <v/>
      </c>
      <c r="K728">
        <f>IF('FINANCIAL CREDITORS'!$N$166="","",'FINANCIAL CREDITORS'!$N$166)</f>
        <v/>
      </c>
      <c r="L728">
        <f>IF('FINANCIAL CREDITORS'!$AH$166="","",'FINANCIAL CREDITORS'!$AH$166)</f>
        <v/>
      </c>
      <c r="M728">
        <f>IF('FINANCIAL CREDITORS'!$AO$166="","",'FINANCIAL CREDITORS'!$AO$166)</f>
        <v/>
      </c>
      <c r="N728">
        <f>IF('FINANCIAL CREDITORS'!$BF$166="","",'FINANCIAL CREDITORS'!$BF$166)</f>
        <v/>
      </c>
      <c r="O728" t="inlineStr">
        <is>
          <t>FINANCIAL</t>
        </is>
      </c>
      <c r="P728" t="inlineStr">
        <is>
          <t>FINANCIAL CREDITORS · row 166</t>
        </is>
      </c>
      <c r="Q728">
        <f>E728+ROW()*0.000000001</f>
        <v/>
      </c>
    </row>
    <row r="729">
      <c r="A729">
        <f>IF('FINANCIAL CREDITORS'!$A$167="","",'FINANCIAL CREDITORS'!$A$167)</f>
        <v/>
      </c>
      <c r="B729">
        <f>IF('FINANCIAL CREDITORS'!$C$167="","",'FINANCIAL CREDITORS'!$C$167)</f>
        <v/>
      </c>
      <c r="C729">
        <f>'FINANCIAL CREDITORS'!$U$167</f>
        <v/>
      </c>
      <c r="D729">
        <f>'FINANCIAL CREDITORS'!$AB$167</f>
        <v/>
      </c>
      <c r="E729">
        <f>'FINANCIAL CREDITORS'!$AF$167</f>
        <v/>
      </c>
      <c r="F729">
        <f>IF('FINANCIAL CREDITORS'!$V$167="","",'FINANCIAL CREDITORS'!$V$167)</f>
        <v/>
      </c>
      <c r="G729">
        <f>IF('FINANCIAL CREDITORS'!$D$167="","",'FINANCIAL CREDITORS'!$D$167)</f>
        <v/>
      </c>
      <c r="H729">
        <f>IF('FINANCIAL CREDITORS'!$G$167="","",'FINANCIAL CREDITORS'!$G$167)</f>
        <v/>
      </c>
      <c r="I729">
        <f>IF('FINANCIAL CREDITORS'!$AY$167="","",'FINANCIAL CREDITORS'!$AY$167)</f>
        <v/>
      </c>
      <c r="J729">
        <f>IF('FINANCIAL CREDITORS'!$BC$167="","",'FINANCIAL CREDITORS'!$BC$167)</f>
        <v/>
      </c>
      <c r="K729">
        <f>IF('FINANCIAL CREDITORS'!$N$167="","",'FINANCIAL CREDITORS'!$N$167)</f>
        <v/>
      </c>
      <c r="L729">
        <f>IF('FINANCIAL CREDITORS'!$AH$167="","",'FINANCIAL CREDITORS'!$AH$167)</f>
        <v/>
      </c>
      <c r="M729">
        <f>IF('FINANCIAL CREDITORS'!$AO$167="","",'FINANCIAL CREDITORS'!$AO$167)</f>
        <v/>
      </c>
      <c r="N729">
        <f>IF('FINANCIAL CREDITORS'!$BF$167="","",'FINANCIAL CREDITORS'!$BF$167)</f>
        <v/>
      </c>
      <c r="O729" t="inlineStr">
        <is>
          <t>FINANCIAL</t>
        </is>
      </c>
      <c r="P729" t="inlineStr">
        <is>
          <t>FINANCIAL CREDITORS · row 167</t>
        </is>
      </c>
      <c r="Q729">
        <f>E729+ROW()*0.000000001</f>
        <v/>
      </c>
    </row>
    <row r="730">
      <c r="A730">
        <f>IF('FINANCIAL CREDITORS'!$A$168="","",'FINANCIAL CREDITORS'!$A$168)</f>
        <v/>
      </c>
      <c r="B730">
        <f>IF('FINANCIAL CREDITORS'!$C$168="","",'FINANCIAL CREDITORS'!$C$168)</f>
        <v/>
      </c>
      <c r="C730">
        <f>'FINANCIAL CREDITORS'!$U$168</f>
        <v/>
      </c>
      <c r="D730">
        <f>'FINANCIAL CREDITORS'!$AB$168</f>
        <v/>
      </c>
      <c r="E730">
        <f>'FINANCIAL CREDITORS'!$AF$168</f>
        <v/>
      </c>
      <c r="F730">
        <f>IF('FINANCIAL CREDITORS'!$V$168="","",'FINANCIAL CREDITORS'!$V$168)</f>
        <v/>
      </c>
      <c r="G730">
        <f>IF('FINANCIAL CREDITORS'!$D$168="","",'FINANCIAL CREDITORS'!$D$168)</f>
        <v/>
      </c>
      <c r="H730">
        <f>IF('FINANCIAL CREDITORS'!$G$168="","",'FINANCIAL CREDITORS'!$G$168)</f>
        <v/>
      </c>
      <c r="I730">
        <f>IF('FINANCIAL CREDITORS'!$AY$168="","",'FINANCIAL CREDITORS'!$AY$168)</f>
        <v/>
      </c>
      <c r="J730">
        <f>IF('FINANCIAL CREDITORS'!$BC$168="","",'FINANCIAL CREDITORS'!$BC$168)</f>
        <v/>
      </c>
      <c r="K730">
        <f>IF('FINANCIAL CREDITORS'!$N$168="","",'FINANCIAL CREDITORS'!$N$168)</f>
        <v/>
      </c>
      <c r="L730">
        <f>IF('FINANCIAL CREDITORS'!$AH$168="","",'FINANCIAL CREDITORS'!$AH$168)</f>
        <v/>
      </c>
      <c r="M730">
        <f>IF('FINANCIAL CREDITORS'!$AO$168="","",'FINANCIAL CREDITORS'!$AO$168)</f>
        <v/>
      </c>
      <c r="N730">
        <f>IF('FINANCIAL CREDITORS'!$BF$168="","",'FINANCIAL CREDITORS'!$BF$168)</f>
        <v/>
      </c>
      <c r="O730" t="inlineStr">
        <is>
          <t>FINANCIAL</t>
        </is>
      </c>
      <c r="P730" t="inlineStr">
        <is>
          <t>FINANCIAL CREDITORS · row 168</t>
        </is>
      </c>
      <c r="Q730">
        <f>E730+ROW()*0.000000001</f>
        <v/>
      </c>
    </row>
    <row r="731">
      <c r="A731">
        <f>IF('FINANCIAL CREDITORS'!$A$169="","",'FINANCIAL CREDITORS'!$A$169)</f>
        <v/>
      </c>
      <c r="B731">
        <f>IF('FINANCIAL CREDITORS'!$C$169="","",'FINANCIAL CREDITORS'!$C$169)</f>
        <v/>
      </c>
      <c r="C731">
        <f>'FINANCIAL CREDITORS'!$U$169</f>
        <v/>
      </c>
      <c r="D731">
        <f>'FINANCIAL CREDITORS'!$AB$169</f>
        <v/>
      </c>
      <c r="E731">
        <f>'FINANCIAL CREDITORS'!$AF$169</f>
        <v/>
      </c>
      <c r="F731">
        <f>IF('FINANCIAL CREDITORS'!$V$169="","",'FINANCIAL CREDITORS'!$V$169)</f>
        <v/>
      </c>
      <c r="G731">
        <f>IF('FINANCIAL CREDITORS'!$D$169="","",'FINANCIAL CREDITORS'!$D$169)</f>
        <v/>
      </c>
      <c r="H731">
        <f>IF('FINANCIAL CREDITORS'!$G$169="","",'FINANCIAL CREDITORS'!$G$169)</f>
        <v/>
      </c>
      <c r="I731">
        <f>IF('FINANCIAL CREDITORS'!$AY$169="","",'FINANCIAL CREDITORS'!$AY$169)</f>
        <v/>
      </c>
      <c r="J731">
        <f>IF('FINANCIAL CREDITORS'!$BC$169="","",'FINANCIAL CREDITORS'!$BC$169)</f>
        <v/>
      </c>
      <c r="K731">
        <f>IF('FINANCIAL CREDITORS'!$N$169="","",'FINANCIAL CREDITORS'!$N$169)</f>
        <v/>
      </c>
      <c r="L731">
        <f>IF('FINANCIAL CREDITORS'!$AH$169="","",'FINANCIAL CREDITORS'!$AH$169)</f>
        <v/>
      </c>
      <c r="M731">
        <f>IF('FINANCIAL CREDITORS'!$AO$169="","",'FINANCIAL CREDITORS'!$AO$169)</f>
        <v/>
      </c>
      <c r="N731">
        <f>IF('FINANCIAL CREDITORS'!$BF$169="","",'FINANCIAL CREDITORS'!$BF$169)</f>
        <v/>
      </c>
      <c r="O731" t="inlineStr">
        <is>
          <t>FINANCIAL</t>
        </is>
      </c>
      <c r="P731" t="inlineStr">
        <is>
          <t>FINANCIAL CREDITORS · row 169</t>
        </is>
      </c>
      <c r="Q731">
        <f>E731+ROW()*0.000000001</f>
        <v/>
      </c>
    </row>
    <row r="732">
      <c r="A732">
        <f>IF('FINANCIAL CREDITORS'!$A$170="","",'FINANCIAL CREDITORS'!$A$170)</f>
        <v/>
      </c>
      <c r="B732">
        <f>IF('FINANCIAL CREDITORS'!$C$170="","",'FINANCIAL CREDITORS'!$C$170)</f>
        <v/>
      </c>
      <c r="C732">
        <f>'FINANCIAL CREDITORS'!$U$170</f>
        <v/>
      </c>
      <c r="D732">
        <f>'FINANCIAL CREDITORS'!$AB$170</f>
        <v/>
      </c>
      <c r="E732">
        <f>'FINANCIAL CREDITORS'!$AF$170</f>
        <v/>
      </c>
      <c r="F732">
        <f>IF('FINANCIAL CREDITORS'!$V$170="","",'FINANCIAL CREDITORS'!$V$170)</f>
        <v/>
      </c>
      <c r="G732">
        <f>IF('FINANCIAL CREDITORS'!$D$170="","",'FINANCIAL CREDITORS'!$D$170)</f>
        <v/>
      </c>
      <c r="H732">
        <f>IF('FINANCIAL CREDITORS'!$G$170="","",'FINANCIAL CREDITORS'!$G$170)</f>
        <v/>
      </c>
      <c r="I732">
        <f>IF('FINANCIAL CREDITORS'!$AY$170="","",'FINANCIAL CREDITORS'!$AY$170)</f>
        <v/>
      </c>
      <c r="J732">
        <f>IF('FINANCIAL CREDITORS'!$BC$170="","",'FINANCIAL CREDITORS'!$BC$170)</f>
        <v/>
      </c>
      <c r="K732">
        <f>IF('FINANCIAL CREDITORS'!$N$170="","",'FINANCIAL CREDITORS'!$N$170)</f>
        <v/>
      </c>
      <c r="L732">
        <f>IF('FINANCIAL CREDITORS'!$AH$170="","",'FINANCIAL CREDITORS'!$AH$170)</f>
        <v/>
      </c>
      <c r="M732">
        <f>IF('FINANCIAL CREDITORS'!$AO$170="","",'FINANCIAL CREDITORS'!$AO$170)</f>
        <v/>
      </c>
      <c r="N732">
        <f>IF('FINANCIAL CREDITORS'!$BF$170="","",'FINANCIAL CREDITORS'!$BF$170)</f>
        <v/>
      </c>
      <c r="O732" t="inlineStr">
        <is>
          <t>FINANCIAL</t>
        </is>
      </c>
      <c r="P732" t="inlineStr">
        <is>
          <t>FINANCIAL CREDITORS · row 170</t>
        </is>
      </c>
      <c r="Q732">
        <f>E732+ROW()*0.000000001</f>
        <v/>
      </c>
    </row>
    <row r="733">
      <c r="A733">
        <f>IF('FINANCIAL CREDITORS'!$A$171="","",'FINANCIAL CREDITORS'!$A$171)</f>
        <v/>
      </c>
      <c r="B733">
        <f>IF('FINANCIAL CREDITORS'!$C$171="","",'FINANCIAL CREDITORS'!$C$171)</f>
        <v/>
      </c>
      <c r="C733">
        <f>'FINANCIAL CREDITORS'!$U$171</f>
        <v/>
      </c>
      <c r="D733">
        <f>'FINANCIAL CREDITORS'!$AB$171</f>
        <v/>
      </c>
      <c r="E733">
        <f>'FINANCIAL CREDITORS'!$AF$171</f>
        <v/>
      </c>
      <c r="F733">
        <f>IF('FINANCIAL CREDITORS'!$V$171="","",'FINANCIAL CREDITORS'!$V$171)</f>
        <v/>
      </c>
      <c r="G733">
        <f>IF('FINANCIAL CREDITORS'!$D$171="","",'FINANCIAL CREDITORS'!$D$171)</f>
        <v/>
      </c>
      <c r="H733">
        <f>IF('FINANCIAL CREDITORS'!$G$171="","",'FINANCIAL CREDITORS'!$G$171)</f>
        <v/>
      </c>
      <c r="I733">
        <f>IF('FINANCIAL CREDITORS'!$AY$171="","",'FINANCIAL CREDITORS'!$AY$171)</f>
        <v/>
      </c>
      <c r="J733">
        <f>IF('FINANCIAL CREDITORS'!$BC$171="","",'FINANCIAL CREDITORS'!$BC$171)</f>
        <v/>
      </c>
      <c r="K733">
        <f>IF('FINANCIAL CREDITORS'!$N$171="","",'FINANCIAL CREDITORS'!$N$171)</f>
        <v/>
      </c>
      <c r="L733">
        <f>IF('FINANCIAL CREDITORS'!$AH$171="","",'FINANCIAL CREDITORS'!$AH$171)</f>
        <v/>
      </c>
      <c r="M733">
        <f>IF('FINANCIAL CREDITORS'!$AO$171="","",'FINANCIAL CREDITORS'!$AO$171)</f>
        <v/>
      </c>
      <c r="N733">
        <f>IF('FINANCIAL CREDITORS'!$BF$171="","",'FINANCIAL CREDITORS'!$BF$171)</f>
        <v/>
      </c>
      <c r="O733" t="inlineStr">
        <is>
          <t>FINANCIAL</t>
        </is>
      </c>
      <c r="P733" t="inlineStr">
        <is>
          <t>FINANCIAL CREDITORS · row 171</t>
        </is>
      </c>
      <c r="Q733">
        <f>E733+ROW()*0.000000001</f>
        <v/>
      </c>
    </row>
    <row r="734">
      <c r="A734">
        <f>IF('FINANCIAL CREDITORS'!$A$172="","",'FINANCIAL CREDITORS'!$A$172)</f>
        <v/>
      </c>
      <c r="B734">
        <f>IF('FINANCIAL CREDITORS'!$C$172="","",'FINANCIAL CREDITORS'!$C$172)</f>
        <v/>
      </c>
      <c r="C734">
        <f>'FINANCIAL CREDITORS'!$U$172</f>
        <v/>
      </c>
      <c r="D734">
        <f>'FINANCIAL CREDITORS'!$AB$172</f>
        <v/>
      </c>
      <c r="E734">
        <f>'FINANCIAL CREDITORS'!$AF$172</f>
        <v/>
      </c>
      <c r="F734">
        <f>IF('FINANCIAL CREDITORS'!$V$172="","",'FINANCIAL CREDITORS'!$V$172)</f>
        <v/>
      </c>
      <c r="G734">
        <f>IF('FINANCIAL CREDITORS'!$D$172="","",'FINANCIAL CREDITORS'!$D$172)</f>
        <v/>
      </c>
      <c r="H734">
        <f>IF('FINANCIAL CREDITORS'!$G$172="","",'FINANCIAL CREDITORS'!$G$172)</f>
        <v/>
      </c>
      <c r="I734">
        <f>IF('FINANCIAL CREDITORS'!$AY$172="","",'FINANCIAL CREDITORS'!$AY$172)</f>
        <v/>
      </c>
      <c r="J734">
        <f>IF('FINANCIAL CREDITORS'!$BC$172="","",'FINANCIAL CREDITORS'!$BC$172)</f>
        <v/>
      </c>
      <c r="K734">
        <f>IF('FINANCIAL CREDITORS'!$N$172="","",'FINANCIAL CREDITORS'!$N$172)</f>
        <v/>
      </c>
      <c r="L734">
        <f>IF('FINANCIAL CREDITORS'!$AH$172="","",'FINANCIAL CREDITORS'!$AH$172)</f>
        <v/>
      </c>
      <c r="M734">
        <f>IF('FINANCIAL CREDITORS'!$AO$172="","",'FINANCIAL CREDITORS'!$AO$172)</f>
        <v/>
      </c>
      <c r="N734">
        <f>IF('FINANCIAL CREDITORS'!$BF$172="","",'FINANCIAL CREDITORS'!$BF$172)</f>
        <v/>
      </c>
      <c r="O734" t="inlineStr">
        <is>
          <t>FINANCIAL</t>
        </is>
      </c>
      <c r="P734" t="inlineStr">
        <is>
          <t>FINANCIAL CREDITORS · row 172</t>
        </is>
      </c>
      <c r="Q734">
        <f>E734+ROW()*0.000000001</f>
        <v/>
      </c>
    </row>
    <row r="735">
      <c r="A735">
        <f>IF('FINANCIAL CREDITORS'!$A$173="","",'FINANCIAL CREDITORS'!$A$173)</f>
        <v/>
      </c>
      <c r="B735">
        <f>IF('FINANCIAL CREDITORS'!$C$173="","",'FINANCIAL CREDITORS'!$C$173)</f>
        <v/>
      </c>
      <c r="C735">
        <f>'FINANCIAL CREDITORS'!$U$173</f>
        <v/>
      </c>
      <c r="D735">
        <f>'FINANCIAL CREDITORS'!$AB$173</f>
        <v/>
      </c>
      <c r="E735">
        <f>'FINANCIAL CREDITORS'!$AF$173</f>
        <v/>
      </c>
      <c r="F735">
        <f>IF('FINANCIAL CREDITORS'!$V$173="","",'FINANCIAL CREDITORS'!$V$173)</f>
        <v/>
      </c>
      <c r="G735">
        <f>IF('FINANCIAL CREDITORS'!$D$173="","",'FINANCIAL CREDITORS'!$D$173)</f>
        <v/>
      </c>
      <c r="H735">
        <f>IF('FINANCIAL CREDITORS'!$G$173="","",'FINANCIAL CREDITORS'!$G$173)</f>
        <v/>
      </c>
      <c r="I735">
        <f>IF('FINANCIAL CREDITORS'!$AY$173="","",'FINANCIAL CREDITORS'!$AY$173)</f>
        <v/>
      </c>
      <c r="J735">
        <f>IF('FINANCIAL CREDITORS'!$BC$173="","",'FINANCIAL CREDITORS'!$BC$173)</f>
        <v/>
      </c>
      <c r="K735">
        <f>IF('FINANCIAL CREDITORS'!$N$173="","",'FINANCIAL CREDITORS'!$N$173)</f>
        <v/>
      </c>
      <c r="L735">
        <f>IF('FINANCIAL CREDITORS'!$AH$173="","",'FINANCIAL CREDITORS'!$AH$173)</f>
        <v/>
      </c>
      <c r="M735">
        <f>IF('FINANCIAL CREDITORS'!$AO$173="","",'FINANCIAL CREDITORS'!$AO$173)</f>
        <v/>
      </c>
      <c r="N735">
        <f>IF('FINANCIAL CREDITORS'!$BF$173="","",'FINANCIAL CREDITORS'!$BF$173)</f>
        <v/>
      </c>
      <c r="O735" t="inlineStr">
        <is>
          <t>FINANCIAL</t>
        </is>
      </c>
      <c r="P735" t="inlineStr">
        <is>
          <t>FINANCIAL CREDITORS · row 173</t>
        </is>
      </c>
      <c r="Q735">
        <f>E735+ROW()*0.000000001</f>
        <v/>
      </c>
    </row>
    <row r="736">
      <c r="A736">
        <f>IF('FINANCIAL CREDITORS'!$A$174="","",'FINANCIAL CREDITORS'!$A$174)</f>
        <v/>
      </c>
      <c r="B736">
        <f>IF('FINANCIAL CREDITORS'!$C$174="","",'FINANCIAL CREDITORS'!$C$174)</f>
        <v/>
      </c>
      <c r="C736">
        <f>'FINANCIAL CREDITORS'!$U$174</f>
        <v/>
      </c>
      <c r="D736">
        <f>'FINANCIAL CREDITORS'!$AB$174</f>
        <v/>
      </c>
      <c r="E736">
        <f>'FINANCIAL CREDITORS'!$AF$174</f>
        <v/>
      </c>
      <c r="F736">
        <f>IF('FINANCIAL CREDITORS'!$V$174="","",'FINANCIAL CREDITORS'!$V$174)</f>
        <v/>
      </c>
      <c r="G736">
        <f>IF('FINANCIAL CREDITORS'!$D$174="","",'FINANCIAL CREDITORS'!$D$174)</f>
        <v/>
      </c>
      <c r="H736">
        <f>IF('FINANCIAL CREDITORS'!$G$174="","",'FINANCIAL CREDITORS'!$G$174)</f>
        <v/>
      </c>
      <c r="I736">
        <f>IF('FINANCIAL CREDITORS'!$AY$174="","",'FINANCIAL CREDITORS'!$AY$174)</f>
        <v/>
      </c>
      <c r="J736">
        <f>IF('FINANCIAL CREDITORS'!$BC$174="","",'FINANCIAL CREDITORS'!$BC$174)</f>
        <v/>
      </c>
      <c r="K736">
        <f>IF('FINANCIAL CREDITORS'!$N$174="","",'FINANCIAL CREDITORS'!$N$174)</f>
        <v/>
      </c>
      <c r="L736">
        <f>IF('FINANCIAL CREDITORS'!$AH$174="","",'FINANCIAL CREDITORS'!$AH$174)</f>
        <v/>
      </c>
      <c r="M736">
        <f>IF('FINANCIAL CREDITORS'!$AO$174="","",'FINANCIAL CREDITORS'!$AO$174)</f>
        <v/>
      </c>
      <c r="N736">
        <f>IF('FINANCIAL CREDITORS'!$BF$174="","",'FINANCIAL CREDITORS'!$BF$174)</f>
        <v/>
      </c>
      <c r="O736" t="inlineStr">
        <is>
          <t>FINANCIAL</t>
        </is>
      </c>
      <c r="P736" t="inlineStr">
        <is>
          <t>FINANCIAL CREDITORS · row 174</t>
        </is>
      </c>
      <c r="Q736">
        <f>E736+ROW()*0.000000001</f>
        <v/>
      </c>
    </row>
    <row r="737">
      <c r="A737">
        <f>IF('FINANCIAL CREDITORS'!$A$175="","",'FINANCIAL CREDITORS'!$A$175)</f>
        <v/>
      </c>
      <c r="B737">
        <f>IF('FINANCIAL CREDITORS'!$C$175="","",'FINANCIAL CREDITORS'!$C$175)</f>
        <v/>
      </c>
      <c r="C737">
        <f>'FINANCIAL CREDITORS'!$U$175</f>
        <v/>
      </c>
      <c r="D737">
        <f>'FINANCIAL CREDITORS'!$AB$175</f>
        <v/>
      </c>
      <c r="E737">
        <f>'FINANCIAL CREDITORS'!$AF$175</f>
        <v/>
      </c>
      <c r="F737">
        <f>IF('FINANCIAL CREDITORS'!$V$175="","",'FINANCIAL CREDITORS'!$V$175)</f>
        <v/>
      </c>
      <c r="G737">
        <f>IF('FINANCIAL CREDITORS'!$D$175="","",'FINANCIAL CREDITORS'!$D$175)</f>
        <v/>
      </c>
      <c r="H737">
        <f>IF('FINANCIAL CREDITORS'!$G$175="","",'FINANCIAL CREDITORS'!$G$175)</f>
        <v/>
      </c>
      <c r="I737">
        <f>IF('FINANCIAL CREDITORS'!$AY$175="","",'FINANCIAL CREDITORS'!$AY$175)</f>
        <v/>
      </c>
      <c r="J737">
        <f>IF('FINANCIAL CREDITORS'!$BC$175="","",'FINANCIAL CREDITORS'!$BC$175)</f>
        <v/>
      </c>
      <c r="K737">
        <f>IF('FINANCIAL CREDITORS'!$N$175="","",'FINANCIAL CREDITORS'!$N$175)</f>
        <v/>
      </c>
      <c r="L737">
        <f>IF('FINANCIAL CREDITORS'!$AH$175="","",'FINANCIAL CREDITORS'!$AH$175)</f>
        <v/>
      </c>
      <c r="M737">
        <f>IF('FINANCIAL CREDITORS'!$AO$175="","",'FINANCIAL CREDITORS'!$AO$175)</f>
        <v/>
      </c>
      <c r="N737">
        <f>IF('FINANCIAL CREDITORS'!$BF$175="","",'FINANCIAL CREDITORS'!$BF$175)</f>
        <v/>
      </c>
      <c r="O737" t="inlineStr">
        <is>
          <t>FINANCIAL</t>
        </is>
      </c>
      <c r="P737" t="inlineStr">
        <is>
          <t>FINANCIAL CREDITORS · row 175</t>
        </is>
      </c>
      <c r="Q737">
        <f>E737+ROW()*0.000000001</f>
        <v/>
      </c>
    </row>
    <row r="738">
      <c r="A738">
        <f>IF('FINANCIAL CREDITORS'!$A$176="","",'FINANCIAL CREDITORS'!$A$176)</f>
        <v/>
      </c>
      <c r="B738">
        <f>IF('FINANCIAL CREDITORS'!$C$176="","",'FINANCIAL CREDITORS'!$C$176)</f>
        <v/>
      </c>
      <c r="C738">
        <f>'FINANCIAL CREDITORS'!$U$176</f>
        <v/>
      </c>
      <c r="D738">
        <f>'FINANCIAL CREDITORS'!$AB$176</f>
        <v/>
      </c>
      <c r="E738">
        <f>'FINANCIAL CREDITORS'!$AF$176</f>
        <v/>
      </c>
      <c r="F738">
        <f>IF('FINANCIAL CREDITORS'!$V$176="","",'FINANCIAL CREDITORS'!$V$176)</f>
        <v/>
      </c>
      <c r="G738">
        <f>IF('FINANCIAL CREDITORS'!$D$176="","",'FINANCIAL CREDITORS'!$D$176)</f>
        <v/>
      </c>
      <c r="H738">
        <f>IF('FINANCIAL CREDITORS'!$G$176="","",'FINANCIAL CREDITORS'!$G$176)</f>
        <v/>
      </c>
      <c r="I738">
        <f>IF('FINANCIAL CREDITORS'!$AY$176="","",'FINANCIAL CREDITORS'!$AY$176)</f>
        <v/>
      </c>
      <c r="J738">
        <f>IF('FINANCIAL CREDITORS'!$BC$176="","",'FINANCIAL CREDITORS'!$BC$176)</f>
        <v/>
      </c>
      <c r="K738">
        <f>IF('FINANCIAL CREDITORS'!$N$176="","",'FINANCIAL CREDITORS'!$N$176)</f>
        <v/>
      </c>
      <c r="L738">
        <f>IF('FINANCIAL CREDITORS'!$AH$176="","",'FINANCIAL CREDITORS'!$AH$176)</f>
        <v/>
      </c>
      <c r="M738">
        <f>IF('FINANCIAL CREDITORS'!$AO$176="","",'FINANCIAL CREDITORS'!$AO$176)</f>
        <v/>
      </c>
      <c r="N738">
        <f>IF('FINANCIAL CREDITORS'!$BF$176="","",'FINANCIAL CREDITORS'!$BF$176)</f>
        <v/>
      </c>
      <c r="O738" t="inlineStr">
        <is>
          <t>FINANCIAL</t>
        </is>
      </c>
      <c r="P738" t="inlineStr">
        <is>
          <t>FINANCIAL CREDITORS · row 176</t>
        </is>
      </c>
      <c r="Q738">
        <f>E738+ROW()*0.000000001</f>
        <v/>
      </c>
    </row>
    <row r="739">
      <c r="A739">
        <f>IF('FINANCIAL CREDITORS'!$A$177="","",'FINANCIAL CREDITORS'!$A$177)</f>
        <v/>
      </c>
      <c r="B739">
        <f>IF('FINANCIAL CREDITORS'!$C$177="","",'FINANCIAL CREDITORS'!$C$177)</f>
        <v/>
      </c>
      <c r="C739">
        <f>'FINANCIAL CREDITORS'!$U$177</f>
        <v/>
      </c>
      <c r="D739">
        <f>'FINANCIAL CREDITORS'!$AB$177</f>
        <v/>
      </c>
      <c r="E739">
        <f>'FINANCIAL CREDITORS'!$AF$177</f>
        <v/>
      </c>
      <c r="F739">
        <f>IF('FINANCIAL CREDITORS'!$V$177="","",'FINANCIAL CREDITORS'!$V$177)</f>
        <v/>
      </c>
      <c r="G739">
        <f>IF('FINANCIAL CREDITORS'!$D$177="","",'FINANCIAL CREDITORS'!$D$177)</f>
        <v/>
      </c>
      <c r="H739">
        <f>IF('FINANCIAL CREDITORS'!$G$177="","",'FINANCIAL CREDITORS'!$G$177)</f>
        <v/>
      </c>
      <c r="I739">
        <f>IF('FINANCIAL CREDITORS'!$AY$177="","",'FINANCIAL CREDITORS'!$AY$177)</f>
        <v/>
      </c>
      <c r="J739">
        <f>IF('FINANCIAL CREDITORS'!$BC$177="","",'FINANCIAL CREDITORS'!$BC$177)</f>
        <v/>
      </c>
      <c r="K739">
        <f>IF('FINANCIAL CREDITORS'!$N$177="","",'FINANCIAL CREDITORS'!$N$177)</f>
        <v/>
      </c>
      <c r="L739">
        <f>IF('FINANCIAL CREDITORS'!$AH$177="","",'FINANCIAL CREDITORS'!$AH$177)</f>
        <v/>
      </c>
      <c r="M739">
        <f>IF('FINANCIAL CREDITORS'!$AO$177="","",'FINANCIAL CREDITORS'!$AO$177)</f>
        <v/>
      </c>
      <c r="N739">
        <f>IF('FINANCIAL CREDITORS'!$BF$177="","",'FINANCIAL CREDITORS'!$BF$177)</f>
        <v/>
      </c>
      <c r="O739" t="inlineStr">
        <is>
          <t>FINANCIAL</t>
        </is>
      </c>
      <c r="P739" t="inlineStr">
        <is>
          <t>FINANCIAL CREDITORS · row 177</t>
        </is>
      </c>
      <c r="Q739">
        <f>E739+ROW()*0.000000001</f>
        <v/>
      </c>
    </row>
    <row r="740">
      <c r="A740">
        <f>IF('FINANCIAL CREDITORS'!$A$178="","",'FINANCIAL CREDITORS'!$A$178)</f>
        <v/>
      </c>
      <c r="B740">
        <f>IF('FINANCIAL CREDITORS'!$C$178="","",'FINANCIAL CREDITORS'!$C$178)</f>
        <v/>
      </c>
      <c r="C740">
        <f>'FINANCIAL CREDITORS'!$U$178</f>
        <v/>
      </c>
      <c r="D740">
        <f>'FINANCIAL CREDITORS'!$AB$178</f>
        <v/>
      </c>
      <c r="E740">
        <f>'FINANCIAL CREDITORS'!$AF$178</f>
        <v/>
      </c>
      <c r="F740">
        <f>IF('FINANCIAL CREDITORS'!$V$178="","",'FINANCIAL CREDITORS'!$V$178)</f>
        <v/>
      </c>
      <c r="G740">
        <f>IF('FINANCIAL CREDITORS'!$D$178="","",'FINANCIAL CREDITORS'!$D$178)</f>
        <v/>
      </c>
      <c r="H740">
        <f>IF('FINANCIAL CREDITORS'!$G$178="","",'FINANCIAL CREDITORS'!$G$178)</f>
        <v/>
      </c>
      <c r="I740">
        <f>IF('FINANCIAL CREDITORS'!$AY$178="","",'FINANCIAL CREDITORS'!$AY$178)</f>
        <v/>
      </c>
      <c r="J740">
        <f>IF('FINANCIAL CREDITORS'!$BC$178="","",'FINANCIAL CREDITORS'!$BC$178)</f>
        <v/>
      </c>
      <c r="K740">
        <f>IF('FINANCIAL CREDITORS'!$N$178="","",'FINANCIAL CREDITORS'!$N$178)</f>
        <v/>
      </c>
      <c r="L740">
        <f>IF('FINANCIAL CREDITORS'!$AH$178="","",'FINANCIAL CREDITORS'!$AH$178)</f>
        <v/>
      </c>
      <c r="M740">
        <f>IF('FINANCIAL CREDITORS'!$AO$178="","",'FINANCIAL CREDITORS'!$AO$178)</f>
        <v/>
      </c>
      <c r="N740">
        <f>IF('FINANCIAL CREDITORS'!$BF$178="","",'FINANCIAL CREDITORS'!$BF$178)</f>
        <v/>
      </c>
      <c r="O740" t="inlineStr">
        <is>
          <t>FINANCIAL</t>
        </is>
      </c>
      <c r="P740" t="inlineStr">
        <is>
          <t>FINANCIAL CREDITORS · row 178</t>
        </is>
      </c>
      <c r="Q740">
        <f>E740+ROW()*0.000000001</f>
        <v/>
      </c>
    </row>
    <row r="741">
      <c r="A741">
        <f>IF('FINANCIAL CREDITORS'!$A$179="","",'FINANCIAL CREDITORS'!$A$179)</f>
        <v/>
      </c>
      <c r="B741">
        <f>IF('FINANCIAL CREDITORS'!$C$179="","",'FINANCIAL CREDITORS'!$C$179)</f>
        <v/>
      </c>
      <c r="C741">
        <f>'FINANCIAL CREDITORS'!$U$179</f>
        <v/>
      </c>
      <c r="D741">
        <f>'FINANCIAL CREDITORS'!$AB$179</f>
        <v/>
      </c>
      <c r="E741">
        <f>'FINANCIAL CREDITORS'!$AF$179</f>
        <v/>
      </c>
      <c r="F741">
        <f>IF('FINANCIAL CREDITORS'!$V$179="","",'FINANCIAL CREDITORS'!$V$179)</f>
        <v/>
      </c>
      <c r="G741">
        <f>IF('FINANCIAL CREDITORS'!$D$179="","",'FINANCIAL CREDITORS'!$D$179)</f>
        <v/>
      </c>
      <c r="H741">
        <f>IF('FINANCIAL CREDITORS'!$G$179="","",'FINANCIAL CREDITORS'!$G$179)</f>
        <v/>
      </c>
      <c r="I741">
        <f>IF('FINANCIAL CREDITORS'!$AY$179="","",'FINANCIAL CREDITORS'!$AY$179)</f>
        <v/>
      </c>
      <c r="J741">
        <f>IF('FINANCIAL CREDITORS'!$BC$179="","",'FINANCIAL CREDITORS'!$BC$179)</f>
        <v/>
      </c>
      <c r="K741">
        <f>IF('FINANCIAL CREDITORS'!$N$179="","",'FINANCIAL CREDITORS'!$N$179)</f>
        <v/>
      </c>
      <c r="L741">
        <f>IF('FINANCIAL CREDITORS'!$AH$179="","",'FINANCIAL CREDITORS'!$AH$179)</f>
        <v/>
      </c>
      <c r="M741">
        <f>IF('FINANCIAL CREDITORS'!$AO$179="","",'FINANCIAL CREDITORS'!$AO$179)</f>
        <v/>
      </c>
      <c r="N741">
        <f>IF('FINANCIAL CREDITORS'!$BF$179="","",'FINANCIAL CREDITORS'!$BF$179)</f>
        <v/>
      </c>
      <c r="O741" t="inlineStr">
        <is>
          <t>FINANCIAL</t>
        </is>
      </c>
      <c r="P741" t="inlineStr">
        <is>
          <t>FINANCIAL CREDITORS · row 179</t>
        </is>
      </c>
      <c r="Q741">
        <f>E741+ROW()*0.000000001</f>
        <v/>
      </c>
    </row>
    <row r="742">
      <c r="A742">
        <f>IF('FINANCIAL CREDITORS'!$A$180="","",'FINANCIAL CREDITORS'!$A$180)</f>
        <v/>
      </c>
      <c r="B742">
        <f>IF('FINANCIAL CREDITORS'!$C$180="","",'FINANCIAL CREDITORS'!$C$180)</f>
        <v/>
      </c>
      <c r="C742">
        <f>'FINANCIAL CREDITORS'!$U$180</f>
        <v/>
      </c>
      <c r="D742">
        <f>'FINANCIAL CREDITORS'!$AB$180</f>
        <v/>
      </c>
      <c r="E742">
        <f>'FINANCIAL CREDITORS'!$AF$180</f>
        <v/>
      </c>
      <c r="F742">
        <f>IF('FINANCIAL CREDITORS'!$V$180="","",'FINANCIAL CREDITORS'!$V$180)</f>
        <v/>
      </c>
      <c r="G742">
        <f>IF('FINANCIAL CREDITORS'!$D$180="","",'FINANCIAL CREDITORS'!$D$180)</f>
        <v/>
      </c>
      <c r="H742">
        <f>IF('FINANCIAL CREDITORS'!$G$180="","",'FINANCIAL CREDITORS'!$G$180)</f>
        <v/>
      </c>
      <c r="I742">
        <f>IF('FINANCIAL CREDITORS'!$AY$180="","",'FINANCIAL CREDITORS'!$AY$180)</f>
        <v/>
      </c>
      <c r="J742">
        <f>IF('FINANCIAL CREDITORS'!$BC$180="","",'FINANCIAL CREDITORS'!$BC$180)</f>
        <v/>
      </c>
      <c r="K742">
        <f>IF('FINANCIAL CREDITORS'!$N$180="","",'FINANCIAL CREDITORS'!$N$180)</f>
        <v/>
      </c>
      <c r="L742">
        <f>IF('FINANCIAL CREDITORS'!$AH$180="","",'FINANCIAL CREDITORS'!$AH$180)</f>
        <v/>
      </c>
      <c r="M742">
        <f>IF('FINANCIAL CREDITORS'!$AO$180="","",'FINANCIAL CREDITORS'!$AO$180)</f>
        <v/>
      </c>
      <c r="N742">
        <f>IF('FINANCIAL CREDITORS'!$BF$180="","",'FINANCIAL CREDITORS'!$BF$180)</f>
        <v/>
      </c>
      <c r="O742" t="inlineStr">
        <is>
          <t>FINANCIAL</t>
        </is>
      </c>
      <c r="P742" t="inlineStr">
        <is>
          <t>FINANCIAL CREDITORS · row 180</t>
        </is>
      </c>
      <c r="Q742">
        <f>E742+ROW()*0.000000001</f>
        <v/>
      </c>
    </row>
    <row r="743">
      <c r="A743">
        <f>IF('FINANCIAL CREDITORS'!$A$181="","",'FINANCIAL CREDITORS'!$A$181)</f>
        <v/>
      </c>
      <c r="B743">
        <f>IF('FINANCIAL CREDITORS'!$C$181="","",'FINANCIAL CREDITORS'!$C$181)</f>
        <v/>
      </c>
      <c r="C743">
        <f>'FINANCIAL CREDITORS'!$U$181</f>
        <v/>
      </c>
      <c r="D743">
        <f>'FINANCIAL CREDITORS'!$AB$181</f>
        <v/>
      </c>
      <c r="E743">
        <f>'FINANCIAL CREDITORS'!$AF$181</f>
        <v/>
      </c>
      <c r="F743">
        <f>IF('FINANCIAL CREDITORS'!$V$181="","",'FINANCIAL CREDITORS'!$V$181)</f>
        <v/>
      </c>
      <c r="G743">
        <f>IF('FINANCIAL CREDITORS'!$D$181="","",'FINANCIAL CREDITORS'!$D$181)</f>
        <v/>
      </c>
      <c r="H743">
        <f>IF('FINANCIAL CREDITORS'!$G$181="","",'FINANCIAL CREDITORS'!$G$181)</f>
        <v/>
      </c>
      <c r="I743">
        <f>IF('FINANCIAL CREDITORS'!$AY$181="","",'FINANCIAL CREDITORS'!$AY$181)</f>
        <v/>
      </c>
      <c r="J743">
        <f>IF('FINANCIAL CREDITORS'!$BC$181="","",'FINANCIAL CREDITORS'!$BC$181)</f>
        <v/>
      </c>
      <c r="K743">
        <f>IF('FINANCIAL CREDITORS'!$N$181="","",'FINANCIAL CREDITORS'!$N$181)</f>
        <v/>
      </c>
      <c r="L743">
        <f>IF('FINANCIAL CREDITORS'!$AH$181="","",'FINANCIAL CREDITORS'!$AH$181)</f>
        <v/>
      </c>
      <c r="M743">
        <f>IF('FINANCIAL CREDITORS'!$AO$181="","",'FINANCIAL CREDITORS'!$AO$181)</f>
        <v/>
      </c>
      <c r="N743">
        <f>IF('FINANCIAL CREDITORS'!$BF$181="","",'FINANCIAL CREDITORS'!$BF$181)</f>
        <v/>
      </c>
      <c r="O743" t="inlineStr">
        <is>
          <t>FINANCIAL</t>
        </is>
      </c>
      <c r="P743" t="inlineStr">
        <is>
          <t>FINANCIAL CREDITORS · row 181</t>
        </is>
      </c>
      <c r="Q743">
        <f>E743+ROW()*0.000000001</f>
        <v/>
      </c>
    </row>
    <row r="744">
      <c r="A744">
        <f>IF('FINANCIAL CREDITORS'!$A$182="","",'FINANCIAL CREDITORS'!$A$182)</f>
        <v/>
      </c>
      <c r="B744">
        <f>IF('FINANCIAL CREDITORS'!$C$182="","",'FINANCIAL CREDITORS'!$C$182)</f>
        <v/>
      </c>
      <c r="C744">
        <f>'FINANCIAL CREDITORS'!$U$182</f>
        <v/>
      </c>
      <c r="D744">
        <f>'FINANCIAL CREDITORS'!$AB$182</f>
        <v/>
      </c>
      <c r="E744">
        <f>'FINANCIAL CREDITORS'!$AF$182</f>
        <v/>
      </c>
      <c r="F744">
        <f>IF('FINANCIAL CREDITORS'!$V$182="","",'FINANCIAL CREDITORS'!$V$182)</f>
        <v/>
      </c>
      <c r="G744">
        <f>IF('FINANCIAL CREDITORS'!$D$182="","",'FINANCIAL CREDITORS'!$D$182)</f>
        <v/>
      </c>
      <c r="H744">
        <f>IF('FINANCIAL CREDITORS'!$G$182="","",'FINANCIAL CREDITORS'!$G$182)</f>
        <v/>
      </c>
      <c r="I744">
        <f>IF('FINANCIAL CREDITORS'!$AY$182="","",'FINANCIAL CREDITORS'!$AY$182)</f>
        <v/>
      </c>
      <c r="J744">
        <f>IF('FINANCIAL CREDITORS'!$BC$182="","",'FINANCIAL CREDITORS'!$BC$182)</f>
        <v/>
      </c>
      <c r="K744">
        <f>IF('FINANCIAL CREDITORS'!$N$182="","",'FINANCIAL CREDITORS'!$N$182)</f>
        <v/>
      </c>
      <c r="L744">
        <f>IF('FINANCIAL CREDITORS'!$AH$182="","",'FINANCIAL CREDITORS'!$AH$182)</f>
        <v/>
      </c>
      <c r="M744">
        <f>IF('FINANCIAL CREDITORS'!$AO$182="","",'FINANCIAL CREDITORS'!$AO$182)</f>
        <v/>
      </c>
      <c r="N744">
        <f>IF('FINANCIAL CREDITORS'!$BF$182="","",'FINANCIAL CREDITORS'!$BF$182)</f>
        <v/>
      </c>
      <c r="O744" t="inlineStr">
        <is>
          <t>FINANCIAL</t>
        </is>
      </c>
      <c r="P744" t="inlineStr">
        <is>
          <t>FINANCIAL CREDITORS · row 182</t>
        </is>
      </c>
      <c r="Q744">
        <f>E744+ROW()*0.000000001</f>
        <v/>
      </c>
    </row>
    <row r="745">
      <c r="A745">
        <f>IF('FINANCIAL CREDITORS'!$A$183="","",'FINANCIAL CREDITORS'!$A$183)</f>
        <v/>
      </c>
      <c r="B745">
        <f>IF('FINANCIAL CREDITORS'!$C$183="","",'FINANCIAL CREDITORS'!$C$183)</f>
        <v/>
      </c>
      <c r="C745">
        <f>'FINANCIAL CREDITORS'!$U$183</f>
        <v/>
      </c>
      <c r="D745">
        <f>'FINANCIAL CREDITORS'!$AB$183</f>
        <v/>
      </c>
      <c r="E745">
        <f>'FINANCIAL CREDITORS'!$AF$183</f>
        <v/>
      </c>
      <c r="F745">
        <f>IF('FINANCIAL CREDITORS'!$V$183="","",'FINANCIAL CREDITORS'!$V$183)</f>
        <v/>
      </c>
      <c r="G745">
        <f>IF('FINANCIAL CREDITORS'!$D$183="","",'FINANCIAL CREDITORS'!$D$183)</f>
        <v/>
      </c>
      <c r="H745">
        <f>IF('FINANCIAL CREDITORS'!$G$183="","",'FINANCIAL CREDITORS'!$G$183)</f>
        <v/>
      </c>
      <c r="I745">
        <f>IF('FINANCIAL CREDITORS'!$AY$183="","",'FINANCIAL CREDITORS'!$AY$183)</f>
        <v/>
      </c>
      <c r="J745">
        <f>IF('FINANCIAL CREDITORS'!$BC$183="","",'FINANCIAL CREDITORS'!$BC$183)</f>
        <v/>
      </c>
      <c r="K745">
        <f>IF('FINANCIAL CREDITORS'!$N$183="","",'FINANCIAL CREDITORS'!$N$183)</f>
        <v/>
      </c>
      <c r="L745">
        <f>IF('FINANCIAL CREDITORS'!$AH$183="","",'FINANCIAL CREDITORS'!$AH$183)</f>
        <v/>
      </c>
      <c r="M745">
        <f>IF('FINANCIAL CREDITORS'!$AO$183="","",'FINANCIAL CREDITORS'!$AO$183)</f>
        <v/>
      </c>
      <c r="N745">
        <f>IF('FINANCIAL CREDITORS'!$BF$183="","",'FINANCIAL CREDITORS'!$BF$183)</f>
        <v/>
      </c>
      <c r="O745" t="inlineStr">
        <is>
          <t>FINANCIAL</t>
        </is>
      </c>
      <c r="P745" t="inlineStr">
        <is>
          <t>FINANCIAL CREDITORS · row 183</t>
        </is>
      </c>
      <c r="Q745">
        <f>E745+ROW()*0.000000001</f>
        <v/>
      </c>
    </row>
    <row r="746">
      <c r="A746">
        <f>IF('FINANCIAL CREDITORS'!$A$184="","",'FINANCIAL CREDITORS'!$A$184)</f>
        <v/>
      </c>
      <c r="B746">
        <f>IF('FINANCIAL CREDITORS'!$C$184="","",'FINANCIAL CREDITORS'!$C$184)</f>
        <v/>
      </c>
      <c r="C746">
        <f>'FINANCIAL CREDITORS'!$U$184</f>
        <v/>
      </c>
      <c r="D746">
        <f>'FINANCIAL CREDITORS'!$AB$184</f>
        <v/>
      </c>
      <c r="E746">
        <f>'FINANCIAL CREDITORS'!$AF$184</f>
        <v/>
      </c>
      <c r="F746">
        <f>IF('FINANCIAL CREDITORS'!$V$184="","",'FINANCIAL CREDITORS'!$V$184)</f>
        <v/>
      </c>
      <c r="G746">
        <f>IF('FINANCIAL CREDITORS'!$D$184="","",'FINANCIAL CREDITORS'!$D$184)</f>
        <v/>
      </c>
      <c r="H746">
        <f>IF('FINANCIAL CREDITORS'!$G$184="","",'FINANCIAL CREDITORS'!$G$184)</f>
        <v/>
      </c>
      <c r="I746">
        <f>IF('FINANCIAL CREDITORS'!$AY$184="","",'FINANCIAL CREDITORS'!$AY$184)</f>
        <v/>
      </c>
      <c r="J746">
        <f>IF('FINANCIAL CREDITORS'!$BC$184="","",'FINANCIAL CREDITORS'!$BC$184)</f>
        <v/>
      </c>
      <c r="K746">
        <f>IF('FINANCIAL CREDITORS'!$N$184="","",'FINANCIAL CREDITORS'!$N$184)</f>
        <v/>
      </c>
      <c r="L746">
        <f>IF('FINANCIAL CREDITORS'!$AH$184="","",'FINANCIAL CREDITORS'!$AH$184)</f>
        <v/>
      </c>
      <c r="M746">
        <f>IF('FINANCIAL CREDITORS'!$AO$184="","",'FINANCIAL CREDITORS'!$AO$184)</f>
        <v/>
      </c>
      <c r="N746">
        <f>IF('FINANCIAL CREDITORS'!$BF$184="","",'FINANCIAL CREDITORS'!$BF$184)</f>
        <v/>
      </c>
      <c r="O746" t="inlineStr">
        <is>
          <t>FINANCIAL</t>
        </is>
      </c>
      <c r="P746" t="inlineStr">
        <is>
          <t>FINANCIAL CREDITORS · row 184</t>
        </is>
      </c>
      <c r="Q746">
        <f>E746+ROW()*0.000000001</f>
        <v/>
      </c>
    </row>
    <row r="747">
      <c r="A747">
        <f>IF('FINANCIAL CREDITORS'!$A$185="","",'FINANCIAL CREDITORS'!$A$185)</f>
        <v/>
      </c>
      <c r="B747">
        <f>IF('FINANCIAL CREDITORS'!$C$185="","",'FINANCIAL CREDITORS'!$C$185)</f>
        <v/>
      </c>
      <c r="C747">
        <f>'FINANCIAL CREDITORS'!$U$185</f>
        <v/>
      </c>
      <c r="D747">
        <f>'FINANCIAL CREDITORS'!$AB$185</f>
        <v/>
      </c>
      <c r="E747">
        <f>'FINANCIAL CREDITORS'!$AF$185</f>
        <v/>
      </c>
      <c r="F747">
        <f>IF('FINANCIAL CREDITORS'!$V$185="","",'FINANCIAL CREDITORS'!$V$185)</f>
        <v/>
      </c>
      <c r="G747">
        <f>IF('FINANCIAL CREDITORS'!$D$185="","",'FINANCIAL CREDITORS'!$D$185)</f>
        <v/>
      </c>
      <c r="H747">
        <f>IF('FINANCIAL CREDITORS'!$G$185="","",'FINANCIAL CREDITORS'!$G$185)</f>
        <v/>
      </c>
      <c r="I747">
        <f>IF('FINANCIAL CREDITORS'!$AY$185="","",'FINANCIAL CREDITORS'!$AY$185)</f>
        <v/>
      </c>
      <c r="J747">
        <f>IF('FINANCIAL CREDITORS'!$BC$185="","",'FINANCIAL CREDITORS'!$BC$185)</f>
        <v/>
      </c>
      <c r="K747">
        <f>IF('FINANCIAL CREDITORS'!$N$185="","",'FINANCIAL CREDITORS'!$N$185)</f>
        <v/>
      </c>
      <c r="L747">
        <f>IF('FINANCIAL CREDITORS'!$AH$185="","",'FINANCIAL CREDITORS'!$AH$185)</f>
        <v/>
      </c>
      <c r="M747">
        <f>IF('FINANCIAL CREDITORS'!$AO$185="","",'FINANCIAL CREDITORS'!$AO$185)</f>
        <v/>
      </c>
      <c r="N747">
        <f>IF('FINANCIAL CREDITORS'!$BF$185="","",'FINANCIAL CREDITORS'!$BF$185)</f>
        <v/>
      </c>
      <c r="O747" t="inlineStr">
        <is>
          <t>FINANCIAL</t>
        </is>
      </c>
      <c r="P747" t="inlineStr">
        <is>
          <t>FINANCIAL CREDITORS · row 185</t>
        </is>
      </c>
      <c r="Q747">
        <f>E747+ROW()*0.000000001</f>
        <v/>
      </c>
    </row>
    <row r="748">
      <c r="A748">
        <f>IF('FINANCIAL CREDITORS'!$A$186="","",'FINANCIAL CREDITORS'!$A$186)</f>
        <v/>
      </c>
      <c r="B748">
        <f>IF('FINANCIAL CREDITORS'!$C$186="","",'FINANCIAL CREDITORS'!$C$186)</f>
        <v/>
      </c>
      <c r="C748">
        <f>'FINANCIAL CREDITORS'!$U$186</f>
        <v/>
      </c>
      <c r="D748">
        <f>'FINANCIAL CREDITORS'!$AB$186</f>
        <v/>
      </c>
      <c r="E748">
        <f>'FINANCIAL CREDITORS'!$AF$186</f>
        <v/>
      </c>
      <c r="F748">
        <f>IF('FINANCIAL CREDITORS'!$V$186="","",'FINANCIAL CREDITORS'!$V$186)</f>
        <v/>
      </c>
      <c r="G748">
        <f>IF('FINANCIAL CREDITORS'!$D$186="","",'FINANCIAL CREDITORS'!$D$186)</f>
        <v/>
      </c>
      <c r="H748">
        <f>IF('FINANCIAL CREDITORS'!$G$186="","",'FINANCIAL CREDITORS'!$G$186)</f>
        <v/>
      </c>
      <c r="I748">
        <f>IF('FINANCIAL CREDITORS'!$AY$186="","",'FINANCIAL CREDITORS'!$AY$186)</f>
        <v/>
      </c>
      <c r="J748">
        <f>IF('FINANCIAL CREDITORS'!$BC$186="","",'FINANCIAL CREDITORS'!$BC$186)</f>
        <v/>
      </c>
      <c r="K748">
        <f>IF('FINANCIAL CREDITORS'!$N$186="","",'FINANCIAL CREDITORS'!$N$186)</f>
        <v/>
      </c>
      <c r="L748">
        <f>IF('FINANCIAL CREDITORS'!$AH$186="","",'FINANCIAL CREDITORS'!$AH$186)</f>
        <v/>
      </c>
      <c r="M748">
        <f>IF('FINANCIAL CREDITORS'!$AO$186="","",'FINANCIAL CREDITORS'!$AO$186)</f>
        <v/>
      </c>
      <c r="N748">
        <f>IF('FINANCIAL CREDITORS'!$BF$186="","",'FINANCIAL CREDITORS'!$BF$186)</f>
        <v/>
      </c>
      <c r="O748" t="inlineStr">
        <is>
          <t>FINANCIAL</t>
        </is>
      </c>
      <c r="P748" t="inlineStr">
        <is>
          <t>FINANCIAL CREDITORS · row 186</t>
        </is>
      </c>
      <c r="Q748">
        <f>E748+ROW()*0.000000001</f>
        <v/>
      </c>
    </row>
    <row r="749">
      <c r="A749">
        <f>IF('FINANCIAL CREDITORS'!$A$187="","",'FINANCIAL CREDITORS'!$A$187)</f>
        <v/>
      </c>
      <c r="B749">
        <f>IF('FINANCIAL CREDITORS'!$C$187="","",'FINANCIAL CREDITORS'!$C$187)</f>
        <v/>
      </c>
      <c r="C749">
        <f>'FINANCIAL CREDITORS'!$U$187</f>
        <v/>
      </c>
      <c r="D749">
        <f>'FINANCIAL CREDITORS'!$AB$187</f>
        <v/>
      </c>
      <c r="E749">
        <f>'FINANCIAL CREDITORS'!$AF$187</f>
        <v/>
      </c>
      <c r="F749">
        <f>IF('FINANCIAL CREDITORS'!$V$187="","",'FINANCIAL CREDITORS'!$V$187)</f>
        <v/>
      </c>
      <c r="G749">
        <f>IF('FINANCIAL CREDITORS'!$D$187="","",'FINANCIAL CREDITORS'!$D$187)</f>
        <v/>
      </c>
      <c r="H749">
        <f>IF('FINANCIAL CREDITORS'!$G$187="","",'FINANCIAL CREDITORS'!$G$187)</f>
        <v/>
      </c>
      <c r="I749">
        <f>IF('FINANCIAL CREDITORS'!$AY$187="","",'FINANCIAL CREDITORS'!$AY$187)</f>
        <v/>
      </c>
      <c r="J749">
        <f>IF('FINANCIAL CREDITORS'!$BC$187="","",'FINANCIAL CREDITORS'!$BC$187)</f>
        <v/>
      </c>
      <c r="K749">
        <f>IF('FINANCIAL CREDITORS'!$N$187="","",'FINANCIAL CREDITORS'!$N$187)</f>
        <v/>
      </c>
      <c r="L749">
        <f>IF('FINANCIAL CREDITORS'!$AH$187="","",'FINANCIAL CREDITORS'!$AH$187)</f>
        <v/>
      </c>
      <c r="M749">
        <f>IF('FINANCIAL CREDITORS'!$AO$187="","",'FINANCIAL CREDITORS'!$AO$187)</f>
        <v/>
      </c>
      <c r="N749">
        <f>IF('FINANCIAL CREDITORS'!$BF$187="","",'FINANCIAL CREDITORS'!$BF$187)</f>
        <v/>
      </c>
      <c r="O749" t="inlineStr">
        <is>
          <t>FINANCIAL</t>
        </is>
      </c>
      <c r="P749" t="inlineStr">
        <is>
          <t>FINANCIAL CREDITORS · row 187</t>
        </is>
      </c>
      <c r="Q749">
        <f>E749+ROW()*0.000000001</f>
        <v/>
      </c>
    </row>
    <row r="750">
      <c r="A750">
        <f>IF('FINANCIAL CREDITORS'!$A$188="","",'FINANCIAL CREDITORS'!$A$188)</f>
        <v/>
      </c>
      <c r="B750">
        <f>IF('FINANCIAL CREDITORS'!$C$188="","",'FINANCIAL CREDITORS'!$C$188)</f>
        <v/>
      </c>
      <c r="C750">
        <f>'FINANCIAL CREDITORS'!$U$188</f>
        <v/>
      </c>
      <c r="D750">
        <f>'FINANCIAL CREDITORS'!$AB$188</f>
        <v/>
      </c>
      <c r="E750">
        <f>'FINANCIAL CREDITORS'!$AF$188</f>
        <v/>
      </c>
      <c r="F750">
        <f>IF('FINANCIAL CREDITORS'!$V$188="","",'FINANCIAL CREDITORS'!$V$188)</f>
        <v/>
      </c>
      <c r="G750">
        <f>IF('FINANCIAL CREDITORS'!$D$188="","",'FINANCIAL CREDITORS'!$D$188)</f>
        <v/>
      </c>
      <c r="H750">
        <f>IF('FINANCIAL CREDITORS'!$G$188="","",'FINANCIAL CREDITORS'!$G$188)</f>
        <v/>
      </c>
      <c r="I750">
        <f>IF('FINANCIAL CREDITORS'!$AY$188="","",'FINANCIAL CREDITORS'!$AY$188)</f>
        <v/>
      </c>
      <c r="J750">
        <f>IF('FINANCIAL CREDITORS'!$BC$188="","",'FINANCIAL CREDITORS'!$BC$188)</f>
        <v/>
      </c>
      <c r="K750">
        <f>IF('FINANCIAL CREDITORS'!$N$188="","",'FINANCIAL CREDITORS'!$N$188)</f>
        <v/>
      </c>
      <c r="L750">
        <f>IF('FINANCIAL CREDITORS'!$AH$188="","",'FINANCIAL CREDITORS'!$AH$188)</f>
        <v/>
      </c>
      <c r="M750">
        <f>IF('FINANCIAL CREDITORS'!$AO$188="","",'FINANCIAL CREDITORS'!$AO$188)</f>
        <v/>
      </c>
      <c r="N750">
        <f>IF('FINANCIAL CREDITORS'!$BF$188="","",'FINANCIAL CREDITORS'!$BF$188)</f>
        <v/>
      </c>
      <c r="O750" t="inlineStr">
        <is>
          <t>FINANCIAL</t>
        </is>
      </c>
      <c r="P750" t="inlineStr">
        <is>
          <t>FINANCIAL CREDITORS · row 188</t>
        </is>
      </c>
      <c r="Q750">
        <f>E750+ROW()*0.000000001</f>
        <v/>
      </c>
    </row>
    <row r="751">
      <c r="A751">
        <f>IF('FINANCIAL CREDITORS'!$A$189="","",'FINANCIAL CREDITORS'!$A$189)</f>
        <v/>
      </c>
      <c r="B751">
        <f>IF('FINANCIAL CREDITORS'!$C$189="","",'FINANCIAL CREDITORS'!$C$189)</f>
        <v/>
      </c>
      <c r="C751">
        <f>'FINANCIAL CREDITORS'!$U$189</f>
        <v/>
      </c>
      <c r="D751">
        <f>'FINANCIAL CREDITORS'!$AB$189</f>
        <v/>
      </c>
      <c r="E751">
        <f>'FINANCIAL CREDITORS'!$AF$189</f>
        <v/>
      </c>
      <c r="F751">
        <f>IF('FINANCIAL CREDITORS'!$V$189="","",'FINANCIAL CREDITORS'!$V$189)</f>
        <v/>
      </c>
      <c r="G751">
        <f>IF('FINANCIAL CREDITORS'!$D$189="","",'FINANCIAL CREDITORS'!$D$189)</f>
        <v/>
      </c>
      <c r="H751">
        <f>IF('FINANCIAL CREDITORS'!$G$189="","",'FINANCIAL CREDITORS'!$G$189)</f>
        <v/>
      </c>
      <c r="I751">
        <f>IF('FINANCIAL CREDITORS'!$AY$189="","",'FINANCIAL CREDITORS'!$AY$189)</f>
        <v/>
      </c>
      <c r="J751">
        <f>IF('FINANCIAL CREDITORS'!$BC$189="","",'FINANCIAL CREDITORS'!$BC$189)</f>
        <v/>
      </c>
      <c r="K751">
        <f>IF('FINANCIAL CREDITORS'!$N$189="","",'FINANCIAL CREDITORS'!$N$189)</f>
        <v/>
      </c>
      <c r="L751">
        <f>IF('FINANCIAL CREDITORS'!$AH$189="","",'FINANCIAL CREDITORS'!$AH$189)</f>
        <v/>
      </c>
      <c r="M751">
        <f>IF('FINANCIAL CREDITORS'!$AO$189="","",'FINANCIAL CREDITORS'!$AO$189)</f>
        <v/>
      </c>
      <c r="N751">
        <f>IF('FINANCIAL CREDITORS'!$BF$189="","",'FINANCIAL CREDITORS'!$BF$189)</f>
        <v/>
      </c>
      <c r="O751" t="inlineStr">
        <is>
          <t>FINANCIAL</t>
        </is>
      </c>
      <c r="P751" t="inlineStr">
        <is>
          <t>FINANCIAL CREDITORS · row 189</t>
        </is>
      </c>
      <c r="Q751">
        <f>E751+ROW()*0.000000001</f>
        <v/>
      </c>
    </row>
    <row r="752">
      <c r="A752">
        <f>IF('FINANCIAL CREDITORS'!$A$190="","",'FINANCIAL CREDITORS'!$A$190)</f>
        <v/>
      </c>
      <c r="B752">
        <f>IF('FINANCIAL CREDITORS'!$C$190="","",'FINANCIAL CREDITORS'!$C$190)</f>
        <v/>
      </c>
      <c r="C752">
        <f>'FINANCIAL CREDITORS'!$U$190</f>
        <v/>
      </c>
      <c r="D752">
        <f>'FINANCIAL CREDITORS'!$AB$190</f>
        <v/>
      </c>
      <c r="E752">
        <f>'FINANCIAL CREDITORS'!$AF$190</f>
        <v/>
      </c>
      <c r="F752">
        <f>IF('FINANCIAL CREDITORS'!$V$190="","",'FINANCIAL CREDITORS'!$V$190)</f>
        <v/>
      </c>
      <c r="G752">
        <f>IF('FINANCIAL CREDITORS'!$D$190="","",'FINANCIAL CREDITORS'!$D$190)</f>
        <v/>
      </c>
      <c r="H752">
        <f>IF('FINANCIAL CREDITORS'!$G$190="","",'FINANCIAL CREDITORS'!$G$190)</f>
        <v/>
      </c>
      <c r="I752">
        <f>IF('FINANCIAL CREDITORS'!$AY$190="","",'FINANCIAL CREDITORS'!$AY$190)</f>
        <v/>
      </c>
      <c r="J752">
        <f>IF('FINANCIAL CREDITORS'!$BC$190="","",'FINANCIAL CREDITORS'!$BC$190)</f>
        <v/>
      </c>
      <c r="K752">
        <f>IF('FINANCIAL CREDITORS'!$N$190="","",'FINANCIAL CREDITORS'!$N$190)</f>
        <v/>
      </c>
      <c r="L752">
        <f>IF('FINANCIAL CREDITORS'!$AH$190="","",'FINANCIAL CREDITORS'!$AH$190)</f>
        <v/>
      </c>
      <c r="M752">
        <f>IF('FINANCIAL CREDITORS'!$AO$190="","",'FINANCIAL CREDITORS'!$AO$190)</f>
        <v/>
      </c>
      <c r="N752">
        <f>IF('FINANCIAL CREDITORS'!$BF$190="","",'FINANCIAL CREDITORS'!$BF$190)</f>
        <v/>
      </c>
      <c r="O752" t="inlineStr">
        <is>
          <t>FINANCIAL</t>
        </is>
      </c>
      <c r="P752" t="inlineStr">
        <is>
          <t>FINANCIAL CREDITORS · row 190</t>
        </is>
      </c>
      <c r="Q752">
        <f>E752+ROW()*0.000000001</f>
        <v/>
      </c>
    </row>
    <row r="753">
      <c r="A753">
        <f>IF('FINANCIAL CREDITORS'!$A$191="","",'FINANCIAL CREDITORS'!$A$191)</f>
        <v/>
      </c>
      <c r="B753">
        <f>IF('FINANCIAL CREDITORS'!$C$191="","",'FINANCIAL CREDITORS'!$C$191)</f>
        <v/>
      </c>
      <c r="C753">
        <f>'FINANCIAL CREDITORS'!$U$191</f>
        <v/>
      </c>
      <c r="D753">
        <f>'FINANCIAL CREDITORS'!$AB$191</f>
        <v/>
      </c>
      <c r="E753">
        <f>'FINANCIAL CREDITORS'!$AF$191</f>
        <v/>
      </c>
      <c r="F753">
        <f>IF('FINANCIAL CREDITORS'!$V$191="","",'FINANCIAL CREDITORS'!$V$191)</f>
        <v/>
      </c>
      <c r="G753">
        <f>IF('FINANCIAL CREDITORS'!$D$191="","",'FINANCIAL CREDITORS'!$D$191)</f>
        <v/>
      </c>
      <c r="H753">
        <f>IF('FINANCIAL CREDITORS'!$G$191="","",'FINANCIAL CREDITORS'!$G$191)</f>
        <v/>
      </c>
      <c r="I753">
        <f>IF('FINANCIAL CREDITORS'!$AY$191="","",'FINANCIAL CREDITORS'!$AY$191)</f>
        <v/>
      </c>
      <c r="J753">
        <f>IF('FINANCIAL CREDITORS'!$BC$191="","",'FINANCIAL CREDITORS'!$BC$191)</f>
        <v/>
      </c>
      <c r="K753">
        <f>IF('FINANCIAL CREDITORS'!$N$191="","",'FINANCIAL CREDITORS'!$N$191)</f>
        <v/>
      </c>
      <c r="L753">
        <f>IF('FINANCIAL CREDITORS'!$AH$191="","",'FINANCIAL CREDITORS'!$AH$191)</f>
        <v/>
      </c>
      <c r="M753">
        <f>IF('FINANCIAL CREDITORS'!$AO$191="","",'FINANCIAL CREDITORS'!$AO$191)</f>
        <v/>
      </c>
      <c r="N753">
        <f>IF('FINANCIAL CREDITORS'!$BF$191="","",'FINANCIAL CREDITORS'!$BF$191)</f>
        <v/>
      </c>
      <c r="O753" t="inlineStr">
        <is>
          <t>FINANCIAL</t>
        </is>
      </c>
      <c r="P753" t="inlineStr">
        <is>
          <t>FINANCIAL CREDITORS · row 191</t>
        </is>
      </c>
      <c r="Q753">
        <f>E753+ROW()*0.000000001</f>
        <v/>
      </c>
    </row>
    <row r="754">
      <c r="A754">
        <f>IF('FINANCIAL CREDITORS'!$A$192="","",'FINANCIAL CREDITORS'!$A$192)</f>
        <v/>
      </c>
      <c r="B754">
        <f>IF('FINANCIAL CREDITORS'!$C$192="","",'FINANCIAL CREDITORS'!$C$192)</f>
        <v/>
      </c>
      <c r="C754">
        <f>'FINANCIAL CREDITORS'!$U$192</f>
        <v/>
      </c>
      <c r="D754">
        <f>'FINANCIAL CREDITORS'!$AB$192</f>
        <v/>
      </c>
      <c r="E754">
        <f>'FINANCIAL CREDITORS'!$AF$192</f>
        <v/>
      </c>
      <c r="F754">
        <f>IF('FINANCIAL CREDITORS'!$V$192="","",'FINANCIAL CREDITORS'!$V$192)</f>
        <v/>
      </c>
      <c r="G754">
        <f>IF('FINANCIAL CREDITORS'!$D$192="","",'FINANCIAL CREDITORS'!$D$192)</f>
        <v/>
      </c>
      <c r="H754">
        <f>IF('FINANCIAL CREDITORS'!$G$192="","",'FINANCIAL CREDITORS'!$G$192)</f>
        <v/>
      </c>
      <c r="I754">
        <f>IF('FINANCIAL CREDITORS'!$AY$192="","",'FINANCIAL CREDITORS'!$AY$192)</f>
        <v/>
      </c>
      <c r="J754">
        <f>IF('FINANCIAL CREDITORS'!$BC$192="","",'FINANCIAL CREDITORS'!$BC$192)</f>
        <v/>
      </c>
      <c r="K754">
        <f>IF('FINANCIAL CREDITORS'!$N$192="","",'FINANCIAL CREDITORS'!$N$192)</f>
        <v/>
      </c>
      <c r="L754">
        <f>IF('FINANCIAL CREDITORS'!$AH$192="","",'FINANCIAL CREDITORS'!$AH$192)</f>
        <v/>
      </c>
      <c r="M754">
        <f>IF('FINANCIAL CREDITORS'!$AO$192="","",'FINANCIAL CREDITORS'!$AO$192)</f>
        <v/>
      </c>
      <c r="N754">
        <f>IF('FINANCIAL CREDITORS'!$BF$192="","",'FINANCIAL CREDITORS'!$BF$192)</f>
        <v/>
      </c>
      <c r="O754" t="inlineStr">
        <is>
          <t>FINANCIAL</t>
        </is>
      </c>
      <c r="P754" t="inlineStr">
        <is>
          <t>FINANCIAL CREDITORS · row 192</t>
        </is>
      </c>
      <c r="Q754">
        <f>E754+ROW()*0.000000001</f>
        <v/>
      </c>
    </row>
    <row r="755">
      <c r="A755">
        <f>IF('FINANCIAL CREDITORS'!$A$193="","",'FINANCIAL CREDITORS'!$A$193)</f>
        <v/>
      </c>
      <c r="B755">
        <f>IF('FINANCIAL CREDITORS'!$C$193="","",'FINANCIAL CREDITORS'!$C$193)</f>
        <v/>
      </c>
      <c r="C755">
        <f>'FINANCIAL CREDITORS'!$U$193</f>
        <v/>
      </c>
      <c r="D755">
        <f>'FINANCIAL CREDITORS'!$AB$193</f>
        <v/>
      </c>
      <c r="E755">
        <f>'FINANCIAL CREDITORS'!$AF$193</f>
        <v/>
      </c>
      <c r="F755">
        <f>IF('FINANCIAL CREDITORS'!$V$193="","",'FINANCIAL CREDITORS'!$V$193)</f>
        <v/>
      </c>
      <c r="G755">
        <f>IF('FINANCIAL CREDITORS'!$D$193="","",'FINANCIAL CREDITORS'!$D$193)</f>
        <v/>
      </c>
      <c r="H755">
        <f>IF('FINANCIAL CREDITORS'!$G$193="","",'FINANCIAL CREDITORS'!$G$193)</f>
        <v/>
      </c>
      <c r="I755">
        <f>IF('FINANCIAL CREDITORS'!$AY$193="","",'FINANCIAL CREDITORS'!$AY$193)</f>
        <v/>
      </c>
      <c r="J755">
        <f>IF('FINANCIAL CREDITORS'!$BC$193="","",'FINANCIAL CREDITORS'!$BC$193)</f>
        <v/>
      </c>
      <c r="K755">
        <f>IF('FINANCIAL CREDITORS'!$N$193="","",'FINANCIAL CREDITORS'!$N$193)</f>
        <v/>
      </c>
      <c r="L755">
        <f>IF('FINANCIAL CREDITORS'!$AH$193="","",'FINANCIAL CREDITORS'!$AH$193)</f>
        <v/>
      </c>
      <c r="M755">
        <f>IF('FINANCIAL CREDITORS'!$AO$193="","",'FINANCIAL CREDITORS'!$AO$193)</f>
        <v/>
      </c>
      <c r="N755">
        <f>IF('FINANCIAL CREDITORS'!$BF$193="","",'FINANCIAL CREDITORS'!$BF$193)</f>
        <v/>
      </c>
      <c r="O755" t="inlineStr">
        <is>
          <t>FINANCIAL</t>
        </is>
      </c>
      <c r="P755" t="inlineStr">
        <is>
          <t>FINANCIAL CREDITORS · row 193</t>
        </is>
      </c>
      <c r="Q755">
        <f>E755+ROW()*0.000000001</f>
        <v/>
      </c>
    </row>
    <row r="756">
      <c r="A756">
        <f>IF('FINANCIAL CREDITORS'!$A$194="","",'FINANCIAL CREDITORS'!$A$194)</f>
        <v/>
      </c>
      <c r="B756">
        <f>IF('FINANCIAL CREDITORS'!$C$194="","",'FINANCIAL CREDITORS'!$C$194)</f>
        <v/>
      </c>
      <c r="C756">
        <f>'FINANCIAL CREDITORS'!$U$194</f>
        <v/>
      </c>
      <c r="D756">
        <f>'FINANCIAL CREDITORS'!$AB$194</f>
        <v/>
      </c>
      <c r="E756">
        <f>'FINANCIAL CREDITORS'!$AF$194</f>
        <v/>
      </c>
      <c r="F756">
        <f>IF('FINANCIAL CREDITORS'!$V$194="","",'FINANCIAL CREDITORS'!$V$194)</f>
        <v/>
      </c>
      <c r="G756">
        <f>IF('FINANCIAL CREDITORS'!$D$194="","",'FINANCIAL CREDITORS'!$D$194)</f>
        <v/>
      </c>
      <c r="H756">
        <f>IF('FINANCIAL CREDITORS'!$G$194="","",'FINANCIAL CREDITORS'!$G$194)</f>
        <v/>
      </c>
      <c r="I756">
        <f>IF('FINANCIAL CREDITORS'!$AY$194="","",'FINANCIAL CREDITORS'!$AY$194)</f>
        <v/>
      </c>
      <c r="J756">
        <f>IF('FINANCIAL CREDITORS'!$BC$194="","",'FINANCIAL CREDITORS'!$BC$194)</f>
        <v/>
      </c>
      <c r="K756">
        <f>IF('FINANCIAL CREDITORS'!$N$194="","",'FINANCIAL CREDITORS'!$N$194)</f>
        <v/>
      </c>
      <c r="L756">
        <f>IF('FINANCIAL CREDITORS'!$AH$194="","",'FINANCIAL CREDITORS'!$AH$194)</f>
        <v/>
      </c>
      <c r="M756">
        <f>IF('FINANCIAL CREDITORS'!$AO$194="","",'FINANCIAL CREDITORS'!$AO$194)</f>
        <v/>
      </c>
      <c r="N756">
        <f>IF('FINANCIAL CREDITORS'!$BF$194="","",'FINANCIAL CREDITORS'!$BF$194)</f>
        <v/>
      </c>
      <c r="O756" t="inlineStr">
        <is>
          <t>FINANCIAL</t>
        </is>
      </c>
      <c r="P756" t="inlineStr">
        <is>
          <t>FINANCIAL CREDITORS · row 194</t>
        </is>
      </c>
      <c r="Q756">
        <f>E756+ROW()*0.000000001</f>
        <v/>
      </c>
    </row>
    <row r="757">
      <c r="A757">
        <f>IF('FINANCIAL CREDITORS'!$A$195="","",'FINANCIAL CREDITORS'!$A$195)</f>
        <v/>
      </c>
      <c r="B757">
        <f>IF('FINANCIAL CREDITORS'!$C$195="","",'FINANCIAL CREDITORS'!$C$195)</f>
        <v/>
      </c>
      <c r="C757">
        <f>'FINANCIAL CREDITORS'!$U$195</f>
        <v/>
      </c>
      <c r="D757">
        <f>'FINANCIAL CREDITORS'!$AB$195</f>
        <v/>
      </c>
      <c r="E757">
        <f>'FINANCIAL CREDITORS'!$AF$195</f>
        <v/>
      </c>
      <c r="F757">
        <f>IF('FINANCIAL CREDITORS'!$V$195="","",'FINANCIAL CREDITORS'!$V$195)</f>
        <v/>
      </c>
      <c r="G757">
        <f>IF('FINANCIAL CREDITORS'!$D$195="","",'FINANCIAL CREDITORS'!$D$195)</f>
        <v/>
      </c>
      <c r="H757">
        <f>IF('FINANCIAL CREDITORS'!$G$195="","",'FINANCIAL CREDITORS'!$G$195)</f>
        <v/>
      </c>
      <c r="I757">
        <f>IF('FINANCIAL CREDITORS'!$AY$195="","",'FINANCIAL CREDITORS'!$AY$195)</f>
        <v/>
      </c>
      <c r="J757">
        <f>IF('FINANCIAL CREDITORS'!$BC$195="","",'FINANCIAL CREDITORS'!$BC$195)</f>
        <v/>
      </c>
      <c r="K757">
        <f>IF('FINANCIAL CREDITORS'!$N$195="","",'FINANCIAL CREDITORS'!$N$195)</f>
        <v/>
      </c>
      <c r="L757">
        <f>IF('FINANCIAL CREDITORS'!$AH$195="","",'FINANCIAL CREDITORS'!$AH$195)</f>
        <v/>
      </c>
      <c r="M757">
        <f>IF('FINANCIAL CREDITORS'!$AO$195="","",'FINANCIAL CREDITORS'!$AO$195)</f>
        <v/>
      </c>
      <c r="N757">
        <f>IF('FINANCIAL CREDITORS'!$BF$195="","",'FINANCIAL CREDITORS'!$BF$195)</f>
        <v/>
      </c>
      <c r="O757" t="inlineStr">
        <is>
          <t>FINANCIAL</t>
        </is>
      </c>
      <c r="P757" t="inlineStr">
        <is>
          <t>FINANCIAL CREDITORS · row 195</t>
        </is>
      </c>
      <c r="Q757">
        <f>E757+ROW()*0.000000001</f>
        <v/>
      </c>
    </row>
    <row r="758">
      <c r="A758">
        <f>IF('FINANCIAL CREDITORS'!$A$196="","",'FINANCIAL CREDITORS'!$A$196)</f>
        <v/>
      </c>
      <c r="B758">
        <f>IF('FINANCIAL CREDITORS'!$C$196="","",'FINANCIAL CREDITORS'!$C$196)</f>
        <v/>
      </c>
      <c r="C758">
        <f>'FINANCIAL CREDITORS'!$U$196</f>
        <v/>
      </c>
      <c r="D758">
        <f>'FINANCIAL CREDITORS'!$AB$196</f>
        <v/>
      </c>
      <c r="E758">
        <f>'FINANCIAL CREDITORS'!$AF$196</f>
        <v/>
      </c>
      <c r="F758">
        <f>IF('FINANCIAL CREDITORS'!$V$196="","",'FINANCIAL CREDITORS'!$V$196)</f>
        <v/>
      </c>
      <c r="G758">
        <f>IF('FINANCIAL CREDITORS'!$D$196="","",'FINANCIAL CREDITORS'!$D$196)</f>
        <v/>
      </c>
      <c r="H758">
        <f>IF('FINANCIAL CREDITORS'!$G$196="","",'FINANCIAL CREDITORS'!$G$196)</f>
        <v/>
      </c>
      <c r="I758">
        <f>IF('FINANCIAL CREDITORS'!$AY$196="","",'FINANCIAL CREDITORS'!$AY$196)</f>
        <v/>
      </c>
      <c r="J758">
        <f>IF('FINANCIAL CREDITORS'!$BC$196="","",'FINANCIAL CREDITORS'!$BC$196)</f>
        <v/>
      </c>
      <c r="K758">
        <f>IF('FINANCIAL CREDITORS'!$N$196="","",'FINANCIAL CREDITORS'!$N$196)</f>
        <v/>
      </c>
      <c r="L758">
        <f>IF('FINANCIAL CREDITORS'!$AH$196="","",'FINANCIAL CREDITORS'!$AH$196)</f>
        <v/>
      </c>
      <c r="M758">
        <f>IF('FINANCIAL CREDITORS'!$AO$196="","",'FINANCIAL CREDITORS'!$AO$196)</f>
        <v/>
      </c>
      <c r="N758">
        <f>IF('FINANCIAL CREDITORS'!$BF$196="","",'FINANCIAL CREDITORS'!$BF$196)</f>
        <v/>
      </c>
      <c r="O758" t="inlineStr">
        <is>
          <t>FINANCIAL</t>
        </is>
      </c>
      <c r="P758" t="inlineStr">
        <is>
          <t>FINANCIAL CREDITORS · row 196</t>
        </is>
      </c>
      <c r="Q758">
        <f>E758+ROW()*0.000000001</f>
        <v/>
      </c>
    </row>
    <row r="759">
      <c r="A759">
        <f>IF('FINANCIAL CREDITORS'!$A$197="","",'FINANCIAL CREDITORS'!$A$197)</f>
        <v/>
      </c>
      <c r="B759">
        <f>IF('FINANCIAL CREDITORS'!$C$197="","",'FINANCIAL CREDITORS'!$C$197)</f>
        <v/>
      </c>
      <c r="C759">
        <f>'FINANCIAL CREDITORS'!$U$197</f>
        <v/>
      </c>
      <c r="D759">
        <f>'FINANCIAL CREDITORS'!$AB$197</f>
        <v/>
      </c>
      <c r="E759">
        <f>'FINANCIAL CREDITORS'!$AF$197</f>
        <v/>
      </c>
      <c r="F759">
        <f>IF('FINANCIAL CREDITORS'!$V$197="","",'FINANCIAL CREDITORS'!$V$197)</f>
        <v/>
      </c>
      <c r="G759">
        <f>IF('FINANCIAL CREDITORS'!$D$197="","",'FINANCIAL CREDITORS'!$D$197)</f>
        <v/>
      </c>
      <c r="H759">
        <f>IF('FINANCIAL CREDITORS'!$G$197="","",'FINANCIAL CREDITORS'!$G$197)</f>
        <v/>
      </c>
      <c r="I759">
        <f>IF('FINANCIAL CREDITORS'!$AY$197="","",'FINANCIAL CREDITORS'!$AY$197)</f>
        <v/>
      </c>
      <c r="J759">
        <f>IF('FINANCIAL CREDITORS'!$BC$197="","",'FINANCIAL CREDITORS'!$BC$197)</f>
        <v/>
      </c>
      <c r="K759">
        <f>IF('FINANCIAL CREDITORS'!$N$197="","",'FINANCIAL CREDITORS'!$N$197)</f>
        <v/>
      </c>
      <c r="L759">
        <f>IF('FINANCIAL CREDITORS'!$AH$197="","",'FINANCIAL CREDITORS'!$AH$197)</f>
        <v/>
      </c>
      <c r="M759">
        <f>IF('FINANCIAL CREDITORS'!$AO$197="","",'FINANCIAL CREDITORS'!$AO$197)</f>
        <v/>
      </c>
      <c r="N759">
        <f>IF('FINANCIAL CREDITORS'!$BF$197="","",'FINANCIAL CREDITORS'!$BF$197)</f>
        <v/>
      </c>
      <c r="O759" t="inlineStr">
        <is>
          <t>FINANCIAL</t>
        </is>
      </c>
      <c r="P759" t="inlineStr">
        <is>
          <t>FINANCIAL CREDITORS · row 197</t>
        </is>
      </c>
      <c r="Q759">
        <f>E759+ROW()*0.000000001</f>
        <v/>
      </c>
    </row>
    <row r="760">
      <c r="A760">
        <f>IF('FINANCIAL CREDITORS'!$A$198="","",'FINANCIAL CREDITORS'!$A$198)</f>
        <v/>
      </c>
      <c r="B760">
        <f>IF('FINANCIAL CREDITORS'!$C$198="","",'FINANCIAL CREDITORS'!$C$198)</f>
        <v/>
      </c>
      <c r="C760">
        <f>'FINANCIAL CREDITORS'!$U$198</f>
        <v/>
      </c>
      <c r="D760">
        <f>'FINANCIAL CREDITORS'!$AB$198</f>
        <v/>
      </c>
      <c r="E760">
        <f>'FINANCIAL CREDITORS'!$AF$198</f>
        <v/>
      </c>
      <c r="F760">
        <f>IF('FINANCIAL CREDITORS'!$V$198="","",'FINANCIAL CREDITORS'!$V$198)</f>
        <v/>
      </c>
      <c r="G760">
        <f>IF('FINANCIAL CREDITORS'!$D$198="","",'FINANCIAL CREDITORS'!$D$198)</f>
        <v/>
      </c>
      <c r="H760">
        <f>IF('FINANCIAL CREDITORS'!$G$198="","",'FINANCIAL CREDITORS'!$G$198)</f>
        <v/>
      </c>
      <c r="I760">
        <f>IF('FINANCIAL CREDITORS'!$AY$198="","",'FINANCIAL CREDITORS'!$AY$198)</f>
        <v/>
      </c>
      <c r="J760">
        <f>IF('FINANCIAL CREDITORS'!$BC$198="","",'FINANCIAL CREDITORS'!$BC$198)</f>
        <v/>
      </c>
      <c r="K760">
        <f>IF('FINANCIAL CREDITORS'!$N$198="","",'FINANCIAL CREDITORS'!$N$198)</f>
        <v/>
      </c>
      <c r="L760">
        <f>IF('FINANCIAL CREDITORS'!$AH$198="","",'FINANCIAL CREDITORS'!$AH$198)</f>
        <v/>
      </c>
      <c r="M760">
        <f>IF('FINANCIAL CREDITORS'!$AO$198="","",'FINANCIAL CREDITORS'!$AO$198)</f>
        <v/>
      </c>
      <c r="N760">
        <f>IF('FINANCIAL CREDITORS'!$BF$198="","",'FINANCIAL CREDITORS'!$BF$198)</f>
        <v/>
      </c>
      <c r="O760" t="inlineStr">
        <is>
          <t>FINANCIAL</t>
        </is>
      </c>
      <c r="P760" t="inlineStr">
        <is>
          <t>FINANCIAL CREDITORS · row 198</t>
        </is>
      </c>
      <c r="Q760">
        <f>E760+ROW()*0.000000001</f>
        <v/>
      </c>
    </row>
    <row r="761">
      <c r="A761">
        <f>IF('FINANCIAL CREDITORS'!$A$199="","",'FINANCIAL CREDITORS'!$A$199)</f>
        <v/>
      </c>
      <c r="B761">
        <f>IF('FINANCIAL CREDITORS'!$C$199="","",'FINANCIAL CREDITORS'!$C$199)</f>
        <v/>
      </c>
      <c r="C761">
        <f>'FINANCIAL CREDITORS'!$U$199</f>
        <v/>
      </c>
      <c r="D761">
        <f>'FINANCIAL CREDITORS'!$AB$199</f>
        <v/>
      </c>
      <c r="E761">
        <f>'FINANCIAL CREDITORS'!$AF$199</f>
        <v/>
      </c>
      <c r="F761">
        <f>IF('FINANCIAL CREDITORS'!$V$199="","",'FINANCIAL CREDITORS'!$V$199)</f>
        <v/>
      </c>
      <c r="G761">
        <f>IF('FINANCIAL CREDITORS'!$D$199="","",'FINANCIAL CREDITORS'!$D$199)</f>
        <v/>
      </c>
      <c r="H761">
        <f>IF('FINANCIAL CREDITORS'!$G$199="","",'FINANCIAL CREDITORS'!$G$199)</f>
        <v/>
      </c>
      <c r="I761">
        <f>IF('FINANCIAL CREDITORS'!$AY$199="","",'FINANCIAL CREDITORS'!$AY$199)</f>
        <v/>
      </c>
      <c r="J761">
        <f>IF('FINANCIAL CREDITORS'!$BC$199="","",'FINANCIAL CREDITORS'!$BC$199)</f>
        <v/>
      </c>
      <c r="K761">
        <f>IF('FINANCIAL CREDITORS'!$N$199="","",'FINANCIAL CREDITORS'!$N$199)</f>
        <v/>
      </c>
      <c r="L761">
        <f>IF('FINANCIAL CREDITORS'!$AH$199="","",'FINANCIAL CREDITORS'!$AH$199)</f>
        <v/>
      </c>
      <c r="M761">
        <f>IF('FINANCIAL CREDITORS'!$AO$199="","",'FINANCIAL CREDITORS'!$AO$199)</f>
        <v/>
      </c>
      <c r="N761">
        <f>IF('FINANCIAL CREDITORS'!$BF$199="","",'FINANCIAL CREDITORS'!$BF$199)</f>
        <v/>
      </c>
      <c r="O761" t="inlineStr">
        <is>
          <t>FINANCIAL</t>
        </is>
      </c>
      <c r="P761" t="inlineStr">
        <is>
          <t>FINANCIAL CREDITORS · row 199</t>
        </is>
      </c>
      <c r="Q761">
        <f>E761+ROW()*0.000000001</f>
        <v/>
      </c>
    </row>
    <row r="762">
      <c r="A762">
        <f>IF('FINANCIAL CREDITORS'!$A$200="","",'FINANCIAL CREDITORS'!$A$200)</f>
        <v/>
      </c>
      <c r="B762">
        <f>IF('FINANCIAL CREDITORS'!$C$200="","",'FINANCIAL CREDITORS'!$C$200)</f>
        <v/>
      </c>
      <c r="C762">
        <f>'FINANCIAL CREDITORS'!$U$200</f>
        <v/>
      </c>
      <c r="D762">
        <f>'FINANCIAL CREDITORS'!$AB$200</f>
        <v/>
      </c>
      <c r="E762">
        <f>'FINANCIAL CREDITORS'!$AF$200</f>
        <v/>
      </c>
      <c r="F762">
        <f>IF('FINANCIAL CREDITORS'!$V$200="","",'FINANCIAL CREDITORS'!$V$200)</f>
        <v/>
      </c>
      <c r="G762">
        <f>IF('FINANCIAL CREDITORS'!$D$200="","",'FINANCIAL CREDITORS'!$D$200)</f>
        <v/>
      </c>
      <c r="H762">
        <f>IF('FINANCIAL CREDITORS'!$G$200="","",'FINANCIAL CREDITORS'!$G$200)</f>
        <v/>
      </c>
      <c r="I762">
        <f>IF('FINANCIAL CREDITORS'!$AY$200="","",'FINANCIAL CREDITORS'!$AY$200)</f>
        <v/>
      </c>
      <c r="J762">
        <f>IF('FINANCIAL CREDITORS'!$BC$200="","",'FINANCIAL CREDITORS'!$BC$200)</f>
        <v/>
      </c>
      <c r="K762">
        <f>IF('FINANCIAL CREDITORS'!$N$200="","",'FINANCIAL CREDITORS'!$N$200)</f>
        <v/>
      </c>
      <c r="L762">
        <f>IF('FINANCIAL CREDITORS'!$AH$200="","",'FINANCIAL CREDITORS'!$AH$200)</f>
        <v/>
      </c>
      <c r="M762">
        <f>IF('FINANCIAL CREDITORS'!$AO$200="","",'FINANCIAL CREDITORS'!$AO$200)</f>
        <v/>
      </c>
      <c r="N762">
        <f>IF('FINANCIAL CREDITORS'!$BF$200="","",'FINANCIAL CREDITORS'!$BF$200)</f>
        <v/>
      </c>
      <c r="O762" t="inlineStr">
        <is>
          <t>FINANCIAL</t>
        </is>
      </c>
      <c r="P762" t="inlineStr">
        <is>
          <t>FINANCIAL CREDITORS · row 200</t>
        </is>
      </c>
      <c r="Q762">
        <f>E762+ROW()*0.000000001</f>
        <v/>
      </c>
    </row>
    <row r="763">
      <c r="A763">
        <f>IF('FINANCIAL CREDITORS'!$A$201="","",'FINANCIAL CREDITORS'!$A$201)</f>
        <v/>
      </c>
      <c r="B763">
        <f>IF('FINANCIAL CREDITORS'!$C$201="","",'FINANCIAL CREDITORS'!$C$201)</f>
        <v/>
      </c>
      <c r="C763">
        <f>'FINANCIAL CREDITORS'!$U$201</f>
        <v/>
      </c>
      <c r="D763">
        <f>'FINANCIAL CREDITORS'!$AB$201</f>
        <v/>
      </c>
      <c r="E763">
        <f>'FINANCIAL CREDITORS'!$AF$201</f>
        <v/>
      </c>
      <c r="F763">
        <f>IF('FINANCIAL CREDITORS'!$V$201="","",'FINANCIAL CREDITORS'!$V$201)</f>
        <v/>
      </c>
      <c r="G763">
        <f>IF('FINANCIAL CREDITORS'!$D$201="","",'FINANCIAL CREDITORS'!$D$201)</f>
        <v/>
      </c>
      <c r="H763">
        <f>IF('FINANCIAL CREDITORS'!$G$201="","",'FINANCIAL CREDITORS'!$G$201)</f>
        <v/>
      </c>
      <c r="I763">
        <f>IF('FINANCIAL CREDITORS'!$AY$201="","",'FINANCIAL CREDITORS'!$AY$201)</f>
        <v/>
      </c>
      <c r="J763">
        <f>IF('FINANCIAL CREDITORS'!$BC$201="","",'FINANCIAL CREDITORS'!$BC$201)</f>
        <v/>
      </c>
      <c r="K763">
        <f>IF('FINANCIAL CREDITORS'!$N$201="","",'FINANCIAL CREDITORS'!$N$201)</f>
        <v/>
      </c>
      <c r="L763">
        <f>IF('FINANCIAL CREDITORS'!$AH$201="","",'FINANCIAL CREDITORS'!$AH$201)</f>
        <v/>
      </c>
      <c r="M763">
        <f>IF('FINANCIAL CREDITORS'!$AO$201="","",'FINANCIAL CREDITORS'!$AO$201)</f>
        <v/>
      </c>
      <c r="N763">
        <f>IF('FINANCIAL CREDITORS'!$BF$201="","",'FINANCIAL CREDITORS'!$BF$201)</f>
        <v/>
      </c>
      <c r="O763" t="inlineStr">
        <is>
          <t>FINANCIAL</t>
        </is>
      </c>
      <c r="P763" t="inlineStr">
        <is>
          <t>FINANCIAL CREDITORS · row 201</t>
        </is>
      </c>
      <c r="Q763">
        <f>E763+ROW()*0.000000001</f>
        <v/>
      </c>
    </row>
    <row r="764">
      <c r="A764">
        <f>IF('FINANCIAL CREDITORS'!$A$202="","",'FINANCIAL CREDITORS'!$A$202)</f>
        <v/>
      </c>
      <c r="B764">
        <f>IF('FINANCIAL CREDITORS'!$C$202="","",'FINANCIAL CREDITORS'!$C$202)</f>
        <v/>
      </c>
      <c r="C764">
        <f>'FINANCIAL CREDITORS'!$U$202</f>
        <v/>
      </c>
      <c r="D764">
        <f>'FINANCIAL CREDITORS'!$AB$202</f>
        <v/>
      </c>
      <c r="E764">
        <f>'FINANCIAL CREDITORS'!$AF$202</f>
        <v/>
      </c>
      <c r="F764">
        <f>IF('FINANCIAL CREDITORS'!$V$202="","",'FINANCIAL CREDITORS'!$V$202)</f>
        <v/>
      </c>
      <c r="G764">
        <f>IF('FINANCIAL CREDITORS'!$D$202="","",'FINANCIAL CREDITORS'!$D$202)</f>
        <v/>
      </c>
      <c r="H764">
        <f>IF('FINANCIAL CREDITORS'!$G$202="","",'FINANCIAL CREDITORS'!$G$202)</f>
        <v/>
      </c>
      <c r="I764">
        <f>IF('FINANCIAL CREDITORS'!$AY$202="","",'FINANCIAL CREDITORS'!$AY$202)</f>
        <v/>
      </c>
      <c r="J764">
        <f>IF('FINANCIAL CREDITORS'!$BC$202="","",'FINANCIAL CREDITORS'!$BC$202)</f>
        <v/>
      </c>
      <c r="K764">
        <f>IF('FINANCIAL CREDITORS'!$N$202="","",'FINANCIAL CREDITORS'!$N$202)</f>
        <v/>
      </c>
      <c r="L764">
        <f>IF('FINANCIAL CREDITORS'!$AH$202="","",'FINANCIAL CREDITORS'!$AH$202)</f>
        <v/>
      </c>
      <c r="M764">
        <f>IF('FINANCIAL CREDITORS'!$AO$202="","",'FINANCIAL CREDITORS'!$AO$202)</f>
        <v/>
      </c>
      <c r="N764">
        <f>IF('FINANCIAL CREDITORS'!$BF$202="","",'FINANCIAL CREDITORS'!$BF$202)</f>
        <v/>
      </c>
      <c r="O764" t="inlineStr">
        <is>
          <t>FINANCIAL</t>
        </is>
      </c>
      <c r="P764" t="inlineStr">
        <is>
          <t>FINANCIAL CREDITORS · row 202</t>
        </is>
      </c>
      <c r="Q764">
        <f>E764+ROW()*0.000000001</f>
        <v/>
      </c>
    </row>
    <row r="765">
      <c r="A765">
        <f>IF('FINANCIAL CREDITORS'!$A$203="","",'FINANCIAL CREDITORS'!$A$203)</f>
        <v/>
      </c>
      <c r="B765">
        <f>IF('FINANCIAL CREDITORS'!$C$203="","",'FINANCIAL CREDITORS'!$C$203)</f>
        <v/>
      </c>
      <c r="C765">
        <f>'FINANCIAL CREDITORS'!$U$203</f>
        <v/>
      </c>
      <c r="D765">
        <f>'FINANCIAL CREDITORS'!$AB$203</f>
        <v/>
      </c>
      <c r="E765">
        <f>'FINANCIAL CREDITORS'!$AF$203</f>
        <v/>
      </c>
      <c r="F765">
        <f>IF('FINANCIAL CREDITORS'!$V$203="","",'FINANCIAL CREDITORS'!$V$203)</f>
        <v/>
      </c>
      <c r="G765">
        <f>IF('FINANCIAL CREDITORS'!$D$203="","",'FINANCIAL CREDITORS'!$D$203)</f>
        <v/>
      </c>
      <c r="H765">
        <f>IF('FINANCIAL CREDITORS'!$G$203="","",'FINANCIAL CREDITORS'!$G$203)</f>
        <v/>
      </c>
      <c r="I765">
        <f>IF('FINANCIAL CREDITORS'!$AY$203="","",'FINANCIAL CREDITORS'!$AY$203)</f>
        <v/>
      </c>
      <c r="J765">
        <f>IF('FINANCIAL CREDITORS'!$BC$203="","",'FINANCIAL CREDITORS'!$BC$203)</f>
        <v/>
      </c>
      <c r="K765">
        <f>IF('FINANCIAL CREDITORS'!$N$203="","",'FINANCIAL CREDITORS'!$N$203)</f>
        <v/>
      </c>
      <c r="L765">
        <f>IF('FINANCIAL CREDITORS'!$AH$203="","",'FINANCIAL CREDITORS'!$AH$203)</f>
        <v/>
      </c>
      <c r="M765">
        <f>IF('FINANCIAL CREDITORS'!$AO$203="","",'FINANCIAL CREDITORS'!$AO$203)</f>
        <v/>
      </c>
      <c r="N765">
        <f>IF('FINANCIAL CREDITORS'!$BF$203="","",'FINANCIAL CREDITORS'!$BF$203)</f>
        <v/>
      </c>
      <c r="O765" t="inlineStr">
        <is>
          <t>FINANCIAL</t>
        </is>
      </c>
      <c r="P765" t="inlineStr">
        <is>
          <t>FINANCIAL CREDITORS · row 203</t>
        </is>
      </c>
      <c r="Q765">
        <f>E765+ROW()*0.000000001</f>
        <v/>
      </c>
    </row>
    <row r="766">
      <c r="A766">
        <f>IF('FINANCIAL CREDITORS'!$A$204="","",'FINANCIAL CREDITORS'!$A$204)</f>
        <v/>
      </c>
      <c r="B766">
        <f>IF('FINANCIAL CREDITORS'!$C$204="","",'FINANCIAL CREDITORS'!$C$204)</f>
        <v/>
      </c>
      <c r="C766">
        <f>'FINANCIAL CREDITORS'!$U$204</f>
        <v/>
      </c>
      <c r="D766">
        <f>'FINANCIAL CREDITORS'!$AB$204</f>
        <v/>
      </c>
      <c r="E766">
        <f>'FINANCIAL CREDITORS'!$AF$204</f>
        <v/>
      </c>
      <c r="F766">
        <f>IF('FINANCIAL CREDITORS'!$V$204="","",'FINANCIAL CREDITORS'!$V$204)</f>
        <v/>
      </c>
      <c r="G766">
        <f>IF('FINANCIAL CREDITORS'!$D$204="","",'FINANCIAL CREDITORS'!$D$204)</f>
        <v/>
      </c>
      <c r="H766">
        <f>IF('FINANCIAL CREDITORS'!$G$204="","",'FINANCIAL CREDITORS'!$G$204)</f>
        <v/>
      </c>
      <c r="I766">
        <f>IF('FINANCIAL CREDITORS'!$AY$204="","",'FINANCIAL CREDITORS'!$AY$204)</f>
        <v/>
      </c>
      <c r="J766">
        <f>IF('FINANCIAL CREDITORS'!$BC$204="","",'FINANCIAL CREDITORS'!$BC$204)</f>
        <v/>
      </c>
      <c r="K766">
        <f>IF('FINANCIAL CREDITORS'!$N$204="","",'FINANCIAL CREDITORS'!$N$204)</f>
        <v/>
      </c>
      <c r="L766">
        <f>IF('FINANCIAL CREDITORS'!$AH$204="","",'FINANCIAL CREDITORS'!$AH$204)</f>
        <v/>
      </c>
      <c r="M766">
        <f>IF('FINANCIAL CREDITORS'!$AO$204="","",'FINANCIAL CREDITORS'!$AO$204)</f>
        <v/>
      </c>
      <c r="N766">
        <f>IF('FINANCIAL CREDITORS'!$BF$204="","",'FINANCIAL CREDITORS'!$BF$204)</f>
        <v/>
      </c>
      <c r="O766" t="inlineStr">
        <is>
          <t>FINANCIAL</t>
        </is>
      </c>
      <c r="P766" t="inlineStr">
        <is>
          <t>FINANCIAL CREDITORS · row 204</t>
        </is>
      </c>
      <c r="Q766">
        <f>E766+ROW()*0.000000001</f>
        <v/>
      </c>
    </row>
    <row r="767">
      <c r="A767">
        <f>IF('FINANCIAL CREDITORS'!$A$205="","",'FINANCIAL CREDITORS'!$A$205)</f>
        <v/>
      </c>
      <c r="B767">
        <f>IF('FINANCIAL CREDITORS'!$C$205="","",'FINANCIAL CREDITORS'!$C$205)</f>
        <v/>
      </c>
      <c r="C767">
        <f>'FINANCIAL CREDITORS'!$U$205</f>
        <v/>
      </c>
      <c r="D767">
        <f>'FINANCIAL CREDITORS'!$AB$205</f>
        <v/>
      </c>
      <c r="E767">
        <f>'FINANCIAL CREDITORS'!$AF$205</f>
        <v/>
      </c>
      <c r="F767">
        <f>IF('FINANCIAL CREDITORS'!$V$205="","",'FINANCIAL CREDITORS'!$V$205)</f>
        <v/>
      </c>
      <c r="G767">
        <f>IF('FINANCIAL CREDITORS'!$D$205="","",'FINANCIAL CREDITORS'!$D$205)</f>
        <v/>
      </c>
      <c r="H767">
        <f>IF('FINANCIAL CREDITORS'!$G$205="","",'FINANCIAL CREDITORS'!$G$205)</f>
        <v/>
      </c>
      <c r="I767">
        <f>IF('FINANCIAL CREDITORS'!$AY$205="","",'FINANCIAL CREDITORS'!$AY$205)</f>
        <v/>
      </c>
      <c r="J767">
        <f>IF('FINANCIAL CREDITORS'!$BC$205="","",'FINANCIAL CREDITORS'!$BC$205)</f>
        <v/>
      </c>
      <c r="K767">
        <f>IF('FINANCIAL CREDITORS'!$N$205="","",'FINANCIAL CREDITORS'!$N$205)</f>
        <v/>
      </c>
      <c r="L767">
        <f>IF('FINANCIAL CREDITORS'!$AH$205="","",'FINANCIAL CREDITORS'!$AH$205)</f>
        <v/>
      </c>
      <c r="M767">
        <f>IF('FINANCIAL CREDITORS'!$AO$205="","",'FINANCIAL CREDITORS'!$AO$205)</f>
        <v/>
      </c>
      <c r="N767">
        <f>IF('FINANCIAL CREDITORS'!$BF$205="","",'FINANCIAL CREDITORS'!$BF$205)</f>
        <v/>
      </c>
      <c r="O767" t="inlineStr">
        <is>
          <t>FINANCIAL</t>
        </is>
      </c>
      <c r="P767" t="inlineStr">
        <is>
          <t>FINANCIAL CREDITORS · row 205</t>
        </is>
      </c>
      <c r="Q767">
        <f>E767+ROW()*0.000000001</f>
        <v/>
      </c>
    </row>
    <row r="768">
      <c r="A768">
        <f>IF('FINANCIAL CREDITORS'!$A$206="","",'FINANCIAL CREDITORS'!$A$206)</f>
        <v/>
      </c>
      <c r="B768">
        <f>IF('FINANCIAL CREDITORS'!$C$206="","",'FINANCIAL CREDITORS'!$C$206)</f>
        <v/>
      </c>
      <c r="C768">
        <f>'FINANCIAL CREDITORS'!$U$206</f>
        <v/>
      </c>
      <c r="D768">
        <f>'FINANCIAL CREDITORS'!$AB$206</f>
        <v/>
      </c>
      <c r="E768">
        <f>'FINANCIAL CREDITORS'!$AF$206</f>
        <v/>
      </c>
      <c r="F768">
        <f>IF('FINANCIAL CREDITORS'!$V$206="","",'FINANCIAL CREDITORS'!$V$206)</f>
        <v/>
      </c>
      <c r="G768">
        <f>IF('FINANCIAL CREDITORS'!$D$206="","",'FINANCIAL CREDITORS'!$D$206)</f>
        <v/>
      </c>
      <c r="H768">
        <f>IF('FINANCIAL CREDITORS'!$G$206="","",'FINANCIAL CREDITORS'!$G$206)</f>
        <v/>
      </c>
      <c r="I768">
        <f>IF('FINANCIAL CREDITORS'!$AY$206="","",'FINANCIAL CREDITORS'!$AY$206)</f>
        <v/>
      </c>
      <c r="J768">
        <f>IF('FINANCIAL CREDITORS'!$BC$206="","",'FINANCIAL CREDITORS'!$BC$206)</f>
        <v/>
      </c>
      <c r="K768">
        <f>IF('FINANCIAL CREDITORS'!$N$206="","",'FINANCIAL CREDITORS'!$N$206)</f>
        <v/>
      </c>
      <c r="L768">
        <f>IF('FINANCIAL CREDITORS'!$AH$206="","",'FINANCIAL CREDITORS'!$AH$206)</f>
        <v/>
      </c>
      <c r="M768">
        <f>IF('FINANCIAL CREDITORS'!$AO$206="","",'FINANCIAL CREDITORS'!$AO$206)</f>
        <v/>
      </c>
      <c r="N768">
        <f>IF('FINANCIAL CREDITORS'!$BF$206="","",'FINANCIAL CREDITORS'!$BF$206)</f>
        <v/>
      </c>
      <c r="O768" t="inlineStr">
        <is>
          <t>FINANCIAL</t>
        </is>
      </c>
      <c r="P768" t="inlineStr">
        <is>
          <t>FINANCIAL CREDITORS · row 206</t>
        </is>
      </c>
      <c r="Q768">
        <f>E768+ROW()*0.000000001</f>
        <v/>
      </c>
    </row>
    <row r="769">
      <c r="A769">
        <f>IF('FINANCIAL CREDITORS'!$A$207="","",'FINANCIAL CREDITORS'!$A$207)</f>
        <v/>
      </c>
      <c r="B769">
        <f>IF('FINANCIAL CREDITORS'!$C$207="","",'FINANCIAL CREDITORS'!$C$207)</f>
        <v/>
      </c>
      <c r="C769">
        <f>'FINANCIAL CREDITORS'!$U$207</f>
        <v/>
      </c>
      <c r="D769">
        <f>'FINANCIAL CREDITORS'!$AB$207</f>
        <v/>
      </c>
      <c r="E769">
        <f>'FINANCIAL CREDITORS'!$AF$207</f>
        <v/>
      </c>
      <c r="F769">
        <f>IF('FINANCIAL CREDITORS'!$V$207="","",'FINANCIAL CREDITORS'!$V$207)</f>
        <v/>
      </c>
      <c r="G769">
        <f>IF('FINANCIAL CREDITORS'!$D$207="","",'FINANCIAL CREDITORS'!$D$207)</f>
        <v/>
      </c>
      <c r="H769">
        <f>IF('FINANCIAL CREDITORS'!$G$207="","",'FINANCIAL CREDITORS'!$G$207)</f>
        <v/>
      </c>
      <c r="I769">
        <f>IF('FINANCIAL CREDITORS'!$AY$207="","",'FINANCIAL CREDITORS'!$AY$207)</f>
        <v/>
      </c>
      <c r="J769">
        <f>IF('FINANCIAL CREDITORS'!$BC$207="","",'FINANCIAL CREDITORS'!$BC$207)</f>
        <v/>
      </c>
      <c r="K769">
        <f>IF('FINANCIAL CREDITORS'!$N$207="","",'FINANCIAL CREDITORS'!$N$207)</f>
        <v/>
      </c>
      <c r="L769">
        <f>IF('FINANCIAL CREDITORS'!$AH$207="","",'FINANCIAL CREDITORS'!$AH$207)</f>
        <v/>
      </c>
      <c r="M769">
        <f>IF('FINANCIAL CREDITORS'!$AO$207="","",'FINANCIAL CREDITORS'!$AO$207)</f>
        <v/>
      </c>
      <c r="N769">
        <f>IF('FINANCIAL CREDITORS'!$BF$207="","",'FINANCIAL CREDITORS'!$BF$207)</f>
        <v/>
      </c>
      <c r="O769" t="inlineStr">
        <is>
          <t>FINANCIAL</t>
        </is>
      </c>
      <c r="P769" t="inlineStr">
        <is>
          <t>FINANCIAL CREDITORS · row 207</t>
        </is>
      </c>
      <c r="Q769">
        <f>E769+ROW()*0.000000001</f>
        <v/>
      </c>
    </row>
    <row r="770">
      <c r="A770">
        <f>IF('FINANCIAL CREDITORS'!$A$208="","",'FINANCIAL CREDITORS'!$A$208)</f>
        <v/>
      </c>
      <c r="B770">
        <f>IF('FINANCIAL CREDITORS'!$C$208="","",'FINANCIAL CREDITORS'!$C$208)</f>
        <v/>
      </c>
      <c r="C770">
        <f>'FINANCIAL CREDITORS'!$U$208</f>
        <v/>
      </c>
      <c r="D770">
        <f>'FINANCIAL CREDITORS'!$AB$208</f>
        <v/>
      </c>
      <c r="E770">
        <f>'FINANCIAL CREDITORS'!$AF$208</f>
        <v/>
      </c>
      <c r="F770">
        <f>IF('FINANCIAL CREDITORS'!$V$208="","",'FINANCIAL CREDITORS'!$V$208)</f>
        <v/>
      </c>
      <c r="G770">
        <f>IF('FINANCIAL CREDITORS'!$D$208="","",'FINANCIAL CREDITORS'!$D$208)</f>
        <v/>
      </c>
      <c r="H770">
        <f>IF('FINANCIAL CREDITORS'!$G$208="","",'FINANCIAL CREDITORS'!$G$208)</f>
        <v/>
      </c>
      <c r="I770">
        <f>IF('FINANCIAL CREDITORS'!$AY$208="","",'FINANCIAL CREDITORS'!$AY$208)</f>
        <v/>
      </c>
      <c r="J770">
        <f>IF('FINANCIAL CREDITORS'!$BC$208="","",'FINANCIAL CREDITORS'!$BC$208)</f>
        <v/>
      </c>
      <c r="K770">
        <f>IF('FINANCIAL CREDITORS'!$N$208="","",'FINANCIAL CREDITORS'!$N$208)</f>
        <v/>
      </c>
      <c r="L770">
        <f>IF('FINANCIAL CREDITORS'!$AH$208="","",'FINANCIAL CREDITORS'!$AH$208)</f>
        <v/>
      </c>
      <c r="M770">
        <f>IF('FINANCIAL CREDITORS'!$AO$208="","",'FINANCIAL CREDITORS'!$AO$208)</f>
        <v/>
      </c>
      <c r="N770">
        <f>IF('FINANCIAL CREDITORS'!$BF$208="","",'FINANCIAL CREDITORS'!$BF$208)</f>
        <v/>
      </c>
      <c r="O770" t="inlineStr">
        <is>
          <t>FINANCIAL</t>
        </is>
      </c>
      <c r="P770" t="inlineStr">
        <is>
          <t>FINANCIAL CREDITORS · row 208</t>
        </is>
      </c>
      <c r="Q770">
        <f>E770+ROW()*0.000000001</f>
        <v/>
      </c>
    </row>
    <row r="771">
      <c r="A771">
        <f>IF('FINANCIAL CREDITORS'!$A$209="","",'FINANCIAL CREDITORS'!$A$209)</f>
        <v/>
      </c>
      <c r="B771">
        <f>IF('FINANCIAL CREDITORS'!$C$209="","",'FINANCIAL CREDITORS'!$C$209)</f>
        <v/>
      </c>
      <c r="C771">
        <f>'FINANCIAL CREDITORS'!$U$209</f>
        <v/>
      </c>
      <c r="D771">
        <f>'FINANCIAL CREDITORS'!$AB$209</f>
        <v/>
      </c>
      <c r="E771">
        <f>'FINANCIAL CREDITORS'!$AF$209</f>
        <v/>
      </c>
      <c r="F771">
        <f>IF('FINANCIAL CREDITORS'!$V$209="","",'FINANCIAL CREDITORS'!$V$209)</f>
        <v/>
      </c>
      <c r="G771">
        <f>IF('FINANCIAL CREDITORS'!$D$209="","",'FINANCIAL CREDITORS'!$D$209)</f>
        <v/>
      </c>
      <c r="H771">
        <f>IF('FINANCIAL CREDITORS'!$G$209="","",'FINANCIAL CREDITORS'!$G$209)</f>
        <v/>
      </c>
      <c r="I771">
        <f>IF('FINANCIAL CREDITORS'!$AY$209="","",'FINANCIAL CREDITORS'!$AY$209)</f>
        <v/>
      </c>
      <c r="J771">
        <f>IF('FINANCIAL CREDITORS'!$BC$209="","",'FINANCIAL CREDITORS'!$BC$209)</f>
        <v/>
      </c>
      <c r="K771">
        <f>IF('FINANCIAL CREDITORS'!$N$209="","",'FINANCIAL CREDITORS'!$N$209)</f>
        <v/>
      </c>
      <c r="L771">
        <f>IF('FINANCIAL CREDITORS'!$AH$209="","",'FINANCIAL CREDITORS'!$AH$209)</f>
        <v/>
      </c>
      <c r="M771">
        <f>IF('FINANCIAL CREDITORS'!$AO$209="","",'FINANCIAL CREDITORS'!$AO$209)</f>
        <v/>
      </c>
      <c r="N771">
        <f>IF('FINANCIAL CREDITORS'!$BF$209="","",'FINANCIAL CREDITORS'!$BF$209)</f>
        <v/>
      </c>
      <c r="O771" t="inlineStr">
        <is>
          <t>FINANCIAL</t>
        </is>
      </c>
      <c r="P771" t="inlineStr">
        <is>
          <t>FINANCIAL CREDITORS · row 209</t>
        </is>
      </c>
      <c r="Q771">
        <f>E771+ROW()*0.000000001</f>
        <v/>
      </c>
    </row>
    <row r="772">
      <c r="A772">
        <f>IF('FINANCIAL CREDITORS'!$A$210="","",'FINANCIAL CREDITORS'!$A$210)</f>
        <v/>
      </c>
      <c r="B772">
        <f>IF('FINANCIAL CREDITORS'!$C$210="","",'FINANCIAL CREDITORS'!$C$210)</f>
        <v/>
      </c>
      <c r="C772">
        <f>'FINANCIAL CREDITORS'!$U$210</f>
        <v/>
      </c>
      <c r="D772">
        <f>'FINANCIAL CREDITORS'!$AB$210</f>
        <v/>
      </c>
      <c r="E772">
        <f>'FINANCIAL CREDITORS'!$AF$210</f>
        <v/>
      </c>
      <c r="F772">
        <f>IF('FINANCIAL CREDITORS'!$V$210="","",'FINANCIAL CREDITORS'!$V$210)</f>
        <v/>
      </c>
      <c r="G772">
        <f>IF('FINANCIAL CREDITORS'!$D$210="","",'FINANCIAL CREDITORS'!$D$210)</f>
        <v/>
      </c>
      <c r="H772">
        <f>IF('FINANCIAL CREDITORS'!$G$210="","",'FINANCIAL CREDITORS'!$G$210)</f>
        <v/>
      </c>
      <c r="I772">
        <f>IF('FINANCIAL CREDITORS'!$AY$210="","",'FINANCIAL CREDITORS'!$AY$210)</f>
        <v/>
      </c>
      <c r="J772">
        <f>IF('FINANCIAL CREDITORS'!$BC$210="","",'FINANCIAL CREDITORS'!$BC$210)</f>
        <v/>
      </c>
      <c r="K772">
        <f>IF('FINANCIAL CREDITORS'!$N$210="","",'FINANCIAL CREDITORS'!$N$210)</f>
        <v/>
      </c>
      <c r="L772">
        <f>IF('FINANCIAL CREDITORS'!$AH$210="","",'FINANCIAL CREDITORS'!$AH$210)</f>
        <v/>
      </c>
      <c r="M772">
        <f>IF('FINANCIAL CREDITORS'!$AO$210="","",'FINANCIAL CREDITORS'!$AO$210)</f>
        <v/>
      </c>
      <c r="N772">
        <f>IF('FINANCIAL CREDITORS'!$BF$210="","",'FINANCIAL CREDITORS'!$BF$210)</f>
        <v/>
      </c>
      <c r="O772" t="inlineStr">
        <is>
          <t>FINANCIAL</t>
        </is>
      </c>
      <c r="P772" t="inlineStr">
        <is>
          <t>FINANCIAL CREDITORS · row 210</t>
        </is>
      </c>
      <c r="Q772">
        <f>E772+ROW()*0.000000001</f>
        <v/>
      </c>
    </row>
    <row r="773">
      <c r="A773">
        <f>IF('FINANCIAL CREDITORS'!$A$211="","",'FINANCIAL CREDITORS'!$A$211)</f>
        <v/>
      </c>
      <c r="B773">
        <f>IF('FINANCIAL CREDITORS'!$C$211="","",'FINANCIAL CREDITORS'!$C$211)</f>
        <v/>
      </c>
      <c r="C773">
        <f>'FINANCIAL CREDITORS'!$U$211</f>
        <v/>
      </c>
      <c r="D773">
        <f>'FINANCIAL CREDITORS'!$AB$211</f>
        <v/>
      </c>
      <c r="E773">
        <f>'FINANCIAL CREDITORS'!$AF$211</f>
        <v/>
      </c>
      <c r="F773">
        <f>IF('FINANCIAL CREDITORS'!$V$211="","",'FINANCIAL CREDITORS'!$V$211)</f>
        <v/>
      </c>
      <c r="G773">
        <f>IF('FINANCIAL CREDITORS'!$D$211="","",'FINANCIAL CREDITORS'!$D$211)</f>
        <v/>
      </c>
      <c r="H773">
        <f>IF('FINANCIAL CREDITORS'!$G$211="","",'FINANCIAL CREDITORS'!$G$211)</f>
        <v/>
      </c>
      <c r="I773">
        <f>IF('FINANCIAL CREDITORS'!$AY$211="","",'FINANCIAL CREDITORS'!$AY$211)</f>
        <v/>
      </c>
      <c r="J773">
        <f>IF('FINANCIAL CREDITORS'!$BC$211="","",'FINANCIAL CREDITORS'!$BC$211)</f>
        <v/>
      </c>
      <c r="K773">
        <f>IF('FINANCIAL CREDITORS'!$N$211="","",'FINANCIAL CREDITORS'!$N$211)</f>
        <v/>
      </c>
      <c r="L773">
        <f>IF('FINANCIAL CREDITORS'!$AH$211="","",'FINANCIAL CREDITORS'!$AH$211)</f>
        <v/>
      </c>
      <c r="M773">
        <f>IF('FINANCIAL CREDITORS'!$AO$211="","",'FINANCIAL CREDITORS'!$AO$211)</f>
        <v/>
      </c>
      <c r="N773">
        <f>IF('FINANCIAL CREDITORS'!$BF$211="","",'FINANCIAL CREDITORS'!$BF$211)</f>
        <v/>
      </c>
      <c r="O773" t="inlineStr">
        <is>
          <t>FINANCIAL</t>
        </is>
      </c>
      <c r="P773" t="inlineStr">
        <is>
          <t>FINANCIAL CREDITORS · row 211</t>
        </is>
      </c>
      <c r="Q773">
        <f>E773+ROW()*0.000000001</f>
        <v/>
      </c>
    </row>
    <row r="774">
      <c r="A774">
        <f>IF('FINANCIAL CREDITORS'!$A$212="","",'FINANCIAL CREDITORS'!$A$212)</f>
        <v/>
      </c>
      <c r="B774">
        <f>IF('FINANCIAL CREDITORS'!$C$212="","",'FINANCIAL CREDITORS'!$C$212)</f>
        <v/>
      </c>
      <c r="C774">
        <f>'FINANCIAL CREDITORS'!$U$212</f>
        <v/>
      </c>
      <c r="D774">
        <f>'FINANCIAL CREDITORS'!$AB$212</f>
        <v/>
      </c>
      <c r="E774">
        <f>'FINANCIAL CREDITORS'!$AF$212</f>
        <v/>
      </c>
      <c r="F774">
        <f>IF('FINANCIAL CREDITORS'!$V$212="","",'FINANCIAL CREDITORS'!$V$212)</f>
        <v/>
      </c>
      <c r="G774">
        <f>IF('FINANCIAL CREDITORS'!$D$212="","",'FINANCIAL CREDITORS'!$D$212)</f>
        <v/>
      </c>
      <c r="H774">
        <f>IF('FINANCIAL CREDITORS'!$G$212="","",'FINANCIAL CREDITORS'!$G$212)</f>
        <v/>
      </c>
      <c r="I774">
        <f>IF('FINANCIAL CREDITORS'!$AY$212="","",'FINANCIAL CREDITORS'!$AY$212)</f>
        <v/>
      </c>
      <c r="J774">
        <f>IF('FINANCIAL CREDITORS'!$BC$212="","",'FINANCIAL CREDITORS'!$BC$212)</f>
        <v/>
      </c>
      <c r="K774">
        <f>IF('FINANCIAL CREDITORS'!$N$212="","",'FINANCIAL CREDITORS'!$N$212)</f>
        <v/>
      </c>
      <c r="L774">
        <f>IF('FINANCIAL CREDITORS'!$AH$212="","",'FINANCIAL CREDITORS'!$AH$212)</f>
        <v/>
      </c>
      <c r="M774">
        <f>IF('FINANCIAL CREDITORS'!$AO$212="","",'FINANCIAL CREDITORS'!$AO$212)</f>
        <v/>
      </c>
      <c r="N774">
        <f>IF('FINANCIAL CREDITORS'!$BF$212="","",'FINANCIAL CREDITORS'!$BF$212)</f>
        <v/>
      </c>
      <c r="O774" t="inlineStr">
        <is>
          <t>FINANCIAL</t>
        </is>
      </c>
      <c r="P774" t="inlineStr">
        <is>
          <t>FINANCIAL CREDITORS · row 212</t>
        </is>
      </c>
      <c r="Q774">
        <f>E774+ROW()*0.000000001</f>
        <v/>
      </c>
    </row>
    <row r="775">
      <c r="A775">
        <f>IF('FINANCIAL CREDITORS'!$A$213="","",'FINANCIAL CREDITORS'!$A$213)</f>
        <v/>
      </c>
      <c r="B775">
        <f>IF('FINANCIAL CREDITORS'!$C$213="","",'FINANCIAL CREDITORS'!$C$213)</f>
        <v/>
      </c>
      <c r="C775">
        <f>'FINANCIAL CREDITORS'!$U$213</f>
        <v/>
      </c>
      <c r="D775">
        <f>'FINANCIAL CREDITORS'!$AB$213</f>
        <v/>
      </c>
      <c r="E775">
        <f>'FINANCIAL CREDITORS'!$AF$213</f>
        <v/>
      </c>
      <c r="F775">
        <f>IF('FINANCIAL CREDITORS'!$V$213="","",'FINANCIAL CREDITORS'!$V$213)</f>
        <v/>
      </c>
      <c r="G775">
        <f>IF('FINANCIAL CREDITORS'!$D$213="","",'FINANCIAL CREDITORS'!$D$213)</f>
        <v/>
      </c>
      <c r="H775">
        <f>IF('FINANCIAL CREDITORS'!$G$213="","",'FINANCIAL CREDITORS'!$G$213)</f>
        <v/>
      </c>
      <c r="I775">
        <f>IF('FINANCIAL CREDITORS'!$AY$213="","",'FINANCIAL CREDITORS'!$AY$213)</f>
        <v/>
      </c>
      <c r="J775">
        <f>IF('FINANCIAL CREDITORS'!$BC$213="","",'FINANCIAL CREDITORS'!$BC$213)</f>
        <v/>
      </c>
      <c r="K775">
        <f>IF('FINANCIAL CREDITORS'!$N$213="","",'FINANCIAL CREDITORS'!$N$213)</f>
        <v/>
      </c>
      <c r="L775">
        <f>IF('FINANCIAL CREDITORS'!$AH$213="","",'FINANCIAL CREDITORS'!$AH$213)</f>
        <v/>
      </c>
      <c r="M775">
        <f>IF('FINANCIAL CREDITORS'!$AO$213="","",'FINANCIAL CREDITORS'!$AO$213)</f>
        <v/>
      </c>
      <c r="N775">
        <f>IF('FINANCIAL CREDITORS'!$BF$213="","",'FINANCIAL CREDITORS'!$BF$213)</f>
        <v/>
      </c>
      <c r="O775" t="inlineStr">
        <is>
          <t>FINANCIAL</t>
        </is>
      </c>
      <c r="P775" t="inlineStr">
        <is>
          <t>FINANCIAL CREDITORS · row 213</t>
        </is>
      </c>
      <c r="Q775">
        <f>E775+ROW()*0.000000001</f>
        <v/>
      </c>
    </row>
    <row r="776">
      <c r="A776">
        <f>IF('FINANCIAL CREDITORS'!$A$214="","",'FINANCIAL CREDITORS'!$A$214)</f>
        <v/>
      </c>
      <c r="B776">
        <f>IF('FINANCIAL CREDITORS'!$C$214="","",'FINANCIAL CREDITORS'!$C$214)</f>
        <v/>
      </c>
      <c r="C776">
        <f>'FINANCIAL CREDITORS'!$U$214</f>
        <v/>
      </c>
      <c r="D776">
        <f>'FINANCIAL CREDITORS'!$AB$214</f>
        <v/>
      </c>
      <c r="E776">
        <f>'FINANCIAL CREDITORS'!$AF$214</f>
        <v/>
      </c>
      <c r="F776">
        <f>IF('FINANCIAL CREDITORS'!$V$214="","",'FINANCIAL CREDITORS'!$V$214)</f>
        <v/>
      </c>
      <c r="G776">
        <f>IF('FINANCIAL CREDITORS'!$D$214="","",'FINANCIAL CREDITORS'!$D$214)</f>
        <v/>
      </c>
      <c r="H776">
        <f>IF('FINANCIAL CREDITORS'!$G$214="","",'FINANCIAL CREDITORS'!$G$214)</f>
        <v/>
      </c>
      <c r="I776">
        <f>IF('FINANCIAL CREDITORS'!$AY$214="","",'FINANCIAL CREDITORS'!$AY$214)</f>
        <v/>
      </c>
      <c r="J776">
        <f>IF('FINANCIAL CREDITORS'!$BC$214="","",'FINANCIAL CREDITORS'!$BC$214)</f>
        <v/>
      </c>
      <c r="K776">
        <f>IF('FINANCIAL CREDITORS'!$N$214="","",'FINANCIAL CREDITORS'!$N$214)</f>
        <v/>
      </c>
      <c r="L776">
        <f>IF('FINANCIAL CREDITORS'!$AH$214="","",'FINANCIAL CREDITORS'!$AH$214)</f>
        <v/>
      </c>
      <c r="M776">
        <f>IF('FINANCIAL CREDITORS'!$AO$214="","",'FINANCIAL CREDITORS'!$AO$214)</f>
        <v/>
      </c>
      <c r="N776">
        <f>IF('FINANCIAL CREDITORS'!$BF$214="","",'FINANCIAL CREDITORS'!$BF$214)</f>
        <v/>
      </c>
      <c r="O776" t="inlineStr">
        <is>
          <t>FINANCIAL</t>
        </is>
      </c>
      <c r="P776" t="inlineStr">
        <is>
          <t>FINANCIAL CREDITORS · row 214</t>
        </is>
      </c>
      <c r="Q776">
        <f>E776+ROW()*0.000000001</f>
        <v/>
      </c>
    </row>
    <row r="777">
      <c r="A777">
        <f>IF('FINANCIAL CREDITORS'!$A$215="","",'FINANCIAL CREDITORS'!$A$215)</f>
        <v/>
      </c>
      <c r="B777">
        <f>IF('FINANCIAL CREDITORS'!$C$215="","",'FINANCIAL CREDITORS'!$C$215)</f>
        <v/>
      </c>
      <c r="C777">
        <f>'FINANCIAL CREDITORS'!$U$215</f>
        <v/>
      </c>
      <c r="D777">
        <f>'FINANCIAL CREDITORS'!$AB$215</f>
        <v/>
      </c>
      <c r="E777">
        <f>'FINANCIAL CREDITORS'!$AF$215</f>
        <v/>
      </c>
      <c r="F777">
        <f>IF('FINANCIAL CREDITORS'!$V$215="","",'FINANCIAL CREDITORS'!$V$215)</f>
        <v/>
      </c>
      <c r="G777">
        <f>IF('FINANCIAL CREDITORS'!$D$215="","",'FINANCIAL CREDITORS'!$D$215)</f>
        <v/>
      </c>
      <c r="H777">
        <f>IF('FINANCIAL CREDITORS'!$G$215="","",'FINANCIAL CREDITORS'!$G$215)</f>
        <v/>
      </c>
      <c r="I777">
        <f>IF('FINANCIAL CREDITORS'!$AY$215="","",'FINANCIAL CREDITORS'!$AY$215)</f>
        <v/>
      </c>
      <c r="J777">
        <f>IF('FINANCIAL CREDITORS'!$BC$215="","",'FINANCIAL CREDITORS'!$BC$215)</f>
        <v/>
      </c>
      <c r="K777">
        <f>IF('FINANCIAL CREDITORS'!$N$215="","",'FINANCIAL CREDITORS'!$N$215)</f>
        <v/>
      </c>
      <c r="L777">
        <f>IF('FINANCIAL CREDITORS'!$AH$215="","",'FINANCIAL CREDITORS'!$AH$215)</f>
        <v/>
      </c>
      <c r="M777">
        <f>IF('FINANCIAL CREDITORS'!$AO$215="","",'FINANCIAL CREDITORS'!$AO$215)</f>
        <v/>
      </c>
      <c r="N777">
        <f>IF('FINANCIAL CREDITORS'!$BF$215="","",'FINANCIAL CREDITORS'!$BF$215)</f>
        <v/>
      </c>
      <c r="O777" t="inlineStr">
        <is>
          <t>FINANCIAL</t>
        </is>
      </c>
      <c r="P777" t="inlineStr">
        <is>
          <t>FINANCIAL CREDITORS · row 215</t>
        </is>
      </c>
      <c r="Q777">
        <f>E777+ROW()*0.000000001</f>
        <v/>
      </c>
    </row>
    <row r="778">
      <c r="A778">
        <f>IF('FINANCIAL CREDITORS'!$A$216="","",'FINANCIAL CREDITORS'!$A$216)</f>
        <v/>
      </c>
      <c r="B778">
        <f>IF('FINANCIAL CREDITORS'!$C$216="","",'FINANCIAL CREDITORS'!$C$216)</f>
        <v/>
      </c>
      <c r="C778">
        <f>'FINANCIAL CREDITORS'!$U$216</f>
        <v/>
      </c>
      <c r="D778">
        <f>'FINANCIAL CREDITORS'!$AB$216</f>
        <v/>
      </c>
      <c r="E778">
        <f>'FINANCIAL CREDITORS'!$AF$216</f>
        <v/>
      </c>
      <c r="F778">
        <f>IF('FINANCIAL CREDITORS'!$V$216="","",'FINANCIAL CREDITORS'!$V$216)</f>
        <v/>
      </c>
      <c r="G778">
        <f>IF('FINANCIAL CREDITORS'!$D$216="","",'FINANCIAL CREDITORS'!$D$216)</f>
        <v/>
      </c>
      <c r="H778">
        <f>IF('FINANCIAL CREDITORS'!$G$216="","",'FINANCIAL CREDITORS'!$G$216)</f>
        <v/>
      </c>
      <c r="I778">
        <f>IF('FINANCIAL CREDITORS'!$AY$216="","",'FINANCIAL CREDITORS'!$AY$216)</f>
        <v/>
      </c>
      <c r="J778">
        <f>IF('FINANCIAL CREDITORS'!$BC$216="","",'FINANCIAL CREDITORS'!$BC$216)</f>
        <v/>
      </c>
      <c r="K778">
        <f>IF('FINANCIAL CREDITORS'!$N$216="","",'FINANCIAL CREDITORS'!$N$216)</f>
        <v/>
      </c>
      <c r="L778">
        <f>IF('FINANCIAL CREDITORS'!$AH$216="","",'FINANCIAL CREDITORS'!$AH$216)</f>
        <v/>
      </c>
      <c r="M778">
        <f>IF('FINANCIAL CREDITORS'!$AO$216="","",'FINANCIAL CREDITORS'!$AO$216)</f>
        <v/>
      </c>
      <c r="N778">
        <f>IF('FINANCIAL CREDITORS'!$BF$216="","",'FINANCIAL CREDITORS'!$BF$216)</f>
        <v/>
      </c>
      <c r="O778" t="inlineStr">
        <is>
          <t>FINANCIAL</t>
        </is>
      </c>
      <c r="P778" t="inlineStr">
        <is>
          <t>FINANCIAL CREDITORS · row 216</t>
        </is>
      </c>
      <c r="Q778">
        <f>E778+ROW()*0.000000001</f>
        <v/>
      </c>
    </row>
    <row r="779">
      <c r="A779">
        <f>IF('FINANCIAL CREDITORS'!$A$217="","",'FINANCIAL CREDITORS'!$A$217)</f>
        <v/>
      </c>
      <c r="B779">
        <f>IF('FINANCIAL CREDITORS'!$C$217="","",'FINANCIAL CREDITORS'!$C$217)</f>
        <v/>
      </c>
      <c r="C779">
        <f>'FINANCIAL CREDITORS'!$U$217</f>
        <v/>
      </c>
      <c r="D779">
        <f>'FINANCIAL CREDITORS'!$AB$217</f>
        <v/>
      </c>
      <c r="E779">
        <f>'FINANCIAL CREDITORS'!$AF$217</f>
        <v/>
      </c>
      <c r="F779">
        <f>IF('FINANCIAL CREDITORS'!$V$217="","",'FINANCIAL CREDITORS'!$V$217)</f>
        <v/>
      </c>
      <c r="G779">
        <f>IF('FINANCIAL CREDITORS'!$D$217="","",'FINANCIAL CREDITORS'!$D$217)</f>
        <v/>
      </c>
      <c r="H779">
        <f>IF('FINANCIAL CREDITORS'!$G$217="","",'FINANCIAL CREDITORS'!$G$217)</f>
        <v/>
      </c>
      <c r="I779">
        <f>IF('FINANCIAL CREDITORS'!$AY$217="","",'FINANCIAL CREDITORS'!$AY$217)</f>
        <v/>
      </c>
      <c r="J779">
        <f>IF('FINANCIAL CREDITORS'!$BC$217="","",'FINANCIAL CREDITORS'!$BC$217)</f>
        <v/>
      </c>
      <c r="K779">
        <f>IF('FINANCIAL CREDITORS'!$N$217="","",'FINANCIAL CREDITORS'!$N$217)</f>
        <v/>
      </c>
      <c r="L779">
        <f>IF('FINANCIAL CREDITORS'!$AH$217="","",'FINANCIAL CREDITORS'!$AH$217)</f>
        <v/>
      </c>
      <c r="M779">
        <f>IF('FINANCIAL CREDITORS'!$AO$217="","",'FINANCIAL CREDITORS'!$AO$217)</f>
        <v/>
      </c>
      <c r="N779">
        <f>IF('FINANCIAL CREDITORS'!$BF$217="","",'FINANCIAL CREDITORS'!$BF$217)</f>
        <v/>
      </c>
      <c r="O779" t="inlineStr">
        <is>
          <t>FINANCIAL</t>
        </is>
      </c>
      <c r="P779" t="inlineStr">
        <is>
          <t>FINANCIAL CREDITORS · row 217</t>
        </is>
      </c>
      <c r="Q779">
        <f>E779+ROW()*0.000000001</f>
        <v/>
      </c>
    </row>
    <row r="780">
      <c r="A780">
        <f>IF('FINANCIAL CREDITORS'!$A$218="","",'FINANCIAL CREDITORS'!$A$218)</f>
        <v/>
      </c>
      <c r="B780">
        <f>IF('FINANCIAL CREDITORS'!$C$218="","",'FINANCIAL CREDITORS'!$C$218)</f>
        <v/>
      </c>
      <c r="C780">
        <f>'FINANCIAL CREDITORS'!$U$218</f>
        <v/>
      </c>
      <c r="D780">
        <f>'FINANCIAL CREDITORS'!$AB$218</f>
        <v/>
      </c>
      <c r="E780">
        <f>'FINANCIAL CREDITORS'!$AF$218</f>
        <v/>
      </c>
      <c r="F780">
        <f>IF('FINANCIAL CREDITORS'!$V$218="","",'FINANCIAL CREDITORS'!$V$218)</f>
        <v/>
      </c>
      <c r="G780">
        <f>IF('FINANCIAL CREDITORS'!$D$218="","",'FINANCIAL CREDITORS'!$D$218)</f>
        <v/>
      </c>
      <c r="H780">
        <f>IF('FINANCIAL CREDITORS'!$G$218="","",'FINANCIAL CREDITORS'!$G$218)</f>
        <v/>
      </c>
      <c r="I780">
        <f>IF('FINANCIAL CREDITORS'!$AY$218="","",'FINANCIAL CREDITORS'!$AY$218)</f>
        <v/>
      </c>
      <c r="J780">
        <f>IF('FINANCIAL CREDITORS'!$BC$218="","",'FINANCIAL CREDITORS'!$BC$218)</f>
        <v/>
      </c>
      <c r="K780">
        <f>IF('FINANCIAL CREDITORS'!$N$218="","",'FINANCIAL CREDITORS'!$N$218)</f>
        <v/>
      </c>
      <c r="L780">
        <f>IF('FINANCIAL CREDITORS'!$AH$218="","",'FINANCIAL CREDITORS'!$AH$218)</f>
        <v/>
      </c>
      <c r="M780">
        <f>IF('FINANCIAL CREDITORS'!$AO$218="","",'FINANCIAL CREDITORS'!$AO$218)</f>
        <v/>
      </c>
      <c r="N780">
        <f>IF('FINANCIAL CREDITORS'!$BF$218="","",'FINANCIAL CREDITORS'!$BF$218)</f>
        <v/>
      </c>
      <c r="O780" t="inlineStr">
        <is>
          <t>FINANCIAL</t>
        </is>
      </c>
      <c r="P780" t="inlineStr">
        <is>
          <t>FINANCIAL CREDITORS · row 218</t>
        </is>
      </c>
      <c r="Q780">
        <f>E780+ROW()*0.000000001</f>
        <v/>
      </c>
    </row>
    <row r="781">
      <c r="A781">
        <f>IF('FINANCIAL CREDITORS'!$A$219="","",'FINANCIAL CREDITORS'!$A$219)</f>
        <v/>
      </c>
      <c r="B781">
        <f>IF('FINANCIAL CREDITORS'!$C$219="","",'FINANCIAL CREDITORS'!$C$219)</f>
        <v/>
      </c>
      <c r="C781">
        <f>'FINANCIAL CREDITORS'!$U$219</f>
        <v/>
      </c>
      <c r="D781">
        <f>'FINANCIAL CREDITORS'!$AB$219</f>
        <v/>
      </c>
      <c r="E781">
        <f>'FINANCIAL CREDITORS'!$AF$219</f>
        <v/>
      </c>
      <c r="F781">
        <f>IF('FINANCIAL CREDITORS'!$V$219="","",'FINANCIAL CREDITORS'!$V$219)</f>
        <v/>
      </c>
      <c r="G781">
        <f>IF('FINANCIAL CREDITORS'!$D$219="","",'FINANCIAL CREDITORS'!$D$219)</f>
        <v/>
      </c>
      <c r="H781">
        <f>IF('FINANCIAL CREDITORS'!$G$219="","",'FINANCIAL CREDITORS'!$G$219)</f>
        <v/>
      </c>
      <c r="I781">
        <f>IF('FINANCIAL CREDITORS'!$AY$219="","",'FINANCIAL CREDITORS'!$AY$219)</f>
        <v/>
      </c>
      <c r="J781">
        <f>IF('FINANCIAL CREDITORS'!$BC$219="","",'FINANCIAL CREDITORS'!$BC$219)</f>
        <v/>
      </c>
      <c r="K781">
        <f>IF('FINANCIAL CREDITORS'!$N$219="","",'FINANCIAL CREDITORS'!$N$219)</f>
        <v/>
      </c>
      <c r="L781">
        <f>IF('FINANCIAL CREDITORS'!$AH$219="","",'FINANCIAL CREDITORS'!$AH$219)</f>
        <v/>
      </c>
      <c r="M781">
        <f>IF('FINANCIAL CREDITORS'!$AO$219="","",'FINANCIAL CREDITORS'!$AO$219)</f>
        <v/>
      </c>
      <c r="N781">
        <f>IF('FINANCIAL CREDITORS'!$BF$219="","",'FINANCIAL CREDITORS'!$BF$219)</f>
        <v/>
      </c>
      <c r="O781" t="inlineStr">
        <is>
          <t>FINANCIAL</t>
        </is>
      </c>
      <c r="P781" t="inlineStr">
        <is>
          <t>FINANCIAL CREDITORS · row 219</t>
        </is>
      </c>
      <c r="Q781">
        <f>E781+ROW()*0.000000001</f>
        <v/>
      </c>
    </row>
    <row r="782">
      <c r="A782">
        <f>IF('FINANCIAL CREDITORS'!$A$220="","",'FINANCIAL CREDITORS'!$A$220)</f>
        <v/>
      </c>
      <c r="B782">
        <f>IF('FINANCIAL CREDITORS'!$C$220="","",'FINANCIAL CREDITORS'!$C$220)</f>
        <v/>
      </c>
      <c r="C782">
        <f>'FINANCIAL CREDITORS'!$U$220</f>
        <v/>
      </c>
      <c r="D782">
        <f>'FINANCIAL CREDITORS'!$AB$220</f>
        <v/>
      </c>
      <c r="E782">
        <f>'FINANCIAL CREDITORS'!$AF$220</f>
        <v/>
      </c>
      <c r="F782">
        <f>IF('FINANCIAL CREDITORS'!$V$220="","",'FINANCIAL CREDITORS'!$V$220)</f>
        <v/>
      </c>
      <c r="G782">
        <f>IF('FINANCIAL CREDITORS'!$D$220="","",'FINANCIAL CREDITORS'!$D$220)</f>
        <v/>
      </c>
      <c r="H782">
        <f>IF('FINANCIAL CREDITORS'!$G$220="","",'FINANCIAL CREDITORS'!$G$220)</f>
        <v/>
      </c>
      <c r="I782">
        <f>IF('FINANCIAL CREDITORS'!$AY$220="","",'FINANCIAL CREDITORS'!$AY$220)</f>
        <v/>
      </c>
      <c r="J782">
        <f>IF('FINANCIAL CREDITORS'!$BC$220="","",'FINANCIAL CREDITORS'!$BC$220)</f>
        <v/>
      </c>
      <c r="K782">
        <f>IF('FINANCIAL CREDITORS'!$N$220="","",'FINANCIAL CREDITORS'!$N$220)</f>
        <v/>
      </c>
      <c r="L782">
        <f>IF('FINANCIAL CREDITORS'!$AH$220="","",'FINANCIAL CREDITORS'!$AH$220)</f>
        <v/>
      </c>
      <c r="M782">
        <f>IF('FINANCIAL CREDITORS'!$AO$220="","",'FINANCIAL CREDITORS'!$AO$220)</f>
        <v/>
      </c>
      <c r="N782">
        <f>IF('FINANCIAL CREDITORS'!$BF$220="","",'FINANCIAL CREDITORS'!$BF$220)</f>
        <v/>
      </c>
      <c r="O782" t="inlineStr">
        <is>
          <t>FINANCIAL</t>
        </is>
      </c>
      <c r="P782" t="inlineStr">
        <is>
          <t>FINANCIAL CREDITORS · row 220</t>
        </is>
      </c>
      <c r="Q782">
        <f>E782+ROW()*0.000000001</f>
        <v/>
      </c>
    </row>
    <row r="783">
      <c r="A783">
        <f>IF('FINANCIAL CREDITORS'!$A$221="","",'FINANCIAL CREDITORS'!$A$221)</f>
        <v/>
      </c>
      <c r="B783">
        <f>IF('FINANCIAL CREDITORS'!$C$221="","",'FINANCIAL CREDITORS'!$C$221)</f>
        <v/>
      </c>
      <c r="C783">
        <f>'FINANCIAL CREDITORS'!$U$221</f>
        <v/>
      </c>
      <c r="D783">
        <f>'FINANCIAL CREDITORS'!$AB$221</f>
        <v/>
      </c>
      <c r="E783">
        <f>'FINANCIAL CREDITORS'!$AF$221</f>
        <v/>
      </c>
      <c r="F783">
        <f>IF('FINANCIAL CREDITORS'!$V$221="","",'FINANCIAL CREDITORS'!$V$221)</f>
        <v/>
      </c>
      <c r="G783">
        <f>IF('FINANCIAL CREDITORS'!$D$221="","",'FINANCIAL CREDITORS'!$D$221)</f>
        <v/>
      </c>
      <c r="H783">
        <f>IF('FINANCIAL CREDITORS'!$G$221="","",'FINANCIAL CREDITORS'!$G$221)</f>
        <v/>
      </c>
      <c r="I783">
        <f>IF('FINANCIAL CREDITORS'!$AY$221="","",'FINANCIAL CREDITORS'!$AY$221)</f>
        <v/>
      </c>
      <c r="J783">
        <f>IF('FINANCIAL CREDITORS'!$BC$221="","",'FINANCIAL CREDITORS'!$BC$221)</f>
        <v/>
      </c>
      <c r="K783">
        <f>IF('FINANCIAL CREDITORS'!$N$221="","",'FINANCIAL CREDITORS'!$N$221)</f>
        <v/>
      </c>
      <c r="L783">
        <f>IF('FINANCIAL CREDITORS'!$AH$221="","",'FINANCIAL CREDITORS'!$AH$221)</f>
        <v/>
      </c>
      <c r="M783">
        <f>IF('FINANCIAL CREDITORS'!$AO$221="","",'FINANCIAL CREDITORS'!$AO$221)</f>
        <v/>
      </c>
      <c r="N783">
        <f>IF('FINANCIAL CREDITORS'!$BF$221="","",'FINANCIAL CREDITORS'!$BF$221)</f>
        <v/>
      </c>
      <c r="O783" t="inlineStr">
        <is>
          <t>FINANCIAL</t>
        </is>
      </c>
      <c r="P783" t="inlineStr">
        <is>
          <t>FINANCIAL CREDITORS · row 221</t>
        </is>
      </c>
      <c r="Q783">
        <f>E783+ROW()*0.000000001</f>
        <v/>
      </c>
    </row>
    <row r="784">
      <c r="A784">
        <f>IF('FINANCIAL CREDITORS'!$A$222="","",'FINANCIAL CREDITORS'!$A$222)</f>
        <v/>
      </c>
      <c r="B784">
        <f>IF('FINANCIAL CREDITORS'!$C$222="","",'FINANCIAL CREDITORS'!$C$222)</f>
        <v/>
      </c>
      <c r="C784">
        <f>'FINANCIAL CREDITORS'!$U$222</f>
        <v/>
      </c>
      <c r="D784">
        <f>'FINANCIAL CREDITORS'!$AB$222</f>
        <v/>
      </c>
      <c r="E784">
        <f>'FINANCIAL CREDITORS'!$AF$222</f>
        <v/>
      </c>
      <c r="F784">
        <f>IF('FINANCIAL CREDITORS'!$V$222="","",'FINANCIAL CREDITORS'!$V$222)</f>
        <v/>
      </c>
      <c r="G784">
        <f>IF('FINANCIAL CREDITORS'!$D$222="","",'FINANCIAL CREDITORS'!$D$222)</f>
        <v/>
      </c>
      <c r="H784">
        <f>IF('FINANCIAL CREDITORS'!$G$222="","",'FINANCIAL CREDITORS'!$G$222)</f>
        <v/>
      </c>
      <c r="I784">
        <f>IF('FINANCIAL CREDITORS'!$AY$222="","",'FINANCIAL CREDITORS'!$AY$222)</f>
        <v/>
      </c>
      <c r="J784">
        <f>IF('FINANCIAL CREDITORS'!$BC$222="","",'FINANCIAL CREDITORS'!$BC$222)</f>
        <v/>
      </c>
      <c r="K784">
        <f>IF('FINANCIAL CREDITORS'!$N$222="","",'FINANCIAL CREDITORS'!$N$222)</f>
        <v/>
      </c>
      <c r="L784">
        <f>IF('FINANCIAL CREDITORS'!$AH$222="","",'FINANCIAL CREDITORS'!$AH$222)</f>
        <v/>
      </c>
      <c r="M784">
        <f>IF('FINANCIAL CREDITORS'!$AO$222="","",'FINANCIAL CREDITORS'!$AO$222)</f>
        <v/>
      </c>
      <c r="N784">
        <f>IF('FINANCIAL CREDITORS'!$BF$222="","",'FINANCIAL CREDITORS'!$BF$222)</f>
        <v/>
      </c>
      <c r="O784" t="inlineStr">
        <is>
          <t>FINANCIAL</t>
        </is>
      </c>
      <c r="P784" t="inlineStr">
        <is>
          <t>FINANCIAL CREDITORS · row 222</t>
        </is>
      </c>
      <c r="Q784">
        <f>E784+ROW()*0.000000001</f>
        <v/>
      </c>
    </row>
    <row r="785">
      <c r="A785">
        <f>IF('FINANCIAL CREDITORS'!$A$223="","",'FINANCIAL CREDITORS'!$A$223)</f>
        <v/>
      </c>
      <c r="B785">
        <f>IF('FINANCIAL CREDITORS'!$C$223="","",'FINANCIAL CREDITORS'!$C$223)</f>
        <v/>
      </c>
      <c r="C785">
        <f>'FINANCIAL CREDITORS'!$U$223</f>
        <v/>
      </c>
      <c r="D785">
        <f>'FINANCIAL CREDITORS'!$AB$223</f>
        <v/>
      </c>
      <c r="E785">
        <f>'FINANCIAL CREDITORS'!$AF$223</f>
        <v/>
      </c>
      <c r="F785">
        <f>IF('FINANCIAL CREDITORS'!$V$223="","",'FINANCIAL CREDITORS'!$V$223)</f>
        <v/>
      </c>
      <c r="G785">
        <f>IF('FINANCIAL CREDITORS'!$D$223="","",'FINANCIAL CREDITORS'!$D$223)</f>
        <v/>
      </c>
      <c r="H785">
        <f>IF('FINANCIAL CREDITORS'!$G$223="","",'FINANCIAL CREDITORS'!$G$223)</f>
        <v/>
      </c>
      <c r="I785">
        <f>IF('FINANCIAL CREDITORS'!$AY$223="","",'FINANCIAL CREDITORS'!$AY$223)</f>
        <v/>
      </c>
      <c r="J785">
        <f>IF('FINANCIAL CREDITORS'!$BC$223="","",'FINANCIAL CREDITORS'!$BC$223)</f>
        <v/>
      </c>
      <c r="K785">
        <f>IF('FINANCIAL CREDITORS'!$N$223="","",'FINANCIAL CREDITORS'!$N$223)</f>
        <v/>
      </c>
      <c r="L785">
        <f>IF('FINANCIAL CREDITORS'!$AH$223="","",'FINANCIAL CREDITORS'!$AH$223)</f>
        <v/>
      </c>
      <c r="M785">
        <f>IF('FINANCIAL CREDITORS'!$AO$223="","",'FINANCIAL CREDITORS'!$AO$223)</f>
        <v/>
      </c>
      <c r="N785">
        <f>IF('FINANCIAL CREDITORS'!$BF$223="","",'FINANCIAL CREDITORS'!$BF$223)</f>
        <v/>
      </c>
      <c r="O785" t="inlineStr">
        <is>
          <t>FINANCIAL</t>
        </is>
      </c>
      <c r="P785" t="inlineStr">
        <is>
          <t>FINANCIAL CREDITORS · row 223</t>
        </is>
      </c>
      <c r="Q785">
        <f>E785+ROW()*0.000000001</f>
        <v/>
      </c>
    </row>
    <row r="786">
      <c r="A786">
        <f>IF('FINANCIAL CREDITORS'!$A$224="","",'FINANCIAL CREDITORS'!$A$224)</f>
        <v/>
      </c>
      <c r="B786">
        <f>IF('FINANCIAL CREDITORS'!$C$224="","",'FINANCIAL CREDITORS'!$C$224)</f>
        <v/>
      </c>
      <c r="C786">
        <f>'FINANCIAL CREDITORS'!$U$224</f>
        <v/>
      </c>
      <c r="D786">
        <f>'FINANCIAL CREDITORS'!$AB$224</f>
        <v/>
      </c>
      <c r="E786">
        <f>'FINANCIAL CREDITORS'!$AF$224</f>
        <v/>
      </c>
      <c r="F786">
        <f>IF('FINANCIAL CREDITORS'!$V$224="","",'FINANCIAL CREDITORS'!$V$224)</f>
        <v/>
      </c>
      <c r="G786">
        <f>IF('FINANCIAL CREDITORS'!$D$224="","",'FINANCIAL CREDITORS'!$D$224)</f>
        <v/>
      </c>
      <c r="H786">
        <f>IF('FINANCIAL CREDITORS'!$G$224="","",'FINANCIAL CREDITORS'!$G$224)</f>
        <v/>
      </c>
      <c r="I786">
        <f>IF('FINANCIAL CREDITORS'!$AY$224="","",'FINANCIAL CREDITORS'!$AY$224)</f>
        <v/>
      </c>
      <c r="J786">
        <f>IF('FINANCIAL CREDITORS'!$BC$224="","",'FINANCIAL CREDITORS'!$BC$224)</f>
        <v/>
      </c>
      <c r="K786">
        <f>IF('FINANCIAL CREDITORS'!$N$224="","",'FINANCIAL CREDITORS'!$N$224)</f>
        <v/>
      </c>
      <c r="L786">
        <f>IF('FINANCIAL CREDITORS'!$AH$224="","",'FINANCIAL CREDITORS'!$AH$224)</f>
        <v/>
      </c>
      <c r="M786">
        <f>IF('FINANCIAL CREDITORS'!$AO$224="","",'FINANCIAL CREDITORS'!$AO$224)</f>
        <v/>
      </c>
      <c r="N786">
        <f>IF('FINANCIAL CREDITORS'!$BF$224="","",'FINANCIAL CREDITORS'!$BF$224)</f>
        <v/>
      </c>
      <c r="O786" t="inlineStr">
        <is>
          <t>FINANCIAL</t>
        </is>
      </c>
      <c r="P786" t="inlineStr">
        <is>
          <t>FINANCIAL CREDITORS · row 224</t>
        </is>
      </c>
      <c r="Q786">
        <f>E786+ROW()*0.000000001</f>
        <v/>
      </c>
    </row>
    <row r="787">
      <c r="A787">
        <f>IF('FINANCIAL CREDITORS'!$A$225="","",'FINANCIAL CREDITORS'!$A$225)</f>
        <v/>
      </c>
      <c r="B787">
        <f>IF('FINANCIAL CREDITORS'!$C$225="","",'FINANCIAL CREDITORS'!$C$225)</f>
        <v/>
      </c>
      <c r="C787">
        <f>'FINANCIAL CREDITORS'!$U$225</f>
        <v/>
      </c>
      <c r="D787">
        <f>'FINANCIAL CREDITORS'!$AB$225</f>
        <v/>
      </c>
      <c r="E787">
        <f>'FINANCIAL CREDITORS'!$AF$225</f>
        <v/>
      </c>
      <c r="F787">
        <f>IF('FINANCIAL CREDITORS'!$V$225="","",'FINANCIAL CREDITORS'!$V$225)</f>
        <v/>
      </c>
      <c r="G787">
        <f>IF('FINANCIAL CREDITORS'!$D$225="","",'FINANCIAL CREDITORS'!$D$225)</f>
        <v/>
      </c>
      <c r="H787">
        <f>IF('FINANCIAL CREDITORS'!$G$225="","",'FINANCIAL CREDITORS'!$G$225)</f>
        <v/>
      </c>
      <c r="I787">
        <f>IF('FINANCIAL CREDITORS'!$AY$225="","",'FINANCIAL CREDITORS'!$AY$225)</f>
        <v/>
      </c>
      <c r="J787">
        <f>IF('FINANCIAL CREDITORS'!$BC$225="","",'FINANCIAL CREDITORS'!$BC$225)</f>
        <v/>
      </c>
      <c r="K787">
        <f>IF('FINANCIAL CREDITORS'!$N$225="","",'FINANCIAL CREDITORS'!$N$225)</f>
        <v/>
      </c>
      <c r="L787">
        <f>IF('FINANCIAL CREDITORS'!$AH$225="","",'FINANCIAL CREDITORS'!$AH$225)</f>
        <v/>
      </c>
      <c r="M787">
        <f>IF('FINANCIAL CREDITORS'!$AO$225="","",'FINANCIAL CREDITORS'!$AO$225)</f>
        <v/>
      </c>
      <c r="N787">
        <f>IF('FINANCIAL CREDITORS'!$BF$225="","",'FINANCIAL CREDITORS'!$BF$225)</f>
        <v/>
      </c>
      <c r="O787" t="inlineStr">
        <is>
          <t>FINANCIAL</t>
        </is>
      </c>
      <c r="P787" t="inlineStr">
        <is>
          <t>FINANCIAL CREDITORS · row 225</t>
        </is>
      </c>
      <c r="Q787">
        <f>E787+ROW()*0.000000001</f>
        <v/>
      </c>
    </row>
    <row r="788">
      <c r="A788">
        <f>IF('FINANCIAL CREDITORS'!$A$226="","",'FINANCIAL CREDITORS'!$A$226)</f>
        <v/>
      </c>
      <c r="B788">
        <f>IF('FINANCIAL CREDITORS'!$C$226="","",'FINANCIAL CREDITORS'!$C$226)</f>
        <v/>
      </c>
      <c r="C788">
        <f>'FINANCIAL CREDITORS'!$U$226</f>
        <v/>
      </c>
      <c r="D788">
        <f>'FINANCIAL CREDITORS'!$AB$226</f>
        <v/>
      </c>
      <c r="E788">
        <f>'FINANCIAL CREDITORS'!$AF$226</f>
        <v/>
      </c>
      <c r="F788">
        <f>IF('FINANCIAL CREDITORS'!$V$226="","",'FINANCIAL CREDITORS'!$V$226)</f>
        <v/>
      </c>
      <c r="G788">
        <f>IF('FINANCIAL CREDITORS'!$D$226="","",'FINANCIAL CREDITORS'!$D$226)</f>
        <v/>
      </c>
      <c r="H788">
        <f>IF('FINANCIAL CREDITORS'!$G$226="","",'FINANCIAL CREDITORS'!$G$226)</f>
        <v/>
      </c>
      <c r="I788">
        <f>IF('FINANCIAL CREDITORS'!$AY$226="","",'FINANCIAL CREDITORS'!$AY$226)</f>
        <v/>
      </c>
      <c r="J788">
        <f>IF('FINANCIAL CREDITORS'!$BC$226="","",'FINANCIAL CREDITORS'!$BC$226)</f>
        <v/>
      </c>
      <c r="K788">
        <f>IF('FINANCIAL CREDITORS'!$N$226="","",'FINANCIAL CREDITORS'!$N$226)</f>
        <v/>
      </c>
      <c r="L788">
        <f>IF('FINANCIAL CREDITORS'!$AH$226="","",'FINANCIAL CREDITORS'!$AH$226)</f>
        <v/>
      </c>
      <c r="M788">
        <f>IF('FINANCIAL CREDITORS'!$AO$226="","",'FINANCIAL CREDITORS'!$AO$226)</f>
        <v/>
      </c>
      <c r="N788">
        <f>IF('FINANCIAL CREDITORS'!$BF$226="","",'FINANCIAL CREDITORS'!$BF$226)</f>
        <v/>
      </c>
      <c r="O788" t="inlineStr">
        <is>
          <t>FINANCIAL</t>
        </is>
      </c>
      <c r="P788" t="inlineStr">
        <is>
          <t>FINANCIAL CREDITORS · row 226</t>
        </is>
      </c>
      <c r="Q788">
        <f>E788+ROW()*0.000000001</f>
        <v/>
      </c>
    </row>
    <row r="789">
      <c r="A789">
        <f>IF('FINANCIAL CREDITORS'!$A$227="","",'FINANCIAL CREDITORS'!$A$227)</f>
        <v/>
      </c>
      <c r="B789">
        <f>IF('FINANCIAL CREDITORS'!$C$227="","",'FINANCIAL CREDITORS'!$C$227)</f>
        <v/>
      </c>
      <c r="C789">
        <f>'FINANCIAL CREDITORS'!$U$227</f>
        <v/>
      </c>
      <c r="D789">
        <f>'FINANCIAL CREDITORS'!$AB$227</f>
        <v/>
      </c>
      <c r="E789">
        <f>'FINANCIAL CREDITORS'!$AF$227</f>
        <v/>
      </c>
      <c r="F789">
        <f>IF('FINANCIAL CREDITORS'!$V$227="","",'FINANCIAL CREDITORS'!$V$227)</f>
        <v/>
      </c>
      <c r="G789">
        <f>IF('FINANCIAL CREDITORS'!$D$227="","",'FINANCIAL CREDITORS'!$D$227)</f>
        <v/>
      </c>
      <c r="H789">
        <f>IF('FINANCIAL CREDITORS'!$G$227="","",'FINANCIAL CREDITORS'!$G$227)</f>
        <v/>
      </c>
      <c r="I789">
        <f>IF('FINANCIAL CREDITORS'!$AY$227="","",'FINANCIAL CREDITORS'!$AY$227)</f>
        <v/>
      </c>
      <c r="J789">
        <f>IF('FINANCIAL CREDITORS'!$BC$227="","",'FINANCIAL CREDITORS'!$BC$227)</f>
        <v/>
      </c>
      <c r="K789">
        <f>IF('FINANCIAL CREDITORS'!$N$227="","",'FINANCIAL CREDITORS'!$N$227)</f>
        <v/>
      </c>
      <c r="L789">
        <f>IF('FINANCIAL CREDITORS'!$AH$227="","",'FINANCIAL CREDITORS'!$AH$227)</f>
        <v/>
      </c>
      <c r="M789">
        <f>IF('FINANCIAL CREDITORS'!$AO$227="","",'FINANCIAL CREDITORS'!$AO$227)</f>
        <v/>
      </c>
      <c r="N789">
        <f>IF('FINANCIAL CREDITORS'!$BF$227="","",'FINANCIAL CREDITORS'!$BF$227)</f>
        <v/>
      </c>
      <c r="O789" t="inlineStr">
        <is>
          <t>FINANCIAL</t>
        </is>
      </c>
      <c r="P789" t="inlineStr">
        <is>
          <t>FINANCIAL CREDITORS · row 227</t>
        </is>
      </c>
      <c r="Q789">
        <f>E789+ROW()*0.000000001</f>
        <v/>
      </c>
    </row>
    <row r="790">
      <c r="A790">
        <f>IF('FINANCIAL CREDITORS'!$A$228="","",'FINANCIAL CREDITORS'!$A$228)</f>
        <v/>
      </c>
      <c r="B790">
        <f>IF('FINANCIAL CREDITORS'!$C$228="","",'FINANCIAL CREDITORS'!$C$228)</f>
        <v/>
      </c>
      <c r="C790">
        <f>'FINANCIAL CREDITORS'!$U$228</f>
        <v/>
      </c>
      <c r="D790">
        <f>'FINANCIAL CREDITORS'!$AB$228</f>
        <v/>
      </c>
      <c r="E790">
        <f>'FINANCIAL CREDITORS'!$AF$228</f>
        <v/>
      </c>
      <c r="F790">
        <f>IF('FINANCIAL CREDITORS'!$V$228="","",'FINANCIAL CREDITORS'!$V$228)</f>
        <v/>
      </c>
      <c r="G790">
        <f>IF('FINANCIAL CREDITORS'!$D$228="","",'FINANCIAL CREDITORS'!$D$228)</f>
        <v/>
      </c>
      <c r="H790">
        <f>IF('FINANCIAL CREDITORS'!$G$228="","",'FINANCIAL CREDITORS'!$G$228)</f>
        <v/>
      </c>
      <c r="I790">
        <f>IF('FINANCIAL CREDITORS'!$AY$228="","",'FINANCIAL CREDITORS'!$AY$228)</f>
        <v/>
      </c>
      <c r="J790">
        <f>IF('FINANCIAL CREDITORS'!$BC$228="","",'FINANCIAL CREDITORS'!$BC$228)</f>
        <v/>
      </c>
      <c r="K790">
        <f>IF('FINANCIAL CREDITORS'!$N$228="","",'FINANCIAL CREDITORS'!$N$228)</f>
        <v/>
      </c>
      <c r="L790">
        <f>IF('FINANCIAL CREDITORS'!$AH$228="","",'FINANCIAL CREDITORS'!$AH$228)</f>
        <v/>
      </c>
      <c r="M790">
        <f>IF('FINANCIAL CREDITORS'!$AO$228="","",'FINANCIAL CREDITORS'!$AO$228)</f>
        <v/>
      </c>
      <c r="N790">
        <f>IF('FINANCIAL CREDITORS'!$BF$228="","",'FINANCIAL CREDITORS'!$BF$228)</f>
        <v/>
      </c>
      <c r="O790" t="inlineStr">
        <is>
          <t>FINANCIAL</t>
        </is>
      </c>
      <c r="P790" t="inlineStr">
        <is>
          <t>FINANCIAL CREDITORS · row 228</t>
        </is>
      </c>
      <c r="Q790">
        <f>E790+ROW()*0.000000001</f>
        <v/>
      </c>
    </row>
    <row r="791">
      <c r="A791">
        <f>IF('FINANCIAL CREDITORS'!$A$229="","",'FINANCIAL CREDITORS'!$A$229)</f>
        <v/>
      </c>
      <c r="B791">
        <f>IF('FINANCIAL CREDITORS'!$C$229="","",'FINANCIAL CREDITORS'!$C$229)</f>
        <v/>
      </c>
      <c r="C791">
        <f>'FINANCIAL CREDITORS'!$U$229</f>
        <v/>
      </c>
      <c r="D791">
        <f>'FINANCIAL CREDITORS'!$AB$229</f>
        <v/>
      </c>
      <c r="E791">
        <f>'FINANCIAL CREDITORS'!$AF$229</f>
        <v/>
      </c>
      <c r="F791">
        <f>IF('FINANCIAL CREDITORS'!$V$229="","",'FINANCIAL CREDITORS'!$V$229)</f>
        <v/>
      </c>
      <c r="G791">
        <f>IF('FINANCIAL CREDITORS'!$D$229="","",'FINANCIAL CREDITORS'!$D$229)</f>
        <v/>
      </c>
      <c r="H791">
        <f>IF('FINANCIAL CREDITORS'!$G$229="","",'FINANCIAL CREDITORS'!$G$229)</f>
        <v/>
      </c>
      <c r="I791">
        <f>IF('FINANCIAL CREDITORS'!$AY$229="","",'FINANCIAL CREDITORS'!$AY$229)</f>
        <v/>
      </c>
      <c r="J791">
        <f>IF('FINANCIAL CREDITORS'!$BC$229="","",'FINANCIAL CREDITORS'!$BC$229)</f>
        <v/>
      </c>
      <c r="K791">
        <f>IF('FINANCIAL CREDITORS'!$N$229="","",'FINANCIAL CREDITORS'!$N$229)</f>
        <v/>
      </c>
      <c r="L791">
        <f>IF('FINANCIAL CREDITORS'!$AH$229="","",'FINANCIAL CREDITORS'!$AH$229)</f>
        <v/>
      </c>
      <c r="M791">
        <f>IF('FINANCIAL CREDITORS'!$AO$229="","",'FINANCIAL CREDITORS'!$AO$229)</f>
        <v/>
      </c>
      <c r="N791">
        <f>IF('FINANCIAL CREDITORS'!$BF$229="","",'FINANCIAL CREDITORS'!$BF$229)</f>
        <v/>
      </c>
      <c r="O791" t="inlineStr">
        <is>
          <t>FINANCIAL</t>
        </is>
      </c>
      <c r="P791" t="inlineStr">
        <is>
          <t>FINANCIAL CREDITORS · row 229</t>
        </is>
      </c>
      <c r="Q791">
        <f>E791+ROW()*0.000000001</f>
        <v/>
      </c>
    </row>
    <row r="792">
      <c r="A792">
        <f>IF('FINANCIAL CREDITORS'!$A$230="","",'FINANCIAL CREDITORS'!$A$230)</f>
        <v/>
      </c>
      <c r="B792">
        <f>IF('FINANCIAL CREDITORS'!$C$230="","",'FINANCIAL CREDITORS'!$C$230)</f>
        <v/>
      </c>
      <c r="C792">
        <f>'FINANCIAL CREDITORS'!$U$230</f>
        <v/>
      </c>
      <c r="D792">
        <f>'FINANCIAL CREDITORS'!$AB$230</f>
        <v/>
      </c>
      <c r="E792">
        <f>'FINANCIAL CREDITORS'!$AF$230</f>
        <v/>
      </c>
      <c r="F792">
        <f>IF('FINANCIAL CREDITORS'!$V$230="","",'FINANCIAL CREDITORS'!$V$230)</f>
        <v/>
      </c>
      <c r="G792">
        <f>IF('FINANCIAL CREDITORS'!$D$230="","",'FINANCIAL CREDITORS'!$D$230)</f>
        <v/>
      </c>
      <c r="H792">
        <f>IF('FINANCIAL CREDITORS'!$G$230="","",'FINANCIAL CREDITORS'!$G$230)</f>
        <v/>
      </c>
      <c r="I792">
        <f>IF('FINANCIAL CREDITORS'!$AY$230="","",'FINANCIAL CREDITORS'!$AY$230)</f>
        <v/>
      </c>
      <c r="J792">
        <f>IF('FINANCIAL CREDITORS'!$BC$230="","",'FINANCIAL CREDITORS'!$BC$230)</f>
        <v/>
      </c>
      <c r="K792">
        <f>IF('FINANCIAL CREDITORS'!$N$230="","",'FINANCIAL CREDITORS'!$N$230)</f>
        <v/>
      </c>
      <c r="L792">
        <f>IF('FINANCIAL CREDITORS'!$AH$230="","",'FINANCIAL CREDITORS'!$AH$230)</f>
        <v/>
      </c>
      <c r="M792">
        <f>IF('FINANCIAL CREDITORS'!$AO$230="","",'FINANCIAL CREDITORS'!$AO$230)</f>
        <v/>
      </c>
      <c r="N792">
        <f>IF('FINANCIAL CREDITORS'!$BF$230="","",'FINANCIAL CREDITORS'!$BF$230)</f>
        <v/>
      </c>
      <c r="O792" t="inlineStr">
        <is>
          <t>FINANCIAL</t>
        </is>
      </c>
      <c r="P792" t="inlineStr">
        <is>
          <t>FINANCIAL CREDITORS · row 230</t>
        </is>
      </c>
      <c r="Q792">
        <f>E792+ROW()*0.000000001</f>
        <v/>
      </c>
    </row>
    <row r="793">
      <c r="A793">
        <f>IF('FINANCIAL CREDITORS'!$A$231="","",'FINANCIAL CREDITORS'!$A$231)</f>
        <v/>
      </c>
      <c r="B793">
        <f>IF('FINANCIAL CREDITORS'!$C$231="","",'FINANCIAL CREDITORS'!$C$231)</f>
        <v/>
      </c>
      <c r="C793">
        <f>'FINANCIAL CREDITORS'!$U$231</f>
        <v/>
      </c>
      <c r="D793">
        <f>'FINANCIAL CREDITORS'!$AB$231</f>
        <v/>
      </c>
      <c r="E793">
        <f>'FINANCIAL CREDITORS'!$AF$231</f>
        <v/>
      </c>
      <c r="F793">
        <f>IF('FINANCIAL CREDITORS'!$V$231="","",'FINANCIAL CREDITORS'!$V$231)</f>
        <v/>
      </c>
      <c r="G793">
        <f>IF('FINANCIAL CREDITORS'!$D$231="","",'FINANCIAL CREDITORS'!$D$231)</f>
        <v/>
      </c>
      <c r="H793">
        <f>IF('FINANCIAL CREDITORS'!$G$231="","",'FINANCIAL CREDITORS'!$G$231)</f>
        <v/>
      </c>
      <c r="I793">
        <f>IF('FINANCIAL CREDITORS'!$AY$231="","",'FINANCIAL CREDITORS'!$AY$231)</f>
        <v/>
      </c>
      <c r="J793">
        <f>IF('FINANCIAL CREDITORS'!$BC$231="","",'FINANCIAL CREDITORS'!$BC$231)</f>
        <v/>
      </c>
      <c r="K793">
        <f>IF('FINANCIAL CREDITORS'!$N$231="","",'FINANCIAL CREDITORS'!$N$231)</f>
        <v/>
      </c>
      <c r="L793">
        <f>IF('FINANCIAL CREDITORS'!$AH$231="","",'FINANCIAL CREDITORS'!$AH$231)</f>
        <v/>
      </c>
      <c r="M793">
        <f>IF('FINANCIAL CREDITORS'!$AO$231="","",'FINANCIAL CREDITORS'!$AO$231)</f>
        <v/>
      </c>
      <c r="N793">
        <f>IF('FINANCIAL CREDITORS'!$BF$231="","",'FINANCIAL CREDITORS'!$BF$231)</f>
        <v/>
      </c>
      <c r="O793" t="inlineStr">
        <is>
          <t>FINANCIAL</t>
        </is>
      </c>
      <c r="P793" t="inlineStr">
        <is>
          <t>FINANCIAL CREDITORS · row 231</t>
        </is>
      </c>
      <c r="Q793">
        <f>E793+ROW()*0.000000001</f>
        <v/>
      </c>
    </row>
    <row r="794">
      <c r="A794">
        <f>IF('FINANCIAL CREDITORS'!$A$232="","",'FINANCIAL CREDITORS'!$A$232)</f>
        <v/>
      </c>
      <c r="B794">
        <f>IF('FINANCIAL CREDITORS'!$C$232="","",'FINANCIAL CREDITORS'!$C$232)</f>
        <v/>
      </c>
      <c r="C794">
        <f>'FINANCIAL CREDITORS'!$U$232</f>
        <v/>
      </c>
      <c r="D794">
        <f>'FINANCIAL CREDITORS'!$AB$232</f>
        <v/>
      </c>
      <c r="E794">
        <f>'FINANCIAL CREDITORS'!$AF$232</f>
        <v/>
      </c>
      <c r="F794">
        <f>IF('FINANCIAL CREDITORS'!$V$232="","",'FINANCIAL CREDITORS'!$V$232)</f>
        <v/>
      </c>
      <c r="G794">
        <f>IF('FINANCIAL CREDITORS'!$D$232="","",'FINANCIAL CREDITORS'!$D$232)</f>
        <v/>
      </c>
      <c r="H794">
        <f>IF('FINANCIAL CREDITORS'!$G$232="","",'FINANCIAL CREDITORS'!$G$232)</f>
        <v/>
      </c>
      <c r="I794">
        <f>IF('FINANCIAL CREDITORS'!$AY$232="","",'FINANCIAL CREDITORS'!$AY$232)</f>
        <v/>
      </c>
      <c r="J794">
        <f>IF('FINANCIAL CREDITORS'!$BC$232="","",'FINANCIAL CREDITORS'!$BC$232)</f>
        <v/>
      </c>
      <c r="K794">
        <f>IF('FINANCIAL CREDITORS'!$N$232="","",'FINANCIAL CREDITORS'!$N$232)</f>
        <v/>
      </c>
      <c r="L794">
        <f>IF('FINANCIAL CREDITORS'!$AH$232="","",'FINANCIAL CREDITORS'!$AH$232)</f>
        <v/>
      </c>
      <c r="M794">
        <f>IF('FINANCIAL CREDITORS'!$AO$232="","",'FINANCIAL CREDITORS'!$AO$232)</f>
        <v/>
      </c>
      <c r="N794">
        <f>IF('FINANCIAL CREDITORS'!$BF$232="","",'FINANCIAL CREDITORS'!$BF$232)</f>
        <v/>
      </c>
      <c r="O794" t="inlineStr">
        <is>
          <t>FINANCIAL</t>
        </is>
      </c>
      <c r="P794" t="inlineStr">
        <is>
          <t>FINANCIAL CREDITORS · row 232</t>
        </is>
      </c>
      <c r="Q794">
        <f>E794+ROW()*0.000000001</f>
        <v/>
      </c>
    </row>
    <row r="795">
      <c r="A795">
        <f>IF('FINANCIAL CREDITORS'!$A$233="","",'FINANCIAL CREDITORS'!$A$233)</f>
        <v/>
      </c>
      <c r="B795">
        <f>IF('FINANCIAL CREDITORS'!$C$233="","",'FINANCIAL CREDITORS'!$C$233)</f>
        <v/>
      </c>
      <c r="C795">
        <f>'FINANCIAL CREDITORS'!$U$233</f>
        <v/>
      </c>
      <c r="D795">
        <f>'FINANCIAL CREDITORS'!$AB$233</f>
        <v/>
      </c>
      <c r="E795">
        <f>'FINANCIAL CREDITORS'!$AF$233</f>
        <v/>
      </c>
      <c r="F795">
        <f>IF('FINANCIAL CREDITORS'!$V$233="","",'FINANCIAL CREDITORS'!$V$233)</f>
        <v/>
      </c>
      <c r="G795">
        <f>IF('FINANCIAL CREDITORS'!$D$233="","",'FINANCIAL CREDITORS'!$D$233)</f>
        <v/>
      </c>
      <c r="H795">
        <f>IF('FINANCIAL CREDITORS'!$G$233="","",'FINANCIAL CREDITORS'!$G$233)</f>
        <v/>
      </c>
      <c r="I795">
        <f>IF('FINANCIAL CREDITORS'!$AY$233="","",'FINANCIAL CREDITORS'!$AY$233)</f>
        <v/>
      </c>
      <c r="J795">
        <f>IF('FINANCIAL CREDITORS'!$BC$233="","",'FINANCIAL CREDITORS'!$BC$233)</f>
        <v/>
      </c>
      <c r="K795">
        <f>IF('FINANCIAL CREDITORS'!$N$233="","",'FINANCIAL CREDITORS'!$N$233)</f>
        <v/>
      </c>
      <c r="L795">
        <f>IF('FINANCIAL CREDITORS'!$AH$233="","",'FINANCIAL CREDITORS'!$AH$233)</f>
        <v/>
      </c>
      <c r="M795">
        <f>IF('FINANCIAL CREDITORS'!$AO$233="","",'FINANCIAL CREDITORS'!$AO$233)</f>
        <v/>
      </c>
      <c r="N795">
        <f>IF('FINANCIAL CREDITORS'!$BF$233="","",'FINANCIAL CREDITORS'!$BF$233)</f>
        <v/>
      </c>
      <c r="O795" t="inlineStr">
        <is>
          <t>FINANCIAL</t>
        </is>
      </c>
      <c r="P795" t="inlineStr">
        <is>
          <t>FINANCIAL CREDITORS · row 233</t>
        </is>
      </c>
      <c r="Q795">
        <f>E795+ROW()*0.000000001</f>
        <v/>
      </c>
    </row>
    <row r="796">
      <c r="A796">
        <f>IF('FINANCIAL CREDITORS'!$A$234="","",'FINANCIAL CREDITORS'!$A$234)</f>
        <v/>
      </c>
      <c r="B796">
        <f>IF('FINANCIAL CREDITORS'!$C$234="","",'FINANCIAL CREDITORS'!$C$234)</f>
        <v/>
      </c>
      <c r="C796">
        <f>'FINANCIAL CREDITORS'!$U$234</f>
        <v/>
      </c>
      <c r="D796">
        <f>'FINANCIAL CREDITORS'!$AB$234</f>
        <v/>
      </c>
      <c r="E796">
        <f>'FINANCIAL CREDITORS'!$AF$234</f>
        <v/>
      </c>
      <c r="F796">
        <f>IF('FINANCIAL CREDITORS'!$V$234="","",'FINANCIAL CREDITORS'!$V$234)</f>
        <v/>
      </c>
      <c r="G796">
        <f>IF('FINANCIAL CREDITORS'!$D$234="","",'FINANCIAL CREDITORS'!$D$234)</f>
        <v/>
      </c>
      <c r="H796">
        <f>IF('FINANCIAL CREDITORS'!$G$234="","",'FINANCIAL CREDITORS'!$G$234)</f>
        <v/>
      </c>
      <c r="I796">
        <f>IF('FINANCIAL CREDITORS'!$AY$234="","",'FINANCIAL CREDITORS'!$AY$234)</f>
        <v/>
      </c>
      <c r="J796">
        <f>IF('FINANCIAL CREDITORS'!$BC$234="","",'FINANCIAL CREDITORS'!$BC$234)</f>
        <v/>
      </c>
      <c r="K796">
        <f>IF('FINANCIAL CREDITORS'!$N$234="","",'FINANCIAL CREDITORS'!$N$234)</f>
        <v/>
      </c>
      <c r="L796">
        <f>IF('FINANCIAL CREDITORS'!$AH$234="","",'FINANCIAL CREDITORS'!$AH$234)</f>
        <v/>
      </c>
      <c r="M796">
        <f>IF('FINANCIAL CREDITORS'!$AO$234="","",'FINANCIAL CREDITORS'!$AO$234)</f>
        <v/>
      </c>
      <c r="N796">
        <f>IF('FINANCIAL CREDITORS'!$BF$234="","",'FINANCIAL CREDITORS'!$BF$234)</f>
        <v/>
      </c>
      <c r="O796" t="inlineStr">
        <is>
          <t>FINANCIAL</t>
        </is>
      </c>
      <c r="P796" t="inlineStr">
        <is>
          <t>FINANCIAL CREDITORS · row 234</t>
        </is>
      </c>
      <c r="Q796">
        <f>E796+ROW()*0.000000001</f>
        <v/>
      </c>
    </row>
    <row r="797">
      <c r="A797">
        <f>IF('FINANCIAL CREDITORS'!$A$235="","",'FINANCIAL CREDITORS'!$A$235)</f>
        <v/>
      </c>
      <c r="B797">
        <f>IF('FINANCIAL CREDITORS'!$C$235="","",'FINANCIAL CREDITORS'!$C$235)</f>
        <v/>
      </c>
      <c r="C797">
        <f>'FINANCIAL CREDITORS'!$U$235</f>
        <v/>
      </c>
      <c r="D797">
        <f>'FINANCIAL CREDITORS'!$AB$235</f>
        <v/>
      </c>
      <c r="E797">
        <f>'FINANCIAL CREDITORS'!$AF$235</f>
        <v/>
      </c>
      <c r="F797">
        <f>IF('FINANCIAL CREDITORS'!$V$235="","",'FINANCIAL CREDITORS'!$V$235)</f>
        <v/>
      </c>
      <c r="G797">
        <f>IF('FINANCIAL CREDITORS'!$D$235="","",'FINANCIAL CREDITORS'!$D$235)</f>
        <v/>
      </c>
      <c r="H797">
        <f>IF('FINANCIAL CREDITORS'!$G$235="","",'FINANCIAL CREDITORS'!$G$235)</f>
        <v/>
      </c>
      <c r="I797">
        <f>IF('FINANCIAL CREDITORS'!$AY$235="","",'FINANCIAL CREDITORS'!$AY$235)</f>
        <v/>
      </c>
      <c r="J797">
        <f>IF('FINANCIAL CREDITORS'!$BC$235="","",'FINANCIAL CREDITORS'!$BC$235)</f>
        <v/>
      </c>
      <c r="K797">
        <f>IF('FINANCIAL CREDITORS'!$N$235="","",'FINANCIAL CREDITORS'!$N$235)</f>
        <v/>
      </c>
      <c r="L797">
        <f>IF('FINANCIAL CREDITORS'!$AH$235="","",'FINANCIAL CREDITORS'!$AH$235)</f>
        <v/>
      </c>
      <c r="M797">
        <f>IF('FINANCIAL CREDITORS'!$AO$235="","",'FINANCIAL CREDITORS'!$AO$235)</f>
        <v/>
      </c>
      <c r="N797">
        <f>IF('FINANCIAL CREDITORS'!$BF$235="","",'FINANCIAL CREDITORS'!$BF$235)</f>
        <v/>
      </c>
      <c r="O797" t="inlineStr">
        <is>
          <t>FINANCIAL</t>
        </is>
      </c>
      <c r="P797" t="inlineStr">
        <is>
          <t>FINANCIAL CREDITORS · row 235</t>
        </is>
      </c>
      <c r="Q797">
        <f>E797+ROW()*0.000000001</f>
        <v/>
      </c>
    </row>
    <row r="798">
      <c r="A798">
        <f>IF('FINANCIAL CREDITORS'!$A$236="","",'FINANCIAL CREDITORS'!$A$236)</f>
        <v/>
      </c>
      <c r="B798">
        <f>IF('FINANCIAL CREDITORS'!$C$236="","",'FINANCIAL CREDITORS'!$C$236)</f>
        <v/>
      </c>
      <c r="C798">
        <f>'FINANCIAL CREDITORS'!$U$236</f>
        <v/>
      </c>
      <c r="D798">
        <f>'FINANCIAL CREDITORS'!$AB$236</f>
        <v/>
      </c>
      <c r="E798">
        <f>'FINANCIAL CREDITORS'!$AF$236</f>
        <v/>
      </c>
      <c r="F798">
        <f>IF('FINANCIAL CREDITORS'!$V$236="","",'FINANCIAL CREDITORS'!$V$236)</f>
        <v/>
      </c>
      <c r="G798">
        <f>IF('FINANCIAL CREDITORS'!$D$236="","",'FINANCIAL CREDITORS'!$D$236)</f>
        <v/>
      </c>
      <c r="H798">
        <f>IF('FINANCIAL CREDITORS'!$G$236="","",'FINANCIAL CREDITORS'!$G$236)</f>
        <v/>
      </c>
      <c r="I798">
        <f>IF('FINANCIAL CREDITORS'!$AY$236="","",'FINANCIAL CREDITORS'!$AY$236)</f>
        <v/>
      </c>
      <c r="J798">
        <f>IF('FINANCIAL CREDITORS'!$BC$236="","",'FINANCIAL CREDITORS'!$BC$236)</f>
        <v/>
      </c>
      <c r="K798">
        <f>IF('FINANCIAL CREDITORS'!$N$236="","",'FINANCIAL CREDITORS'!$N$236)</f>
        <v/>
      </c>
      <c r="L798">
        <f>IF('FINANCIAL CREDITORS'!$AH$236="","",'FINANCIAL CREDITORS'!$AH$236)</f>
        <v/>
      </c>
      <c r="M798">
        <f>IF('FINANCIAL CREDITORS'!$AO$236="","",'FINANCIAL CREDITORS'!$AO$236)</f>
        <v/>
      </c>
      <c r="N798">
        <f>IF('FINANCIAL CREDITORS'!$BF$236="","",'FINANCIAL CREDITORS'!$BF$236)</f>
        <v/>
      </c>
      <c r="O798" t="inlineStr">
        <is>
          <t>FINANCIAL</t>
        </is>
      </c>
      <c r="P798" t="inlineStr">
        <is>
          <t>FINANCIAL CREDITORS · row 236</t>
        </is>
      </c>
      <c r="Q798">
        <f>E798+ROW()*0.000000001</f>
        <v/>
      </c>
    </row>
    <row r="799">
      <c r="A799">
        <f>IF('FINANCIAL CREDITORS'!$A$237="","",'FINANCIAL CREDITORS'!$A$237)</f>
        <v/>
      </c>
      <c r="B799">
        <f>IF('FINANCIAL CREDITORS'!$C$237="","",'FINANCIAL CREDITORS'!$C$237)</f>
        <v/>
      </c>
      <c r="C799">
        <f>'FINANCIAL CREDITORS'!$U$237</f>
        <v/>
      </c>
      <c r="D799">
        <f>'FINANCIAL CREDITORS'!$AB$237</f>
        <v/>
      </c>
      <c r="E799">
        <f>'FINANCIAL CREDITORS'!$AF$237</f>
        <v/>
      </c>
      <c r="F799">
        <f>IF('FINANCIAL CREDITORS'!$V$237="","",'FINANCIAL CREDITORS'!$V$237)</f>
        <v/>
      </c>
      <c r="G799">
        <f>IF('FINANCIAL CREDITORS'!$D$237="","",'FINANCIAL CREDITORS'!$D$237)</f>
        <v/>
      </c>
      <c r="H799">
        <f>IF('FINANCIAL CREDITORS'!$G$237="","",'FINANCIAL CREDITORS'!$G$237)</f>
        <v/>
      </c>
      <c r="I799">
        <f>IF('FINANCIAL CREDITORS'!$AY$237="","",'FINANCIAL CREDITORS'!$AY$237)</f>
        <v/>
      </c>
      <c r="J799">
        <f>IF('FINANCIAL CREDITORS'!$BC$237="","",'FINANCIAL CREDITORS'!$BC$237)</f>
        <v/>
      </c>
      <c r="K799">
        <f>IF('FINANCIAL CREDITORS'!$N$237="","",'FINANCIAL CREDITORS'!$N$237)</f>
        <v/>
      </c>
      <c r="L799">
        <f>IF('FINANCIAL CREDITORS'!$AH$237="","",'FINANCIAL CREDITORS'!$AH$237)</f>
        <v/>
      </c>
      <c r="M799">
        <f>IF('FINANCIAL CREDITORS'!$AO$237="","",'FINANCIAL CREDITORS'!$AO$237)</f>
        <v/>
      </c>
      <c r="N799">
        <f>IF('FINANCIAL CREDITORS'!$BF$237="","",'FINANCIAL CREDITORS'!$BF$237)</f>
        <v/>
      </c>
      <c r="O799" t="inlineStr">
        <is>
          <t>FINANCIAL</t>
        </is>
      </c>
      <c r="P799" t="inlineStr">
        <is>
          <t>FINANCIAL CREDITORS · row 237</t>
        </is>
      </c>
      <c r="Q799">
        <f>E799+ROW()*0.000000001</f>
        <v/>
      </c>
    </row>
    <row r="800">
      <c r="A800">
        <f>IF('FINANCIAL CREDITORS'!$A$238="","",'FINANCIAL CREDITORS'!$A$238)</f>
        <v/>
      </c>
      <c r="B800">
        <f>IF('FINANCIAL CREDITORS'!$C$238="","",'FINANCIAL CREDITORS'!$C$238)</f>
        <v/>
      </c>
      <c r="C800">
        <f>'FINANCIAL CREDITORS'!$U$238</f>
        <v/>
      </c>
      <c r="D800">
        <f>'FINANCIAL CREDITORS'!$AB$238</f>
        <v/>
      </c>
      <c r="E800">
        <f>'FINANCIAL CREDITORS'!$AF$238</f>
        <v/>
      </c>
      <c r="F800">
        <f>IF('FINANCIAL CREDITORS'!$V$238="","",'FINANCIAL CREDITORS'!$V$238)</f>
        <v/>
      </c>
      <c r="G800">
        <f>IF('FINANCIAL CREDITORS'!$D$238="","",'FINANCIAL CREDITORS'!$D$238)</f>
        <v/>
      </c>
      <c r="H800">
        <f>IF('FINANCIAL CREDITORS'!$G$238="","",'FINANCIAL CREDITORS'!$G$238)</f>
        <v/>
      </c>
      <c r="I800">
        <f>IF('FINANCIAL CREDITORS'!$AY$238="","",'FINANCIAL CREDITORS'!$AY$238)</f>
        <v/>
      </c>
      <c r="J800">
        <f>IF('FINANCIAL CREDITORS'!$BC$238="","",'FINANCIAL CREDITORS'!$BC$238)</f>
        <v/>
      </c>
      <c r="K800">
        <f>IF('FINANCIAL CREDITORS'!$N$238="","",'FINANCIAL CREDITORS'!$N$238)</f>
        <v/>
      </c>
      <c r="L800">
        <f>IF('FINANCIAL CREDITORS'!$AH$238="","",'FINANCIAL CREDITORS'!$AH$238)</f>
        <v/>
      </c>
      <c r="M800">
        <f>IF('FINANCIAL CREDITORS'!$AO$238="","",'FINANCIAL CREDITORS'!$AO$238)</f>
        <v/>
      </c>
      <c r="N800">
        <f>IF('FINANCIAL CREDITORS'!$BF$238="","",'FINANCIAL CREDITORS'!$BF$238)</f>
        <v/>
      </c>
      <c r="O800" t="inlineStr">
        <is>
          <t>FINANCIAL</t>
        </is>
      </c>
      <c r="P800" t="inlineStr">
        <is>
          <t>FINANCIAL CREDITORS · row 238</t>
        </is>
      </c>
      <c r="Q800">
        <f>E800+ROW()*0.000000001</f>
        <v/>
      </c>
    </row>
    <row r="801">
      <c r="A801">
        <f>IF('FINANCIAL CREDITORS'!$A$239="","",'FINANCIAL CREDITORS'!$A$239)</f>
        <v/>
      </c>
      <c r="B801">
        <f>IF('FINANCIAL CREDITORS'!$C$239="","",'FINANCIAL CREDITORS'!$C$239)</f>
        <v/>
      </c>
      <c r="C801">
        <f>'FINANCIAL CREDITORS'!$U$239</f>
        <v/>
      </c>
      <c r="D801">
        <f>'FINANCIAL CREDITORS'!$AB$239</f>
        <v/>
      </c>
      <c r="E801">
        <f>'FINANCIAL CREDITORS'!$AF$239</f>
        <v/>
      </c>
      <c r="F801">
        <f>IF('FINANCIAL CREDITORS'!$V$239="","",'FINANCIAL CREDITORS'!$V$239)</f>
        <v/>
      </c>
      <c r="G801">
        <f>IF('FINANCIAL CREDITORS'!$D$239="","",'FINANCIAL CREDITORS'!$D$239)</f>
        <v/>
      </c>
      <c r="H801">
        <f>IF('FINANCIAL CREDITORS'!$G$239="","",'FINANCIAL CREDITORS'!$G$239)</f>
        <v/>
      </c>
      <c r="I801">
        <f>IF('FINANCIAL CREDITORS'!$AY$239="","",'FINANCIAL CREDITORS'!$AY$239)</f>
        <v/>
      </c>
      <c r="J801">
        <f>IF('FINANCIAL CREDITORS'!$BC$239="","",'FINANCIAL CREDITORS'!$BC$239)</f>
        <v/>
      </c>
      <c r="K801">
        <f>IF('FINANCIAL CREDITORS'!$N$239="","",'FINANCIAL CREDITORS'!$N$239)</f>
        <v/>
      </c>
      <c r="L801">
        <f>IF('FINANCIAL CREDITORS'!$AH$239="","",'FINANCIAL CREDITORS'!$AH$239)</f>
        <v/>
      </c>
      <c r="M801">
        <f>IF('FINANCIAL CREDITORS'!$AO$239="","",'FINANCIAL CREDITORS'!$AO$239)</f>
        <v/>
      </c>
      <c r="N801">
        <f>IF('FINANCIAL CREDITORS'!$BF$239="","",'FINANCIAL CREDITORS'!$BF$239)</f>
        <v/>
      </c>
      <c r="O801" t="inlineStr">
        <is>
          <t>FINANCIAL</t>
        </is>
      </c>
      <c r="P801" t="inlineStr">
        <is>
          <t>FINANCIAL CREDITORS · row 239</t>
        </is>
      </c>
      <c r="Q801">
        <f>E801+ROW()*0.000000001</f>
        <v/>
      </c>
    </row>
    <row r="802">
      <c r="A802">
        <f>IF('FINANCIAL CREDITORS'!$A$240="","",'FINANCIAL CREDITORS'!$A$240)</f>
        <v/>
      </c>
      <c r="B802">
        <f>IF('FINANCIAL CREDITORS'!$C$240="","",'FINANCIAL CREDITORS'!$C$240)</f>
        <v/>
      </c>
      <c r="C802">
        <f>'FINANCIAL CREDITORS'!$U$240</f>
        <v/>
      </c>
      <c r="D802">
        <f>'FINANCIAL CREDITORS'!$AB$240</f>
        <v/>
      </c>
      <c r="E802">
        <f>'FINANCIAL CREDITORS'!$AF$240</f>
        <v/>
      </c>
      <c r="F802">
        <f>IF('FINANCIAL CREDITORS'!$V$240="","",'FINANCIAL CREDITORS'!$V$240)</f>
        <v/>
      </c>
      <c r="G802">
        <f>IF('FINANCIAL CREDITORS'!$D$240="","",'FINANCIAL CREDITORS'!$D$240)</f>
        <v/>
      </c>
      <c r="H802">
        <f>IF('FINANCIAL CREDITORS'!$G$240="","",'FINANCIAL CREDITORS'!$G$240)</f>
        <v/>
      </c>
      <c r="I802">
        <f>IF('FINANCIAL CREDITORS'!$AY$240="","",'FINANCIAL CREDITORS'!$AY$240)</f>
        <v/>
      </c>
      <c r="J802">
        <f>IF('FINANCIAL CREDITORS'!$BC$240="","",'FINANCIAL CREDITORS'!$BC$240)</f>
        <v/>
      </c>
      <c r="K802">
        <f>IF('FINANCIAL CREDITORS'!$N$240="","",'FINANCIAL CREDITORS'!$N$240)</f>
        <v/>
      </c>
      <c r="L802">
        <f>IF('FINANCIAL CREDITORS'!$AH$240="","",'FINANCIAL CREDITORS'!$AH$240)</f>
        <v/>
      </c>
      <c r="M802">
        <f>IF('FINANCIAL CREDITORS'!$AO$240="","",'FINANCIAL CREDITORS'!$AO$240)</f>
        <v/>
      </c>
      <c r="N802">
        <f>IF('FINANCIAL CREDITORS'!$BF$240="","",'FINANCIAL CREDITORS'!$BF$240)</f>
        <v/>
      </c>
      <c r="O802" t="inlineStr">
        <is>
          <t>FINANCIAL</t>
        </is>
      </c>
      <c r="P802" t="inlineStr">
        <is>
          <t>FINANCIAL CREDITORS · row 240</t>
        </is>
      </c>
      <c r="Q802">
        <f>E802+ROW()*0.000000001</f>
        <v/>
      </c>
    </row>
    <row r="803">
      <c r="A803">
        <f>IF('FINANCIAL CREDITORS'!$A$241="","",'FINANCIAL CREDITORS'!$A$241)</f>
        <v/>
      </c>
      <c r="B803">
        <f>IF('FINANCIAL CREDITORS'!$C$241="","",'FINANCIAL CREDITORS'!$C$241)</f>
        <v/>
      </c>
      <c r="C803">
        <f>'FINANCIAL CREDITORS'!$U$241</f>
        <v/>
      </c>
      <c r="D803">
        <f>'FINANCIAL CREDITORS'!$AB$241</f>
        <v/>
      </c>
      <c r="E803">
        <f>'FINANCIAL CREDITORS'!$AF$241</f>
        <v/>
      </c>
      <c r="F803">
        <f>IF('FINANCIAL CREDITORS'!$V$241="","",'FINANCIAL CREDITORS'!$V$241)</f>
        <v/>
      </c>
      <c r="G803">
        <f>IF('FINANCIAL CREDITORS'!$D$241="","",'FINANCIAL CREDITORS'!$D$241)</f>
        <v/>
      </c>
      <c r="H803">
        <f>IF('FINANCIAL CREDITORS'!$G$241="","",'FINANCIAL CREDITORS'!$G$241)</f>
        <v/>
      </c>
      <c r="I803">
        <f>IF('FINANCIAL CREDITORS'!$AY$241="","",'FINANCIAL CREDITORS'!$AY$241)</f>
        <v/>
      </c>
      <c r="J803">
        <f>IF('FINANCIAL CREDITORS'!$BC$241="","",'FINANCIAL CREDITORS'!$BC$241)</f>
        <v/>
      </c>
      <c r="K803">
        <f>IF('FINANCIAL CREDITORS'!$N$241="","",'FINANCIAL CREDITORS'!$N$241)</f>
        <v/>
      </c>
      <c r="L803">
        <f>IF('FINANCIAL CREDITORS'!$AH$241="","",'FINANCIAL CREDITORS'!$AH$241)</f>
        <v/>
      </c>
      <c r="M803">
        <f>IF('FINANCIAL CREDITORS'!$AO$241="","",'FINANCIAL CREDITORS'!$AO$241)</f>
        <v/>
      </c>
      <c r="N803">
        <f>IF('FINANCIAL CREDITORS'!$BF$241="","",'FINANCIAL CREDITORS'!$BF$241)</f>
        <v/>
      </c>
      <c r="O803" t="inlineStr">
        <is>
          <t>FINANCIAL</t>
        </is>
      </c>
      <c r="P803" t="inlineStr">
        <is>
          <t>FINANCIAL CREDITORS · row 241</t>
        </is>
      </c>
      <c r="Q803">
        <f>E803+ROW()*0.000000001</f>
        <v/>
      </c>
    </row>
    <row r="804">
      <c r="A804">
        <f>IF('FINANCIAL CREDITORS'!$A$242="","",'FINANCIAL CREDITORS'!$A$242)</f>
        <v/>
      </c>
      <c r="B804">
        <f>IF('FINANCIAL CREDITORS'!$C$242="","",'FINANCIAL CREDITORS'!$C$242)</f>
        <v/>
      </c>
      <c r="C804">
        <f>'FINANCIAL CREDITORS'!$U$242</f>
        <v/>
      </c>
      <c r="D804">
        <f>'FINANCIAL CREDITORS'!$AB$242</f>
        <v/>
      </c>
      <c r="E804">
        <f>'FINANCIAL CREDITORS'!$AF$242</f>
        <v/>
      </c>
      <c r="F804">
        <f>IF('FINANCIAL CREDITORS'!$V$242="","",'FINANCIAL CREDITORS'!$V$242)</f>
        <v/>
      </c>
      <c r="G804">
        <f>IF('FINANCIAL CREDITORS'!$D$242="","",'FINANCIAL CREDITORS'!$D$242)</f>
        <v/>
      </c>
      <c r="H804">
        <f>IF('FINANCIAL CREDITORS'!$G$242="","",'FINANCIAL CREDITORS'!$G$242)</f>
        <v/>
      </c>
      <c r="I804">
        <f>IF('FINANCIAL CREDITORS'!$AY$242="","",'FINANCIAL CREDITORS'!$AY$242)</f>
        <v/>
      </c>
      <c r="J804">
        <f>IF('FINANCIAL CREDITORS'!$BC$242="","",'FINANCIAL CREDITORS'!$BC$242)</f>
        <v/>
      </c>
      <c r="K804">
        <f>IF('FINANCIAL CREDITORS'!$N$242="","",'FINANCIAL CREDITORS'!$N$242)</f>
        <v/>
      </c>
      <c r="L804">
        <f>IF('FINANCIAL CREDITORS'!$AH$242="","",'FINANCIAL CREDITORS'!$AH$242)</f>
        <v/>
      </c>
      <c r="M804">
        <f>IF('FINANCIAL CREDITORS'!$AO$242="","",'FINANCIAL CREDITORS'!$AO$242)</f>
        <v/>
      </c>
      <c r="N804">
        <f>IF('FINANCIAL CREDITORS'!$BF$242="","",'FINANCIAL CREDITORS'!$BF$242)</f>
        <v/>
      </c>
      <c r="O804" t="inlineStr">
        <is>
          <t>FINANCIAL</t>
        </is>
      </c>
      <c r="P804" t="inlineStr">
        <is>
          <t>FINANCIAL CREDITORS · row 242</t>
        </is>
      </c>
      <c r="Q804">
        <f>E804+ROW()*0.000000001</f>
        <v/>
      </c>
    </row>
    <row r="805">
      <c r="A805">
        <f>IF('FINANCIAL CREDITORS'!$A$243="","",'FINANCIAL CREDITORS'!$A$243)</f>
        <v/>
      </c>
      <c r="B805">
        <f>IF('FINANCIAL CREDITORS'!$C$243="","",'FINANCIAL CREDITORS'!$C$243)</f>
        <v/>
      </c>
      <c r="C805">
        <f>'FINANCIAL CREDITORS'!$U$243</f>
        <v/>
      </c>
      <c r="D805">
        <f>'FINANCIAL CREDITORS'!$AB$243</f>
        <v/>
      </c>
      <c r="E805">
        <f>'FINANCIAL CREDITORS'!$AF$243</f>
        <v/>
      </c>
      <c r="F805">
        <f>IF('FINANCIAL CREDITORS'!$V$243="","",'FINANCIAL CREDITORS'!$V$243)</f>
        <v/>
      </c>
      <c r="G805">
        <f>IF('FINANCIAL CREDITORS'!$D$243="","",'FINANCIAL CREDITORS'!$D$243)</f>
        <v/>
      </c>
      <c r="H805">
        <f>IF('FINANCIAL CREDITORS'!$G$243="","",'FINANCIAL CREDITORS'!$G$243)</f>
        <v/>
      </c>
      <c r="I805">
        <f>IF('FINANCIAL CREDITORS'!$AY$243="","",'FINANCIAL CREDITORS'!$AY$243)</f>
        <v/>
      </c>
      <c r="J805">
        <f>IF('FINANCIAL CREDITORS'!$BC$243="","",'FINANCIAL CREDITORS'!$BC$243)</f>
        <v/>
      </c>
      <c r="K805">
        <f>IF('FINANCIAL CREDITORS'!$N$243="","",'FINANCIAL CREDITORS'!$N$243)</f>
        <v/>
      </c>
      <c r="L805">
        <f>IF('FINANCIAL CREDITORS'!$AH$243="","",'FINANCIAL CREDITORS'!$AH$243)</f>
        <v/>
      </c>
      <c r="M805">
        <f>IF('FINANCIAL CREDITORS'!$AO$243="","",'FINANCIAL CREDITORS'!$AO$243)</f>
        <v/>
      </c>
      <c r="N805">
        <f>IF('FINANCIAL CREDITORS'!$BF$243="","",'FINANCIAL CREDITORS'!$BF$243)</f>
        <v/>
      </c>
      <c r="O805" t="inlineStr">
        <is>
          <t>FINANCIAL</t>
        </is>
      </c>
      <c r="P805" t="inlineStr">
        <is>
          <t>FINANCIAL CREDITORS · row 243</t>
        </is>
      </c>
      <c r="Q805">
        <f>E805+ROW()*0.000000001</f>
        <v/>
      </c>
    </row>
    <row r="806">
      <c r="A806">
        <f>IF('FINANCIAL CREDITORS'!$A$244="","",'FINANCIAL CREDITORS'!$A$244)</f>
        <v/>
      </c>
      <c r="B806">
        <f>IF('FINANCIAL CREDITORS'!$C$244="","",'FINANCIAL CREDITORS'!$C$244)</f>
        <v/>
      </c>
      <c r="C806">
        <f>'FINANCIAL CREDITORS'!$U$244</f>
        <v/>
      </c>
      <c r="D806">
        <f>'FINANCIAL CREDITORS'!$AB$244</f>
        <v/>
      </c>
      <c r="E806">
        <f>'FINANCIAL CREDITORS'!$AF$244</f>
        <v/>
      </c>
      <c r="F806">
        <f>IF('FINANCIAL CREDITORS'!$V$244="","",'FINANCIAL CREDITORS'!$V$244)</f>
        <v/>
      </c>
      <c r="G806">
        <f>IF('FINANCIAL CREDITORS'!$D$244="","",'FINANCIAL CREDITORS'!$D$244)</f>
        <v/>
      </c>
      <c r="H806">
        <f>IF('FINANCIAL CREDITORS'!$G$244="","",'FINANCIAL CREDITORS'!$G$244)</f>
        <v/>
      </c>
      <c r="I806">
        <f>IF('FINANCIAL CREDITORS'!$AY$244="","",'FINANCIAL CREDITORS'!$AY$244)</f>
        <v/>
      </c>
      <c r="J806">
        <f>IF('FINANCIAL CREDITORS'!$BC$244="","",'FINANCIAL CREDITORS'!$BC$244)</f>
        <v/>
      </c>
      <c r="K806">
        <f>IF('FINANCIAL CREDITORS'!$N$244="","",'FINANCIAL CREDITORS'!$N$244)</f>
        <v/>
      </c>
      <c r="L806">
        <f>IF('FINANCIAL CREDITORS'!$AH$244="","",'FINANCIAL CREDITORS'!$AH$244)</f>
        <v/>
      </c>
      <c r="M806">
        <f>IF('FINANCIAL CREDITORS'!$AO$244="","",'FINANCIAL CREDITORS'!$AO$244)</f>
        <v/>
      </c>
      <c r="N806">
        <f>IF('FINANCIAL CREDITORS'!$BF$244="","",'FINANCIAL CREDITORS'!$BF$244)</f>
        <v/>
      </c>
      <c r="O806" t="inlineStr">
        <is>
          <t>FINANCIAL</t>
        </is>
      </c>
      <c r="P806" t="inlineStr">
        <is>
          <t>FINANCIAL CREDITORS · row 244</t>
        </is>
      </c>
      <c r="Q806">
        <f>E806+ROW()*0.000000001</f>
        <v/>
      </c>
    </row>
    <row r="807">
      <c r="A807">
        <f>IF('FINANCIAL CREDITORS'!$A$245="","",'FINANCIAL CREDITORS'!$A$245)</f>
        <v/>
      </c>
      <c r="B807">
        <f>IF('FINANCIAL CREDITORS'!$C$245="","",'FINANCIAL CREDITORS'!$C$245)</f>
        <v/>
      </c>
      <c r="C807">
        <f>'FINANCIAL CREDITORS'!$U$245</f>
        <v/>
      </c>
      <c r="D807">
        <f>'FINANCIAL CREDITORS'!$AB$245</f>
        <v/>
      </c>
      <c r="E807">
        <f>'FINANCIAL CREDITORS'!$AF$245</f>
        <v/>
      </c>
      <c r="F807">
        <f>IF('FINANCIAL CREDITORS'!$V$245="","",'FINANCIAL CREDITORS'!$V$245)</f>
        <v/>
      </c>
      <c r="G807">
        <f>IF('FINANCIAL CREDITORS'!$D$245="","",'FINANCIAL CREDITORS'!$D$245)</f>
        <v/>
      </c>
      <c r="H807">
        <f>IF('FINANCIAL CREDITORS'!$G$245="","",'FINANCIAL CREDITORS'!$G$245)</f>
        <v/>
      </c>
      <c r="I807">
        <f>IF('FINANCIAL CREDITORS'!$AY$245="","",'FINANCIAL CREDITORS'!$AY$245)</f>
        <v/>
      </c>
      <c r="J807">
        <f>IF('FINANCIAL CREDITORS'!$BC$245="","",'FINANCIAL CREDITORS'!$BC$245)</f>
        <v/>
      </c>
      <c r="K807">
        <f>IF('FINANCIAL CREDITORS'!$N$245="","",'FINANCIAL CREDITORS'!$N$245)</f>
        <v/>
      </c>
      <c r="L807">
        <f>IF('FINANCIAL CREDITORS'!$AH$245="","",'FINANCIAL CREDITORS'!$AH$245)</f>
        <v/>
      </c>
      <c r="M807">
        <f>IF('FINANCIAL CREDITORS'!$AO$245="","",'FINANCIAL CREDITORS'!$AO$245)</f>
        <v/>
      </c>
      <c r="N807">
        <f>IF('FINANCIAL CREDITORS'!$BF$245="","",'FINANCIAL CREDITORS'!$BF$245)</f>
        <v/>
      </c>
      <c r="O807" t="inlineStr">
        <is>
          <t>FINANCIAL</t>
        </is>
      </c>
      <c r="P807" t="inlineStr">
        <is>
          <t>FINANCIAL CREDITORS · row 245</t>
        </is>
      </c>
      <c r="Q807">
        <f>E807+ROW()*0.000000001</f>
        <v/>
      </c>
    </row>
    <row r="808">
      <c r="A808">
        <f>IF('FINANCIAL CREDITORS'!$A$246="","",'FINANCIAL CREDITORS'!$A$246)</f>
        <v/>
      </c>
      <c r="B808">
        <f>IF('FINANCIAL CREDITORS'!$C$246="","",'FINANCIAL CREDITORS'!$C$246)</f>
        <v/>
      </c>
      <c r="C808">
        <f>'FINANCIAL CREDITORS'!$U$246</f>
        <v/>
      </c>
      <c r="D808">
        <f>'FINANCIAL CREDITORS'!$AB$246</f>
        <v/>
      </c>
      <c r="E808">
        <f>'FINANCIAL CREDITORS'!$AF$246</f>
        <v/>
      </c>
      <c r="F808">
        <f>IF('FINANCIAL CREDITORS'!$V$246="","",'FINANCIAL CREDITORS'!$V$246)</f>
        <v/>
      </c>
      <c r="G808">
        <f>IF('FINANCIAL CREDITORS'!$D$246="","",'FINANCIAL CREDITORS'!$D$246)</f>
        <v/>
      </c>
      <c r="H808">
        <f>IF('FINANCIAL CREDITORS'!$G$246="","",'FINANCIAL CREDITORS'!$G$246)</f>
        <v/>
      </c>
      <c r="I808">
        <f>IF('FINANCIAL CREDITORS'!$AY$246="","",'FINANCIAL CREDITORS'!$AY$246)</f>
        <v/>
      </c>
      <c r="J808">
        <f>IF('FINANCIAL CREDITORS'!$BC$246="","",'FINANCIAL CREDITORS'!$BC$246)</f>
        <v/>
      </c>
      <c r="K808">
        <f>IF('FINANCIAL CREDITORS'!$N$246="","",'FINANCIAL CREDITORS'!$N$246)</f>
        <v/>
      </c>
      <c r="L808">
        <f>IF('FINANCIAL CREDITORS'!$AH$246="","",'FINANCIAL CREDITORS'!$AH$246)</f>
        <v/>
      </c>
      <c r="M808">
        <f>IF('FINANCIAL CREDITORS'!$AO$246="","",'FINANCIAL CREDITORS'!$AO$246)</f>
        <v/>
      </c>
      <c r="N808">
        <f>IF('FINANCIAL CREDITORS'!$BF$246="","",'FINANCIAL CREDITORS'!$BF$246)</f>
        <v/>
      </c>
      <c r="O808" t="inlineStr">
        <is>
          <t>FINANCIAL</t>
        </is>
      </c>
      <c r="P808" t="inlineStr">
        <is>
          <t>FINANCIAL CREDITORS · row 246</t>
        </is>
      </c>
      <c r="Q808">
        <f>E808+ROW()*0.000000001</f>
        <v/>
      </c>
    </row>
    <row r="809">
      <c r="A809">
        <f>IF('FINANCIAL CREDITORS'!$A$247="","",'FINANCIAL CREDITORS'!$A$247)</f>
        <v/>
      </c>
      <c r="B809">
        <f>IF('FINANCIAL CREDITORS'!$C$247="","",'FINANCIAL CREDITORS'!$C$247)</f>
        <v/>
      </c>
      <c r="C809">
        <f>'FINANCIAL CREDITORS'!$U$247</f>
        <v/>
      </c>
      <c r="D809">
        <f>'FINANCIAL CREDITORS'!$AB$247</f>
        <v/>
      </c>
      <c r="E809">
        <f>'FINANCIAL CREDITORS'!$AF$247</f>
        <v/>
      </c>
      <c r="F809">
        <f>IF('FINANCIAL CREDITORS'!$V$247="","",'FINANCIAL CREDITORS'!$V$247)</f>
        <v/>
      </c>
      <c r="G809">
        <f>IF('FINANCIAL CREDITORS'!$D$247="","",'FINANCIAL CREDITORS'!$D$247)</f>
        <v/>
      </c>
      <c r="H809">
        <f>IF('FINANCIAL CREDITORS'!$G$247="","",'FINANCIAL CREDITORS'!$G$247)</f>
        <v/>
      </c>
      <c r="I809">
        <f>IF('FINANCIAL CREDITORS'!$AY$247="","",'FINANCIAL CREDITORS'!$AY$247)</f>
        <v/>
      </c>
      <c r="J809">
        <f>IF('FINANCIAL CREDITORS'!$BC$247="","",'FINANCIAL CREDITORS'!$BC$247)</f>
        <v/>
      </c>
      <c r="K809">
        <f>IF('FINANCIAL CREDITORS'!$N$247="","",'FINANCIAL CREDITORS'!$N$247)</f>
        <v/>
      </c>
      <c r="L809">
        <f>IF('FINANCIAL CREDITORS'!$AH$247="","",'FINANCIAL CREDITORS'!$AH$247)</f>
        <v/>
      </c>
      <c r="M809">
        <f>IF('FINANCIAL CREDITORS'!$AO$247="","",'FINANCIAL CREDITORS'!$AO$247)</f>
        <v/>
      </c>
      <c r="N809">
        <f>IF('FINANCIAL CREDITORS'!$BF$247="","",'FINANCIAL CREDITORS'!$BF$247)</f>
        <v/>
      </c>
      <c r="O809" t="inlineStr">
        <is>
          <t>FINANCIAL</t>
        </is>
      </c>
      <c r="P809" t="inlineStr">
        <is>
          <t>FINANCIAL CREDITORS · row 247</t>
        </is>
      </c>
      <c r="Q809">
        <f>E809+ROW()*0.000000001</f>
        <v/>
      </c>
    </row>
    <row r="810">
      <c r="A810">
        <f>IF('FINANCIAL CREDITORS'!$A$248="","",'FINANCIAL CREDITORS'!$A$248)</f>
        <v/>
      </c>
      <c r="B810">
        <f>IF('FINANCIAL CREDITORS'!$C$248="","",'FINANCIAL CREDITORS'!$C$248)</f>
        <v/>
      </c>
      <c r="C810">
        <f>'FINANCIAL CREDITORS'!$U$248</f>
        <v/>
      </c>
      <c r="D810">
        <f>'FINANCIAL CREDITORS'!$AB$248</f>
        <v/>
      </c>
      <c r="E810">
        <f>'FINANCIAL CREDITORS'!$AF$248</f>
        <v/>
      </c>
      <c r="F810">
        <f>IF('FINANCIAL CREDITORS'!$V$248="","",'FINANCIAL CREDITORS'!$V$248)</f>
        <v/>
      </c>
      <c r="G810">
        <f>IF('FINANCIAL CREDITORS'!$D$248="","",'FINANCIAL CREDITORS'!$D$248)</f>
        <v/>
      </c>
      <c r="H810">
        <f>IF('FINANCIAL CREDITORS'!$G$248="","",'FINANCIAL CREDITORS'!$G$248)</f>
        <v/>
      </c>
      <c r="I810">
        <f>IF('FINANCIAL CREDITORS'!$AY$248="","",'FINANCIAL CREDITORS'!$AY$248)</f>
        <v/>
      </c>
      <c r="J810">
        <f>IF('FINANCIAL CREDITORS'!$BC$248="","",'FINANCIAL CREDITORS'!$BC$248)</f>
        <v/>
      </c>
      <c r="K810">
        <f>IF('FINANCIAL CREDITORS'!$N$248="","",'FINANCIAL CREDITORS'!$N$248)</f>
        <v/>
      </c>
      <c r="L810">
        <f>IF('FINANCIAL CREDITORS'!$AH$248="","",'FINANCIAL CREDITORS'!$AH$248)</f>
        <v/>
      </c>
      <c r="M810">
        <f>IF('FINANCIAL CREDITORS'!$AO$248="","",'FINANCIAL CREDITORS'!$AO$248)</f>
        <v/>
      </c>
      <c r="N810">
        <f>IF('FINANCIAL CREDITORS'!$BF$248="","",'FINANCIAL CREDITORS'!$BF$248)</f>
        <v/>
      </c>
      <c r="O810" t="inlineStr">
        <is>
          <t>FINANCIAL</t>
        </is>
      </c>
      <c r="P810" t="inlineStr">
        <is>
          <t>FINANCIAL CREDITORS · row 248</t>
        </is>
      </c>
      <c r="Q810">
        <f>E810+ROW()*0.000000001</f>
        <v/>
      </c>
    </row>
    <row r="811">
      <c r="A811">
        <f>IF('FINANCIAL CREDITORS'!$A$249="","",'FINANCIAL CREDITORS'!$A$249)</f>
        <v/>
      </c>
      <c r="B811">
        <f>IF('FINANCIAL CREDITORS'!$C$249="","",'FINANCIAL CREDITORS'!$C$249)</f>
        <v/>
      </c>
      <c r="C811">
        <f>'FINANCIAL CREDITORS'!$U$249</f>
        <v/>
      </c>
      <c r="D811">
        <f>'FINANCIAL CREDITORS'!$AB$249</f>
        <v/>
      </c>
      <c r="E811">
        <f>'FINANCIAL CREDITORS'!$AF$249</f>
        <v/>
      </c>
      <c r="F811">
        <f>IF('FINANCIAL CREDITORS'!$V$249="","",'FINANCIAL CREDITORS'!$V$249)</f>
        <v/>
      </c>
      <c r="G811">
        <f>IF('FINANCIAL CREDITORS'!$D$249="","",'FINANCIAL CREDITORS'!$D$249)</f>
        <v/>
      </c>
      <c r="H811">
        <f>IF('FINANCIAL CREDITORS'!$G$249="","",'FINANCIAL CREDITORS'!$G$249)</f>
        <v/>
      </c>
      <c r="I811">
        <f>IF('FINANCIAL CREDITORS'!$AY$249="","",'FINANCIAL CREDITORS'!$AY$249)</f>
        <v/>
      </c>
      <c r="J811">
        <f>IF('FINANCIAL CREDITORS'!$BC$249="","",'FINANCIAL CREDITORS'!$BC$249)</f>
        <v/>
      </c>
      <c r="K811">
        <f>IF('FINANCIAL CREDITORS'!$N$249="","",'FINANCIAL CREDITORS'!$N$249)</f>
        <v/>
      </c>
      <c r="L811">
        <f>IF('FINANCIAL CREDITORS'!$AH$249="","",'FINANCIAL CREDITORS'!$AH$249)</f>
        <v/>
      </c>
      <c r="M811">
        <f>IF('FINANCIAL CREDITORS'!$AO$249="","",'FINANCIAL CREDITORS'!$AO$249)</f>
        <v/>
      </c>
      <c r="N811">
        <f>IF('FINANCIAL CREDITORS'!$BF$249="","",'FINANCIAL CREDITORS'!$BF$249)</f>
        <v/>
      </c>
      <c r="O811" t="inlineStr">
        <is>
          <t>FINANCIAL</t>
        </is>
      </c>
      <c r="P811" t="inlineStr">
        <is>
          <t>FINANCIAL CREDITORS · row 249</t>
        </is>
      </c>
      <c r="Q811">
        <f>E811+ROW()*0.000000001</f>
        <v/>
      </c>
    </row>
    <row r="812">
      <c r="A812">
        <f>IF('FINANCIAL CREDITORS'!$A$250="","",'FINANCIAL CREDITORS'!$A$250)</f>
        <v/>
      </c>
      <c r="B812">
        <f>IF('FINANCIAL CREDITORS'!$C$250="","",'FINANCIAL CREDITORS'!$C$250)</f>
        <v/>
      </c>
      <c r="C812">
        <f>'FINANCIAL CREDITORS'!$U$250</f>
        <v/>
      </c>
      <c r="D812">
        <f>'FINANCIAL CREDITORS'!$AB$250</f>
        <v/>
      </c>
      <c r="E812">
        <f>'FINANCIAL CREDITORS'!$AF$250</f>
        <v/>
      </c>
      <c r="F812">
        <f>IF('FINANCIAL CREDITORS'!$V$250="","",'FINANCIAL CREDITORS'!$V$250)</f>
        <v/>
      </c>
      <c r="G812">
        <f>IF('FINANCIAL CREDITORS'!$D$250="","",'FINANCIAL CREDITORS'!$D$250)</f>
        <v/>
      </c>
      <c r="H812">
        <f>IF('FINANCIAL CREDITORS'!$G$250="","",'FINANCIAL CREDITORS'!$G$250)</f>
        <v/>
      </c>
      <c r="I812">
        <f>IF('FINANCIAL CREDITORS'!$AY$250="","",'FINANCIAL CREDITORS'!$AY$250)</f>
        <v/>
      </c>
      <c r="J812">
        <f>IF('FINANCIAL CREDITORS'!$BC$250="","",'FINANCIAL CREDITORS'!$BC$250)</f>
        <v/>
      </c>
      <c r="K812">
        <f>IF('FINANCIAL CREDITORS'!$N$250="","",'FINANCIAL CREDITORS'!$N$250)</f>
        <v/>
      </c>
      <c r="L812">
        <f>IF('FINANCIAL CREDITORS'!$AH$250="","",'FINANCIAL CREDITORS'!$AH$250)</f>
        <v/>
      </c>
      <c r="M812">
        <f>IF('FINANCIAL CREDITORS'!$AO$250="","",'FINANCIAL CREDITORS'!$AO$250)</f>
        <v/>
      </c>
      <c r="N812">
        <f>IF('FINANCIAL CREDITORS'!$BF$250="","",'FINANCIAL CREDITORS'!$BF$250)</f>
        <v/>
      </c>
      <c r="O812" t="inlineStr">
        <is>
          <t>FINANCIAL</t>
        </is>
      </c>
      <c r="P812" t="inlineStr">
        <is>
          <t>FINANCIAL CREDITORS · row 250</t>
        </is>
      </c>
      <c r="Q812">
        <f>E812+ROW()*0.000000001</f>
        <v/>
      </c>
    </row>
    <row r="813">
      <c r="A813">
        <f>IF('FINANCIAL CREDITORS'!$A$251="","",'FINANCIAL CREDITORS'!$A$251)</f>
        <v/>
      </c>
      <c r="B813">
        <f>IF('FINANCIAL CREDITORS'!$C$251="","",'FINANCIAL CREDITORS'!$C$251)</f>
        <v/>
      </c>
      <c r="C813">
        <f>'FINANCIAL CREDITORS'!$U$251</f>
        <v/>
      </c>
      <c r="D813">
        <f>'FINANCIAL CREDITORS'!$AB$251</f>
        <v/>
      </c>
      <c r="E813">
        <f>'FINANCIAL CREDITORS'!$AF$251</f>
        <v/>
      </c>
      <c r="F813">
        <f>IF('FINANCIAL CREDITORS'!$V$251="","",'FINANCIAL CREDITORS'!$V$251)</f>
        <v/>
      </c>
      <c r="G813">
        <f>IF('FINANCIAL CREDITORS'!$D$251="","",'FINANCIAL CREDITORS'!$D$251)</f>
        <v/>
      </c>
      <c r="H813">
        <f>IF('FINANCIAL CREDITORS'!$G$251="","",'FINANCIAL CREDITORS'!$G$251)</f>
        <v/>
      </c>
      <c r="I813">
        <f>IF('FINANCIAL CREDITORS'!$AY$251="","",'FINANCIAL CREDITORS'!$AY$251)</f>
        <v/>
      </c>
      <c r="J813">
        <f>IF('FINANCIAL CREDITORS'!$BC$251="","",'FINANCIAL CREDITORS'!$BC$251)</f>
        <v/>
      </c>
      <c r="K813">
        <f>IF('FINANCIAL CREDITORS'!$N$251="","",'FINANCIAL CREDITORS'!$N$251)</f>
        <v/>
      </c>
      <c r="L813">
        <f>IF('FINANCIAL CREDITORS'!$AH$251="","",'FINANCIAL CREDITORS'!$AH$251)</f>
        <v/>
      </c>
      <c r="M813">
        <f>IF('FINANCIAL CREDITORS'!$AO$251="","",'FINANCIAL CREDITORS'!$AO$251)</f>
        <v/>
      </c>
      <c r="N813">
        <f>IF('FINANCIAL CREDITORS'!$BF$251="","",'FINANCIAL CREDITORS'!$BF$251)</f>
        <v/>
      </c>
      <c r="O813" t="inlineStr">
        <is>
          <t>FINANCIAL</t>
        </is>
      </c>
      <c r="P813" t="inlineStr">
        <is>
          <t>FINANCIAL CREDITORS · row 251</t>
        </is>
      </c>
      <c r="Q813">
        <f>E813+ROW()*0.000000001</f>
        <v/>
      </c>
    </row>
    <row r="814">
      <c r="A814">
        <f>IF('FINANCIAL CREDITORS'!$A$252="","",'FINANCIAL CREDITORS'!$A$252)</f>
        <v/>
      </c>
      <c r="B814">
        <f>IF('FINANCIAL CREDITORS'!$C$252="","",'FINANCIAL CREDITORS'!$C$252)</f>
        <v/>
      </c>
      <c r="C814">
        <f>'FINANCIAL CREDITORS'!$U$252</f>
        <v/>
      </c>
      <c r="D814">
        <f>'FINANCIAL CREDITORS'!$AB$252</f>
        <v/>
      </c>
      <c r="E814">
        <f>'FINANCIAL CREDITORS'!$AF$252</f>
        <v/>
      </c>
      <c r="F814">
        <f>IF('FINANCIAL CREDITORS'!$V$252="","",'FINANCIAL CREDITORS'!$V$252)</f>
        <v/>
      </c>
      <c r="G814">
        <f>IF('FINANCIAL CREDITORS'!$D$252="","",'FINANCIAL CREDITORS'!$D$252)</f>
        <v/>
      </c>
      <c r="H814">
        <f>IF('FINANCIAL CREDITORS'!$G$252="","",'FINANCIAL CREDITORS'!$G$252)</f>
        <v/>
      </c>
      <c r="I814">
        <f>IF('FINANCIAL CREDITORS'!$AY$252="","",'FINANCIAL CREDITORS'!$AY$252)</f>
        <v/>
      </c>
      <c r="J814">
        <f>IF('FINANCIAL CREDITORS'!$BC$252="","",'FINANCIAL CREDITORS'!$BC$252)</f>
        <v/>
      </c>
      <c r="K814">
        <f>IF('FINANCIAL CREDITORS'!$N$252="","",'FINANCIAL CREDITORS'!$N$252)</f>
        <v/>
      </c>
      <c r="L814">
        <f>IF('FINANCIAL CREDITORS'!$AH$252="","",'FINANCIAL CREDITORS'!$AH$252)</f>
        <v/>
      </c>
      <c r="M814">
        <f>IF('FINANCIAL CREDITORS'!$AO$252="","",'FINANCIAL CREDITORS'!$AO$252)</f>
        <v/>
      </c>
      <c r="N814">
        <f>IF('FINANCIAL CREDITORS'!$BF$252="","",'FINANCIAL CREDITORS'!$BF$252)</f>
        <v/>
      </c>
      <c r="O814" t="inlineStr">
        <is>
          <t>FINANCIAL</t>
        </is>
      </c>
      <c r="P814" t="inlineStr">
        <is>
          <t>FINANCIAL CREDITORS · row 252</t>
        </is>
      </c>
      <c r="Q814">
        <f>E814+ROW()*0.000000001</f>
        <v/>
      </c>
    </row>
    <row r="815">
      <c r="A815">
        <f>IF('FINANCIAL CREDITORS'!$A$253="","",'FINANCIAL CREDITORS'!$A$253)</f>
        <v/>
      </c>
      <c r="B815">
        <f>IF('FINANCIAL CREDITORS'!$C$253="","",'FINANCIAL CREDITORS'!$C$253)</f>
        <v/>
      </c>
      <c r="C815">
        <f>'FINANCIAL CREDITORS'!$U$253</f>
        <v/>
      </c>
      <c r="D815">
        <f>'FINANCIAL CREDITORS'!$AB$253</f>
        <v/>
      </c>
      <c r="E815">
        <f>'FINANCIAL CREDITORS'!$AF$253</f>
        <v/>
      </c>
      <c r="F815">
        <f>IF('FINANCIAL CREDITORS'!$V$253="","",'FINANCIAL CREDITORS'!$V$253)</f>
        <v/>
      </c>
      <c r="G815">
        <f>IF('FINANCIAL CREDITORS'!$D$253="","",'FINANCIAL CREDITORS'!$D$253)</f>
        <v/>
      </c>
      <c r="H815">
        <f>IF('FINANCIAL CREDITORS'!$G$253="","",'FINANCIAL CREDITORS'!$G$253)</f>
        <v/>
      </c>
      <c r="I815">
        <f>IF('FINANCIAL CREDITORS'!$AY$253="","",'FINANCIAL CREDITORS'!$AY$253)</f>
        <v/>
      </c>
      <c r="J815">
        <f>IF('FINANCIAL CREDITORS'!$BC$253="","",'FINANCIAL CREDITORS'!$BC$253)</f>
        <v/>
      </c>
      <c r="K815">
        <f>IF('FINANCIAL CREDITORS'!$N$253="","",'FINANCIAL CREDITORS'!$N$253)</f>
        <v/>
      </c>
      <c r="L815">
        <f>IF('FINANCIAL CREDITORS'!$AH$253="","",'FINANCIAL CREDITORS'!$AH$253)</f>
        <v/>
      </c>
      <c r="M815">
        <f>IF('FINANCIAL CREDITORS'!$AO$253="","",'FINANCIAL CREDITORS'!$AO$253)</f>
        <v/>
      </c>
      <c r="N815">
        <f>IF('FINANCIAL CREDITORS'!$BF$253="","",'FINANCIAL CREDITORS'!$BF$253)</f>
        <v/>
      </c>
      <c r="O815" t="inlineStr">
        <is>
          <t>FINANCIAL</t>
        </is>
      </c>
      <c r="P815" t="inlineStr">
        <is>
          <t>FINANCIAL CREDITORS · row 253</t>
        </is>
      </c>
      <c r="Q815">
        <f>E815+ROW()*0.000000001</f>
        <v/>
      </c>
    </row>
    <row r="816">
      <c r="A816">
        <f>IF('FINANCIAL CREDITORS'!$A$254="","",'FINANCIAL CREDITORS'!$A$254)</f>
        <v/>
      </c>
      <c r="B816">
        <f>IF('FINANCIAL CREDITORS'!$C$254="","",'FINANCIAL CREDITORS'!$C$254)</f>
        <v/>
      </c>
      <c r="C816">
        <f>'FINANCIAL CREDITORS'!$U$254</f>
        <v/>
      </c>
      <c r="D816">
        <f>'FINANCIAL CREDITORS'!$AB$254</f>
        <v/>
      </c>
      <c r="E816">
        <f>'FINANCIAL CREDITORS'!$AF$254</f>
        <v/>
      </c>
      <c r="F816">
        <f>IF('FINANCIAL CREDITORS'!$V$254="","",'FINANCIAL CREDITORS'!$V$254)</f>
        <v/>
      </c>
      <c r="G816">
        <f>IF('FINANCIAL CREDITORS'!$D$254="","",'FINANCIAL CREDITORS'!$D$254)</f>
        <v/>
      </c>
      <c r="H816">
        <f>IF('FINANCIAL CREDITORS'!$G$254="","",'FINANCIAL CREDITORS'!$G$254)</f>
        <v/>
      </c>
      <c r="I816">
        <f>IF('FINANCIAL CREDITORS'!$AY$254="","",'FINANCIAL CREDITORS'!$AY$254)</f>
        <v/>
      </c>
      <c r="J816">
        <f>IF('FINANCIAL CREDITORS'!$BC$254="","",'FINANCIAL CREDITORS'!$BC$254)</f>
        <v/>
      </c>
      <c r="K816">
        <f>IF('FINANCIAL CREDITORS'!$N$254="","",'FINANCIAL CREDITORS'!$N$254)</f>
        <v/>
      </c>
      <c r="L816">
        <f>IF('FINANCIAL CREDITORS'!$AH$254="","",'FINANCIAL CREDITORS'!$AH$254)</f>
        <v/>
      </c>
      <c r="M816">
        <f>IF('FINANCIAL CREDITORS'!$AO$254="","",'FINANCIAL CREDITORS'!$AO$254)</f>
        <v/>
      </c>
      <c r="N816">
        <f>IF('FINANCIAL CREDITORS'!$BF$254="","",'FINANCIAL CREDITORS'!$BF$254)</f>
        <v/>
      </c>
      <c r="O816" t="inlineStr">
        <is>
          <t>FINANCIAL</t>
        </is>
      </c>
      <c r="P816" t="inlineStr">
        <is>
          <t>FINANCIAL CREDITORS · row 254</t>
        </is>
      </c>
      <c r="Q816">
        <f>E816+ROW()*0.000000001</f>
        <v/>
      </c>
    </row>
    <row r="817">
      <c r="A817">
        <f>IF('FINANCIAL CREDITORS'!$A$255="","",'FINANCIAL CREDITORS'!$A$255)</f>
        <v/>
      </c>
      <c r="B817">
        <f>IF('FINANCIAL CREDITORS'!$C$255="","",'FINANCIAL CREDITORS'!$C$255)</f>
        <v/>
      </c>
      <c r="C817">
        <f>'FINANCIAL CREDITORS'!$U$255</f>
        <v/>
      </c>
      <c r="D817">
        <f>'FINANCIAL CREDITORS'!$AB$255</f>
        <v/>
      </c>
      <c r="E817">
        <f>'FINANCIAL CREDITORS'!$AF$255</f>
        <v/>
      </c>
      <c r="F817">
        <f>IF('FINANCIAL CREDITORS'!$V$255="","",'FINANCIAL CREDITORS'!$V$255)</f>
        <v/>
      </c>
      <c r="G817">
        <f>IF('FINANCIAL CREDITORS'!$D$255="","",'FINANCIAL CREDITORS'!$D$255)</f>
        <v/>
      </c>
      <c r="H817">
        <f>IF('FINANCIAL CREDITORS'!$G$255="","",'FINANCIAL CREDITORS'!$G$255)</f>
        <v/>
      </c>
      <c r="I817">
        <f>IF('FINANCIAL CREDITORS'!$AY$255="","",'FINANCIAL CREDITORS'!$AY$255)</f>
        <v/>
      </c>
      <c r="J817">
        <f>IF('FINANCIAL CREDITORS'!$BC$255="","",'FINANCIAL CREDITORS'!$BC$255)</f>
        <v/>
      </c>
      <c r="K817">
        <f>IF('FINANCIAL CREDITORS'!$N$255="","",'FINANCIAL CREDITORS'!$N$255)</f>
        <v/>
      </c>
      <c r="L817">
        <f>IF('FINANCIAL CREDITORS'!$AH$255="","",'FINANCIAL CREDITORS'!$AH$255)</f>
        <v/>
      </c>
      <c r="M817">
        <f>IF('FINANCIAL CREDITORS'!$AO$255="","",'FINANCIAL CREDITORS'!$AO$255)</f>
        <v/>
      </c>
      <c r="N817">
        <f>IF('FINANCIAL CREDITORS'!$BF$255="","",'FINANCIAL CREDITORS'!$BF$255)</f>
        <v/>
      </c>
      <c r="O817" t="inlineStr">
        <is>
          <t>FINANCIAL</t>
        </is>
      </c>
      <c r="P817" t="inlineStr">
        <is>
          <t>FINANCIAL CREDITORS · row 255</t>
        </is>
      </c>
      <c r="Q817">
        <f>E817+ROW()*0.000000001</f>
        <v/>
      </c>
    </row>
    <row r="818">
      <c r="A818">
        <f>IF('FINANCIAL CREDITORS'!$A$256="","",'FINANCIAL CREDITORS'!$A$256)</f>
        <v/>
      </c>
      <c r="B818">
        <f>IF('FINANCIAL CREDITORS'!$C$256="","",'FINANCIAL CREDITORS'!$C$256)</f>
        <v/>
      </c>
      <c r="C818">
        <f>'FINANCIAL CREDITORS'!$U$256</f>
        <v/>
      </c>
      <c r="D818">
        <f>'FINANCIAL CREDITORS'!$AB$256</f>
        <v/>
      </c>
      <c r="E818">
        <f>'FINANCIAL CREDITORS'!$AF$256</f>
        <v/>
      </c>
      <c r="F818">
        <f>IF('FINANCIAL CREDITORS'!$V$256="","",'FINANCIAL CREDITORS'!$V$256)</f>
        <v/>
      </c>
      <c r="G818">
        <f>IF('FINANCIAL CREDITORS'!$D$256="","",'FINANCIAL CREDITORS'!$D$256)</f>
        <v/>
      </c>
      <c r="H818">
        <f>IF('FINANCIAL CREDITORS'!$G$256="","",'FINANCIAL CREDITORS'!$G$256)</f>
        <v/>
      </c>
      <c r="I818">
        <f>IF('FINANCIAL CREDITORS'!$AY$256="","",'FINANCIAL CREDITORS'!$AY$256)</f>
        <v/>
      </c>
      <c r="J818">
        <f>IF('FINANCIAL CREDITORS'!$BC$256="","",'FINANCIAL CREDITORS'!$BC$256)</f>
        <v/>
      </c>
      <c r="K818">
        <f>IF('FINANCIAL CREDITORS'!$N$256="","",'FINANCIAL CREDITORS'!$N$256)</f>
        <v/>
      </c>
      <c r="L818">
        <f>IF('FINANCIAL CREDITORS'!$AH$256="","",'FINANCIAL CREDITORS'!$AH$256)</f>
        <v/>
      </c>
      <c r="M818">
        <f>IF('FINANCIAL CREDITORS'!$AO$256="","",'FINANCIAL CREDITORS'!$AO$256)</f>
        <v/>
      </c>
      <c r="N818">
        <f>IF('FINANCIAL CREDITORS'!$BF$256="","",'FINANCIAL CREDITORS'!$BF$256)</f>
        <v/>
      </c>
      <c r="O818" t="inlineStr">
        <is>
          <t>FINANCIAL</t>
        </is>
      </c>
      <c r="P818" t="inlineStr">
        <is>
          <t>FINANCIAL CREDITORS · row 256</t>
        </is>
      </c>
      <c r="Q818">
        <f>E818+ROW()*0.000000001</f>
        <v/>
      </c>
    </row>
    <row r="819">
      <c r="A819">
        <f>IF('FINANCIAL CREDITORS'!$A$257="","",'FINANCIAL CREDITORS'!$A$257)</f>
        <v/>
      </c>
      <c r="B819">
        <f>IF('FINANCIAL CREDITORS'!$C$257="","",'FINANCIAL CREDITORS'!$C$257)</f>
        <v/>
      </c>
      <c r="C819">
        <f>'FINANCIAL CREDITORS'!$U$257</f>
        <v/>
      </c>
      <c r="D819">
        <f>'FINANCIAL CREDITORS'!$AB$257</f>
        <v/>
      </c>
      <c r="E819">
        <f>'FINANCIAL CREDITORS'!$AF$257</f>
        <v/>
      </c>
      <c r="F819">
        <f>IF('FINANCIAL CREDITORS'!$V$257="","",'FINANCIAL CREDITORS'!$V$257)</f>
        <v/>
      </c>
      <c r="G819">
        <f>IF('FINANCIAL CREDITORS'!$D$257="","",'FINANCIAL CREDITORS'!$D$257)</f>
        <v/>
      </c>
      <c r="H819">
        <f>IF('FINANCIAL CREDITORS'!$G$257="","",'FINANCIAL CREDITORS'!$G$257)</f>
        <v/>
      </c>
      <c r="I819">
        <f>IF('FINANCIAL CREDITORS'!$AY$257="","",'FINANCIAL CREDITORS'!$AY$257)</f>
        <v/>
      </c>
      <c r="J819">
        <f>IF('FINANCIAL CREDITORS'!$BC$257="","",'FINANCIAL CREDITORS'!$BC$257)</f>
        <v/>
      </c>
      <c r="K819">
        <f>IF('FINANCIAL CREDITORS'!$N$257="","",'FINANCIAL CREDITORS'!$N$257)</f>
        <v/>
      </c>
      <c r="L819">
        <f>IF('FINANCIAL CREDITORS'!$AH$257="","",'FINANCIAL CREDITORS'!$AH$257)</f>
        <v/>
      </c>
      <c r="M819">
        <f>IF('FINANCIAL CREDITORS'!$AO$257="","",'FINANCIAL CREDITORS'!$AO$257)</f>
        <v/>
      </c>
      <c r="N819">
        <f>IF('FINANCIAL CREDITORS'!$BF$257="","",'FINANCIAL CREDITORS'!$BF$257)</f>
        <v/>
      </c>
      <c r="O819" t="inlineStr">
        <is>
          <t>FINANCIAL</t>
        </is>
      </c>
      <c r="P819" t="inlineStr">
        <is>
          <t>FINANCIAL CREDITORS · row 257</t>
        </is>
      </c>
      <c r="Q819">
        <f>E819+ROW()*0.000000001</f>
        <v/>
      </c>
    </row>
    <row r="820">
      <c r="A820">
        <f>IF('FINANCIAL CREDITORS'!$A$258="","",'FINANCIAL CREDITORS'!$A$258)</f>
        <v/>
      </c>
      <c r="B820">
        <f>IF('FINANCIAL CREDITORS'!$C$258="","",'FINANCIAL CREDITORS'!$C$258)</f>
        <v/>
      </c>
      <c r="C820">
        <f>'FINANCIAL CREDITORS'!$U$258</f>
        <v/>
      </c>
      <c r="D820">
        <f>'FINANCIAL CREDITORS'!$AB$258</f>
        <v/>
      </c>
      <c r="E820">
        <f>'FINANCIAL CREDITORS'!$AF$258</f>
        <v/>
      </c>
      <c r="F820">
        <f>IF('FINANCIAL CREDITORS'!$V$258="","",'FINANCIAL CREDITORS'!$V$258)</f>
        <v/>
      </c>
      <c r="G820">
        <f>IF('FINANCIAL CREDITORS'!$D$258="","",'FINANCIAL CREDITORS'!$D$258)</f>
        <v/>
      </c>
      <c r="H820">
        <f>IF('FINANCIAL CREDITORS'!$G$258="","",'FINANCIAL CREDITORS'!$G$258)</f>
        <v/>
      </c>
      <c r="I820">
        <f>IF('FINANCIAL CREDITORS'!$AY$258="","",'FINANCIAL CREDITORS'!$AY$258)</f>
        <v/>
      </c>
      <c r="J820">
        <f>IF('FINANCIAL CREDITORS'!$BC$258="","",'FINANCIAL CREDITORS'!$BC$258)</f>
        <v/>
      </c>
      <c r="K820">
        <f>IF('FINANCIAL CREDITORS'!$N$258="","",'FINANCIAL CREDITORS'!$N$258)</f>
        <v/>
      </c>
      <c r="L820">
        <f>IF('FINANCIAL CREDITORS'!$AH$258="","",'FINANCIAL CREDITORS'!$AH$258)</f>
        <v/>
      </c>
      <c r="M820">
        <f>IF('FINANCIAL CREDITORS'!$AO$258="","",'FINANCIAL CREDITORS'!$AO$258)</f>
        <v/>
      </c>
      <c r="N820">
        <f>IF('FINANCIAL CREDITORS'!$BF$258="","",'FINANCIAL CREDITORS'!$BF$258)</f>
        <v/>
      </c>
      <c r="O820" t="inlineStr">
        <is>
          <t>FINANCIAL</t>
        </is>
      </c>
      <c r="P820" t="inlineStr">
        <is>
          <t>FINANCIAL CREDITORS · row 258</t>
        </is>
      </c>
      <c r="Q820">
        <f>E820+ROW()*0.000000001</f>
        <v/>
      </c>
    </row>
    <row r="821">
      <c r="A821">
        <f>IF('FINANCIAL CREDITORS'!$A$259="","",'FINANCIAL CREDITORS'!$A$259)</f>
        <v/>
      </c>
      <c r="B821">
        <f>IF('FINANCIAL CREDITORS'!$C$259="","",'FINANCIAL CREDITORS'!$C$259)</f>
        <v/>
      </c>
      <c r="C821">
        <f>'FINANCIAL CREDITORS'!$U$259</f>
        <v/>
      </c>
      <c r="D821">
        <f>'FINANCIAL CREDITORS'!$AB$259</f>
        <v/>
      </c>
      <c r="E821">
        <f>'FINANCIAL CREDITORS'!$AF$259</f>
        <v/>
      </c>
      <c r="F821">
        <f>IF('FINANCIAL CREDITORS'!$V$259="","",'FINANCIAL CREDITORS'!$V$259)</f>
        <v/>
      </c>
      <c r="G821">
        <f>IF('FINANCIAL CREDITORS'!$D$259="","",'FINANCIAL CREDITORS'!$D$259)</f>
        <v/>
      </c>
      <c r="H821">
        <f>IF('FINANCIAL CREDITORS'!$G$259="","",'FINANCIAL CREDITORS'!$G$259)</f>
        <v/>
      </c>
      <c r="I821">
        <f>IF('FINANCIAL CREDITORS'!$AY$259="","",'FINANCIAL CREDITORS'!$AY$259)</f>
        <v/>
      </c>
      <c r="J821">
        <f>IF('FINANCIAL CREDITORS'!$BC$259="","",'FINANCIAL CREDITORS'!$BC$259)</f>
        <v/>
      </c>
      <c r="K821">
        <f>IF('FINANCIAL CREDITORS'!$N$259="","",'FINANCIAL CREDITORS'!$N$259)</f>
        <v/>
      </c>
      <c r="L821">
        <f>IF('FINANCIAL CREDITORS'!$AH$259="","",'FINANCIAL CREDITORS'!$AH$259)</f>
        <v/>
      </c>
      <c r="M821">
        <f>IF('FINANCIAL CREDITORS'!$AO$259="","",'FINANCIAL CREDITORS'!$AO$259)</f>
        <v/>
      </c>
      <c r="N821">
        <f>IF('FINANCIAL CREDITORS'!$BF$259="","",'FINANCIAL CREDITORS'!$BF$259)</f>
        <v/>
      </c>
      <c r="O821" t="inlineStr">
        <is>
          <t>FINANCIAL</t>
        </is>
      </c>
      <c r="P821" t="inlineStr">
        <is>
          <t>FINANCIAL CREDITORS · row 259</t>
        </is>
      </c>
      <c r="Q821">
        <f>E821+ROW()*0.000000001</f>
        <v/>
      </c>
    </row>
    <row r="822">
      <c r="A822">
        <f>IF('FINANCIAL CREDITORS'!$A$260="","",'FINANCIAL CREDITORS'!$A$260)</f>
        <v/>
      </c>
      <c r="B822">
        <f>IF('FINANCIAL CREDITORS'!$C$260="","",'FINANCIAL CREDITORS'!$C$260)</f>
        <v/>
      </c>
      <c r="C822">
        <f>'FINANCIAL CREDITORS'!$U$260</f>
        <v/>
      </c>
      <c r="D822">
        <f>'FINANCIAL CREDITORS'!$AB$260</f>
        <v/>
      </c>
      <c r="E822">
        <f>'FINANCIAL CREDITORS'!$AF$260</f>
        <v/>
      </c>
      <c r="F822">
        <f>IF('FINANCIAL CREDITORS'!$V$260="","",'FINANCIAL CREDITORS'!$V$260)</f>
        <v/>
      </c>
      <c r="G822">
        <f>IF('FINANCIAL CREDITORS'!$D$260="","",'FINANCIAL CREDITORS'!$D$260)</f>
        <v/>
      </c>
      <c r="H822">
        <f>IF('FINANCIAL CREDITORS'!$G$260="","",'FINANCIAL CREDITORS'!$G$260)</f>
        <v/>
      </c>
      <c r="I822">
        <f>IF('FINANCIAL CREDITORS'!$AY$260="","",'FINANCIAL CREDITORS'!$AY$260)</f>
        <v/>
      </c>
      <c r="J822">
        <f>IF('FINANCIAL CREDITORS'!$BC$260="","",'FINANCIAL CREDITORS'!$BC$260)</f>
        <v/>
      </c>
      <c r="K822">
        <f>IF('FINANCIAL CREDITORS'!$N$260="","",'FINANCIAL CREDITORS'!$N$260)</f>
        <v/>
      </c>
      <c r="L822">
        <f>IF('FINANCIAL CREDITORS'!$AH$260="","",'FINANCIAL CREDITORS'!$AH$260)</f>
        <v/>
      </c>
      <c r="M822">
        <f>IF('FINANCIAL CREDITORS'!$AO$260="","",'FINANCIAL CREDITORS'!$AO$260)</f>
        <v/>
      </c>
      <c r="N822">
        <f>IF('FINANCIAL CREDITORS'!$BF$260="","",'FINANCIAL CREDITORS'!$BF$260)</f>
        <v/>
      </c>
      <c r="O822" t="inlineStr">
        <is>
          <t>FINANCIAL</t>
        </is>
      </c>
      <c r="P822" t="inlineStr">
        <is>
          <t>FINANCIAL CREDITORS · row 260</t>
        </is>
      </c>
      <c r="Q822">
        <f>E822+ROW()*0.000000001</f>
        <v/>
      </c>
    </row>
    <row r="823">
      <c r="A823">
        <f>IF('FINANCIAL CREDITORS'!$A$261="","",'FINANCIAL CREDITORS'!$A$261)</f>
        <v/>
      </c>
      <c r="B823">
        <f>IF('FINANCIAL CREDITORS'!$C$261="","",'FINANCIAL CREDITORS'!$C$261)</f>
        <v/>
      </c>
      <c r="C823">
        <f>'FINANCIAL CREDITORS'!$U$261</f>
        <v/>
      </c>
      <c r="D823">
        <f>'FINANCIAL CREDITORS'!$AB$261</f>
        <v/>
      </c>
      <c r="E823">
        <f>'FINANCIAL CREDITORS'!$AF$261</f>
        <v/>
      </c>
      <c r="F823">
        <f>IF('FINANCIAL CREDITORS'!$V$261="","",'FINANCIAL CREDITORS'!$V$261)</f>
        <v/>
      </c>
      <c r="G823">
        <f>IF('FINANCIAL CREDITORS'!$D$261="","",'FINANCIAL CREDITORS'!$D$261)</f>
        <v/>
      </c>
      <c r="H823">
        <f>IF('FINANCIAL CREDITORS'!$G$261="","",'FINANCIAL CREDITORS'!$G$261)</f>
        <v/>
      </c>
      <c r="I823">
        <f>IF('FINANCIAL CREDITORS'!$AY$261="","",'FINANCIAL CREDITORS'!$AY$261)</f>
        <v/>
      </c>
      <c r="J823">
        <f>IF('FINANCIAL CREDITORS'!$BC$261="","",'FINANCIAL CREDITORS'!$BC$261)</f>
        <v/>
      </c>
      <c r="K823">
        <f>IF('FINANCIAL CREDITORS'!$N$261="","",'FINANCIAL CREDITORS'!$N$261)</f>
        <v/>
      </c>
      <c r="L823">
        <f>IF('FINANCIAL CREDITORS'!$AH$261="","",'FINANCIAL CREDITORS'!$AH$261)</f>
        <v/>
      </c>
      <c r="M823">
        <f>IF('FINANCIAL CREDITORS'!$AO$261="","",'FINANCIAL CREDITORS'!$AO$261)</f>
        <v/>
      </c>
      <c r="N823">
        <f>IF('FINANCIAL CREDITORS'!$BF$261="","",'FINANCIAL CREDITORS'!$BF$261)</f>
        <v/>
      </c>
      <c r="O823" t="inlineStr">
        <is>
          <t>FINANCIAL</t>
        </is>
      </c>
      <c r="P823" t="inlineStr">
        <is>
          <t>FINANCIAL CREDITORS · row 261</t>
        </is>
      </c>
      <c r="Q823">
        <f>E823+ROW()*0.000000001</f>
        <v/>
      </c>
    </row>
    <row r="824">
      <c r="A824">
        <f>IF('FINANCIAL CREDITORS'!$A$262="","",'FINANCIAL CREDITORS'!$A$262)</f>
        <v/>
      </c>
      <c r="B824">
        <f>IF('FINANCIAL CREDITORS'!$C$262="","",'FINANCIAL CREDITORS'!$C$262)</f>
        <v/>
      </c>
      <c r="C824">
        <f>'FINANCIAL CREDITORS'!$U$262</f>
        <v/>
      </c>
      <c r="D824">
        <f>'FINANCIAL CREDITORS'!$AB$262</f>
        <v/>
      </c>
      <c r="E824">
        <f>'FINANCIAL CREDITORS'!$AF$262</f>
        <v/>
      </c>
      <c r="F824">
        <f>IF('FINANCIAL CREDITORS'!$V$262="","",'FINANCIAL CREDITORS'!$V$262)</f>
        <v/>
      </c>
      <c r="G824">
        <f>IF('FINANCIAL CREDITORS'!$D$262="","",'FINANCIAL CREDITORS'!$D$262)</f>
        <v/>
      </c>
      <c r="H824">
        <f>IF('FINANCIAL CREDITORS'!$G$262="","",'FINANCIAL CREDITORS'!$G$262)</f>
        <v/>
      </c>
      <c r="I824">
        <f>IF('FINANCIAL CREDITORS'!$AY$262="","",'FINANCIAL CREDITORS'!$AY$262)</f>
        <v/>
      </c>
      <c r="J824">
        <f>IF('FINANCIAL CREDITORS'!$BC$262="","",'FINANCIAL CREDITORS'!$BC$262)</f>
        <v/>
      </c>
      <c r="K824">
        <f>IF('FINANCIAL CREDITORS'!$N$262="","",'FINANCIAL CREDITORS'!$N$262)</f>
        <v/>
      </c>
      <c r="L824">
        <f>IF('FINANCIAL CREDITORS'!$AH$262="","",'FINANCIAL CREDITORS'!$AH$262)</f>
        <v/>
      </c>
      <c r="M824">
        <f>IF('FINANCIAL CREDITORS'!$AO$262="","",'FINANCIAL CREDITORS'!$AO$262)</f>
        <v/>
      </c>
      <c r="N824">
        <f>IF('FINANCIAL CREDITORS'!$BF$262="","",'FINANCIAL CREDITORS'!$BF$262)</f>
        <v/>
      </c>
      <c r="O824" t="inlineStr">
        <is>
          <t>FINANCIAL</t>
        </is>
      </c>
      <c r="P824" t="inlineStr">
        <is>
          <t>FINANCIAL CREDITORS · row 262</t>
        </is>
      </c>
      <c r="Q824">
        <f>E824+ROW()*0.000000001</f>
        <v/>
      </c>
    </row>
    <row r="825">
      <c r="A825">
        <f>IF('FINANCIAL CREDITORS'!$A$263="","",'FINANCIAL CREDITORS'!$A$263)</f>
        <v/>
      </c>
      <c r="B825">
        <f>IF('FINANCIAL CREDITORS'!$C$263="","",'FINANCIAL CREDITORS'!$C$263)</f>
        <v/>
      </c>
      <c r="C825">
        <f>'FINANCIAL CREDITORS'!$U$263</f>
        <v/>
      </c>
      <c r="D825">
        <f>'FINANCIAL CREDITORS'!$AB$263</f>
        <v/>
      </c>
      <c r="E825">
        <f>'FINANCIAL CREDITORS'!$AF$263</f>
        <v/>
      </c>
      <c r="F825">
        <f>IF('FINANCIAL CREDITORS'!$V$263="","",'FINANCIAL CREDITORS'!$V$263)</f>
        <v/>
      </c>
      <c r="G825">
        <f>IF('FINANCIAL CREDITORS'!$D$263="","",'FINANCIAL CREDITORS'!$D$263)</f>
        <v/>
      </c>
      <c r="H825">
        <f>IF('FINANCIAL CREDITORS'!$G$263="","",'FINANCIAL CREDITORS'!$G$263)</f>
        <v/>
      </c>
      <c r="I825">
        <f>IF('FINANCIAL CREDITORS'!$AY$263="","",'FINANCIAL CREDITORS'!$AY$263)</f>
        <v/>
      </c>
      <c r="J825">
        <f>IF('FINANCIAL CREDITORS'!$BC$263="","",'FINANCIAL CREDITORS'!$BC$263)</f>
        <v/>
      </c>
      <c r="K825">
        <f>IF('FINANCIAL CREDITORS'!$N$263="","",'FINANCIAL CREDITORS'!$N$263)</f>
        <v/>
      </c>
      <c r="L825">
        <f>IF('FINANCIAL CREDITORS'!$AH$263="","",'FINANCIAL CREDITORS'!$AH$263)</f>
        <v/>
      </c>
      <c r="M825">
        <f>IF('FINANCIAL CREDITORS'!$AO$263="","",'FINANCIAL CREDITORS'!$AO$263)</f>
        <v/>
      </c>
      <c r="N825">
        <f>IF('FINANCIAL CREDITORS'!$BF$263="","",'FINANCIAL CREDITORS'!$BF$263)</f>
        <v/>
      </c>
      <c r="O825" t="inlineStr">
        <is>
          <t>FINANCIAL</t>
        </is>
      </c>
      <c r="P825" t="inlineStr">
        <is>
          <t>FINANCIAL CREDITORS · row 263</t>
        </is>
      </c>
      <c r="Q825">
        <f>E825+ROW()*0.000000001</f>
        <v/>
      </c>
    </row>
    <row r="826">
      <c r="A826">
        <f>IF('FINANCIAL CREDITORS'!$A$264="","",'FINANCIAL CREDITORS'!$A$264)</f>
        <v/>
      </c>
      <c r="B826">
        <f>IF('FINANCIAL CREDITORS'!$C$264="","",'FINANCIAL CREDITORS'!$C$264)</f>
        <v/>
      </c>
      <c r="C826">
        <f>'FINANCIAL CREDITORS'!$U$264</f>
        <v/>
      </c>
      <c r="D826">
        <f>'FINANCIAL CREDITORS'!$AB$264</f>
        <v/>
      </c>
      <c r="E826">
        <f>'FINANCIAL CREDITORS'!$AF$264</f>
        <v/>
      </c>
      <c r="F826">
        <f>IF('FINANCIAL CREDITORS'!$V$264="","",'FINANCIAL CREDITORS'!$V$264)</f>
        <v/>
      </c>
      <c r="G826">
        <f>IF('FINANCIAL CREDITORS'!$D$264="","",'FINANCIAL CREDITORS'!$D$264)</f>
        <v/>
      </c>
      <c r="H826">
        <f>IF('FINANCIAL CREDITORS'!$G$264="","",'FINANCIAL CREDITORS'!$G$264)</f>
        <v/>
      </c>
      <c r="I826">
        <f>IF('FINANCIAL CREDITORS'!$AY$264="","",'FINANCIAL CREDITORS'!$AY$264)</f>
        <v/>
      </c>
      <c r="J826">
        <f>IF('FINANCIAL CREDITORS'!$BC$264="","",'FINANCIAL CREDITORS'!$BC$264)</f>
        <v/>
      </c>
      <c r="K826">
        <f>IF('FINANCIAL CREDITORS'!$N$264="","",'FINANCIAL CREDITORS'!$N$264)</f>
        <v/>
      </c>
      <c r="L826">
        <f>IF('FINANCIAL CREDITORS'!$AH$264="","",'FINANCIAL CREDITORS'!$AH$264)</f>
        <v/>
      </c>
      <c r="M826">
        <f>IF('FINANCIAL CREDITORS'!$AO$264="","",'FINANCIAL CREDITORS'!$AO$264)</f>
        <v/>
      </c>
      <c r="N826">
        <f>IF('FINANCIAL CREDITORS'!$BF$264="","",'FINANCIAL CREDITORS'!$BF$264)</f>
        <v/>
      </c>
      <c r="O826" t="inlineStr">
        <is>
          <t>FINANCIAL</t>
        </is>
      </c>
      <c r="P826" t="inlineStr">
        <is>
          <t>FINANCIAL CREDITORS · row 264</t>
        </is>
      </c>
      <c r="Q826">
        <f>E826+ROW()*0.000000001</f>
        <v/>
      </c>
    </row>
    <row r="827">
      <c r="A827">
        <f>IF('FINANCIAL CREDITORS'!$A$265="","",'FINANCIAL CREDITORS'!$A$265)</f>
        <v/>
      </c>
      <c r="B827">
        <f>IF('FINANCIAL CREDITORS'!$C$265="","",'FINANCIAL CREDITORS'!$C$265)</f>
        <v/>
      </c>
      <c r="C827">
        <f>'FINANCIAL CREDITORS'!$U$265</f>
        <v/>
      </c>
      <c r="D827">
        <f>'FINANCIAL CREDITORS'!$AB$265</f>
        <v/>
      </c>
      <c r="E827">
        <f>'FINANCIAL CREDITORS'!$AF$265</f>
        <v/>
      </c>
      <c r="F827">
        <f>IF('FINANCIAL CREDITORS'!$V$265="","",'FINANCIAL CREDITORS'!$V$265)</f>
        <v/>
      </c>
      <c r="G827">
        <f>IF('FINANCIAL CREDITORS'!$D$265="","",'FINANCIAL CREDITORS'!$D$265)</f>
        <v/>
      </c>
      <c r="H827">
        <f>IF('FINANCIAL CREDITORS'!$G$265="","",'FINANCIAL CREDITORS'!$G$265)</f>
        <v/>
      </c>
      <c r="I827">
        <f>IF('FINANCIAL CREDITORS'!$AY$265="","",'FINANCIAL CREDITORS'!$AY$265)</f>
        <v/>
      </c>
      <c r="J827">
        <f>IF('FINANCIAL CREDITORS'!$BC$265="","",'FINANCIAL CREDITORS'!$BC$265)</f>
        <v/>
      </c>
      <c r="K827">
        <f>IF('FINANCIAL CREDITORS'!$N$265="","",'FINANCIAL CREDITORS'!$N$265)</f>
        <v/>
      </c>
      <c r="L827">
        <f>IF('FINANCIAL CREDITORS'!$AH$265="","",'FINANCIAL CREDITORS'!$AH$265)</f>
        <v/>
      </c>
      <c r="M827">
        <f>IF('FINANCIAL CREDITORS'!$AO$265="","",'FINANCIAL CREDITORS'!$AO$265)</f>
        <v/>
      </c>
      <c r="N827">
        <f>IF('FINANCIAL CREDITORS'!$BF$265="","",'FINANCIAL CREDITORS'!$BF$265)</f>
        <v/>
      </c>
      <c r="O827" t="inlineStr">
        <is>
          <t>FINANCIAL</t>
        </is>
      </c>
      <c r="P827" t="inlineStr">
        <is>
          <t>FINANCIAL CREDITORS · row 265</t>
        </is>
      </c>
      <c r="Q827">
        <f>E827+ROW()*0.000000001</f>
        <v/>
      </c>
    </row>
    <row r="828">
      <c r="A828">
        <f>IF('FINANCIAL CREDITORS'!$A$266="","",'FINANCIAL CREDITORS'!$A$266)</f>
        <v/>
      </c>
      <c r="B828">
        <f>IF('FINANCIAL CREDITORS'!$C$266="","",'FINANCIAL CREDITORS'!$C$266)</f>
        <v/>
      </c>
      <c r="C828">
        <f>'FINANCIAL CREDITORS'!$U$266</f>
        <v/>
      </c>
      <c r="D828">
        <f>'FINANCIAL CREDITORS'!$AB$266</f>
        <v/>
      </c>
      <c r="E828">
        <f>'FINANCIAL CREDITORS'!$AF$266</f>
        <v/>
      </c>
      <c r="F828">
        <f>IF('FINANCIAL CREDITORS'!$V$266="","",'FINANCIAL CREDITORS'!$V$266)</f>
        <v/>
      </c>
      <c r="G828">
        <f>IF('FINANCIAL CREDITORS'!$D$266="","",'FINANCIAL CREDITORS'!$D$266)</f>
        <v/>
      </c>
      <c r="H828">
        <f>IF('FINANCIAL CREDITORS'!$G$266="","",'FINANCIAL CREDITORS'!$G$266)</f>
        <v/>
      </c>
      <c r="I828">
        <f>IF('FINANCIAL CREDITORS'!$AY$266="","",'FINANCIAL CREDITORS'!$AY$266)</f>
        <v/>
      </c>
      <c r="J828">
        <f>IF('FINANCIAL CREDITORS'!$BC$266="","",'FINANCIAL CREDITORS'!$BC$266)</f>
        <v/>
      </c>
      <c r="K828">
        <f>IF('FINANCIAL CREDITORS'!$N$266="","",'FINANCIAL CREDITORS'!$N$266)</f>
        <v/>
      </c>
      <c r="L828">
        <f>IF('FINANCIAL CREDITORS'!$AH$266="","",'FINANCIAL CREDITORS'!$AH$266)</f>
        <v/>
      </c>
      <c r="M828">
        <f>IF('FINANCIAL CREDITORS'!$AO$266="","",'FINANCIAL CREDITORS'!$AO$266)</f>
        <v/>
      </c>
      <c r="N828">
        <f>IF('FINANCIAL CREDITORS'!$BF$266="","",'FINANCIAL CREDITORS'!$BF$266)</f>
        <v/>
      </c>
      <c r="O828" t="inlineStr">
        <is>
          <t>FINANCIAL</t>
        </is>
      </c>
      <c r="P828" t="inlineStr">
        <is>
          <t>FINANCIAL CREDITORS · row 266</t>
        </is>
      </c>
      <c r="Q828">
        <f>E828+ROW()*0.000000001</f>
        <v/>
      </c>
    </row>
    <row r="829">
      <c r="A829">
        <f>IF('FINANCIAL CREDITORS'!$A$267="","",'FINANCIAL CREDITORS'!$A$267)</f>
        <v/>
      </c>
      <c r="B829">
        <f>IF('FINANCIAL CREDITORS'!$C$267="","",'FINANCIAL CREDITORS'!$C$267)</f>
        <v/>
      </c>
      <c r="C829">
        <f>'FINANCIAL CREDITORS'!$U$267</f>
        <v/>
      </c>
      <c r="D829">
        <f>'FINANCIAL CREDITORS'!$AB$267</f>
        <v/>
      </c>
      <c r="E829">
        <f>'FINANCIAL CREDITORS'!$AF$267</f>
        <v/>
      </c>
      <c r="F829">
        <f>IF('FINANCIAL CREDITORS'!$V$267="","",'FINANCIAL CREDITORS'!$V$267)</f>
        <v/>
      </c>
      <c r="G829">
        <f>IF('FINANCIAL CREDITORS'!$D$267="","",'FINANCIAL CREDITORS'!$D$267)</f>
        <v/>
      </c>
      <c r="H829">
        <f>IF('FINANCIAL CREDITORS'!$G$267="","",'FINANCIAL CREDITORS'!$G$267)</f>
        <v/>
      </c>
      <c r="I829">
        <f>IF('FINANCIAL CREDITORS'!$AY$267="","",'FINANCIAL CREDITORS'!$AY$267)</f>
        <v/>
      </c>
      <c r="J829">
        <f>IF('FINANCIAL CREDITORS'!$BC$267="","",'FINANCIAL CREDITORS'!$BC$267)</f>
        <v/>
      </c>
      <c r="K829">
        <f>IF('FINANCIAL CREDITORS'!$N$267="","",'FINANCIAL CREDITORS'!$N$267)</f>
        <v/>
      </c>
      <c r="L829">
        <f>IF('FINANCIAL CREDITORS'!$AH$267="","",'FINANCIAL CREDITORS'!$AH$267)</f>
        <v/>
      </c>
      <c r="M829">
        <f>IF('FINANCIAL CREDITORS'!$AO$267="","",'FINANCIAL CREDITORS'!$AO$267)</f>
        <v/>
      </c>
      <c r="N829">
        <f>IF('FINANCIAL CREDITORS'!$BF$267="","",'FINANCIAL CREDITORS'!$BF$267)</f>
        <v/>
      </c>
      <c r="O829" t="inlineStr">
        <is>
          <t>FINANCIAL</t>
        </is>
      </c>
      <c r="P829" t="inlineStr">
        <is>
          <t>FINANCIAL CREDITORS · row 267</t>
        </is>
      </c>
      <c r="Q829">
        <f>E829+ROW()*0.000000001</f>
        <v/>
      </c>
    </row>
    <row r="830">
      <c r="A830">
        <f>IF('FINANCIAL CREDITORS'!$A$268="","",'FINANCIAL CREDITORS'!$A$268)</f>
        <v/>
      </c>
      <c r="B830">
        <f>IF('FINANCIAL CREDITORS'!$C$268="","",'FINANCIAL CREDITORS'!$C$268)</f>
        <v/>
      </c>
      <c r="C830">
        <f>'FINANCIAL CREDITORS'!$U$268</f>
        <v/>
      </c>
      <c r="D830">
        <f>'FINANCIAL CREDITORS'!$AB$268</f>
        <v/>
      </c>
      <c r="E830">
        <f>'FINANCIAL CREDITORS'!$AF$268</f>
        <v/>
      </c>
      <c r="F830">
        <f>IF('FINANCIAL CREDITORS'!$V$268="","",'FINANCIAL CREDITORS'!$V$268)</f>
        <v/>
      </c>
      <c r="G830">
        <f>IF('FINANCIAL CREDITORS'!$D$268="","",'FINANCIAL CREDITORS'!$D$268)</f>
        <v/>
      </c>
      <c r="H830">
        <f>IF('FINANCIAL CREDITORS'!$G$268="","",'FINANCIAL CREDITORS'!$G$268)</f>
        <v/>
      </c>
      <c r="I830">
        <f>IF('FINANCIAL CREDITORS'!$AY$268="","",'FINANCIAL CREDITORS'!$AY$268)</f>
        <v/>
      </c>
      <c r="J830">
        <f>IF('FINANCIAL CREDITORS'!$BC$268="","",'FINANCIAL CREDITORS'!$BC$268)</f>
        <v/>
      </c>
      <c r="K830">
        <f>IF('FINANCIAL CREDITORS'!$N$268="","",'FINANCIAL CREDITORS'!$N$268)</f>
        <v/>
      </c>
      <c r="L830">
        <f>IF('FINANCIAL CREDITORS'!$AH$268="","",'FINANCIAL CREDITORS'!$AH$268)</f>
        <v/>
      </c>
      <c r="M830">
        <f>IF('FINANCIAL CREDITORS'!$AO$268="","",'FINANCIAL CREDITORS'!$AO$268)</f>
        <v/>
      </c>
      <c r="N830">
        <f>IF('FINANCIAL CREDITORS'!$BF$268="","",'FINANCIAL CREDITORS'!$BF$268)</f>
        <v/>
      </c>
      <c r="O830" t="inlineStr">
        <is>
          <t>FINANCIAL</t>
        </is>
      </c>
      <c r="P830" t="inlineStr">
        <is>
          <t>FINANCIAL CREDITORS · row 268</t>
        </is>
      </c>
      <c r="Q830">
        <f>E830+ROW()*0.000000001</f>
        <v/>
      </c>
    </row>
    <row r="831">
      <c r="A831">
        <f>IF('FINANCIAL CREDITORS'!$A$269="","",'FINANCIAL CREDITORS'!$A$269)</f>
        <v/>
      </c>
      <c r="B831">
        <f>IF('FINANCIAL CREDITORS'!$C$269="","",'FINANCIAL CREDITORS'!$C$269)</f>
        <v/>
      </c>
      <c r="C831">
        <f>'FINANCIAL CREDITORS'!$U$269</f>
        <v/>
      </c>
      <c r="D831">
        <f>'FINANCIAL CREDITORS'!$AB$269</f>
        <v/>
      </c>
      <c r="E831">
        <f>'FINANCIAL CREDITORS'!$AF$269</f>
        <v/>
      </c>
      <c r="F831">
        <f>IF('FINANCIAL CREDITORS'!$V$269="","",'FINANCIAL CREDITORS'!$V$269)</f>
        <v/>
      </c>
      <c r="G831">
        <f>IF('FINANCIAL CREDITORS'!$D$269="","",'FINANCIAL CREDITORS'!$D$269)</f>
        <v/>
      </c>
      <c r="H831">
        <f>IF('FINANCIAL CREDITORS'!$G$269="","",'FINANCIAL CREDITORS'!$G$269)</f>
        <v/>
      </c>
      <c r="I831">
        <f>IF('FINANCIAL CREDITORS'!$AY$269="","",'FINANCIAL CREDITORS'!$AY$269)</f>
        <v/>
      </c>
      <c r="J831">
        <f>IF('FINANCIAL CREDITORS'!$BC$269="","",'FINANCIAL CREDITORS'!$BC$269)</f>
        <v/>
      </c>
      <c r="K831">
        <f>IF('FINANCIAL CREDITORS'!$N$269="","",'FINANCIAL CREDITORS'!$N$269)</f>
        <v/>
      </c>
      <c r="L831">
        <f>IF('FINANCIAL CREDITORS'!$AH$269="","",'FINANCIAL CREDITORS'!$AH$269)</f>
        <v/>
      </c>
      <c r="M831">
        <f>IF('FINANCIAL CREDITORS'!$AO$269="","",'FINANCIAL CREDITORS'!$AO$269)</f>
        <v/>
      </c>
      <c r="N831">
        <f>IF('FINANCIAL CREDITORS'!$BF$269="","",'FINANCIAL CREDITORS'!$BF$269)</f>
        <v/>
      </c>
      <c r="O831" t="inlineStr">
        <is>
          <t>FINANCIAL</t>
        </is>
      </c>
      <c r="P831" t="inlineStr">
        <is>
          <t>FINANCIAL CREDITORS · row 269</t>
        </is>
      </c>
      <c r="Q831">
        <f>E831+ROW()*0.000000001</f>
        <v/>
      </c>
    </row>
    <row r="832">
      <c r="A832">
        <f>IF('FINANCIAL CREDITORS'!$A$270="","",'FINANCIAL CREDITORS'!$A$270)</f>
        <v/>
      </c>
      <c r="B832">
        <f>IF('FINANCIAL CREDITORS'!$C$270="","",'FINANCIAL CREDITORS'!$C$270)</f>
        <v/>
      </c>
      <c r="C832">
        <f>'FINANCIAL CREDITORS'!$U$270</f>
        <v/>
      </c>
      <c r="D832">
        <f>'FINANCIAL CREDITORS'!$AB$270</f>
        <v/>
      </c>
      <c r="E832">
        <f>'FINANCIAL CREDITORS'!$AF$270</f>
        <v/>
      </c>
      <c r="F832">
        <f>IF('FINANCIAL CREDITORS'!$V$270="","",'FINANCIAL CREDITORS'!$V$270)</f>
        <v/>
      </c>
      <c r="G832">
        <f>IF('FINANCIAL CREDITORS'!$D$270="","",'FINANCIAL CREDITORS'!$D$270)</f>
        <v/>
      </c>
      <c r="H832">
        <f>IF('FINANCIAL CREDITORS'!$G$270="","",'FINANCIAL CREDITORS'!$G$270)</f>
        <v/>
      </c>
      <c r="I832">
        <f>IF('FINANCIAL CREDITORS'!$AY$270="","",'FINANCIAL CREDITORS'!$AY$270)</f>
        <v/>
      </c>
      <c r="J832">
        <f>IF('FINANCIAL CREDITORS'!$BC$270="","",'FINANCIAL CREDITORS'!$BC$270)</f>
        <v/>
      </c>
      <c r="K832">
        <f>IF('FINANCIAL CREDITORS'!$N$270="","",'FINANCIAL CREDITORS'!$N$270)</f>
        <v/>
      </c>
      <c r="L832">
        <f>IF('FINANCIAL CREDITORS'!$AH$270="","",'FINANCIAL CREDITORS'!$AH$270)</f>
        <v/>
      </c>
      <c r="M832">
        <f>IF('FINANCIAL CREDITORS'!$AO$270="","",'FINANCIAL CREDITORS'!$AO$270)</f>
        <v/>
      </c>
      <c r="N832">
        <f>IF('FINANCIAL CREDITORS'!$BF$270="","",'FINANCIAL CREDITORS'!$BF$270)</f>
        <v/>
      </c>
      <c r="O832" t="inlineStr">
        <is>
          <t>FINANCIAL</t>
        </is>
      </c>
      <c r="P832" t="inlineStr">
        <is>
          <t>FINANCIAL CREDITORS · row 270</t>
        </is>
      </c>
      <c r="Q832">
        <f>E832+ROW()*0.000000001</f>
        <v/>
      </c>
    </row>
    <row r="833">
      <c r="A833">
        <f>IF('FINANCIAL CREDITORS'!$A$271="","",'FINANCIAL CREDITORS'!$A$271)</f>
        <v/>
      </c>
      <c r="B833">
        <f>IF('FINANCIAL CREDITORS'!$C$271="","",'FINANCIAL CREDITORS'!$C$271)</f>
        <v/>
      </c>
      <c r="C833">
        <f>'FINANCIAL CREDITORS'!$U$271</f>
        <v/>
      </c>
      <c r="D833">
        <f>'FINANCIAL CREDITORS'!$AB$271</f>
        <v/>
      </c>
      <c r="E833">
        <f>'FINANCIAL CREDITORS'!$AF$271</f>
        <v/>
      </c>
      <c r="F833">
        <f>IF('FINANCIAL CREDITORS'!$V$271="","",'FINANCIAL CREDITORS'!$V$271)</f>
        <v/>
      </c>
      <c r="G833">
        <f>IF('FINANCIAL CREDITORS'!$D$271="","",'FINANCIAL CREDITORS'!$D$271)</f>
        <v/>
      </c>
      <c r="H833">
        <f>IF('FINANCIAL CREDITORS'!$G$271="","",'FINANCIAL CREDITORS'!$G$271)</f>
        <v/>
      </c>
      <c r="I833">
        <f>IF('FINANCIAL CREDITORS'!$AY$271="","",'FINANCIAL CREDITORS'!$AY$271)</f>
        <v/>
      </c>
      <c r="J833">
        <f>IF('FINANCIAL CREDITORS'!$BC$271="","",'FINANCIAL CREDITORS'!$BC$271)</f>
        <v/>
      </c>
      <c r="K833">
        <f>IF('FINANCIAL CREDITORS'!$N$271="","",'FINANCIAL CREDITORS'!$N$271)</f>
        <v/>
      </c>
      <c r="L833">
        <f>IF('FINANCIAL CREDITORS'!$AH$271="","",'FINANCIAL CREDITORS'!$AH$271)</f>
        <v/>
      </c>
      <c r="M833">
        <f>IF('FINANCIAL CREDITORS'!$AO$271="","",'FINANCIAL CREDITORS'!$AO$271)</f>
        <v/>
      </c>
      <c r="N833">
        <f>IF('FINANCIAL CREDITORS'!$BF$271="","",'FINANCIAL CREDITORS'!$BF$271)</f>
        <v/>
      </c>
      <c r="O833" t="inlineStr">
        <is>
          <t>FINANCIAL</t>
        </is>
      </c>
      <c r="P833" t="inlineStr">
        <is>
          <t>FINANCIAL CREDITORS · row 271</t>
        </is>
      </c>
      <c r="Q833">
        <f>E833+ROW()*0.000000001</f>
        <v/>
      </c>
    </row>
    <row r="834">
      <c r="A834">
        <f>IF('FINANCIAL CREDITORS'!$A$272="","",'FINANCIAL CREDITORS'!$A$272)</f>
        <v/>
      </c>
      <c r="B834">
        <f>IF('FINANCIAL CREDITORS'!$C$272="","",'FINANCIAL CREDITORS'!$C$272)</f>
        <v/>
      </c>
      <c r="C834">
        <f>'FINANCIAL CREDITORS'!$U$272</f>
        <v/>
      </c>
      <c r="D834">
        <f>'FINANCIAL CREDITORS'!$AB$272</f>
        <v/>
      </c>
      <c r="E834">
        <f>'FINANCIAL CREDITORS'!$AF$272</f>
        <v/>
      </c>
      <c r="F834">
        <f>IF('FINANCIAL CREDITORS'!$V$272="","",'FINANCIAL CREDITORS'!$V$272)</f>
        <v/>
      </c>
      <c r="G834">
        <f>IF('FINANCIAL CREDITORS'!$D$272="","",'FINANCIAL CREDITORS'!$D$272)</f>
        <v/>
      </c>
      <c r="H834">
        <f>IF('FINANCIAL CREDITORS'!$G$272="","",'FINANCIAL CREDITORS'!$G$272)</f>
        <v/>
      </c>
      <c r="I834">
        <f>IF('FINANCIAL CREDITORS'!$AY$272="","",'FINANCIAL CREDITORS'!$AY$272)</f>
        <v/>
      </c>
      <c r="J834">
        <f>IF('FINANCIAL CREDITORS'!$BC$272="","",'FINANCIAL CREDITORS'!$BC$272)</f>
        <v/>
      </c>
      <c r="K834">
        <f>IF('FINANCIAL CREDITORS'!$N$272="","",'FINANCIAL CREDITORS'!$N$272)</f>
        <v/>
      </c>
      <c r="L834">
        <f>IF('FINANCIAL CREDITORS'!$AH$272="","",'FINANCIAL CREDITORS'!$AH$272)</f>
        <v/>
      </c>
      <c r="M834">
        <f>IF('FINANCIAL CREDITORS'!$AO$272="","",'FINANCIAL CREDITORS'!$AO$272)</f>
        <v/>
      </c>
      <c r="N834">
        <f>IF('FINANCIAL CREDITORS'!$BF$272="","",'FINANCIAL CREDITORS'!$BF$272)</f>
        <v/>
      </c>
      <c r="O834" t="inlineStr">
        <is>
          <t>FINANCIAL</t>
        </is>
      </c>
      <c r="P834" t="inlineStr">
        <is>
          <t>FINANCIAL CREDITORS · row 272</t>
        </is>
      </c>
      <c r="Q834">
        <f>E834+ROW()*0.000000001</f>
        <v/>
      </c>
    </row>
    <row r="835">
      <c r="A835">
        <f>IF('FINANCIAL CREDITORS'!$A$273="","",'FINANCIAL CREDITORS'!$A$273)</f>
        <v/>
      </c>
      <c r="B835">
        <f>IF('FINANCIAL CREDITORS'!$C$273="","",'FINANCIAL CREDITORS'!$C$273)</f>
        <v/>
      </c>
      <c r="C835">
        <f>'FINANCIAL CREDITORS'!$U$273</f>
        <v/>
      </c>
      <c r="D835">
        <f>'FINANCIAL CREDITORS'!$AB$273</f>
        <v/>
      </c>
      <c r="E835">
        <f>'FINANCIAL CREDITORS'!$AF$273</f>
        <v/>
      </c>
      <c r="F835">
        <f>IF('FINANCIAL CREDITORS'!$V$273="","",'FINANCIAL CREDITORS'!$V$273)</f>
        <v/>
      </c>
      <c r="G835">
        <f>IF('FINANCIAL CREDITORS'!$D$273="","",'FINANCIAL CREDITORS'!$D$273)</f>
        <v/>
      </c>
      <c r="H835">
        <f>IF('FINANCIAL CREDITORS'!$G$273="","",'FINANCIAL CREDITORS'!$G$273)</f>
        <v/>
      </c>
      <c r="I835">
        <f>IF('FINANCIAL CREDITORS'!$AY$273="","",'FINANCIAL CREDITORS'!$AY$273)</f>
        <v/>
      </c>
      <c r="J835">
        <f>IF('FINANCIAL CREDITORS'!$BC$273="","",'FINANCIAL CREDITORS'!$BC$273)</f>
        <v/>
      </c>
      <c r="K835">
        <f>IF('FINANCIAL CREDITORS'!$N$273="","",'FINANCIAL CREDITORS'!$N$273)</f>
        <v/>
      </c>
      <c r="L835">
        <f>IF('FINANCIAL CREDITORS'!$AH$273="","",'FINANCIAL CREDITORS'!$AH$273)</f>
        <v/>
      </c>
      <c r="M835">
        <f>IF('FINANCIAL CREDITORS'!$AO$273="","",'FINANCIAL CREDITORS'!$AO$273)</f>
        <v/>
      </c>
      <c r="N835">
        <f>IF('FINANCIAL CREDITORS'!$BF$273="","",'FINANCIAL CREDITORS'!$BF$273)</f>
        <v/>
      </c>
      <c r="O835" t="inlineStr">
        <is>
          <t>FINANCIAL</t>
        </is>
      </c>
      <c r="P835" t="inlineStr">
        <is>
          <t>FINANCIAL CREDITORS · row 273</t>
        </is>
      </c>
      <c r="Q835">
        <f>E835+ROW()*0.000000001</f>
        <v/>
      </c>
    </row>
    <row r="836">
      <c r="A836">
        <f>IF('FINANCIAL CREDITORS'!$A$274="","",'FINANCIAL CREDITORS'!$A$274)</f>
        <v/>
      </c>
      <c r="B836">
        <f>IF('FINANCIAL CREDITORS'!$C$274="","",'FINANCIAL CREDITORS'!$C$274)</f>
        <v/>
      </c>
      <c r="C836">
        <f>'FINANCIAL CREDITORS'!$U$274</f>
        <v/>
      </c>
      <c r="D836">
        <f>'FINANCIAL CREDITORS'!$AB$274</f>
        <v/>
      </c>
      <c r="E836">
        <f>'FINANCIAL CREDITORS'!$AF$274</f>
        <v/>
      </c>
      <c r="F836">
        <f>IF('FINANCIAL CREDITORS'!$V$274="","",'FINANCIAL CREDITORS'!$V$274)</f>
        <v/>
      </c>
      <c r="G836">
        <f>IF('FINANCIAL CREDITORS'!$D$274="","",'FINANCIAL CREDITORS'!$D$274)</f>
        <v/>
      </c>
      <c r="H836">
        <f>IF('FINANCIAL CREDITORS'!$G$274="","",'FINANCIAL CREDITORS'!$G$274)</f>
        <v/>
      </c>
      <c r="I836">
        <f>IF('FINANCIAL CREDITORS'!$AY$274="","",'FINANCIAL CREDITORS'!$AY$274)</f>
        <v/>
      </c>
      <c r="J836">
        <f>IF('FINANCIAL CREDITORS'!$BC$274="","",'FINANCIAL CREDITORS'!$BC$274)</f>
        <v/>
      </c>
      <c r="K836">
        <f>IF('FINANCIAL CREDITORS'!$N$274="","",'FINANCIAL CREDITORS'!$N$274)</f>
        <v/>
      </c>
      <c r="L836">
        <f>IF('FINANCIAL CREDITORS'!$AH$274="","",'FINANCIAL CREDITORS'!$AH$274)</f>
        <v/>
      </c>
      <c r="M836">
        <f>IF('FINANCIAL CREDITORS'!$AO$274="","",'FINANCIAL CREDITORS'!$AO$274)</f>
        <v/>
      </c>
      <c r="N836">
        <f>IF('FINANCIAL CREDITORS'!$BF$274="","",'FINANCIAL CREDITORS'!$BF$274)</f>
        <v/>
      </c>
      <c r="O836" t="inlineStr">
        <is>
          <t>FINANCIAL</t>
        </is>
      </c>
      <c r="P836" t="inlineStr">
        <is>
          <t>FINANCIAL CREDITORS · row 274</t>
        </is>
      </c>
      <c r="Q836">
        <f>E836+ROW()*0.000000001</f>
        <v/>
      </c>
    </row>
    <row r="837">
      <c r="A837">
        <f>IF('FINANCIAL CREDITORS'!$A$275="","",'FINANCIAL CREDITORS'!$A$275)</f>
        <v/>
      </c>
      <c r="B837">
        <f>IF('FINANCIAL CREDITORS'!$C$275="","",'FINANCIAL CREDITORS'!$C$275)</f>
        <v/>
      </c>
      <c r="C837">
        <f>'FINANCIAL CREDITORS'!$U$275</f>
        <v/>
      </c>
      <c r="D837">
        <f>'FINANCIAL CREDITORS'!$AB$275</f>
        <v/>
      </c>
      <c r="E837">
        <f>'FINANCIAL CREDITORS'!$AF$275</f>
        <v/>
      </c>
      <c r="F837">
        <f>IF('FINANCIAL CREDITORS'!$V$275="","",'FINANCIAL CREDITORS'!$V$275)</f>
        <v/>
      </c>
      <c r="G837">
        <f>IF('FINANCIAL CREDITORS'!$D$275="","",'FINANCIAL CREDITORS'!$D$275)</f>
        <v/>
      </c>
      <c r="H837">
        <f>IF('FINANCIAL CREDITORS'!$G$275="","",'FINANCIAL CREDITORS'!$G$275)</f>
        <v/>
      </c>
      <c r="I837">
        <f>IF('FINANCIAL CREDITORS'!$AY$275="","",'FINANCIAL CREDITORS'!$AY$275)</f>
        <v/>
      </c>
      <c r="J837">
        <f>IF('FINANCIAL CREDITORS'!$BC$275="","",'FINANCIAL CREDITORS'!$BC$275)</f>
        <v/>
      </c>
      <c r="K837">
        <f>IF('FINANCIAL CREDITORS'!$N$275="","",'FINANCIAL CREDITORS'!$N$275)</f>
        <v/>
      </c>
      <c r="L837">
        <f>IF('FINANCIAL CREDITORS'!$AH$275="","",'FINANCIAL CREDITORS'!$AH$275)</f>
        <v/>
      </c>
      <c r="M837">
        <f>IF('FINANCIAL CREDITORS'!$AO$275="","",'FINANCIAL CREDITORS'!$AO$275)</f>
        <v/>
      </c>
      <c r="N837">
        <f>IF('FINANCIAL CREDITORS'!$BF$275="","",'FINANCIAL CREDITORS'!$BF$275)</f>
        <v/>
      </c>
      <c r="O837" t="inlineStr">
        <is>
          <t>FINANCIAL</t>
        </is>
      </c>
      <c r="P837" t="inlineStr">
        <is>
          <t>FINANCIAL CREDITORS · row 275</t>
        </is>
      </c>
      <c r="Q837">
        <f>E837+ROW()*0.000000001</f>
        <v/>
      </c>
    </row>
    <row r="838">
      <c r="A838">
        <f>IF('FINANCIAL CREDITORS'!$A$276="","",'FINANCIAL CREDITORS'!$A$276)</f>
        <v/>
      </c>
      <c r="B838">
        <f>IF('FINANCIAL CREDITORS'!$C$276="","",'FINANCIAL CREDITORS'!$C$276)</f>
        <v/>
      </c>
      <c r="C838">
        <f>'FINANCIAL CREDITORS'!$U$276</f>
        <v/>
      </c>
      <c r="D838">
        <f>'FINANCIAL CREDITORS'!$AB$276</f>
        <v/>
      </c>
      <c r="E838">
        <f>'FINANCIAL CREDITORS'!$AF$276</f>
        <v/>
      </c>
      <c r="F838">
        <f>IF('FINANCIAL CREDITORS'!$V$276="","",'FINANCIAL CREDITORS'!$V$276)</f>
        <v/>
      </c>
      <c r="G838">
        <f>IF('FINANCIAL CREDITORS'!$D$276="","",'FINANCIAL CREDITORS'!$D$276)</f>
        <v/>
      </c>
      <c r="H838">
        <f>IF('FINANCIAL CREDITORS'!$G$276="","",'FINANCIAL CREDITORS'!$G$276)</f>
        <v/>
      </c>
      <c r="I838">
        <f>IF('FINANCIAL CREDITORS'!$AY$276="","",'FINANCIAL CREDITORS'!$AY$276)</f>
        <v/>
      </c>
      <c r="J838">
        <f>IF('FINANCIAL CREDITORS'!$BC$276="","",'FINANCIAL CREDITORS'!$BC$276)</f>
        <v/>
      </c>
      <c r="K838">
        <f>IF('FINANCIAL CREDITORS'!$N$276="","",'FINANCIAL CREDITORS'!$N$276)</f>
        <v/>
      </c>
      <c r="L838">
        <f>IF('FINANCIAL CREDITORS'!$AH$276="","",'FINANCIAL CREDITORS'!$AH$276)</f>
        <v/>
      </c>
      <c r="M838">
        <f>IF('FINANCIAL CREDITORS'!$AO$276="","",'FINANCIAL CREDITORS'!$AO$276)</f>
        <v/>
      </c>
      <c r="N838">
        <f>IF('FINANCIAL CREDITORS'!$BF$276="","",'FINANCIAL CREDITORS'!$BF$276)</f>
        <v/>
      </c>
      <c r="O838" t="inlineStr">
        <is>
          <t>FINANCIAL</t>
        </is>
      </c>
      <c r="P838" t="inlineStr">
        <is>
          <t>FINANCIAL CREDITORS · row 276</t>
        </is>
      </c>
      <c r="Q838">
        <f>E838+ROW()*0.000000001</f>
        <v/>
      </c>
    </row>
    <row r="839">
      <c r="A839">
        <f>IF('FINANCIAL CREDITORS'!$A$277="","",'FINANCIAL CREDITORS'!$A$277)</f>
        <v/>
      </c>
      <c r="B839">
        <f>IF('FINANCIAL CREDITORS'!$C$277="","",'FINANCIAL CREDITORS'!$C$277)</f>
        <v/>
      </c>
      <c r="C839">
        <f>'FINANCIAL CREDITORS'!$U$277</f>
        <v/>
      </c>
      <c r="D839">
        <f>'FINANCIAL CREDITORS'!$AB$277</f>
        <v/>
      </c>
      <c r="E839">
        <f>'FINANCIAL CREDITORS'!$AF$277</f>
        <v/>
      </c>
      <c r="F839">
        <f>IF('FINANCIAL CREDITORS'!$V$277="","",'FINANCIAL CREDITORS'!$V$277)</f>
        <v/>
      </c>
      <c r="G839">
        <f>IF('FINANCIAL CREDITORS'!$D$277="","",'FINANCIAL CREDITORS'!$D$277)</f>
        <v/>
      </c>
      <c r="H839">
        <f>IF('FINANCIAL CREDITORS'!$G$277="","",'FINANCIAL CREDITORS'!$G$277)</f>
        <v/>
      </c>
      <c r="I839">
        <f>IF('FINANCIAL CREDITORS'!$AY$277="","",'FINANCIAL CREDITORS'!$AY$277)</f>
        <v/>
      </c>
      <c r="J839">
        <f>IF('FINANCIAL CREDITORS'!$BC$277="","",'FINANCIAL CREDITORS'!$BC$277)</f>
        <v/>
      </c>
      <c r="K839">
        <f>IF('FINANCIAL CREDITORS'!$N$277="","",'FINANCIAL CREDITORS'!$N$277)</f>
        <v/>
      </c>
      <c r="L839">
        <f>IF('FINANCIAL CREDITORS'!$AH$277="","",'FINANCIAL CREDITORS'!$AH$277)</f>
        <v/>
      </c>
      <c r="M839">
        <f>IF('FINANCIAL CREDITORS'!$AO$277="","",'FINANCIAL CREDITORS'!$AO$277)</f>
        <v/>
      </c>
      <c r="N839">
        <f>IF('FINANCIAL CREDITORS'!$BF$277="","",'FINANCIAL CREDITORS'!$BF$277)</f>
        <v/>
      </c>
      <c r="O839" t="inlineStr">
        <is>
          <t>FINANCIAL</t>
        </is>
      </c>
      <c r="P839" t="inlineStr">
        <is>
          <t>FINANCIAL CREDITORS · row 277</t>
        </is>
      </c>
      <c r="Q839">
        <f>E839+ROW()*0.000000001</f>
        <v/>
      </c>
    </row>
    <row r="840">
      <c r="A840">
        <f>IF('FINANCIAL CREDITORS'!$A$278="","",'FINANCIAL CREDITORS'!$A$278)</f>
        <v/>
      </c>
      <c r="B840">
        <f>IF('FINANCIAL CREDITORS'!$C$278="","",'FINANCIAL CREDITORS'!$C$278)</f>
        <v/>
      </c>
      <c r="C840">
        <f>'FINANCIAL CREDITORS'!$U$278</f>
        <v/>
      </c>
      <c r="D840">
        <f>'FINANCIAL CREDITORS'!$AB$278</f>
        <v/>
      </c>
      <c r="E840">
        <f>'FINANCIAL CREDITORS'!$AF$278</f>
        <v/>
      </c>
      <c r="F840">
        <f>IF('FINANCIAL CREDITORS'!$V$278="","",'FINANCIAL CREDITORS'!$V$278)</f>
        <v/>
      </c>
      <c r="G840">
        <f>IF('FINANCIAL CREDITORS'!$D$278="","",'FINANCIAL CREDITORS'!$D$278)</f>
        <v/>
      </c>
      <c r="H840">
        <f>IF('FINANCIAL CREDITORS'!$G$278="","",'FINANCIAL CREDITORS'!$G$278)</f>
        <v/>
      </c>
      <c r="I840">
        <f>IF('FINANCIAL CREDITORS'!$AY$278="","",'FINANCIAL CREDITORS'!$AY$278)</f>
        <v/>
      </c>
      <c r="J840">
        <f>IF('FINANCIAL CREDITORS'!$BC$278="","",'FINANCIAL CREDITORS'!$BC$278)</f>
        <v/>
      </c>
      <c r="K840">
        <f>IF('FINANCIAL CREDITORS'!$N$278="","",'FINANCIAL CREDITORS'!$N$278)</f>
        <v/>
      </c>
      <c r="L840">
        <f>IF('FINANCIAL CREDITORS'!$AH$278="","",'FINANCIAL CREDITORS'!$AH$278)</f>
        <v/>
      </c>
      <c r="M840">
        <f>IF('FINANCIAL CREDITORS'!$AO$278="","",'FINANCIAL CREDITORS'!$AO$278)</f>
        <v/>
      </c>
      <c r="N840">
        <f>IF('FINANCIAL CREDITORS'!$BF$278="","",'FINANCIAL CREDITORS'!$BF$278)</f>
        <v/>
      </c>
      <c r="O840" t="inlineStr">
        <is>
          <t>FINANCIAL</t>
        </is>
      </c>
      <c r="P840" t="inlineStr">
        <is>
          <t>FINANCIAL CREDITORS · row 278</t>
        </is>
      </c>
      <c r="Q840">
        <f>E840+ROW()*0.000000001</f>
        <v/>
      </c>
    </row>
    <row r="841">
      <c r="A841">
        <f>IF('FINANCIAL CREDITORS'!$A$279="","",'FINANCIAL CREDITORS'!$A$279)</f>
        <v/>
      </c>
      <c r="B841">
        <f>IF('FINANCIAL CREDITORS'!$C$279="","",'FINANCIAL CREDITORS'!$C$279)</f>
        <v/>
      </c>
      <c r="C841">
        <f>'FINANCIAL CREDITORS'!$U$279</f>
        <v/>
      </c>
      <c r="D841">
        <f>'FINANCIAL CREDITORS'!$AB$279</f>
        <v/>
      </c>
      <c r="E841">
        <f>'FINANCIAL CREDITORS'!$AF$279</f>
        <v/>
      </c>
      <c r="F841">
        <f>IF('FINANCIAL CREDITORS'!$V$279="","",'FINANCIAL CREDITORS'!$V$279)</f>
        <v/>
      </c>
      <c r="G841">
        <f>IF('FINANCIAL CREDITORS'!$D$279="","",'FINANCIAL CREDITORS'!$D$279)</f>
        <v/>
      </c>
      <c r="H841">
        <f>IF('FINANCIAL CREDITORS'!$G$279="","",'FINANCIAL CREDITORS'!$G$279)</f>
        <v/>
      </c>
      <c r="I841">
        <f>IF('FINANCIAL CREDITORS'!$AY$279="","",'FINANCIAL CREDITORS'!$AY$279)</f>
        <v/>
      </c>
      <c r="J841">
        <f>IF('FINANCIAL CREDITORS'!$BC$279="","",'FINANCIAL CREDITORS'!$BC$279)</f>
        <v/>
      </c>
      <c r="K841">
        <f>IF('FINANCIAL CREDITORS'!$N$279="","",'FINANCIAL CREDITORS'!$N$279)</f>
        <v/>
      </c>
      <c r="L841">
        <f>IF('FINANCIAL CREDITORS'!$AH$279="","",'FINANCIAL CREDITORS'!$AH$279)</f>
        <v/>
      </c>
      <c r="M841">
        <f>IF('FINANCIAL CREDITORS'!$AO$279="","",'FINANCIAL CREDITORS'!$AO$279)</f>
        <v/>
      </c>
      <c r="N841">
        <f>IF('FINANCIAL CREDITORS'!$BF$279="","",'FINANCIAL CREDITORS'!$BF$279)</f>
        <v/>
      </c>
      <c r="O841" t="inlineStr">
        <is>
          <t>FINANCIAL</t>
        </is>
      </c>
      <c r="P841" t="inlineStr">
        <is>
          <t>FINANCIAL CREDITORS · row 279</t>
        </is>
      </c>
      <c r="Q841">
        <f>E841+ROW()*0.000000001</f>
        <v/>
      </c>
    </row>
    <row r="842">
      <c r="A842">
        <f>IF('FINANCIAL CREDITORS'!$A$280="","",'FINANCIAL CREDITORS'!$A$280)</f>
        <v/>
      </c>
      <c r="B842">
        <f>IF('FINANCIAL CREDITORS'!$C$280="","",'FINANCIAL CREDITORS'!$C$280)</f>
        <v/>
      </c>
      <c r="C842">
        <f>'FINANCIAL CREDITORS'!$U$280</f>
        <v/>
      </c>
      <c r="D842">
        <f>'FINANCIAL CREDITORS'!$AB$280</f>
        <v/>
      </c>
      <c r="E842">
        <f>'FINANCIAL CREDITORS'!$AF$280</f>
        <v/>
      </c>
      <c r="F842">
        <f>IF('FINANCIAL CREDITORS'!$V$280="","",'FINANCIAL CREDITORS'!$V$280)</f>
        <v/>
      </c>
      <c r="G842">
        <f>IF('FINANCIAL CREDITORS'!$D$280="","",'FINANCIAL CREDITORS'!$D$280)</f>
        <v/>
      </c>
      <c r="H842">
        <f>IF('FINANCIAL CREDITORS'!$G$280="","",'FINANCIAL CREDITORS'!$G$280)</f>
        <v/>
      </c>
      <c r="I842">
        <f>IF('FINANCIAL CREDITORS'!$AY$280="","",'FINANCIAL CREDITORS'!$AY$280)</f>
        <v/>
      </c>
      <c r="J842">
        <f>IF('FINANCIAL CREDITORS'!$BC$280="","",'FINANCIAL CREDITORS'!$BC$280)</f>
        <v/>
      </c>
      <c r="K842">
        <f>IF('FINANCIAL CREDITORS'!$N$280="","",'FINANCIAL CREDITORS'!$N$280)</f>
        <v/>
      </c>
      <c r="L842">
        <f>IF('FINANCIAL CREDITORS'!$AH$280="","",'FINANCIAL CREDITORS'!$AH$280)</f>
        <v/>
      </c>
      <c r="M842">
        <f>IF('FINANCIAL CREDITORS'!$AO$280="","",'FINANCIAL CREDITORS'!$AO$280)</f>
        <v/>
      </c>
      <c r="N842">
        <f>IF('FINANCIAL CREDITORS'!$BF$280="","",'FINANCIAL CREDITORS'!$BF$280)</f>
        <v/>
      </c>
      <c r="O842" t="inlineStr">
        <is>
          <t>FINANCIAL</t>
        </is>
      </c>
      <c r="P842" t="inlineStr">
        <is>
          <t>FINANCIAL CREDITORS · row 280</t>
        </is>
      </c>
      <c r="Q842">
        <f>E842+ROW()*0.000000001</f>
        <v/>
      </c>
    </row>
    <row r="843">
      <c r="A843">
        <f>IF('FINANCIAL CREDITORS'!$A$281="","",'FINANCIAL CREDITORS'!$A$281)</f>
        <v/>
      </c>
      <c r="B843">
        <f>IF('FINANCIAL CREDITORS'!$C$281="","",'FINANCIAL CREDITORS'!$C$281)</f>
        <v/>
      </c>
      <c r="C843">
        <f>'FINANCIAL CREDITORS'!$U$281</f>
        <v/>
      </c>
      <c r="D843">
        <f>'FINANCIAL CREDITORS'!$AB$281</f>
        <v/>
      </c>
      <c r="E843">
        <f>'FINANCIAL CREDITORS'!$AF$281</f>
        <v/>
      </c>
      <c r="F843">
        <f>IF('FINANCIAL CREDITORS'!$V$281="","",'FINANCIAL CREDITORS'!$V$281)</f>
        <v/>
      </c>
      <c r="G843">
        <f>IF('FINANCIAL CREDITORS'!$D$281="","",'FINANCIAL CREDITORS'!$D$281)</f>
        <v/>
      </c>
      <c r="H843">
        <f>IF('FINANCIAL CREDITORS'!$G$281="","",'FINANCIAL CREDITORS'!$G$281)</f>
        <v/>
      </c>
      <c r="I843">
        <f>IF('FINANCIAL CREDITORS'!$AY$281="","",'FINANCIAL CREDITORS'!$AY$281)</f>
        <v/>
      </c>
      <c r="J843">
        <f>IF('FINANCIAL CREDITORS'!$BC$281="","",'FINANCIAL CREDITORS'!$BC$281)</f>
        <v/>
      </c>
      <c r="K843">
        <f>IF('FINANCIAL CREDITORS'!$N$281="","",'FINANCIAL CREDITORS'!$N$281)</f>
        <v/>
      </c>
      <c r="L843">
        <f>IF('FINANCIAL CREDITORS'!$AH$281="","",'FINANCIAL CREDITORS'!$AH$281)</f>
        <v/>
      </c>
      <c r="M843">
        <f>IF('FINANCIAL CREDITORS'!$AO$281="","",'FINANCIAL CREDITORS'!$AO$281)</f>
        <v/>
      </c>
      <c r="N843">
        <f>IF('FINANCIAL CREDITORS'!$BF$281="","",'FINANCIAL CREDITORS'!$BF$281)</f>
        <v/>
      </c>
      <c r="O843" t="inlineStr">
        <is>
          <t>FINANCIAL</t>
        </is>
      </c>
      <c r="P843" t="inlineStr">
        <is>
          <t>FINANCIAL CREDITORS · row 281</t>
        </is>
      </c>
      <c r="Q843">
        <f>E843+ROW()*0.000000001</f>
        <v/>
      </c>
    </row>
    <row r="844">
      <c r="A844">
        <f>IF('FINANCIAL CREDITORS'!$A$282="","",'FINANCIAL CREDITORS'!$A$282)</f>
        <v/>
      </c>
      <c r="B844">
        <f>IF('FINANCIAL CREDITORS'!$C$282="","",'FINANCIAL CREDITORS'!$C$282)</f>
        <v/>
      </c>
      <c r="C844">
        <f>'FINANCIAL CREDITORS'!$U$282</f>
        <v/>
      </c>
      <c r="D844">
        <f>'FINANCIAL CREDITORS'!$AB$282</f>
        <v/>
      </c>
      <c r="E844">
        <f>'FINANCIAL CREDITORS'!$AF$282</f>
        <v/>
      </c>
      <c r="F844">
        <f>IF('FINANCIAL CREDITORS'!$V$282="","",'FINANCIAL CREDITORS'!$V$282)</f>
        <v/>
      </c>
      <c r="G844">
        <f>IF('FINANCIAL CREDITORS'!$D$282="","",'FINANCIAL CREDITORS'!$D$282)</f>
        <v/>
      </c>
      <c r="H844">
        <f>IF('FINANCIAL CREDITORS'!$G$282="","",'FINANCIAL CREDITORS'!$G$282)</f>
        <v/>
      </c>
      <c r="I844">
        <f>IF('FINANCIAL CREDITORS'!$AY$282="","",'FINANCIAL CREDITORS'!$AY$282)</f>
        <v/>
      </c>
      <c r="J844">
        <f>IF('FINANCIAL CREDITORS'!$BC$282="","",'FINANCIAL CREDITORS'!$BC$282)</f>
        <v/>
      </c>
      <c r="K844">
        <f>IF('FINANCIAL CREDITORS'!$N$282="","",'FINANCIAL CREDITORS'!$N$282)</f>
        <v/>
      </c>
      <c r="L844">
        <f>IF('FINANCIAL CREDITORS'!$AH$282="","",'FINANCIAL CREDITORS'!$AH$282)</f>
        <v/>
      </c>
      <c r="M844">
        <f>IF('FINANCIAL CREDITORS'!$AO$282="","",'FINANCIAL CREDITORS'!$AO$282)</f>
        <v/>
      </c>
      <c r="N844">
        <f>IF('FINANCIAL CREDITORS'!$BF$282="","",'FINANCIAL CREDITORS'!$BF$282)</f>
        <v/>
      </c>
      <c r="O844" t="inlineStr">
        <is>
          <t>FINANCIAL</t>
        </is>
      </c>
      <c r="P844" t="inlineStr">
        <is>
          <t>FINANCIAL CREDITORS · row 282</t>
        </is>
      </c>
      <c r="Q844">
        <f>E844+ROW()*0.000000001</f>
        <v/>
      </c>
    </row>
    <row r="845">
      <c r="A845">
        <f>IF('FINANCIAL CREDITORS'!$A$283="","",'FINANCIAL CREDITORS'!$A$283)</f>
        <v/>
      </c>
      <c r="B845">
        <f>IF('FINANCIAL CREDITORS'!$C$283="","",'FINANCIAL CREDITORS'!$C$283)</f>
        <v/>
      </c>
      <c r="C845">
        <f>'FINANCIAL CREDITORS'!$U$283</f>
        <v/>
      </c>
      <c r="D845">
        <f>'FINANCIAL CREDITORS'!$AB$283</f>
        <v/>
      </c>
      <c r="E845">
        <f>'FINANCIAL CREDITORS'!$AF$283</f>
        <v/>
      </c>
      <c r="F845">
        <f>IF('FINANCIAL CREDITORS'!$V$283="","",'FINANCIAL CREDITORS'!$V$283)</f>
        <v/>
      </c>
      <c r="G845">
        <f>IF('FINANCIAL CREDITORS'!$D$283="","",'FINANCIAL CREDITORS'!$D$283)</f>
        <v/>
      </c>
      <c r="H845">
        <f>IF('FINANCIAL CREDITORS'!$G$283="","",'FINANCIAL CREDITORS'!$G$283)</f>
        <v/>
      </c>
      <c r="I845">
        <f>IF('FINANCIAL CREDITORS'!$AY$283="","",'FINANCIAL CREDITORS'!$AY$283)</f>
        <v/>
      </c>
      <c r="J845">
        <f>IF('FINANCIAL CREDITORS'!$BC$283="","",'FINANCIAL CREDITORS'!$BC$283)</f>
        <v/>
      </c>
      <c r="K845">
        <f>IF('FINANCIAL CREDITORS'!$N$283="","",'FINANCIAL CREDITORS'!$N$283)</f>
        <v/>
      </c>
      <c r="L845">
        <f>IF('FINANCIAL CREDITORS'!$AH$283="","",'FINANCIAL CREDITORS'!$AH$283)</f>
        <v/>
      </c>
      <c r="M845">
        <f>IF('FINANCIAL CREDITORS'!$AO$283="","",'FINANCIAL CREDITORS'!$AO$283)</f>
        <v/>
      </c>
      <c r="N845">
        <f>IF('FINANCIAL CREDITORS'!$BF$283="","",'FINANCIAL CREDITORS'!$BF$283)</f>
        <v/>
      </c>
      <c r="O845" t="inlineStr">
        <is>
          <t>FINANCIAL</t>
        </is>
      </c>
      <c r="P845" t="inlineStr">
        <is>
          <t>FINANCIAL CREDITORS · row 283</t>
        </is>
      </c>
      <c r="Q845">
        <f>E845+ROW()*0.000000001</f>
        <v/>
      </c>
    </row>
    <row r="846">
      <c r="A846">
        <f>IF('FINANCIAL CREDITORS'!$A$284="","",'FINANCIAL CREDITORS'!$A$284)</f>
        <v/>
      </c>
      <c r="B846">
        <f>IF('FINANCIAL CREDITORS'!$C$284="","",'FINANCIAL CREDITORS'!$C$284)</f>
        <v/>
      </c>
      <c r="C846">
        <f>'FINANCIAL CREDITORS'!$U$284</f>
        <v/>
      </c>
      <c r="D846">
        <f>'FINANCIAL CREDITORS'!$AB$284</f>
        <v/>
      </c>
      <c r="E846">
        <f>'FINANCIAL CREDITORS'!$AF$284</f>
        <v/>
      </c>
      <c r="F846">
        <f>IF('FINANCIAL CREDITORS'!$V$284="","",'FINANCIAL CREDITORS'!$V$284)</f>
        <v/>
      </c>
      <c r="G846">
        <f>IF('FINANCIAL CREDITORS'!$D$284="","",'FINANCIAL CREDITORS'!$D$284)</f>
        <v/>
      </c>
      <c r="H846">
        <f>IF('FINANCIAL CREDITORS'!$G$284="","",'FINANCIAL CREDITORS'!$G$284)</f>
        <v/>
      </c>
      <c r="I846">
        <f>IF('FINANCIAL CREDITORS'!$AY$284="","",'FINANCIAL CREDITORS'!$AY$284)</f>
        <v/>
      </c>
      <c r="J846">
        <f>IF('FINANCIAL CREDITORS'!$BC$284="","",'FINANCIAL CREDITORS'!$BC$284)</f>
        <v/>
      </c>
      <c r="K846">
        <f>IF('FINANCIAL CREDITORS'!$N$284="","",'FINANCIAL CREDITORS'!$N$284)</f>
        <v/>
      </c>
      <c r="L846">
        <f>IF('FINANCIAL CREDITORS'!$AH$284="","",'FINANCIAL CREDITORS'!$AH$284)</f>
        <v/>
      </c>
      <c r="M846">
        <f>IF('FINANCIAL CREDITORS'!$AO$284="","",'FINANCIAL CREDITORS'!$AO$284)</f>
        <v/>
      </c>
      <c r="N846">
        <f>IF('FINANCIAL CREDITORS'!$BF$284="","",'FINANCIAL CREDITORS'!$BF$284)</f>
        <v/>
      </c>
      <c r="O846" t="inlineStr">
        <is>
          <t>FINANCIAL</t>
        </is>
      </c>
      <c r="P846" t="inlineStr">
        <is>
          <t>FINANCIAL CREDITORS · row 284</t>
        </is>
      </c>
      <c r="Q846">
        <f>E846+ROW()*0.000000001</f>
        <v/>
      </c>
    </row>
    <row r="847">
      <c r="A847">
        <f>IF('FINANCIAL CREDITORS'!$A$285="","",'FINANCIAL CREDITORS'!$A$285)</f>
        <v/>
      </c>
      <c r="B847">
        <f>IF('FINANCIAL CREDITORS'!$C$285="","",'FINANCIAL CREDITORS'!$C$285)</f>
        <v/>
      </c>
      <c r="C847">
        <f>'FINANCIAL CREDITORS'!$U$285</f>
        <v/>
      </c>
      <c r="D847">
        <f>'FINANCIAL CREDITORS'!$AB$285</f>
        <v/>
      </c>
      <c r="E847">
        <f>'FINANCIAL CREDITORS'!$AF$285</f>
        <v/>
      </c>
      <c r="F847">
        <f>IF('FINANCIAL CREDITORS'!$V$285="","",'FINANCIAL CREDITORS'!$V$285)</f>
        <v/>
      </c>
      <c r="G847">
        <f>IF('FINANCIAL CREDITORS'!$D$285="","",'FINANCIAL CREDITORS'!$D$285)</f>
        <v/>
      </c>
      <c r="H847">
        <f>IF('FINANCIAL CREDITORS'!$G$285="","",'FINANCIAL CREDITORS'!$G$285)</f>
        <v/>
      </c>
      <c r="I847">
        <f>IF('FINANCIAL CREDITORS'!$AY$285="","",'FINANCIAL CREDITORS'!$AY$285)</f>
        <v/>
      </c>
      <c r="J847">
        <f>IF('FINANCIAL CREDITORS'!$BC$285="","",'FINANCIAL CREDITORS'!$BC$285)</f>
        <v/>
      </c>
      <c r="K847">
        <f>IF('FINANCIAL CREDITORS'!$N$285="","",'FINANCIAL CREDITORS'!$N$285)</f>
        <v/>
      </c>
      <c r="L847">
        <f>IF('FINANCIAL CREDITORS'!$AH$285="","",'FINANCIAL CREDITORS'!$AH$285)</f>
        <v/>
      </c>
      <c r="M847">
        <f>IF('FINANCIAL CREDITORS'!$AO$285="","",'FINANCIAL CREDITORS'!$AO$285)</f>
        <v/>
      </c>
      <c r="N847">
        <f>IF('FINANCIAL CREDITORS'!$BF$285="","",'FINANCIAL CREDITORS'!$BF$285)</f>
        <v/>
      </c>
      <c r="O847" t="inlineStr">
        <is>
          <t>FINANCIAL</t>
        </is>
      </c>
      <c r="P847" t="inlineStr">
        <is>
          <t>FINANCIAL CREDITORS · row 285</t>
        </is>
      </c>
      <c r="Q847">
        <f>E847+ROW()*0.000000001</f>
        <v/>
      </c>
    </row>
    <row r="848">
      <c r="A848">
        <f>IF('FINANCIAL CREDITORS'!$A$286="","",'FINANCIAL CREDITORS'!$A$286)</f>
        <v/>
      </c>
      <c r="B848">
        <f>IF('FINANCIAL CREDITORS'!$C$286="","",'FINANCIAL CREDITORS'!$C$286)</f>
        <v/>
      </c>
      <c r="C848">
        <f>'FINANCIAL CREDITORS'!$U$286</f>
        <v/>
      </c>
      <c r="D848">
        <f>'FINANCIAL CREDITORS'!$AB$286</f>
        <v/>
      </c>
      <c r="E848">
        <f>'FINANCIAL CREDITORS'!$AF$286</f>
        <v/>
      </c>
      <c r="F848">
        <f>IF('FINANCIAL CREDITORS'!$V$286="","",'FINANCIAL CREDITORS'!$V$286)</f>
        <v/>
      </c>
      <c r="G848">
        <f>IF('FINANCIAL CREDITORS'!$D$286="","",'FINANCIAL CREDITORS'!$D$286)</f>
        <v/>
      </c>
      <c r="H848">
        <f>IF('FINANCIAL CREDITORS'!$G$286="","",'FINANCIAL CREDITORS'!$G$286)</f>
        <v/>
      </c>
      <c r="I848">
        <f>IF('FINANCIAL CREDITORS'!$AY$286="","",'FINANCIAL CREDITORS'!$AY$286)</f>
        <v/>
      </c>
      <c r="J848">
        <f>IF('FINANCIAL CREDITORS'!$BC$286="","",'FINANCIAL CREDITORS'!$BC$286)</f>
        <v/>
      </c>
      <c r="K848">
        <f>IF('FINANCIAL CREDITORS'!$N$286="","",'FINANCIAL CREDITORS'!$N$286)</f>
        <v/>
      </c>
      <c r="L848">
        <f>IF('FINANCIAL CREDITORS'!$AH$286="","",'FINANCIAL CREDITORS'!$AH$286)</f>
        <v/>
      </c>
      <c r="M848">
        <f>IF('FINANCIAL CREDITORS'!$AO$286="","",'FINANCIAL CREDITORS'!$AO$286)</f>
        <v/>
      </c>
      <c r="N848">
        <f>IF('FINANCIAL CREDITORS'!$BF$286="","",'FINANCIAL CREDITORS'!$BF$286)</f>
        <v/>
      </c>
      <c r="O848" t="inlineStr">
        <is>
          <t>FINANCIAL</t>
        </is>
      </c>
      <c r="P848" t="inlineStr">
        <is>
          <t>FINANCIAL CREDITORS · row 286</t>
        </is>
      </c>
      <c r="Q848">
        <f>E848+ROW()*0.000000001</f>
        <v/>
      </c>
    </row>
    <row r="849">
      <c r="A849">
        <f>IF('FINANCIAL CREDITORS'!$A$287="","",'FINANCIAL CREDITORS'!$A$287)</f>
        <v/>
      </c>
      <c r="B849">
        <f>IF('FINANCIAL CREDITORS'!$C$287="","",'FINANCIAL CREDITORS'!$C$287)</f>
        <v/>
      </c>
      <c r="C849">
        <f>'FINANCIAL CREDITORS'!$U$287</f>
        <v/>
      </c>
      <c r="D849">
        <f>'FINANCIAL CREDITORS'!$AB$287</f>
        <v/>
      </c>
      <c r="E849">
        <f>'FINANCIAL CREDITORS'!$AF$287</f>
        <v/>
      </c>
      <c r="F849">
        <f>IF('FINANCIAL CREDITORS'!$V$287="","",'FINANCIAL CREDITORS'!$V$287)</f>
        <v/>
      </c>
      <c r="G849">
        <f>IF('FINANCIAL CREDITORS'!$D$287="","",'FINANCIAL CREDITORS'!$D$287)</f>
        <v/>
      </c>
      <c r="H849">
        <f>IF('FINANCIAL CREDITORS'!$G$287="","",'FINANCIAL CREDITORS'!$G$287)</f>
        <v/>
      </c>
      <c r="I849">
        <f>IF('FINANCIAL CREDITORS'!$AY$287="","",'FINANCIAL CREDITORS'!$AY$287)</f>
        <v/>
      </c>
      <c r="J849">
        <f>IF('FINANCIAL CREDITORS'!$BC$287="","",'FINANCIAL CREDITORS'!$BC$287)</f>
        <v/>
      </c>
      <c r="K849">
        <f>IF('FINANCIAL CREDITORS'!$N$287="","",'FINANCIAL CREDITORS'!$N$287)</f>
        <v/>
      </c>
      <c r="L849">
        <f>IF('FINANCIAL CREDITORS'!$AH$287="","",'FINANCIAL CREDITORS'!$AH$287)</f>
        <v/>
      </c>
      <c r="M849">
        <f>IF('FINANCIAL CREDITORS'!$AO$287="","",'FINANCIAL CREDITORS'!$AO$287)</f>
        <v/>
      </c>
      <c r="N849">
        <f>IF('FINANCIAL CREDITORS'!$BF$287="","",'FINANCIAL CREDITORS'!$BF$287)</f>
        <v/>
      </c>
      <c r="O849" t="inlineStr">
        <is>
          <t>FINANCIAL</t>
        </is>
      </c>
      <c r="P849" t="inlineStr">
        <is>
          <t>FINANCIAL CREDITORS · row 287</t>
        </is>
      </c>
      <c r="Q849">
        <f>E849+ROW()*0.000000001</f>
        <v/>
      </c>
    </row>
    <row r="850">
      <c r="A850">
        <f>IF('FINANCIAL CREDITORS'!$A$288="","",'FINANCIAL CREDITORS'!$A$288)</f>
        <v/>
      </c>
      <c r="B850">
        <f>IF('FINANCIAL CREDITORS'!$C$288="","",'FINANCIAL CREDITORS'!$C$288)</f>
        <v/>
      </c>
      <c r="C850">
        <f>'FINANCIAL CREDITORS'!$U$288</f>
        <v/>
      </c>
      <c r="D850">
        <f>'FINANCIAL CREDITORS'!$AB$288</f>
        <v/>
      </c>
      <c r="E850">
        <f>'FINANCIAL CREDITORS'!$AF$288</f>
        <v/>
      </c>
      <c r="F850">
        <f>IF('FINANCIAL CREDITORS'!$V$288="","",'FINANCIAL CREDITORS'!$V$288)</f>
        <v/>
      </c>
      <c r="G850">
        <f>IF('FINANCIAL CREDITORS'!$D$288="","",'FINANCIAL CREDITORS'!$D$288)</f>
        <v/>
      </c>
      <c r="H850">
        <f>IF('FINANCIAL CREDITORS'!$G$288="","",'FINANCIAL CREDITORS'!$G$288)</f>
        <v/>
      </c>
      <c r="I850">
        <f>IF('FINANCIAL CREDITORS'!$AY$288="","",'FINANCIAL CREDITORS'!$AY$288)</f>
        <v/>
      </c>
      <c r="J850">
        <f>IF('FINANCIAL CREDITORS'!$BC$288="","",'FINANCIAL CREDITORS'!$BC$288)</f>
        <v/>
      </c>
      <c r="K850">
        <f>IF('FINANCIAL CREDITORS'!$N$288="","",'FINANCIAL CREDITORS'!$N$288)</f>
        <v/>
      </c>
      <c r="L850">
        <f>IF('FINANCIAL CREDITORS'!$AH$288="","",'FINANCIAL CREDITORS'!$AH$288)</f>
        <v/>
      </c>
      <c r="M850">
        <f>IF('FINANCIAL CREDITORS'!$AO$288="","",'FINANCIAL CREDITORS'!$AO$288)</f>
        <v/>
      </c>
      <c r="N850">
        <f>IF('FINANCIAL CREDITORS'!$BF$288="","",'FINANCIAL CREDITORS'!$BF$288)</f>
        <v/>
      </c>
      <c r="O850" t="inlineStr">
        <is>
          <t>FINANCIAL</t>
        </is>
      </c>
      <c r="P850" t="inlineStr">
        <is>
          <t>FINANCIAL CREDITORS · row 288</t>
        </is>
      </c>
      <c r="Q850">
        <f>E850+ROW()*0.000000001</f>
        <v/>
      </c>
    </row>
    <row r="851">
      <c r="A851">
        <f>IF('FINANCIAL CREDITORS'!$A$289="","",'FINANCIAL CREDITORS'!$A$289)</f>
        <v/>
      </c>
      <c r="B851">
        <f>IF('FINANCIAL CREDITORS'!$C$289="","",'FINANCIAL CREDITORS'!$C$289)</f>
        <v/>
      </c>
      <c r="C851">
        <f>'FINANCIAL CREDITORS'!$U$289</f>
        <v/>
      </c>
      <c r="D851">
        <f>'FINANCIAL CREDITORS'!$AB$289</f>
        <v/>
      </c>
      <c r="E851">
        <f>'FINANCIAL CREDITORS'!$AF$289</f>
        <v/>
      </c>
      <c r="F851">
        <f>IF('FINANCIAL CREDITORS'!$V$289="","",'FINANCIAL CREDITORS'!$V$289)</f>
        <v/>
      </c>
      <c r="G851">
        <f>IF('FINANCIAL CREDITORS'!$D$289="","",'FINANCIAL CREDITORS'!$D$289)</f>
        <v/>
      </c>
      <c r="H851">
        <f>IF('FINANCIAL CREDITORS'!$G$289="","",'FINANCIAL CREDITORS'!$G$289)</f>
        <v/>
      </c>
      <c r="I851">
        <f>IF('FINANCIAL CREDITORS'!$AY$289="","",'FINANCIAL CREDITORS'!$AY$289)</f>
        <v/>
      </c>
      <c r="J851">
        <f>IF('FINANCIAL CREDITORS'!$BC$289="","",'FINANCIAL CREDITORS'!$BC$289)</f>
        <v/>
      </c>
      <c r="K851">
        <f>IF('FINANCIAL CREDITORS'!$N$289="","",'FINANCIAL CREDITORS'!$N$289)</f>
        <v/>
      </c>
      <c r="L851">
        <f>IF('FINANCIAL CREDITORS'!$AH$289="","",'FINANCIAL CREDITORS'!$AH$289)</f>
        <v/>
      </c>
      <c r="M851">
        <f>IF('FINANCIAL CREDITORS'!$AO$289="","",'FINANCIAL CREDITORS'!$AO$289)</f>
        <v/>
      </c>
      <c r="N851">
        <f>IF('FINANCIAL CREDITORS'!$BF$289="","",'FINANCIAL CREDITORS'!$BF$289)</f>
        <v/>
      </c>
      <c r="O851" t="inlineStr">
        <is>
          <t>FINANCIAL</t>
        </is>
      </c>
      <c r="P851" t="inlineStr">
        <is>
          <t>FINANCIAL CREDITORS · row 289</t>
        </is>
      </c>
      <c r="Q851">
        <f>E851+ROW()*0.000000001</f>
        <v/>
      </c>
    </row>
    <row r="852">
      <c r="A852">
        <f>IF('FINANCIAL CREDITORS'!$A$290="","",'FINANCIAL CREDITORS'!$A$290)</f>
        <v/>
      </c>
      <c r="B852">
        <f>IF('FINANCIAL CREDITORS'!$C$290="","",'FINANCIAL CREDITORS'!$C$290)</f>
        <v/>
      </c>
      <c r="C852">
        <f>'FINANCIAL CREDITORS'!$U$290</f>
        <v/>
      </c>
      <c r="D852">
        <f>'FINANCIAL CREDITORS'!$AB$290</f>
        <v/>
      </c>
      <c r="E852">
        <f>'FINANCIAL CREDITORS'!$AF$290</f>
        <v/>
      </c>
      <c r="F852">
        <f>IF('FINANCIAL CREDITORS'!$V$290="","",'FINANCIAL CREDITORS'!$V$290)</f>
        <v/>
      </c>
      <c r="G852">
        <f>IF('FINANCIAL CREDITORS'!$D$290="","",'FINANCIAL CREDITORS'!$D$290)</f>
        <v/>
      </c>
      <c r="H852">
        <f>IF('FINANCIAL CREDITORS'!$G$290="","",'FINANCIAL CREDITORS'!$G$290)</f>
        <v/>
      </c>
      <c r="I852">
        <f>IF('FINANCIAL CREDITORS'!$AY$290="","",'FINANCIAL CREDITORS'!$AY$290)</f>
        <v/>
      </c>
      <c r="J852">
        <f>IF('FINANCIAL CREDITORS'!$BC$290="","",'FINANCIAL CREDITORS'!$BC$290)</f>
        <v/>
      </c>
      <c r="K852">
        <f>IF('FINANCIAL CREDITORS'!$N$290="","",'FINANCIAL CREDITORS'!$N$290)</f>
        <v/>
      </c>
      <c r="L852">
        <f>IF('FINANCIAL CREDITORS'!$AH$290="","",'FINANCIAL CREDITORS'!$AH$290)</f>
        <v/>
      </c>
      <c r="M852">
        <f>IF('FINANCIAL CREDITORS'!$AO$290="","",'FINANCIAL CREDITORS'!$AO$290)</f>
        <v/>
      </c>
      <c r="N852">
        <f>IF('FINANCIAL CREDITORS'!$BF$290="","",'FINANCIAL CREDITORS'!$BF$290)</f>
        <v/>
      </c>
      <c r="O852" t="inlineStr">
        <is>
          <t>FINANCIAL</t>
        </is>
      </c>
      <c r="P852" t="inlineStr">
        <is>
          <t>FINANCIAL CREDITORS · row 290</t>
        </is>
      </c>
      <c r="Q852">
        <f>E852+ROW()*0.000000001</f>
        <v/>
      </c>
    </row>
    <row r="853">
      <c r="A853">
        <f>IF('FINANCIAL CREDITORS'!$A$291="","",'FINANCIAL CREDITORS'!$A$291)</f>
        <v/>
      </c>
      <c r="B853">
        <f>IF('FINANCIAL CREDITORS'!$C$291="","",'FINANCIAL CREDITORS'!$C$291)</f>
        <v/>
      </c>
      <c r="C853">
        <f>'FINANCIAL CREDITORS'!$U$291</f>
        <v/>
      </c>
      <c r="D853">
        <f>'FINANCIAL CREDITORS'!$AB$291</f>
        <v/>
      </c>
      <c r="E853">
        <f>'FINANCIAL CREDITORS'!$AF$291</f>
        <v/>
      </c>
      <c r="F853">
        <f>IF('FINANCIAL CREDITORS'!$V$291="","",'FINANCIAL CREDITORS'!$V$291)</f>
        <v/>
      </c>
      <c r="G853">
        <f>IF('FINANCIAL CREDITORS'!$D$291="","",'FINANCIAL CREDITORS'!$D$291)</f>
        <v/>
      </c>
      <c r="H853">
        <f>IF('FINANCIAL CREDITORS'!$G$291="","",'FINANCIAL CREDITORS'!$G$291)</f>
        <v/>
      </c>
      <c r="I853">
        <f>IF('FINANCIAL CREDITORS'!$AY$291="","",'FINANCIAL CREDITORS'!$AY$291)</f>
        <v/>
      </c>
      <c r="J853">
        <f>IF('FINANCIAL CREDITORS'!$BC$291="","",'FINANCIAL CREDITORS'!$BC$291)</f>
        <v/>
      </c>
      <c r="K853">
        <f>IF('FINANCIAL CREDITORS'!$N$291="","",'FINANCIAL CREDITORS'!$N$291)</f>
        <v/>
      </c>
      <c r="L853">
        <f>IF('FINANCIAL CREDITORS'!$AH$291="","",'FINANCIAL CREDITORS'!$AH$291)</f>
        <v/>
      </c>
      <c r="M853">
        <f>IF('FINANCIAL CREDITORS'!$AO$291="","",'FINANCIAL CREDITORS'!$AO$291)</f>
        <v/>
      </c>
      <c r="N853">
        <f>IF('FINANCIAL CREDITORS'!$BF$291="","",'FINANCIAL CREDITORS'!$BF$291)</f>
        <v/>
      </c>
      <c r="O853" t="inlineStr">
        <is>
          <t>FINANCIAL</t>
        </is>
      </c>
      <c r="P853" t="inlineStr">
        <is>
          <t>FINANCIAL CREDITORS · row 291</t>
        </is>
      </c>
      <c r="Q853">
        <f>E853+ROW()*0.000000001</f>
        <v/>
      </c>
    </row>
    <row r="854">
      <c r="A854">
        <f>IF('FINANCIAL CREDITORS'!$A$292="","",'FINANCIAL CREDITORS'!$A$292)</f>
        <v/>
      </c>
      <c r="B854">
        <f>IF('FINANCIAL CREDITORS'!$C$292="","",'FINANCIAL CREDITORS'!$C$292)</f>
        <v/>
      </c>
      <c r="C854">
        <f>'FINANCIAL CREDITORS'!$U$292</f>
        <v/>
      </c>
      <c r="D854">
        <f>'FINANCIAL CREDITORS'!$AB$292</f>
        <v/>
      </c>
      <c r="E854">
        <f>'FINANCIAL CREDITORS'!$AF$292</f>
        <v/>
      </c>
      <c r="F854">
        <f>IF('FINANCIAL CREDITORS'!$V$292="","",'FINANCIAL CREDITORS'!$V$292)</f>
        <v/>
      </c>
      <c r="G854">
        <f>IF('FINANCIAL CREDITORS'!$D$292="","",'FINANCIAL CREDITORS'!$D$292)</f>
        <v/>
      </c>
      <c r="H854">
        <f>IF('FINANCIAL CREDITORS'!$G$292="","",'FINANCIAL CREDITORS'!$G$292)</f>
        <v/>
      </c>
      <c r="I854">
        <f>IF('FINANCIAL CREDITORS'!$AY$292="","",'FINANCIAL CREDITORS'!$AY$292)</f>
        <v/>
      </c>
      <c r="J854">
        <f>IF('FINANCIAL CREDITORS'!$BC$292="","",'FINANCIAL CREDITORS'!$BC$292)</f>
        <v/>
      </c>
      <c r="K854">
        <f>IF('FINANCIAL CREDITORS'!$N$292="","",'FINANCIAL CREDITORS'!$N$292)</f>
        <v/>
      </c>
      <c r="L854">
        <f>IF('FINANCIAL CREDITORS'!$AH$292="","",'FINANCIAL CREDITORS'!$AH$292)</f>
        <v/>
      </c>
      <c r="M854">
        <f>IF('FINANCIAL CREDITORS'!$AO$292="","",'FINANCIAL CREDITORS'!$AO$292)</f>
        <v/>
      </c>
      <c r="N854">
        <f>IF('FINANCIAL CREDITORS'!$BF$292="","",'FINANCIAL CREDITORS'!$BF$292)</f>
        <v/>
      </c>
      <c r="O854" t="inlineStr">
        <is>
          <t>FINANCIAL</t>
        </is>
      </c>
      <c r="P854" t="inlineStr">
        <is>
          <t>FINANCIAL CREDITORS · row 292</t>
        </is>
      </c>
      <c r="Q854">
        <f>E854+ROW()*0.000000001</f>
        <v/>
      </c>
    </row>
    <row r="855">
      <c r="A855">
        <f>IF('FINANCIAL CREDITORS'!$A$293="","",'FINANCIAL CREDITORS'!$A$293)</f>
        <v/>
      </c>
      <c r="B855">
        <f>IF('FINANCIAL CREDITORS'!$C$293="","",'FINANCIAL CREDITORS'!$C$293)</f>
        <v/>
      </c>
      <c r="C855">
        <f>'FINANCIAL CREDITORS'!$U$293</f>
        <v/>
      </c>
      <c r="D855">
        <f>'FINANCIAL CREDITORS'!$AB$293</f>
        <v/>
      </c>
      <c r="E855">
        <f>'FINANCIAL CREDITORS'!$AF$293</f>
        <v/>
      </c>
      <c r="F855">
        <f>IF('FINANCIAL CREDITORS'!$V$293="","",'FINANCIAL CREDITORS'!$V$293)</f>
        <v/>
      </c>
      <c r="G855">
        <f>IF('FINANCIAL CREDITORS'!$D$293="","",'FINANCIAL CREDITORS'!$D$293)</f>
        <v/>
      </c>
      <c r="H855">
        <f>IF('FINANCIAL CREDITORS'!$G$293="","",'FINANCIAL CREDITORS'!$G$293)</f>
        <v/>
      </c>
      <c r="I855">
        <f>IF('FINANCIAL CREDITORS'!$AY$293="","",'FINANCIAL CREDITORS'!$AY$293)</f>
        <v/>
      </c>
      <c r="J855">
        <f>IF('FINANCIAL CREDITORS'!$BC$293="","",'FINANCIAL CREDITORS'!$BC$293)</f>
        <v/>
      </c>
      <c r="K855">
        <f>IF('FINANCIAL CREDITORS'!$N$293="","",'FINANCIAL CREDITORS'!$N$293)</f>
        <v/>
      </c>
      <c r="L855">
        <f>IF('FINANCIAL CREDITORS'!$AH$293="","",'FINANCIAL CREDITORS'!$AH$293)</f>
        <v/>
      </c>
      <c r="M855">
        <f>IF('FINANCIAL CREDITORS'!$AO$293="","",'FINANCIAL CREDITORS'!$AO$293)</f>
        <v/>
      </c>
      <c r="N855">
        <f>IF('FINANCIAL CREDITORS'!$BF$293="","",'FINANCIAL CREDITORS'!$BF$293)</f>
        <v/>
      </c>
      <c r="O855" t="inlineStr">
        <is>
          <t>FINANCIAL</t>
        </is>
      </c>
      <c r="P855" t="inlineStr">
        <is>
          <t>FINANCIAL CREDITORS · row 293</t>
        </is>
      </c>
      <c r="Q855">
        <f>E855+ROW()*0.000000001</f>
        <v/>
      </c>
    </row>
    <row r="856">
      <c r="A856">
        <f>IF('FINANCIAL CREDITORS'!$A$294="","",'FINANCIAL CREDITORS'!$A$294)</f>
        <v/>
      </c>
      <c r="B856">
        <f>IF('FINANCIAL CREDITORS'!$C$294="","",'FINANCIAL CREDITORS'!$C$294)</f>
        <v/>
      </c>
      <c r="C856">
        <f>'FINANCIAL CREDITORS'!$U$294</f>
        <v/>
      </c>
      <c r="D856">
        <f>'FINANCIAL CREDITORS'!$AB$294</f>
        <v/>
      </c>
      <c r="E856">
        <f>'FINANCIAL CREDITORS'!$AF$294</f>
        <v/>
      </c>
      <c r="F856">
        <f>IF('FINANCIAL CREDITORS'!$V$294="","",'FINANCIAL CREDITORS'!$V$294)</f>
        <v/>
      </c>
      <c r="G856">
        <f>IF('FINANCIAL CREDITORS'!$D$294="","",'FINANCIAL CREDITORS'!$D$294)</f>
        <v/>
      </c>
      <c r="H856">
        <f>IF('FINANCIAL CREDITORS'!$G$294="","",'FINANCIAL CREDITORS'!$G$294)</f>
        <v/>
      </c>
      <c r="I856">
        <f>IF('FINANCIAL CREDITORS'!$AY$294="","",'FINANCIAL CREDITORS'!$AY$294)</f>
        <v/>
      </c>
      <c r="J856">
        <f>IF('FINANCIAL CREDITORS'!$BC$294="","",'FINANCIAL CREDITORS'!$BC$294)</f>
        <v/>
      </c>
      <c r="K856">
        <f>IF('FINANCIAL CREDITORS'!$N$294="","",'FINANCIAL CREDITORS'!$N$294)</f>
        <v/>
      </c>
      <c r="L856">
        <f>IF('FINANCIAL CREDITORS'!$AH$294="","",'FINANCIAL CREDITORS'!$AH$294)</f>
        <v/>
      </c>
      <c r="M856">
        <f>IF('FINANCIAL CREDITORS'!$AO$294="","",'FINANCIAL CREDITORS'!$AO$294)</f>
        <v/>
      </c>
      <c r="N856">
        <f>IF('FINANCIAL CREDITORS'!$BF$294="","",'FINANCIAL CREDITORS'!$BF$294)</f>
        <v/>
      </c>
      <c r="O856" t="inlineStr">
        <is>
          <t>FINANCIAL</t>
        </is>
      </c>
      <c r="P856" t="inlineStr">
        <is>
          <t>FINANCIAL CREDITORS · row 294</t>
        </is>
      </c>
      <c r="Q856">
        <f>E856+ROW()*0.000000001</f>
        <v/>
      </c>
    </row>
    <row r="857">
      <c r="A857">
        <f>IF('FINANCIAL CREDITORS'!$A$295="","",'FINANCIAL CREDITORS'!$A$295)</f>
        <v/>
      </c>
      <c r="B857">
        <f>IF('FINANCIAL CREDITORS'!$C$295="","",'FINANCIAL CREDITORS'!$C$295)</f>
        <v/>
      </c>
      <c r="C857">
        <f>'FINANCIAL CREDITORS'!$U$295</f>
        <v/>
      </c>
      <c r="D857">
        <f>'FINANCIAL CREDITORS'!$AB$295</f>
        <v/>
      </c>
      <c r="E857">
        <f>'FINANCIAL CREDITORS'!$AF$295</f>
        <v/>
      </c>
      <c r="F857">
        <f>IF('FINANCIAL CREDITORS'!$V$295="","",'FINANCIAL CREDITORS'!$V$295)</f>
        <v/>
      </c>
      <c r="G857">
        <f>IF('FINANCIAL CREDITORS'!$D$295="","",'FINANCIAL CREDITORS'!$D$295)</f>
        <v/>
      </c>
      <c r="H857">
        <f>IF('FINANCIAL CREDITORS'!$G$295="","",'FINANCIAL CREDITORS'!$G$295)</f>
        <v/>
      </c>
      <c r="I857">
        <f>IF('FINANCIAL CREDITORS'!$AY$295="","",'FINANCIAL CREDITORS'!$AY$295)</f>
        <v/>
      </c>
      <c r="J857">
        <f>IF('FINANCIAL CREDITORS'!$BC$295="","",'FINANCIAL CREDITORS'!$BC$295)</f>
        <v/>
      </c>
      <c r="K857">
        <f>IF('FINANCIAL CREDITORS'!$N$295="","",'FINANCIAL CREDITORS'!$N$295)</f>
        <v/>
      </c>
      <c r="L857">
        <f>IF('FINANCIAL CREDITORS'!$AH$295="","",'FINANCIAL CREDITORS'!$AH$295)</f>
        <v/>
      </c>
      <c r="M857">
        <f>IF('FINANCIAL CREDITORS'!$AO$295="","",'FINANCIAL CREDITORS'!$AO$295)</f>
        <v/>
      </c>
      <c r="N857">
        <f>IF('FINANCIAL CREDITORS'!$BF$295="","",'FINANCIAL CREDITORS'!$BF$295)</f>
        <v/>
      </c>
      <c r="O857" t="inlineStr">
        <is>
          <t>FINANCIAL</t>
        </is>
      </c>
      <c r="P857" t="inlineStr">
        <is>
          <t>FINANCIAL CREDITORS · row 295</t>
        </is>
      </c>
      <c r="Q857">
        <f>E857+ROW()*0.000000001</f>
        <v/>
      </c>
    </row>
    <row r="858">
      <c r="A858">
        <f>IF('FINANCIAL CREDITORS'!$A$296="","",'FINANCIAL CREDITORS'!$A$296)</f>
        <v/>
      </c>
      <c r="B858">
        <f>IF('FINANCIAL CREDITORS'!$C$296="","",'FINANCIAL CREDITORS'!$C$296)</f>
        <v/>
      </c>
      <c r="C858">
        <f>'FINANCIAL CREDITORS'!$U$296</f>
        <v/>
      </c>
      <c r="D858">
        <f>'FINANCIAL CREDITORS'!$AB$296</f>
        <v/>
      </c>
      <c r="E858">
        <f>'FINANCIAL CREDITORS'!$AF$296</f>
        <v/>
      </c>
      <c r="F858">
        <f>IF('FINANCIAL CREDITORS'!$V$296="","",'FINANCIAL CREDITORS'!$V$296)</f>
        <v/>
      </c>
      <c r="G858">
        <f>IF('FINANCIAL CREDITORS'!$D$296="","",'FINANCIAL CREDITORS'!$D$296)</f>
        <v/>
      </c>
      <c r="H858">
        <f>IF('FINANCIAL CREDITORS'!$G$296="","",'FINANCIAL CREDITORS'!$G$296)</f>
        <v/>
      </c>
      <c r="I858">
        <f>IF('FINANCIAL CREDITORS'!$AY$296="","",'FINANCIAL CREDITORS'!$AY$296)</f>
        <v/>
      </c>
      <c r="J858">
        <f>IF('FINANCIAL CREDITORS'!$BC$296="","",'FINANCIAL CREDITORS'!$BC$296)</f>
        <v/>
      </c>
      <c r="K858">
        <f>IF('FINANCIAL CREDITORS'!$N$296="","",'FINANCIAL CREDITORS'!$N$296)</f>
        <v/>
      </c>
      <c r="L858">
        <f>IF('FINANCIAL CREDITORS'!$AH$296="","",'FINANCIAL CREDITORS'!$AH$296)</f>
        <v/>
      </c>
      <c r="M858">
        <f>IF('FINANCIAL CREDITORS'!$AO$296="","",'FINANCIAL CREDITORS'!$AO$296)</f>
        <v/>
      </c>
      <c r="N858">
        <f>IF('FINANCIAL CREDITORS'!$BF$296="","",'FINANCIAL CREDITORS'!$BF$296)</f>
        <v/>
      </c>
      <c r="O858" t="inlineStr">
        <is>
          <t>FINANCIAL</t>
        </is>
      </c>
      <c r="P858" t="inlineStr">
        <is>
          <t>FINANCIAL CREDITORS · row 296</t>
        </is>
      </c>
      <c r="Q858">
        <f>E858+ROW()*0.000000001</f>
        <v/>
      </c>
    </row>
    <row r="859">
      <c r="A859">
        <f>IF('FINANCIAL CREDITORS'!$A$297="","",'FINANCIAL CREDITORS'!$A$297)</f>
        <v/>
      </c>
      <c r="B859">
        <f>IF('FINANCIAL CREDITORS'!$C$297="","",'FINANCIAL CREDITORS'!$C$297)</f>
        <v/>
      </c>
      <c r="C859">
        <f>'FINANCIAL CREDITORS'!$U$297</f>
        <v/>
      </c>
      <c r="D859">
        <f>'FINANCIAL CREDITORS'!$AB$297</f>
        <v/>
      </c>
      <c r="E859">
        <f>'FINANCIAL CREDITORS'!$AF$297</f>
        <v/>
      </c>
      <c r="F859">
        <f>IF('FINANCIAL CREDITORS'!$V$297="","",'FINANCIAL CREDITORS'!$V$297)</f>
        <v/>
      </c>
      <c r="G859">
        <f>IF('FINANCIAL CREDITORS'!$D$297="","",'FINANCIAL CREDITORS'!$D$297)</f>
        <v/>
      </c>
      <c r="H859">
        <f>IF('FINANCIAL CREDITORS'!$G$297="","",'FINANCIAL CREDITORS'!$G$297)</f>
        <v/>
      </c>
      <c r="I859">
        <f>IF('FINANCIAL CREDITORS'!$AY$297="","",'FINANCIAL CREDITORS'!$AY$297)</f>
        <v/>
      </c>
      <c r="J859">
        <f>IF('FINANCIAL CREDITORS'!$BC$297="","",'FINANCIAL CREDITORS'!$BC$297)</f>
        <v/>
      </c>
      <c r="K859">
        <f>IF('FINANCIAL CREDITORS'!$N$297="","",'FINANCIAL CREDITORS'!$N$297)</f>
        <v/>
      </c>
      <c r="L859">
        <f>IF('FINANCIAL CREDITORS'!$AH$297="","",'FINANCIAL CREDITORS'!$AH$297)</f>
        <v/>
      </c>
      <c r="M859">
        <f>IF('FINANCIAL CREDITORS'!$AO$297="","",'FINANCIAL CREDITORS'!$AO$297)</f>
        <v/>
      </c>
      <c r="N859">
        <f>IF('FINANCIAL CREDITORS'!$BF$297="","",'FINANCIAL CREDITORS'!$BF$297)</f>
        <v/>
      </c>
      <c r="O859" t="inlineStr">
        <is>
          <t>FINANCIAL</t>
        </is>
      </c>
      <c r="P859" t="inlineStr">
        <is>
          <t>FINANCIAL CREDITORS · row 297</t>
        </is>
      </c>
      <c r="Q859">
        <f>E859+ROW()*0.000000001</f>
        <v/>
      </c>
    </row>
    <row r="860">
      <c r="A860">
        <f>IF('FINANCIAL CREDITORS'!$A$298="","",'FINANCIAL CREDITORS'!$A$298)</f>
        <v/>
      </c>
      <c r="B860">
        <f>IF('FINANCIAL CREDITORS'!$C$298="","",'FINANCIAL CREDITORS'!$C$298)</f>
        <v/>
      </c>
      <c r="C860">
        <f>'FINANCIAL CREDITORS'!$U$298</f>
        <v/>
      </c>
      <c r="D860">
        <f>'FINANCIAL CREDITORS'!$AB$298</f>
        <v/>
      </c>
      <c r="E860">
        <f>'FINANCIAL CREDITORS'!$AF$298</f>
        <v/>
      </c>
      <c r="F860">
        <f>IF('FINANCIAL CREDITORS'!$V$298="","",'FINANCIAL CREDITORS'!$V$298)</f>
        <v/>
      </c>
      <c r="G860">
        <f>IF('FINANCIAL CREDITORS'!$D$298="","",'FINANCIAL CREDITORS'!$D$298)</f>
        <v/>
      </c>
      <c r="H860">
        <f>IF('FINANCIAL CREDITORS'!$G$298="","",'FINANCIAL CREDITORS'!$G$298)</f>
        <v/>
      </c>
      <c r="I860">
        <f>IF('FINANCIAL CREDITORS'!$AY$298="","",'FINANCIAL CREDITORS'!$AY$298)</f>
        <v/>
      </c>
      <c r="J860">
        <f>IF('FINANCIAL CREDITORS'!$BC$298="","",'FINANCIAL CREDITORS'!$BC$298)</f>
        <v/>
      </c>
      <c r="K860">
        <f>IF('FINANCIAL CREDITORS'!$N$298="","",'FINANCIAL CREDITORS'!$N$298)</f>
        <v/>
      </c>
      <c r="L860">
        <f>IF('FINANCIAL CREDITORS'!$AH$298="","",'FINANCIAL CREDITORS'!$AH$298)</f>
        <v/>
      </c>
      <c r="M860">
        <f>IF('FINANCIAL CREDITORS'!$AO$298="","",'FINANCIAL CREDITORS'!$AO$298)</f>
        <v/>
      </c>
      <c r="N860">
        <f>IF('FINANCIAL CREDITORS'!$BF$298="","",'FINANCIAL CREDITORS'!$BF$298)</f>
        <v/>
      </c>
      <c r="O860" t="inlineStr">
        <is>
          <t>FINANCIAL</t>
        </is>
      </c>
      <c r="P860" t="inlineStr">
        <is>
          <t>FINANCIAL CREDITORS · row 298</t>
        </is>
      </c>
      <c r="Q860">
        <f>E860+ROW()*0.000000001</f>
        <v/>
      </c>
    </row>
    <row r="861">
      <c r="A861">
        <f>IF('FINANCIAL CREDITORS'!$A$299="","",'FINANCIAL CREDITORS'!$A$299)</f>
        <v/>
      </c>
      <c r="B861">
        <f>IF('FINANCIAL CREDITORS'!$C$299="","",'FINANCIAL CREDITORS'!$C$299)</f>
        <v/>
      </c>
      <c r="C861">
        <f>'FINANCIAL CREDITORS'!$U$299</f>
        <v/>
      </c>
      <c r="D861">
        <f>'FINANCIAL CREDITORS'!$AB$299</f>
        <v/>
      </c>
      <c r="E861">
        <f>'FINANCIAL CREDITORS'!$AF$299</f>
        <v/>
      </c>
      <c r="F861">
        <f>IF('FINANCIAL CREDITORS'!$V$299="","",'FINANCIAL CREDITORS'!$V$299)</f>
        <v/>
      </c>
      <c r="G861">
        <f>IF('FINANCIAL CREDITORS'!$D$299="","",'FINANCIAL CREDITORS'!$D$299)</f>
        <v/>
      </c>
      <c r="H861">
        <f>IF('FINANCIAL CREDITORS'!$G$299="","",'FINANCIAL CREDITORS'!$G$299)</f>
        <v/>
      </c>
      <c r="I861">
        <f>IF('FINANCIAL CREDITORS'!$AY$299="","",'FINANCIAL CREDITORS'!$AY$299)</f>
        <v/>
      </c>
      <c r="J861">
        <f>IF('FINANCIAL CREDITORS'!$BC$299="","",'FINANCIAL CREDITORS'!$BC$299)</f>
        <v/>
      </c>
      <c r="K861">
        <f>IF('FINANCIAL CREDITORS'!$N$299="","",'FINANCIAL CREDITORS'!$N$299)</f>
        <v/>
      </c>
      <c r="L861">
        <f>IF('FINANCIAL CREDITORS'!$AH$299="","",'FINANCIAL CREDITORS'!$AH$299)</f>
        <v/>
      </c>
      <c r="M861">
        <f>IF('FINANCIAL CREDITORS'!$AO$299="","",'FINANCIAL CREDITORS'!$AO$299)</f>
        <v/>
      </c>
      <c r="N861">
        <f>IF('FINANCIAL CREDITORS'!$BF$299="","",'FINANCIAL CREDITORS'!$BF$299)</f>
        <v/>
      </c>
      <c r="O861" t="inlineStr">
        <is>
          <t>FINANCIAL</t>
        </is>
      </c>
      <c r="P861" t="inlineStr">
        <is>
          <t>FINANCIAL CREDITORS · row 299</t>
        </is>
      </c>
      <c r="Q861">
        <f>E861+ROW()*0.000000001</f>
        <v/>
      </c>
    </row>
    <row r="862">
      <c r="A862">
        <f>IF('FINANCIAL CREDITORS'!$A$300="","",'FINANCIAL CREDITORS'!$A$300)</f>
        <v/>
      </c>
      <c r="B862">
        <f>IF('FINANCIAL CREDITORS'!$C$300="","",'FINANCIAL CREDITORS'!$C$300)</f>
        <v/>
      </c>
      <c r="C862">
        <f>'FINANCIAL CREDITORS'!$U$300</f>
        <v/>
      </c>
      <c r="D862">
        <f>'FINANCIAL CREDITORS'!$AB$300</f>
        <v/>
      </c>
      <c r="E862">
        <f>'FINANCIAL CREDITORS'!$AF$300</f>
        <v/>
      </c>
      <c r="F862">
        <f>IF('FINANCIAL CREDITORS'!$V$300="","",'FINANCIAL CREDITORS'!$V$300)</f>
        <v/>
      </c>
      <c r="G862">
        <f>IF('FINANCIAL CREDITORS'!$D$300="","",'FINANCIAL CREDITORS'!$D$300)</f>
        <v/>
      </c>
      <c r="H862">
        <f>IF('FINANCIAL CREDITORS'!$G$300="","",'FINANCIAL CREDITORS'!$G$300)</f>
        <v/>
      </c>
      <c r="I862">
        <f>IF('FINANCIAL CREDITORS'!$AY$300="","",'FINANCIAL CREDITORS'!$AY$300)</f>
        <v/>
      </c>
      <c r="J862">
        <f>IF('FINANCIAL CREDITORS'!$BC$300="","",'FINANCIAL CREDITORS'!$BC$300)</f>
        <v/>
      </c>
      <c r="K862">
        <f>IF('FINANCIAL CREDITORS'!$N$300="","",'FINANCIAL CREDITORS'!$N$300)</f>
        <v/>
      </c>
      <c r="L862">
        <f>IF('FINANCIAL CREDITORS'!$AH$300="","",'FINANCIAL CREDITORS'!$AH$300)</f>
        <v/>
      </c>
      <c r="M862">
        <f>IF('FINANCIAL CREDITORS'!$AO$300="","",'FINANCIAL CREDITORS'!$AO$300)</f>
        <v/>
      </c>
      <c r="N862">
        <f>IF('FINANCIAL CREDITORS'!$BF$300="","",'FINANCIAL CREDITORS'!$BF$300)</f>
        <v/>
      </c>
      <c r="O862" t="inlineStr">
        <is>
          <t>FINANCIAL</t>
        </is>
      </c>
      <c r="P862" t="inlineStr">
        <is>
          <t>FINANCIAL CREDITORS · row 300</t>
        </is>
      </c>
      <c r="Q862">
        <f>E862+ROW()*0.000000001</f>
        <v/>
      </c>
    </row>
    <row r="863">
      <c r="A863">
        <f>IF('FINANCIAL CREDITORS'!$A$301="","",'FINANCIAL CREDITORS'!$A$301)</f>
        <v/>
      </c>
      <c r="B863">
        <f>IF('FINANCIAL CREDITORS'!$C$301="","",'FINANCIAL CREDITORS'!$C$301)</f>
        <v/>
      </c>
      <c r="C863">
        <f>'FINANCIAL CREDITORS'!$U$301</f>
        <v/>
      </c>
      <c r="D863">
        <f>'FINANCIAL CREDITORS'!$AB$301</f>
        <v/>
      </c>
      <c r="E863">
        <f>'FINANCIAL CREDITORS'!$AF$301</f>
        <v/>
      </c>
      <c r="F863">
        <f>IF('FINANCIAL CREDITORS'!$V$301="","",'FINANCIAL CREDITORS'!$V$301)</f>
        <v/>
      </c>
      <c r="G863">
        <f>IF('FINANCIAL CREDITORS'!$D$301="","",'FINANCIAL CREDITORS'!$D$301)</f>
        <v/>
      </c>
      <c r="H863">
        <f>IF('FINANCIAL CREDITORS'!$G$301="","",'FINANCIAL CREDITORS'!$G$301)</f>
        <v/>
      </c>
      <c r="I863">
        <f>IF('FINANCIAL CREDITORS'!$AY$301="","",'FINANCIAL CREDITORS'!$AY$301)</f>
        <v/>
      </c>
      <c r="J863">
        <f>IF('FINANCIAL CREDITORS'!$BC$301="","",'FINANCIAL CREDITORS'!$BC$301)</f>
        <v/>
      </c>
      <c r="K863">
        <f>IF('FINANCIAL CREDITORS'!$N$301="","",'FINANCIAL CREDITORS'!$N$301)</f>
        <v/>
      </c>
      <c r="L863">
        <f>IF('FINANCIAL CREDITORS'!$AH$301="","",'FINANCIAL CREDITORS'!$AH$301)</f>
        <v/>
      </c>
      <c r="M863">
        <f>IF('FINANCIAL CREDITORS'!$AO$301="","",'FINANCIAL CREDITORS'!$AO$301)</f>
        <v/>
      </c>
      <c r="N863">
        <f>IF('FINANCIAL CREDITORS'!$BF$301="","",'FINANCIAL CREDITORS'!$BF$301)</f>
        <v/>
      </c>
      <c r="O863" t="inlineStr">
        <is>
          <t>FINANCIAL</t>
        </is>
      </c>
      <c r="P863" t="inlineStr">
        <is>
          <t>FINANCIAL CREDITORS · row 301</t>
        </is>
      </c>
      <c r="Q863">
        <f>E863+ROW()*0.000000001</f>
        <v/>
      </c>
    </row>
    <row r="864">
      <c r="A864">
        <f>IF('FINANCIAL CREDITORS'!$A$302="","",'FINANCIAL CREDITORS'!$A$302)</f>
        <v/>
      </c>
      <c r="B864">
        <f>IF('FINANCIAL CREDITORS'!$C$302="","",'FINANCIAL CREDITORS'!$C$302)</f>
        <v/>
      </c>
      <c r="C864">
        <f>'FINANCIAL CREDITORS'!$U$302</f>
        <v/>
      </c>
      <c r="D864">
        <f>'FINANCIAL CREDITORS'!$AB$302</f>
        <v/>
      </c>
      <c r="E864">
        <f>'FINANCIAL CREDITORS'!$AF$302</f>
        <v/>
      </c>
      <c r="F864">
        <f>IF('FINANCIAL CREDITORS'!$V$302="","",'FINANCIAL CREDITORS'!$V$302)</f>
        <v/>
      </c>
      <c r="G864">
        <f>IF('FINANCIAL CREDITORS'!$D$302="","",'FINANCIAL CREDITORS'!$D$302)</f>
        <v/>
      </c>
      <c r="H864">
        <f>IF('FINANCIAL CREDITORS'!$G$302="","",'FINANCIAL CREDITORS'!$G$302)</f>
        <v/>
      </c>
      <c r="I864">
        <f>IF('FINANCIAL CREDITORS'!$AY$302="","",'FINANCIAL CREDITORS'!$AY$302)</f>
        <v/>
      </c>
      <c r="J864">
        <f>IF('FINANCIAL CREDITORS'!$BC$302="","",'FINANCIAL CREDITORS'!$BC$302)</f>
        <v/>
      </c>
      <c r="K864">
        <f>IF('FINANCIAL CREDITORS'!$N$302="","",'FINANCIAL CREDITORS'!$N$302)</f>
        <v/>
      </c>
      <c r="L864">
        <f>IF('FINANCIAL CREDITORS'!$AH$302="","",'FINANCIAL CREDITORS'!$AH$302)</f>
        <v/>
      </c>
      <c r="M864">
        <f>IF('FINANCIAL CREDITORS'!$AO$302="","",'FINANCIAL CREDITORS'!$AO$302)</f>
        <v/>
      </c>
      <c r="N864">
        <f>IF('FINANCIAL CREDITORS'!$BF$302="","",'FINANCIAL CREDITORS'!$BF$302)</f>
        <v/>
      </c>
      <c r="O864" t="inlineStr">
        <is>
          <t>FINANCIAL</t>
        </is>
      </c>
      <c r="P864" t="inlineStr">
        <is>
          <t>FINANCIAL CREDITORS · row 302</t>
        </is>
      </c>
      <c r="Q864">
        <f>E864+ROW()*0.000000001</f>
        <v/>
      </c>
    </row>
    <row r="865">
      <c r="A865">
        <f>IF('FINANCIAL CREDITORS'!$A$303="","",'FINANCIAL CREDITORS'!$A$303)</f>
        <v/>
      </c>
      <c r="B865">
        <f>IF('FINANCIAL CREDITORS'!$C$303="","",'FINANCIAL CREDITORS'!$C$303)</f>
        <v/>
      </c>
      <c r="C865">
        <f>'FINANCIAL CREDITORS'!$U$303</f>
        <v/>
      </c>
      <c r="D865">
        <f>'FINANCIAL CREDITORS'!$AB$303</f>
        <v/>
      </c>
      <c r="E865">
        <f>'FINANCIAL CREDITORS'!$AF$303</f>
        <v/>
      </c>
      <c r="F865">
        <f>IF('FINANCIAL CREDITORS'!$V$303="","",'FINANCIAL CREDITORS'!$V$303)</f>
        <v/>
      </c>
      <c r="G865">
        <f>IF('FINANCIAL CREDITORS'!$D$303="","",'FINANCIAL CREDITORS'!$D$303)</f>
        <v/>
      </c>
      <c r="H865">
        <f>IF('FINANCIAL CREDITORS'!$G$303="","",'FINANCIAL CREDITORS'!$G$303)</f>
        <v/>
      </c>
      <c r="I865">
        <f>IF('FINANCIAL CREDITORS'!$AY$303="","",'FINANCIAL CREDITORS'!$AY$303)</f>
        <v/>
      </c>
      <c r="J865">
        <f>IF('FINANCIAL CREDITORS'!$BC$303="","",'FINANCIAL CREDITORS'!$BC$303)</f>
        <v/>
      </c>
      <c r="K865">
        <f>IF('FINANCIAL CREDITORS'!$N$303="","",'FINANCIAL CREDITORS'!$N$303)</f>
        <v/>
      </c>
      <c r="L865">
        <f>IF('FINANCIAL CREDITORS'!$AH$303="","",'FINANCIAL CREDITORS'!$AH$303)</f>
        <v/>
      </c>
      <c r="M865">
        <f>IF('FINANCIAL CREDITORS'!$AO$303="","",'FINANCIAL CREDITORS'!$AO$303)</f>
        <v/>
      </c>
      <c r="N865">
        <f>IF('FINANCIAL CREDITORS'!$BF$303="","",'FINANCIAL CREDITORS'!$BF$303)</f>
        <v/>
      </c>
      <c r="O865" t="inlineStr">
        <is>
          <t>FINANCIAL</t>
        </is>
      </c>
      <c r="P865" t="inlineStr">
        <is>
          <t>FINANCIAL CREDITORS · row 303</t>
        </is>
      </c>
      <c r="Q865">
        <f>E865+ROW()*0.000000001</f>
        <v/>
      </c>
    </row>
    <row r="866">
      <c r="A866">
        <f>IF('FINANCIAL CREDITORS'!$A$304="","",'FINANCIAL CREDITORS'!$A$304)</f>
        <v/>
      </c>
      <c r="B866">
        <f>IF('FINANCIAL CREDITORS'!$C$304="","",'FINANCIAL CREDITORS'!$C$304)</f>
        <v/>
      </c>
      <c r="C866">
        <f>'FINANCIAL CREDITORS'!$U$304</f>
        <v/>
      </c>
      <c r="D866">
        <f>'FINANCIAL CREDITORS'!$AB$304</f>
        <v/>
      </c>
      <c r="E866">
        <f>'FINANCIAL CREDITORS'!$AF$304</f>
        <v/>
      </c>
      <c r="F866">
        <f>IF('FINANCIAL CREDITORS'!$V$304="","",'FINANCIAL CREDITORS'!$V$304)</f>
        <v/>
      </c>
      <c r="G866">
        <f>IF('FINANCIAL CREDITORS'!$D$304="","",'FINANCIAL CREDITORS'!$D$304)</f>
        <v/>
      </c>
      <c r="H866">
        <f>IF('FINANCIAL CREDITORS'!$G$304="","",'FINANCIAL CREDITORS'!$G$304)</f>
        <v/>
      </c>
      <c r="I866">
        <f>IF('FINANCIAL CREDITORS'!$AY$304="","",'FINANCIAL CREDITORS'!$AY$304)</f>
        <v/>
      </c>
      <c r="J866">
        <f>IF('FINANCIAL CREDITORS'!$BC$304="","",'FINANCIAL CREDITORS'!$BC$304)</f>
        <v/>
      </c>
      <c r="K866">
        <f>IF('FINANCIAL CREDITORS'!$N$304="","",'FINANCIAL CREDITORS'!$N$304)</f>
        <v/>
      </c>
      <c r="L866">
        <f>IF('FINANCIAL CREDITORS'!$AH$304="","",'FINANCIAL CREDITORS'!$AH$304)</f>
        <v/>
      </c>
      <c r="M866">
        <f>IF('FINANCIAL CREDITORS'!$AO$304="","",'FINANCIAL CREDITORS'!$AO$304)</f>
        <v/>
      </c>
      <c r="N866">
        <f>IF('FINANCIAL CREDITORS'!$BF$304="","",'FINANCIAL CREDITORS'!$BF$304)</f>
        <v/>
      </c>
      <c r="O866" t="inlineStr">
        <is>
          <t>FINANCIAL</t>
        </is>
      </c>
      <c r="P866" t="inlineStr">
        <is>
          <t>FINANCIAL CREDITORS · row 304</t>
        </is>
      </c>
      <c r="Q866">
        <f>E866+ROW()*0.000000001</f>
        <v/>
      </c>
    </row>
    <row r="867">
      <c r="A867">
        <f>IF('FINANCIAL CREDITORS'!$A$305="","",'FINANCIAL CREDITORS'!$A$305)</f>
        <v/>
      </c>
      <c r="B867">
        <f>IF('FINANCIAL CREDITORS'!$C$305="","",'FINANCIAL CREDITORS'!$C$305)</f>
        <v/>
      </c>
      <c r="C867">
        <f>'FINANCIAL CREDITORS'!$U$305</f>
        <v/>
      </c>
      <c r="D867">
        <f>'FINANCIAL CREDITORS'!$AB$305</f>
        <v/>
      </c>
      <c r="E867">
        <f>'FINANCIAL CREDITORS'!$AF$305</f>
        <v/>
      </c>
      <c r="F867">
        <f>IF('FINANCIAL CREDITORS'!$V$305="","",'FINANCIAL CREDITORS'!$V$305)</f>
        <v/>
      </c>
      <c r="G867">
        <f>IF('FINANCIAL CREDITORS'!$D$305="","",'FINANCIAL CREDITORS'!$D$305)</f>
        <v/>
      </c>
      <c r="H867">
        <f>IF('FINANCIAL CREDITORS'!$G$305="","",'FINANCIAL CREDITORS'!$G$305)</f>
        <v/>
      </c>
      <c r="I867">
        <f>IF('FINANCIAL CREDITORS'!$AY$305="","",'FINANCIAL CREDITORS'!$AY$305)</f>
        <v/>
      </c>
      <c r="J867">
        <f>IF('FINANCIAL CREDITORS'!$BC$305="","",'FINANCIAL CREDITORS'!$BC$305)</f>
        <v/>
      </c>
      <c r="K867">
        <f>IF('FINANCIAL CREDITORS'!$N$305="","",'FINANCIAL CREDITORS'!$N$305)</f>
        <v/>
      </c>
      <c r="L867">
        <f>IF('FINANCIAL CREDITORS'!$AH$305="","",'FINANCIAL CREDITORS'!$AH$305)</f>
        <v/>
      </c>
      <c r="M867">
        <f>IF('FINANCIAL CREDITORS'!$AO$305="","",'FINANCIAL CREDITORS'!$AO$305)</f>
        <v/>
      </c>
      <c r="N867">
        <f>IF('FINANCIAL CREDITORS'!$BF$305="","",'FINANCIAL CREDITORS'!$BF$305)</f>
        <v/>
      </c>
      <c r="O867" t="inlineStr">
        <is>
          <t>FINANCIAL</t>
        </is>
      </c>
      <c r="P867" t="inlineStr">
        <is>
          <t>FINANCIAL CREDITORS · row 305</t>
        </is>
      </c>
      <c r="Q867">
        <f>E867+ROW()*0.000000001</f>
        <v/>
      </c>
    </row>
    <row r="868">
      <c r="A868">
        <f>IF('FINANCIAL CREDITORS'!$A$306="","",'FINANCIAL CREDITORS'!$A$306)</f>
        <v/>
      </c>
      <c r="B868">
        <f>IF('FINANCIAL CREDITORS'!$C$306="","",'FINANCIAL CREDITORS'!$C$306)</f>
        <v/>
      </c>
      <c r="C868">
        <f>'FINANCIAL CREDITORS'!$U$306</f>
        <v/>
      </c>
      <c r="D868">
        <f>'FINANCIAL CREDITORS'!$AB$306</f>
        <v/>
      </c>
      <c r="E868">
        <f>'FINANCIAL CREDITORS'!$AF$306</f>
        <v/>
      </c>
      <c r="F868">
        <f>IF('FINANCIAL CREDITORS'!$V$306="","",'FINANCIAL CREDITORS'!$V$306)</f>
        <v/>
      </c>
      <c r="G868">
        <f>IF('FINANCIAL CREDITORS'!$D$306="","",'FINANCIAL CREDITORS'!$D$306)</f>
        <v/>
      </c>
      <c r="H868">
        <f>IF('FINANCIAL CREDITORS'!$G$306="","",'FINANCIAL CREDITORS'!$G$306)</f>
        <v/>
      </c>
      <c r="I868">
        <f>IF('FINANCIAL CREDITORS'!$AY$306="","",'FINANCIAL CREDITORS'!$AY$306)</f>
        <v/>
      </c>
      <c r="J868">
        <f>IF('FINANCIAL CREDITORS'!$BC$306="","",'FINANCIAL CREDITORS'!$BC$306)</f>
        <v/>
      </c>
      <c r="K868">
        <f>IF('FINANCIAL CREDITORS'!$N$306="","",'FINANCIAL CREDITORS'!$N$306)</f>
        <v/>
      </c>
      <c r="L868">
        <f>IF('FINANCIAL CREDITORS'!$AH$306="","",'FINANCIAL CREDITORS'!$AH$306)</f>
        <v/>
      </c>
      <c r="M868">
        <f>IF('FINANCIAL CREDITORS'!$AO$306="","",'FINANCIAL CREDITORS'!$AO$306)</f>
        <v/>
      </c>
      <c r="N868">
        <f>IF('FINANCIAL CREDITORS'!$BF$306="","",'FINANCIAL CREDITORS'!$BF$306)</f>
        <v/>
      </c>
      <c r="O868" t="inlineStr">
        <is>
          <t>FINANCIAL</t>
        </is>
      </c>
      <c r="P868" t="inlineStr">
        <is>
          <t>FINANCIAL CREDITORS · row 306</t>
        </is>
      </c>
      <c r="Q868">
        <f>E868+ROW()*0.000000001</f>
        <v/>
      </c>
    </row>
    <row r="869">
      <c r="A869">
        <f>IF('FINANCIAL CREDITORS'!$A$307="","",'FINANCIAL CREDITORS'!$A$307)</f>
        <v/>
      </c>
      <c r="B869">
        <f>IF('FINANCIAL CREDITORS'!$C$307="","",'FINANCIAL CREDITORS'!$C$307)</f>
        <v/>
      </c>
      <c r="C869">
        <f>'FINANCIAL CREDITORS'!$U$307</f>
        <v/>
      </c>
      <c r="D869">
        <f>'FINANCIAL CREDITORS'!$AB$307</f>
        <v/>
      </c>
      <c r="E869">
        <f>'FINANCIAL CREDITORS'!$AF$307</f>
        <v/>
      </c>
      <c r="F869">
        <f>IF('FINANCIAL CREDITORS'!$V$307="","",'FINANCIAL CREDITORS'!$V$307)</f>
        <v/>
      </c>
      <c r="G869">
        <f>IF('FINANCIAL CREDITORS'!$D$307="","",'FINANCIAL CREDITORS'!$D$307)</f>
        <v/>
      </c>
      <c r="H869">
        <f>IF('FINANCIAL CREDITORS'!$G$307="","",'FINANCIAL CREDITORS'!$G$307)</f>
        <v/>
      </c>
      <c r="I869">
        <f>IF('FINANCIAL CREDITORS'!$AY$307="","",'FINANCIAL CREDITORS'!$AY$307)</f>
        <v/>
      </c>
      <c r="J869">
        <f>IF('FINANCIAL CREDITORS'!$BC$307="","",'FINANCIAL CREDITORS'!$BC$307)</f>
        <v/>
      </c>
      <c r="K869">
        <f>IF('FINANCIAL CREDITORS'!$N$307="","",'FINANCIAL CREDITORS'!$N$307)</f>
        <v/>
      </c>
      <c r="L869">
        <f>IF('FINANCIAL CREDITORS'!$AH$307="","",'FINANCIAL CREDITORS'!$AH$307)</f>
        <v/>
      </c>
      <c r="M869">
        <f>IF('FINANCIAL CREDITORS'!$AO$307="","",'FINANCIAL CREDITORS'!$AO$307)</f>
        <v/>
      </c>
      <c r="N869">
        <f>IF('FINANCIAL CREDITORS'!$BF$307="","",'FINANCIAL CREDITORS'!$BF$307)</f>
        <v/>
      </c>
      <c r="O869" t="inlineStr">
        <is>
          <t>FINANCIAL</t>
        </is>
      </c>
      <c r="P869" t="inlineStr">
        <is>
          <t>FINANCIAL CREDITORS · row 307</t>
        </is>
      </c>
      <c r="Q869">
        <f>E869+ROW()*0.000000001</f>
        <v/>
      </c>
    </row>
    <row r="870">
      <c r="A870">
        <f>IF('FINANCIAL CREDITORS'!$A$308="","",'FINANCIAL CREDITORS'!$A$308)</f>
        <v/>
      </c>
      <c r="B870">
        <f>IF('FINANCIAL CREDITORS'!$C$308="","",'FINANCIAL CREDITORS'!$C$308)</f>
        <v/>
      </c>
      <c r="C870">
        <f>'FINANCIAL CREDITORS'!$U$308</f>
        <v/>
      </c>
      <c r="D870">
        <f>'FINANCIAL CREDITORS'!$AB$308</f>
        <v/>
      </c>
      <c r="E870">
        <f>'FINANCIAL CREDITORS'!$AF$308</f>
        <v/>
      </c>
      <c r="F870">
        <f>IF('FINANCIAL CREDITORS'!$V$308="","",'FINANCIAL CREDITORS'!$V$308)</f>
        <v/>
      </c>
      <c r="G870">
        <f>IF('FINANCIAL CREDITORS'!$D$308="","",'FINANCIAL CREDITORS'!$D$308)</f>
        <v/>
      </c>
      <c r="H870">
        <f>IF('FINANCIAL CREDITORS'!$G$308="","",'FINANCIAL CREDITORS'!$G$308)</f>
        <v/>
      </c>
      <c r="I870">
        <f>IF('FINANCIAL CREDITORS'!$AY$308="","",'FINANCIAL CREDITORS'!$AY$308)</f>
        <v/>
      </c>
      <c r="J870">
        <f>IF('FINANCIAL CREDITORS'!$BC$308="","",'FINANCIAL CREDITORS'!$BC$308)</f>
        <v/>
      </c>
      <c r="K870">
        <f>IF('FINANCIAL CREDITORS'!$N$308="","",'FINANCIAL CREDITORS'!$N$308)</f>
        <v/>
      </c>
      <c r="L870">
        <f>IF('FINANCIAL CREDITORS'!$AH$308="","",'FINANCIAL CREDITORS'!$AH$308)</f>
        <v/>
      </c>
      <c r="M870">
        <f>IF('FINANCIAL CREDITORS'!$AO$308="","",'FINANCIAL CREDITORS'!$AO$308)</f>
        <v/>
      </c>
      <c r="N870">
        <f>IF('FINANCIAL CREDITORS'!$BF$308="","",'FINANCIAL CREDITORS'!$BF$308)</f>
        <v/>
      </c>
      <c r="O870" t="inlineStr">
        <is>
          <t>FINANCIAL</t>
        </is>
      </c>
      <c r="P870" t="inlineStr">
        <is>
          <t>FINANCIAL CREDITORS · row 308</t>
        </is>
      </c>
      <c r="Q870">
        <f>E870+ROW()*0.000000001</f>
        <v/>
      </c>
    </row>
    <row r="871">
      <c r="A871">
        <f>IF('FINANCIAL CREDITORS'!$A$309="","",'FINANCIAL CREDITORS'!$A$309)</f>
        <v/>
      </c>
      <c r="B871">
        <f>IF('FINANCIAL CREDITORS'!$C$309="","",'FINANCIAL CREDITORS'!$C$309)</f>
        <v/>
      </c>
      <c r="C871">
        <f>'FINANCIAL CREDITORS'!$U$309</f>
        <v/>
      </c>
      <c r="D871">
        <f>'FINANCIAL CREDITORS'!$AB$309</f>
        <v/>
      </c>
      <c r="E871">
        <f>'FINANCIAL CREDITORS'!$AF$309</f>
        <v/>
      </c>
      <c r="F871">
        <f>IF('FINANCIAL CREDITORS'!$V$309="","",'FINANCIAL CREDITORS'!$V$309)</f>
        <v/>
      </c>
      <c r="G871">
        <f>IF('FINANCIAL CREDITORS'!$D$309="","",'FINANCIAL CREDITORS'!$D$309)</f>
        <v/>
      </c>
      <c r="H871">
        <f>IF('FINANCIAL CREDITORS'!$G$309="","",'FINANCIAL CREDITORS'!$G$309)</f>
        <v/>
      </c>
      <c r="I871">
        <f>IF('FINANCIAL CREDITORS'!$AY$309="","",'FINANCIAL CREDITORS'!$AY$309)</f>
        <v/>
      </c>
      <c r="J871">
        <f>IF('FINANCIAL CREDITORS'!$BC$309="","",'FINANCIAL CREDITORS'!$BC$309)</f>
        <v/>
      </c>
      <c r="K871">
        <f>IF('FINANCIAL CREDITORS'!$N$309="","",'FINANCIAL CREDITORS'!$N$309)</f>
        <v/>
      </c>
      <c r="L871">
        <f>IF('FINANCIAL CREDITORS'!$AH$309="","",'FINANCIAL CREDITORS'!$AH$309)</f>
        <v/>
      </c>
      <c r="M871">
        <f>IF('FINANCIAL CREDITORS'!$AO$309="","",'FINANCIAL CREDITORS'!$AO$309)</f>
        <v/>
      </c>
      <c r="N871">
        <f>IF('FINANCIAL CREDITORS'!$BF$309="","",'FINANCIAL CREDITORS'!$BF$309)</f>
        <v/>
      </c>
      <c r="O871" t="inlineStr">
        <is>
          <t>FINANCIAL</t>
        </is>
      </c>
      <c r="P871" t="inlineStr">
        <is>
          <t>FINANCIAL CREDITORS · row 309</t>
        </is>
      </c>
      <c r="Q871">
        <f>E871+ROW()*0.000000001</f>
        <v/>
      </c>
    </row>
    <row r="872">
      <c r="A872">
        <f>IF('FINANCIAL CREDITORS'!$A$310="","",'FINANCIAL CREDITORS'!$A$310)</f>
        <v/>
      </c>
      <c r="B872">
        <f>IF('FINANCIAL CREDITORS'!$C$310="","",'FINANCIAL CREDITORS'!$C$310)</f>
        <v/>
      </c>
      <c r="C872">
        <f>'FINANCIAL CREDITORS'!$U$310</f>
        <v/>
      </c>
      <c r="D872">
        <f>'FINANCIAL CREDITORS'!$AB$310</f>
        <v/>
      </c>
      <c r="E872">
        <f>'FINANCIAL CREDITORS'!$AF$310</f>
        <v/>
      </c>
      <c r="F872">
        <f>IF('FINANCIAL CREDITORS'!$V$310="","",'FINANCIAL CREDITORS'!$V$310)</f>
        <v/>
      </c>
      <c r="G872">
        <f>IF('FINANCIAL CREDITORS'!$D$310="","",'FINANCIAL CREDITORS'!$D$310)</f>
        <v/>
      </c>
      <c r="H872">
        <f>IF('FINANCIAL CREDITORS'!$G$310="","",'FINANCIAL CREDITORS'!$G$310)</f>
        <v/>
      </c>
      <c r="I872">
        <f>IF('FINANCIAL CREDITORS'!$AY$310="","",'FINANCIAL CREDITORS'!$AY$310)</f>
        <v/>
      </c>
      <c r="J872">
        <f>IF('FINANCIAL CREDITORS'!$BC$310="","",'FINANCIAL CREDITORS'!$BC$310)</f>
        <v/>
      </c>
      <c r="K872">
        <f>IF('FINANCIAL CREDITORS'!$N$310="","",'FINANCIAL CREDITORS'!$N$310)</f>
        <v/>
      </c>
      <c r="L872">
        <f>IF('FINANCIAL CREDITORS'!$AH$310="","",'FINANCIAL CREDITORS'!$AH$310)</f>
        <v/>
      </c>
      <c r="M872">
        <f>IF('FINANCIAL CREDITORS'!$AO$310="","",'FINANCIAL CREDITORS'!$AO$310)</f>
        <v/>
      </c>
      <c r="N872">
        <f>IF('FINANCIAL CREDITORS'!$BF$310="","",'FINANCIAL CREDITORS'!$BF$310)</f>
        <v/>
      </c>
      <c r="O872" t="inlineStr">
        <is>
          <t>FINANCIAL</t>
        </is>
      </c>
      <c r="P872" t="inlineStr">
        <is>
          <t>FINANCIAL CREDITORS · row 310</t>
        </is>
      </c>
      <c r="Q872">
        <f>E872+ROW()*0.000000001</f>
        <v/>
      </c>
    </row>
    <row r="873">
      <c r="A873">
        <f>IF('FINANCIAL CREDITORS'!$A$311="","",'FINANCIAL CREDITORS'!$A$311)</f>
        <v/>
      </c>
      <c r="B873">
        <f>IF('FINANCIAL CREDITORS'!$C$311="","",'FINANCIAL CREDITORS'!$C$311)</f>
        <v/>
      </c>
      <c r="C873">
        <f>'FINANCIAL CREDITORS'!$U$311</f>
        <v/>
      </c>
      <c r="D873">
        <f>'FINANCIAL CREDITORS'!$AB$311</f>
        <v/>
      </c>
      <c r="E873">
        <f>'FINANCIAL CREDITORS'!$AF$311</f>
        <v/>
      </c>
      <c r="F873">
        <f>IF('FINANCIAL CREDITORS'!$V$311="","",'FINANCIAL CREDITORS'!$V$311)</f>
        <v/>
      </c>
      <c r="G873">
        <f>IF('FINANCIAL CREDITORS'!$D$311="","",'FINANCIAL CREDITORS'!$D$311)</f>
        <v/>
      </c>
      <c r="H873">
        <f>IF('FINANCIAL CREDITORS'!$G$311="","",'FINANCIAL CREDITORS'!$G$311)</f>
        <v/>
      </c>
      <c r="I873">
        <f>IF('FINANCIAL CREDITORS'!$AY$311="","",'FINANCIAL CREDITORS'!$AY$311)</f>
        <v/>
      </c>
      <c r="J873">
        <f>IF('FINANCIAL CREDITORS'!$BC$311="","",'FINANCIAL CREDITORS'!$BC$311)</f>
        <v/>
      </c>
      <c r="K873">
        <f>IF('FINANCIAL CREDITORS'!$N$311="","",'FINANCIAL CREDITORS'!$N$311)</f>
        <v/>
      </c>
      <c r="L873">
        <f>IF('FINANCIAL CREDITORS'!$AH$311="","",'FINANCIAL CREDITORS'!$AH$311)</f>
        <v/>
      </c>
      <c r="M873">
        <f>IF('FINANCIAL CREDITORS'!$AO$311="","",'FINANCIAL CREDITORS'!$AO$311)</f>
        <v/>
      </c>
      <c r="N873">
        <f>IF('FINANCIAL CREDITORS'!$BF$311="","",'FINANCIAL CREDITORS'!$BF$311)</f>
        <v/>
      </c>
      <c r="O873" t="inlineStr">
        <is>
          <t>FINANCIAL</t>
        </is>
      </c>
      <c r="P873" t="inlineStr">
        <is>
          <t>FINANCIAL CREDITORS · row 311</t>
        </is>
      </c>
      <c r="Q873">
        <f>E873+ROW()*0.000000001</f>
        <v/>
      </c>
    </row>
    <row r="874">
      <c r="A874">
        <f>IF('FINANCIAL CREDITORS'!$A$312="","",'FINANCIAL CREDITORS'!$A$312)</f>
        <v/>
      </c>
      <c r="B874">
        <f>IF('FINANCIAL CREDITORS'!$C$312="","",'FINANCIAL CREDITORS'!$C$312)</f>
        <v/>
      </c>
      <c r="C874">
        <f>'FINANCIAL CREDITORS'!$U$312</f>
        <v/>
      </c>
      <c r="D874">
        <f>'FINANCIAL CREDITORS'!$AB$312</f>
        <v/>
      </c>
      <c r="E874">
        <f>'FINANCIAL CREDITORS'!$AF$312</f>
        <v/>
      </c>
      <c r="F874">
        <f>IF('FINANCIAL CREDITORS'!$V$312="","",'FINANCIAL CREDITORS'!$V$312)</f>
        <v/>
      </c>
      <c r="G874">
        <f>IF('FINANCIAL CREDITORS'!$D$312="","",'FINANCIAL CREDITORS'!$D$312)</f>
        <v/>
      </c>
      <c r="H874">
        <f>IF('FINANCIAL CREDITORS'!$G$312="","",'FINANCIAL CREDITORS'!$G$312)</f>
        <v/>
      </c>
      <c r="I874">
        <f>IF('FINANCIAL CREDITORS'!$AY$312="","",'FINANCIAL CREDITORS'!$AY$312)</f>
        <v/>
      </c>
      <c r="J874">
        <f>IF('FINANCIAL CREDITORS'!$BC$312="","",'FINANCIAL CREDITORS'!$BC$312)</f>
        <v/>
      </c>
      <c r="K874">
        <f>IF('FINANCIAL CREDITORS'!$N$312="","",'FINANCIAL CREDITORS'!$N$312)</f>
        <v/>
      </c>
      <c r="L874">
        <f>IF('FINANCIAL CREDITORS'!$AH$312="","",'FINANCIAL CREDITORS'!$AH$312)</f>
        <v/>
      </c>
      <c r="M874">
        <f>IF('FINANCIAL CREDITORS'!$AO$312="","",'FINANCIAL CREDITORS'!$AO$312)</f>
        <v/>
      </c>
      <c r="N874">
        <f>IF('FINANCIAL CREDITORS'!$BF$312="","",'FINANCIAL CREDITORS'!$BF$312)</f>
        <v/>
      </c>
      <c r="O874" t="inlineStr">
        <is>
          <t>FINANCIAL</t>
        </is>
      </c>
      <c r="P874" t="inlineStr">
        <is>
          <t>FINANCIAL CREDITORS · row 312</t>
        </is>
      </c>
      <c r="Q874">
        <f>E874+ROW()*0.000000001</f>
        <v/>
      </c>
    </row>
    <row r="875">
      <c r="A875">
        <f>IF('FINANCIAL CREDITORS'!$A$313="","",'FINANCIAL CREDITORS'!$A$313)</f>
        <v/>
      </c>
      <c r="B875">
        <f>IF('FINANCIAL CREDITORS'!$C$313="","",'FINANCIAL CREDITORS'!$C$313)</f>
        <v/>
      </c>
      <c r="C875">
        <f>'FINANCIAL CREDITORS'!$U$313</f>
        <v/>
      </c>
      <c r="D875">
        <f>'FINANCIAL CREDITORS'!$AB$313</f>
        <v/>
      </c>
      <c r="E875">
        <f>'FINANCIAL CREDITORS'!$AF$313</f>
        <v/>
      </c>
      <c r="F875">
        <f>IF('FINANCIAL CREDITORS'!$V$313="","",'FINANCIAL CREDITORS'!$V$313)</f>
        <v/>
      </c>
      <c r="G875">
        <f>IF('FINANCIAL CREDITORS'!$D$313="","",'FINANCIAL CREDITORS'!$D$313)</f>
        <v/>
      </c>
      <c r="H875">
        <f>IF('FINANCIAL CREDITORS'!$G$313="","",'FINANCIAL CREDITORS'!$G$313)</f>
        <v/>
      </c>
      <c r="I875">
        <f>IF('FINANCIAL CREDITORS'!$AY$313="","",'FINANCIAL CREDITORS'!$AY$313)</f>
        <v/>
      </c>
      <c r="J875">
        <f>IF('FINANCIAL CREDITORS'!$BC$313="","",'FINANCIAL CREDITORS'!$BC$313)</f>
        <v/>
      </c>
      <c r="K875">
        <f>IF('FINANCIAL CREDITORS'!$N$313="","",'FINANCIAL CREDITORS'!$N$313)</f>
        <v/>
      </c>
      <c r="L875">
        <f>IF('FINANCIAL CREDITORS'!$AH$313="","",'FINANCIAL CREDITORS'!$AH$313)</f>
        <v/>
      </c>
      <c r="M875">
        <f>IF('FINANCIAL CREDITORS'!$AO$313="","",'FINANCIAL CREDITORS'!$AO$313)</f>
        <v/>
      </c>
      <c r="N875">
        <f>IF('FINANCIAL CREDITORS'!$BF$313="","",'FINANCIAL CREDITORS'!$BF$313)</f>
        <v/>
      </c>
      <c r="O875" t="inlineStr">
        <is>
          <t>FINANCIAL</t>
        </is>
      </c>
      <c r="P875" t="inlineStr">
        <is>
          <t>FINANCIAL CREDITORS · row 313</t>
        </is>
      </c>
      <c r="Q875">
        <f>E875+ROW()*0.000000001</f>
        <v/>
      </c>
    </row>
    <row r="876">
      <c r="A876">
        <f>IF('FINANCIAL CREDITORS'!$A$314="","",'FINANCIAL CREDITORS'!$A$314)</f>
        <v/>
      </c>
      <c r="B876">
        <f>IF('FINANCIAL CREDITORS'!$C$314="","",'FINANCIAL CREDITORS'!$C$314)</f>
        <v/>
      </c>
      <c r="C876">
        <f>'FINANCIAL CREDITORS'!$U$314</f>
        <v/>
      </c>
      <c r="D876">
        <f>'FINANCIAL CREDITORS'!$AB$314</f>
        <v/>
      </c>
      <c r="E876">
        <f>'FINANCIAL CREDITORS'!$AF$314</f>
        <v/>
      </c>
      <c r="F876">
        <f>IF('FINANCIAL CREDITORS'!$V$314="","",'FINANCIAL CREDITORS'!$V$314)</f>
        <v/>
      </c>
      <c r="G876">
        <f>IF('FINANCIAL CREDITORS'!$D$314="","",'FINANCIAL CREDITORS'!$D$314)</f>
        <v/>
      </c>
      <c r="H876">
        <f>IF('FINANCIAL CREDITORS'!$G$314="","",'FINANCIAL CREDITORS'!$G$314)</f>
        <v/>
      </c>
      <c r="I876">
        <f>IF('FINANCIAL CREDITORS'!$AY$314="","",'FINANCIAL CREDITORS'!$AY$314)</f>
        <v/>
      </c>
      <c r="J876">
        <f>IF('FINANCIAL CREDITORS'!$BC$314="","",'FINANCIAL CREDITORS'!$BC$314)</f>
        <v/>
      </c>
      <c r="K876">
        <f>IF('FINANCIAL CREDITORS'!$N$314="","",'FINANCIAL CREDITORS'!$N$314)</f>
        <v/>
      </c>
      <c r="L876">
        <f>IF('FINANCIAL CREDITORS'!$AH$314="","",'FINANCIAL CREDITORS'!$AH$314)</f>
        <v/>
      </c>
      <c r="M876">
        <f>IF('FINANCIAL CREDITORS'!$AO$314="","",'FINANCIAL CREDITORS'!$AO$314)</f>
        <v/>
      </c>
      <c r="N876">
        <f>IF('FINANCIAL CREDITORS'!$BF$314="","",'FINANCIAL CREDITORS'!$BF$314)</f>
        <v/>
      </c>
      <c r="O876" t="inlineStr">
        <is>
          <t>FINANCIAL</t>
        </is>
      </c>
      <c r="P876" t="inlineStr">
        <is>
          <t>FINANCIAL CREDITORS · row 314</t>
        </is>
      </c>
      <c r="Q876">
        <f>E876+ROW()*0.000000001</f>
        <v/>
      </c>
    </row>
    <row r="877">
      <c r="A877">
        <f>IF('FINANCIAL CREDITORS'!$A$315="","",'FINANCIAL CREDITORS'!$A$315)</f>
        <v/>
      </c>
      <c r="B877">
        <f>IF('FINANCIAL CREDITORS'!$C$315="","",'FINANCIAL CREDITORS'!$C$315)</f>
        <v/>
      </c>
      <c r="C877">
        <f>'FINANCIAL CREDITORS'!$U$315</f>
        <v/>
      </c>
      <c r="D877">
        <f>'FINANCIAL CREDITORS'!$AB$315</f>
        <v/>
      </c>
      <c r="E877">
        <f>'FINANCIAL CREDITORS'!$AF$315</f>
        <v/>
      </c>
      <c r="F877">
        <f>IF('FINANCIAL CREDITORS'!$V$315="","",'FINANCIAL CREDITORS'!$V$315)</f>
        <v/>
      </c>
      <c r="G877">
        <f>IF('FINANCIAL CREDITORS'!$D$315="","",'FINANCIAL CREDITORS'!$D$315)</f>
        <v/>
      </c>
      <c r="H877">
        <f>IF('FINANCIAL CREDITORS'!$G$315="","",'FINANCIAL CREDITORS'!$G$315)</f>
        <v/>
      </c>
      <c r="I877">
        <f>IF('FINANCIAL CREDITORS'!$AY$315="","",'FINANCIAL CREDITORS'!$AY$315)</f>
        <v/>
      </c>
      <c r="J877">
        <f>IF('FINANCIAL CREDITORS'!$BC$315="","",'FINANCIAL CREDITORS'!$BC$315)</f>
        <v/>
      </c>
      <c r="K877">
        <f>IF('FINANCIAL CREDITORS'!$N$315="","",'FINANCIAL CREDITORS'!$N$315)</f>
        <v/>
      </c>
      <c r="L877">
        <f>IF('FINANCIAL CREDITORS'!$AH$315="","",'FINANCIAL CREDITORS'!$AH$315)</f>
        <v/>
      </c>
      <c r="M877">
        <f>IF('FINANCIAL CREDITORS'!$AO$315="","",'FINANCIAL CREDITORS'!$AO$315)</f>
        <v/>
      </c>
      <c r="N877">
        <f>IF('FINANCIAL CREDITORS'!$BF$315="","",'FINANCIAL CREDITORS'!$BF$315)</f>
        <v/>
      </c>
      <c r="O877" t="inlineStr">
        <is>
          <t>FINANCIAL</t>
        </is>
      </c>
      <c r="P877" t="inlineStr">
        <is>
          <t>FINANCIAL CREDITORS · row 315</t>
        </is>
      </c>
      <c r="Q877">
        <f>E877+ROW()*0.000000001</f>
        <v/>
      </c>
    </row>
    <row r="878">
      <c r="A878">
        <f>IF('FINANCIAL CREDITORS'!$A$316="","",'FINANCIAL CREDITORS'!$A$316)</f>
        <v/>
      </c>
      <c r="B878">
        <f>IF('FINANCIAL CREDITORS'!$C$316="","",'FINANCIAL CREDITORS'!$C$316)</f>
        <v/>
      </c>
      <c r="C878">
        <f>'FINANCIAL CREDITORS'!$U$316</f>
        <v/>
      </c>
      <c r="D878">
        <f>'FINANCIAL CREDITORS'!$AB$316</f>
        <v/>
      </c>
      <c r="E878">
        <f>'FINANCIAL CREDITORS'!$AF$316</f>
        <v/>
      </c>
      <c r="F878">
        <f>IF('FINANCIAL CREDITORS'!$V$316="","",'FINANCIAL CREDITORS'!$V$316)</f>
        <v/>
      </c>
      <c r="G878">
        <f>IF('FINANCIAL CREDITORS'!$D$316="","",'FINANCIAL CREDITORS'!$D$316)</f>
        <v/>
      </c>
      <c r="H878">
        <f>IF('FINANCIAL CREDITORS'!$G$316="","",'FINANCIAL CREDITORS'!$G$316)</f>
        <v/>
      </c>
      <c r="I878">
        <f>IF('FINANCIAL CREDITORS'!$AY$316="","",'FINANCIAL CREDITORS'!$AY$316)</f>
        <v/>
      </c>
      <c r="J878">
        <f>IF('FINANCIAL CREDITORS'!$BC$316="","",'FINANCIAL CREDITORS'!$BC$316)</f>
        <v/>
      </c>
      <c r="K878">
        <f>IF('FINANCIAL CREDITORS'!$N$316="","",'FINANCIAL CREDITORS'!$N$316)</f>
        <v/>
      </c>
      <c r="L878">
        <f>IF('FINANCIAL CREDITORS'!$AH$316="","",'FINANCIAL CREDITORS'!$AH$316)</f>
        <v/>
      </c>
      <c r="M878">
        <f>IF('FINANCIAL CREDITORS'!$AO$316="","",'FINANCIAL CREDITORS'!$AO$316)</f>
        <v/>
      </c>
      <c r="N878">
        <f>IF('FINANCIAL CREDITORS'!$BF$316="","",'FINANCIAL CREDITORS'!$BF$316)</f>
        <v/>
      </c>
      <c r="O878" t="inlineStr">
        <is>
          <t>FINANCIAL</t>
        </is>
      </c>
      <c r="P878" t="inlineStr">
        <is>
          <t>FINANCIAL CREDITORS · row 316</t>
        </is>
      </c>
      <c r="Q878">
        <f>E878+ROW()*0.000000001</f>
        <v/>
      </c>
    </row>
    <row r="879">
      <c r="A879">
        <f>IF('FINANCIAL CREDITORS'!$A$317="","",'FINANCIAL CREDITORS'!$A$317)</f>
        <v/>
      </c>
      <c r="B879">
        <f>IF('FINANCIAL CREDITORS'!$C$317="","",'FINANCIAL CREDITORS'!$C$317)</f>
        <v/>
      </c>
      <c r="C879">
        <f>'FINANCIAL CREDITORS'!$U$317</f>
        <v/>
      </c>
      <c r="D879">
        <f>'FINANCIAL CREDITORS'!$AB$317</f>
        <v/>
      </c>
      <c r="E879">
        <f>'FINANCIAL CREDITORS'!$AF$317</f>
        <v/>
      </c>
      <c r="F879">
        <f>IF('FINANCIAL CREDITORS'!$V$317="","",'FINANCIAL CREDITORS'!$V$317)</f>
        <v/>
      </c>
      <c r="G879">
        <f>IF('FINANCIAL CREDITORS'!$D$317="","",'FINANCIAL CREDITORS'!$D$317)</f>
        <v/>
      </c>
      <c r="H879">
        <f>IF('FINANCIAL CREDITORS'!$G$317="","",'FINANCIAL CREDITORS'!$G$317)</f>
        <v/>
      </c>
      <c r="I879">
        <f>IF('FINANCIAL CREDITORS'!$AY$317="","",'FINANCIAL CREDITORS'!$AY$317)</f>
        <v/>
      </c>
      <c r="J879">
        <f>IF('FINANCIAL CREDITORS'!$BC$317="","",'FINANCIAL CREDITORS'!$BC$317)</f>
        <v/>
      </c>
      <c r="K879">
        <f>IF('FINANCIAL CREDITORS'!$N$317="","",'FINANCIAL CREDITORS'!$N$317)</f>
        <v/>
      </c>
      <c r="L879">
        <f>IF('FINANCIAL CREDITORS'!$AH$317="","",'FINANCIAL CREDITORS'!$AH$317)</f>
        <v/>
      </c>
      <c r="M879">
        <f>IF('FINANCIAL CREDITORS'!$AO$317="","",'FINANCIAL CREDITORS'!$AO$317)</f>
        <v/>
      </c>
      <c r="N879">
        <f>IF('FINANCIAL CREDITORS'!$BF$317="","",'FINANCIAL CREDITORS'!$BF$317)</f>
        <v/>
      </c>
      <c r="O879" t="inlineStr">
        <is>
          <t>FINANCIAL</t>
        </is>
      </c>
      <c r="P879" t="inlineStr">
        <is>
          <t>FINANCIAL CREDITORS · row 317</t>
        </is>
      </c>
      <c r="Q879">
        <f>E879+ROW()*0.000000001</f>
        <v/>
      </c>
    </row>
    <row r="880">
      <c r="A880">
        <f>IF('FINANCIAL CREDITORS'!$A$318="","",'FINANCIAL CREDITORS'!$A$318)</f>
        <v/>
      </c>
      <c r="B880">
        <f>IF('FINANCIAL CREDITORS'!$C$318="","",'FINANCIAL CREDITORS'!$C$318)</f>
        <v/>
      </c>
      <c r="C880">
        <f>'FINANCIAL CREDITORS'!$U$318</f>
        <v/>
      </c>
      <c r="D880">
        <f>'FINANCIAL CREDITORS'!$AB$318</f>
        <v/>
      </c>
      <c r="E880">
        <f>'FINANCIAL CREDITORS'!$AF$318</f>
        <v/>
      </c>
      <c r="F880">
        <f>IF('FINANCIAL CREDITORS'!$V$318="","",'FINANCIAL CREDITORS'!$V$318)</f>
        <v/>
      </c>
      <c r="G880">
        <f>IF('FINANCIAL CREDITORS'!$D$318="","",'FINANCIAL CREDITORS'!$D$318)</f>
        <v/>
      </c>
      <c r="H880">
        <f>IF('FINANCIAL CREDITORS'!$G$318="","",'FINANCIAL CREDITORS'!$G$318)</f>
        <v/>
      </c>
      <c r="I880">
        <f>IF('FINANCIAL CREDITORS'!$AY$318="","",'FINANCIAL CREDITORS'!$AY$318)</f>
        <v/>
      </c>
      <c r="J880">
        <f>IF('FINANCIAL CREDITORS'!$BC$318="","",'FINANCIAL CREDITORS'!$BC$318)</f>
        <v/>
      </c>
      <c r="K880">
        <f>IF('FINANCIAL CREDITORS'!$N$318="","",'FINANCIAL CREDITORS'!$N$318)</f>
        <v/>
      </c>
      <c r="L880">
        <f>IF('FINANCIAL CREDITORS'!$AH$318="","",'FINANCIAL CREDITORS'!$AH$318)</f>
        <v/>
      </c>
      <c r="M880">
        <f>IF('FINANCIAL CREDITORS'!$AO$318="","",'FINANCIAL CREDITORS'!$AO$318)</f>
        <v/>
      </c>
      <c r="N880">
        <f>IF('FINANCIAL CREDITORS'!$BF$318="","",'FINANCIAL CREDITORS'!$BF$318)</f>
        <v/>
      </c>
      <c r="O880" t="inlineStr">
        <is>
          <t>FINANCIAL</t>
        </is>
      </c>
      <c r="P880" t="inlineStr">
        <is>
          <t>FINANCIAL CREDITORS · row 318</t>
        </is>
      </c>
      <c r="Q880">
        <f>E880+ROW()*0.000000001</f>
        <v/>
      </c>
    </row>
    <row r="881">
      <c r="A881">
        <f>IF('FINANCIAL CREDITORS'!$A$319="","",'FINANCIAL CREDITORS'!$A$319)</f>
        <v/>
      </c>
      <c r="B881">
        <f>IF('FINANCIAL CREDITORS'!$C$319="","",'FINANCIAL CREDITORS'!$C$319)</f>
        <v/>
      </c>
      <c r="C881">
        <f>'FINANCIAL CREDITORS'!$U$319</f>
        <v/>
      </c>
      <c r="D881">
        <f>'FINANCIAL CREDITORS'!$AB$319</f>
        <v/>
      </c>
      <c r="E881">
        <f>'FINANCIAL CREDITORS'!$AF$319</f>
        <v/>
      </c>
      <c r="F881">
        <f>IF('FINANCIAL CREDITORS'!$V$319="","",'FINANCIAL CREDITORS'!$V$319)</f>
        <v/>
      </c>
      <c r="G881">
        <f>IF('FINANCIAL CREDITORS'!$D$319="","",'FINANCIAL CREDITORS'!$D$319)</f>
        <v/>
      </c>
      <c r="H881">
        <f>IF('FINANCIAL CREDITORS'!$G$319="","",'FINANCIAL CREDITORS'!$G$319)</f>
        <v/>
      </c>
      <c r="I881">
        <f>IF('FINANCIAL CREDITORS'!$AY$319="","",'FINANCIAL CREDITORS'!$AY$319)</f>
        <v/>
      </c>
      <c r="J881">
        <f>IF('FINANCIAL CREDITORS'!$BC$319="","",'FINANCIAL CREDITORS'!$BC$319)</f>
        <v/>
      </c>
      <c r="K881">
        <f>IF('FINANCIAL CREDITORS'!$N$319="","",'FINANCIAL CREDITORS'!$N$319)</f>
        <v/>
      </c>
      <c r="L881">
        <f>IF('FINANCIAL CREDITORS'!$AH$319="","",'FINANCIAL CREDITORS'!$AH$319)</f>
        <v/>
      </c>
      <c r="M881">
        <f>IF('FINANCIAL CREDITORS'!$AO$319="","",'FINANCIAL CREDITORS'!$AO$319)</f>
        <v/>
      </c>
      <c r="N881">
        <f>IF('FINANCIAL CREDITORS'!$BF$319="","",'FINANCIAL CREDITORS'!$BF$319)</f>
        <v/>
      </c>
      <c r="O881" t="inlineStr">
        <is>
          <t>FINANCIAL</t>
        </is>
      </c>
      <c r="P881" t="inlineStr">
        <is>
          <t>FINANCIAL CREDITORS · row 319</t>
        </is>
      </c>
      <c r="Q881">
        <f>E881+ROW()*0.000000001</f>
        <v/>
      </c>
    </row>
    <row r="882">
      <c r="A882">
        <f>IF('FINANCIAL CREDITORS'!$A$320="","",'FINANCIAL CREDITORS'!$A$320)</f>
        <v/>
      </c>
      <c r="B882">
        <f>IF('FINANCIAL CREDITORS'!$C$320="","",'FINANCIAL CREDITORS'!$C$320)</f>
        <v/>
      </c>
      <c r="C882">
        <f>'FINANCIAL CREDITORS'!$U$320</f>
        <v/>
      </c>
      <c r="D882">
        <f>'FINANCIAL CREDITORS'!$AB$320</f>
        <v/>
      </c>
      <c r="E882">
        <f>'FINANCIAL CREDITORS'!$AF$320</f>
        <v/>
      </c>
      <c r="F882">
        <f>IF('FINANCIAL CREDITORS'!$V$320="","",'FINANCIAL CREDITORS'!$V$320)</f>
        <v/>
      </c>
      <c r="G882">
        <f>IF('FINANCIAL CREDITORS'!$D$320="","",'FINANCIAL CREDITORS'!$D$320)</f>
        <v/>
      </c>
      <c r="H882">
        <f>IF('FINANCIAL CREDITORS'!$G$320="","",'FINANCIAL CREDITORS'!$G$320)</f>
        <v/>
      </c>
      <c r="I882">
        <f>IF('FINANCIAL CREDITORS'!$AY$320="","",'FINANCIAL CREDITORS'!$AY$320)</f>
        <v/>
      </c>
      <c r="J882">
        <f>IF('FINANCIAL CREDITORS'!$BC$320="","",'FINANCIAL CREDITORS'!$BC$320)</f>
        <v/>
      </c>
      <c r="K882">
        <f>IF('FINANCIAL CREDITORS'!$N$320="","",'FINANCIAL CREDITORS'!$N$320)</f>
        <v/>
      </c>
      <c r="L882">
        <f>IF('FINANCIAL CREDITORS'!$AH$320="","",'FINANCIAL CREDITORS'!$AH$320)</f>
        <v/>
      </c>
      <c r="M882">
        <f>IF('FINANCIAL CREDITORS'!$AO$320="","",'FINANCIAL CREDITORS'!$AO$320)</f>
        <v/>
      </c>
      <c r="N882">
        <f>IF('FINANCIAL CREDITORS'!$BF$320="","",'FINANCIAL CREDITORS'!$BF$320)</f>
        <v/>
      </c>
      <c r="O882" t="inlineStr">
        <is>
          <t>FINANCIAL</t>
        </is>
      </c>
      <c r="P882" t="inlineStr">
        <is>
          <t>FINANCIAL CREDITORS · row 320</t>
        </is>
      </c>
      <c r="Q882">
        <f>E882+ROW()*0.000000001</f>
        <v/>
      </c>
    </row>
    <row r="883">
      <c r="A883">
        <f>IF('FINANCIAL CREDITORS'!$A$321="","",'FINANCIAL CREDITORS'!$A$321)</f>
        <v/>
      </c>
      <c r="B883">
        <f>IF('FINANCIAL CREDITORS'!$C$321="","",'FINANCIAL CREDITORS'!$C$321)</f>
        <v/>
      </c>
      <c r="C883">
        <f>'FINANCIAL CREDITORS'!$U$321</f>
        <v/>
      </c>
      <c r="D883">
        <f>'FINANCIAL CREDITORS'!$AB$321</f>
        <v/>
      </c>
      <c r="E883">
        <f>'FINANCIAL CREDITORS'!$AF$321</f>
        <v/>
      </c>
      <c r="F883">
        <f>IF('FINANCIAL CREDITORS'!$V$321="","",'FINANCIAL CREDITORS'!$V$321)</f>
        <v/>
      </c>
      <c r="G883">
        <f>IF('FINANCIAL CREDITORS'!$D$321="","",'FINANCIAL CREDITORS'!$D$321)</f>
        <v/>
      </c>
      <c r="H883">
        <f>IF('FINANCIAL CREDITORS'!$G$321="","",'FINANCIAL CREDITORS'!$G$321)</f>
        <v/>
      </c>
      <c r="I883">
        <f>IF('FINANCIAL CREDITORS'!$AY$321="","",'FINANCIAL CREDITORS'!$AY$321)</f>
        <v/>
      </c>
      <c r="J883">
        <f>IF('FINANCIAL CREDITORS'!$BC$321="","",'FINANCIAL CREDITORS'!$BC$321)</f>
        <v/>
      </c>
      <c r="K883">
        <f>IF('FINANCIAL CREDITORS'!$N$321="","",'FINANCIAL CREDITORS'!$N$321)</f>
        <v/>
      </c>
      <c r="L883">
        <f>IF('FINANCIAL CREDITORS'!$AH$321="","",'FINANCIAL CREDITORS'!$AH$321)</f>
        <v/>
      </c>
      <c r="M883">
        <f>IF('FINANCIAL CREDITORS'!$AO$321="","",'FINANCIAL CREDITORS'!$AO$321)</f>
        <v/>
      </c>
      <c r="N883">
        <f>IF('FINANCIAL CREDITORS'!$BF$321="","",'FINANCIAL CREDITORS'!$BF$321)</f>
        <v/>
      </c>
      <c r="O883" t="inlineStr">
        <is>
          <t>FINANCIAL</t>
        </is>
      </c>
      <c r="P883" t="inlineStr">
        <is>
          <t>FINANCIAL CREDITORS · row 321</t>
        </is>
      </c>
      <c r="Q883">
        <f>E883+ROW()*0.000000001</f>
        <v/>
      </c>
    </row>
    <row r="884">
      <c r="A884">
        <f>IF('FINANCIAL CREDITORS'!$A$322="","",'FINANCIAL CREDITORS'!$A$322)</f>
        <v/>
      </c>
      <c r="B884">
        <f>IF('FINANCIAL CREDITORS'!$C$322="","",'FINANCIAL CREDITORS'!$C$322)</f>
        <v/>
      </c>
      <c r="C884">
        <f>'FINANCIAL CREDITORS'!$U$322</f>
        <v/>
      </c>
      <c r="D884">
        <f>'FINANCIAL CREDITORS'!$AB$322</f>
        <v/>
      </c>
      <c r="E884">
        <f>'FINANCIAL CREDITORS'!$AF$322</f>
        <v/>
      </c>
      <c r="F884">
        <f>IF('FINANCIAL CREDITORS'!$V$322="","",'FINANCIAL CREDITORS'!$V$322)</f>
        <v/>
      </c>
      <c r="G884">
        <f>IF('FINANCIAL CREDITORS'!$D$322="","",'FINANCIAL CREDITORS'!$D$322)</f>
        <v/>
      </c>
      <c r="H884">
        <f>IF('FINANCIAL CREDITORS'!$G$322="","",'FINANCIAL CREDITORS'!$G$322)</f>
        <v/>
      </c>
      <c r="I884">
        <f>IF('FINANCIAL CREDITORS'!$AY$322="","",'FINANCIAL CREDITORS'!$AY$322)</f>
        <v/>
      </c>
      <c r="J884">
        <f>IF('FINANCIAL CREDITORS'!$BC$322="","",'FINANCIAL CREDITORS'!$BC$322)</f>
        <v/>
      </c>
      <c r="K884">
        <f>IF('FINANCIAL CREDITORS'!$N$322="","",'FINANCIAL CREDITORS'!$N$322)</f>
        <v/>
      </c>
      <c r="L884">
        <f>IF('FINANCIAL CREDITORS'!$AH$322="","",'FINANCIAL CREDITORS'!$AH$322)</f>
        <v/>
      </c>
      <c r="M884">
        <f>IF('FINANCIAL CREDITORS'!$AO$322="","",'FINANCIAL CREDITORS'!$AO$322)</f>
        <v/>
      </c>
      <c r="N884">
        <f>IF('FINANCIAL CREDITORS'!$BF$322="","",'FINANCIAL CREDITORS'!$BF$322)</f>
        <v/>
      </c>
      <c r="O884" t="inlineStr">
        <is>
          <t>FINANCIAL</t>
        </is>
      </c>
      <c r="P884" t="inlineStr">
        <is>
          <t>FINANCIAL CREDITORS · row 322</t>
        </is>
      </c>
      <c r="Q884">
        <f>E884+ROW()*0.000000001</f>
        <v/>
      </c>
    </row>
    <row r="885">
      <c r="A885">
        <f>IF('FINANCIAL CREDITORS'!$A$323="","",'FINANCIAL CREDITORS'!$A$323)</f>
        <v/>
      </c>
      <c r="B885">
        <f>IF('FINANCIAL CREDITORS'!$C$323="","",'FINANCIAL CREDITORS'!$C$323)</f>
        <v/>
      </c>
      <c r="C885">
        <f>'FINANCIAL CREDITORS'!$U$323</f>
        <v/>
      </c>
      <c r="D885">
        <f>'FINANCIAL CREDITORS'!$AB$323</f>
        <v/>
      </c>
      <c r="E885">
        <f>'FINANCIAL CREDITORS'!$AF$323</f>
        <v/>
      </c>
      <c r="F885">
        <f>IF('FINANCIAL CREDITORS'!$V$323="","",'FINANCIAL CREDITORS'!$V$323)</f>
        <v/>
      </c>
      <c r="G885">
        <f>IF('FINANCIAL CREDITORS'!$D$323="","",'FINANCIAL CREDITORS'!$D$323)</f>
        <v/>
      </c>
      <c r="H885">
        <f>IF('FINANCIAL CREDITORS'!$G$323="","",'FINANCIAL CREDITORS'!$G$323)</f>
        <v/>
      </c>
      <c r="I885">
        <f>IF('FINANCIAL CREDITORS'!$AY$323="","",'FINANCIAL CREDITORS'!$AY$323)</f>
        <v/>
      </c>
      <c r="J885">
        <f>IF('FINANCIAL CREDITORS'!$BC$323="","",'FINANCIAL CREDITORS'!$BC$323)</f>
        <v/>
      </c>
      <c r="K885">
        <f>IF('FINANCIAL CREDITORS'!$N$323="","",'FINANCIAL CREDITORS'!$N$323)</f>
        <v/>
      </c>
      <c r="L885">
        <f>IF('FINANCIAL CREDITORS'!$AH$323="","",'FINANCIAL CREDITORS'!$AH$323)</f>
        <v/>
      </c>
      <c r="M885">
        <f>IF('FINANCIAL CREDITORS'!$AO$323="","",'FINANCIAL CREDITORS'!$AO$323)</f>
        <v/>
      </c>
      <c r="N885">
        <f>IF('FINANCIAL CREDITORS'!$BF$323="","",'FINANCIAL CREDITORS'!$BF$323)</f>
        <v/>
      </c>
      <c r="O885" t="inlineStr">
        <is>
          <t>FINANCIAL</t>
        </is>
      </c>
      <c r="P885" t="inlineStr">
        <is>
          <t>FINANCIAL CREDITORS · row 323</t>
        </is>
      </c>
      <c r="Q885">
        <f>E885+ROW()*0.000000001</f>
        <v/>
      </c>
    </row>
    <row r="886">
      <c r="A886">
        <f>IF('FINANCIAL CREDITORS'!$A$324="","",'FINANCIAL CREDITORS'!$A$324)</f>
        <v/>
      </c>
      <c r="B886">
        <f>IF('FINANCIAL CREDITORS'!$C$324="","",'FINANCIAL CREDITORS'!$C$324)</f>
        <v/>
      </c>
      <c r="C886">
        <f>'FINANCIAL CREDITORS'!$U$324</f>
        <v/>
      </c>
      <c r="D886">
        <f>'FINANCIAL CREDITORS'!$AB$324</f>
        <v/>
      </c>
      <c r="E886">
        <f>'FINANCIAL CREDITORS'!$AF$324</f>
        <v/>
      </c>
      <c r="F886">
        <f>IF('FINANCIAL CREDITORS'!$V$324="","",'FINANCIAL CREDITORS'!$V$324)</f>
        <v/>
      </c>
      <c r="G886">
        <f>IF('FINANCIAL CREDITORS'!$D$324="","",'FINANCIAL CREDITORS'!$D$324)</f>
        <v/>
      </c>
      <c r="H886">
        <f>IF('FINANCIAL CREDITORS'!$G$324="","",'FINANCIAL CREDITORS'!$G$324)</f>
        <v/>
      </c>
      <c r="I886">
        <f>IF('FINANCIAL CREDITORS'!$AY$324="","",'FINANCIAL CREDITORS'!$AY$324)</f>
        <v/>
      </c>
      <c r="J886">
        <f>IF('FINANCIAL CREDITORS'!$BC$324="","",'FINANCIAL CREDITORS'!$BC$324)</f>
        <v/>
      </c>
      <c r="K886">
        <f>IF('FINANCIAL CREDITORS'!$N$324="","",'FINANCIAL CREDITORS'!$N$324)</f>
        <v/>
      </c>
      <c r="L886">
        <f>IF('FINANCIAL CREDITORS'!$AH$324="","",'FINANCIAL CREDITORS'!$AH$324)</f>
        <v/>
      </c>
      <c r="M886">
        <f>IF('FINANCIAL CREDITORS'!$AO$324="","",'FINANCIAL CREDITORS'!$AO$324)</f>
        <v/>
      </c>
      <c r="N886">
        <f>IF('FINANCIAL CREDITORS'!$BF$324="","",'FINANCIAL CREDITORS'!$BF$324)</f>
        <v/>
      </c>
      <c r="O886" t="inlineStr">
        <is>
          <t>FINANCIAL</t>
        </is>
      </c>
      <c r="P886" t="inlineStr">
        <is>
          <t>FINANCIAL CREDITORS · row 324</t>
        </is>
      </c>
      <c r="Q886">
        <f>E886+ROW()*0.000000001</f>
        <v/>
      </c>
    </row>
    <row r="887">
      <c r="A887">
        <f>IF('FINANCIAL CREDITORS'!$A$325="","",'FINANCIAL CREDITORS'!$A$325)</f>
        <v/>
      </c>
      <c r="B887">
        <f>IF('FINANCIAL CREDITORS'!$C$325="","",'FINANCIAL CREDITORS'!$C$325)</f>
        <v/>
      </c>
      <c r="C887">
        <f>'FINANCIAL CREDITORS'!$U$325</f>
        <v/>
      </c>
      <c r="D887">
        <f>'FINANCIAL CREDITORS'!$AB$325</f>
        <v/>
      </c>
      <c r="E887">
        <f>'FINANCIAL CREDITORS'!$AF$325</f>
        <v/>
      </c>
      <c r="F887">
        <f>IF('FINANCIAL CREDITORS'!$V$325="","",'FINANCIAL CREDITORS'!$V$325)</f>
        <v/>
      </c>
      <c r="G887">
        <f>IF('FINANCIAL CREDITORS'!$D$325="","",'FINANCIAL CREDITORS'!$D$325)</f>
        <v/>
      </c>
      <c r="H887">
        <f>IF('FINANCIAL CREDITORS'!$G$325="","",'FINANCIAL CREDITORS'!$G$325)</f>
        <v/>
      </c>
      <c r="I887">
        <f>IF('FINANCIAL CREDITORS'!$AY$325="","",'FINANCIAL CREDITORS'!$AY$325)</f>
        <v/>
      </c>
      <c r="J887">
        <f>IF('FINANCIAL CREDITORS'!$BC$325="","",'FINANCIAL CREDITORS'!$BC$325)</f>
        <v/>
      </c>
      <c r="K887">
        <f>IF('FINANCIAL CREDITORS'!$N$325="","",'FINANCIAL CREDITORS'!$N$325)</f>
        <v/>
      </c>
      <c r="L887">
        <f>IF('FINANCIAL CREDITORS'!$AH$325="","",'FINANCIAL CREDITORS'!$AH$325)</f>
        <v/>
      </c>
      <c r="M887">
        <f>IF('FINANCIAL CREDITORS'!$AO$325="","",'FINANCIAL CREDITORS'!$AO$325)</f>
        <v/>
      </c>
      <c r="N887">
        <f>IF('FINANCIAL CREDITORS'!$BF$325="","",'FINANCIAL CREDITORS'!$BF$325)</f>
        <v/>
      </c>
      <c r="O887" t="inlineStr">
        <is>
          <t>FINANCIAL</t>
        </is>
      </c>
      <c r="P887" t="inlineStr">
        <is>
          <t>FINANCIAL CREDITORS · row 325</t>
        </is>
      </c>
      <c r="Q887">
        <f>E887+ROW()*0.000000001</f>
        <v/>
      </c>
    </row>
    <row r="888">
      <c r="A888">
        <f>IF('FINANCIAL CREDITORS'!$A$326="","",'FINANCIAL CREDITORS'!$A$326)</f>
        <v/>
      </c>
      <c r="B888">
        <f>IF('FINANCIAL CREDITORS'!$C$326="","",'FINANCIAL CREDITORS'!$C$326)</f>
        <v/>
      </c>
      <c r="C888">
        <f>'FINANCIAL CREDITORS'!$U$326</f>
        <v/>
      </c>
      <c r="D888">
        <f>'FINANCIAL CREDITORS'!$AB$326</f>
        <v/>
      </c>
      <c r="E888">
        <f>'FINANCIAL CREDITORS'!$AF$326</f>
        <v/>
      </c>
      <c r="F888">
        <f>IF('FINANCIAL CREDITORS'!$V$326="","",'FINANCIAL CREDITORS'!$V$326)</f>
        <v/>
      </c>
      <c r="G888">
        <f>IF('FINANCIAL CREDITORS'!$D$326="","",'FINANCIAL CREDITORS'!$D$326)</f>
        <v/>
      </c>
      <c r="H888">
        <f>IF('FINANCIAL CREDITORS'!$G$326="","",'FINANCIAL CREDITORS'!$G$326)</f>
        <v/>
      </c>
      <c r="I888">
        <f>IF('FINANCIAL CREDITORS'!$AY$326="","",'FINANCIAL CREDITORS'!$AY$326)</f>
        <v/>
      </c>
      <c r="J888">
        <f>IF('FINANCIAL CREDITORS'!$BC$326="","",'FINANCIAL CREDITORS'!$BC$326)</f>
        <v/>
      </c>
      <c r="K888">
        <f>IF('FINANCIAL CREDITORS'!$N$326="","",'FINANCIAL CREDITORS'!$N$326)</f>
        <v/>
      </c>
      <c r="L888">
        <f>IF('FINANCIAL CREDITORS'!$AH$326="","",'FINANCIAL CREDITORS'!$AH$326)</f>
        <v/>
      </c>
      <c r="M888">
        <f>IF('FINANCIAL CREDITORS'!$AO$326="","",'FINANCIAL CREDITORS'!$AO$326)</f>
        <v/>
      </c>
      <c r="N888">
        <f>IF('FINANCIAL CREDITORS'!$BF$326="","",'FINANCIAL CREDITORS'!$BF$326)</f>
        <v/>
      </c>
      <c r="O888" t="inlineStr">
        <is>
          <t>FINANCIAL</t>
        </is>
      </c>
      <c r="P888" t="inlineStr">
        <is>
          <t>FINANCIAL CREDITORS · row 326</t>
        </is>
      </c>
      <c r="Q888">
        <f>E888+ROW()*0.000000001</f>
        <v/>
      </c>
    </row>
    <row r="889">
      <c r="A889">
        <f>IF('FINANCIAL CREDITORS'!$A$327="","",'FINANCIAL CREDITORS'!$A$327)</f>
        <v/>
      </c>
      <c r="B889">
        <f>IF('FINANCIAL CREDITORS'!$C$327="","",'FINANCIAL CREDITORS'!$C$327)</f>
        <v/>
      </c>
      <c r="C889">
        <f>'FINANCIAL CREDITORS'!$U$327</f>
        <v/>
      </c>
      <c r="D889">
        <f>'FINANCIAL CREDITORS'!$AB$327</f>
        <v/>
      </c>
      <c r="E889">
        <f>'FINANCIAL CREDITORS'!$AF$327</f>
        <v/>
      </c>
      <c r="F889">
        <f>IF('FINANCIAL CREDITORS'!$V$327="","",'FINANCIAL CREDITORS'!$V$327)</f>
        <v/>
      </c>
      <c r="G889">
        <f>IF('FINANCIAL CREDITORS'!$D$327="","",'FINANCIAL CREDITORS'!$D$327)</f>
        <v/>
      </c>
      <c r="H889">
        <f>IF('FINANCIAL CREDITORS'!$G$327="","",'FINANCIAL CREDITORS'!$G$327)</f>
        <v/>
      </c>
      <c r="I889">
        <f>IF('FINANCIAL CREDITORS'!$AY$327="","",'FINANCIAL CREDITORS'!$AY$327)</f>
        <v/>
      </c>
      <c r="J889">
        <f>IF('FINANCIAL CREDITORS'!$BC$327="","",'FINANCIAL CREDITORS'!$BC$327)</f>
        <v/>
      </c>
      <c r="K889">
        <f>IF('FINANCIAL CREDITORS'!$N$327="","",'FINANCIAL CREDITORS'!$N$327)</f>
        <v/>
      </c>
      <c r="L889">
        <f>IF('FINANCIAL CREDITORS'!$AH$327="","",'FINANCIAL CREDITORS'!$AH$327)</f>
        <v/>
      </c>
      <c r="M889">
        <f>IF('FINANCIAL CREDITORS'!$AO$327="","",'FINANCIAL CREDITORS'!$AO$327)</f>
        <v/>
      </c>
      <c r="N889">
        <f>IF('FINANCIAL CREDITORS'!$BF$327="","",'FINANCIAL CREDITORS'!$BF$327)</f>
        <v/>
      </c>
      <c r="O889" t="inlineStr">
        <is>
          <t>FINANCIAL</t>
        </is>
      </c>
      <c r="P889" t="inlineStr">
        <is>
          <t>FINANCIAL CREDITORS · row 327</t>
        </is>
      </c>
      <c r="Q889">
        <f>E889+ROW()*0.000000001</f>
        <v/>
      </c>
    </row>
    <row r="890">
      <c r="A890">
        <f>IF('FINANCIAL CREDITORS'!$A$328="","",'FINANCIAL CREDITORS'!$A$328)</f>
        <v/>
      </c>
      <c r="B890">
        <f>IF('FINANCIAL CREDITORS'!$C$328="","",'FINANCIAL CREDITORS'!$C$328)</f>
        <v/>
      </c>
      <c r="C890">
        <f>'FINANCIAL CREDITORS'!$U$328</f>
        <v/>
      </c>
      <c r="D890">
        <f>'FINANCIAL CREDITORS'!$AB$328</f>
        <v/>
      </c>
      <c r="E890">
        <f>'FINANCIAL CREDITORS'!$AF$328</f>
        <v/>
      </c>
      <c r="F890">
        <f>IF('FINANCIAL CREDITORS'!$V$328="","",'FINANCIAL CREDITORS'!$V$328)</f>
        <v/>
      </c>
      <c r="G890">
        <f>IF('FINANCIAL CREDITORS'!$D$328="","",'FINANCIAL CREDITORS'!$D$328)</f>
        <v/>
      </c>
      <c r="H890">
        <f>IF('FINANCIAL CREDITORS'!$G$328="","",'FINANCIAL CREDITORS'!$G$328)</f>
        <v/>
      </c>
      <c r="I890">
        <f>IF('FINANCIAL CREDITORS'!$AY$328="","",'FINANCIAL CREDITORS'!$AY$328)</f>
        <v/>
      </c>
      <c r="J890">
        <f>IF('FINANCIAL CREDITORS'!$BC$328="","",'FINANCIAL CREDITORS'!$BC$328)</f>
        <v/>
      </c>
      <c r="K890">
        <f>IF('FINANCIAL CREDITORS'!$N$328="","",'FINANCIAL CREDITORS'!$N$328)</f>
        <v/>
      </c>
      <c r="L890">
        <f>IF('FINANCIAL CREDITORS'!$AH$328="","",'FINANCIAL CREDITORS'!$AH$328)</f>
        <v/>
      </c>
      <c r="M890">
        <f>IF('FINANCIAL CREDITORS'!$AO$328="","",'FINANCIAL CREDITORS'!$AO$328)</f>
        <v/>
      </c>
      <c r="N890">
        <f>IF('FINANCIAL CREDITORS'!$BF$328="","",'FINANCIAL CREDITORS'!$BF$328)</f>
        <v/>
      </c>
      <c r="O890" t="inlineStr">
        <is>
          <t>FINANCIAL</t>
        </is>
      </c>
      <c r="P890" t="inlineStr">
        <is>
          <t>FINANCIAL CREDITORS · row 328</t>
        </is>
      </c>
      <c r="Q890">
        <f>E890+ROW()*0.000000001</f>
        <v/>
      </c>
    </row>
    <row r="891">
      <c r="A891">
        <f>IF('FINANCIAL CREDITORS'!$A$329="","",'FINANCIAL CREDITORS'!$A$329)</f>
        <v/>
      </c>
      <c r="B891">
        <f>IF('FINANCIAL CREDITORS'!$C$329="","",'FINANCIAL CREDITORS'!$C$329)</f>
        <v/>
      </c>
      <c r="C891">
        <f>'FINANCIAL CREDITORS'!$U$329</f>
        <v/>
      </c>
      <c r="D891">
        <f>'FINANCIAL CREDITORS'!$AB$329</f>
        <v/>
      </c>
      <c r="E891">
        <f>'FINANCIAL CREDITORS'!$AF$329</f>
        <v/>
      </c>
      <c r="F891">
        <f>IF('FINANCIAL CREDITORS'!$V$329="","",'FINANCIAL CREDITORS'!$V$329)</f>
        <v/>
      </c>
      <c r="G891">
        <f>IF('FINANCIAL CREDITORS'!$D$329="","",'FINANCIAL CREDITORS'!$D$329)</f>
        <v/>
      </c>
      <c r="H891">
        <f>IF('FINANCIAL CREDITORS'!$G$329="","",'FINANCIAL CREDITORS'!$G$329)</f>
        <v/>
      </c>
      <c r="I891">
        <f>IF('FINANCIAL CREDITORS'!$AY$329="","",'FINANCIAL CREDITORS'!$AY$329)</f>
        <v/>
      </c>
      <c r="J891">
        <f>IF('FINANCIAL CREDITORS'!$BC$329="","",'FINANCIAL CREDITORS'!$BC$329)</f>
        <v/>
      </c>
      <c r="K891">
        <f>IF('FINANCIAL CREDITORS'!$N$329="","",'FINANCIAL CREDITORS'!$N$329)</f>
        <v/>
      </c>
      <c r="L891">
        <f>IF('FINANCIAL CREDITORS'!$AH$329="","",'FINANCIAL CREDITORS'!$AH$329)</f>
        <v/>
      </c>
      <c r="M891">
        <f>IF('FINANCIAL CREDITORS'!$AO$329="","",'FINANCIAL CREDITORS'!$AO$329)</f>
        <v/>
      </c>
      <c r="N891">
        <f>IF('FINANCIAL CREDITORS'!$BF$329="","",'FINANCIAL CREDITORS'!$BF$329)</f>
        <v/>
      </c>
      <c r="O891" t="inlineStr">
        <is>
          <t>FINANCIAL</t>
        </is>
      </c>
      <c r="P891" t="inlineStr">
        <is>
          <t>FINANCIAL CREDITORS · row 329</t>
        </is>
      </c>
      <c r="Q891">
        <f>E891+ROW()*0.000000001</f>
        <v/>
      </c>
    </row>
    <row r="892">
      <c r="A892">
        <f>IF('FINANCIAL CREDITORS'!$A$330="","",'FINANCIAL CREDITORS'!$A$330)</f>
        <v/>
      </c>
      <c r="B892">
        <f>IF('FINANCIAL CREDITORS'!$C$330="","",'FINANCIAL CREDITORS'!$C$330)</f>
        <v/>
      </c>
      <c r="C892">
        <f>'FINANCIAL CREDITORS'!$U$330</f>
        <v/>
      </c>
      <c r="D892">
        <f>'FINANCIAL CREDITORS'!$AB$330</f>
        <v/>
      </c>
      <c r="E892">
        <f>'FINANCIAL CREDITORS'!$AF$330</f>
        <v/>
      </c>
      <c r="F892">
        <f>IF('FINANCIAL CREDITORS'!$V$330="","",'FINANCIAL CREDITORS'!$V$330)</f>
        <v/>
      </c>
      <c r="G892">
        <f>IF('FINANCIAL CREDITORS'!$D$330="","",'FINANCIAL CREDITORS'!$D$330)</f>
        <v/>
      </c>
      <c r="H892">
        <f>IF('FINANCIAL CREDITORS'!$G$330="","",'FINANCIAL CREDITORS'!$G$330)</f>
        <v/>
      </c>
      <c r="I892">
        <f>IF('FINANCIAL CREDITORS'!$AY$330="","",'FINANCIAL CREDITORS'!$AY$330)</f>
        <v/>
      </c>
      <c r="J892">
        <f>IF('FINANCIAL CREDITORS'!$BC$330="","",'FINANCIAL CREDITORS'!$BC$330)</f>
        <v/>
      </c>
      <c r="K892">
        <f>IF('FINANCIAL CREDITORS'!$N$330="","",'FINANCIAL CREDITORS'!$N$330)</f>
        <v/>
      </c>
      <c r="L892">
        <f>IF('FINANCIAL CREDITORS'!$AH$330="","",'FINANCIAL CREDITORS'!$AH$330)</f>
        <v/>
      </c>
      <c r="M892">
        <f>IF('FINANCIAL CREDITORS'!$AO$330="","",'FINANCIAL CREDITORS'!$AO$330)</f>
        <v/>
      </c>
      <c r="N892">
        <f>IF('FINANCIAL CREDITORS'!$BF$330="","",'FINANCIAL CREDITORS'!$BF$330)</f>
        <v/>
      </c>
      <c r="O892" t="inlineStr">
        <is>
          <t>FINANCIAL</t>
        </is>
      </c>
      <c r="P892" t="inlineStr">
        <is>
          <t>FINANCIAL CREDITORS · row 330</t>
        </is>
      </c>
      <c r="Q892">
        <f>E892+ROW()*0.000000001</f>
        <v/>
      </c>
    </row>
    <row r="893">
      <c r="A893">
        <f>IF('FINANCIAL CREDITORS'!$A$331="","",'FINANCIAL CREDITORS'!$A$331)</f>
        <v/>
      </c>
      <c r="B893">
        <f>IF('FINANCIAL CREDITORS'!$C$331="","",'FINANCIAL CREDITORS'!$C$331)</f>
        <v/>
      </c>
      <c r="C893">
        <f>'FINANCIAL CREDITORS'!$U$331</f>
        <v/>
      </c>
      <c r="D893">
        <f>'FINANCIAL CREDITORS'!$AB$331</f>
        <v/>
      </c>
      <c r="E893">
        <f>'FINANCIAL CREDITORS'!$AF$331</f>
        <v/>
      </c>
      <c r="F893">
        <f>IF('FINANCIAL CREDITORS'!$V$331="","",'FINANCIAL CREDITORS'!$V$331)</f>
        <v/>
      </c>
      <c r="G893">
        <f>IF('FINANCIAL CREDITORS'!$D$331="","",'FINANCIAL CREDITORS'!$D$331)</f>
        <v/>
      </c>
      <c r="H893">
        <f>IF('FINANCIAL CREDITORS'!$G$331="","",'FINANCIAL CREDITORS'!$G$331)</f>
        <v/>
      </c>
      <c r="I893">
        <f>IF('FINANCIAL CREDITORS'!$AY$331="","",'FINANCIAL CREDITORS'!$AY$331)</f>
        <v/>
      </c>
      <c r="J893">
        <f>IF('FINANCIAL CREDITORS'!$BC$331="","",'FINANCIAL CREDITORS'!$BC$331)</f>
        <v/>
      </c>
      <c r="K893">
        <f>IF('FINANCIAL CREDITORS'!$N$331="","",'FINANCIAL CREDITORS'!$N$331)</f>
        <v/>
      </c>
      <c r="L893">
        <f>IF('FINANCIAL CREDITORS'!$AH$331="","",'FINANCIAL CREDITORS'!$AH$331)</f>
        <v/>
      </c>
      <c r="M893">
        <f>IF('FINANCIAL CREDITORS'!$AO$331="","",'FINANCIAL CREDITORS'!$AO$331)</f>
        <v/>
      </c>
      <c r="N893">
        <f>IF('FINANCIAL CREDITORS'!$BF$331="","",'FINANCIAL CREDITORS'!$BF$331)</f>
        <v/>
      </c>
      <c r="O893" t="inlineStr">
        <is>
          <t>FINANCIAL</t>
        </is>
      </c>
      <c r="P893" t="inlineStr">
        <is>
          <t>FINANCIAL CREDITORS · row 331</t>
        </is>
      </c>
      <c r="Q893">
        <f>E893+ROW()*0.000000001</f>
        <v/>
      </c>
    </row>
    <row r="894">
      <c r="A894">
        <f>IF('FINANCIAL CREDITORS'!$A$332="","",'FINANCIAL CREDITORS'!$A$332)</f>
        <v/>
      </c>
      <c r="B894">
        <f>IF('FINANCIAL CREDITORS'!$C$332="","",'FINANCIAL CREDITORS'!$C$332)</f>
        <v/>
      </c>
      <c r="C894">
        <f>'FINANCIAL CREDITORS'!$U$332</f>
        <v/>
      </c>
      <c r="D894">
        <f>'FINANCIAL CREDITORS'!$AB$332</f>
        <v/>
      </c>
      <c r="E894">
        <f>'FINANCIAL CREDITORS'!$AF$332</f>
        <v/>
      </c>
      <c r="F894">
        <f>IF('FINANCIAL CREDITORS'!$V$332="","",'FINANCIAL CREDITORS'!$V$332)</f>
        <v/>
      </c>
      <c r="G894">
        <f>IF('FINANCIAL CREDITORS'!$D$332="","",'FINANCIAL CREDITORS'!$D$332)</f>
        <v/>
      </c>
      <c r="H894">
        <f>IF('FINANCIAL CREDITORS'!$G$332="","",'FINANCIAL CREDITORS'!$G$332)</f>
        <v/>
      </c>
      <c r="I894">
        <f>IF('FINANCIAL CREDITORS'!$AY$332="","",'FINANCIAL CREDITORS'!$AY$332)</f>
        <v/>
      </c>
      <c r="J894">
        <f>IF('FINANCIAL CREDITORS'!$BC$332="","",'FINANCIAL CREDITORS'!$BC$332)</f>
        <v/>
      </c>
      <c r="K894">
        <f>IF('FINANCIAL CREDITORS'!$N$332="","",'FINANCIAL CREDITORS'!$N$332)</f>
        <v/>
      </c>
      <c r="L894">
        <f>IF('FINANCIAL CREDITORS'!$AH$332="","",'FINANCIAL CREDITORS'!$AH$332)</f>
        <v/>
      </c>
      <c r="M894">
        <f>IF('FINANCIAL CREDITORS'!$AO$332="","",'FINANCIAL CREDITORS'!$AO$332)</f>
        <v/>
      </c>
      <c r="N894">
        <f>IF('FINANCIAL CREDITORS'!$BF$332="","",'FINANCIAL CREDITORS'!$BF$332)</f>
        <v/>
      </c>
      <c r="O894" t="inlineStr">
        <is>
          <t>FINANCIAL</t>
        </is>
      </c>
      <c r="P894" t="inlineStr">
        <is>
          <t>FINANCIAL CREDITORS · row 332</t>
        </is>
      </c>
      <c r="Q894">
        <f>E894+ROW()*0.000000001</f>
        <v/>
      </c>
    </row>
    <row r="895">
      <c r="A895">
        <f>IF('FINANCIAL CREDITORS'!$A$333="","",'FINANCIAL CREDITORS'!$A$333)</f>
        <v/>
      </c>
      <c r="B895">
        <f>IF('FINANCIAL CREDITORS'!$C$333="","",'FINANCIAL CREDITORS'!$C$333)</f>
        <v/>
      </c>
      <c r="C895">
        <f>'FINANCIAL CREDITORS'!$U$333</f>
        <v/>
      </c>
      <c r="D895">
        <f>'FINANCIAL CREDITORS'!$AB$333</f>
        <v/>
      </c>
      <c r="E895">
        <f>'FINANCIAL CREDITORS'!$AF$333</f>
        <v/>
      </c>
      <c r="F895">
        <f>IF('FINANCIAL CREDITORS'!$V$333="","",'FINANCIAL CREDITORS'!$V$333)</f>
        <v/>
      </c>
      <c r="G895">
        <f>IF('FINANCIAL CREDITORS'!$D$333="","",'FINANCIAL CREDITORS'!$D$333)</f>
        <v/>
      </c>
      <c r="H895">
        <f>IF('FINANCIAL CREDITORS'!$G$333="","",'FINANCIAL CREDITORS'!$G$333)</f>
        <v/>
      </c>
      <c r="I895">
        <f>IF('FINANCIAL CREDITORS'!$AY$333="","",'FINANCIAL CREDITORS'!$AY$333)</f>
        <v/>
      </c>
      <c r="J895">
        <f>IF('FINANCIAL CREDITORS'!$BC$333="","",'FINANCIAL CREDITORS'!$BC$333)</f>
        <v/>
      </c>
      <c r="K895">
        <f>IF('FINANCIAL CREDITORS'!$N$333="","",'FINANCIAL CREDITORS'!$N$333)</f>
        <v/>
      </c>
      <c r="L895">
        <f>IF('FINANCIAL CREDITORS'!$AH$333="","",'FINANCIAL CREDITORS'!$AH$333)</f>
        <v/>
      </c>
      <c r="M895">
        <f>IF('FINANCIAL CREDITORS'!$AO$333="","",'FINANCIAL CREDITORS'!$AO$333)</f>
        <v/>
      </c>
      <c r="N895">
        <f>IF('FINANCIAL CREDITORS'!$BF$333="","",'FINANCIAL CREDITORS'!$BF$333)</f>
        <v/>
      </c>
      <c r="O895" t="inlineStr">
        <is>
          <t>FINANCIAL</t>
        </is>
      </c>
      <c r="P895" t="inlineStr">
        <is>
          <t>FINANCIAL CREDITORS · row 333</t>
        </is>
      </c>
      <c r="Q895">
        <f>E895+ROW()*0.000000001</f>
        <v/>
      </c>
    </row>
    <row r="896">
      <c r="A896">
        <f>IF('FINANCIAL CREDITORS'!$A$334="","",'FINANCIAL CREDITORS'!$A$334)</f>
        <v/>
      </c>
      <c r="B896">
        <f>IF('FINANCIAL CREDITORS'!$C$334="","",'FINANCIAL CREDITORS'!$C$334)</f>
        <v/>
      </c>
      <c r="C896">
        <f>'FINANCIAL CREDITORS'!$U$334</f>
        <v/>
      </c>
      <c r="D896">
        <f>'FINANCIAL CREDITORS'!$AB$334</f>
        <v/>
      </c>
      <c r="E896">
        <f>'FINANCIAL CREDITORS'!$AF$334</f>
        <v/>
      </c>
      <c r="F896">
        <f>IF('FINANCIAL CREDITORS'!$V$334="","",'FINANCIAL CREDITORS'!$V$334)</f>
        <v/>
      </c>
      <c r="G896">
        <f>IF('FINANCIAL CREDITORS'!$D$334="","",'FINANCIAL CREDITORS'!$D$334)</f>
        <v/>
      </c>
      <c r="H896">
        <f>IF('FINANCIAL CREDITORS'!$G$334="","",'FINANCIAL CREDITORS'!$G$334)</f>
        <v/>
      </c>
      <c r="I896">
        <f>IF('FINANCIAL CREDITORS'!$AY$334="","",'FINANCIAL CREDITORS'!$AY$334)</f>
        <v/>
      </c>
      <c r="J896">
        <f>IF('FINANCIAL CREDITORS'!$BC$334="","",'FINANCIAL CREDITORS'!$BC$334)</f>
        <v/>
      </c>
      <c r="K896">
        <f>IF('FINANCIAL CREDITORS'!$N$334="","",'FINANCIAL CREDITORS'!$N$334)</f>
        <v/>
      </c>
      <c r="L896">
        <f>IF('FINANCIAL CREDITORS'!$AH$334="","",'FINANCIAL CREDITORS'!$AH$334)</f>
        <v/>
      </c>
      <c r="M896">
        <f>IF('FINANCIAL CREDITORS'!$AO$334="","",'FINANCIAL CREDITORS'!$AO$334)</f>
        <v/>
      </c>
      <c r="N896">
        <f>IF('FINANCIAL CREDITORS'!$BF$334="","",'FINANCIAL CREDITORS'!$BF$334)</f>
        <v/>
      </c>
      <c r="O896" t="inlineStr">
        <is>
          <t>FINANCIAL</t>
        </is>
      </c>
      <c r="P896" t="inlineStr">
        <is>
          <t>FINANCIAL CREDITORS · row 334</t>
        </is>
      </c>
      <c r="Q896">
        <f>E896+ROW()*0.000000001</f>
        <v/>
      </c>
    </row>
    <row r="897">
      <c r="A897">
        <f>IF('FINANCIAL CREDITORS'!$A$335="","",'FINANCIAL CREDITORS'!$A$335)</f>
        <v/>
      </c>
      <c r="B897">
        <f>IF('FINANCIAL CREDITORS'!$C$335="","",'FINANCIAL CREDITORS'!$C$335)</f>
        <v/>
      </c>
      <c r="C897">
        <f>'FINANCIAL CREDITORS'!$U$335</f>
        <v/>
      </c>
      <c r="D897">
        <f>'FINANCIAL CREDITORS'!$AB$335</f>
        <v/>
      </c>
      <c r="E897">
        <f>'FINANCIAL CREDITORS'!$AF$335</f>
        <v/>
      </c>
      <c r="F897">
        <f>IF('FINANCIAL CREDITORS'!$V$335="","",'FINANCIAL CREDITORS'!$V$335)</f>
        <v/>
      </c>
      <c r="G897">
        <f>IF('FINANCIAL CREDITORS'!$D$335="","",'FINANCIAL CREDITORS'!$D$335)</f>
        <v/>
      </c>
      <c r="H897">
        <f>IF('FINANCIAL CREDITORS'!$G$335="","",'FINANCIAL CREDITORS'!$G$335)</f>
        <v/>
      </c>
      <c r="I897">
        <f>IF('FINANCIAL CREDITORS'!$AY$335="","",'FINANCIAL CREDITORS'!$AY$335)</f>
        <v/>
      </c>
      <c r="J897">
        <f>IF('FINANCIAL CREDITORS'!$BC$335="","",'FINANCIAL CREDITORS'!$BC$335)</f>
        <v/>
      </c>
      <c r="K897">
        <f>IF('FINANCIAL CREDITORS'!$N$335="","",'FINANCIAL CREDITORS'!$N$335)</f>
        <v/>
      </c>
      <c r="L897">
        <f>IF('FINANCIAL CREDITORS'!$AH$335="","",'FINANCIAL CREDITORS'!$AH$335)</f>
        <v/>
      </c>
      <c r="M897">
        <f>IF('FINANCIAL CREDITORS'!$AO$335="","",'FINANCIAL CREDITORS'!$AO$335)</f>
        <v/>
      </c>
      <c r="N897">
        <f>IF('FINANCIAL CREDITORS'!$BF$335="","",'FINANCIAL CREDITORS'!$BF$335)</f>
        <v/>
      </c>
      <c r="O897" t="inlineStr">
        <is>
          <t>FINANCIAL</t>
        </is>
      </c>
      <c r="P897" t="inlineStr">
        <is>
          <t>FINANCIAL CREDITORS · row 335</t>
        </is>
      </c>
      <c r="Q897">
        <f>E897+ROW()*0.000000001</f>
        <v/>
      </c>
    </row>
    <row r="898">
      <c r="A898">
        <f>IF('FINANCIAL CREDITORS'!$A$336="","",'FINANCIAL CREDITORS'!$A$336)</f>
        <v/>
      </c>
      <c r="B898">
        <f>IF('FINANCIAL CREDITORS'!$C$336="","",'FINANCIAL CREDITORS'!$C$336)</f>
        <v/>
      </c>
      <c r="C898">
        <f>'FINANCIAL CREDITORS'!$U$336</f>
        <v/>
      </c>
      <c r="D898">
        <f>'FINANCIAL CREDITORS'!$AB$336</f>
        <v/>
      </c>
      <c r="E898">
        <f>'FINANCIAL CREDITORS'!$AF$336</f>
        <v/>
      </c>
      <c r="F898">
        <f>IF('FINANCIAL CREDITORS'!$V$336="","",'FINANCIAL CREDITORS'!$V$336)</f>
        <v/>
      </c>
      <c r="G898">
        <f>IF('FINANCIAL CREDITORS'!$D$336="","",'FINANCIAL CREDITORS'!$D$336)</f>
        <v/>
      </c>
      <c r="H898">
        <f>IF('FINANCIAL CREDITORS'!$G$336="","",'FINANCIAL CREDITORS'!$G$336)</f>
        <v/>
      </c>
      <c r="I898">
        <f>IF('FINANCIAL CREDITORS'!$AY$336="","",'FINANCIAL CREDITORS'!$AY$336)</f>
        <v/>
      </c>
      <c r="J898">
        <f>IF('FINANCIAL CREDITORS'!$BC$336="","",'FINANCIAL CREDITORS'!$BC$336)</f>
        <v/>
      </c>
      <c r="K898">
        <f>IF('FINANCIAL CREDITORS'!$N$336="","",'FINANCIAL CREDITORS'!$N$336)</f>
        <v/>
      </c>
      <c r="L898">
        <f>IF('FINANCIAL CREDITORS'!$AH$336="","",'FINANCIAL CREDITORS'!$AH$336)</f>
        <v/>
      </c>
      <c r="M898">
        <f>IF('FINANCIAL CREDITORS'!$AO$336="","",'FINANCIAL CREDITORS'!$AO$336)</f>
        <v/>
      </c>
      <c r="N898">
        <f>IF('FINANCIAL CREDITORS'!$BF$336="","",'FINANCIAL CREDITORS'!$BF$336)</f>
        <v/>
      </c>
      <c r="O898" t="inlineStr">
        <is>
          <t>FINANCIAL</t>
        </is>
      </c>
      <c r="P898" t="inlineStr">
        <is>
          <t>FINANCIAL CREDITORS · row 336</t>
        </is>
      </c>
      <c r="Q898">
        <f>E898+ROW()*0.000000001</f>
        <v/>
      </c>
    </row>
    <row r="899">
      <c r="A899">
        <f>IF('FINANCIAL CREDITORS'!$A$337="","",'FINANCIAL CREDITORS'!$A$337)</f>
        <v/>
      </c>
      <c r="B899">
        <f>IF('FINANCIAL CREDITORS'!$C$337="","",'FINANCIAL CREDITORS'!$C$337)</f>
        <v/>
      </c>
      <c r="C899">
        <f>'FINANCIAL CREDITORS'!$U$337</f>
        <v/>
      </c>
      <c r="D899">
        <f>'FINANCIAL CREDITORS'!$AB$337</f>
        <v/>
      </c>
      <c r="E899">
        <f>'FINANCIAL CREDITORS'!$AF$337</f>
        <v/>
      </c>
      <c r="F899">
        <f>IF('FINANCIAL CREDITORS'!$V$337="","",'FINANCIAL CREDITORS'!$V$337)</f>
        <v/>
      </c>
      <c r="G899">
        <f>IF('FINANCIAL CREDITORS'!$D$337="","",'FINANCIAL CREDITORS'!$D$337)</f>
        <v/>
      </c>
      <c r="H899">
        <f>IF('FINANCIAL CREDITORS'!$G$337="","",'FINANCIAL CREDITORS'!$G$337)</f>
        <v/>
      </c>
      <c r="I899">
        <f>IF('FINANCIAL CREDITORS'!$AY$337="","",'FINANCIAL CREDITORS'!$AY$337)</f>
        <v/>
      </c>
      <c r="J899">
        <f>IF('FINANCIAL CREDITORS'!$BC$337="","",'FINANCIAL CREDITORS'!$BC$337)</f>
        <v/>
      </c>
      <c r="K899">
        <f>IF('FINANCIAL CREDITORS'!$N$337="","",'FINANCIAL CREDITORS'!$N$337)</f>
        <v/>
      </c>
      <c r="L899">
        <f>IF('FINANCIAL CREDITORS'!$AH$337="","",'FINANCIAL CREDITORS'!$AH$337)</f>
        <v/>
      </c>
      <c r="M899">
        <f>IF('FINANCIAL CREDITORS'!$AO$337="","",'FINANCIAL CREDITORS'!$AO$337)</f>
        <v/>
      </c>
      <c r="N899">
        <f>IF('FINANCIAL CREDITORS'!$BF$337="","",'FINANCIAL CREDITORS'!$BF$337)</f>
        <v/>
      </c>
      <c r="O899" t="inlineStr">
        <is>
          <t>FINANCIAL</t>
        </is>
      </c>
      <c r="P899" t="inlineStr">
        <is>
          <t>FINANCIAL CREDITORS · row 337</t>
        </is>
      </c>
      <c r="Q899">
        <f>E899+ROW()*0.000000001</f>
        <v/>
      </c>
    </row>
    <row r="900">
      <c r="A900">
        <f>IF('FINANCIAL CREDITORS'!$A$338="","",'FINANCIAL CREDITORS'!$A$338)</f>
        <v/>
      </c>
      <c r="B900">
        <f>IF('FINANCIAL CREDITORS'!$C$338="","",'FINANCIAL CREDITORS'!$C$338)</f>
        <v/>
      </c>
      <c r="C900">
        <f>'FINANCIAL CREDITORS'!$U$338</f>
        <v/>
      </c>
      <c r="D900">
        <f>'FINANCIAL CREDITORS'!$AB$338</f>
        <v/>
      </c>
      <c r="E900">
        <f>'FINANCIAL CREDITORS'!$AF$338</f>
        <v/>
      </c>
      <c r="F900">
        <f>IF('FINANCIAL CREDITORS'!$V$338="","",'FINANCIAL CREDITORS'!$V$338)</f>
        <v/>
      </c>
      <c r="G900">
        <f>IF('FINANCIAL CREDITORS'!$D$338="","",'FINANCIAL CREDITORS'!$D$338)</f>
        <v/>
      </c>
      <c r="H900">
        <f>IF('FINANCIAL CREDITORS'!$G$338="","",'FINANCIAL CREDITORS'!$G$338)</f>
        <v/>
      </c>
      <c r="I900">
        <f>IF('FINANCIAL CREDITORS'!$AY$338="","",'FINANCIAL CREDITORS'!$AY$338)</f>
        <v/>
      </c>
      <c r="J900">
        <f>IF('FINANCIAL CREDITORS'!$BC$338="","",'FINANCIAL CREDITORS'!$BC$338)</f>
        <v/>
      </c>
      <c r="K900">
        <f>IF('FINANCIAL CREDITORS'!$N$338="","",'FINANCIAL CREDITORS'!$N$338)</f>
        <v/>
      </c>
      <c r="L900">
        <f>IF('FINANCIAL CREDITORS'!$AH$338="","",'FINANCIAL CREDITORS'!$AH$338)</f>
        <v/>
      </c>
      <c r="M900">
        <f>IF('FINANCIAL CREDITORS'!$AO$338="","",'FINANCIAL CREDITORS'!$AO$338)</f>
        <v/>
      </c>
      <c r="N900">
        <f>IF('FINANCIAL CREDITORS'!$BF$338="","",'FINANCIAL CREDITORS'!$BF$338)</f>
        <v/>
      </c>
      <c r="O900" t="inlineStr">
        <is>
          <t>FINANCIAL</t>
        </is>
      </c>
      <c r="P900" t="inlineStr">
        <is>
          <t>FINANCIAL CREDITORS · row 338</t>
        </is>
      </c>
      <c r="Q900">
        <f>E900+ROW()*0.000000001</f>
        <v/>
      </c>
    </row>
    <row r="901">
      <c r="A901">
        <f>IF('FINANCIAL CREDITORS'!$A$339="","",'FINANCIAL CREDITORS'!$A$339)</f>
        <v/>
      </c>
      <c r="B901">
        <f>IF('FINANCIAL CREDITORS'!$C$339="","",'FINANCIAL CREDITORS'!$C$339)</f>
        <v/>
      </c>
      <c r="C901">
        <f>'FINANCIAL CREDITORS'!$U$339</f>
        <v/>
      </c>
      <c r="D901">
        <f>'FINANCIAL CREDITORS'!$AB$339</f>
        <v/>
      </c>
      <c r="E901">
        <f>'FINANCIAL CREDITORS'!$AF$339</f>
        <v/>
      </c>
      <c r="F901">
        <f>IF('FINANCIAL CREDITORS'!$V$339="","",'FINANCIAL CREDITORS'!$V$339)</f>
        <v/>
      </c>
      <c r="G901">
        <f>IF('FINANCIAL CREDITORS'!$D$339="","",'FINANCIAL CREDITORS'!$D$339)</f>
        <v/>
      </c>
      <c r="H901">
        <f>IF('FINANCIAL CREDITORS'!$G$339="","",'FINANCIAL CREDITORS'!$G$339)</f>
        <v/>
      </c>
      <c r="I901">
        <f>IF('FINANCIAL CREDITORS'!$AY$339="","",'FINANCIAL CREDITORS'!$AY$339)</f>
        <v/>
      </c>
      <c r="J901">
        <f>IF('FINANCIAL CREDITORS'!$BC$339="","",'FINANCIAL CREDITORS'!$BC$339)</f>
        <v/>
      </c>
      <c r="K901">
        <f>IF('FINANCIAL CREDITORS'!$N$339="","",'FINANCIAL CREDITORS'!$N$339)</f>
        <v/>
      </c>
      <c r="L901">
        <f>IF('FINANCIAL CREDITORS'!$AH$339="","",'FINANCIAL CREDITORS'!$AH$339)</f>
        <v/>
      </c>
      <c r="M901">
        <f>IF('FINANCIAL CREDITORS'!$AO$339="","",'FINANCIAL CREDITORS'!$AO$339)</f>
        <v/>
      </c>
      <c r="N901">
        <f>IF('FINANCIAL CREDITORS'!$BF$339="","",'FINANCIAL CREDITORS'!$BF$339)</f>
        <v/>
      </c>
      <c r="O901" t="inlineStr">
        <is>
          <t>FINANCIAL</t>
        </is>
      </c>
      <c r="P901" t="inlineStr">
        <is>
          <t>FINANCIAL CREDITORS · row 339</t>
        </is>
      </c>
      <c r="Q901">
        <f>E901+ROW()*0.000000001</f>
        <v/>
      </c>
    </row>
    <row r="902">
      <c r="A902">
        <f>IF('FINANCIAL CREDITORS'!$A$340="","",'FINANCIAL CREDITORS'!$A$340)</f>
        <v/>
      </c>
      <c r="B902">
        <f>IF('FINANCIAL CREDITORS'!$C$340="","",'FINANCIAL CREDITORS'!$C$340)</f>
        <v/>
      </c>
      <c r="C902">
        <f>'FINANCIAL CREDITORS'!$U$340</f>
        <v/>
      </c>
      <c r="D902">
        <f>'FINANCIAL CREDITORS'!$AB$340</f>
        <v/>
      </c>
      <c r="E902">
        <f>'FINANCIAL CREDITORS'!$AF$340</f>
        <v/>
      </c>
      <c r="F902">
        <f>IF('FINANCIAL CREDITORS'!$V$340="","",'FINANCIAL CREDITORS'!$V$340)</f>
        <v/>
      </c>
      <c r="G902">
        <f>IF('FINANCIAL CREDITORS'!$D$340="","",'FINANCIAL CREDITORS'!$D$340)</f>
        <v/>
      </c>
      <c r="H902">
        <f>IF('FINANCIAL CREDITORS'!$G$340="","",'FINANCIAL CREDITORS'!$G$340)</f>
        <v/>
      </c>
      <c r="I902">
        <f>IF('FINANCIAL CREDITORS'!$AY$340="","",'FINANCIAL CREDITORS'!$AY$340)</f>
        <v/>
      </c>
      <c r="J902">
        <f>IF('FINANCIAL CREDITORS'!$BC$340="","",'FINANCIAL CREDITORS'!$BC$340)</f>
        <v/>
      </c>
      <c r="K902">
        <f>IF('FINANCIAL CREDITORS'!$N$340="","",'FINANCIAL CREDITORS'!$N$340)</f>
        <v/>
      </c>
      <c r="L902">
        <f>IF('FINANCIAL CREDITORS'!$AH$340="","",'FINANCIAL CREDITORS'!$AH$340)</f>
        <v/>
      </c>
      <c r="M902">
        <f>IF('FINANCIAL CREDITORS'!$AO$340="","",'FINANCIAL CREDITORS'!$AO$340)</f>
        <v/>
      </c>
      <c r="N902">
        <f>IF('FINANCIAL CREDITORS'!$BF$340="","",'FINANCIAL CREDITORS'!$BF$340)</f>
        <v/>
      </c>
      <c r="O902" t="inlineStr">
        <is>
          <t>FINANCIAL</t>
        </is>
      </c>
      <c r="P902" t="inlineStr">
        <is>
          <t>FINANCIAL CREDITORS · row 340</t>
        </is>
      </c>
      <c r="Q902">
        <f>E902+ROW()*0.000000001</f>
        <v/>
      </c>
    </row>
    <row r="903">
      <c r="A903">
        <f>IF('FINANCIAL CREDITORS'!$A$341="","",'FINANCIAL CREDITORS'!$A$341)</f>
        <v/>
      </c>
      <c r="B903">
        <f>IF('FINANCIAL CREDITORS'!$C$341="","",'FINANCIAL CREDITORS'!$C$341)</f>
        <v/>
      </c>
      <c r="C903">
        <f>'FINANCIAL CREDITORS'!$U$341</f>
        <v/>
      </c>
      <c r="D903">
        <f>'FINANCIAL CREDITORS'!$AB$341</f>
        <v/>
      </c>
      <c r="E903">
        <f>'FINANCIAL CREDITORS'!$AF$341</f>
        <v/>
      </c>
      <c r="F903">
        <f>IF('FINANCIAL CREDITORS'!$V$341="","",'FINANCIAL CREDITORS'!$V$341)</f>
        <v/>
      </c>
      <c r="G903">
        <f>IF('FINANCIAL CREDITORS'!$D$341="","",'FINANCIAL CREDITORS'!$D$341)</f>
        <v/>
      </c>
      <c r="H903">
        <f>IF('FINANCIAL CREDITORS'!$G$341="","",'FINANCIAL CREDITORS'!$G$341)</f>
        <v/>
      </c>
      <c r="I903">
        <f>IF('FINANCIAL CREDITORS'!$AY$341="","",'FINANCIAL CREDITORS'!$AY$341)</f>
        <v/>
      </c>
      <c r="J903">
        <f>IF('FINANCIAL CREDITORS'!$BC$341="","",'FINANCIAL CREDITORS'!$BC$341)</f>
        <v/>
      </c>
      <c r="K903">
        <f>IF('FINANCIAL CREDITORS'!$N$341="","",'FINANCIAL CREDITORS'!$N$341)</f>
        <v/>
      </c>
      <c r="L903">
        <f>IF('FINANCIAL CREDITORS'!$AH$341="","",'FINANCIAL CREDITORS'!$AH$341)</f>
        <v/>
      </c>
      <c r="M903">
        <f>IF('FINANCIAL CREDITORS'!$AO$341="","",'FINANCIAL CREDITORS'!$AO$341)</f>
        <v/>
      </c>
      <c r="N903">
        <f>IF('FINANCIAL CREDITORS'!$BF$341="","",'FINANCIAL CREDITORS'!$BF$341)</f>
        <v/>
      </c>
      <c r="O903" t="inlineStr">
        <is>
          <t>FINANCIAL</t>
        </is>
      </c>
      <c r="P903" t="inlineStr">
        <is>
          <t>FINANCIAL CREDITORS · row 341</t>
        </is>
      </c>
      <c r="Q903">
        <f>E903+ROW()*0.000000001</f>
        <v/>
      </c>
    </row>
    <row r="904">
      <c r="A904">
        <f>IF('FINANCIAL CREDITORS'!$A$342="","",'FINANCIAL CREDITORS'!$A$342)</f>
        <v/>
      </c>
      <c r="B904">
        <f>IF('FINANCIAL CREDITORS'!$C$342="","",'FINANCIAL CREDITORS'!$C$342)</f>
        <v/>
      </c>
      <c r="C904">
        <f>'FINANCIAL CREDITORS'!$U$342</f>
        <v/>
      </c>
      <c r="D904">
        <f>'FINANCIAL CREDITORS'!$AB$342</f>
        <v/>
      </c>
      <c r="E904">
        <f>'FINANCIAL CREDITORS'!$AF$342</f>
        <v/>
      </c>
      <c r="F904">
        <f>IF('FINANCIAL CREDITORS'!$V$342="","",'FINANCIAL CREDITORS'!$V$342)</f>
        <v/>
      </c>
      <c r="G904">
        <f>IF('FINANCIAL CREDITORS'!$D$342="","",'FINANCIAL CREDITORS'!$D$342)</f>
        <v/>
      </c>
      <c r="H904">
        <f>IF('FINANCIAL CREDITORS'!$G$342="","",'FINANCIAL CREDITORS'!$G$342)</f>
        <v/>
      </c>
      <c r="I904">
        <f>IF('FINANCIAL CREDITORS'!$AY$342="","",'FINANCIAL CREDITORS'!$AY$342)</f>
        <v/>
      </c>
      <c r="J904">
        <f>IF('FINANCIAL CREDITORS'!$BC$342="","",'FINANCIAL CREDITORS'!$BC$342)</f>
        <v/>
      </c>
      <c r="K904">
        <f>IF('FINANCIAL CREDITORS'!$N$342="","",'FINANCIAL CREDITORS'!$N$342)</f>
        <v/>
      </c>
      <c r="L904">
        <f>IF('FINANCIAL CREDITORS'!$AH$342="","",'FINANCIAL CREDITORS'!$AH$342)</f>
        <v/>
      </c>
      <c r="M904">
        <f>IF('FINANCIAL CREDITORS'!$AO$342="","",'FINANCIAL CREDITORS'!$AO$342)</f>
        <v/>
      </c>
      <c r="N904">
        <f>IF('FINANCIAL CREDITORS'!$BF$342="","",'FINANCIAL CREDITORS'!$BF$342)</f>
        <v/>
      </c>
      <c r="O904" t="inlineStr">
        <is>
          <t>FINANCIAL</t>
        </is>
      </c>
      <c r="P904" t="inlineStr">
        <is>
          <t>FINANCIAL CREDITORS · row 342</t>
        </is>
      </c>
      <c r="Q904">
        <f>E904+ROW()*0.000000001</f>
        <v/>
      </c>
    </row>
    <row r="905">
      <c r="A905">
        <f>IF('FINANCIAL CREDITORS'!$A$343="","",'FINANCIAL CREDITORS'!$A$343)</f>
        <v/>
      </c>
      <c r="B905">
        <f>IF('FINANCIAL CREDITORS'!$C$343="","",'FINANCIAL CREDITORS'!$C$343)</f>
        <v/>
      </c>
      <c r="C905">
        <f>'FINANCIAL CREDITORS'!$U$343</f>
        <v/>
      </c>
      <c r="D905">
        <f>'FINANCIAL CREDITORS'!$AB$343</f>
        <v/>
      </c>
      <c r="E905">
        <f>'FINANCIAL CREDITORS'!$AF$343</f>
        <v/>
      </c>
      <c r="F905">
        <f>IF('FINANCIAL CREDITORS'!$V$343="","",'FINANCIAL CREDITORS'!$V$343)</f>
        <v/>
      </c>
      <c r="G905">
        <f>IF('FINANCIAL CREDITORS'!$D$343="","",'FINANCIAL CREDITORS'!$D$343)</f>
        <v/>
      </c>
      <c r="H905">
        <f>IF('FINANCIAL CREDITORS'!$G$343="","",'FINANCIAL CREDITORS'!$G$343)</f>
        <v/>
      </c>
      <c r="I905">
        <f>IF('FINANCIAL CREDITORS'!$AY$343="","",'FINANCIAL CREDITORS'!$AY$343)</f>
        <v/>
      </c>
      <c r="J905">
        <f>IF('FINANCIAL CREDITORS'!$BC$343="","",'FINANCIAL CREDITORS'!$BC$343)</f>
        <v/>
      </c>
      <c r="K905">
        <f>IF('FINANCIAL CREDITORS'!$N$343="","",'FINANCIAL CREDITORS'!$N$343)</f>
        <v/>
      </c>
      <c r="L905">
        <f>IF('FINANCIAL CREDITORS'!$AH$343="","",'FINANCIAL CREDITORS'!$AH$343)</f>
        <v/>
      </c>
      <c r="M905">
        <f>IF('FINANCIAL CREDITORS'!$AO$343="","",'FINANCIAL CREDITORS'!$AO$343)</f>
        <v/>
      </c>
      <c r="N905">
        <f>IF('FINANCIAL CREDITORS'!$BF$343="","",'FINANCIAL CREDITORS'!$BF$343)</f>
        <v/>
      </c>
      <c r="O905" t="inlineStr">
        <is>
          <t>FINANCIAL</t>
        </is>
      </c>
      <c r="P905" t="inlineStr">
        <is>
          <t>FINANCIAL CREDITORS · row 343</t>
        </is>
      </c>
      <c r="Q905">
        <f>E905+ROW()*0.000000001</f>
        <v/>
      </c>
    </row>
    <row r="906">
      <c r="A906">
        <f>IF('FINANCIAL CREDITORS'!$A$344="","",'FINANCIAL CREDITORS'!$A$344)</f>
        <v/>
      </c>
      <c r="B906">
        <f>IF('FINANCIAL CREDITORS'!$C$344="","",'FINANCIAL CREDITORS'!$C$344)</f>
        <v/>
      </c>
      <c r="C906">
        <f>'FINANCIAL CREDITORS'!$U$344</f>
        <v/>
      </c>
      <c r="D906">
        <f>'FINANCIAL CREDITORS'!$AB$344</f>
        <v/>
      </c>
      <c r="E906">
        <f>'FINANCIAL CREDITORS'!$AF$344</f>
        <v/>
      </c>
      <c r="F906">
        <f>IF('FINANCIAL CREDITORS'!$V$344="","",'FINANCIAL CREDITORS'!$V$344)</f>
        <v/>
      </c>
      <c r="G906">
        <f>IF('FINANCIAL CREDITORS'!$D$344="","",'FINANCIAL CREDITORS'!$D$344)</f>
        <v/>
      </c>
      <c r="H906">
        <f>IF('FINANCIAL CREDITORS'!$G$344="","",'FINANCIAL CREDITORS'!$G$344)</f>
        <v/>
      </c>
      <c r="I906">
        <f>IF('FINANCIAL CREDITORS'!$AY$344="","",'FINANCIAL CREDITORS'!$AY$344)</f>
        <v/>
      </c>
      <c r="J906">
        <f>IF('FINANCIAL CREDITORS'!$BC$344="","",'FINANCIAL CREDITORS'!$BC$344)</f>
        <v/>
      </c>
      <c r="K906">
        <f>IF('FINANCIAL CREDITORS'!$N$344="","",'FINANCIAL CREDITORS'!$N$344)</f>
        <v/>
      </c>
      <c r="L906">
        <f>IF('FINANCIAL CREDITORS'!$AH$344="","",'FINANCIAL CREDITORS'!$AH$344)</f>
        <v/>
      </c>
      <c r="M906">
        <f>IF('FINANCIAL CREDITORS'!$AO$344="","",'FINANCIAL CREDITORS'!$AO$344)</f>
        <v/>
      </c>
      <c r="N906">
        <f>IF('FINANCIAL CREDITORS'!$BF$344="","",'FINANCIAL CREDITORS'!$BF$344)</f>
        <v/>
      </c>
      <c r="O906" t="inlineStr">
        <is>
          <t>FINANCIAL</t>
        </is>
      </c>
      <c r="P906" t="inlineStr">
        <is>
          <t>FINANCIAL CREDITORS · row 344</t>
        </is>
      </c>
      <c r="Q906">
        <f>E906+ROW()*0.000000001</f>
        <v/>
      </c>
    </row>
    <row r="907">
      <c r="A907">
        <f>IF('FINANCIAL CREDITORS'!$A$345="","",'FINANCIAL CREDITORS'!$A$345)</f>
        <v/>
      </c>
      <c r="B907">
        <f>IF('FINANCIAL CREDITORS'!$C$345="","",'FINANCIAL CREDITORS'!$C$345)</f>
        <v/>
      </c>
      <c r="C907">
        <f>'FINANCIAL CREDITORS'!$U$345</f>
        <v/>
      </c>
      <c r="D907">
        <f>'FINANCIAL CREDITORS'!$AB$345</f>
        <v/>
      </c>
      <c r="E907">
        <f>'FINANCIAL CREDITORS'!$AF$345</f>
        <v/>
      </c>
      <c r="F907">
        <f>IF('FINANCIAL CREDITORS'!$V$345="","",'FINANCIAL CREDITORS'!$V$345)</f>
        <v/>
      </c>
      <c r="G907">
        <f>IF('FINANCIAL CREDITORS'!$D$345="","",'FINANCIAL CREDITORS'!$D$345)</f>
        <v/>
      </c>
      <c r="H907">
        <f>IF('FINANCIAL CREDITORS'!$G$345="","",'FINANCIAL CREDITORS'!$G$345)</f>
        <v/>
      </c>
      <c r="I907">
        <f>IF('FINANCIAL CREDITORS'!$AY$345="","",'FINANCIAL CREDITORS'!$AY$345)</f>
        <v/>
      </c>
      <c r="J907">
        <f>IF('FINANCIAL CREDITORS'!$BC$345="","",'FINANCIAL CREDITORS'!$BC$345)</f>
        <v/>
      </c>
      <c r="K907">
        <f>IF('FINANCIAL CREDITORS'!$N$345="","",'FINANCIAL CREDITORS'!$N$345)</f>
        <v/>
      </c>
      <c r="L907">
        <f>IF('FINANCIAL CREDITORS'!$AH$345="","",'FINANCIAL CREDITORS'!$AH$345)</f>
        <v/>
      </c>
      <c r="M907">
        <f>IF('FINANCIAL CREDITORS'!$AO$345="","",'FINANCIAL CREDITORS'!$AO$345)</f>
        <v/>
      </c>
      <c r="N907">
        <f>IF('FINANCIAL CREDITORS'!$BF$345="","",'FINANCIAL CREDITORS'!$BF$345)</f>
        <v/>
      </c>
      <c r="O907" t="inlineStr">
        <is>
          <t>FINANCIAL</t>
        </is>
      </c>
      <c r="P907" t="inlineStr">
        <is>
          <t>FINANCIAL CREDITORS · row 345</t>
        </is>
      </c>
      <c r="Q907">
        <f>E907+ROW()*0.000000001</f>
        <v/>
      </c>
    </row>
    <row r="908">
      <c r="A908">
        <f>IF('FINANCIAL CREDITORS'!$A$346="","",'FINANCIAL CREDITORS'!$A$346)</f>
        <v/>
      </c>
      <c r="B908">
        <f>IF('FINANCIAL CREDITORS'!$C$346="","",'FINANCIAL CREDITORS'!$C$346)</f>
        <v/>
      </c>
      <c r="C908">
        <f>'FINANCIAL CREDITORS'!$U$346</f>
        <v/>
      </c>
      <c r="D908">
        <f>'FINANCIAL CREDITORS'!$AB$346</f>
        <v/>
      </c>
      <c r="E908">
        <f>'FINANCIAL CREDITORS'!$AF$346</f>
        <v/>
      </c>
      <c r="F908">
        <f>IF('FINANCIAL CREDITORS'!$V$346="","",'FINANCIAL CREDITORS'!$V$346)</f>
        <v/>
      </c>
      <c r="G908">
        <f>IF('FINANCIAL CREDITORS'!$D$346="","",'FINANCIAL CREDITORS'!$D$346)</f>
        <v/>
      </c>
      <c r="H908">
        <f>IF('FINANCIAL CREDITORS'!$G$346="","",'FINANCIAL CREDITORS'!$G$346)</f>
        <v/>
      </c>
      <c r="I908">
        <f>IF('FINANCIAL CREDITORS'!$AY$346="","",'FINANCIAL CREDITORS'!$AY$346)</f>
        <v/>
      </c>
      <c r="J908">
        <f>IF('FINANCIAL CREDITORS'!$BC$346="","",'FINANCIAL CREDITORS'!$BC$346)</f>
        <v/>
      </c>
      <c r="K908">
        <f>IF('FINANCIAL CREDITORS'!$N$346="","",'FINANCIAL CREDITORS'!$N$346)</f>
        <v/>
      </c>
      <c r="L908">
        <f>IF('FINANCIAL CREDITORS'!$AH$346="","",'FINANCIAL CREDITORS'!$AH$346)</f>
        <v/>
      </c>
      <c r="M908">
        <f>IF('FINANCIAL CREDITORS'!$AO$346="","",'FINANCIAL CREDITORS'!$AO$346)</f>
        <v/>
      </c>
      <c r="N908">
        <f>IF('FINANCIAL CREDITORS'!$BF$346="","",'FINANCIAL CREDITORS'!$BF$346)</f>
        <v/>
      </c>
      <c r="O908" t="inlineStr">
        <is>
          <t>FINANCIAL</t>
        </is>
      </c>
      <c r="P908" t="inlineStr">
        <is>
          <t>FINANCIAL CREDITORS · row 346</t>
        </is>
      </c>
      <c r="Q908">
        <f>E908+ROW()*0.000000001</f>
        <v/>
      </c>
    </row>
    <row r="909">
      <c r="A909">
        <f>IF('STATE-OWNED CREDITORS'!$A$2="","",'STATE-OWNED CREDITORS'!$A$2)</f>
        <v/>
      </c>
      <c r="B909">
        <f>IF('STATE-OWNED CREDITORS'!$C$2="","",'STATE-OWNED CREDITORS'!$C$2)</f>
        <v/>
      </c>
      <c r="C909">
        <f>'STATE-OWNED CREDITORS'!$U$2</f>
        <v/>
      </c>
      <c r="D909">
        <f>'STATE-OWNED CREDITORS'!$AB$2</f>
        <v/>
      </c>
      <c r="E909">
        <f>'STATE-OWNED CREDITORS'!$AF$2</f>
        <v/>
      </c>
      <c r="F909">
        <f>IF('STATE-OWNED CREDITORS'!$V$2="","",'STATE-OWNED CREDITORS'!$V$2)</f>
        <v/>
      </c>
      <c r="G909">
        <f>IF('STATE-OWNED CREDITORS'!$D$2="","",'STATE-OWNED CREDITORS'!$D$2)</f>
        <v/>
      </c>
      <c r="H909">
        <f>IF('STATE-OWNED CREDITORS'!$G$2="","",'STATE-OWNED CREDITORS'!$G$2)</f>
        <v/>
      </c>
      <c r="I909">
        <f>IF('STATE-OWNED CREDITORS'!$AY$2="","",'STATE-OWNED CREDITORS'!$AY$2)</f>
        <v/>
      </c>
      <c r="J909">
        <f>IF('STATE-OWNED CREDITORS'!$BC$2="","",'STATE-OWNED CREDITORS'!$BC$2)</f>
        <v/>
      </c>
      <c r="K909">
        <f>IF('STATE-OWNED CREDITORS'!$N$2="","",'STATE-OWNED CREDITORS'!$N$2)</f>
        <v/>
      </c>
      <c r="L909">
        <f>IF('STATE-OWNED CREDITORS'!$AH$2="","",'STATE-OWNED CREDITORS'!$AH$2)</f>
        <v/>
      </c>
      <c r="M909">
        <f>IF('STATE-OWNED CREDITORS'!$AO$2="","",'STATE-OWNED CREDITORS'!$AO$2)</f>
        <v/>
      </c>
      <c r="N909">
        <f>IF('STATE-OWNED CREDITORS'!$BF$2="","",'STATE-OWNED CREDITORS'!$BF$2)</f>
        <v/>
      </c>
      <c r="O909" t="inlineStr">
        <is>
          <t>STATE-OWNED</t>
        </is>
      </c>
      <c r="P909" t="inlineStr">
        <is>
          <t>STATE-OWNED CREDITORS · row 2</t>
        </is>
      </c>
      <c r="Q909">
        <f>E909+ROW()*0.000000001</f>
        <v/>
      </c>
    </row>
    <row r="910">
      <c r="A910">
        <f>IF('STATE-OWNED CREDITORS'!$A$3="","",'STATE-OWNED CREDITORS'!$A$3)</f>
        <v/>
      </c>
      <c r="B910">
        <f>IF('STATE-OWNED CREDITORS'!$C$3="","",'STATE-OWNED CREDITORS'!$C$3)</f>
        <v/>
      </c>
      <c r="C910">
        <f>'STATE-OWNED CREDITORS'!$U$3</f>
        <v/>
      </c>
      <c r="D910">
        <f>'STATE-OWNED CREDITORS'!$AB$3</f>
        <v/>
      </c>
      <c r="E910">
        <f>'STATE-OWNED CREDITORS'!$AF$3</f>
        <v/>
      </c>
      <c r="F910">
        <f>IF('STATE-OWNED CREDITORS'!$V$3="","",'STATE-OWNED CREDITORS'!$V$3)</f>
        <v/>
      </c>
      <c r="G910">
        <f>IF('STATE-OWNED CREDITORS'!$D$3="","",'STATE-OWNED CREDITORS'!$D$3)</f>
        <v/>
      </c>
      <c r="H910">
        <f>IF('STATE-OWNED CREDITORS'!$G$3="","",'STATE-OWNED CREDITORS'!$G$3)</f>
        <v/>
      </c>
      <c r="I910">
        <f>IF('STATE-OWNED CREDITORS'!$AY$3="","",'STATE-OWNED CREDITORS'!$AY$3)</f>
        <v/>
      </c>
      <c r="J910">
        <f>IF('STATE-OWNED CREDITORS'!$BC$3="","",'STATE-OWNED CREDITORS'!$BC$3)</f>
        <v/>
      </c>
      <c r="K910">
        <f>IF('STATE-OWNED CREDITORS'!$N$3="","",'STATE-OWNED CREDITORS'!$N$3)</f>
        <v/>
      </c>
      <c r="L910">
        <f>IF('STATE-OWNED CREDITORS'!$AH$3="","",'STATE-OWNED CREDITORS'!$AH$3)</f>
        <v/>
      </c>
      <c r="M910">
        <f>IF('STATE-OWNED CREDITORS'!$AO$3="","",'STATE-OWNED CREDITORS'!$AO$3)</f>
        <v/>
      </c>
      <c r="N910">
        <f>IF('STATE-OWNED CREDITORS'!$BF$3="","",'STATE-OWNED CREDITORS'!$BF$3)</f>
        <v/>
      </c>
      <c r="O910" t="inlineStr">
        <is>
          <t>STATE-OWNED</t>
        </is>
      </c>
      <c r="P910" t="inlineStr">
        <is>
          <t>STATE-OWNED CREDITORS · row 3</t>
        </is>
      </c>
      <c r="Q910">
        <f>E910+ROW()*0.000000001</f>
        <v/>
      </c>
    </row>
    <row r="911">
      <c r="A911">
        <f>IF('STATE-OWNED CREDITORS'!$A$4="","",'STATE-OWNED CREDITORS'!$A$4)</f>
        <v/>
      </c>
      <c r="B911">
        <f>IF('STATE-OWNED CREDITORS'!$C$4="","",'STATE-OWNED CREDITORS'!$C$4)</f>
        <v/>
      </c>
      <c r="C911">
        <f>'STATE-OWNED CREDITORS'!$U$4</f>
        <v/>
      </c>
      <c r="D911">
        <f>'STATE-OWNED CREDITORS'!$AB$4</f>
        <v/>
      </c>
      <c r="E911">
        <f>'STATE-OWNED CREDITORS'!$AF$4</f>
        <v/>
      </c>
      <c r="F911">
        <f>IF('STATE-OWNED CREDITORS'!$V$4="","",'STATE-OWNED CREDITORS'!$V$4)</f>
        <v/>
      </c>
      <c r="G911">
        <f>IF('STATE-OWNED CREDITORS'!$D$4="","",'STATE-OWNED CREDITORS'!$D$4)</f>
        <v/>
      </c>
      <c r="H911">
        <f>IF('STATE-OWNED CREDITORS'!$G$4="","",'STATE-OWNED CREDITORS'!$G$4)</f>
        <v/>
      </c>
      <c r="I911">
        <f>IF('STATE-OWNED CREDITORS'!$AY$4="","",'STATE-OWNED CREDITORS'!$AY$4)</f>
        <v/>
      </c>
      <c r="J911">
        <f>IF('STATE-OWNED CREDITORS'!$BC$4="","",'STATE-OWNED CREDITORS'!$BC$4)</f>
        <v/>
      </c>
      <c r="K911">
        <f>IF('STATE-OWNED CREDITORS'!$N$4="","",'STATE-OWNED CREDITORS'!$N$4)</f>
        <v/>
      </c>
      <c r="L911">
        <f>IF('STATE-OWNED CREDITORS'!$AH$4="","",'STATE-OWNED CREDITORS'!$AH$4)</f>
        <v/>
      </c>
      <c r="M911">
        <f>IF('STATE-OWNED CREDITORS'!$AO$4="","",'STATE-OWNED CREDITORS'!$AO$4)</f>
        <v/>
      </c>
      <c r="N911">
        <f>IF('STATE-OWNED CREDITORS'!$BF$4="","",'STATE-OWNED CREDITORS'!$BF$4)</f>
        <v/>
      </c>
      <c r="O911" t="inlineStr">
        <is>
          <t>STATE-OWNED</t>
        </is>
      </c>
      <c r="P911" t="inlineStr">
        <is>
          <t>STATE-OWNED CREDITORS · row 4</t>
        </is>
      </c>
      <c r="Q911">
        <f>E911+ROW()*0.000000001</f>
        <v/>
      </c>
    </row>
    <row r="912">
      <c r="A912">
        <f>IF('STATE-OWNED CREDITORS'!$A$5="","",'STATE-OWNED CREDITORS'!$A$5)</f>
        <v/>
      </c>
      <c r="B912">
        <f>IF('STATE-OWNED CREDITORS'!$C$5="","",'STATE-OWNED CREDITORS'!$C$5)</f>
        <v/>
      </c>
      <c r="C912">
        <f>'STATE-OWNED CREDITORS'!$U$5</f>
        <v/>
      </c>
      <c r="D912">
        <f>'STATE-OWNED CREDITORS'!$AB$5</f>
        <v/>
      </c>
      <c r="E912">
        <f>'STATE-OWNED CREDITORS'!$AF$5</f>
        <v/>
      </c>
      <c r="F912">
        <f>IF('STATE-OWNED CREDITORS'!$V$5="","",'STATE-OWNED CREDITORS'!$V$5)</f>
        <v/>
      </c>
      <c r="G912">
        <f>IF('STATE-OWNED CREDITORS'!$D$5="","",'STATE-OWNED CREDITORS'!$D$5)</f>
        <v/>
      </c>
      <c r="H912">
        <f>IF('STATE-OWNED CREDITORS'!$G$5="","",'STATE-OWNED CREDITORS'!$G$5)</f>
        <v/>
      </c>
      <c r="I912">
        <f>IF('STATE-OWNED CREDITORS'!$AY$5="","",'STATE-OWNED CREDITORS'!$AY$5)</f>
        <v/>
      </c>
      <c r="J912">
        <f>IF('STATE-OWNED CREDITORS'!$BC$5="","",'STATE-OWNED CREDITORS'!$BC$5)</f>
        <v/>
      </c>
      <c r="K912">
        <f>IF('STATE-OWNED CREDITORS'!$N$5="","",'STATE-OWNED CREDITORS'!$N$5)</f>
        <v/>
      </c>
      <c r="L912">
        <f>IF('STATE-OWNED CREDITORS'!$AH$5="","",'STATE-OWNED CREDITORS'!$AH$5)</f>
        <v/>
      </c>
      <c r="M912">
        <f>IF('STATE-OWNED CREDITORS'!$AO$5="","",'STATE-OWNED CREDITORS'!$AO$5)</f>
        <v/>
      </c>
      <c r="N912">
        <f>IF('STATE-OWNED CREDITORS'!$BF$5="","",'STATE-OWNED CREDITORS'!$BF$5)</f>
        <v/>
      </c>
      <c r="O912" t="inlineStr">
        <is>
          <t>STATE-OWNED</t>
        </is>
      </c>
      <c r="P912" t="inlineStr">
        <is>
          <t>STATE-OWNED CREDITORS · row 5</t>
        </is>
      </c>
      <c r="Q912">
        <f>E912+ROW()*0.000000001</f>
        <v/>
      </c>
    </row>
    <row r="913">
      <c r="A913">
        <f>IF('STATE-OWNED CREDITORS'!$A$6="","",'STATE-OWNED CREDITORS'!$A$6)</f>
        <v/>
      </c>
      <c r="B913">
        <f>IF('STATE-OWNED CREDITORS'!$C$6="","",'STATE-OWNED CREDITORS'!$C$6)</f>
        <v/>
      </c>
      <c r="C913">
        <f>'STATE-OWNED CREDITORS'!$U$6</f>
        <v/>
      </c>
      <c r="D913">
        <f>'STATE-OWNED CREDITORS'!$AB$6</f>
        <v/>
      </c>
      <c r="E913">
        <f>'STATE-OWNED CREDITORS'!$AF$6</f>
        <v/>
      </c>
      <c r="F913">
        <f>IF('STATE-OWNED CREDITORS'!$V$6="","",'STATE-OWNED CREDITORS'!$V$6)</f>
        <v/>
      </c>
      <c r="G913">
        <f>IF('STATE-OWNED CREDITORS'!$D$6="","",'STATE-OWNED CREDITORS'!$D$6)</f>
        <v/>
      </c>
      <c r="H913">
        <f>IF('STATE-OWNED CREDITORS'!$G$6="","",'STATE-OWNED CREDITORS'!$G$6)</f>
        <v/>
      </c>
      <c r="I913">
        <f>IF('STATE-OWNED CREDITORS'!$AY$6="","",'STATE-OWNED CREDITORS'!$AY$6)</f>
        <v/>
      </c>
      <c r="J913">
        <f>IF('STATE-OWNED CREDITORS'!$BC$6="","",'STATE-OWNED CREDITORS'!$BC$6)</f>
        <v/>
      </c>
      <c r="K913">
        <f>IF('STATE-OWNED CREDITORS'!$N$6="","",'STATE-OWNED CREDITORS'!$N$6)</f>
        <v/>
      </c>
      <c r="L913">
        <f>IF('STATE-OWNED CREDITORS'!$AH$6="","",'STATE-OWNED CREDITORS'!$AH$6)</f>
        <v/>
      </c>
      <c r="M913">
        <f>IF('STATE-OWNED CREDITORS'!$AO$6="","",'STATE-OWNED CREDITORS'!$AO$6)</f>
        <v/>
      </c>
      <c r="N913">
        <f>IF('STATE-OWNED CREDITORS'!$BF$6="","",'STATE-OWNED CREDITORS'!$BF$6)</f>
        <v/>
      </c>
      <c r="O913" t="inlineStr">
        <is>
          <t>STATE-OWNED</t>
        </is>
      </c>
      <c r="P913" t="inlineStr">
        <is>
          <t>STATE-OWNED CREDITORS · row 6</t>
        </is>
      </c>
      <c r="Q913">
        <f>E913+ROW()*0.000000001</f>
        <v/>
      </c>
    </row>
    <row r="914">
      <c r="A914">
        <f>IF('STATE-OWNED CREDITORS'!$A$7="","",'STATE-OWNED CREDITORS'!$A$7)</f>
        <v/>
      </c>
      <c r="B914">
        <f>IF('STATE-OWNED CREDITORS'!$C$7="","",'STATE-OWNED CREDITORS'!$C$7)</f>
        <v/>
      </c>
      <c r="C914">
        <f>'STATE-OWNED CREDITORS'!$U$7</f>
        <v/>
      </c>
      <c r="D914">
        <f>'STATE-OWNED CREDITORS'!$AB$7</f>
        <v/>
      </c>
      <c r="E914">
        <f>'STATE-OWNED CREDITORS'!$AF$7</f>
        <v/>
      </c>
      <c r="F914">
        <f>IF('STATE-OWNED CREDITORS'!$V$7="","",'STATE-OWNED CREDITORS'!$V$7)</f>
        <v/>
      </c>
      <c r="G914">
        <f>IF('STATE-OWNED CREDITORS'!$D$7="","",'STATE-OWNED CREDITORS'!$D$7)</f>
        <v/>
      </c>
      <c r="H914">
        <f>IF('STATE-OWNED CREDITORS'!$G$7="","",'STATE-OWNED CREDITORS'!$G$7)</f>
        <v/>
      </c>
      <c r="I914">
        <f>IF('STATE-OWNED CREDITORS'!$AY$7="","",'STATE-OWNED CREDITORS'!$AY$7)</f>
        <v/>
      </c>
      <c r="J914">
        <f>IF('STATE-OWNED CREDITORS'!$BC$7="","",'STATE-OWNED CREDITORS'!$BC$7)</f>
        <v/>
      </c>
      <c r="K914">
        <f>IF('STATE-OWNED CREDITORS'!$N$7="","",'STATE-OWNED CREDITORS'!$N$7)</f>
        <v/>
      </c>
      <c r="L914">
        <f>IF('STATE-OWNED CREDITORS'!$AH$7="","",'STATE-OWNED CREDITORS'!$AH$7)</f>
        <v/>
      </c>
      <c r="M914">
        <f>IF('STATE-OWNED CREDITORS'!$AO$7="","",'STATE-OWNED CREDITORS'!$AO$7)</f>
        <v/>
      </c>
      <c r="N914">
        <f>IF('STATE-OWNED CREDITORS'!$BF$7="","",'STATE-OWNED CREDITORS'!$BF$7)</f>
        <v/>
      </c>
      <c r="O914" t="inlineStr">
        <is>
          <t>STATE-OWNED</t>
        </is>
      </c>
      <c r="P914" t="inlineStr">
        <is>
          <t>STATE-OWNED CREDITORS · row 7</t>
        </is>
      </c>
      <c r="Q914">
        <f>E914+ROW()*0.000000001</f>
        <v/>
      </c>
    </row>
    <row r="915">
      <c r="A915">
        <f>IF('STATE-OWNED CREDITORS'!$A$8="","",'STATE-OWNED CREDITORS'!$A$8)</f>
        <v/>
      </c>
      <c r="B915">
        <f>IF('STATE-OWNED CREDITORS'!$C$8="","",'STATE-OWNED CREDITORS'!$C$8)</f>
        <v/>
      </c>
      <c r="C915">
        <f>'STATE-OWNED CREDITORS'!$U$8</f>
        <v/>
      </c>
      <c r="D915">
        <f>'STATE-OWNED CREDITORS'!$AB$8</f>
        <v/>
      </c>
      <c r="E915">
        <f>'STATE-OWNED CREDITORS'!$AF$8</f>
        <v/>
      </c>
      <c r="F915">
        <f>IF('STATE-OWNED CREDITORS'!$V$8="","",'STATE-OWNED CREDITORS'!$V$8)</f>
        <v/>
      </c>
      <c r="G915">
        <f>IF('STATE-OWNED CREDITORS'!$D$8="","",'STATE-OWNED CREDITORS'!$D$8)</f>
        <v/>
      </c>
      <c r="H915">
        <f>IF('STATE-OWNED CREDITORS'!$G$8="","",'STATE-OWNED CREDITORS'!$G$8)</f>
        <v/>
      </c>
      <c r="I915">
        <f>IF('STATE-OWNED CREDITORS'!$AY$8="","",'STATE-OWNED CREDITORS'!$AY$8)</f>
        <v/>
      </c>
      <c r="J915">
        <f>IF('STATE-OWNED CREDITORS'!$BC$8="","",'STATE-OWNED CREDITORS'!$BC$8)</f>
        <v/>
      </c>
      <c r="K915">
        <f>IF('STATE-OWNED CREDITORS'!$N$8="","",'STATE-OWNED CREDITORS'!$N$8)</f>
        <v/>
      </c>
      <c r="L915">
        <f>IF('STATE-OWNED CREDITORS'!$AH$8="","",'STATE-OWNED CREDITORS'!$AH$8)</f>
        <v/>
      </c>
      <c r="M915">
        <f>IF('STATE-OWNED CREDITORS'!$AO$8="","",'STATE-OWNED CREDITORS'!$AO$8)</f>
        <v/>
      </c>
      <c r="N915">
        <f>IF('STATE-OWNED CREDITORS'!$BF$8="","",'STATE-OWNED CREDITORS'!$BF$8)</f>
        <v/>
      </c>
      <c r="O915" t="inlineStr">
        <is>
          <t>STATE-OWNED</t>
        </is>
      </c>
      <c r="P915" t="inlineStr">
        <is>
          <t>STATE-OWNED CREDITORS · row 8</t>
        </is>
      </c>
      <c r="Q915">
        <f>E915+ROW()*0.000000001</f>
        <v/>
      </c>
    </row>
    <row r="916">
      <c r="A916">
        <f>IF('STATE-OWNED CREDITORS'!$A$9="","",'STATE-OWNED CREDITORS'!$A$9)</f>
        <v/>
      </c>
      <c r="B916">
        <f>IF('STATE-OWNED CREDITORS'!$C$9="","",'STATE-OWNED CREDITORS'!$C$9)</f>
        <v/>
      </c>
      <c r="C916">
        <f>'STATE-OWNED CREDITORS'!$U$9</f>
        <v/>
      </c>
      <c r="D916">
        <f>'STATE-OWNED CREDITORS'!$AB$9</f>
        <v/>
      </c>
      <c r="E916">
        <f>'STATE-OWNED CREDITORS'!$AF$9</f>
        <v/>
      </c>
      <c r="F916">
        <f>IF('STATE-OWNED CREDITORS'!$V$9="","",'STATE-OWNED CREDITORS'!$V$9)</f>
        <v/>
      </c>
      <c r="G916">
        <f>IF('STATE-OWNED CREDITORS'!$D$9="","",'STATE-OWNED CREDITORS'!$D$9)</f>
        <v/>
      </c>
      <c r="H916">
        <f>IF('STATE-OWNED CREDITORS'!$G$9="","",'STATE-OWNED CREDITORS'!$G$9)</f>
        <v/>
      </c>
      <c r="I916">
        <f>IF('STATE-OWNED CREDITORS'!$AY$9="","",'STATE-OWNED CREDITORS'!$AY$9)</f>
        <v/>
      </c>
      <c r="J916">
        <f>IF('STATE-OWNED CREDITORS'!$BC$9="","",'STATE-OWNED CREDITORS'!$BC$9)</f>
        <v/>
      </c>
      <c r="K916">
        <f>IF('STATE-OWNED CREDITORS'!$N$9="","",'STATE-OWNED CREDITORS'!$N$9)</f>
        <v/>
      </c>
      <c r="L916">
        <f>IF('STATE-OWNED CREDITORS'!$AH$9="","",'STATE-OWNED CREDITORS'!$AH$9)</f>
        <v/>
      </c>
      <c r="M916">
        <f>IF('STATE-OWNED CREDITORS'!$AO$9="","",'STATE-OWNED CREDITORS'!$AO$9)</f>
        <v/>
      </c>
      <c r="N916">
        <f>IF('STATE-OWNED CREDITORS'!$BF$9="","",'STATE-OWNED CREDITORS'!$BF$9)</f>
        <v/>
      </c>
      <c r="O916" t="inlineStr">
        <is>
          <t>STATE-OWNED</t>
        </is>
      </c>
      <c r="P916" t="inlineStr">
        <is>
          <t>STATE-OWNED CREDITORS · row 9</t>
        </is>
      </c>
      <c r="Q916">
        <f>E916+ROW()*0.000000001</f>
        <v/>
      </c>
    </row>
    <row r="917">
      <c r="A917">
        <f>IF('STATE-OWNED CREDITORS'!$A$10="","",'STATE-OWNED CREDITORS'!$A$10)</f>
        <v/>
      </c>
      <c r="B917">
        <f>IF('STATE-OWNED CREDITORS'!$C$10="","",'STATE-OWNED CREDITORS'!$C$10)</f>
        <v/>
      </c>
      <c r="C917">
        <f>'STATE-OWNED CREDITORS'!$U$10</f>
        <v/>
      </c>
      <c r="D917">
        <f>'STATE-OWNED CREDITORS'!$AB$10</f>
        <v/>
      </c>
      <c r="E917">
        <f>'STATE-OWNED CREDITORS'!$AF$10</f>
        <v/>
      </c>
      <c r="F917">
        <f>IF('STATE-OWNED CREDITORS'!$V$10="","",'STATE-OWNED CREDITORS'!$V$10)</f>
        <v/>
      </c>
      <c r="G917">
        <f>IF('STATE-OWNED CREDITORS'!$D$10="","",'STATE-OWNED CREDITORS'!$D$10)</f>
        <v/>
      </c>
      <c r="H917">
        <f>IF('STATE-OWNED CREDITORS'!$G$10="","",'STATE-OWNED CREDITORS'!$G$10)</f>
        <v/>
      </c>
      <c r="I917">
        <f>IF('STATE-OWNED CREDITORS'!$AY$10="","",'STATE-OWNED CREDITORS'!$AY$10)</f>
        <v/>
      </c>
      <c r="J917">
        <f>IF('STATE-OWNED CREDITORS'!$BC$10="","",'STATE-OWNED CREDITORS'!$BC$10)</f>
        <v/>
      </c>
      <c r="K917">
        <f>IF('STATE-OWNED CREDITORS'!$N$10="","",'STATE-OWNED CREDITORS'!$N$10)</f>
        <v/>
      </c>
      <c r="L917">
        <f>IF('STATE-OWNED CREDITORS'!$AH$10="","",'STATE-OWNED CREDITORS'!$AH$10)</f>
        <v/>
      </c>
      <c r="M917">
        <f>IF('STATE-OWNED CREDITORS'!$AO$10="","",'STATE-OWNED CREDITORS'!$AO$10)</f>
        <v/>
      </c>
      <c r="N917">
        <f>IF('STATE-OWNED CREDITORS'!$BF$10="","",'STATE-OWNED CREDITORS'!$BF$10)</f>
        <v/>
      </c>
      <c r="O917" t="inlineStr">
        <is>
          <t>STATE-OWNED</t>
        </is>
      </c>
      <c r="P917" t="inlineStr">
        <is>
          <t>STATE-OWNED CREDITORS · row 10</t>
        </is>
      </c>
      <c r="Q917">
        <f>E917+ROW()*0.000000001</f>
        <v/>
      </c>
    </row>
    <row r="918">
      <c r="A918">
        <f>IF('STATE-OWNED CREDITORS'!$A$11="","",'STATE-OWNED CREDITORS'!$A$11)</f>
        <v/>
      </c>
      <c r="B918">
        <f>IF('STATE-OWNED CREDITORS'!$C$11="","",'STATE-OWNED CREDITORS'!$C$11)</f>
        <v/>
      </c>
      <c r="C918">
        <f>'STATE-OWNED CREDITORS'!$U$11</f>
        <v/>
      </c>
      <c r="D918">
        <f>'STATE-OWNED CREDITORS'!$AB$11</f>
        <v/>
      </c>
      <c r="E918">
        <f>'STATE-OWNED CREDITORS'!$AF$11</f>
        <v/>
      </c>
      <c r="F918">
        <f>IF('STATE-OWNED CREDITORS'!$V$11="","",'STATE-OWNED CREDITORS'!$V$11)</f>
        <v/>
      </c>
      <c r="G918">
        <f>IF('STATE-OWNED CREDITORS'!$D$11="","",'STATE-OWNED CREDITORS'!$D$11)</f>
        <v/>
      </c>
      <c r="H918">
        <f>IF('STATE-OWNED CREDITORS'!$G$11="","",'STATE-OWNED CREDITORS'!$G$11)</f>
        <v/>
      </c>
      <c r="I918">
        <f>IF('STATE-OWNED CREDITORS'!$AY$11="","",'STATE-OWNED CREDITORS'!$AY$11)</f>
        <v/>
      </c>
      <c r="J918">
        <f>IF('STATE-OWNED CREDITORS'!$BC$11="","",'STATE-OWNED CREDITORS'!$BC$11)</f>
        <v/>
      </c>
      <c r="K918">
        <f>IF('STATE-OWNED CREDITORS'!$N$11="","",'STATE-OWNED CREDITORS'!$N$11)</f>
        <v/>
      </c>
      <c r="L918">
        <f>IF('STATE-OWNED CREDITORS'!$AH$11="","",'STATE-OWNED CREDITORS'!$AH$11)</f>
        <v/>
      </c>
      <c r="M918">
        <f>IF('STATE-OWNED CREDITORS'!$AO$11="","",'STATE-OWNED CREDITORS'!$AO$11)</f>
        <v/>
      </c>
      <c r="N918">
        <f>IF('STATE-OWNED CREDITORS'!$BF$11="","",'STATE-OWNED CREDITORS'!$BF$11)</f>
        <v/>
      </c>
      <c r="O918" t="inlineStr">
        <is>
          <t>STATE-OWNED</t>
        </is>
      </c>
      <c r="P918" t="inlineStr">
        <is>
          <t>STATE-OWNED CREDITORS · row 11</t>
        </is>
      </c>
      <c r="Q918">
        <f>E918+ROW()*0.000000001</f>
        <v/>
      </c>
    </row>
    <row r="919">
      <c r="A919">
        <f>IF('STATE-OWNED CREDITORS'!$A$12="","",'STATE-OWNED CREDITORS'!$A$12)</f>
        <v/>
      </c>
      <c r="B919">
        <f>IF('STATE-OWNED CREDITORS'!$C$12="","",'STATE-OWNED CREDITORS'!$C$12)</f>
        <v/>
      </c>
      <c r="C919">
        <f>'STATE-OWNED CREDITORS'!$U$12</f>
        <v/>
      </c>
      <c r="D919">
        <f>'STATE-OWNED CREDITORS'!$AB$12</f>
        <v/>
      </c>
      <c r="E919">
        <f>'STATE-OWNED CREDITORS'!$AF$12</f>
        <v/>
      </c>
      <c r="F919">
        <f>IF('STATE-OWNED CREDITORS'!$V$12="","",'STATE-OWNED CREDITORS'!$V$12)</f>
        <v/>
      </c>
      <c r="G919">
        <f>IF('STATE-OWNED CREDITORS'!$D$12="","",'STATE-OWNED CREDITORS'!$D$12)</f>
        <v/>
      </c>
      <c r="H919">
        <f>IF('STATE-OWNED CREDITORS'!$G$12="","",'STATE-OWNED CREDITORS'!$G$12)</f>
        <v/>
      </c>
      <c r="I919">
        <f>IF('STATE-OWNED CREDITORS'!$AY$12="","",'STATE-OWNED CREDITORS'!$AY$12)</f>
        <v/>
      </c>
      <c r="J919">
        <f>IF('STATE-OWNED CREDITORS'!$BC$12="","",'STATE-OWNED CREDITORS'!$BC$12)</f>
        <v/>
      </c>
      <c r="K919">
        <f>IF('STATE-OWNED CREDITORS'!$N$12="","",'STATE-OWNED CREDITORS'!$N$12)</f>
        <v/>
      </c>
      <c r="L919">
        <f>IF('STATE-OWNED CREDITORS'!$AH$12="","",'STATE-OWNED CREDITORS'!$AH$12)</f>
        <v/>
      </c>
      <c r="M919">
        <f>IF('STATE-OWNED CREDITORS'!$AO$12="","",'STATE-OWNED CREDITORS'!$AO$12)</f>
        <v/>
      </c>
      <c r="N919">
        <f>IF('STATE-OWNED CREDITORS'!$BF$12="","",'STATE-OWNED CREDITORS'!$BF$12)</f>
        <v/>
      </c>
      <c r="O919" t="inlineStr">
        <is>
          <t>STATE-OWNED</t>
        </is>
      </c>
      <c r="P919" t="inlineStr">
        <is>
          <t>STATE-OWNED CREDITORS · row 12</t>
        </is>
      </c>
      <c r="Q919">
        <f>E919+ROW()*0.000000001</f>
        <v/>
      </c>
    </row>
    <row r="920">
      <c r="A920">
        <f>IF('STATE-OWNED CREDITORS'!$A$13="","",'STATE-OWNED CREDITORS'!$A$13)</f>
        <v/>
      </c>
      <c r="B920">
        <f>IF('STATE-OWNED CREDITORS'!$C$13="","",'STATE-OWNED CREDITORS'!$C$13)</f>
        <v/>
      </c>
      <c r="C920">
        <f>'STATE-OWNED CREDITORS'!$U$13</f>
        <v/>
      </c>
      <c r="D920">
        <f>'STATE-OWNED CREDITORS'!$AB$13</f>
        <v/>
      </c>
      <c r="E920">
        <f>'STATE-OWNED CREDITORS'!$AF$13</f>
        <v/>
      </c>
      <c r="F920">
        <f>IF('STATE-OWNED CREDITORS'!$V$13="","",'STATE-OWNED CREDITORS'!$V$13)</f>
        <v/>
      </c>
      <c r="G920">
        <f>IF('STATE-OWNED CREDITORS'!$D$13="","",'STATE-OWNED CREDITORS'!$D$13)</f>
        <v/>
      </c>
      <c r="H920">
        <f>IF('STATE-OWNED CREDITORS'!$G$13="","",'STATE-OWNED CREDITORS'!$G$13)</f>
        <v/>
      </c>
      <c r="I920">
        <f>IF('STATE-OWNED CREDITORS'!$AY$13="","",'STATE-OWNED CREDITORS'!$AY$13)</f>
        <v/>
      </c>
      <c r="J920">
        <f>IF('STATE-OWNED CREDITORS'!$BC$13="","",'STATE-OWNED CREDITORS'!$BC$13)</f>
        <v/>
      </c>
      <c r="K920">
        <f>IF('STATE-OWNED CREDITORS'!$N$13="","",'STATE-OWNED CREDITORS'!$N$13)</f>
        <v/>
      </c>
      <c r="L920">
        <f>IF('STATE-OWNED CREDITORS'!$AH$13="","",'STATE-OWNED CREDITORS'!$AH$13)</f>
        <v/>
      </c>
      <c r="M920">
        <f>IF('STATE-OWNED CREDITORS'!$AO$13="","",'STATE-OWNED CREDITORS'!$AO$13)</f>
        <v/>
      </c>
      <c r="N920">
        <f>IF('STATE-OWNED CREDITORS'!$BF$13="","",'STATE-OWNED CREDITORS'!$BF$13)</f>
        <v/>
      </c>
      <c r="O920" t="inlineStr">
        <is>
          <t>STATE-OWNED</t>
        </is>
      </c>
      <c r="P920" t="inlineStr">
        <is>
          <t>STATE-OWNED CREDITORS · row 13</t>
        </is>
      </c>
      <c r="Q920">
        <f>E920+ROW()*0.000000001</f>
        <v/>
      </c>
    </row>
    <row r="921">
      <c r="A921">
        <f>IF('STATE-OWNED CREDITORS'!$A$14="","",'STATE-OWNED CREDITORS'!$A$14)</f>
        <v/>
      </c>
      <c r="B921">
        <f>IF('STATE-OWNED CREDITORS'!$C$14="","",'STATE-OWNED CREDITORS'!$C$14)</f>
        <v/>
      </c>
      <c r="C921">
        <f>'STATE-OWNED CREDITORS'!$U$14</f>
        <v/>
      </c>
      <c r="D921">
        <f>'STATE-OWNED CREDITORS'!$AB$14</f>
        <v/>
      </c>
      <c r="E921">
        <f>'STATE-OWNED CREDITORS'!$AF$14</f>
        <v/>
      </c>
      <c r="F921">
        <f>IF('STATE-OWNED CREDITORS'!$V$14="","",'STATE-OWNED CREDITORS'!$V$14)</f>
        <v/>
      </c>
      <c r="G921">
        <f>IF('STATE-OWNED CREDITORS'!$D$14="","",'STATE-OWNED CREDITORS'!$D$14)</f>
        <v/>
      </c>
      <c r="H921">
        <f>IF('STATE-OWNED CREDITORS'!$G$14="","",'STATE-OWNED CREDITORS'!$G$14)</f>
        <v/>
      </c>
      <c r="I921">
        <f>IF('STATE-OWNED CREDITORS'!$AY$14="","",'STATE-OWNED CREDITORS'!$AY$14)</f>
        <v/>
      </c>
      <c r="J921">
        <f>IF('STATE-OWNED CREDITORS'!$BC$14="","",'STATE-OWNED CREDITORS'!$BC$14)</f>
        <v/>
      </c>
      <c r="K921">
        <f>IF('STATE-OWNED CREDITORS'!$N$14="","",'STATE-OWNED CREDITORS'!$N$14)</f>
        <v/>
      </c>
      <c r="L921">
        <f>IF('STATE-OWNED CREDITORS'!$AH$14="","",'STATE-OWNED CREDITORS'!$AH$14)</f>
        <v/>
      </c>
      <c r="M921">
        <f>IF('STATE-OWNED CREDITORS'!$AO$14="","",'STATE-OWNED CREDITORS'!$AO$14)</f>
        <v/>
      </c>
      <c r="N921">
        <f>IF('STATE-OWNED CREDITORS'!$BF$14="","",'STATE-OWNED CREDITORS'!$BF$14)</f>
        <v/>
      </c>
      <c r="O921" t="inlineStr">
        <is>
          <t>STATE-OWNED</t>
        </is>
      </c>
      <c r="P921" t="inlineStr">
        <is>
          <t>STATE-OWNED CREDITORS · row 14</t>
        </is>
      </c>
      <c r="Q921">
        <f>E921+ROW()*0.000000001</f>
        <v/>
      </c>
    </row>
    <row r="922">
      <c r="A922">
        <f>IF('STATE-OWNED CREDITORS'!$A$15="","",'STATE-OWNED CREDITORS'!$A$15)</f>
        <v/>
      </c>
      <c r="B922">
        <f>IF('STATE-OWNED CREDITORS'!$C$15="","",'STATE-OWNED CREDITORS'!$C$15)</f>
        <v/>
      </c>
      <c r="C922">
        <f>'STATE-OWNED CREDITORS'!$U$15</f>
        <v/>
      </c>
      <c r="D922">
        <f>'STATE-OWNED CREDITORS'!$AB$15</f>
        <v/>
      </c>
      <c r="E922">
        <f>'STATE-OWNED CREDITORS'!$AF$15</f>
        <v/>
      </c>
      <c r="F922">
        <f>IF('STATE-OWNED CREDITORS'!$V$15="","",'STATE-OWNED CREDITORS'!$V$15)</f>
        <v/>
      </c>
      <c r="G922">
        <f>IF('STATE-OWNED CREDITORS'!$D$15="","",'STATE-OWNED CREDITORS'!$D$15)</f>
        <v/>
      </c>
      <c r="H922">
        <f>IF('STATE-OWNED CREDITORS'!$G$15="","",'STATE-OWNED CREDITORS'!$G$15)</f>
        <v/>
      </c>
      <c r="I922">
        <f>IF('STATE-OWNED CREDITORS'!$AY$15="","",'STATE-OWNED CREDITORS'!$AY$15)</f>
        <v/>
      </c>
      <c r="J922">
        <f>IF('STATE-OWNED CREDITORS'!$BC$15="","",'STATE-OWNED CREDITORS'!$BC$15)</f>
        <v/>
      </c>
      <c r="K922">
        <f>IF('STATE-OWNED CREDITORS'!$N$15="","",'STATE-OWNED CREDITORS'!$N$15)</f>
        <v/>
      </c>
      <c r="L922">
        <f>IF('STATE-OWNED CREDITORS'!$AH$15="","",'STATE-OWNED CREDITORS'!$AH$15)</f>
        <v/>
      </c>
      <c r="M922">
        <f>IF('STATE-OWNED CREDITORS'!$AO$15="","",'STATE-OWNED CREDITORS'!$AO$15)</f>
        <v/>
      </c>
      <c r="N922">
        <f>IF('STATE-OWNED CREDITORS'!$BF$15="","",'STATE-OWNED CREDITORS'!$BF$15)</f>
        <v/>
      </c>
      <c r="O922" t="inlineStr">
        <is>
          <t>STATE-OWNED</t>
        </is>
      </c>
      <c r="P922" t="inlineStr">
        <is>
          <t>STATE-OWNED CREDITORS · row 15</t>
        </is>
      </c>
      <c r="Q922">
        <f>E922+ROW()*0.000000001</f>
        <v/>
      </c>
    </row>
    <row r="923">
      <c r="A923">
        <f>IF('STATE-OWNED CREDITORS'!$A$16="","",'STATE-OWNED CREDITORS'!$A$16)</f>
        <v/>
      </c>
      <c r="B923">
        <f>IF('STATE-OWNED CREDITORS'!$C$16="","",'STATE-OWNED CREDITORS'!$C$16)</f>
        <v/>
      </c>
      <c r="C923">
        <f>'STATE-OWNED CREDITORS'!$U$16</f>
        <v/>
      </c>
      <c r="D923">
        <f>'STATE-OWNED CREDITORS'!$AB$16</f>
        <v/>
      </c>
      <c r="E923">
        <f>'STATE-OWNED CREDITORS'!$AF$16</f>
        <v/>
      </c>
      <c r="F923">
        <f>IF('STATE-OWNED CREDITORS'!$V$16="","",'STATE-OWNED CREDITORS'!$V$16)</f>
        <v/>
      </c>
      <c r="G923">
        <f>IF('STATE-OWNED CREDITORS'!$D$16="","",'STATE-OWNED CREDITORS'!$D$16)</f>
        <v/>
      </c>
      <c r="H923">
        <f>IF('STATE-OWNED CREDITORS'!$G$16="","",'STATE-OWNED CREDITORS'!$G$16)</f>
        <v/>
      </c>
      <c r="I923">
        <f>IF('STATE-OWNED CREDITORS'!$AY$16="","",'STATE-OWNED CREDITORS'!$AY$16)</f>
        <v/>
      </c>
      <c r="J923">
        <f>IF('STATE-OWNED CREDITORS'!$BC$16="","",'STATE-OWNED CREDITORS'!$BC$16)</f>
        <v/>
      </c>
      <c r="K923">
        <f>IF('STATE-OWNED CREDITORS'!$N$16="","",'STATE-OWNED CREDITORS'!$N$16)</f>
        <v/>
      </c>
      <c r="L923">
        <f>IF('STATE-OWNED CREDITORS'!$AH$16="","",'STATE-OWNED CREDITORS'!$AH$16)</f>
        <v/>
      </c>
      <c r="M923">
        <f>IF('STATE-OWNED CREDITORS'!$AO$16="","",'STATE-OWNED CREDITORS'!$AO$16)</f>
        <v/>
      </c>
      <c r="N923">
        <f>IF('STATE-OWNED CREDITORS'!$BF$16="","",'STATE-OWNED CREDITORS'!$BF$16)</f>
        <v/>
      </c>
      <c r="O923" t="inlineStr">
        <is>
          <t>STATE-OWNED</t>
        </is>
      </c>
      <c r="P923" t="inlineStr">
        <is>
          <t>STATE-OWNED CREDITORS · row 16</t>
        </is>
      </c>
      <c r="Q923">
        <f>E923+ROW()*0.000000001</f>
        <v/>
      </c>
    </row>
    <row r="924">
      <c r="A924">
        <f>IF('STATE-OWNED CREDITORS'!$A$17="","",'STATE-OWNED CREDITORS'!$A$17)</f>
        <v/>
      </c>
      <c r="B924">
        <f>IF('STATE-OWNED CREDITORS'!$C$17="","",'STATE-OWNED CREDITORS'!$C$17)</f>
        <v/>
      </c>
      <c r="C924">
        <f>'STATE-OWNED CREDITORS'!$U$17</f>
        <v/>
      </c>
      <c r="D924">
        <f>'STATE-OWNED CREDITORS'!$AB$17</f>
        <v/>
      </c>
      <c r="E924">
        <f>'STATE-OWNED CREDITORS'!$AF$17</f>
        <v/>
      </c>
      <c r="F924">
        <f>IF('STATE-OWNED CREDITORS'!$V$17="","",'STATE-OWNED CREDITORS'!$V$17)</f>
        <v/>
      </c>
      <c r="G924">
        <f>IF('STATE-OWNED CREDITORS'!$D$17="","",'STATE-OWNED CREDITORS'!$D$17)</f>
        <v/>
      </c>
      <c r="H924">
        <f>IF('STATE-OWNED CREDITORS'!$G$17="","",'STATE-OWNED CREDITORS'!$G$17)</f>
        <v/>
      </c>
      <c r="I924">
        <f>IF('STATE-OWNED CREDITORS'!$AY$17="","",'STATE-OWNED CREDITORS'!$AY$17)</f>
        <v/>
      </c>
      <c r="J924">
        <f>IF('STATE-OWNED CREDITORS'!$BC$17="","",'STATE-OWNED CREDITORS'!$BC$17)</f>
        <v/>
      </c>
      <c r="K924">
        <f>IF('STATE-OWNED CREDITORS'!$N$17="","",'STATE-OWNED CREDITORS'!$N$17)</f>
        <v/>
      </c>
      <c r="L924">
        <f>IF('STATE-OWNED CREDITORS'!$AH$17="","",'STATE-OWNED CREDITORS'!$AH$17)</f>
        <v/>
      </c>
      <c r="M924">
        <f>IF('STATE-OWNED CREDITORS'!$AO$17="","",'STATE-OWNED CREDITORS'!$AO$17)</f>
        <v/>
      </c>
      <c r="N924">
        <f>IF('STATE-OWNED CREDITORS'!$BF$17="","",'STATE-OWNED CREDITORS'!$BF$17)</f>
        <v/>
      </c>
      <c r="O924" t="inlineStr">
        <is>
          <t>STATE-OWNED</t>
        </is>
      </c>
      <c r="P924" t="inlineStr">
        <is>
          <t>STATE-OWNED CREDITORS · row 17</t>
        </is>
      </c>
      <c r="Q924">
        <f>E924+ROW()*0.000000001</f>
        <v/>
      </c>
    </row>
    <row r="925">
      <c r="A925">
        <f>IF('STATE-OWNED CREDITORS'!$A$18="","",'STATE-OWNED CREDITORS'!$A$18)</f>
        <v/>
      </c>
      <c r="B925">
        <f>IF('STATE-OWNED CREDITORS'!$C$18="","",'STATE-OWNED CREDITORS'!$C$18)</f>
        <v/>
      </c>
      <c r="C925">
        <f>'STATE-OWNED CREDITORS'!$U$18</f>
        <v/>
      </c>
      <c r="D925">
        <f>'STATE-OWNED CREDITORS'!$AB$18</f>
        <v/>
      </c>
      <c r="E925">
        <f>'STATE-OWNED CREDITORS'!$AF$18</f>
        <v/>
      </c>
      <c r="F925">
        <f>IF('STATE-OWNED CREDITORS'!$V$18="","",'STATE-OWNED CREDITORS'!$V$18)</f>
        <v/>
      </c>
      <c r="G925">
        <f>IF('STATE-OWNED CREDITORS'!$D$18="","",'STATE-OWNED CREDITORS'!$D$18)</f>
        <v/>
      </c>
      <c r="H925">
        <f>IF('STATE-OWNED CREDITORS'!$G$18="","",'STATE-OWNED CREDITORS'!$G$18)</f>
        <v/>
      </c>
      <c r="I925">
        <f>IF('STATE-OWNED CREDITORS'!$AY$18="","",'STATE-OWNED CREDITORS'!$AY$18)</f>
        <v/>
      </c>
      <c r="J925">
        <f>IF('STATE-OWNED CREDITORS'!$BC$18="","",'STATE-OWNED CREDITORS'!$BC$18)</f>
        <v/>
      </c>
      <c r="K925">
        <f>IF('STATE-OWNED CREDITORS'!$N$18="","",'STATE-OWNED CREDITORS'!$N$18)</f>
        <v/>
      </c>
      <c r="L925">
        <f>IF('STATE-OWNED CREDITORS'!$AH$18="","",'STATE-OWNED CREDITORS'!$AH$18)</f>
        <v/>
      </c>
      <c r="M925">
        <f>IF('STATE-OWNED CREDITORS'!$AO$18="","",'STATE-OWNED CREDITORS'!$AO$18)</f>
        <v/>
      </c>
      <c r="N925">
        <f>IF('STATE-OWNED CREDITORS'!$BF$18="","",'STATE-OWNED CREDITORS'!$BF$18)</f>
        <v/>
      </c>
      <c r="O925" t="inlineStr">
        <is>
          <t>STATE-OWNED</t>
        </is>
      </c>
      <c r="P925" t="inlineStr">
        <is>
          <t>STATE-OWNED CREDITORS · row 18</t>
        </is>
      </c>
      <c r="Q925">
        <f>E925+ROW()*0.000000001</f>
        <v/>
      </c>
    </row>
    <row r="926">
      <c r="A926">
        <f>IF('STATE-OWNED CREDITORS'!$A$19="","",'STATE-OWNED CREDITORS'!$A$19)</f>
        <v/>
      </c>
      <c r="B926">
        <f>IF('STATE-OWNED CREDITORS'!$C$19="","",'STATE-OWNED CREDITORS'!$C$19)</f>
        <v/>
      </c>
      <c r="C926">
        <f>'STATE-OWNED CREDITORS'!$U$19</f>
        <v/>
      </c>
      <c r="D926">
        <f>'STATE-OWNED CREDITORS'!$AB$19</f>
        <v/>
      </c>
      <c r="E926">
        <f>'STATE-OWNED CREDITORS'!$AF$19</f>
        <v/>
      </c>
      <c r="F926">
        <f>IF('STATE-OWNED CREDITORS'!$V$19="","",'STATE-OWNED CREDITORS'!$V$19)</f>
        <v/>
      </c>
      <c r="G926">
        <f>IF('STATE-OWNED CREDITORS'!$D$19="","",'STATE-OWNED CREDITORS'!$D$19)</f>
        <v/>
      </c>
      <c r="H926">
        <f>IF('STATE-OWNED CREDITORS'!$G$19="","",'STATE-OWNED CREDITORS'!$G$19)</f>
        <v/>
      </c>
      <c r="I926">
        <f>IF('STATE-OWNED CREDITORS'!$AY$19="","",'STATE-OWNED CREDITORS'!$AY$19)</f>
        <v/>
      </c>
      <c r="J926">
        <f>IF('STATE-OWNED CREDITORS'!$BC$19="","",'STATE-OWNED CREDITORS'!$BC$19)</f>
        <v/>
      </c>
      <c r="K926">
        <f>IF('STATE-OWNED CREDITORS'!$N$19="","",'STATE-OWNED CREDITORS'!$N$19)</f>
        <v/>
      </c>
      <c r="L926">
        <f>IF('STATE-OWNED CREDITORS'!$AH$19="","",'STATE-OWNED CREDITORS'!$AH$19)</f>
        <v/>
      </c>
      <c r="M926">
        <f>IF('STATE-OWNED CREDITORS'!$AO$19="","",'STATE-OWNED CREDITORS'!$AO$19)</f>
        <v/>
      </c>
      <c r="N926">
        <f>IF('STATE-OWNED CREDITORS'!$BF$19="","",'STATE-OWNED CREDITORS'!$BF$19)</f>
        <v/>
      </c>
      <c r="O926" t="inlineStr">
        <is>
          <t>STATE-OWNED</t>
        </is>
      </c>
      <c r="P926" t="inlineStr">
        <is>
          <t>STATE-OWNED CREDITORS · row 19</t>
        </is>
      </c>
      <c r="Q926">
        <f>E926+ROW()*0.000000001</f>
        <v/>
      </c>
    </row>
    <row r="927">
      <c r="A927">
        <f>IF('STATE-OWNED CREDITORS'!$A$20="","",'STATE-OWNED CREDITORS'!$A$20)</f>
        <v/>
      </c>
      <c r="B927">
        <f>IF('STATE-OWNED CREDITORS'!$C$20="","",'STATE-OWNED CREDITORS'!$C$20)</f>
        <v/>
      </c>
      <c r="C927">
        <f>'STATE-OWNED CREDITORS'!$U$20</f>
        <v/>
      </c>
      <c r="D927">
        <f>'STATE-OWNED CREDITORS'!$AB$20</f>
        <v/>
      </c>
      <c r="E927">
        <f>'STATE-OWNED CREDITORS'!$AF$20</f>
        <v/>
      </c>
      <c r="F927">
        <f>IF('STATE-OWNED CREDITORS'!$V$20="","",'STATE-OWNED CREDITORS'!$V$20)</f>
        <v/>
      </c>
      <c r="G927">
        <f>IF('STATE-OWNED CREDITORS'!$D$20="","",'STATE-OWNED CREDITORS'!$D$20)</f>
        <v/>
      </c>
      <c r="H927">
        <f>IF('STATE-OWNED CREDITORS'!$G$20="","",'STATE-OWNED CREDITORS'!$G$20)</f>
        <v/>
      </c>
      <c r="I927">
        <f>IF('STATE-OWNED CREDITORS'!$AY$20="","",'STATE-OWNED CREDITORS'!$AY$20)</f>
        <v/>
      </c>
      <c r="J927">
        <f>IF('STATE-OWNED CREDITORS'!$BC$20="","",'STATE-OWNED CREDITORS'!$BC$20)</f>
        <v/>
      </c>
      <c r="K927">
        <f>IF('STATE-OWNED CREDITORS'!$N$20="","",'STATE-OWNED CREDITORS'!$N$20)</f>
        <v/>
      </c>
      <c r="L927">
        <f>IF('STATE-OWNED CREDITORS'!$AH$20="","",'STATE-OWNED CREDITORS'!$AH$20)</f>
        <v/>
      </c>
      <c r="M927">
        <f>IF('STATE-OWNED CREDITORS'!$AO$20="","",'STATE-OWNED CREDITORS'!$AO$20)</f>
        <v/>
      </c>
      <c r="N927">
        <f>IF('STATE-OWNED CREDITORS'!$BF$20="","",'STATE-OWNED CREDITORS'!$BF$20)</f>
        <v/>
      </c>
      <c r="O927" t="inlineStr">
        <is>
          <t>STATE-OWNED</t>
        </is>
      </c>
      <c r="P927" t="inlineStr">
        <is>
          <t>STATE-OWNED CREDITORS · row 20</t>
        </is>
      </c>
      <c r="Q927">
        <f>E927+ROW()*0.000000001</f>
        <v/>
      </c>
    </row>
    <row r="928">
      <c r="A928">
        <f>IF('STATE-OWNED CREDITORS'!$A$21="","",'STATE-OWNED CREDITORS'!$A$21)</f>
        <v/>
      </c>
      <c r="B928">
        <f>IF('STATE-OWNED CREDITORS'!$C$21="","",'STATE-OWNED CREDITORS'!$C$21)</f>
        <v/>
      </c>
      <c r="C928">
        <f>'STATE-OWNED CREDITORS'!$U$21</f>
        <v/>
      </c>
      <c r="D928">
        <f>'STATE-OWNED CREDITORS'!$AB$21</f>
        <v/>
      </c>
      <c r="E928">
        <f>'STATE-OWNED CREDITORS'!$AF$21</f>
        <v/>
      </c>
      <c r="F928">
        <f>IF('STATE-OWNED CREDITORS'!$V$21="","",'STATE-OWNED CREDITORS'!$V$21)</f>
        <v/>
      </c>
      <c r="G928">
        <f>IF('STATE-OWNED CREDITORS'!$D$21="","",'STATE-OWNED CREDITORS'!$D$21)</f>
        <v/>
      </c>
      <c r="H928">
        <f>IF('STATE-OWNED CREDITORS'!$G$21="","",'STATE-OWNED CREDITORS'!$G$21)</f>
        <v/>
      </c>
      <c r="I928">
        <f>IF('STATE-OWNED CREDITORS'!$AY$21="","",'STATE-OWNED CREDITORS'!$AY$21)</f>
        <v/>
      </c>
      <c r="J928">
        <f>IF('STATE-OWNED CREDITORS'!$BC$21="","",'STATE-OWNED CREDITORS'!$BC$21)</f>
        <v/>
      </c>
      <c r="K928">
        <f>IF('STATE-OWNED CREDITORS'!$N$21="","",'STATE-OWNED CREDITORS'!$N$21)</f>
        <v/>
      </c>
      <c r="L928">
        <f>IF('STATE-OWNED CREDITORS'!$AH$21="","",'STATE-OWNED CREDITORS'!$AH$21)</f>
        <v/>
      </c>
      <c r="M928">
        <f>IF('STATE-OWNED CREDITORS'!$AO$21="","",'STATE-OWNED CREDITORS'!$AO$21)</f>
        <v/>
      </c>
      <c r="N928">
        <f>IF('STATE-OWNED CREDITORS'!$BF$21="","",'STATE-OWNED CREDITORS'!$BF$21)</f>
        <v/>
      </c>
      <c r="O928" t="inlineStr">
        <is>
          <t>STATE-OWNED</t>
        </is>
      </c>
      <c r="P928" t="inlineStr">
        <is>
          <t>STATE-OWNED CREDITORS · row 21</t>
        </is>
      </c>
      <c r="Q928">
        <f>E928+ROW()*0.000000001</f>
        <v/>
      </c>
    </row>
    <row r="929">
      <c r="A929">
        <f>IF('STATE-OWNED CREDITORS'!$A$22="","",'STATE-OWNED CREDITORS'!$A$22)</f>
        <v/>
      </c>
      <c r="B929">
        <f>IF('STATE-OWNED CREDITORS'!$C$22="","",'STATE-OWNED CREDITORS'!$C$22)</f>
        <v/>
      </c>
      <c r="C929">
        <f>'STATE-OWNED CREDITORS'!$U$22</f>
        <v/>
      </c>
      <c r="D929">
        <f>'STATE-OWNED CREDITORS'!$AB$22</f>
        <v/>
      </c>
      <c r="E929">
        <f>'STATE-OWNED CREDITORS'!$AF$22</f>
        <v/>
      </c>
      <c r="F929">
        <f>IF('STATE-OWNED CREDITORS'!$V$22="","",'STATE-OWNED CREDITORS'!$V$22)</f>
        <v/>
      </c>
      <c r="G929">
        <f>IF('STATE-OWNED CREDITORS'!$D$22="","",'STATE-OWNED CREDITORS'!$D$22)</f>
        <v/>
      </c>
      <c r="H929">
        <f>IF('STATE-OWNED CREDITORS'!$G$22="","",'STATE-OWNED CREDITORS'!$G$22)</f>
        <v/>
      </c>
      <c r="I929">
        <f>IF('STATE-OWNED CREDITORS'!$AY$22="","",'STATE-OWNED CREDITORS'!$AY$22)</f>
        <v/>
      </c>
      <c r="J929">
        <f>IF('STATE-OWNED CREDITORS'!$BC$22="","",'STATE-OWNED CREDITORS'!$BC$22)</f>
        <v/>
      </c>
      <c r="K929">
        <f>IF('STATE-OWNED CREDITORS'!$N$22="","",'STATE-OWNED CREDITORS'!$N$22)</f>
        <v/>
      </c>
      <c r="L929">
        <f>IF('STATE-OWNED CREDITORS'!$AH$22="","",'STATE-OWNED CREDITORS'!$AH$22)</f>
        <v/>
      </c>
      <c r="M929">
        <f>IF('STATE-OWNED CREDITORS'!$AO$22="","",'STATE-OWNED CREDITORS'!$AO$22)</f>
        <v/>
      </c>
      <c r="N929">
        <f>IF('STATE-OWNED CREDITORS'!$BF$22="","",'STATE-OWNED CREDITORS'!$BF$22)</f>
        <v/>
      </c>
      <c r="O929" t="inlineStr">
        <is>
          <t>STATE-OWNED</t>
        </is>
      </c>
      <c r="P929" t="inlineStr">
        <is>
          <t>STATE-OWNED CREDITORS · row 22</t>
        </is>
      </c>
      <c r="Q929">
        <f>E929+ROW()*0.000000001</f>
        <v/>
      </c>
    </row>
    <row r="930">
      <c r="A930">
        <f>IF('STATE-OWNED CREDITORS'!$A$23="","",'STATE-OWNED CREDITORS'!$A$23)</f>
        <v/>
      </c>
      <c r="B930">
        <f>IF('STATE-OWNED CREDITORS'!$C$23="","",'STATE-OWNED CREDITORS'!$C$23)</f>
        <v/>
      </c>
      <c r="C930">
        <f>'STATE-OWNED CREDITORS'!$U$23</f>
        <v/>
      </c>
      <c r="D930">
        <f>'STATE-OWNED CREDITORS'!$AB$23</f>
        <v/>
      </c>
      <c r="E930">
        <f>'STATE-OWNED CREDITORS'!$AF$23</f>
        <v/>
      </c>
      <c r="F930">
        <f>IF('STATE-OWNED CREDITORS'!$V$23="","",'STATE-OWNED CREDITORS'!$V$23)</f>
        <v/>
      </c>
      <c r="G930">
        <f>IF('STATE-OWNED CREDITORS'!$D$23="","",'STATE-OWNED CREDITORS'!$D$23)</f>
        <v/>
      </c>
      <c r="H930">
        <f>IF('STATE-OWNED CREDITORS'!$G$23="","",'STATE-OWNED CREDITORS'!$G$23)</f>
        <v/>
      </c>
      <c r="I930">
        <f>IF('STATE-OWNED CREDITORS'!$AY$23="","",'STATE-OWNED CREDITORS'!$AY$23)</f>
        <v/>
      </c>
      <c r="J930">
        <f>IF('STATE-OWNED CREDITORS'!$BC$23="","",'STATE-OWNED CREDITORS'!$BC$23)</f>
        <v/>
      </c>
      <c r="K930">
        <f>IF('STATE-OWNED CREDITORS'!$N$23="","",'STATE-OWNED CREDITORS'!$N$23)</f>
        <v/>
      </c>
      <c r="L930">
        <f>IF('STATE-OWNED CREDITORS'!$AH$23="","",'STATE-OWNED CREDITORS'!$AH$23)</f>
        <v/>
      </c>
      <c r="M930">
        <f>IF('STATE-OWNED CREDITORS'!$AO$23="","",'STATE-OWNED CREDITORS'!$AO$23)</f>
        <v/>
      </c>
      <c r="N930">
        <f>IF('STATE-OWNED CREDITORS'!$BF$23="","",'STATE-OWNED CREDITORS'!$BF$23)</f>
        <v/>
      </c>
      <c r="O930" t="inlineStr">
        <is>
          <t>STATE-OWNED</t>
        </is>
      </c>
      <c r="P930" t="inlineStr">
        <is>
          <t>STATE-OWNED CREDITORS · row 23</t>
        </is>
      </c>
      <c r="Q930">
        <f>E930+ROW()*0.000000001</f>
        <v/>
      </c>
    </row>
    <row r="931">
      <c r="A931">
        <f>IF('STATE-OWNED CREDITORS'!$A$24="","",'STATE-OWNED CREDITORS'!$A$24)</f>
        <v/>
      </c>
      <c r="B931">
        <f>IF('STATE-OWNED CREDITORS'!$C$24="","",'STATE-OWNED CREDITORS'!$C$24)</f>
        <v/>
      </c>
      <c r="C931">
        <f>'STATE-OWNED CREDITORS'!$U$24</f>
        <v/>
      </c>
      <c r="D931">
        <f>'STATE-OWNED CREDITORS'!$AB$24</f>
        <v/>
      </c>
      <c r="E931">
        <f>'STATE-OWNED CREDITORS'!$AF$24</f>
        <v/>
      </c>
      <c r="F931">
        <f>IF('STATE-OWNED CREDITORS'!$V$24="","",'STATE-OWNED CREDITORS'!$V$24)</f>
        <v/>
      </c>
      <c r="G931">
        <f>IF('STATE-OWNED CREDITORS'!$D$24="","",'STATE-OWNED CREDITORS'!$D$24)</f>
        <v/>
      </c>
      <c r="H931">
        <f>IF('STATE-OWNED CREDITORS'!$G$24="","",'STATE-OWNED CREDITORS'!$G$24)</f>
        <v/>
      </c>
      <c r="I931">
        <f>IF('STATE-OWNED CREDITORS'!$AY$24="","",'STATE-OWNED CREDITORS'!$AY$24)</f>
        <v/>
      </c>
      <c r="J931">
        <f>IF('STATE-OWNED CREDITORS'!$BC$24="","",'STATE-OWNED CREDITORS'!$BC$24)</f>
        <v/>
      </c>
      <c r="K931">
        <f>IF('STATE-OWNED CREDITORS'!$N$24="","",'STATE-OWNED CREDITORS'!$N$24)</f>
        <v/>
      </c>
      <c r="L931">
        <f>IF('STATE-OWNED CREDITORS'!$AH$24="","",'STATE-OWNED CREDITORS'!$AH$24)</f>
        <v/>
      </c>
      <c r="M931">
        <f>IF('STATE-OWNED CREDITORS'!$AO$24="","",'STATE-OWNED CREDITORS'!$AO$24)</f>
        <v/>
      </c>
      <c r="N931">
        <f>IF('STATE-OWNED CREDITORS'!$BF$24="","",'STATE-OWNED CREDITORS'!$BF$24)</f>
        <v/>
      </c>
      <c r="O931" t="inlineStr">
        <is>
          <t>STATE-OWNED</t>
        </is>
      </c>
      <c r="P931" t="inlineStr">
        <is>
          <t>STATE-OWNED CREDITORS · row 24</t>
        </is>
      </c>
      <c r="Q931">
        <f>E931+ROW()*0.000000001</f>
        <v/>
      </c>
    </row>
    <row r="932">
      <c r="A932">
        <f>IF('STATE-OWNED CREDITORS'!$A$25="","",'STATE-OWNED CREDITORS'!$A$25)</f>
        <v/>
      </c>
      <c r="B932">
        <f>IF('STATE-OWNED CREDITORS'!$C$25="","",'STATE-OWNED CREDITORS'!$C$25)</f>
        <v/>
      </c>
      <c r="C932">
        <f>'STATE-OWNED CREDITORS'!$U$25</f>
        <v/>
      </c>
      <c r="D932">
        <f>'STATE-OWNED CREDITORS'!$AB$25</f>
        <v/>
      </c>
      <c r="E932">
        <f>'STATE-OWNED CREDITORS'!$AF$25</f>
        <v/>
      </c>
      <c r="F932">
        <f>IF('STATE-OWNED CREDITORS'!$V$25="","",'STATE-OWNED CREDITORS'!$V$25)</f>
        <v/>
      </c>
      <c r="G932">
        <f>IF('STATE-OWNED CREDITORS'!$D$25="","",'STATE-OWNED CREDITORS'!$D$25)</f>
        <v/>
      </c>
      <c r="H932">
        <f>IF('STATE-OWNED CREDITORS'!$G$25="","",'STATE-OWNED CREDITORS'!$G$25)</f>
        <v/>
      </c>
      <c r="I932">
        <f>IF('STATE-OWNED CREDITORS'!$AY$25="","",'STATE-OWNED CREDITORS'!$AY$25)</f>
        <v/>
      </c>
      <c r="J932">
        <f>IF('STATE-OWNED CREDITORS'!$BC$25="","",'STATE-OWNED CREDITORS'!$BC$25)</f>
        <v/>
      </c>
      <c r="K932">
        <f>IF('STATE-OWNED CREDITORS'!$N$25="","",'STATE-OWNED CREDITORS'!$N$25)</f>
        <v/>
      </c>
      <c r="L932">
        <f>IF('STATE-OWNED CREDITORS'!$AH$25="","",'STATE-OWNED CREDITORS'!$AH$25)</f>
        <v/>
      </c>
      <c r="M932">
        <f>IF('STATE-OWNED CREDITORS'!$AO$25="","",'STATE-OWNED CREDITORS'!$AO$25)</f>
        <v/>
      </c>
      <c r="N932">
        <f>IF('STATE-OWNED CREDITORS'!$BF$25="","",'STATE-OWNED CREDITORS'!$BF$25)</f>
        <v/>
      </c>
      <c r="O932" t="inlineStr">
        <is>
          <t>STATE-OWNED</t>
        </is>
      </c>
      <c r="P932" t="inlineStr">
        <is>
          <t>STATE-OWNED CREDITORS · row 25</t>
        </is>
      </c>
      <c r="Q932">
        <f>E932+ROW()*0.000000001</f>
        <v/>
      </c>
    </row>
    <row r="933">
      <c r="A933">
        <f>IF('STATE-OWNED CREDITORS'!$A$26="","",'STATE-OWNED CREDITORS'!$A$26)</f>
        <v/>
      </c>
      <c r="B933">
        <f>IF('STATE-OWNED CREDITORS'!$C$26="","",'STATE-OWNED CREDITORS'!$C$26)</f>
        <v/>
      </c>
      <c r="C933">
        <f>'STATE-OWNED CREDITORS'!$U$26</f>
        <v/>
      </c>
      <c r="D933">
        <f>'STATE-OWNED CREDITORS'!$AB$26</f>
        <v/>
      </c>
      <c r="E933">
        <f>'STATE-OWNED CREDITORS'!$AF$26</f>
        <v/>
      </c>
      <c r="F933">
        <f>IF('STATE-OWNED CREDITORS'!$V$26="","",'STATE-OWNED CREDITORS'!$V$26)</f>
        <v/>
      </c>
      <c r="G933">
        <f>IF('STATE-OWNED CREDITORS'!$D$26="","",'STATE-OWNED CREDITORS'!$D$26)</f>
        <v/>
      </c>
      <c r="H933">
        <f>IF('STATE-OWNED CREDITORS'!$G$26="","",'STATE-OWNED CREDITORS'!$G$26)</f>
        <v/>
      </c>
      <c r="I933">
        <f>IF('STATE-OWNED CREDITORS'!$AY$26="","",'STATE-OWNED CREDITORS'!$AY$26)</f>
        <v/>
      </c>
      <c r="J933">
        <f>IF('STATE-OWNED CREDITORS'!$BC$26="","",'STATE-OWNED CREDITORS'!$BC$26)</f>
        <v/>
      </c>
      <c r="K933">
        <f>IF('STATE-OWNED CREDITORS'!$N$26="","",'STATE-OWNED CREDITORS'!$N$26)</f>
        <v/>
      </c>
      <c r="L933">
        <f>IF('STATE-OWNED CREDITORS'!$AH$26="","",'STATE-OWNED CREDITORS'!$AH$26)</f>
        <v/>
      </c>
      <c r="M933">
        <f>IF('STATE-OWNED CREDITORS'!$AO$26="","",'STATE-OWNED CREDITORS'!$AO$26)</f>
        <v/>
      </c>
      <c r="N933">
        <f>IF('STATE-OWNED CREDITORS'!$BF$26="","",'STATE-OWNED CREDITORS'!$BF$26)</f>
        <v/>
      </c>
      <c r="O933" t="inlineStr">
        <is>
          <t>STATE-OWNED</t>
        </is>
      </c>
      <c r="P933" t="inlineStr">
        <is>
          <t>STATE-OWNED CREDITORS · row 26</t>
        </is>
      </c>
      <c r="Q933">
        <f>E933+ROW()*0.000000001</f>
        <v/>
      </c>
    </row>
    <row r="934">
      <c r="A934">
        <f>IF('STATE-OWNED CREDITORS'!$A$27="","",'STATE-OWNED CREDITORS'!$A$27)</f>
        <v/>
      </c>
      <c r="B934">
        <f>IF('STATE-OWNED CREDITORS'!$C$27="","",'STATE-OWNED CREDITORS'!$C$27)</f>
        <v/>
      </c>
      <c r="C934">
        <f>'STATE-OWNED CREDITORS'!$U$27</f>
        <v/>
      </c>
      <c r="D934">
        <f>'STATE-OWNED CREDITORS'!$AB$27</f>
        <v/>
      </c>
      <c r="E934">
        <f>'STATE-OWNED CREDITORS'!$AF$27</f>
        <v/>
      </c>
      <c r="F934">
        <f>IF('STATE-OWNED CREDITORS'!$V$27="","",'STATE-OWNED CREDITORS'!$V$27)</f>
        <v/>
      </c>
      <c r="G934">
        <f>IF('STATE-OWNED CREDITORS'!$D$27="","",'STATE-OWNED CREDITORS'!$D$27)</f>
        <v/>
      </c>
      <c r="H934">
        <f>IF('STATE-OWNED CREDITORS'!$G$27="","",'STATE-OWNED CREDITORS'!$G$27)</f>
        <v/>
      </c>
      <c r="I934">
        <f>IF('STATE-OWNED CREDITORS'!$AY$27="","",'STATE-OWNED CREDITORS'!$AY$27)</f>
        <v/>
      </c>
      <c r="J934">
        <f>IF('STATE-OWNED CREDITORS'!$BC$27="","",'STATE-OWNED CREDITORS'!$BC$27)</f>
        <v/>
      </c>
      <c r="K934">
        <f>IF('STATE-OWNED CREDITORS'!$N$27="","",'STATE-OWNED CREDITORS'!$N$27)</f>
        <v/>
      </c>
      <c r="L934">
        <f>IF('STATE-OWNED CREDITORS'!$AH$27="","",'STATE-OWNED CREDITORS'!$AH$27)</f>
        <v/>
      </c>
      <c r="M934">
        <f>IF('STATE-OWNED CREDITORS'!$AO$27="","",'STATE-OWNED CREDITORS'!$AO$27)</f>
        <v/>
      </c>
      <c r="N934">
        <f>IF('STATE-OWNED CREDITORS'!$BF$27="","",'STATE-OWNED CREDITORS'!$BF$27)</f>
        <v/>
      </c>
      <c r="O934" t="inlineStr">
        <is>
          <t>STATE-OWNED</t>
        </is>
      </c>
      <c r="P934" t="inlineStr">
        <is>
          <t>STATE-OWNED CREDITORS · row 27</t>
        </is>
      </c>
      <c r="Q934">
        <f>E934+ROW()*0.000000001</f>
        <v/>
      </c>
    </row>
    <row r="935">
      <c r="A935">
        <f>IF('STATE-OWNED CREDITORS'!$A$28="","",'STATE-OWNED CREDITORS'!$A$28)</f>
        <v/>
      </c>
      <c r="B935">
        <f>IF('STATE-OWNED CREDITORS'!$C$28="","",'STATE-OWNED CREDITORS'!$C$28)</f>
        <v/>
      </c>
      <c r="C935">
        <f>'STATE-OWNED CREDITORS'!$U$28</f>
        <v/>
      </c>
      <c r="D935">
        <f>'STATE-OWNED CREDITORS'!$AB$28</f>
        <v/>
      </c>
      <c r="E935">
        <f>'STATE-OWNED CREDITORS'!$AF$28</f>
        <v/>
      </c>
      <c r="F935">
        <f>IF('STATE-OWNED CREDITORS'!$V$28="","",'STATE-OWNED CREDITORS'!$V$28)</f>
        <v/>
      </c>
      <c r="G935">
        <f>IF('STATE-OWNED CREDITORS'!$D$28="","",'STATE-OWNED CREDITORS'!$D$28)</f>
        <v/>
      </c>
      <c r="H935">
        <f>IF('STATE-OWNED CREDITORS'!$G$28="","",'STATE-OWNED CREDITORS'!$G$28)</f>
        <v/>
      </c>
      <c r="I935">
        <f>IF('STATE-OWNED CREDITORS'!$AY$28="","",'STATE-OWNED CREDITORS'!$AY$28)</f>
        <v/>
      </c>
      <c r="J935">
        <f>IF('STATE-OWNED CREDITORS'!$BC$28="","",'STATE-OWNED CREDITORS'!$BC$28)</f>
        <v/>
      </c>
      <c r="K935">
        <f>IF('STATE-OWNED CREDITORS'!$N$28="","",'STATE-OWNED CREDITORS'!$N$28)</f>
        <v/>
      </c>
      <c r="L935">
        <f>IF('STATE-OWNED CREDITORS'!$AH$28="","",'STATE-OWNED CREDITORS'!$AH$28)</f>
        <v/>
      </c>
      <c r="M935">
        <f>IF('STATE-OWNED CREDITORS'!$AO$28="","",'STATE-OWNED CREDITORS'!$AO$28)</f>
        <v/>
      </c>
      <c r="N935">
        <f>IF('STATE-OWNED CREDITORS'!$BF$28="","",'STATE-OWNED CREDITORS'!$BF$28)</f>
        <v/>
      </c>
      <c r="O935" t="inlineStr">
        <is>
          <t>STATE-OWNED</t>
        </is>
      </c>
      <c r="P935" t="inlineStr">
        <is>
          <t>STATE-OWNED CREDITORS · row 28</t>
        </is>
      </c>
      <c r="Q935">
        <f>E935+ROW()*0.000000001</f>
        <v/>
      </c>
    </row>
    <row r="936">
      <c r="A936">
        <f>IF('STATE-OWNED CREDITORS'!$A$29="","",'STATE-OWNED CREDITORS'!$A$29)</f>
        <v/>
      </c>
      <c r="B936">
        <f>IF('STATE-OWNED CREDITORS'!$C$29="","",'STATE-OWNED CREDITORS'!$C$29)</f>
        <v/>
      </c>
      <c r="C936">
        <f>'STATE-OWNED CREDITORS'!$U$29</f>
        <v/>
      </c>
      <c r="D936">
        <f>'STATE-OWNED CREDITORS'!$AB$29</f>
        <v/>
      </c>
      <c r="E936">
        <f>'STATE-OWNED CREDITORS'!$AF$29</f>
        <v/>
      </c>
      <c r="F936">
        <f>IF('STATE-OWNED CREDITORS'!$V$29="","",'STATE-OWNED CREDITORS'!$V$29)</f>
        <v/>
      </c>
      <c r="G936">
        <f>IF('STATE-OWNED CREDITORS'!$D$29="","",'STATE-OWNED CREDITORS'!$D$29)</f>
        <v/>
      </c>
      <c r="H936">
        <f>IF('STATE-OWNED CREDITORS'!$G$29="","",'STATE-OWNED CREDITORS'!$G$29)</f>
        <v/>
      </c>
      <c r="I936">
        <f>IF('STATE-OWNED CREDITORS'!$AY$29="","",'STATE-OWNED CREDITORS'!$AY$29)</f>
        <v/>
      </c>
      <c r="J936">
        <f>IF('STATE-OWNED CREDITORS'!$BC$29="","",'STATE-OWNED CREDITORS'!$BC$29)</f>
        <v/>
      </c>
      <c r="K936">
        <f>IF('STATE-OWNED CREDITORS'!$N$29="","",'STATE-OWNED CREDITORS'!$N$29)</f>
        <v/>
      </c>
      <c r="L936">
        <f>IF('STATE-OWNED CREDITORS'!$AH$29="","",'STATE-OWNED CREDITORS'!$AH$29)</f>
        <v/>
      </c>
      <c r="M936">
        <f>IF('STATE-OWNED CREDITORS'!$AO$29="","",'STATE-OWNED CREDITORS'!$AO$29)</f>
        <v/>
      </c>
      <c r="N936">
        <f>IF('STATE-OWNED CREDITORS'!$BF$29="","",'STATE-OWNED CREDITORS'!$BF$29)</f>
        <v/>
      </c>
      <c r="O936" t="inlineStr">
        <is>
          <t>STATE-OWNED</t>
        </is>
      </c>
      <c r="P936" t="inlineStr">
        <is>
          <t>STATE-OWNED CREDITORS · row 29</t>
        </is>
      </c>
      <c r="Q936">
        <f>E936+ROW()*0.000000001</f>
        <v/>
      </c>
    </row>
    <row r="937">
      <c r="A937">
        <f>IF('STATE-OWNED CREDITORS'!$A$30="","",'STATE-OWNED CREDITORS'!$A$30)</f>
        <v/>
      </c>
      <c r="B937">
        <f>IF('STATE-OWNED CREDITORS'!$C$30="","",'STATE-OWNED CREDITORS'!$C$30)</f>
        <v/>
      </c>
      <c r="C937">
        <f>'STATE-OWNED CREDITORS'!$U$30</f>
        <v/>
      </c>
      <c r="D937">
        <f>'STATE-OWNED CREDITORS'!$AB$30</f>
        <v/>
      </c>
      <c r="E937">
        <f>'STATE-OWNED CREDITORS'!$AF$30</f>
        <v/>
      </c>
      <c r="F937">
        <f>IF('STATE-OWNED CREDITORS'!$V$30="","",'STATE-OWNED CREDITORS'!$V$30)</f>
        <v/>
      </c>
      <c r="G937">
        <f>IF('STATE-OWNED CREDITORS'!$D$30="","",'STATE-OWNED CREDITORS'!$D$30)</f>
        <v/>
      </c>
      <c r="H937">
        <f>IF('STATE-OWNED CREDITORS'!$G$30="","",'STATE-OWNED CREDITORS'!$G$30)</f>
        <v/>
      </c>
      <c r="I937">
        <f>IF('STATE-OWNED CREDITORS'!$AY$30="","",'STATE-OWNED CREDITORS'!$AY$30)</f>
        <v/>
      </c>
      <c r="J937">
        <f>IF('STATE-OWNED CREDITORS'!$BC$30="","",'STATE-OWNED CREDITORS'!$BC$30)</f>
        <v/>
      </c>
      <c r="K937">
        <f>IF('STATE-OWNED CREDITORS'!$N$30="","",'STATE-OWNED CREDITORS'!$N$30)</f>
        <v/>
      </c>
      <c r="L937">
        <f>IF('STATE-OWNED CREDITORS'!$AH$30="","",'STATE-OWNED CREDITORS'!$AH$30)</f>
        <v/>
      </c>
      <c r="M937">
        <f>IF('STATE-OWNED CREDITORS'!$AO$30="","",'STATE-OWNED CREDITORS'!$AO$30)</f>
        <v/>
      </c>
      <c r="N937">
        <f>IF('STATE-OWNED CREDITORS'!$BF$30="","",'STATE-OWNED CREDITORS'!$BF$30)</f>
        <v/>
      </c>
      <c r="O937" t="inlineStr">
        <is>
          <t>STATE-OWNED</t>
        </is>
      </c>
      <c r="P937" t="inlineStr">
        <is>
          <t>STATE-OWNED CREDITORS · row 30</t>
        </is>
      </c>
      <c r="Q937">
        <f>E937+ROW()*0.000000001</f>
        <v/>
      </c>
    </row>
    <row r="938">
      <c r="A938">
        <f>IF('STATE-OWNED CREDITORS'!$A$31="","",'STATE-OWNED CREDITORS'!$A$31)</f>
        <v/>
      </c>
      <c r="B938">
        <f>IF('STATE-OWNED CREDITORS'!$C$31="","",'STATE-OWNED CREDITORS'!$C$31)</f>
        <v/>
      </c>
      <c r="C938">
        <f>'STATE-OWNED CREDITORS'!$U$31</f>
        <v/>
      </c>
      <c r="D938">
        <f>'STATE-OWNED CREDITORS'!$AB$31</f>
        <v/>
      </c>
      <c r="E938">
        <f>'STATE-OWNED CREDITORS'!$AF$31</f>
        <v/>
      </c>
      <c r="F938">
        <f>IF('STATE-OWNED CREDITORS'!$V$31="","",'STATE-OWNED CREDITORS'!$V$31)</f>
        <v/>
      </c>
      <c r="G938">
        <f>IF('STATE-OWNED CREDITORS'!$D$31="","",'STATE-OWNED CREDITORS'!$D$31)</f>
        <v/>
      </c>
      <c r="H938">
        <f>IF('STATE-OWNED CREDITORS'!$G$31="","",'STATE-OWNED CREDITORS'!$G$31)</f>
        <v/>
      </c>
      <c r="I938">
        <f>IF('STATE-OWNED CREDITORS'!$AY$31="","",'STATE-OWNED CREDITORS'!$AY$31)</f>
        <v/>
      </c>
      <c r="J938">
        <f>IF('STATE-OWNED CREDITORS'!$BC$31="","",'STATE-OWNED CREDITORS'!$BC$31)</f>
        <v/>
      </c>
      <c r="K938">
        <f>IF('STATE-OWNED CREDITORS'!$N$31="","",'STATE-OWNED CREDITORS'!$N$31)</f>
        <v/>
      </c>
      <c r="L938">
        <f>IF('STATE-OWNED CREDITORS'!$AH$31="","",'STATE-OWNED CREDITORS'!$AH$31)</f>
        <v/>
      </c>
      <c r="M938">
        <f>IF('STATE-OWNED CREDITORS'!$AO$31="","",'STATE-OWNED CREDITORS'!$AO$31)</f>
        <v/>
      </c>
      <c r="N938">
        <f>IF('STATE-OWNED CREDITORS'!$BF$31="","",'STATE-OWNED CREDITORS'!$BF$31)</f>
        <v/>
      </c>
      <c r="O938" t="inlineStr">
        <is>
          <t>STATE-OWNED</t>
        </is>
      </c>
      <c r="P938" t="inlineStr">
        <is>
          <t>STATE-OWNED CREDITORS · row 31</t>
        </is>
      </c>
      <c r="Q938">
        <f>E938+ROW()*0.000000001</f>
        <v/>
      </c>
    </row>
    <row r="939">
      <c r="A939">
        <f>IF('STATE-OWNED CREDITORS'!$A$32="","",'STATE-OWNED CREDITORS'!$A$32)</f>
        <v/>
      </c>
      <c r="B939">
        <f>IF('STATE-OWNED CREDITORS'!$C$32="","",'STATE-OWNED CREDITORS'!$C$32)</f>
        <v/>
      </c>
      <c r="C939">
        <f>'STATE-OWNED CREDITORS'!$U$32</f>
        <v/>
      </c>
      <c r="D939">
        <f>'STATE-OWNED CREDITORS'!$AB$32</f>
        <v/>
      </c>
      <c r="E939">
        <f>'STATE-OWNED CREDITORS'!$AF$32</f>
        <v/>
      </c>
      <c r="F939">
        <f>IF('STATE-OWNED CREDITORS'!$V$32="","",'STATE-OWNED CREDITORS'!$V$32)</f>
        <v/>
      </c>
      <c r="G939">
        <f>IF('STATE-OWNED CREDITORS'!$D$32="","",'STATE-OWNED CREDITORS'!$D$32)</f>
        <v/>
      </c>
      <c r="H939">
        <f>IF('STATE-OWNED CREDITORS'!$G$32="","",'STATE-OWNED CREDITORS'!$G$32)</f>
        <v/>
      </c>
      <c r="I939">
        <f>IF('STATE-OWNED CREDITORS'!$AY$32="","",'STATE-OWNED CREDITORS'!$AY$32)</f>
        <v/>
      </c>
      <c r="J939">
        <f>IF('STATE-OWNED CREDITORS'!$BC$32="","",'STATE-OWNED CREDITORS'!$BC$32)</f>
        <v/>
      </c>
      <c r="K939">
        <f>IF('STATE-OWNED CREDITORS'!$N$32="","",'STATE-OWNED CREDITORS'!$N$32)</f>
        <v/>
      </c>
      <c r="L939">
        <f>IF('STATE-OWNED CREDITORS'!$AH$32="","",'STATE-OWNED CREDITORS'!$AH$32)</f>
        <v/>
      </c>
      <c r="M939">
        <f>IF('STATE-OWNED CREDITORS'!$AO$32="","",'STATE-OWNED CREDITORS'!$AO$32)</f>
        <v/>
      </c>
      <c r="N939">
        <f>IF('STATE-OWNED CREDITORS'!$BF$32="","",'STATE-OWNED CREDITORS'!$BF$32)</f>
        <v/>
      </c>
      <c r="O939" t="inlineStr">
        <is>
          <t>STATE-OWNED</t>
        </is>
      </c>
      <c r="P939" t="inlineStr">
        <is>
          <t>STATE-OWNED CREDITORS · row 32</t>
        </is>
      </c>
      <c r="Q939">
        <f>E939+ROW()*0.000000001</f>
        <v/>
      </c>
    </row>
    <row r="940">
      <c r="A940">
        <f>IF('STATE-OWNED CREDITORS'!$A$33="","",'STATE-OWNED CREDITORS'!$A$33)</f>
        <v/>
      </c>
      <c r="B940">
        <f>IF('STATE-OWNED CREDITORS'!$C$33="","",'STATE-OWNED CREDITORS'!$C$33)</f>
        <v/>
      </c>
      <c r="C940">
        <f>'STATE-OWNED CREDITORS'!$U$33</f>
        <v/>
      </c>
      <c r="D940">
        <f>'STATE-OWNED CREDITORS'!$AB$33</f>
        <v/>
      </c>
      <c r="E940">
        <f>'STATE-OWNED CREDITORS'!$AF$33</f>
        <v/>
      </c>
      <c r="F940">
        <f>IF('STATE-OWNED CREDITORS'!$V$33="","",'STATE-OWNED CREDITORS'!$V$33)</f>
        <v/>
      </c>
      <c r="G940">
        <f>IF('STATE-OWNED CREDITORS'!$D$33="","",'STATE-OWNED CREDITORS'!$D$33)</f>
        <v/>
      </c>
      <c r="H940">
        <f>IF('STATE-OWNED CREDITORS'!$G$33="","",'STATE-OWNED CREDITORS'!$G$33)</f>
        <v/>
      </c>
      <c r="I940">
        <f>IF('STATE-OWNED CREDITORS'!$AY$33="","",'STATE-OWNED CREDITORS'!$AY$33)</f>
        <v/>
      </c>
      <c r="J940">
        <f>IF('STATE-OWNED CREDITORS'!$BC$33="","",'STATE-OWNED CREDITORS'!$BC$33)</f>
        <v/>
      </c>
      <c r="K940">
        <f>IF('STATE-OWNED CREDITORS'!$N$33="","",'STATE-OWNED CREDITORS'!$N$33)</f>
        <v/>
      </c>
      <c r="L940">
        <f>IF('STATE-OWNED CREDITORS'!$AH$33="","",'STATE-OWNED CREDITORS'!$AH$33)</f>
        <v/>
      </c>
      <c r="M940">
        <f>IF('STATE-OWNED CREDITORS'!$AO$33="","",'STATE-OWNED CREDITORS'!$AO$33)</f>
        <v/>
      </c>
      <c r="N940">
        <f>IF('STATE-OWNED CREDITORS'!$BF$33="","",'STATE-OWNED CREDITORS'!$BF$33)</f>
        <v/>
      </c>
      <c r="O940" t="inlineStr">
        <is>
          <t>STATE-OWNED</t>
        </is>
      </c>
      <c r="P940" t="inlineStr">
        <is>
          <t>STATE-OWNED CREDITORS · row 33</t>
        </is>
      </c>
      <c r="Q940">
        <f>E940+ROW()*0.000000001</f>
        <v/>
      </c>
    </row>
    <row r="941">
      <c r="A941">
        <f>IF('STATE-OWNED CREDITORS'!$A$34="","",'STATE-OWNED CREDITORS'!$A$34)</f>
        <v/>
      </c>
      <c r="B941">
        <f>IF('STATE-OWNED CREDITORS'!$C$34="","",'STATE-OWNED CREDITORS'!$C$34)</f>
        <v/>
      </c>
      <c r="C941">
        <f>'STATE-OWNED CREDITORS'!$U$34</f>
        <v/>
      </c>
      <c r="D941">
        <f>'STATE-OWNED CREDITORS'!$AB$34</f>
        <v/>
      </c>
      <c r="E941">
        <f>'STATE-OWNED CREDITORS'!$AF$34</f>
        <v/>
      </c>
      <c r="F941">
        <f>IF('STATE-OWNED CREDITORS'!$V$34="","",'STATE-OWNED CREDITORS'!$V$34)</f>
        <v/>
      </c>
      <c r="G941">
        <f>IF('STATE-OWNED CREDITORS'!$D$34="","",'STATE-OWNED CREDITORS'!$D$34)</f>
        <v/>
      </c>
      <c r="H941">
        <f>IF('STATE-OWNED CREDITORS'!$G$34="","",'STATE-OWNED CREDITORS'!$G$34)</f>
        <v/>
      </c>
      <c r="I941">
        <f>IF('STATE-OWNED CREDITORS'!$AY$34="","",'STATE-OWNED CREDITORS'!$AY$34)</f>
        <v/>
      </c>
      <c r="J941">
        <f>IF('STATE-OWNED CREDITORS'!$BC$34="","",'STATE-OWNED CREDITORS'!$BC$34)</f>
        <v/>
      </c>
      <c r="K941">
        <f>IF('STATE-OWNED CREDITORS'!$N$34="","",'STATE-OWNED CREDITORS'!$N$34)</f>
        <v/>
      </c>
      <c r="L941">
        <f>IF('STATE-OWNED CREDITORS'!$AH$34="","",'STATE-OWNED CREDITORS'!$AH$34)</f>
        <v/>
      </c>
      <c r="M941">
        <f>IF('STATE-OWNED CREDITORS'!$AO$34="","",'STATE-OWNED CREDITORS'!$AO$34)</f>
        <v/>
      </c>
      <c r="N941">
        <f>IF('STATE-OWNED CREDITORS'!$BF$34="","",'STATE-OWNED CREDITORS'!$BF$34)</f>
        <v/>
      </c>
      <c r="O941" t="inlineStr">
        <is>
          <t>STATE-OWNED</t>
        </is>
      </c>
      <c r="P941" t="inlineStr">
        <is>
          <t>STATE-OWNED CREDITORS · row 34</t>
        </is>
      </c>
      <c r="Q941">
        <f>E941+ROW()*0.000000001</f>
        <v/>
      </c>
    </row>
    <row r="942">
      <c r="A942">
        <f>IF('STATE-OWNED CREDITORS'!$A$35="","",'STATE-OWNED CREDITORS'!$A$35)</f>
        <v/>
      </c>
      <c r="B942">
        <f>IF('STATE-OWNED CREDITORS'!$C$35="","",'STATE-OWNED CREDITORS'!$C$35)</f>
        <v/>
      </c>
      <c r="C942">
        <f>'STATE-OWNED CREDITORS'!$U$35</f>
        <v/>
      </c>
      <c r="D942">
        <f>'STATE-OWNED CREDITORS'!$AB$35</f>
        <v/>
      </c>
      <c r="E942">
        <f>'STATE-OWNED CREDITORS'!$AF$35</f>
        <v/>
      </c>
      <c r="F942">
        <f>IF('STATE-OWNED CREDITORS'!$V$35="","",'STATE-OWNED CREDITORS'!$V$35)</f>
        <v/>
      </c>
      <c r="G942">
        <f>IF('STATE-OWNED CREDITORS'!$D$35="","",'STATE-OWNED CREDITORS'!$D$35)</f>
        <v/>
      </c>
      <c r="H942">
        <f>IF('STATE-OWNED CREDITORS'!$G$35="","",'STATE-OWNED CREDITORS'!$G$35)</f>
        <v/>
      </c>
      <c r="I942">
        <f>IF('STATE-OWNED CREDITORS'!$AY$35="","",'STATE-OWNED CREDITORS'!$AY$35)</f>
        <v/>
      </c>
      <c r="J942">
        <f>IF('STATE-OWNED CREDITORS'!$BC$35="","",'STATE-OWNED CREDITORS'!$BC$35)</f>
        <v/>
      </c>
      <c r="K942">
        <f>IF('STATE-OWNED CREDITORS'!$N$35="","",'STATE-OWNED CREDITORS'!$N$35)</f>
        <v/>
      </c>
      <c r="L942">
        <f>IF('STATE-OWNED CREDITORS'!$AH$35="","",'STATE-OWNED CREDITORS'!$AH$35)</f>
        <v/>
      </c>
      <c r="M942">
        <f>IF('STATE-OWNED CREDITORS'!$AO$35="","",'STATE-OWNED CREDITORS'!$AO$35)</f>
        <v/>
      </c>
      <c r="N942">
        <f>IF('STATE-OWNED CREDITORS'!$BF$35="","",'STATE-OWNED CREDITORS'!$BF$35)</f>
        <v/>
      </c>
      <c r="O942" t="inlineStr">
        <is>
          <t>STATE-OWNED</t>
        </is>
      </c>
      <c r="P942" t="inlineStr">
        <is>
          <t>STATE-OWNED CREDITORS · row 35</t>
        </is>
      </c>
      <c r="Q942">
        <f>E942+ROW()*0.000000001</f>
        <v/>
      </c>
    </row>
    <row r="943">
      <c r="A943">
        <f>IF('STATE-OWNED CREDITORS'!$A$36="","",'STATE-OWNED CREDITORS'!$A$36)</f>
        <v/>
      </c>
      <c r="B943">
        <f>IF('STATE-OWNED CREDITORS'!$C$36="","",'STATE-OWNED CREDITORS'!$C$36)</f>
        <v/>
      </c>
      <c r="C943">
        <f>'STATE-OWNED CREDITORS'!$U$36</f>
        <v/>
      </c>
      <c r="D943">
        <f>'STATE-OWNED CREDITORS'!$AB$36</f>
        <v/>
      </c>
      <c r="E943">
        <f>'STATE-OWNED CREDITORS'!$AF$36</f>
        <v/>
      </c>
      <c r="F943">
        <f>IF('STATE-OWNED CREDITORS'!$V$36="","",'STATE-OWNED CREDITORS'!$V$36)</f>
        <v/>
      </c>
      <c r="G943">
        <f>IF('STATE-OWNED CREDITORS'!$D$36="","",'STATE-OWNED CREDITORS'!$D$36)</f>
        <v/>
      </c>
      <c r="H943">
        <f>IF('STATE-OWNED CREDITORS'!$G$36="","",'STATE-OWNED CREDITORS'!$G$36)</f>
        <v/>
      </c>
      <c r="I943">
        <f>IF('STATE-OWNED CREDITORS'!$AY$36="","",'STATE-OWNED CREDITORS'!$AY$36)</f>
        <v/>
      </c>
      <c r="J943">
        <f>IF('STATE-OWNED CREDITORS'!$BC$36="","",'STATE-OWNED CREDITORS'!$BC$36)</f>
        <v/>
      </c>
      <c r="K943">
        <f>IF('STATE-OWNED CREDITORS'!$N$36="","",'STATE-OWNED CREDITORS'!$N$36)</f>
        <v/>
      </c>
      <c r="L943">
        <f>IF('STATE-OWNED CREDITORS'!$AH$36="","",'STATE-OWNED CREDITORS'!$AH$36)</f>
        <v/>
      </c>
      <c r="M943">
        <f>IF('STATE-OWNED CREDITORS'!$AO$36="","",'STATE-OWNED CREDITORS'!$AO$36)</f>
        <v/>
      </c>
      <c r="N943">
        <f>IF('STATE-OWNED CREDITORS'!$BF$36="","",'STATE-OWNED CREDITORS'!$BF$36)</f>
        <v/>
      </c>
      <c r="O943" t="inlineStr">
        <is>
          <t>STATE-OWNED</t>
        </is>
      </c>
      <c r="P943" t="inlineStr">
        <is>
          <t>STATE-OWNED CREDITORS · row 36</t>
        </is>
      </c>
      <c r="Q943">
        <f>E943+ROW()*0.000000001</f>
        <v/>
      </c>
    </row>
    <row r="944">
      <c r="A944">
        <f>IF('STATE-OWNED CREDITORS'!$A$37="","",'STATE-OWNED CREDITORS'!$A$37)</f>
        <v/>
      </c>
      <c r="B944">
        <f>IF('STATE-OWNED CREDITORS'!$C$37="","",'STATE-OWNED CREDITORS'!$C$37)</f>
        <v/>
      </c>
      <c r="C944">
        <f>'STATE-OWNED CREDITORS'!$U$37</f>
        <v/>
      </c>
      <c r="D944">
        <f>'STATE-OWNED CREDITORS'!$AB$37</f>
        <v/>
      </c>
      <c r="E944">
        <f>'STATE-OWNED CREDITORS'!$AF$37</f>
        <v/>
      </c>
      <c r="F944">
        <f>IF('STATE-OWNED CREDITORS'!$V$37="","",'STATE-OWNED CREDITORS'!$V$37)</f>
        <v/>
      </c>
      <c r="G944">
        <f>IF('STATE-OWNED CREDITORS'!$D$37="","",'STATE-OWNED CREDITORS'!$D$37)</f>
        <v/>
      </c>
      <c r="H944">
        <f>IF('STATE-OWNED CREDITORS'!$G$37="","",'STATE-OWNED CREDITORS'!$G$37)</f>
        <v/>
      </c>
      <c r="I944">
        <f>IF('STATE-OWNED CREDITORS'!$AY$37="","",'STATE-OWNED CREDITORS'!$AY$37)</f>
        <v/>
      </c>
      <c r="J944">
        <f>IF('STATE-OWNED CREDITORS'!$BC$37="","",'STATE-OWNED CREDITORS'!$BC$37)</f>
        <v/>
      </c>
      <c r="K944">
        <f>IF('STATE-OWNED CREDITORS'!$N$37="","",'STATE-OWNED CREDITORS'!$N$37)</f>
        <v/>
      </c>
      <c r="L944">
        <f>IF('STATE-OWNED CREDITORS'!$AH$37="","",'STATE-OWNED CREDITORS'!$AH$37)</f>
        <v/>
      </c>
      <c r="M944">
        <f>IF('STATE-OWNED CREDITORS'!$AO$37="","",'STATE-OWNED CREDITORS'!$AO$37)</f>
        <v/>
      </c>
      <c r="N944">
        <f>IF('STATE-OWNED CREDITORS'!$BF$37="","",'STATE-OWNED CREDITORS'!$BF$37)</f>
        <v/>
      </c>
      <c r="O944" t="inlineStr">
        <is>
          <t>STATE-OWNED</t>
        </is>
      </c>
      <c r="P944" t="inlineStr">
        <is>
          <t>STATE-OWNED CREDITORS · row 37</t>
        </is>
      </c>
      <c r="Q944">
        <f>E944+ROW()*0.000000001</f>
        <v/>
      </c>
    </row>
    <row r="945">
      <c r="A945">
        <f>IF('STATE-OWNED CREDITORS'!$A$38="","",'STATE-OWNED CREDITORS'!$A$38)</f>
        <v/>
      </c>
      <c r="B945">
        <f>IF('STATE-OWNED CREDITORS'!$C$38="","",'STATE-OWNED CREDITORS'!$C$38)</f>
        <v/>
      </c>
      <c r="C945">
        <f>'STATE-OWNED CREDITORS'!$U$38</f>
        <v/>
      </c>
      <c r="D945">
        <f>'STATE-OWNED CREDITORS'!$AB$38</f>
        <v/>
      </c>
      <c r="E945">
        <f>'STATE-OWNED CREDITORS'!$AF$38</f>
        <v/>
      </c>
      <c r="F945">
        <f>IF('STATE-OWNED CREDITORS'!$V$38="","",'STATE-OWNED CREDITORS'!$V$38)</f>
        <v/>
      </c>
      <c r="G945">
        <f>IF('STATE-OWNED CREDITORS'!$D$38="","",'STATE-OWNED CREDITORS'!$D$38)</f>
        <v/>
      </c>
      <c r="H945">
        <f>IF('STATE-OWNED CREDITORS'!$G$38="","",'STATE-OWNED CREDITORS'!$G$38)</f>
        <v/>
      </c>
      <c r="I945">
        <f>IF('STATE-OWNED CREDITORS'!$AY$38="","",'STATE-OWNED CREDITORS'!$AY$38)</f>
        <v/>
      </c>
      <c r="J945">
        <f>IF('STATE-OWNED CREDITORS'!$BC$38="","",'STATE-OWNED CREDITORS'!$BC$38)</f>
        <v/>
      </c>
      <c r="K945">
        <f>IF('STATE-OWNED CREDITORS'!$N$38="","",'STATE-OWNED CREDITORS'!$N$38)</f>
        <v/>
      </c>
      <c r="L945">
        <f>IF('STATE-OWNED CREDITORS'!$AH$38="","",'STATE-OWNED CREDITORS'!$AH$38)</f>
        <v/>
      </c>
      <c r="M945">
        <f>IF('STATE-OWNED CREDITORS'!$AO$38="","",'STATE-OWNED CREDITORS'!$AO$38)</f>
        <v/>
      </c>
      <c r="N945">
        <f>IF('STATE-OWNED CREDITORS'!$BF$38="","",'STATE-OWNED CREDITORS'!$BF$38)</f>
        <v/>
      </c>
      <c r="O945" t="inlineStr">
        <is>
          <t>STATE-OWNED</t>
        </is>
      </c>
      <c r="P945" t="inlineStr">
        <is>
          <t>STATE-OWNED CREDITORS · row 38</t>
        </is>
      </c>
      <c r="Q945">
        <f>E945+ROW()*0.000000001</f>
        <v/>
      </c>
    </row>
    <row r="946">
      <c r="A946">
        <f>IF('STATE-OWNED CREDITORS'!$A$39="","",'STATE-OWNED CREDITORS'!$A$39)</f>
        <v/>
      </c>
      <c r="B946">
        <f>IF('STATE-OWNED CREDITORS'!$C$39="","",'STATE-OWNED CREDITORS'!$C$39)</f>
        <v/>
      </c>
      <c r="C946">
        <f>'STATE-OWNED CREDITORS'!$U$39</f>
        <v/>
      </c>
      <c r="D946">
        <f>'STATE-OWNED CREDITORS'!$AB$39</f>
        <v/>
      </c>
      <c r="E946">
        <f>'STATE-OWNED CREDITORS'!$AF$39</f>
        <v/>
      </c>
      <c r="F946">
        <f>IF('STATE-OWNED CREDITORS'!$V$39="","",'STATE-OWNED CREDITORS'!$V$39)</f>
        <v/>
      </c>
      <c r="G946">
        <f>IF('STATE-OWNED CREDITORS'!$D$39="","",'STATE-OWNED CREDITORS'!$D$39)</f>
        <v/>
      </c>
      <c r="H946">
        <f>IF('STATE-OWNED CREDITORS'!$G$39="","",'STATE-OWNED CREDITORS'!$G$39)</f>
        <v/>
      </c>
      <c r="I946">
        <f>IF('STATE-OWNED CREDITORS'!$AY$39="","",'STATE-OWNED CREDITORS'!$AY$39)</f>
        <v/>
      </c>
      <c r="J946">
        <f>IF('STATE-OWNED CREDITORS'!$BC$39="","",'STATE-OWNED CREDITORS'!$BC$39)</f>
        <v/>
      </c>
      <c r="K946">
        <f>IF('STATE-OWNED CREDITORS'!$N$39="","",'STATE-OWNED CREDITORS'!$N$39)</f>
        <v/>
      </c>
      <c r="L946">
        <f>IF('STATE-OWNED CREDITORS'!$AH$39="","",'STATE-OWNED CREDITORS'!$AH$39)</f>
        <v/>
      </c>
      <c r="M946">
        <f>IF('STATE-OWNED CREDITORS'!$AO$39="","",'STATE-OWNED CREDITORS'!$AO$39)</f>
        <v/>
      </c>
      <c r="N946">
        <f>IF('STATE-OWNED CREDITORS'!$BF$39="","",'STATE-OWNED CREDITORS'!$BF$39)</f>
        <v/>
      </c>
      <c r="O946" t="inlineStr">
        <is>
          <t>STATE-OWNED</t>
        </is>
      </c>
      <c r="P946" t="inlineStr">
        <is>
          <t>STATE-OWNED CREDITORS · row 39</t>
        </is>
      </c>
      <c r="Q946">
        <f>E946+ROW()*0.000000001</f>
        <v/>
      </c>
    </row>
    <row r="947">
      <c r="A947">
        <f>IF('STATE-OWNED CREDITORS'!$A$40="","",'STATE-OWNED CREDITORS'!$A$40)</f>
        <v/>
      </c>
      <c r="B947">
        <f>IF('STATE-OWNED CREDITORS'!$C$40="","",'STATE-OWNED CREDITORS'!$C$40)</f>
        <v/>
      </c>
      <c r="C947">
        <f>'STATE-OWNED CREDITORS'!$U$40</f>
        <v/>
      </c>
      <c r="D947">
        <f>'STATE-OWNED CREDITORS'!$AB$40</f>
        <v/>
      </c>
      <c r="E947">
        <f>'STATE-OWNED CREDITORS'!$AF$40</f>
        <v/>
      </c>
      <c r="F947">
        <f>IF('STATE-OWNED CREDITORS'!$V$40="","",'STATE-OWNED CREDITORS'!$V$40)</f>
        <v/>
      </c>
      <c r="G947">
        <f>IF('STATE-OWNED CREDITORS'!$D$40="","",'STATE-OWNED CREDITORS'!$D$40)</f>
        <v/>
      </c>
      <c r="H947">
        <f>IF('STATE-OWNED CREDITORS'!$G$40="","",'STATE-OWNED CREDITORS'!$G$40)</f>
        <v/>
      </c>
      <c r="I947">
        <f>IF('STATE-OWNED CREDITORS'!$AY$40="","",'STATE-OWNED CREDITORS'!$AY$40)</f>
        <v/>
      </c>
      <c r="J947">
        <f>IF('STATE-OWNED CREDITORS'!$BC$40="","",'STATE-OWNED CREDITORS'!$BC$40)</f>
        <v/>
      </c>
      <c r="K947">
        <f>IF('STATE-OWNED CREDITORS'!$N$40="","",'STATE-OWNED CREDITORS'!$N$40)</f>
        <v/>
      </c>
      <c r="L947">
        <f>IF('STATE-OWNED CREDITORS'!$AH$40="","",'STATE-OWNED CREDITORS'!$AH$40)</f>
        <v/>
      </c>
      <c r="M947">
        <f>IF('STATE-OWNED CREDITORS'!$AO$40="","",'STATE-OWNED CREDITORS'!$AO$40)</f>
        <v/>
      </c>
      <c r="N947">
        <f>IF('STATE-OWNED CREDITORS'!$BF$40="","",'STATE-OWNED CREDITORS'!$BF$40)</f>
        <v/>
      </c>
      <c r="O947" t="inlineStr">
        <is>
          <t>STATE-OWNED</t>
        </is>
      </c>
      <c r="P947" t="inlineStr">
        <is>
          <t>STATE-OWNED CREDITORS · row 40</t>
        </is>
      </c>
      <c r="Q947">
        <f>E947+ROW()*0.000000001</f>
        <v/>
      </c>
    </row>
    <row r="948">
      <c r="A948">
        <f>IF('STATE-OWNED CREDITORS'!$A$41="","",'STATE-OWNED CREDITORS'!$A$41)</f>
        <v/>
      </c>
      <c r="B948">
        <f>IF('STATE-OWNED CREDITORS'!$C$41="","",'STATE-OWNED CREDITORS'!$C$41)</f>
        <v/>
      </c>
      <c r="C948">
        <f>'STATE-OWNED CREDITORS'!$U$41</f>
        <v/>
      </c>
      <c r="D948">
        <f>'STATE-OWNED CREDITORS'!$AB$41</f>
        <v/>
      </c>
      <c r="E948">
        <f>'STATE-OWNED CREDITORS'!$AF$41</f>
        <v/>
      </c>
      <c r="F948">
        <f>IF('STATE-OWNED CREDITORS'!$V$41="","",'STATE-OWNED CREDITORS'!$V$41)</f>
        <v/>
      </c>
      <c r="G948">
        <f>IF('STATE-OWNED CREDITORS'!$D$41="","",'STATE-OWNED CREDITORS'!$D$41)</f>
        <v/>
      </c>
      <c r="H948">
        <f>IF('STATE-OWNED CREDITORS'!$G$41="","",'STATE-OWNED CREDITORS'!$G$41)</f>
        <v/>
      </c>
      <c r="I948">
        <f>IF('STATE-OWNED CREDITORS'!$AY$41="","",'STATE-OWNED CREDITORS'!$AY$41)</f>
        <v/>
      </c>
      <c r="J948">
        <f>IF('STATE-OWNED CREDITORS'!$BC$41="","",'STATE-OWNED CREDITORS'!$BC$41)</f>
        <v/>
      </c>
      <c r="K948">
        <f>IF('STATE-OWNED CREDITORS'!$N$41="","",'STATE-OWNED CREDITORS'!$N$41)</f>
        <v/>
      </c>
      <c r="L948">
        <f>IF('STATE-OWNED CREDITORS'!$AH$41="","",'STATE-OWNED CREDITORS'!$AH$41)</f>
        <v/>
      </c>
      <c r="M948">
        <f>IF('STATE-OWNED CREDITORS'!$AO$41="","",'STATE-OWNED CREDITORS'!$AO$41)</f>
        <v/>
      </c>
      <c r="N948">
        <f>IF('STATE-OWNED CREDITORS'!$BF$41="","",'STATE-OWNED CREDITORS'!$BF$41)</f>
        <v/>
      </c>
      <c r="O948" t="inlineStr">
        <is>
          <t>STATE-OWNED</t>
        </is>
      </c>
      <c r="P948" t="inlineStr">
        <is>
          <t>STATE-OWNED CREDITORS · row 41</t>
        </is>
      </c>
      <c r="Q948">
        <f>E948+ROW()*0.000000001</f>
        <v/>
      </c>
    </row>
    <row r="949">
      <c r="A949">
        <f>IF('STATE-OWNED CREDITORS'!$A$42="","",'STATE-OWNED CREDITORS'!$A$42)</f>
        <v/>
      </c>
      <c r="B949">
        <f>IF('STATE-OWNED CREDITORS'!$C$42="","",'STATE-OWNED CREDITORS'!$C$42)</f>
        <v/>
      </c>
      <c r="C949">
        <f>'STATE-OWNED CREDITORS'!$U$42</f>
        <v/>
      </c>
      <c r="D949">
        <f>'STATE-OWNED CREDITORS'!$AB$42</f>
        <v/>
      </c>
      <c r="E949">
        <f>'STATE-OWNED CREDITORS'!$AF$42</f>
        <v/>
      </c>
      <c r="F949">
        <f>IF('STATE-OWNED CREDITORS'!$V$42="","",'STATE-OWNED CREDITORS'!$V$42)</f>
        <v/>
      </c>
      <c r="G949">
        <f>IF('STATE-OWNED CREDITORS'!$D$42="","",'STATE-OWNED CREDITORS'!$D$42)</f>
        <v/>
      </c>
      <c r="H949">
        <f>IF('STATE-OWNED CREDITORS'!$G$42="","",'STATE-OWNED CREDITORS'!$G$42)</f>
        <v/>
      </c>
      <c r="I949">
        <f>IF('STATE-OWNED CREDITORS'!$AY$42="","",'STATE-OWNED CREDITORS'!$AY$42)</f>
        <v/>
      </c>
      <c r="J949">
        <f>IF('STATE-OWNED CREDITORS'!$BC$42="","",'STATE-OWNED CREDITORS'!$BC$42)</f>
        <v/>
      </c>
      <c r="K949">
        <f>IF('STATE-OWNED CREDITORS'!$N$42="","",'STATE-OWNED CREDITORS'!$N$42)</f>
        <v/>
      </c>
      <c r="L949">
        <f>IF('STATE-OWNED CREDITORS'!$AH$42="","",'STATE-OWNED CREDITORS'!$AH$42)</f>
        <v/>
      </c>
      <c r="M949">
        <f>IF('STATE-OWNED CREDITORS'!$AO$42="","",'STATE-OWNED CREDITORS'!$AO$42)</f>
        <v/>
      </c>
      <c r="N949">
        <f>IF('STATE-OWNED CREDITORS'!$BF$42="","",'STATE-OWNED CREDITORS'!$BF$42)</f>
        <v/>
      </c>
      <c r="O949" t="inlineStr">
        <is>
          <t>STATE-OWNED</t>
        </is>
      </c>
      <c r="P949" t="inlineStr">
        <is>
          <t>STATE-OWNED CREDITORS · row 42</t>
        </is>
      </c>
      <c r="Q949">
        <f>E949+ROW()*0.000000001</f>
        <v/>
      </c>
    </row>
    <row r="950">
      <c r="A950">
        <f>IF('STATE-OWNED CREDITORS'!$A$43="","",'STATE-OWNED CREDITORS'!$A$43)</f>
        <v/>
      </c>
      <c r="B950">
        <f>IF('STATE-OWNED CREDITORS'!$C$43="","",'STATE-OWNED CREDITORS'!$C$43)</f>
        <v/>
      </c>
      <c r="C950">
        <f>'STATE-OWNED CREDITORS'!$U$43</f>
        <v/>
      </c>
      <c r="D950">
        <f>'STATE-OWNED CREDITORS'!$AB$43</f>
        <v/>
      </c>
      <c r="E950">
        <f>'STATE-OWNED CREDITORS'!$AF$43</f>
        <v/>
      </c>
      <c r="F950">
        <f>IF('STATE-OWNED CREDITORS'!$V$43="","",'STATE-OWNED CREDITORS'!$V$43)</f>
        <v/>
      </c>
      <c r="G950">
        <f>IF('STATE-OWNED CREDITORS'!$D$43="","",'STATE-OWNED CREDITORS'!$D$43)</f>
        <v/>
      </c>
      <c r="H950">
        <f>IF('STATE-OWNED CREDITORS'!$G$43="","",'STATE-OWNED CREDITORS'!$G$43)</f>
        <v/>
      </c>
      <c r="I950">
        <f>IF('STATE-OWNED CREDITORS'!$AY$43="","",'STATE-OWNED CREDITORS'!$AY$43)</f>
        <v/>
      </c>
      <c r="J950">
        <f>IF('STATE-OWNED CREDITORS'!$BC$43="","",'STATE-OWNED CREDITORS'!$BC$43)</f>
        <v/>
      </c>
      <c r="K950">
        <f>IF('STATE-OWNED CREDITORS'!$N$43="","",'STATE-OWNED CREDITORS'!$N$43)</f>
        <v/>
      </c>
      <c r="L950">
        <f>IF('STATE-OWNED CREDITORS'!$AH$43="","",'STATE-OWNED CREDITORS'!$AH$43)</f>
        <v/>
      </c>
      <c r="M950">
        <f>IF('STATE-OWNED CREDITORS'!$AO$43="","",'STATE-OWNED CREDITORS'!$AO$43)</f>
        <v/>
      </c>
      <c r="N950">
        <f>IF('STATE-OWNED CREDITORS'!$BF$43="","",'STATE-OWNED CREDITORS'!$BF$43)</f>
        <v/>
      </c>
      <c r="O950" t="inlineStr">
        <is>
          <t>STATE-OWNED</t>
        </is>
      </c>
      <c r="P950" t="inlineStr">
        <is>
          <t>STATE-OWNED CREDITORS · row 43</t>
        </is>
      </c>
      <c r="Q950">
        <f>E950+ROW()*0.000000001</f>
        <v/>
      </c>
    </row>
    <row r="951">
      <c r="A951">
        <f>IF('STATE-OWNED CREDITORS'!$A$44="","",'STATE-OWNED CREDITORS'!$A$44)</f>
        <v/>
      </c>
      <c r="B951">
        <f>IF('STATE-OWNED CREDITORS'!$C$44="","",'STATE-OWNED CREDITORS'!$C$44)</f>
        <v/>
      </c>
      <c r="C951">
        <f>'STATE-OWNED CREDITORS'!$U$44</f>
        <v/>
      </c>
      <c r="D951">
        <f>'STATE-OWNED CREDITORS'!$AB$44</f>
        <v/>
      </c>
      <c r="E951">
        <f>'STATE-OWNED CREDITORS'!$AF$44</f>
        <v/>
      </c>
      <c r="F951">
        <f>IF('STATE-OWNED CREDITORS'!$V$44="","",'STATE-OWNED CREDITORS'!$V$44)</f>
        <v/>
      </c>
      <c r="G951">
        <f>IF('STATE-OWNED CREDITORS'!$D$44="","",'STATE-OWNED CREDITORS'!$D$44)</f>
        <v/>
      </c>
      <c r="H951">
        <f>IF('STATE-OWNED CREDITORS'!$G$44="","",'STATE-OWNED CREDITORS'!$G$44)</f>
        <v/>
      </c>
      <c r="I951">
        <f>IF('STATE-OWNED CREDITORS'!$AY$44="","",'STATE-OWNED CREDITORS'!$AY$44)</f>
        <v/>
      </c>
      <c r="J951">
        <f>IF('STATE-OWNED CREDITORS'!$BC$44="","",'STATE-OWNED CREDITORS'!$BC$44)</f>
        <v/>
      </c>
      <c r="K951">
        <f>IF('STATE-OWNED CREDITORS'!$N$44="","",'STATE-OWNED CREDITORS'!$N$44)</f>
        <v/>
      </c>
      <c r="L951">
        <f>IF('STATE-OWNED CREDITORS'!$AH$44="","",'STATE-OWNED CREDITORS'!$AH$44)</f>
        <v/>
      </c>
      <c r="M951">
        <f>IF('STATE-OWNED CREDITORS'!$AO$44="","",'STATE-OWNED CREDITORS'!$AO$44)</f>
        <v/>
      </c>
      <c r="N951">
        <f>IF('STATE-OWNED CREDITORS'!$BF$44="","",'STATE-OWNED CREDITORS'!$BF$44)</f>
        <v/>
      </c>
      <c r="O951" t="inlineStr">
        <is>
          <t>STATE-OWNED</t>
        </is>
      </c>
      <c r="P951" t="inlineStr">
        <is>
          <t>STATE-OWNED CREDITORS · row 44</t>
        </is>
      </c>
      <c r="Q951">
        <f>E951+ROW()*0.000000001</f>
        <v/>
      </c>
    </row>
    <row r="952">
      <c r="A952">
        <f>IF('STATE-OWNED CREDITORS'!$A$45="","",'STATE-OWNED CREDITORS'!$A$45)</f>
        <v/>
      </c>
      <c r="B952">
        <f>IF('STATE-OWNED CREDITORS'!$C$45="","",'STATE-OWNED CREDITORS'!$C$45)</f>
        <v/>
      </c>
      <c r="C952">
        <f>'STATE-OWNED CREDITORS'!$U$45</f>
        <v/>
      </c>
      <c r="D952">
        <f>'STATE-OWNED CREDITORS'!$AB$45</f>
        <v/>
      </c>
      <c r="E952">
        <f>'STATE-OWNED CREDITORS'!$AF$45</f>
        <v/>
      </c>
      <c r="F952">
        <f>IF('STATE-OWNED CREDITORS'!$V$45="","",'STATE-OWNED CREDITORS'!$V$45)</f>
        <v/>
      </c>
      <c r="G952">
        <f>IF('STATE-OWNED CREDITORS'!$D$45="","",'STATE-OWNED CREDITORS'!$D$45)</f>
        <v/>
      </c>
      <c r="H952">
        <f>IF('STATE-OWNED CREDITORS'!$G$45="","",'STATE-OWNED CREDITORS'!$G$45)</f>
        <v/>
      </c>
      <c r="I952">
        <f>IF('STATE-OWNED CREDITORS'!$AY$45="","",'STATE-OWNED CREDITORS'!$AY$45)</f>
        <v/>
      </c>
      <c r="J952">
        <f>IF('STATE-OWNED CREDITORS'!$BC$45="","",'STATE-OWNED CREDITORS'!$BC$45)</f>
        <v/>
      </c>
      <c r="K952">
        <f>IF('STATE-OWNED CREDITORS'!$N$45="","",'STATE-OWNED CREDITORS'!$N$45)</f>
        <v/>
      </c>
      <c r="L952">
        <f>IF('STATE-OWNED CREDITORS'!$AH$45="","",'STATE-OWNED CREDITORS'!$AH$45)</f>
        <v/>
      </c>
      <c r="M952">
        <f>IF('STATE-OWNED CREDITORS'!$AO$45="","",'STATE-OWNED CREDITORS'!$AO$45)</f>
        <v/>
      </c>
      <c r="N952">
        <f>IF('STATE-OWNED CREDITORS'!$BF$45="","",'STATE-OWNED CREDITORS'!$BF$45)</f>
        <v/>
      </c>
      <c r="O952" t="inlineStr">
        <is>
          <t>STATE-OWNED</t>
        </is>
      </c>
      <c r="P952" t="inlineStr">
        <is>
          <t>STATE-OWNED CREDITORS · row 45</t>
        </is>
      </c>
      <c r="Q952">
        <f>E952+ROW()*0.000000001</f>
        <v/>
      </c>
    </row>
    <row r="953">
      <c r="A953">
        <f>IF('STATE-OWNED CREDITORS'!$A$46="","",'STATE-OWNED CREDITORS'!$A$46)</f>
        <v/>
      </c>
      <c r="B953">
        <f>IF('STATE-OWNED CREDITORS'!$C$46="","",'STATE-OWNED CREDITORS'!$C$46)</f>
        <v/>
      </c>
      <c r="C953">
        <f>'STATE-OWNED CREDITORS'!$U$46</f>
        <v/>
      </c>
      <c r="D953">
        <f>'STATE-OWNED CREDITORS'!$AB$46</f>
        <v/>
      </c>
      <c r="E953">
        <f>'STATE-OWNED CREDITORS'!$AF$46</f>
        <v/>
      </c>
      <c r="F953">
        <f>IF('STATE-OWNED CREDITORS'!$V$46="","",'STATE-OWNED CREDITORS'!$V$46)</f>
        <v/>
      </c>
      <c r="G953">
        <f>IF('STATE-OWNED CREDITORS'!$D$46="","",'STATE-OWNED CREDITORS'!$D$46)</f>
        <v/>
      </c>
      <c r="H953">
        <f>IF('STATE-OWNED CREDITORS'!$G$46="","",'STATE-OWNED CREDITORS'!$G$46)</f>
        <v/>
      </c>
      <c r="I953">
        <f>IF('STATE-OWNED CREDITORS'!$AY$46="","",'STATE-OWNED CREDITORS'!$AY$46)</f>
        <v/>
      </c>
      <c r="J953">
        <f>IF('STATE-OWNED CREDITORS'!$BC$46="","",'STATE-OWNED CREDITORS'!$BC$46)</f>
        <v/>
      </c>
      <c r="K953">
        <f>IF('STATE-OWNED CREDITORS'!$N$46="","",'STATE-OWNED CREDITORS'!$N$46)</f>
        <v/>
      </c>
      <c r="L953">
        <f>IF('STATE-OWNED CREDITORS'!$AH$46="","",'STATE-OWNED CREDITORS'!$AH$46)</f>
        <v/>
      </c>
      <c r="M953">
        <f>IF('STATE-OWNED CREDITORS'!$AO$46="","",'STATE-OWNED CREDITORS'!$AO$46)</f>
        <v/>
      </c>
      <c r="N953">
        <f>IF('STATE-OWNED CREDITORS'!$BF$46="","",'STATE-OWNED CREDITORS'!$BF$46)</f>
        <v/>
      </c>
      <c r="O953" t="inlineStr">
        <is>
          <t>STATE-OWNED</t>
        </is>
      </c>
      <c r="P953" t="inlineStr">
        <is>
          <t>STATE-OWNED CREDITORS · row 46</t>
        </is>
      </c>
      <c r="Q953">
        <f>E953+ROW()*0.000000001</f>
        <v/>
      </c>
    </row>
    <row r="954">
      <c r="A954">
        <f>IF('STATE-OWNED CREDITORS'!$A$47="","",'STATE-OWNED CREDITORS'!$A$47)</f>
        <v/>
      </c>
      <c r="B954">
        <f>IF('STATE-OWNED CREDITORS'!$C$47="","",'STATE-OWNED CREDITORS'!$C$47)</f>
        <v/>
      </c>
      <c r="C954">
        <f>'STATE-OWNED CREDITORS'!$U$47</f>
        <v/>
      </c>
      <c r="D954">
        <f>'STATE-OWNED CREDITORS'!$AB$47</f>
        <v/>
      </c>
      <c r="E954">
        <f>'STATE-OWNED CREDITORS'!$AF$47</f>
        <v/>
      </c>
      <c r="F954">
        <f>IF('STATE-OWNED CREDITORS'!$V$47="","",'STATE-OWNED CREDITORS'!$V$47)</f>
        <v/>
      </c>
      <c r="G954">
        <f>IF('STATE-OWNED CREDITORS'!$D$47="","",'STATE-OWNED CREDITORS'!$D$47)</f>
        <v/>
      </c>
      <c r="H954">
        <f>IF('STATE-OWNED CREDITORS'!$G$47="","",'STATE-OWNED CREDITORS'!$G$47)</f>
        <v/>
      </c>
      <c r="I954">
        <f>IF('STATE-OWNED CREDITORS'!$AY$47="","",'STATE-OWNED CREDITORS'!$AY$47)</f>
        <v/>
      </c>
      <c r="J954">
        <f>IF('STATE-OWNED CREDITORS'!$BC$47="","",'STATE-OWNED CREDITORS'!$BC$47)</f>
        <v/>
      </c>
      <c r="K954">
        <f>IF('STATE-OWNED CREDITORS'!$N$47="","",'STATE-OWNED CREDITORS'!$N$47)</f>
        <v/>
      </c>
      <c r="L954">
        <f>IF('STATE-OWNED CREDITORS'!$AH$47="","",'STATE-OWNED CREDITORS'!$AH$47)</f>
        <v/>
      </c>
      <c r="M954">
        <f>IF('STATE-OWNED CREDITORS'!$AO$47="","",'STATE-OWNED CREDITORS'!$AO$47)</f>
        <v/>
      </c>
      <c r="N954">
        <f>IF('STATE-OWNED CREDITORS'!$BF$47="","",'STATE-OWNED CREDITORS'!$BF$47)</f>
        <v/>
      </c>
      <c r="O954" t="inlineStr">
        <is>
          <t>STATE-OWNED</t>
        </is>
      </c>
      <c r="P954" t="inlineStr">
        <is>
          <t>STATE-OWNED CREDITORS · row 47</t>
        </is>
      </c>
      <c r="Q954">
        <f>E954+ROW()*0.000000001</f>
        <v/>
      </c>
    </row>
    <row r="955">
      <c r="A955">
        <f>IF('STATE-OWNED CREDITORS'!$A$48="","",'STATE-OWNED CREDITORS'!$A$48)</f>
        <v/>
      </c>
      <c r="B955">
        <f>IF('STATE-OWNED CREDITORS'!$C$48="","",'STATE-OWNED CREDITORS'!$C$48)</f>
        <v/>
      </c>
      <c r="C955">
        <f>'STATE-OWNED CREDITORS'!$U$48</f>
        <v/>
      </c>
      <c r="D955">
        <f>'STATE-OWNED CREDITORS'!$AB$48</f>
        <v/>
      </c>
      <c r="E955">
        <f>'STATE-OWNED CREDITORS'!$AF$48</f>
        <v/>
      </c>
      <c r="F955">
        <f>IF('STATE-OWNED CREDITORS'!$V$48="","",'STATE-OWNED CREDITORS'!$V$48)</f>
        <v/>
      </c>
      <c r="G955">
        <f>IF('STATE-OWNED CREDITORS'!$D$48="","",'STATE-OWNED CREDITORS'!$D$48)</f>
        <v/>
      </c>
      <c r="H955">
        <f>IF('STATE-OWNED CREDITORS'!$G$48="","",'STATE-OWNED CREDITORS'!$G$48)</f>
        <v/>
      </c>
      <c r="I955">
        <f>IF('STATE-OWNED CREDITORS'!$AY$48="","",'STATE-OWNED CREDITORS'!$AY$48)</f>
        <v/>
      </c>
      <c r="J955">
        <f>IF('STATE-OWNED CREDITORS'!$BC$48="","",'STATE-OWNED CREDITORS'!$BC$48)</f>
        <v/>
      </c>
      <c r="K955">
        <f>IF('STATE-OWNED CREDITORS'!$N$48="","",'STATE-OWNED CREDITORS'!$N$48)</f>
        <v/>
      </c>
      <c r="L955">
        <f>IF('STATE-OWNED CREDITORS'!$AH$48="","",'STATE-OWNED CREDITORS'!$AH$48)</f>
        <v/>
      </c>
      <c r="M955">
        <f>IF('STATE-OWNED CREDITORS'!$AO$48="","",'STATE-OWNED CREDITORS'!$AO$48)</f>
        <v/>
      </c>
      <c r="N955">
        <f>IF('STATE-OWNED CREDITORS'!$BF$48="","",'STATE-OWNED CREDITORS'!$BF$48)</f>
        <v/>
      </c>
      <c r="O955" t="inlineStr">
        <is>
          <t>STATE-OWNED</t>
        </is>
      </c>
      <c r="P955" t="inlineStr">
        <is>
          <t>STATE-OWNED CREDITORS · row 48</t>
        </is>
      </c>
      <c r="Q955">
        <f>E955+ROW()*0.000000001</f>
        <v/>
      </c>
    </row>
    <row r="956">
      <c r="A956">
        <f>IF('STATE-OWNED CREDITORS'!$A$49="","",'STATE-OWNED CREDITORS'!$A$49)</f>
        <v/>
      </c>
      <c r="B956">
        <f>IF('STATE-OWNED CREDITORS'!$C$49="","",'STATE-OWNED CREDITORS'!$C$49)</f>
        <v/>
      </c>
      <c r="C956">
        <f>'STATE-OWNED CREDITORS'!$U$49</f>
        <v/>
      </c>
      <c r="D956">
        <f>'STATE-OWNED CREDITORS'!$AB$49</f>
        <v/>
      </c>
      <c r="E956">
        <f>'STATE-OWNED CREDITORS'!$AF$49</f>
        <v/>
      </c>
      <c r="F956">
        <f>IF('STATE-OWNED CREDITORS'!$V$49="","",'STATE-OWNED CREDITORS'!$V$49)</f>
        <v/>
      </c>
      <c r="G956">
        <f>IF('STATE-OWNED CREDITORS'!$D$49="","",'STATE-OWNED CREDITORS'!$D$49)</f>
        <v/>
      </c>
      <c r="H956">
        <f>IF('STATE-OWNED CREDITORS'!$G$49="","",'STATE-OWNED CREDITORS'!$G$49)</f>
        <v/>
      </c>
      <c r="I956">
        <f>IF('STATE-OWNED CREDITORS'!$AY$49="","",'STATE-OWNED CREDITORS'!$AY$49)</f>
        <v/>
      </c>
      <c r="J956">
        <f>IF('STATE-OWNED CREDITORS'!$BC$49="","",'STATE-OWNED CREDITORS'!$BC$49)</f>
        <v/>
      </c>
      <c r="K956">
        <f>IF('STATE-OWNED CREDITORS'!$N$49="","",'STATE-OWNED CREDITORS'!$N$49)</f>
        <v/>
      </c>
      <c r="L956">
        <f>IF('STATE-OWNED CREDITORS'!$AH$49="","",'STATE-OWNED CREDITORS'!$AH$49)</f>
        <v/>
      </c>
      <c r="M956">
        <f>IF('STATE-OWNED CREDITORS'!$AO$49="","",'STATE-OWNED CREDITORS'!$AO$49)</f>
        <v/>
      </c>
      <c r="N956">
        <f>IF('STATE-OWNED CREDITORS'!$BF$49="","",'STATE-OWNED CREDITORS'!$BF$49)</f>
        <v/>
      </c>
      <c r="O956" t="inlineStr">
        <is>
          <t>STATE-OWNED</t>
        </is>
      </c>
      <c r="P956" t="inlineStr">
        <is>
          <t>STATE-OWNED CREDITORS · row 49</t>
        </is>
      </c>
      <c r="Q956">
        <f>E956+ROW()*0.000000001</f>
        <v/>
      </c>
    </row>
    <row r="957">
      <c r="A957">
        <f>IF('STATE-OWNED CREDITORS'!$A$50="","",'STATE-OWNED CREDITORS'!$A$50)</f>
        <v/>
      </c>
      <c r="B957">
        <f>IF('STATE-OWNED CREDITORS'!$C$50="","",'STATE-OWNED CREDITORS'!$C$50)</f>
        <v/>
      </c>
      <c r="C957">
        <f>'STATE-OWNED CREDITORS'!$U$50</f>
        <v/>
      </c>
      <c r="D957">
        <f>'STATE-OWNED CREDITORS'!$AB$50</f>
        <v/>
      </c>
      <c r="E957">
        <f>'STATE-OWNED CREDITORS'!$AF$50</f>
        <v/>
      </c>
      <c r="F957">
        <f>IF('STATE-OWNED CREDITORS'!$V$50="","",'STATE-OWNED CREDITORS'!$V$50)</f>
        <v/>
      </c>
      <c r="G957">
        <f>IF('STATE-OWNED CREDITORS'!$D$50="","",'STATE-OWNED CREDITORS'!$D$50)</f>
        <v/>
      </c>
      <c r="H957">
        <f>IF('STATE-OWNED CREDITORS'!$G$50="","",'STATE-OWNED CREDITORS'!$G$50)</f>
        <v/>
      </c>
      <c r="I957">
        <f>IF('STATE-OWNED CREDITORS'!$AY$50="","",'STATE-OWNED CREDITORS'!$AY$50)</f>
        <v/>
      </c>
      <c r="J957">
        <f>IF('STATE-OWNED CREDITORS'!$BC$50="","",'STATE-OWNED CREDITORS'!$BC$50)</f>
        <v/>
      </c>
      <c r="K957">
        <f>IF('STATE-OWNED CREDITORS'!$N$50="","",'STATE-OWNED CREDITORS'!$N$50)</f>
        <v/>
      </c>
      <c r="L957">
        <f>IF('STATE-OWNED CREDITORS'!$AH$50="","",'STATE-OWNED CREDITORS'!$AH$50)</f>
        <v/>
      </c>
      <c r="M957">
        <f>IF('STATE-OWNED CREDITORS'!$AO$50="","",'STATE-OWNED CREDITORS'!$AO$50)</f>
        <v/>
      </c>
      <c r="N957">
        <f>IF('STATE-OWNED CREDITORS'!$BF$50="","",'STATE-OWNED CREDITORS'!$BF$50)</f>
        <v/>
      </c>
      <c r="O957" t="inlineStr">
        <is>
          <t>STATE-OWNED</t>
        </is>
      </c>
      <c r="P957" t="inlineStr">
        <is>
          <t>STATE-OWNED CREDITORS · row 50</t>
        </is>
      </c>
      <c r="Q957">
        <f>E957+ROW()*0.000000001</f>
        <v/>
      </c>
    </row>
    <row r="958">
      <c r="A958">
        <f>IF('STATE-OWNED CREDITORS'!$A$51="","",'STATE-OWNED CREDITORS'!$A$51)</f>
        <v/>
      </c>
      <c r="B958">
        <f>IF('STATE-OWNED CREDITORS'!$C$51="","",'STATE-OWNED CREDITORS'!$C$51)</f>
        <v/>
      </c>
      <c r="C958">
        <f>'STATE-OWNED CREDITORS'!$U$51</f>
        <v/>
      </c>
      <c r="D958">
        <f>'STATE-OWNED CREDITORS'!$AB$51</f>
        <v/>
      </c>
      <c r="E958">
        <f>'STATE-OWNED CREDITORS'!$AF$51</f>
        <v/>
      </c>
      <c r="F958">
        <f>IF('STATE-OWNED CREDITORS'!$V$51="","",'STATE-OWNED CREDITORS'!$V$51)</f>
        <v/>
      </c>
      <c r="G958">
        <f>IF('STATE-OWNED CREDITORS'!$D$51="","",'STATE-OWNED CREDITORS'!$D$51)</f>
        <v/>
      </c>
      <c r="H958">
        <f>IF('STATE-OWNED CREDITORS'!$G$51="","",'STATE-OWNED CREDITORS'!$G$51)</f>
        <v/>
      </c>
      <c r="I958">
        <f>IF('STATE-OWNED CREDITORS'!$AY$51="","",'STATE-OWNED CREDITORS'!$AY$51)</f>
        <v/>
      </c>
      <c r="J958">
        <f>IF('STATE-OWNED CREDITORS'!$BC$51="","",'STATE-OWNED CREDITORS'!$BC$51)</f>
        <v/>
      </c>
      <c r="K958">
        <f>IF('STATE-OWNED CREDITORS'!$N$51="","",'STATE-OWNED CREDITORS'!$N$51)</f>
        <v/>
      </c>
      <c r="L958">
        <f>IF('STATE-OWNED CREDITORS'!$AH$51="","",'STATE-OWNED CREDITORS'!$AH$51)</f>
        <v/>
      </c>
      <c r="M958">
        <f>IF('STATE-OWNED CREDITORS'!$AO$51="","",'STATE-OWNED CREDITORS'!$AO$51)</f>
        <v/>
      </c>
      <c r="N958">
        <f>IF('STATE-OWNED CREDITORS'!$BF$51="","",'STATE-OWNED CREDITORS'!$BF$51)</f>
        <v/>
      </c>
      <c r="O958" t="inlineStr">
        <is>
          <t>STATE-OWNED</t>
        </is>
      </c>
      <c r="P958" t="inlineStr">
        <is>
          <t>STATE-OWNED CREDITORS · row 51</t>
        </is>
      </c>
      <c r="Q958">
        <f>E958+ROW()*0.000000001</f>
        <v/>
      </c>
    </row>
    <row r="959">
      <c r="A959">
        <f>IF('STATE-OWNED CREDITORS'!$A$52="","",'STATE-OWNED CREDITORS'!$A$52)</f>
        <v/>
      </c>
      <c r="B959">
        <f>IF('STATE-OWNED CREDITORS'!$C$52="","",'STATE-OWNED CREDITORS'!$C$52)</f>
        <v/>
      </c>
      <c r="C959">
        <f>'STATE-OWNED CREDITORS'!$U$52</f>
        <v/>
      </c>
      <c r="D959">
        <f>'STATE-OWNED CREDITORS'!$AB$52</f>
        <v/>
      </c>
      <c r="E959">
        <f>'STATE-OWNED CREDITORS'!$AF$52</f>
        <v/>
      </c>
      <c r="F959">
        <f>IF('STATE-OWNED CREDITORS'!$V$52="","",'STATE-OWNED CREDITORS'!$V$52)</f>
        <v/>
      </c>
      <c r="G959">
        <f>IF('STATE-OWNED CREDITORS'!$D$52="","",'STATE-OWNED CREDITORS'!$D$52)</f>
        <v/>
      </c>
      <c r="H959">
        <f>IF('STATE-OWNED CREDITORS'!$G$52="","",'STATE-OWNED CREDITORS'!$G$52)</f>
        <v/>
      </c>
      <c r="I959">
        <f>IF('STATE-OWNED CREDITORS'!$AY$52="","",'STATE-OWNED CREDITORS'!$AY$52)</f>
        <v/>
      </c>
      <c r="J959">
        <f>IF('STATE-OWNED CREDITORS'!$BC$52="","",'STATE-OWNED CREDITORS'!$BC$52)</f>
        <v/>
      </c>
      <c r="K959">
        <f>IF('STATE-OWNED CREDITORS'!$N$52="","",'STATE-OWNED CREDITORS'!$N$52)</f>
        <v/>
      </c>
      <c r="L959">
        <f>IF('STATE-OWNED CREDITORS'!$AH$52="","",'STATE-OWNED CREDITORS'!$AH$52)</f>
        <v/>
      </c>
      <c r="M959">
        <f>IF('STATE-OWNED CREDITORS'!$AO$52="","",'STATE-OWNED CREDITORS'!$AO$52)</f>
        <v/>
      </c>
      <c r="N959">
        <f>IF('STATE-OWNED CREDITORS'!$BF$52="","",'STATE-OWNED CREDITORS'!$BF$52)</f>
        <v/>
      </c>
      <c r="O959" t="inlineStr">
        <is>
          <t>STATE-OWNED</t>
        </is>
      </c>
      <c r="P959" t="inlineStr">
        <is>
          <t>STATE-OWNED CREDITORS · row 52</t>
        </is>
      </c>
      <c r="Q959">
        <f>E959+ROW()*0.000000001</f>
        <v/>
      </c>
    </row>
    <row r="960">
      <c r="A960">
        <f>IF('STATE-OWNED CREDITORS'!$A$53="","",'STATE-OWNED CREDITORS'!$A$53)</f>
        <v/>
      </c>
      <c r="B960">
        <f>IF('STATE-OWNED CREDITORS'!$C$53="","",'STATE-OWNED CREDITORS'!$C$53)</f>
        <v/>
      </c>
      <c r="C960">
        <f>'STATE-OWNED CREDITORS'!$U$53</f>
        <v/>
      </c>
      <c r="D960">
        <f>'STATE-OWNED CREDITORS'!$AB$53</f>
        <v/>
      </c>
      <c r="E960">
        <f>'STATE-OWNED CREDITORS'!$AF$53</f>
        <v/>
      </c>
      <c r="F960">
        <f>IF('STATE-OWNED CREDITORS'!$V$53="","",'STATE-OWNED CREDITORS'!$V$53)</f>
        <v/>
      </c>
      <c r="G960">
        <f>IF('STATE-OWNED CREDITORS'!$D$53="","",'STATE-OWNED CREDITORS'!$D$53)</f>
        <v/>
      </c>
      <c r="H960">
        <f>IF('STATE-OWNED CREDITORS'!$G$53="","",'STATE-OWNED CREDITORS'!$G$53)</f>
        <v/>
      </c>
      <c r="I960">
        <f>IF('STATE-OWNED CREDITORS'!$AY$53="","",'STATE-OWNED CREDITORS'!$AY$53)</f>
        <v/>
      </c>
      <c r="J960">
        <f>IF('STATE-OWNED CREDITORS'!$BC$53="","",'STATE-OWNED CREDITORS'!$BC$53)</f>
        <v/>
      </c>
      <c r="K960">
        <f>IF('STATE-OWNED CREDITORS'!$N$53="","",'STATE-OWNED CREDITORS'!$N$53)</f>
        <v/>
      </c>
      <c r="L960">
        <f>IF('STATE-OWNED CREDITORS'!$AH$53="","",'STATE-OWNED CREDITORS'!$AH$53)</f>
        <v/>
      </c>
      <c r="M960">
        <f>IF('STATE-OWNED CREDITORS'!$AO$53="","",'STATE-OWNED CREDITORS'!$AO$53)</f>
        <v/>
      </c>
      <c r="N960">
        <f>IF('STATE-OWNED CREDITORS'!$BF$53="","",'STATE-OWNED CREDITORS'!$BF$53)</f>
        <v/>
      </c>
      <c r="O960" t="inlineStr">
        <is>
          <t>STATE-OWNED</t>
        </is>
      </c>
      <c r="P960" t="inlineStr">
        <is>
          <t>STATE-OWNED CREDITORS · row 53</t>
        </is>
      </c>
      <c r="Q960">
        <f>E960+ROW()*0.000000001</f>
        <v/>
      </c>
    </row>
    <row r="961">
      <c r="A961">
        <f>IF('STATE-OWNED CREDITORS'!$A$54="","",'STATE-OWNED CREDITORS'!$A$54)</f>
        <v/>
      </c>
      <c r="B961">
        <f>IF('STATE-OWNED CREDITORS'!$C$54="","",'STATE-OWNED CREDITORS'!$C$54)</f>
        <v/>
      </c>
      <c r="C961">
        <f>'STATE-OWNED CREDITORS'!$U$54</f>
        <v/>
      </c>
      <c r="D961">
        <f>'STATE-OWNED CREDITORS'!$AB$54</f>
        <v/>
      </c>
      <c r="E961">
        <f>'STATE-OWNED CREDITORS'!$AF$54</f>
        <v/>
      </c>
      <c r="F961">
        <f>IF('STATE-OWNED CREDITORS'!$V$54="","",'STATE-OWNED CREDITORS'!$V$54)</f>
        <v/>
      </c>
      <c r="G961">
        <f>IF('STATE-OWNED CREDITORS'!$D$54="","",'STATE-OWNED CREDITORS'!$D$54)</f>
        <v/>
      </c>
      <c r="H961">
        <f>IF('STATE-OWNED CREDITORS'!$G$54="","",'STATE-OWNED CREDITORS'!$G$54)</f>
        <v/>
      </c>
      <c r="I961">
        <f>IF('STATE-OWNED CREDITORS'!$AY$54="","",'STATE-OWNED CREDITORS'!$AY$54)</f>
        <v/>
      </c>
      <c r="J961">
        <f>IF('STATE-OWNED CREDITORS'!$BC$54="","",'STATE-OWNED CREDITORS'!$BC$54)</f>
        <v/>
      </c>
      <c r="K961">
        <f>IF('STATE-OWNED CREDITORS'!$N$54="","",'STATE-OWNED CREDITORS'!$N$54)</f>
        <v/>
      </c>
      <c r="L961">
        <f>IF('STATE-OWNED CREDITORS'!$AH$54="","",'STATE-OWNED CREDITORS'!$AH$54)</f>
        <v/>
      </c>
      <c r="M961">
        <f>IF('STATE-OWNED CREDITORS'!$AO$54="","",'STATE-OWNED CREDITORS'!$AO$54)</f>
        <v/>
      </c>
      <c r="N961">
        <f>IF('STATE-OWNED CREDITORS'!$BF$54="","",'STATE-OWNED CREDITORS'!$BF$54)</f>
        <v/>
      </c>
      <c r="O961" t="inlineStr">
        <is>
          <t>STATE-OWNED</t>
        </is>
      </c>
      <c r="P961" t="inlineStr">
        <is>
          <t>STATE-OWNED CREDITORS · row 54</t>
        </is>
      </c>
      <c r="Q961">
        <f>E961+ROW()*0.000000001</f>
        <v/>
      </c>
    </row>
    <row r="962">
      <c r="A962">
        <f>IF('STATE-OWNED CREDITORS'!$A$55="","",'STATE-OWNED CREDITORS'!$A$55)</f>
        <v/>
      </c>
      <c r="B962">
        <f>IF('STATE-OWNED CREDITORS'!$C$55="","",'STATE-OWNED CREDITORS'!$C$55)</f>
        <v/>
      </c>
      <c r="C962">
        <f>'STATE-OWNED CREDITORS'!$U$55</f>
        <v/>
      </c>
      <c r="D962">
        <f>'STATE-OWNED CREDITORS'!$AB$55</f>
        <v/>
      </c>
      <c r="E962">
        <f>'STATE-OWNED CREDITORS'!$AF$55</f>
        <v/>
      </c>
      <c r="F962">
        <f>IF('STATE-OWNED CREDITORS'!$V$55="","",'STATE-OWNED CREDITORS'!$V$55)</f>
        <v/>
      </c>
      <c r="G962">
        <f>IF('STATE-OWNED CREDITORS'!$D$55="","",'STATE-OWNED CREDITORS'!$D$55)</f>
        <v/>
      </c>
      <c r="H962">
        <f>IF('STATE-OWNED CREDITORS'!$G$55="","",'STATE-OWNED CREDITORS'!$G$55)</f>
        <v/>
      </c>
      <c r="I962">
        <f>IF('STATE-OWNED CREDITORS'!$AY$55="","",'STATE-OWNED CREDITORS'!$AY$55)</f>
        <v/>
      </c>
      <c r="J962">
        <f>IF('STATE-OWNED CREDITORS'!$BC$55="","",'STATE-OWNED CREDITORS'!$BC$55)</f>
        <v/>
      </c>
      <c r="K962">
        <f>IF('STATE-OWNED CREDITORS'!$N$55="","",'STATE-OWNED CREDITORS'!$N$55)</f>
        <v/>
      </c>
      <c r="L962">
        <f>IF('STATE-OWNED CREDITORS'!$AH$55="","",'STATE-OWNED CREDITORS'!$AH$55)</f>
        <v/>
      </c>
      <c r="M962">
        <f>IF('STATE-OWNED CREDITORS'!$AO$55="","",'STATE-OWNED CREDITORS'!$AO$55)</f>
        <v/>
      </c>
      <c r="N962">
        <f>IF('STATE-OWNED CREDITORS'!$BF$55="","",'STATE-OWNED CREDITORS'!$BF$55)</f>
        <v/>
      </c>
      <c r="O962" t="inlineStr">
        <is>
          <t>STATE-OWNED</t>
        </is>
      </c>
      <c r="P962" t="inlineStr">
        <is>
          <t>STATE-OWNED CREDITORS · row 55</t>
        </is>
      </c>
      <c r="Q962">
        <f>E962+ROW()*0.000000001</f>
        <v/>
      </c>
    </row>
    <row r="963">
      <c r="A963">
        <f>IF('STATE-OWNED CREDITORS'!$A$56="","",'STATE-OWNED CREDITORS'!$A$56)</f>
        <v/>
      </c>
      <c r="B963">
        <f>IF('STATE-OWNED CREDITORS'!$C$56="","",'STATE-OWNED CREDITORS'!$C$56)</f>
        <v/>
      </c>
      <c r="C963">
        <f>'STATE-OWNED CREDITORS'!$U$56</f>
        <v/>
      </c>
      <c r="D963">
        <f>'STATE-OWNED CREDITORS'!$AB$56</f>
        <v/>
      </c>
      <c r="E963">
        <f>'STATE-OWNED CREDITORS'!$AF$56</f>
        <v/>
      </c>
      <c r="F963">
        <f>IF('STATE-OWNED CREDITORS'!$V$56="","",'STATE-OWNED CREDITORS'!$V$56)</f>
        <v/>
      </c>
      <c r="G963">
        <f>IF('STATE-OWNED CREDITORS'!$D$56="","",'STATE-OWNED CREDITORS'!$D$56)</f>
        <v/>
      </c>
      <c r="H963">
        <f>IF('STATE-OWNED CREDITORS'!$G$56="","",'STATE-OWNED CREDITORS'!$G$56)</f>
        <v/>
      </c>
      <c r="I963">
        <f>IF('STATE-OWNED CREDITORS'!$AY$56="","",'STATE-OWNED CREDITORS'!$AY$56)</f>
        <v/>
      </c>
      <c r="J963">
        <f>IF('STATE-OWNED CREDITORS'!$BC$56="","",'STATE-OWNED CREDITORS'!$BC$56)</f>
        <v/>
      </c>
      <c r="K963">
        <f>IF('STATE-OWNED CREDITORS'!$N$56="","",'STATE-OWNED CREDITORS'!$N$56)</f>
        <v/>
      </c>
      <c r="L963">
        <f>IF('STATE-OWNED CREDITORS'!$AH$56="","",'STATE-OWNED CREDITORS'!$AH$56)</f>
        <v/>
      </c>
      <c r="M963">
        <f>IF('STATE-OWNED CREDITORS'!$AO$56="","",'STATE-OWNED CREDITORS'!$AO$56)</f>
        <v/>
      </c>
      <c r="N963">
        <f>IF('STATE-OWNED CREDITORS'!$BF$56="","",'STATE-OWNED CREDITORS'!$BF$56)</f>
        <v/>
      </c>
      <c r="O963" t="inlineStr">
        <is>
          <t>STATE-OWNED</t>
        </is>
      </c>
      <c r="P963" t="inlineStr">
        <is>
          <t>STATE-OWNED CREDITORS · row 56</t>
        </is>
      </c>
      <c r="Q963">
        <f>E963+ROW()*0.000000001</f>
        <v/>
      </c>
    </row>
    <row r="964">
      <c r="A964">
        <f>IF('STATE-OWNED CREDITORS'!$A$57="","",'STATE-OWNED CREDITORS'!$A$57)</f>
        <v/>
      </c>
      <c r="B964">
        <f>IF('STATE-OWNED CREDITORS'!$C$57="","",'STATE-OWNED CREDITORS'!$C$57)</f>
        <v/>
      </c>
      <c r="C964">
        <f>'STATE-OWNED CREDITORS'!$U$57</f>
        <v/>
      </c>
      <c r="D964">
        <f>'STATE-OWNED CREDITORS'!$AB$57</f>
        <v/>
      </c>
      <c r="E964">
        <f>'STATE-OWNED CREDITORS'!$AF$57</f>
        <v/>
      </c>
      <c r="F964">
        <f>IF('STATE-OWNED CREDITORS'!$V$57="","",'STATE-OWNED CREDITORS'!$V$57)</f>
        <v/>
      </c>
      <c r="G964">
        <f>IF('STATE-OWNED CREDITORS'!$D$57="","",'STATE-OWNED CREDITORS'!$D$57)</f>
        <v/>
      </c>
      <c r="H964">
        <f>IF('STATE-OWNED CREDITORS'!$G$57="","",'STATE-OWNED CREDITORS'!$G$57)</f>
        <v/>
      </c>
      <c r="I964">
        <f>IF('STATE-OWNED CREDITORS'!$AY$57="","",'STATE-OWNED CREDITORS'!$AY$57)</f>
        <v/>
      </c>
      <c r="J964">
        <f>IF('STATE-OWNED CREDITORS'!$BC$57="","",'STATE-OWNED CREDITORS'!$BC$57)</f>
        <v/>
      </c>
      <c r="K964">
        <f>IF('STATE-OWNED CREDITORS'!$N$57="","",'STATE-OWNED CREDITORS'!$N$57)</f>
        <v/>
      </c>
      <c r="L964">
        <f>IF('STATE-OWNED CREDITORS'!$AH$57="","",'STATE-OWNED CREDITORS'!$AH$57)</f>
        <v/>
      </c>
      <c r="M964">
        <f>IF('STATE-OWNED CREDITORS'!$AO$57="","",'STATE-OWNED CREDITORS'!$AO$57)</f>
        <v/>
      </c>
      <c r="N964">
        <f>IF('STATE-OWNED CREDITORS'!$BF$57="","",'STATE-OWNED CREDITORS'!$BF$57)</f>
        <v/>
      </c>
      <c r="O964" t="inlineStr">
        <is>
          <t>STATE-OWNED</t>
        </is>
      </c>
      <c r="P964" t="inlineStr">
        <is>
          <t>STATE-OWNED CREDITORS · row 57</t>
        </is>
      </c>
      <c r="Q964">
        <f>E964+ROW()*0.000000001</f>
        <v/>
      </c>
    </row>
    <row r="965">
      <c r="A965">
        <f>IF('STATE-OWNED CREDITORS'!$A$58="","",'STATE-OWNED CREDITORS'!$A$58)</f>
        <v/>
      </c>
      <c r="B965">
        <f>IF('STATE-OWNED CREDITORS'!$C$58="","",'STATE-OWNED CREDITORS'!$C$58)</f>
        <v/>
      </c>
      <c r="C965">
        <f>'STATE-OWNED CREDITORS'!$U$58</f>
        <v/>
      </c>
      <c r="D965">
        <f>'STATE-OWNED CREDITORS'!$AB$58</f>
        <v/>
      </c>
      <c r="E965">
        <f>'STATE-OWNED CREDITORS'!$AF$58</f>
        <v/>
      </c>
      <c r="F965">
        <f>IF('STATE-OWNED CREDITORS'!$V$58="","",'STATE-OWNED CREDITORS'!$V$58)</f>
        <v/>
      </c>
      <c r="G965">
        <f>IF('STATE-OWNED CREDITORS'!$D$58="","",'STATE-OWNED CREDITORS'!$D$58)</f>
        <v/>
      </c>
      <c r="H965">
        <f>IF('STATE-OWNED CREDITORS'!$G$58="","",'STATE-OWNED CREDITORS'!$G$58)</f>
        <v/>
      </c>
      <c r="I965">
        <f>IF('STATE-OWNED CREDITORS'!$AY$58="","",'STATE-OWNED CREDITORS'!$AY$58)</f>
        <v/>
      </c>
      <c r="J965">
        <f>IF('STATE-OWNED CREDITORS'!$BC$58="","",'STATE-OWNED CREDITORS'!$BC$58)</f>
        <v/>
      </c>
      <c r="K965">
        <f>IF('STATE-OWNED CREDITORS'!$N$58="","",'STATE-OWNED CREDITORS'!$N$58)</f>
        <v/>
      </c>
      <c r="L965">
        <f>IF('STATE-OWNED CREDITORS'!$AH$58="","",'STATE-OWNED CREDITORS'!$AH$58)</f>
        <v/>
      </c>
      <c r="M965">
        <f>IF('STATE-OWNED CREDITORS'!$AO$58="","",'STATE-OWNED CREDITORS'!$AO$58)</f>
        <v/>
      </c>
      <c r="N965">
        <f>IF('STATE-OWNED CREDITORS'!$BF$58="","",'STATE-OWNED CREDITORS'!$BF$58)</f>
        <v/>
      </c>
      <c r="O965" t="inlineStr">
        <is>
          <t>STATE-OWNED</t>
        </is>
      </c>
      <c r="P965" t="inlineStr">
        <is>
          <t>STATE-OWNED CREDITORS · row 58</t>
        </is>
      </c>
      <c r="Q965">
        <f>E965+ROW()*0.000000001</f>
        <v/>
      </c>
    </row>
    <row r="966">
      <c r="A966">
        <f>IF('STATE-OWNED CREDITORS'!$A$59="","",'STATE-OWNED CREDITORS'!$A$59)</f>
        <v/>
      </c>
      <c r="B966">
        <f>IF('STATE-OWNED CREDITORS'!$C$59="","",'STATE-OWNED CREDITORS'!$C$59)</f>
        <v/>
      </c>
      <c r="C966">
        <f>'STATE-OWNED CREDITORS'!$U$59</f>
        <v/>
      </c>
      <c r="D966">
        <f>'STATE-OWNED CREDITORS'!$AB$59</f>
        <v/>
      </c>
      <c r="E966">
        <f>'STATE-OWNED CREDITORS'!$AF$59</f>
        <v/>
      </c>
      <c r="F966">
        <f>IF('STATE-OWNED CREDITORS'!$V$59="","",'STATE-OWNED CREDITORS'!$V$59)</f>
        <v/>
      </c>
      <c r="G966">
        <f>IF('STATE-OWNED CREDITORS'!$D$59="","",'STATE-OWNED CREDITORS'!$D$59)</f>
        <v/>
      </c>
      <c r="H966">
        <f>IF('STATE-OWNED CREDITORS'!$G$59="","",'STATE-OWNED CREDITORS'!$G$59)</f>
        <v/>
      </c>
      <c r="I966">
        <f>IF('STATE-OWNED CREDITORS'!$AY$59="","",'STATE-OWNED CREDITORS'!$AY$59)</f>
        <v/>
      </c>
      <c r="J966">
        <f>IF('STATE-OWNED CREDITORS'!$BC$59="","",'STATE-OWNED CREDITORS'!$BC$59)</f>
        <v/>
      </c>
      <c r="K966">
        <f>IF('STATE-OWNED CREDITORS'!$N$59="","",'STATE-OWNED CREDITORS'!$N$59)</f>
        <v/>
      </c>
      <c r="L966">
        <f>IF('STATE-OWNED CREDITORS'!$AH$59="","",'STATE-OWNED CREDITORS'!$AH$59)</f>
        <v/>
      </c>
      <c r="M966">
        <f>IF('STATE-OWNED CREDITORS'!$AO$59="","",'STATE-OWNED CREDITORS'!$AO$59)</f>
        <v/>
      </c>
      <c r="N966">
        <f>IF('STATE-OWNED CREDITORS'!$BF$59="","",'STATE-OWNED CREDITORS'!$BF$59)</f>
        <v/>
      </c>
      <c r="O966" t="inlineStr">
        <is>
          <t>STATE-OWNED</t>
        </is>
      </c>
      <c r="P966" t="inlineStr">
        <is>
          <t>STATE-OWNED CREDITORS · row 59</t>
        </is>
      </c>
      <c r="Q966">
        <f>E966+ROW()*0.000000001</f>
        <v/>
      </c>
    </row>
    <row r="967">
      <c r="A967">
        <f>IF('STATE-OWNED CREDITORS'!$A$60="","",'STATE-OWNED CREDITORS'!$A$60)</f>
        <v/>
      </c>
      <c r="B967">
        <f>IF('STATE-OWNED CREDITORS'!$C$60="","",'STATE-OWNED CREDITORS'!$C$60)</f>
        <v/>
      </c>
      <c r="C967">
        <f>'STATE-OWNED CREDITORS'!$U$60</f>
        <v/>
      </c>
      <c r="D967">
        <f>'STATE-OWNED CREDITORS'!$AB$60</f>
        <v/>
      </c>
      <c r="E967">
        <f>'STATE-OWNED CREDITORS'!$AF$60</f>
        <v/>
      </c>
      <c r="F967">
        <f>IF('STATE-OWNED CREDITORS'!$V$60="","",'STATE-OWNED CREDITORS'!$V$60)</f>
        <v/>
      </c>
      <c r="G967">
        <f>IF('STATE-OWNED CREDITORS'!$D$60="","",'STATE-OWNED CREDITORS'!$D$60)</f>
        <v/>
      </c>
      <c r="H967">
        <f>IF('STATE-OWNED CREDITORS'!$G$60="","",'STATE-OWNED CREDITORS'!$G$60)</f>
        <v/>
      </c>
      <c r="I967">
        <f>IF('STATE-OWNED CREDITORS'!$AY$60="","",'STATE-OWNED CREDITORS'!$AY$60)</f>
        <v/>
      </c>
      <c r="J967">
        <f>IF('STATE-OWNED CREDITORS'!$BC$60="","",'STATE-OWNED CREDITORS'!$BC$60)</f>
        <v/>
      </c>
      <c r="K967">
        <f>IF('STATE-OWNED CREDITORS'!$N$60="","",'STATE-OWNED CREDITORS'!$N$60)</f>
        <v/>
      </c>
      <c r="L967">
        <f>IF('STATE-OWNED CREDITORS'!$AH$60="","",'STATE-OWNED CREDITORS'!$AH$60)</f>
        <v/>
      </c>
      <c r="M967">
        <f>IF('STATE-OWNED CREDITORS'!$AO$60="","",'STATE-OWNED CREDITORS'!$AO$60)</f>
        <v/>
      </c>
      <c r="N967">
        <f>IF('STATE-OWNED CREDITORS'!$BF$60="","",'STATE-OWNED CREDITORS'!$BF$60)</f>
        <v/>
      </c>
      <c r="O967" t="inlineStr">
        <is>
          <t>STATE-OWNED</t>
        </is>
      </c>
      <c r="P967" t="inlineStr">
        <is>
          <t>STATE-OWNED CREDITORS · row 60</t>
        </is>
      </c>
      <c r="Q967">
        <f>E967+ROW()*0.000000001</f>
        <v/>
      </c>
    </row>
    <row r="968">
      <c r="A968">
        <f>IF('STATE-OWNED CREDITORS'!$A$61="","",'STATE-OWNED CREDITORS'!$A$61)</f>
        <v/>
      </c>
      <c r="B968">
        <f>IF('STATE-OWNED CREDITORS'!$C$61="","",'STATE-OWNED CREDITORS'!$C$61)</f>
        <v/>
      </c>
      <c r="C968">
        <f>'STATE-OWNED CREDITORS'!$U$61</f>
        <v/>
      </c>
      <c r="D968">
        <f>'STATE-OWNED CREDITORS'!$AB$61</f>
        <v/>
      </c>
      <c r="E968">
        <f>'STATE-OWNED CREDITORS'!$AF$61</f>
        <v/>
      </c>
      <c r="F968">
        <f>IF('STATE-OWNED CREDITORS'!$V$61="","",'STATE-OWNED CREDITORS'!$V$61)</f>
        <v/>
      </c>
      <c r="G968">
        <f>IF('STATE-OWNED CREDITORS'!$D$61="","",'STATE-OWNED CREDITORS'!$D$61)</f>
        <v/>
      </c>
      <c r="H968">
        <f>IF('STATE-OWNED CREDITORS'!$G$61="","",'STATE-OWNED CREDITORS'!$G$61)</f>
        <v/>
      </c>
      <c r="I968">
        <f>IF('STATE-OWNED CREDITORS'!$AY$61="","",'STATE-OWNED CREDITORS'!$AY$61)</f>
        <v/>
      </c>
      <c r="J968">
        <f>IF('STATE-OWNED CREDITORS'!$BC$61="","",'STATE-OWNED CREDITORS'!$BC$61)</f>
        <v/>
      </c>
      <c r="K968">
        <f>IF('STATE-OWNED CREDITORS'!$N$61="","",'STATE-OWNED CREDITORS'!$N$61)</f>
        <v/>
      </c>
      <c r="L968">
        <f>IF('STATE-OWNED CREDITORS'!$AH$61="","",'STATE-OWNED CREDITORS'!$AH$61)</f>
        <v/>
      </c>
      <c r="M968">
        <f>IF('STATE-OWNED CREDITORS'!$AO$61="","",'STATE-OWNED CREDITORS'!$AO$61)</f>
        <v/>
      </c>
      <c r="N968">
        <f>IF('STATE-OWNED CREDITORS'!$BF$61="","",'STATE-OWNED CREDITORS'!$BF$61)</f>
        <v/>
      </c>
      <c r="O968" t="inlineStr">
        <is>
          <t>STATE-OWNED</t>
        </is>
      </c>
      <c r="P968" t="inlineStr">
        <is>
          <t>STATE-OWNED CREDITORS · row 61</t>
        </is>
      </c>
      <c r="Q968">
        <f>E968+ROW()*0.000000001</f>
        <v/>
      </c>
    </row>
    <row r="969">
      <c r="A969">
        <f>IF('STATE-OWNED CREDITORS'!$A$62="","",'STATE-OWNED CREDITORS'!$A$62)</f>
        <v/>
      </c>
      <c r="B969">
        <f>IF('STATE-OWNED CREDITORS'!$C$62="","",'STATE-OWNED CREDITORS'!$C$62)</f>
        <v/>
      </c>
      <c r="C969">
        <f>'STATE-OWNED CREDITORS'!$U$62</f>
        <v/>
      </c>
      <c r="D969">
        <f>'STATE-OWNED CREDITORS'!$AB$62</f>
        <v/>
      </c>
      <c r="E969">
        <f>'STATE-OWNED CREDITORS'!$AF$62</f>
        <v/>
      </c>
      <c r="F969">
        <f>IF('STATE-OWNED CREDITORS'!$V$62="","",'STATE-OWNED CREDITORS'!$V$62)</f>
        <v/>
      </c>
      <c r="G969">
        <f>IF('STATE-OWNED CREDITORS'!$D$62="","",'STATE-OWNED CREDITORS'!$D$62)</f>
        <v/>
      </c>
      <c r="H969">
        <f>IF('STATE-OWNED CREDITORS'!$G$62="","",'STATE-OWNED CREDITORS'!$G$62)</f>
        <v/>
      </c>
      <c r="I969">
        <f>IF('STATE-OWNED CREDITORS'!$AY$62="","",'STATE-OWNED CREDITORS'!$AY$62)</f>
        <v/>
      </c>
      <c r="J969">
        <f>IF('STATE-OWNED CREDITORS'!$BC$62="","",'STATE-OWNED CREDITORS'!$BC$62)</f>
        <v/>
      </c>
      <c r="K969">
        <f>IF('STATE-OWNED CREDITORS'!$N$62="","",'STATE-OWNED CREDITORS'!$N$62)</f>
        <v/>
      </c>
      <c r="L969">
        <f>IF('STATE-OWNED CREDITORS'!$AH$62="","",'STATE-OWNED CREDITORS'!$AH$62)</f>
        <v/>
      </c>
      <c r="M969">
        <f>IF('STATE-OWNED CREDITORS'!$AO$62="","",'STATE-OWNED CREDITORS'!$AO$62)</f>
        <v/>
      </c>
      <c r="N969">
        <f>IF('STATE-OWNED CREDITORS'!$BF$62="","",'STATE-OWNED CREDITORS'!$BF$62)</f>
        <v/>
      </c>
      <c r="O969" t="inlineStr">
        <is>
          <t>STATE-OWNED</t>
        </is>
      </c>
      <c r="P969" t="inlineStr">
        <is>
          <t>STATE-OWNED CREDITORS · row 62</t>
        </is>
      </c>
      <c r="Q969">
        <f>E969+ROW()*0.000000001</f>
        <v/>
      </c>
    </row>
    <row r="970">
      <c r="A970">
        <f>IF('STATE-OWNED CREDITORS'!$A$63="","",'STATE-OWNED CREDITORS'!$A$63)</f>
        <v/>
      </c>
      <c r="B970">
        <f>IF('STATE-OWNED CREDITORS'!$C$63="","",'STATE-OWNED CREDITORS'!$C$63)</f>
        <v/>
      </c>
      <c r="C970">
        <f>'STATE-OWNED CREDITORS'!$U$63</f>
        <v/>
      </c>
      <c r="D970">
        <f>'STATE-OWNED CREDITORS'!$AB$63</f>
        <v/>
      </c>
      <c r="E970">
        <f>'STATE-OWNED CREDITORS'!$AF$63</f>
        <v/>
      </c>
      <c r="F970">
        <f>IF('STATE-OWNED CREDITORS'!$V$63="","",'STATE-OWNED CREDITORS'!$V$63)</f>
        <v/>
      </c>
      <c r="G970">
        <f>IF('STATE-OWNED CREDITORS'!$D$63="","",'STATE-OWNED CREDITORS'!$D$63)</f>
        <v/>
      </c>
      <c r="H970">
        <f>IF('STATE-OWNED CREDITORS'!$G$63="","",'STATE-OWNED CREDITORS'!$G$63)</f>
        <v/>
      </c>
      <c r="I970">
        <f>IF('STATE-OWNED CREDITORS'!$AY$63="","",'STATE-OWNED CREDITORS'!$AY$63)</f>
        <v/>
      </c>
      <c r="J970">
        <f>IF('STATE-OWNED CREDITORS'!$BC$63="","",'STATE-OWNED CREDITORS'!$BC$63)</f>
        <v/>
      </c>
      <c r="K970">
        <f>IF('STATE-OWNED CREDITORS'!$N$63="","",'STATE-OWNED CREDITORS'!$N$63)</f>
        <v/>
      </c>
      <c r="L970">
        <f>IF('STATE-OWNED CREDITORS'!$AH$63="","",'STATE-OWNED CREDITORS'!$AH$63)</f>
        <v/>
      </c>
      <c r="M970">
        <f>IF('STATE-OWNED CREDITORS'!$AO$63="","",'STATE-OWNED CREDITORS'!$AO$63)</f>
        <v/>
      </c>
      <c r="N970">
        <f>IF('STATE-OWNED CREDITORS'!$BF$63="","",'STATE-OWNED CREDITORS'!$BF$63)</f>
        <v/>
      </c>
      <c r="O970" t="inlineStr">
        <is>
          <t>STATE-OWNED</t>
        </is>
      </c>
      <c r="P970" t="inlineStr">
        <is>
          <t>STATE-OWNED CREDITORS · row 63</t>
        </is>
      </c>
      <c r="Q970">
        <f>E970+ROW()*0.000000001</f>
        <v/>
      </c>
    </row>
    <row r="971">
      <c r="A971">
        <f>IF('STATE-OWNED CREDITORS'!$A$64="","",'STATE-OWNED CREDITORS'!$A$64)</f>
        <v/>
      </c>
      <c r="B971">
        <f>IF('STATE-OWNED CREDITORS'!$C$64="","",'STATE-OWNED CREDITORS'!$C$64)</f>
        <v/>
      </c>
      <c r="C971">
        <f>'STATE-OWNED CREDITORS'!$U$64</f>
        <v/>
      </c>
      <c r="D971">
        <f>'STATE-OWNED CREDITORS'!$AB$64</f>
        <v/>
      </c>
      <c r="E971">
        <f>'STATE-OWNED CREDITORS'!$AF$64</f>
        <v/>
      </c>
      <c r="F971">
        <f>IF('STATE-OWNED CREDITORS'!$V$64="","",'STATE-OWNED CREDITORS'!$V$64)</f>
        <v/>
      </c>
      <c r="G971">
        <f>IF('STATE-OWNED CREDITORS'!$D$64="","",'STATE-OWNED CREDITORS'!$D$64)</f>
        <v/>
      </c>
      <c r="H971">
        <f>IF('STATE-OWNED CREDITORS'!$G$64="","",'STATE-OWNED CREDITORS'!$G$64)</f>
        <v/>
      </c>
      <c r="I971">
        <f>IF('STATE-OWNED CREDITORS'!$AY$64="","",'STATE-OWNED CREDITORS'!$AY$64)</f>
        <v/>
      </c>
      <c r="J971">
        <f>IF('STATE-OWNED CREDITORS'!$BC$64="","",'STATE-OWNED CREDITORS'!$BC$64)</f>
        <v/>
      </c>
      <c r="K971">
        <f>IF('STATE-OWNED CREDITORS'!$N$64="","",'STATE-OWNED CREDITORS'!$N$64)</f>
        <v/>
      </c>
      <c r="L971">
        <f>IF('STATE-OWNED CREDITORS'!$AH$64="","",'STATE-OWNED CREDITORS'!$AH$64)</f>
        <v/>
      </c>
      <c r="M971">
        <f>IF('STATE-OWNED CREDITORS'!$AO$64="","",'STATE-OWNED CREDITORS'!$AO$64)</f>
        <v/>
      </c>
      <c r="N971">
        <f>IF('STATE-OWNED CREDITORS'!$BF$64="","",'STATE-OWNED CREDITORS'!$BF$64)</f>
        <v/>
      </c>
      <c r="O971" t="inlineStr">
        <is>
          <t>STATE-OWNED</t>
        </is>
      </c>
      <c r="P971" t="inlineStr">
        <is>
          <t>STATE-OWNED CREDITORS · row 64</t>
        </is>
      </c>
      <c r="Q971">
        <f>E971+ROW()*0.000000001</f>
        <v/>
      </c>
    </row>
    <row r="972">
      <c r="A972">
        <f>IF('STATE-OWNED CREDITORS'!$A$65="","",'STATE-OWNED CREDITORS'!$A$65)</f>
        <v/>
      </c>
      <c r="B972">
        <f>IF('STATE-OWNED CREDITORS'!$C$65="","",'STATE-OWNED CREDITORS'!$C$65)</f>
        <v/>
      </c>
      <c r="C972">
        <f>'STATE-OWNED CREDITORS'!$U$65</f>
        <v/>
      </c>
      <c r="D972">
        <f>'STATE-OWNED CREDITORS'!$AB$65</f>
        <v/>
      </c>
      <c r="E972">
        <f>'STATE-OWNED CREDITORS'!$AF$65</f>
        <v/>
      </c>
      <c r="F972">
        <f>IF('STATE-OWNED CREDITORS'!$V$65="","",'STATE-OWNED CREDITORS'!$V$65)</f>
        <v/>
      </c>
      <c r="G972">
        <f>IF('STATE-OWNED CREDITORS'!$D$65="","",'STATE-OWNED CREDITORS'!$D$65)</f>
        <v/>
      </c>
      <c r="H972">
        <f>IF('STATE-OWNED CREDITORS'!$G$65="","",'STATE-OWNED CREDITORS'!$G$65)</f>
        <v/>
      </c>
      <c r="I972">
        <f>IF('STATE-OWNED CREDITORS'!$AY$65="","",'STATE-OWNED CREDITORS'!$AY$65)</f>
        <v/>
      </c>
      <c r="J972">
        <f>IF('STATE-OWNED CREDITORS'!$BC$65="","",'STATE-OWNED CREDITORS'!$BC$65)</f>
        <v/>
      </c>
      <c r="K972">
        <f>IF('STATE-OWNED CREDITORS'!$N$65="","",'STATE-OWNED CREDITORS'!$N$65)</f>
        <v/>
      </c>
      <c r="L972">
        <f>IF('STATE-OWNED CREDITORS'!$AH$65="","",'STATE-OWNED CREDITORS'!$AH$65)</f>
        <v/>
      </c>
      <c r="M972">
        <f>IF('STATE-OWNED CREDITORS'!$AO$65="","",'STATE-OWNED CREDITORS'!$AO$65)</f>
        <v/>
      </c>
      <c r="N972">
        <f>IF('STATE-OWNED CREDITORS'!$BF$65="","",'STATE-OWNED CREDITORS'!$BF$65)</f>
        <v/>
      </c>
      <c r="O972" t="inlineStr">
        <is>
          <t>STATE-OWNED</t>
        </is>
      </c>
      <c r="P972" t="inlineStr">
        <is>
          <t>STATE-OWNED CREDITORS · row 65</t>
        </is>
      </c>
      <c r="Q972">
        <f>E972+ROW()*0.000000001</f>
        <v/>
      </c>
    </row>
    <row r="973">
      <c r="A973">
        <f>IF('STATE-OWNED CREDITORS'!$A$66="","",'STATE-OWNED CREDITORS'!$A$66)</f>
        <v/>
      </c>
      <c r="B973">
        <f>IF('STATE-OWNED CREDITORS'!$C$66="","",'STATE-OWNED CREDITORS'!$C$66)</f>
        <v/>
      </c>
      <c r="C973">
        <f>'STATE-OWNED CREDITORS'!$U$66</f>
        <v/>
      </c>
      <c r="D973">
        <f>'STATE-OWNED CREDITORS'!$AB$66</f>
        <v/>
      </c>
      <c r="E973">
        <f>'STATE-OWNED CREDITORS'!$AF$66</f>
        <v/>
      </c>
      <c r="F973">
        <f>IF('STATE-OWNED CREDITORS'!$V$66="","",'STATE-OWNED CREDITORS'!$V$66)</f>
        <v/>
      </c>
      <c r="G973">
        <f>IF('STATE-OWNED CREDITORS'!$D$66="","",'STATE-OWNED CREDITORS'!$D$66)</f>
        <v/>
      </c>
      <c r="H973">
        <f>IF('STATE-OWNED CREDITORS'!$G$66="","",'STATE-OWNED CREDITORS'!$G$66)</f>
        <v/>
      </c>
      <c r="I973">
        <f>IF('STATE-OWNED CREDITORS'!$AY$66="","",'STATE-OWNED CREDITORS'!$AY$66)</f>
        <v/>
      </c>
      <c r="J973">
        <f>IF('STATE-OWNED CREDITORS'!$BC$66="","",'STATE-OWNED CREDITORS'!$BC$66)</f>
        <v/>
      </c>
      <c r="K973">
        <f>IF('STATE-OWNED CREDITORS'!$N$66="","",'STATE-OWNED CREDITORS'!$N$66)</f>
        <v/>
      </c>
      <c r="L973">
        <f>IF('STATE-OWNED CREDITORS'!$AH$66="","",'STATE-OWNED CREDITORS'!$AH$66)</f>
        <v/>
      </c>
      <c r="M973">
        <f>IF('STATE-OWNED CREDITORS'!$AO$66="","",'STATE-OWNED CREDITORS'!$AO$66)</f>
        <v/>
      </c>
      <c r="N973">
        <f>IF('STATE-OWNED CREDITORS'!$BF$66="","",'STATE-OWNED CREDITORS'!$BF$66)</f>
        <v/>
      </c>
      <c r="O973" t="inlineStr">
        <is>
          <t>STATE-OWNED</t>
        </is>
      </c>
      <c r="P973" t="inlineStr">
        <is>
          <t>STATE-OWNED CREDITORS · row 66</t>
        </is>
      </c>
      <c r="Q973">
        <f>E973+ROW()*0.000000001</f>
        <v/>
      </c>
    </row>
    <row r="974">
      <c r="A974">
        <f>IF('STATE-OWNED CREDITORS'!$A$67="","",'STATE-OWNED CREDITORS'!$A$67)</f>
        <v/>
      </c>
      <c r="B974">
        <f>IF('STATE-OWNED CREDITORS'!$C$67="","",'STATE-OWNED CREDITORS'!$C$67)</f>
        <v/>
      </c>
      <c r="C974">
        <f>'STATE-OWNED CREDITORS'!$U$67</f>
        <v/>
      </c>
      <c r="D974">
        <f>'STATE-OWNED CREDITORS'!$AB$67</f>
        <v/>
      </c>
      <c r="E974">
        <f>'STATE-OWNED CREDITORS'!$AF$67</f>
        <v/>
      </c>
      <c r="F974">
        <f>IF('STATE-OWNED CREDITORS'!$V$67="","",'STATE-OWNED CREDITORS'!$V$67)</f>
        <v/>
      </c>
      <c r="G974">
        <f>IF('STATE-OWNED CREDITORS'!$D$67="","",'STATE-OWNED CREDITORS'!$D$67)</f>
        <v/>
      </c>
      <c r="H974">
        <f>IF('STATE-OWNED CREDITORS'!$G$67="","",'STATE-OWNED CREDITORS'!$G$67)</f>
        <v/>
      </c>
      <c r="I974">
        <f>IF('STATE-OWNED CREDITORS'!$AY$67="","",'STATE-OWNED CREDITORS'!$AY$67)</f>
        <v/>
      </c>
      <c r="J974">
        <f>IF('STATE-OWNED CREDITORS'!$BC$67="","",'STATE-OWNED CREDITORS'!$BC$67)</f>
        <v/>
      </c>
      <c r="K974">
        <f>IF('STATE-OWNED CREDITORS'!$N$67="","",'STATE-OWNED CREDITORS'!$N$67)</f>
        <v/>
      </c>
      <c r="L974">
        <f>IF('STATE-OWNED CREDITORS'!$AH$67="","",'STATE-OWNED CREDITORS'!$AH$67)</f>
        <v/>
      </c>
      <c r="M974">
        <f>IF('STATE-OWNED CREDITORS'!$AO$67="","",'STATE-OWNED CREDITORS'!$AO$67)</f>
        <v/>
      </c>
      <c r="N974">
        <f>IF('STATE-OWNED CREDITORS'!$BF$67="","",'STATE-OWNED CREDITORS'!$BF$67)</f>
        <v/>
      </c>
      <c r="O974" t="inlineStr">
        <is>
          <t>STATE-OWNED</t>
        </is>
      </c>
      <c r="P974" t="inlineStr">
        <is>
          <t>STATE-OWNED CREDITORS · row 67</t>
        </is>
      </c>
      <c r="Q974">
        <f>E974+ROW()*0.000000001</f>
        <v/>
      </c>
    </row>
    <row r="975">
      <c r="A975">
        <f>IF('STATE-OWNED CREDITORS'!$A$68="","",'STATE-OWNED CREDITORS'!$A$68)</f>
        <v/>
      </c>
      <c r="B975">
        <f>IF('STATE-OWNED CREDITORS'!$C$68="","",'STATE-OWNED CREDITORS'!$C$68)</f>
        <v/>
      </c>
      <c r="C975">
        <f>'STATE-OWNED CREDITORS'!$U$68</f>
        <v/>
      </c>
      <c r="D975">
        <f>'STATE-OWNED CREDITORS'!$AB$68</f>
        <v/>
      </c>
      <c r="E975">
        <f>'STATE-OWNED CREDITORS'!$AF$68</f>
        <v/>
      </c>
      <c r="F975">
        <f>IF('STATE-OWNED CREDITORS'!$V$68="","",'STATE-OWNED CREDITORS'!$V$68)</f>
        <v/>
      </c>
      <c r="G975">
        <f>IF('STATE-OWNED CREDITORS'!$D$68="","",'STATE-OWNED CREDITORS'!$D$68)</f>
        <v/>
      </c>
      <c r="H975">
        <f>IF('STATE-OWNED CREDITORS'!$G$68="","",'STATE-OWNED CREDITORS'!$G$68)</f>
        <v/>
      </c>
      <c r="I975">
        <f>IF('STATE-OWNED CREDITORS'!$AY$68="","",'STATE-OWNED CREDITORS'!$AY$68)</f>
        <v/>
      </c>
      <c r="J975">
        <f>IF('STATE-OWNED CREDITORS'!$BC$68="","",'STATE-OWNED CREDITORS'!$BC$68)</f>
        <v/>
      </c>
      <c r="K975">
        <f>IF('STATE-OWNED CREDITORS'!$N$68="","",'STATE-OWNED CREDITORS'!$N$68)</f>
        <v/>
      </c>
      <c r="L975">
        <f>IF('STATE-OWNED CREDITORS'!$AH$68="","",'STATE-OWNED CREDITORS'!$AH$68)</f>
        <v/>
      </c>
      <c r="M975">
        <f>IF('STATE-OWNED CREDITORS'!$AO$68="","",'STATE-OWNED CREDITORS'!$AO$68)</f>
        <v/>
      </c>
      <c r="N975">
        <f>IF('STATE-OWNED CREDITORS'!$BF$68="","",'STATE-OWNED CREDITORS'!$BF$68)</f>
        <v/>
      </c>
      <c r="O975" t="inlineStr">
        <is>
          <t>STATE-OWNED</t>
        </is>
      </c>
      <c r="P975" t="inlineStr">
        <is>
          <t>STATE-OWNED CREDITORS · row 68</t>
        </is>
      </c>
      <c r="Q975">
        <f>E975+ROW()*0.000000001</f>
        <v/>
      </c>
    </row>
    <row r="976">
      <c r="A976">
        <f>IF('STATE-OWNED CREDITORS'!$A$69="","",'STATE-OWNED CREDITORS'!$A$69)</f>
        <v/>
      </c>
      <c r="B976">
        <f>IF('STATE-OWNED CREDITORS'!$C$69="","",'STATE-OWNED CREDITORS'!$C$69)</f>
        <v/>
      </c>
      <c r="C976">
        <f>'STATE-OWNED CREDITORS'!$U$69</f>
        <v/>
      </c>
      <c r="D976">
        <f>'STATE-OWNED CREDITORS'!$AB$69</f>
        <v/>
      </c>
      <c r="E976">
        <f>'STATE-OWNED CREDITORS'!$AF$69</f>
        <v/>
      </c>
      <c r="F976">
        <f>IF('STATE-OWNED CREDITORS'!$V$69="","",'STATE-OWNED CREDITORS'!$V$69)</f>
        <v/>
      </c>
      <c r="G976">
        <f>IF('STATE-OWNED CREDITORS'!$D$69="","",'STATE-OWNED CREDITORS'!$D$69)</f>
        <v/>
      </c>
      <c r="H976">
        <f>IF('STATE-OWNED CREDITORS'!$G$69="","",'STATE-OWNED CREDITORS'!$G$69)</f>
        <v/>
      </c>
      <c r="I976">
        <f>IF('STATE-OWNED CREDITORS'!$AY$69="","",'STATE-OWNED CREDITORS'!$AY$69)</f>
        <v/>
      </c>
      <c r="J976">
        <f>IF('STATE-OWNED CREDITORS'!$BC$69="","",'STATE-OWNED CREDITORS'!$BC$69)</f>
        <v/>
      </c>
      <c r="K976">
        <f>IF('STATE-OWNED CREDITORS'!$N$69="","",'STATE-OWNED CREDITORS'!$N$69)</f>
        <v/>
      </c>
      <c r="L976">
        <f>IF('STATE-OWNED CREDITORS'!$AH$69="","",'STATE-OWNED CREDITORS'!$AH$69)</f>
        <v/>
      </c>
      <c r="M976">
        <f>IF('STATE-OWNED CREDITORS'!$AO$69="","",'STATE-OWNED CREDITORS'!$AO$69)</f>
        <v/>
      </c>
      <c r="N976">
        <f>IF('STATE-OWNED CREDITORS'!$BF$69="","",'STATE-OWNED CREDITORS'!$BF$69)</f>
        <v/>
      </c>
      <c r="O976" t="inlineStr">
        <is>
          <t>STATE-OWNED</t>
        </is>
      </c>
      <c r="P976" t="inlineStr">
        <is>
          <t>STATE-OWNED CREDITORS · row 69</t>
        </is>
      </c>
      <c r="Q976">
        <f>E976+ROW()*0.000000001</f>
        <v/>
      </c>
    </row>
    <row r="977">
      <c r="A977">
        <f>IF('STATE-OWNED CREDITORS'!$A$70="","",'STATE-OWNED CREDITORS'!$A$70)</f>
        <v/>
      </c>
      <c r="B977">
        <f>IF('STATE-OWNED CREDITORS'!$C$70="","",'STATE-OWNED CREDITORS'!$C$70)</f>
        <v/>
      </c>
      <c r="C977">
        <f>'STATE-OWNED CREDITORS'!$U$70</f>
        <v/>
      </c>
      <c r="D977">
        <f>'STATE-OWNED CREDITORS'!$AB$70</f>
        <v/>
      </c>
      <c r="E977">
        <f>'STATE-OWNED CREDITORS'!$AF$70</f>
        <v/>
      </c>
      <c r="F977">
        <f>IF('STATE-OWNED CREDITORS'!$V$70="","",'STATE-OWNED CREDITORS'!$V$70)</f>
        <v/>
      </c>
      <c r="G977">
        <f>IF('STATE-OWNED CREDITORS'!$D$70="","",'STATE-OWNED CREDITORS'!$D$70)</f>
        <v/>
      </c>
      <c r="H977">
        <f>IF('STATE-OWNED CREDITORS'!$G$70="","",'STATE-OWNED CREDITORS'!$G$70)</f>
        <v/>
      </c>
      <c r="I977">
        <f>IF('STATE-OWNED CREDITORS'!$AY$70="","",'STATE-OWNED CREDITORS'!$AY$70)</f>
        <v/>
      </c>
      <c r="J977">
        <f>IF('STATE-OWNED CREDITORS'!$BC$70="","",'STATE-OWNED CREDITORS'!$BC$70)</f>
        <v/>
      </c>
      <c r="K977">
        <f>IF('STATE-OWNED CREDITORS'!$N$70="","",'STATE-OWNED CREDITORS'!$N$70)</f>
        <v/>
      </c>
      <c r="L977">
        <f>IF('STATE-OWNED CREDITORS'!$AH$70="","",'STATE-OWNED CREDITORS'!$AH$70)</f>
        <v/>
      </c>
      <c r="M977">
        <f>IF('STATE-OWNED CREDITORS'!$AO$70="","",'STATE-OWNED CREDITORS'!$AO$70)</f>
        <v/>
      </c>
      <c r="N977">
        <f>IF('STATE-OWNED CREDITORS'!$BF$70="","",'STATE-OWNED CREDITORS'!$BF$70)</f>
        <v/>
      </c>
      <c r="O977" t="inlineStr">
        <is>
          <t>STATE-OWNED</t>
        </is>
      </c>
      <c r="P977" t="inlineStr">
        <is>
          <t>STATE-OWNED CREDITORS · row 70</t>
        </is>
      </c>
      <c r="Q977">
        <f>E977+ROW()*0.000000001</f>
        <v/>
      </c>
    </row>
    <row r="978">
      <c r="A978">
        <f>IF('STATE-OWNED CREDITORS'!$A$71="","",'STATE-OWNED CREDITORS'!$A$71)</f>
        <v/>
      </c>
      <c r="B978">
        <f>IF('STATE-OWNED CREDITORS'!$C$71="","",'STATE-OWNED CREDITORS'!$C$71)</f>
        <v/>
      </c>
      <c r="C978">
        <f>'STATE-OWNED CREDITORS'!$U$71</f>
        <v/>
      </c>
      <c r="D978">
        <f>'STATE-OWNED CREDITORS'!$AB$71</f>
        <v/>
      </c>
      <c r="E978">
        <f>'STATE-OWNED CREDITORS'!$AF$71</f>
        <v/>
      </c>
      <c r="F978">
        <f>IF('STATE-OWNED CREDITORS'!$V$71="","",'STATE-OWNED CREDITORS'!$V$71)</f>
        <v/>
      </c>
      <c r="G978">
        <f>IF('STATE-OWNED CREDITORS'!$D$71="","",'STATE-OWNED CREDITORS'!$D$71)</f>
        <v/>
      </c>
      <c r="H978">
        <f>IF('STATE-OWNED CREDITORS'!$G$71="","",'STATE-OWNED CREDITORS'!$G$71)</f>
        <v/>
      </c>
      <c r="I978">
        <f>IF('STATE-OWNED CREDITORS'!$AY$71="","",'STATE-OWNED CREDITORS'!$AY$71)</f>
        <v/>
      </c>
      <c r="J978">
        <f>IF('STATE-OWNED CREDITORS'!$BC$71="","",'STATE-OWNED CREDITORS'!$BC$71)</f>
        <v/>
      </c>
      <c r="K978">
        <f>IF('STATE-OWNED CREDITORS'!$N$71="","",'STATE-OWNED CREDITORS'!$N$71)</f>
        <v/>
      </c>
      <c r="L978">
        <f>IF('STATE-OWNED CREDITORS'!$AH$71="","",'STATE-OWNED CREDITORS'!$AH$71)</f>
        <v/>
      </c>
      <c r="M978">
        <f>IF('STATE-OWNED CREDITORS'!$AO$71="","",'STATE-OWNED CREDITORS'!$AO$71)</f>
        <v/>
      </c>
      <c r="N978">
        <f>IF('STATE-OWNED CREDITORS'!$BF$71="","",'STATE-OWNED CREDITORS'!$BF$71)</f>
        <v/>
      </c>
      <c r="O978" t="inlineStr">
        <is>
          <t>STATE-OWNED</t>
        </is>
      </c>
      <c r="P978" t="inlineStr">
        <is>
          <t>STATE-OWNED CREDITORS · row 71</t>
        </is>
      </c>
      <c r="Q978">
        <f>E978+ROW()*0.000000001</f>
        <v/>
      </c>
    </row>
    <row r="979">
      <c r="A979">
        <f>IF('STATE-OWNED CREDITORS'!$A$72="","",'STATE-OWNED CREDITORS'!$A$72)</f>
        <v/>
      </c>
      <c r="B979">
        <f>IF('STATE-OWNED CREDITORS'!$C$72="","",'STATE-OWNED CREDITORS'!$C$72)</f>
        <v/>
      </c>
      <c r="C979">
        <f>'STATE-OWNED CREDITORS'!$U$72</f>
        <v/>
      </c>
      <c r="D979">
        <f>'STATE-OWNED CREDITORS'!$AB$72</f>
        <v/>
      </c>
      <c r="E979">
        <f>'STATE-OWNED CREDITORS'!$AF$72</f>
        <v/>
      </c>
      <c r="F979">
        <f>IF('STATE-OWNED CREDITORS'!$V$72="","",'STATE-OWNED CREDITORS'!$V$72)</f>
        <v/>
      </c>
      <c r="G979">
        <f>IF('STATE-OWNED CREDITORS'!$D$72="","",'STATE-OWNED CREDITORS'!$D$72)</f>
        <v/>
      </c>
      <c r="H979">
        <f>IF('STATE-OWNED CREDITORS'!$G$72="","",'STATE-OWNED CREDITORS'!$G$72)</f>
        <v/>
      </c>
      <c r="I979">
        <f>IF('STATE-OWNED CREDITORS'!$AY$72="","",'STATE-OWNED CREDITORS'!$AY$72)</f>
        <v/>
      </c>
      <c r="J979">
        <f>IF('STATE-OWNED CREDITORS'!$BC$72="","",'STATE-OWNED CREDITORS'!$BC$72)</f>
        <v/>
      </c>
      <c r="K979">
        <f>IF('STATE-OWNED CREDITORS'!$N$72="","",'STATE-OWNED CREDITORS'!$N$72)</f>
        <v/>
      </c>
      <c r="L979">
        <f>IF('STATE-OWNED CREDITORS'!$AH$72="","",'STATE-OWNED CREDITORS'!$AH$72)</f>
        <v/>
      </c>
      <c r="M979">
        <f>IF('STATE-OWNED CREDITORS'!$AO$72="","",'STATE-OWNED CREDITORS'!$AO$72)</f>
        <v/>
      </c>
      <c r="N979">
        <f>IF('STATE-OWNED CREDITORS'!$BF$72="","",'STATE-OWNED CREDITORS'!$BF$72)</f>
        <v/>
      </c>
      <c r="O979" t="inlineStr">
        <is>
          <t>STATE-OWNED</t>
        </is>
      </c>
      <c r="P979" t="inlineStr">
        <is>
          <t>STATE-OWNED CREDITORS · row 72</t>
        </is>
      </c>
      <c r="Q979">
        <f>E979+ROW()*0.000000001</f>
        <v/>
      </c>
    </row>
    <row r="980">
      <c r="A980">
        <f>IF('STATE-OWNED CREDITORS'!$A$73="","",'STATE-OWNED CREDITORS'!$A$73)</f>
        <v/>
      </c>
      <c r="B980">
        <f>IF('STATE-OWNED CREDITORS'!$C$73="","",'STATE-OWNED CREDITORS'!$C$73)</f>
        <v/>
      </c>
      <c r="C980">
        <f>'STATE-OWNED CREDITORS'!$U$73</f>
        <v/>
      </c>
      <c r="D980">
        <f>'STATE-OWNED CREDITORS'!$AB$73</f>
        <v/>
      </c>
      <c r="E980">
        <f>'STATE-OWNED CREDITORS'!$AF$73</f>
        <v/>
      </c>
      <c r="F980">
        <f>IF('STATE-OWNED CREDITORS'!$V$73="","",'STATE-OWNED CREDITORS'!$V$73)</f>
        <v/>
      </c>
      <c r="G980">
        <f>IF('STATE-OWNED CREDITORS'!$D$73="","",'STATE-OWNED CREDITORS'!$D$73)</f>
        <v/>
      </c>
      <c r="H980">
        <f>IF('STATE-OWNED CREDITORS'!$G$73="","",'STATE-OWNED CREDITORS'!$G$73)</f>
        <v/>
      </c>
      <c r="I980">
        <f>IF('STATE-OWNED CREDITORS'!$AY$73="","",'STATE-OWNED CREDITORS'!$AY$73)</f>
        <v/>
      </c>
      <c r="J980">
        <f>IF('STATE-OWNED CREDITORS'!$BC$73="","",'STATE-OWNED CREDITORS'!$BC$73)</f>
        <v/>
      </c>
      <c r="K980">
        <f>IF('STATE-OWNED CREDITORS'!$N$73="","",'STATE-OWNED CREDITORS'!$N$73)</f>
        <v/>
      </c>
      <c r="L980">
        <f>IF('STATE-OWNED CREDITORS'!$AH$73="","",'STATE-OWNED CREDITORS'!$AH$73)</f>
        <v/>
      </c>
      <c r="M980">
        <f>IF('STATE-OWNED CREDITORS'!$AO$73="","",'STATE-OWNED CREDITORS'!$AO$73)</f>
        <v/>
      </c>
      <c r="N980">
        <f>IF('STATE-OWNED CREDITORS'!$BF$73="","",'STATE-OWNED CREDITORS'!$BF$73)</f>
        <v/>
      </c>
      <c r="O980" t="inlineStr">
        <is>
          <t>STATE-OWNED</t>
        </is>
      </c>
      <c r="P980" t="inlineStr">
        <is>
          <t>STATE-OWNED CREDITORS · row 73</t>
        </is>
      </c>
      <c r="Q980">
        <f>E980+ROW()*0.000000001</f>
        <v/>
      </c>
    </row>
    <row r="981">
      <c r="A981">
        <f>IF('STATE-OWNED CREDITORS'!$A$74="","",'STATE-OWNED CREDITORS'!$A$74)</f>
        <v/>
      </c>
      <c r="B981">
        <f>IF('STATE-OWNED CREDITORS'!$C$74="","",'STATE-OWNED CREDITORS'!$C$74)</f>
        <v/>
      </c>
      <c r="C981">
        <f>'STATE-OWNED CREDITORS'!$U$74</f>
        <v/>
      </c>
      <c r="D981">
        <f>'STATE-OWNED CREDITORS'!$AB$74</f>
        <v/>
      </c>
      <c r="E981">
        <f>'STATE-OWNED CREDITORS'!$AF$74</f>
        <v/>
      </c>
      <c r="F981">
        <f>IF('STATE-OWNED CREDITORS'!$V$74="","",'STATE-OWNED CREDITORS'!$V$74)</f>
        <v/>
      </c>
      <c r="G981">
        <f>IF('STATE-OWNED CREDITORS'!$D$74="","",'STATE-OWNED CREDITORS'!$D$74)</f>
        <v/>
      </c>
      <c r="H981">
        <f>IF('STATE-OWNED CREDITORS'!$G$74="","",'STATE-OWNED CREDITORS'!$G$74)</f>
        <v/>
      </c>
      <c r="I981">
        <f>IF('STATE-OWNED CREDITORS'!$AY$74="","",'STATE-OWNED CREDITORS'!$AY$74)</f>
        <v/>
      </c>
      <c r="J981">
        <f>IF('STATE-OWNED CREDITORS'!$BC$74="","",'STATE-OWNED CREDITORS'!$BC$74)</f>
        <v/>
      </c>
      <c r="K981">
        <f>IF('STATE-OWNED CREDITORS'!$N$74="","",'STATE-OWNED CREDITORS'!$N$74)</f>
        <v/>
      </c>
      <c r="L981">
        <f>IF('STATE-OWNED CREDITORS'!$AH$74="","",'STATE-OWNED CREDITORS'!$AH$74)</f>
        <v/>
      </c>
      <c r="M981">
        <f>IF('STATE-OWNED CREDITORS'!$AO$74="","",'STATE-OWNED CREDITORS'!$AO$74)</f>
        <v/>
      </c>
      <c r="N981">
        <f>IF('STATE-OWNED CREDITORS'!$BF$74="","",'STATE-OWNED CREDITORS'!$BF$74)</f>
        <v/>
      </c>
      <c r="O981" t="inlineStr">
        <is>
          <t>STATE-OWNED</t>
        </is>
      </c>
      <c r="P981" t="inlineStr">
        <is>
          <t>STATE-OWNED CREDITORS · row 74</t>
        </is>
      </c>
      <c r="Q981">
        <f>E981+ROW()*0.000000001</f>
        <v/>
      </c>
    </row>
    <row r="982">
      <c r="A982">
        <f>IF('STATE-OWNED CREDITORS'!$A$75="","",'STATE-OWNED CREDITORS'!$A$75)</f>
        <v/>
      </c>
      <c r="B982">
        <f>IF('STATE-OWNED CREDITORS'!$C$75="","",'STATE-OWNED CREDITORS'!$C$75)</f>
        <v/>
      </c>
      <c r="C982">
        <f>'STATE-OWNED CREDITORS'!$U$75</f>
        <v/>
      </c>
      <c r="D982">
        <f>'STATE-OWNED CREDITORS'!$AB$75</f>
        <v/>
      </c>
      <c r="E982">
        <f>'STATE-OWNED CREDITORS'!$AF$75</f>
        <v/>
      </c>
      <c r="F982">
        <f>IF('STATE-OWNED CREDITORS'!$V$75="","",'STATE-OWNED CREDITORS'!$V$75)</f>
        <v/>
      </c>
      <c r="G982">
        <f>IF('STATE-OWNED CREDITORS'!$D$75="","",'STATE-OWNED CREDITORS'!$D$75)</f>
        <v/>
      </c>
      <c r="H982">
        <f>IF('STATE-OWNED CREDITORS'!$G$75="","",'STATE-OWNED CREDITORS'!$G$75)</f>
        <v/>
      </c>
      <c r="I982">
        <f>IF('STATE-OWNED CREDITORS'!$AY$75="","",'STATE-OWNED CREDITORS'!$AY$75)</f>
        <v/>
      </c>
      <c r="J982">
        <f>IF('STATE-OWNED CREDITORS'!$BC$75="","",'STATE-OWNED CREDITORS'!$BC$75)</f>
        <v/>
      </c>
      <c r="K982">
        <f>IF('STATE-OWNED CREDITORS'!$N$75="","",'STATE-OWNED CREDITORS'!$N$75)</f>
        <v/>
      </c>
      <c r="L982">
        <f>IF('STATE-OWNED CREDITORS'!$AH$75="","",'STATE-OWNED CREDITORS'!$AH$75)</f>
        <v/>
      </c>
      <c r="M982">
        <f>IF('STATE-OWNED CREDITORS'!$AO$75="","",'STATE-OWNED CREDITORS'!$AO$75)</f>
        <v/>
      </c>
      <c r="N982">
        <f>IF('STATE-OWNED CREDITORS'!$BF$75="","",'STATE-OWNED CREDITORS'!$BF$75)</f>
        <v/>
      </c>
      <c r="O982" t="inlineStr">
        <is>
          <t>STATE-OWNED</t>
        </is>
      </c>
      <c r="P982" t="inlineStr">
        <is>
          <t>STATE-OWNED CREDITORS · row 75</t>
        </is>
      </c>
      <c r="Q982">
        <f>E982+ROW()*0.000000001</f>
        <v/>
      </c>
    </row>
    <row r="983">
      <c r="A983">
        <f>IF('STATE-OWNED CREDITORS'!$A$76="","",'STATE-OWNED CREDITORS'!$A$76)</f>
        <v/>
      </c>
      <c r="B983">
        <f>IF('STATE-OWNED CREDITORS'!$C$76="","",'STATE-OWNED CREDITORS'!$C$76)</f>
        <v/>
      </c>
      <c r="C983">
        <f>'STATE-OWNED CREDITORS'!$U$76</f>
        <v/>
      </c>
      <c r="D983">
        <f>'STATE-OWNED CREDITORS'!$AB$76</f>
        <v/>
      </c>
      <c r="E983">
        <f>'STATE-OWNED CREDITORS'!$AF$76</f>
        <v/>
      </c>
      <c r="F983">
        <f>IF('STATE-OWNED CREDITORS'!$V$76="","",'STATE-OWNED CREDITORS'!$V$76)</f>
        <v/>
      </c>
      <c r="G983">
        <f>IF('STATE-OWNED CREDITORS'!$D$76="","",'STATE-OWNED CREDITORS'!$D$76)</f>
        <v/>
      </c>
      <c r="H983">
        <f>IF('STATE-OWNED CREDITORS'!$G$76="","",'STATE-OWNED CREDITORS'!$G$76)</f>
        <v/>
      </c>
      <c r="I983">
        <f>IF('STATE-OWNED CREDITORS'!$AY$76="","",'STATE-OWNED CREDITORS'!$AY$76)</f>
        <v/>
      </c>
      <c r="J983">
        <f>IF('STATE-OWNED CREDITORS'!$BC$76="","",'STATE-OWNED CREDITORS'!$BC$76)</f>
        <v/>
      </c>
      <c r="K983">
        <f>IF('STATE-OWNED CREDITORS'!$N$76="","",'STATE-OWNED CREDITORS'!$N$76)</f>
        <v/>
      </c>
      <c r="L983">
        <f>IF('STATE-OWNED CREDITORS'!$AH$76="","",'STATE-OWNED CREDITORS'!$AH$76)</f>
        <v/>
      </c>
      <c r="M983">
        <f>IF('STATE-OWNED CREDITORS'!$AO$76="","",'STATE-OWNED CREDITORS'!$AO$76)</f>
        <v/>
      </c>
      <c r="N983">
        <f>IF('STATE-OWNED CREDITORS'!$BF$76="","",'STATE-OWNED CREDITORS'!$BF$76)</f>
        <v/>
      </c>
      <c r="O983" t="inlineStr">
        <is>
          <t>STATE-OWNED</t>
        </is>
      </c>
      <c r="P983" t="inlineStr">
        <is>
          <t>STATE-OWNED CREDITORS · row 76</t>
        </is>
      </c>
      <c r="Q983">
        <f>E983+ROW()*0.000000001</f>
        <v/>
      </c>
    </row>
    <row r="984">
      <c r="A984">
        <f>IF('STATE-OWNED CREDITORS'!$A$77="","",'STATE-OWNED CREDITORS'!$A$77)</f>
        <v/>
      </c>
      <c r="B984">
        <f>IF('STATE-OWNED CREDITORS'!$C$77="","",'STATE-OWNED CREDITORS'!$C$77)</f>
        <v/>
      </c>
      <c r="C984">
        <f>'STATE-OWNED CREDITORS'!$U$77</f>
        <v/>
      </c>
      <c r="D984">
        <f>'STATE-OWNED CREDITORS'!$AB$77</f>
        <v/>
      </c>
      <c r="E984">
        <f>'STATE-OWNED CREDITORS'!$AF$77</f>
        <v/>
      </c>
      <c r="F984">
        <f>IF('STATE-OWNED CREDITORS'!$V$77="","",'STATE-OWNED CREDITORS'!$V$77)</f>
        <v/>
      </c>
      <c r="G984">
        <f>IF('STATE-OWNED CREDITORS'!$D$77="","",'STATE-OWNED CREDITORS'!$D$77)</f>
        <v/>
      </c>
      <c r="H984">
        <f>IF('STATE-OWNED CREDITORS'!$G$77="","",'STATE-OWNED CREDITORS'!$G$77)</f>
        <v/>
      </c>
      <c r="I984">
        <f>IF('STATE-OWNED CREDITORS'!$AY$77="","",'STATE-OWNED CREDITORS'!$AY$77)</f>
        <v/>
      </c>
      <c r="J984">
        <f>IF('STATE-OWNED CREDITORS'!$BC$77="","",'STATE-OWNED CREDITORS'!$BC$77)</f>
        <v/>
      </c>
      <c r="K984">
        <f>IF('STATE-OWNED CREDITORS'!$N$77="","",'STATE-OWNED CREDITORS'!$N$77)</f>
        <v/>
      </c>
      <c r="L984">
        <f>IF('STATE-OWNED CREDITORS'!$AH$77="","",'STATE-OWNED CREDITORS'!$AH$77)</f>
        <v/>
      </c>
      <c r="M984">
        <f>IF('STATE-OWNED CREDITORS'!$AO$77="","",'STATE-OWNED CREDITORS'!$AO$77)</f>
        <v/>
      </c>
      <c r="N984">
        <f>IF('STATE-OWNED CREDITORS'!$BF$77="","",'STATE-OWNED CREDITORS'!$BF$77)</f>
        <v/>
      </c>
      <c r="O984" t="inlineStr">
        <is>
          <t>STATE-OWNED</t>
        </is>
      </c>
      <c r="P984" t="inlineStr">
        <is>
          <t>STATE-OWNED CREDITORS · row 77</t>
        </is>
      </c>
      <c r="Q984">
        <f>E984+ROW()*0.000000001</f>
        <v/>
      </c>
    </row>
    <row r="985">
      <c r="A985">
        <f>IF('STATE-OWNED CREDITORS'!$A$78="","",'STATE-OWNED CREDITORS'!$A$78)</f>
        <v/>
      </c>
      <c r="B985">
        <f>IF('STATE-OWNED CREDITORS'!$C$78="","",'STATE-OWNED CREDITORS'!$C$78)</f>
        <v/>
      </c>
      <c r="C985">
        <f>'STATE-OWNED CREDITORS'!$U$78</f>
        <v/>
      </c>
      <c r="D985">
        <f>'STATE-OWNED CREDITORS'!$AB$78</f>
        <v/>
      </c>
      <c r="E985">
        <f>'STATE-OWNED CREDITORS'!$AF$78</f>
        <v/>
      </c>
      <c r="F985">
        <f>IF('STATE-OWNED CREDITORS'!$V$78="","",'STATE-OWNED CREDITORS'!$V$78)</f>
        <v/>
      </c>
      <c r="G985">
        <f>IF('STATE-OWNED CREDITORS'!$D$78="","",'STATE-OWNED CREDITORS'!$D$78)</f>
        <v/>
      </c>
      <c r="H985">
        <f>IF('STATE-OWNED CREDITORS'!$G$78="","",'STATE-OWNED CREDITORS'!$G$78)</f>
        <v/>
      </c>
      <c r="I985">
        <f>IF('STATE-OWNED CREDITORS'!$AY$78="","",'STATE-OWNED CREDITORS'!$AY$78)</f>
        <v/>
      </c>
      <c r="J985">
        <f>IF('STATE-OWNED CREDITORS'!$BC$78="","",'STATE-OWNED CREDITORS'!$BC$78)</f>
        <v/>
      </c>
      <c r="K985">
        <f>IF('STATE-OWNED CREDITORS'!$N$78="","",'STATE-OWNED CREDITORS'!$N$78)</f>
        <v/>
      </c>
      <c r="L985">
        <f>IF('STATE-OWNED CREDITORS'!$AH$78="","",'STATE-OWNED CREDITORS'!$AH$78)</f>
        <v/>
      </c>
      <c r="M985">
        <f>IF('STATE-OWNED CREDITORS'!$AO$78="","",'STATE-OWNED CREDITORS'!$AO$78)</f>
        <v/>
      </c>
      <c r="N985">
        <f>IF('STATE-OWNED CREDITORS'!$BF$78="","",'STATE-OWNED CREDITORS'!$BF$78)</f>
        <v/>
      </c>
      <c r="O985" t="inlineStr">
        <is>
          <t>STATE-OWNED</t>
        </is>
      </c>
      <c r="P985" t="inlineStr">
        <is>
          <t>STATE-OWNED CREDITORS · row 78</t>
        </is>
      </c>
      <c r="Q985">
        <f>E985+ROW()*0.000000001</f>
        <v/>
      </c>
    </row>
    <row r="986">
      <c r="A986">
        <f>IF('STATE-OWNED CREDITORS'!$A$79="","",'STATE-OWNED CREDITORS'!$A$79)</f>
        <v/>
      </c>
      <c r="B986">
        <f>IF('STATE-OWNED CREDITORS'!$C$79="","",'STATE-OWNED CREDITORS'!$C$79)</f>
        <v/>
      </c>
      <c r="C986">
        <f>'STATE-OWNED CREDITORS'!$U$79</f>
        <v/>
      </c>
      <c r="D986">
        <f>'STATE-OWNED CREDITORS'!$AB$79</f>
        <v/>
      </c>
      <c r="E986">
        <f>'STATE-OWNED CREDITORS'!$AF$79</f>
        <v/>
      </c>
      <c r="F986">
        <f>IF('STATE-OWNED CREDITORS'!$V$79="","",'STATE-OWNED CREDITORS'!$V$79)</f>
        <v/>
      </c>
      <c r="G986">
        <f>IF('STATE-OWNED CREDITORS'!$D$79="","",'STATE-OWNED CREDITORS'!$D$79)</f>
        <v/>
      </c>
      <c r="H986">
        <f>IF('STATE-OWNED CREDITORS'!$G$79="","",'STATE-OWNED CREDITORS'!$G$79)</f>
        <v/>
      </c>
      <c r="I986">
        <f>IF('STATE-OWNED CREDITORS'!$AY$79="","",'STATE-OWNED CREDITORS'!$AY$79)</f>
        <v/>
      </c>
      <c r="J986">
        <f>IF('STATE-OWNED CREDITORS'!$BC$79="","",'STATE-OWNED CREDITORS'!$BC$79)</f>
        <v/>
      </c>
      <c r="K986">
        <f>IF('STATE-OWNED CREDITORS'!$N$79="","",'STATE-OWNED CREDITORS'!$N$79)</f>
        <v/>
      </c>
      <c r="L986">
        <f>IF('STATE-OWNED CREDITORS'!$AH$79="","",'STATE-OWNED CREDITORS'!$AH$79)</f>
        <v/>
      </c>
      <c r="M986">
        <f>IF('STATE-OWNED CREDITORS'!$AO$79="","",'STATE-OWNED CREDITORS'!$AO$79)</f>
        <v/>
      </c>
      <c r="N986">
        <f>IF('STATE-OWNED CREDITORS'!$BF$79="","",'STATE-OWNED CREDITORS'!$BF$79)</f>
        <v/>
      </c>
      <c r="O986" t="inlineStr">
        <is>
          <t>STATE-OWNED</t>
        </is>
      </c>
      <c r="P986" t="inlineStr">
        <is>
          <t>STATE-OWNED CREDITORS · row 79</t>
        </is>
      </c>
      <c r="Q986">
        <f>E986+ROW()*0.000000001</f>
        <v/>
      </c>
    </row>
    <row r="987">
      <c r="A987">
        <f>IF('STATE-OWNED CREDITORS'!$A$80="","",'STATE-OWNED CREDITORS'!$A$80)</f>
        <v/>
      </c>
      <c r="B987">
        <f>IF('STATE-OWNED CREDITORS'!$C$80="","",'STATE-OWNED CREDITORS'!$C$80)</f>
        <v/>
      </c>
      <c r="C987">
        <f>'STATE-OWNED CREDITORS'!$U$80</f>
        <v/>
      </c>
      <c r="D987">
        <f>'STATE-OWNED CREDITORS'!$AB$80</f>
        <v/>
      </c>
      <c r="E987">
        <f>'STATE-OWNED CREDITORS'!$AF$80</f>
        <v/>
      </c>
      <c r="F987">
        <f>IF('STATE-OWNED CREDITORS'!$V$80="","",'STATE-OWNED CREDITORS'!$V$80)</f>
        <v/>
      </c>
      <c r="G987">
        <f>IF('STATE-OWNED CREDITORS'!$D$80="","",'STATE-OWNED CREDITORS'!$D$80)</f>
        <v/>
      </c>
      <c r="H987">
        <f>IF('STATE-OWNED CREDITORS'!$G$80="","",'STATE-OWNED CREDITORS'!$G$80)</f>
        <v/>
      </c>
      <c r="I987">
        <f>IF('STATE-OWNED CREDITORS'!$AY$80="","",'STATE-OWNED CREDITORS'!$AY$80)</f>
        <v/>
      </c>
      <c r="J987">
        <f>IF('STATE-OWNED CREDITORS'!$BC$80="","",'STATE-OWNED CREDITORS'!$BC$80)</f>
        <v/>
      </c>
      <c r="K987">
        <f>IF('STATE-OWNED CREDITORS'!$N$80="","",'STATE-OWNED CREDITORS'!$N$80)</f>
        <v/>
      </c>
      <c r="L987">
        <f>IF('STATE-OWNED CREDITORS'!$AH$80="","",'STATE-OWNED CREDITORS'!$AH$80)</f>
        <v/>
      </c>
      <c r="M987">
        <f>IF('STATE-OWNED CREDITORS'!$AO$80="","",'STATE-OWNED CREDITORS'!$AO$80)</f>
        <v/>
      </c>
      <c r="N987">
        <f>IF('STATE-OWNED CREDITORS'!$BF$80="","",'STATE-OWNED CREDITORS'!$BF$80)</f>
        <v/>
      </c>
      <c r="O987" t="inlineStr">
        <is>
          <t>STATE-OWNED</t>
        </is>
      </c>
      <c r="P987" t="inlineStr">
        <is>
          <t>STATE-OWNED CREDITORS · row 80</t>
        </is>
      </c>
      <c r="Q987">
        <f>E987+ROW()*0.000000001</f>
        <v/>
      </c>
    </row>
    <row r="988">
      <c r="A988">
        <f>IF('STATE-OWNED CREDITORS'!$A$81="","",'STATE-OWNED CREDITORS'!$A$81)</f>
        <v/>
      </c>
      <c r="B988">
        <f>IF('STATE-OWNED CREDITORS'!$C$81="","",'STATE-OWNED CREDITORS'!$C$81)</f>
        <v/>
      </c>
      <c r="C988">
        <f>'STATE-OWNED CREDITORS'!$U$81</f>
        <v/>
      </c>
      <c r="D988">
        <f>'STATE-OWNED CREDITORS'!$AB$81</f>
        <v/>
      </c>
      <c r="E988">
        <f>'STATE-OWNED CREDITORS'!$AF$81</f>
        <v/>
      </c>
      <c r="F988">
        <f>IF('STATE-OWNED CREDITORS'!$V$81="","",'STATE-OWNED CREDITORS'!$V$81)</f>
        <v/>
      </c>
      <c r="G988">
        <f>IF('STATE-OWNED CREDITORS'!$D$81="","",'STATE-OWNED CREDITORS'!$D$81)</f>
        <v/>
      </c>
      <c r="H988">
        <f>IF('STATE-OWNED CREDITORS'!$G$81="","",'STATE-OWNED CREDITORS'!$G$81)</f>
        <v/>
      </c>
      <c r="I988">
        <f>IF('STATE-OWNED CREDITORS'!$AY$81="","",'STATE-OWNED CREDITORS'!$AY$81)</f>
        <v/>
      </c>
      <c r="J988">
        <f>IF('STATE-OWNED CREDITORS'!$BC$81="","",'STATE-OWNED CREDITORS'!$BC$81)</f>
        <v/>
      </c>
      <c r="K988">
        <f>IF('STATE-OWNED CREDITORS'!$N$81="","",'STATE-OWNED CREDITORS'!$N$81)</f>
        <v/>
      </c>
      <c r="L988">
        <f>IF('STATE-OWNED CREDITORS'!$AH$81="","",'STATE-OWNED CREDITORS'!$AH$81)</f>
        <v/>
      </c>
      <c r="M988">
        <f>IF('STATE-OWNED CREDITORS'!$AO$81="","",'STATE-OWNED CREDITORS'!$AO$81)</f>
        <v/>
      </c>
      <c r="N988">
        <f>IF('STATE-OWNED CREDITORS'!$BF$81="","",'STATE-OWNED CREDITORS'!$BF$81)</f>
        <v/>
      </c>
      <c r="O988" t="inlineStr">
        <is>
          <t>STATE-OWNED</t>
        </is>
      </c>
      <c r="P988" t="inlineStr">
        <is>
          <t>STATE-OWNED CREDITORS · row 81</t>
        </is>
      </c>
      <c r="Q988">
        <f>E988+ROW()*0.000000001</f>
        <v/>
      </c>
    </row>
    <row r="989">
      <c r="A989">
        <f>IF('STATE-OWNED CREDITORS'!$A$82="","",'STATE-OWNED CREDITORS'!$A$82)</f>
        <v/>
      </c>
      <c r="B989">
        <f>IF('STATE-OWNED CREDITORS'!$C$82="","",'STATE-OWNED CREDITORS'!$C$82)</f>
        <v/>
      </c>
      <c r="C989">
        <f>'STATE-OWNED CREDITORS'!$U$82</f>
        <v/>
      </c>
      <c r="D989">
        <f>'STATE-OWNED CREDITORS'!$AB$82</f>
        <v/>
      </c>
      <c r="E989">
        <f>'STATE-OWNED CREDITORS'!$AF$82</f>
        <v/>
      </c>
      <c r="F989">
        <f>IF('STATE-OWNED CREDITORS'!$V$82="","",'STATE-OWNED CREDITORS'!$V$82)</f>
        <v/>
      </c>
      <c r="G989">
        <f>IF('STATE-OWNED CREDITORS'!$D$82="","",'STATE-OWNED CREDITORS'!$D$82)</f>
        <v/>
      </c>
      <c r="H989">
        <f>IF('STATE-OWNED CREDITORS'!$G$82="","",'STATE-OWNED CREDITORS'!$G$82)</f>
        <v/>
      </c>
      <c r="I989">
        <f>IF('STATE-OWNED CREDITORS'!$AY$82="","",'STATE-OWNED CREDITORS'!$AY$82)</f>
        <v/>
      </c>
      <c r="J989">
        <f>IF('STATE-OWNED CREDITORS'!$BC$82="","",'STATE-OWNED CREDITORS'!$BC$82)</f>
        <v/>
      </c>
      <c r="K989">
        <f>IF('STATE-OWNED CREDITORS'!$N$82="","",'STATE-OWNED CREDITORS'!$N$82)</f>
        <v/>
      </c>
      <c r="L989">
        <f>IF('STATE-OWNED CREDITORS'!$AH$82="","",'STATE-OWNED CREDITORS'!$AH$82)</f>
        <v/>
      </c>
      <c r="M989">
        <f>IF('STATE-OWNED CREDITORS'!$AO$82="","",'STATE-OWNED CREDITORS'!$AO$82)</f>
        <v/>
      </c>
      <c r="N989">
        <f>IF('STATE-OWNED CREDITORS'!$BF$82="","",'STATE-OWNED CREDITORS'!$BF$82)</f>
        <v/>
      </c>
      <c r="O989" t="inlineStr">
        <is>
          <t>STATE-OWNED</t>
        </is>
      </c>
      <c r="P989" t="inlineStr">
        <is>
          <t>STATE-OWNED CREDITORS · row 82</t>
        </is>
      </c>
      <c r="Q989">
        <f>E989+ROW()*0.000000001</f>
        <v/>
      </c>
    </row>
    <row r="990">
      <c r="A990">
        <f>IF('STATE-OWNED CREDITORS'!$A$83="","",'STATE-OWNED CREDITORS'!$A$83)</f>
        <v/>
      </c>
      <c r="B990">
        <f>IF('STATE-OWNED CREDITORS'!$C$83="","",'STATE-OWNED CREDITORS'!$C$83)</f>
        <v/>
      </c>
      <c r="C990">
        <f>'STATE-OWNED CREDITORS'!$U$83</f>
        <v/>
      </c>
      <c r="D990">
        <f>'STATE-OWNED CREDITORS'!$AB$83</f>
        <v/>
      </c>
      <c r="E990">
        <f>'STATE-OWNED CREDITORS'!$AF$83</f>
        <v/>
      </c>
      <c r="F990">
        <f>IF('STATE-OWNED CREDITORS'!$V$83="","",'STATE-OWNED CREDITORS'!$V$83)</f>
        <v/>
      </c>
      <c r="G990">
        <f>IF('STATE-OWNED CREDITORS'!$D$83="","",'STATE-OWNED CREDITORS'!$D$83)</f>
        <v/>
      </c>
      <c r="H990">
        <f>IF('STATE-OWNED CREDITORS'!$G$83="","",'STATE-OWNED CREDITORS'!$G$83)</f>
        <v/>
      </c>
      <c r="I990">
        <f>IF('STATE-OWNED CREDITORS'!$AY$83="","",'STATE-OWNED CREDITORS'!$AY$83)</f>
        <v/>
      </c>
      <c r="J990">
        <f>IF('STATE-OWNED CREDITORS'!$BC$83="","",'STATE-OWNED CREDITORS'!$BC$83)</f>
        <v/>
      </c>
      <c r="K990">
        <f>IF('STATE-OWNED CREDITORS'!$N$83="","",'STATE-OWNED CREDITORS'!$N$83)</f>
        <v/>
      </c>
      <c r="L990">
        <f>IF('STATE-OWNED CREDITORS'!$AH$83="","",'STATE-OWNED CREDITORS'!$AH$83)</f>
        <v/>
      </c>
      <c r="M990">
        <f>IF('STATE-OWNED CREDITORS'!$AO$83="","",'STATE-OWNED CREDITORS'!$AO$83)</f>
        <v/>
      </c>
      <c r="N990">
        <f>IF('STATE-OWNED CREDITORS'!$BF$83="","",'STATE-OWNED CREDITORS'!$BF$83)</f>
        <v/>
      </c>
      <c r="O990" t="inlineStr">
        <is>
          <t>STATE-OWNED</t>
        </is>
      </c>
      <c r="P990" t="inlineStr">
        <is>
          <t>STATE-OWNED CREDITORS · row 83</t>
        </is>
      </c>
      <c r="Q990">
        <f>E990+ROW()*0.000000001</f>
        <v/>
      </c>
    </row>
    <row r="991">
      <c r="A991">
        <f>IF('STATE-OWNED CREDITORS'!$A$84="","",'STATE-OWNED CREDITORS'!$A$84)</f>
        <v/>
      </c>
      <c r="B991">
        <f>IF('STATE-OWNED CREDITORS'!$C$84="","",'STATE-OWNED CREDITORS'!$C$84)</f>
        <v/>
      </c>
      <c r="C991">
        <f>'STATE-OWNED CREDITORS'!$U$84</f>
        <v/>
      </c>
      <c r="D991">
        <f>'STATE-OWNED CREDITORS'!$AB$84</f>
        <v/>
      </c>
      <c r="E991">
        <f>'STATE-OWNED CREDITORS'!$AF$84</f>
        <v/>
      </c>
      <c r="F991">
        <f>IF('STATE-OWNED CREDITORS'!$V$84="","",'STATE-OWNED CREDITORS'!$V$84)</f>
        <v/>
      </c>
      <c r="G991">
        <f>IF('STATE-OWNED CREDITORS'!$D$84="","",'STATE-OWNED CREDITORS'!$D$84)</f>
        <v/>
      </c>
      <c r="H991">
        <f>IF('STATE-OWNED CREDITORS'!$G$84="","",'STATE-OWNED CREDITORS'!$G$84)</f>
        <v/>
      </c>
      <c r="I991">
        <f>IF('STATE-OWNED CREDITORS'!$AY$84="","",'STATE-OWNED CREDITORS'!$AY$84)</f>
        <v/>
      </c>
      <c r="J991">
        <f>IF('STATE-OWNED CREDITORS'!$BC$84="","",'STATE-OWNED CREDITORS'!$BC$84)</f>
        <v/>
      </c>
      <c r="K991">
        <f>IF('STATE-OWNED CREDITORS'!$N$84="","",'STATE-OWNED CREDITORS'!$N$84)</f>
        <v/>
      </c>
      <c r="L991">
        <f>IF('STATE-OWNED CREDITORS'!$AH$84="","",'STATE-OWNED CREDITORS'!$AH$84)</f>
        <v/>
      </c>
      <c r="M991">
        <f>IF('STATE-OWNED CREDITORS'!$AO$84="","",'STATE-OWNED CREDITORS'!$AO$84)</f>
        <v/>
      </c>
      <c r="N991">
        <f>IF('STATE-OWNED CREDITORS'!$BF$84="","",'STATE-OWNED CREDITORS'!$BF$84)</f>
        <v/>
      </c>
      <c r="O991" t="inlineStr">
        <is>
          <t>STATE-OWNED</t>
        </is>
      </c>
      <c r="P991" t="inlineStr">
        <is>
          <t>STATE-OWNED CREDITORS · row 84</t>
        </is>
      </c>
      <c r="Q991">
        <f>E991+ROW()*0.000000001</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4" customWidth="1" min="1" max="1"/>
    <col width="100" customWidth="1" min="6" max="6"/>
  </cols>
  <sheetData>
    <row r="1">
      <c r="A1" s="42" t="inlineStr">
        <is>
          <t>PRICING ASSUMPTIONS — yellow cells are editable; every quote on every call tab recalculates. THIS IS A MODEL, NOT A PRICE.</t>
        </is>
      </c>
    </row>
    <row r="3">
      <c r="A3" t="inlineStr">
        <is>
          <t>Target investor IRR (annual)</t>
        </is>
      </c>
      <c r="B3" s="43" t="n">
        <v>0.25</v>
      </c>
    </row>
    <row r="4">
      <c r="A4" t="inlineStr">
        <is>
          <t>Our buy price as share of fund price</t>
        </is>
      </c>
      <c r="B4" s="43" t="n">
        <v>0.6</v>
      </c>
    </row>
    <row r="5">
      <c r="A5" t="inlineStr">
        <is>
          <t>Financial-creditor recovery multiplier</t>
        </is>
      </c>
      <c r="B5" s="44" t="n">
        <v>1</v>
      </c>
      <c r="C5" t="inlineStr">
        <is>
          <t>× band recovery on the FINANCIAL CREDITORS tab — plans usually give banks/FIDCs worse class III terms than suppliers; 1.00 = same</t>
        </is>
      </c>
    </row>
    <row r="7">
      <c r="A7" s="4" t="inlineStr">
        <is>
          <t>Debtor band</t>
        </is>
      </c>
      <c r="B7" s="4" t="inlineStr">
        <is>
          <t>Class III recovery %</t>
        </is>
      </c>
      <c r="C7" s="4" t="inlineStr">
        <is>
          <t>Grace (y)</t>
        </is>
      </c>
      <c r="D7" s="4" t="inlineStr">
        <is>
          <t>Term (y)</t>
        </is>
      </c>
      <c r="E7" s="4" t="inlineStr">
        <is>
          <t>Plan lag (y)</t>
        </is>
      </c>
      <c r="F7" s="4" t="inlineStr">
        <is>
          <t>What the band means</t>
        </is>
      </c>
    </row>
    <row r="8">
      <c r="A8" t="inlineStr">
        <is>
          <t>A</t>
        </is>
      </c>
      <c r="B8" s="43" t="n">
        <v>0.4</v>
      </c>
      <c r="C8" s="45" t="n">
        <v>2</v>
      </c>
      <c r="D8" s="45" t="n">
        <v>8</v>
      </c>
      <c r="E8" s="45" t="n">
        <v>1.5</v>
      </c>
      <c r="F8" t="inlineStr">
        <is>
          <t>Recovery GRANTED (art. 58): plan approved by the creditors and granted by the court; payments run from the grant</t>
        </is>
      </c>
    </row>
    <row r="9">
      <c r="A9" t="inlineStr">
        <is>
          <t>B</t>
        </is>
      </c>
      <c r="B9" s="43" t="n">
        <v>0.3</v>
      </c>
      <c r="C9" s="45" t="n">
        <v>2</v>
      </c>
      <c r="D9" s="45" t="n">
        <v>8</v>
      </c>
      <c r="E9" s="45" t="n">
        <v>1.5</v>
      </c>
      <c r="F9" t="inlineStr">
        <is>
          <t>Live case, plan filed (art. 53) or pending — not yet granted; the payment clock has not started</t>
        </is>
      </c>
    </row>
    <row r="10">
      <c r="A10" t="inlineStr">
        <is>
          <t>C</t>
        </is>
      </c>
      <c r="B10" s="43" t="n">
        <v>0.15</v>
      </c>
      <c r="C10" s="45" t="n">
        <v>3</v>
      </c>
      <c r="D10" s="45" t="n">
        <v>10</v>
      </c>
      <c r="E10" s="45" t="n">
        <v>2.5</v>
      </c>
      <c r="F10" t="inlineStr">
        <is>
          <t>Older case (&gt;4 y) or dormant/closed: a plan almost certainly exists but is not in our documents — check the docket before quoting</t>
        </is>
      </c>
    </row>
    <row r="11">
      <c r="A11" t="inlineStr">
        <is>
          <t>D</t>
        </is>
      </c>
      <c r="B11" s="43" t="n">
        <v>0.03</v>
      </c>
      <c r="C11" s="45" t="n">
        <v>0</v>
      </c>
      <c r="D11" s="45" t="n">
        <v>0</v>
      </c>
      <c r="E11" s="45" t="n">
        <v>6</v>
      </c>
      <c r="F11" t="inlineStr">
        <is>
          <t>Avoid: falência decreed, or the company is closed (baixada) at RFB — liquidation payout years away</t>
        </is>
      </c>
    </row>
    <row r="12">
      <c r="A12" t="inlineStr">
        <is>
          <t>U</t>
        </is>
      </c>
      <c r="B12" s="43" t="n">
        <v>0.25</v>
      </c>
      <c r="C12" s="45" t="n">
        <v>3</v>
      </c>
      <c r="D12" s="45" t="n">
        <v>8</v>
      </c>
      <c r="E12" s="45" t="n">
        <v>2.5</v>
      </c>
      <c r="F12" t="inlineStr">
        <is>
          <t>Unresolved: debtor or case not identified — conservative default</t>
        </is>
      </c>
    </row>
    <row r="14">
      <c r="A14" t="inlineStr">
        <is>
          <t>Fund price = face × recovery% ÷ (1+IRR)^(years to payment). Our quote = fund price × share. Our ágio = fund price − quote.</t>
        </is>
      </c>
    </row>
    <row r="15">
      <c r="A15" t="inlineStr">
        <is>
          <t>Where a plan PDF was read (columns 'Plan: class III recovery / grace / term'), the plan's own class III general condition replaces the band's recovery, grace and term.</t>
        </is>
      </c>
    </row>
    <row r="16">
      <c r="A16" t="inlineStr">
        <is>
          <t>Years to payment — band A (recovery granted, art. 58): max(1, grace + term/2 − years already elapsed under the plan), where the grant is assumed 'plan lag' years after filing.</t>
        </is>
      </c>
    </row>
    <row r="17">
      <c r="A17" t="inlineStr">
        <is>
          <t>Years to payment — bands B, C, U: plan lag (years from today until a plan is granted) + grace + term/2. Band D: plan lag = years until a liquidation payout.</t>
        </is>
      </c>
    </row>
    <row r="18">
      <c r="A18" t="inlineStr">
        <is>
          <t>So an old case with no granted plan prices LOWER than a fresh one, never higher. Band recovery % is an assumption, not a term read from any plan, unless the Plan columns are filled.</t>
        </is>
      </c>
    </row>
    <row r="19">
      <c r="A19" t="inlineStr">
        <is>
          <t>Terminology: a plan is FILED by the debtor (art. 53), APPROVED by the creditors (AGC, art. 45) and the recovery is GRANTED by the court (art. 58). Only the grant starts the payment clock.</t>
        </is>
      </c>
    </row>
    <row r="20">
      <c r="A20" t="inlineStr">
        <is>
          <t>Financial creditors (banks, FIDCs, co-ops) usually get worse class III terms than trade suppliers; the multiplier in B5 lets you haircut their recovery.</t>
        </is>
      </c>
    </row>
    <row r="21">
      <c r="A21" t="inlineStr">
        <is>
          <t>A cessão de crédito is not done when the creditor says yes: it needs a written instrument, notification, and substitution in the creditor list (art. 290 CC; the AJ updates the QGC). The STATUS chain on the call tabs follows those steps.</t>
        </is>
      </c>
    </row>
    <row r="22">
      <c r="A22" t="inlineStr">
        <is>
          <t>Everything on this tab is a MODEL. The face value, the page/row and the source document are court data; the quote is ours.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2026-09-04T20:36:23Z</dcterms:created>
  <dcterms:modified xsi:type="dcterms:W3CDTF">2026-09-04T20:36:26Z</dcterms:modified>
</cp:coreProperties>
</file>